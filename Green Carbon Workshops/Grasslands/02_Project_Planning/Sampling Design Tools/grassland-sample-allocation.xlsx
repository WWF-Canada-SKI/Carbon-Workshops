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Instructions" sheetId="1" state="visible" r:id="rId1"/>
    <sheet name="1. Design" sheetId="2" state="visible" r:id="rId2"/>
    <sheet name="2. Strata" sheetId="3" state="visible" r:id="rId3"/>
    <sheet name="3. Result" sheetId="4" state="visible" r:id="rId4"/>
    <sheet name="4. Sensitivity" sheetId="5" state="visible" r:id="rId5"/>
  </sheets>
  <definedNames>
    <definedName name="CONF_LEVEL">'1. Design'!$B$5</definedName>
    <definedName name="Z_MULT">'1. Design'!$B$6</definedName>
    <definedName name="CV_SOIL">'1. Design'!$B$21</definedName>
    <definedName name="CV_ROOT">'1. Design'!$B$28</definedName>
    <definedName name="E_SOIL">'1. Design'!$B$10</definedName>
    <definedName name="E_ROOT">'1. Design'!$B$11</definedName>
    <definedName name="MIN_PER_STRATUM">'1. Design'!$B$31</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7">
    <font>
      <name val="Calibri"/>
      <family val="2"/>
      <color theme="1"/>
      <sz val="11"/>
      <scheme val="minor"/>
    </font>
    <font>
      <b val="1"/>
      <color rgb="004A3421"/>
      <sz val="14"/>
    </font>
    <font>
      <i val="1"/>
      <color rgb="00666666"/>
      <sz val="9"/>
    </font>
    <font>
      <b val="1"/>
      <color rgb="004A3421"/>
      <sz val="10"/>
    </font>
    <font>
      <b val="1"/>
      <color rgb="00FFFFFF"/>
      <sz val="10"/>
    </font>
    <font>
      <sz val="10"/>
    </font>
    <font>
      <b val="1"/>
      <color rgb="004A3421"/>
      <sz val="12"/>
    </font>
  </fonts>
  <fills count="7">
    <fill>
      <patternFill/>
    </fill>
    <fill>
      <patternFill patternType="gray125"/>
    </fill>
    <fill>
      <patternFill patternType="solid">
        <fgColor rgb="00E2EFDA"/>
      </patternFill>
    </fill>
    <fill>
      <patternFill patternType="solid">
        <fgColor rgb="00FFF2CC"/>
      </patternFill>
    </fill>
    <fill>
      <patternFill patternType="solid">
        <fgColor rgb="00EDEDED"/>
      </patternFill>
    </fill>
    <fill>
      <patternFill patternType="solid">
        <fgColor rgb="004A3421"/>
      </patternFill>
    </fill>
    <fill>
      <patternFill patternType="solid">
        <fgColor rgb="00FBE2D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9" fontId="0" fillId="3" borderId="1" pivotButton="0" quotePrefix="0" xfId="0"/>
    <xf numFmtId="0" fontId="2" fillId="0" borderId="0" pivotButton="0" quotePrefix="0" xfId="0"/>
    <xf numFmtId="164" fontId="0" fillId="4" borderId="1" pivotButton="0" quotePrefix="0" xfId="0"/>
    <xf numFmtId="0" fontId="4" fillId="5" borderId="1" applyAlignment="1" pivotButton="0" quotePrefix="0" xfId="0">
      <alignment horizontal="center" vertical="center" wrapText="1"/>
    </xf>
    <xf numFmtId="0" fontId="3" fillId="4" borderId="0" applyAlignment="1" pivotButton="0" quotePrefix="0" xfId="0">
      <alignment vertical="center" wrapText="1"/>
    </xf>
    <xf numFmtId="0" fontId="5" fillId="0" borderId="0" pivotButton="0" quotePrefix="0" xfId="0"/>
    <xf numFmtId="0" fontId="0" fillId="6" borderId="1" pivotButton="0" quotePrefix="0" xfId="0"/>
    <xf numFmtId="2" fontId="0" fillId="4" borderId="1" pivotButton="0" quotePrefix="0" xfId="0"/>
    <xf numFmtId="0" fontId="5" fillId="3" borderId="1" pivotButton="0" quotePrefix="0" xfId="0"/>
    <xf numFmtId="2" fontId="5" fillId="4" borderId="1" pivotButton="0" quotePrefix="0" xfId="0"/>
    <xf numFmtId="165" fontId="5" fillId="4" borderId="1" pivotButton="0" quotePrefix="0" xfId="0"/>
    <xf numFmtId="0" fontId="5" fillId="4" borderId="1" pivotButton="0" quotePrefix="0" xfId="0"/>
    <xf numFmtId="2" fontId="0" fillId="0" borderId="0" pivotButton="0" quotePrefix="0" xfId="0"/>
    <xf numFmtId="0" fontId="4" fillId="5" borderId="0" applyAlignment="1" pivotButton="0" quotePrefix="0" xfId="0">
      <alignment horizontal="center" vertical="center" wrapText="1"/>
    </xf>
    <xf numFmtId="9" fontId="0" fillId="4" borderId="1" pivotButton="0" quotePrefix="0" xfId="0"/>
    <xf numFmtId="1" fontId="0" fillId="4" borderId="1" pivotButton="0" quotePrefix="0" xfId="0"/>
    <xf numFmtId="1" fontId="6" fillId="2" borderId="1" pivotButton="0" quotePrefix="0" xfId="0"/>
    <xf numFmtId="1" fontId="0" fillId="0" borderId="0" pivotButton="0" quotePrefix="0" xfId="0"/>
    <xf numFmtId="1" fontId="0" fillId="2" borderId="1" pivotButton="0" quotePrefix="0" xfId="0"/>
    <xf numFmtId="0" fontId="5" fillId="2" borderId="1" applyAlignment="1" pivotButton="0" quotePrefix="0" xfId="0">
      <alignment vertical="top" wrapText="1"/>
    </xf>
    <xf numFmtId="0" fontId="0" fillId="4" borderId="1" pivotButton="0" quotePrefix="0" xfId="0"/>
    <xf numFmtId="0" fontId="3" fillId="2" borderId="1" pivotButton="0" quotePrefix="0" xfId="0"/>
    <xf numFmtId="0" fontId="0"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64" customWidth="1" min="2" max="2"/>
    <col width="22" customWidth="1" min="3" max="3"/>
    <col width="40" customWidth="1" min="4" max="4"/>
  </cols>
  <sheetData>
    <row r="1">
      <c r="A1" s="1" t="inlineStr">
        <is>
          <t>GRASSLAND SAMPLE ALLOCATION CALCULATOR</t>
        </is>
      </c>
    </row>
    <row r="2" ht="32" customHeight="1">
      <c r="A2" s="2" t="inlineStr">
        <is>
          <t>WWF-Canada Carbon Measurement · Grassland Carbon Workshop, Part 2 Step 4</t>
        </is>
      </c>
    </row>
    <row r="4" ht="58" customHeight="1">
      <c r="A4" s="3" t="inlineStr">
        <is>
          <t>What this workbook does</t>
        </is>
      </c>
      <c r="B4" s="4" t="inlineStr">
        <is>
          <t>Turns a precision target into a number of samples, separately for SOIL and for ROOTS, and splits that number across your strata by area. It records every assumption you used, so the design can be defended later.</t>
        </is>
      </c>
    </row>
    <row r="5" ht="58" customHeight="1">
      <c r="A5" s="3" t="inlineStr">
        <is>
          <t>Why soil and roots are sized separately</t>
        </is>
      </c>
      <c r="B5" s="4" t="inlineStr">
        <is>
          <t>Planned sample size scales with the SQUARE of the coefficient of variation. Root biomass is usually more variable than soil carbon, so one shared precision target lets root processing set the size of the whole campaign. Setting a wider, stated target for roots is usually the better trade.</t>
        </is>
      </c>
    </row>
    <row r="6" ht="58" customHeight="1">
      <c r="A6" s="3" t="inlineStr">
        <is>
          <t>The small-sample adjustment</t>
        </is>
      </c>
      <c r="B6" s="4" t="inlineStr">
        <is>
          <t>Planning uses the normal multiplier z. The interval you report afterwards uses Student's t on n-1 degrees of freedom, which is larger. This sheet iterates with t until the answer stops moving, and shows both figures so the adjustment is visible.</t>
        </is>
      </c>
    </row>
    <row r="7" ht="58" customHeight="1">
      <c r="A7" s="3" t="inlineStr">
        <is>
          <t>What it does NOT do</t>
        </is>
      </c>
      <c r="B7" s="4" t="inlineStr">
        <is>
          <t>It does not choose your prior, judge whether your strata are meaningful, or replace a design-specific analysis. It is a planning starting point.</t>
        </is>
      </c>
    </row>
    <row r="9" ht="20" customHeight="1">
      <c r="A9" s="5" t="inlineStr">
        <is>
          <t xml:space="preserve">  HOW TO USE IT</t>
        </is>
      </c>
    </row>
    <row r="10" ht="28" customHeight="1">
      <c r="A10" s="3" t="inlineStr">
        <is>
          <t>Step 1</t>
        </is>
      </c>
      <c r="B10" s="4" t="inlineStr">
        <is>
          <t>On '1. Design', set your confidence level and the precision target for each pool.</t>
        </is>
      </c>
    </row>
    <row r="11" ht="28" customHeight="1">
      <c r="A11" s="3" t="inlineStr">
        <is>
          <t>Step 2</t>
        </is>
      </c>
      <c r="B11" s="4" t="inlineStr">
        <is>
          <t>Enter your variability prior (mean and SD, or a CV directly) for each pool, and say where it came from.</t>
        </is>
      </c>
    </row>
    <row r="12" ht="28" customHeight="1">
      <c r="A12" s="3" t="inlineStr">
        <is>
          <t>Step 3</t>
        </is>
      </c>
      <c r="B12" s="4" t="inlineStr">
        <is>
          <t>On '2. Strata', enter each stratum's name and area in m². The sheet allocates by area.</t>
        </is>
      </c>
    </row>
    <row r="13" ht="28" customHeight="1">
      <c r="A13" s="3" t="inlineStr">
        <is>
          <t>Step 4</t>
        </is>
      </c>
      <c r="B13" s="4" t="inlineStr">
        <is>
          <t>Read the per-pool sample size and the per-stratum allocation off '3. Result'.</t>
        </is>
      </c>
    </row>
    <row r="14" ht="28" customHeight="1">
      <c r="A14" s="3" t="inlineStr">
        <is>
          <t>Step 5</t>
        </is>
      </c>
      <c r="B14" s="4" t="inlineStr">
        <is>
          <t>Copy the assumptions statement on '3. Result' into your project record.</t>
        </is>
      </c>
    </row>
    <row r="16" ht="30" customHeight="1">
      <c r="A16" s="2" t="inlineStr">
        <is>
          <t>Colour key:  yellow = type here  ·  grey = calculated  ·  green = the answer  ·  orange = a value only you can supply</t>
        </is>
      </c>
    </row>
  </sheetData>
  <mergeCells count="4">
    <mergeCell ref="A1:D1"/>
    <mergeCell ref="A16:D16"/>
    <mergeCell ref="A9:D9"/>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pane ySplit="15" topLeftCell="A16" activePane="bottomLeft" state="frozen"/>
      <selection pane="bottomLeft" activeCell="A1" sqref="A1"/>
    </sheetView>
  </sheetViews>
  <sheetFormatPr baseColWidth="8" defaultRowHeight="15"/>
  <cols>
    <col width="34" customWidth="1" min="1" max="1"/>
    <col width="16" customWidth="1" min="2" max="2"/>
    <col width="14" customWidth="1" min="3" max="3"/>
    <col width="58" customWidth="1" min="4" max="4"/>
    <col width="4" customWidth="1" min="5" max="5"/>
  </cols>
  <sheetData>
    <row r="1">
      <c r="A1" s="1" t="inlineStr">
        <is>
          <t>DESIGN INPUTS</t>
        </is>
      </c>
    </row>
    <row r="2" ht="32" customHeight="1">
      <c r="A2" s="2" t="inlineStr">
        <is>
          <t>Everything you choose. Yellow and orange cells only.</t>
        </is>
      </c>
    </row>
    <row r="4" ht="20" customHeight="1">
      <c r="A4" s="5" t="inlineStr">
        <is>
          <t xml:space="preserve">  CONFIDENCE</t>
        </is>
      </c>
    </row>
    <row r="5">
      <c r="A5" s="3" t="inlineStr">
        <is>
          <t>Confidence level</t>
        </is>
      </c>
      <c r="B5" s="6" t="n">
        <v>0.9</v>
      </c>
      <c r="D5" s="7" t="inlineStr">
        <is>
          <t>0.90 or 0.95. Higher confidence needs more samples.</t>
        </is>
      </c>
    </row>
    <row r="6">
      <c r="A6" s="3" t="inlineStr">
        <is>
          <t>z multiplier</t>
        </is>
      </c>
      <c r="B6" s="8">
        <f>NORMSINV(1-(1-'1. Design'!$B$5)/2)</f>
        <v/>
      </c>
      <c r="D6" s="7" t="inlineStr">
        <is>
          <t>Normal multiplier used for the FIRST planning pass only.</t>
        </is>
      </c>
    </row>
    <row r="8" ht="20" customHeight="1">
      <c r="A8" s="5" t="inlineStr">
        <is>
          <t xml:space="preserve">  PRECISION TARGET, PER POOL</t>
        </is>
      </c>
    </row>
    <row r="9" ht="20" customHeight="1">
      <c r="A9" s="9" t="inlineStr">
        <is>
          <t>Pool</t>
        </is>
      </c>
      <c r="B9" s="9" t="inlineStr">
        <is>
          <t>Target E</t>
        </is>
      </c>
      <c r="C9" s="9" t="inlineStr"/>
      <c r="D9" s="9" t="inlineStr">
        <is>
          <t>What it means</t>
        </is>
      </c>
    </row>
    <row r="10" ht="26" customHeight="1">
      <c r="A10" s="3" t="inlineStr">
        <is>
          <t>Soil carbon</t>
        </is>
      </c>
      <c r="B10" s="6" t="n">
        <v>0.2</v>
      </c>
      <c r="D10" s="2" t="inlineStr">
        <is>
          <t>Relative margin of error. 0.20 = the interval reaches ±20% of the mean.</t>
        </is>
      </c>
    </row>
    <row r="11" ht="26" customHeight="1">
      <c r="A11" s="3" t="inlineStr">
        <is>
          <t>Root biomass</t>
        </is>
      </c>
      <c r="B11" s="6" t="n">
        <v>0.4</v>
      </c>
      <c r="D11" s="2" t="inlineStr">
        <is>
          <t>A wider target here is usually honest, not a failure. State it and report against it.</t>
        </is>
      </c>
    </row>
    <row r="13" ht="20" customHeight="1">
      <c r="A13" s="5" t="inlineStr">
        <is>
          <t xml:space="preserve">  VARIABILITY PRIOR, PER POOL</t>
        </is>
      </c>
    </row>
    <row r="14" ht="30" customHeight="1">
      <c r="A14" s="2" t="inlineStr">
        <is>
          <t>Enter EITHER a mean and SD in the same units, OR a CV directly. If a CV is entered it wins. This is the single input that most changes the answer, and the one the workshop cannot supply for you.</t>
        </is>
      </c>
    </row>
    <row r="15" ht="20" customHeight="1">
      <c r="A15" s="9" t="inlineStr">
        <is>
          <t>Pool</t>
        </is>
      </c>
      <c r="B15" s="9" t="inlineStr">
        <is>
          <t>Value</t>
        </is>
      </c>
      <c r="C15" s="9" t="inlineStr"/>
      <c r="D15" s="9" t="inlineStr">
        <is>
          <t>Notes</t>
        </is>
      </c>
    </row>
    <row r="16" ht="20" customHeight="1">
      <c r="A16" s="10" t="inlineStr">
        <is>
          <t xml:space="preserve">  Soil carbon</t>
        </is>
      </c>
    </row>
    <row r="17" ht="24" customHeight="1">
      <c r="A17" s="11" t="inlineStr">
        <is>
          <t>Prior mean</t>
        </is>
      </c>
      <c r="B17" s="12" t="n"/>
      <c r="D17" s="2" t="inlineStr">
        <is>
          <t>In whatever unit you measure the pool. Only used to derive the CV.</t>
        </is>
      </c>
    </row>
    <row r="18" ht="24" customHeight="1">
      <c r="A18" s="11" t="inlineStr">
        <is>
          <t>Prior SD</t>
        </is>
      </c>
      <c r="B18" s="12" t="n"/>
      <c r="D18" s="2" t="inlineStr">
        <is>
          <t>Same unit as the mean.</t>
        </is>
      </c>
    </row>
    <row r="19" ht="24" customHeight="1">
      <c r="A19" s="11" t="inlineStr">
        <is>
          <t>Prior CV (overrides)</t>
        </is>
      </c>
      <c r="B19" s="12" t="n"/>
      <c r="D19" s="2" t="inlineStr">
        <is>
          <t>SD ÷ mean. Enter directly if that is what your source reports.</t>
        </is>
      </c>
    </row>
    <row r="20" ht="24" customHeight="1">
      <c r="A20" s="11" t="inlineStr">
        <is>
          <t>Source of the prior</t>
        </is>
      </c>
      <c r="B20" s="12" t="n"/>
      <c r="D20" s="2" t="inlineStr">
        <is>
          <t>Pilot / published study / soil map. Write it down — a reviewer will ask.</t>
        </is>
      </c>
    </row>
    <row r="21">
      <c r="A21" s="3" t="inlineStr">
        <is>
          <t>→ CV used</t>
        </is>
      </c>
      <c r="B21" s="13">
        <f>IF(ISNUMBER($B$19),$B$19,IF(AND(ISNUMBER($B$17),ISNUMBER($B$18),$B$17&lt;&gt;0),$B$18/$B$17,""))</f>
        <v/>
      </c>
      <c r="D21" s="7" t="inlineStr">
        <is>
          <t>Blank until you supply a prior. Nothing downstream computes without it.</t>
        </is>
      </c>
    </row>
    <row r="23" ht="20" customHeight="1">
      <c r="A23" s="10" t="inlineStr">
        <is>
          <t xml:space="preserve">  Root biomass</t>
        </is>
      </c>
    </row>
    <row r="24" ht="24" customHeight="1">
      <c r="A24" s="11" t="inlineStr">
        <is>
          <t>Prior mean</t>
        </is>
      </c>
      <c r="B24" s="12" t="n"/>
      <c r="D24" s="2" t="inlineStr">
        <is>
          <t>In whatever unit you measure the pool. Only used to derive the CV.</t>
        </is>
      </c>
    </row>
    <row r="25" ht="24" customHeight="1">
      <c r="A25" s="11" t="inlineStr">
        <is>
          <t>Prior SD</t>
        </is>
      </c>
      <c r="B25" s="12" t="n"/>
      <c r="D25" s="2" t="inlineStr">
        <is>
          <t>Same unit as the mean.</t>
        </is>
      </c>
    </row>
    <row r="26" ht="24" customHeight="1">
      <c r="A26" s="11" t="inlineStr">
        <is>
          <t>Prior CV (overrides)</t>
        </is>
      </c>
      <c r="B26" s="12" t="n"/>
      <c r="D26" s="2" t="inlineStr">
        <is>
          <t>SD ÷ mean. Enter directly if that is what your source reports.</t>
        </is>
      </c>
    </row>
    <row r="27" ht="24" customHeight="1">
      <c r="A27" s="11" t="inlineStr">
        <is>
          <t>Source of the prior</t>
        </is>
      </c>
      <c r="B27" s="12" t="n"/>
      <c r="D27" s="2" t="inlineStr">
        <is>
          <t>Pilot / published study / soil map. Write it down — a reviewer will ask.</t>
        </is>
      </c>
    </row>
    <row r="28">
      <c r="A28" s="3" t="inlineStr">
        <is>
          <t>→ CV used</t>
        </is>
      </c>
      <c r="B28" s="13">
        <f>IF(ISNUMBER($B$26),$B$26,IF(AND(ISNUMBER($B$24),ISNUMBER($B$25),$B$24&lt;&gt;0),$B$25/$B$24,""))</f>
        <v/>
      </c>
      <c r="D28" s="7" t="inlineStr">
        <is>
          <t>Blank until you supply a prior. Nothing downstream computes without it.</t>
        </is>
      </c>
    </row>
    <row r="30" ht="20" customHeight="1">
      <c r="A30" s="5" t="inlineStr">
        <is>
          <t xml:space="preserve">  MINIMUM PER STRATUM</t>
        </is>
      </c>
    </row>
    <row r="31" ht="40" customHeight="1">
      <c r="A31" s="3" t="inlineStr">
        <is>
          <t>Minimum samples per stratum</t>
        </is>
      </c>
      <c r="B31" s="12" t="n">
        <v>3</v>
      </c>
      <c r="D31" s="2" t="inlineStr">
        <is>
          <t>Draft statistical minimum is 3; 5 is preferred where feasible. The eelgrass workshop uses 5 as an operational minimum. Confirm the series-wide rule.</t>
        </is>
      </c>
    </row>
  </sheetData>
  <mergeCells count="9">
    <mergeCell ref="A1:D1"/>
    <mergeCell ref="A23:D23"/>
    <mergeCell ref="A8:D8"/>
    <mergeCell ref="A4:D4"/>
    <mergeCell ref="A30:D30"/>
    <mergeCell ref="A2:D2"/>
    <mergeCell ref="A16:D16"/>
    <mergeCell ref="A13:D13"/>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30" customWidth="1" min="1" max="1"/>
    <col width="14" customWidth="1" min="2" max="2"/>
    <col width="12" customWidth="1" min="3" max="3"/>
    <col width="13" customWidth="1" min="4" max="4"/>
    <col width="13" customWidth="1" min="5" max="5"/>
    <col width="13" customWidth="1" min="6" max="6"/>
    <col width="46" customWidth="1" min="7" max="7"/>
  </cols>
  <sheetData>
    <row r="1">
      <c r="A1" s="1" t="inlineStr">
        <is>
          <t>STRATA</t>
        </is>
      </c>
    </row>
    <row r="2" ht="32" customHeight="1">
      <c r="A2" s="2" t="inlineStr">
        <is>
          <t>One row per stratum from Part 2 Step 2. Area drives the allocation.</t>
        </is>
      </c>
    </row>
    <row r="4" ht="46" customHeight="1">
      <c r="A4" s="9" t="inlineStr">
        <is>
          <t>Stratum name</t>
        </is>
      </c>
      <c r="B4" s="9" t="inlineStr">
        <is>
          <t>Area (m²)</t>
        </is>
      </c>
      <c r="C4" s="9" t="inlineStr">
        <is>
          <t>Area (ha)</t>
        </is>
      </c>
      <c r="D4" s="9" t="inlineStr">
        <is>
          <t>Share of total</t>
        </is>
      </c>
      <c r="E4" s="9" t="inlineStr">
        <is>
          <t>Soil samples</t>
        </is>
      </c>
      <c r="F4" s="9" t="inlineStr">
        <is>
          <t>Root samples</t>
        </is>
      </c>
      <c r="G4" s="9" t="inlineStr">
        <is>
          <t>Notes</t>
        </is>
      </c>
    </row>
    <row r="5">
      <c r="A5" s="14" t="n"/>
      <c r="B5" s="14" t="n"/>
      <c r="C5" s="15">
        <f>IF(NOT(ISNUMBER($B5)),"",$B5/10000)</f>
        <v/>
      </c>
      <c r="D5" s="16">
        <f>IF(OR(NOT(ISNUMBER($B5)),SUM($B$5:$B$16)=0),"",$B5/SUM($B$5:$B$16))</f>
        <v/>
      </c>
      <c r="E5" s="17">
        <f>IF(OR($A5="",NOT(ISNUMBER($D5)),NOT(ISNUMBER('3. Result'!$B$8))),"",MAX(MIN_PER_STRATUM,CEILING($D5*'3. Result'!$B$8,1)))</f>
        <v/>
      </c>
      <c r="F5" s="17">
        <f>IF(OR($A5="",NOT(ISNUMBER($D5)),NOT(ISNUMBER('3. Result'!$C$8))),"",MAX(MIN_PER_STRATUM,CEILING($D5*'3. Result'!$C$8,1)))</f>
        <v/>
      </c>
      <c r="G5" s="14" t="n"/>
    </row>
    <row r="6">
      <c r="A6" s="14" t="n"/>
      <c r="B6" s="14" t="n"/>
      <c r="C6" s="15">
        <f>IF(NOT(ISNUMBER($B6)),"",$B6/10000)</f>
        <v/>
      </c>
      <c r="D6" s="16">
        <f>IF(OR(NOT(ISNUMBER($B6)),SUM($B$5:$B$16)=0),"",$B6/SUM($B$5:$B$16))</f>
        <v/>
      </c>
      <c r="E6" s="17">
        <f>IF(OR($A6="",NOT(ISNUMBER($D6)),NOT(ISNUMBER('3. Result'!$B$8))),"",MAX(MIN_PER_STRATUM,CEILING($D6*'3. Result'!$B$8,1)))</f>
        <v/>
      </c>
      <c r="F6" s="17">
        <f>IF(OR($A6="",NOT(ISNUMBER($D6)),NOT(ISNUMBER('3. Result'!$C$8))),"",MAX(MIN_PER_STRATUM,CEILING($D6*'3. Result'!$C$8,1)))</f>
        <v/>
      </c>
      <c r="G6" s="14" t="n"/>
    </row>
    <row r="7">
      <c r="A7" s="14" t="n"/>
      <c r="B7" s="14" t="n"/>
      <c r="C7" s="15">
        <f>IF(NOT(ISNUMBER($B7)),"",$B7/10000)</f>
        <v/>
      </c>
      <c r="D7" s="16">
        <f>IF(OR(NOT(ISNUMBER($B7)),SUM($B$5:$B$16)=0),"",$B7/SUM($B$5:$B$16))</f>
        <v/>
      </c>
      <c r="E7" s="17">
        <f>IF(OR($A7="",NOT(ISNUMBER($D7)),NOT(ISNUMBER('3. Result'!$B$8))),"",MAX(MIN_PER_STRATUM,CEILING($D7*'3. Result'!$B$8,1)))</f>
        <v/>
      </c>
      <c r="F7" s="17">
        <f>IF(OR($A7="",NOT(ISNUMBER($D7)),NOT(ISNUMBER('3. Result'!$C$8))),"",MAX(MIN_PER_STRATUM,CEILING($D7*'3. Result'!$C$8,1)))</f>
        <v/>
      </c>
      <c r="G7" s="14" t="n"/>
    </row>
    <row r="8">
      <c r="A8" s="14" t="n"/>
      <c r="B8" s="14" t="n"/>
      <c r="C8" s="15">
        <f>IF(NOT(ISNUMBER($B8)),"",$B8/10000)</f>
        <v/>
      </c>
      <c r="D8" s="16">
        <f>IF(OR(NOT(ISNUMBER($B8)),SUM($B$5:$B$16)=0),"",$B8/SUM($B$5:$B$16))</f>
        <v/>
      </c>
      <c r="E8" s="17">
        <f>IF(OR($A8="",NOT(ISNUMBER($D8)),NOT(ISNUMBER('3. Result'!$B$8))),"",MAX(MIN_PER_STRATUM,CEILING($D8*'3. Result'!$B$8,1)))</f>
        <v/>
      </c>
      <c r="F8" s="17">
        <f>IF(OR($A8="",NOT(ISNUMBER($D8)),NOT(ISNUMBER('3. Result'!$C$8))),"",MAX(MIN_PER_STRATUM,CEILING($D8*'3. Result'!$C$8,1)))</f>
        <v/>
      </c>
      <c r="G8" s="14" t="n"/>
    </row>
    <row r="9">
      <c r="A9" s="14" t="n"/>
      <c r="B9" s="14" t="n"/>
      <c r="C9" s="15">
        <f>IF(NOT(ISNUMBER($B9)),"",$B9/10000)</f>
        <v/>
      </c>
      <c r="D9" s="16">
        <f>IF(OR(NOT(ISNUMBER($B9)),SUM($B$5:$B$16)=0),"",$B9/SUM($B$5:$B$16))</f>
        <v/>
      </c>
      <c r="E9" s="17">
        <f>IF(OR($A9="",NOT(ISNUMBER($D9)),NOT(ISNUMBER('3. Result'!$B$8))),"",MAX(MIN_PER_STRATUM,CEILING($D9*'3. Result'!$B$8,1)))</f>
        <v/>
      </c>
      <c r="F9" s="17">
        <f>IF(OR($A9="",NOT(ISNUMBER($D9)),NOT(ISNUMBER('3. Result'!$C$8))),"",MAX(MIN_PER_STRATUM,CEILING($D9*'3. Result'!$C$8,1)))</f>
        <v/>
      </c>
      <c r="G9" s="14" t="n"/>
    </row>
    <row r="10">
      <c r="A10" s="14" t="n"/>
      <c r="B10" s="14" t="n"/>
      <c r="C10" s="15">
        <f>IF(NOT(ISNUMBER($B10)),"",$B10/10000)</f>
        <v/>
      </c>
      <c r="D10" s="16">
        <f>IF(OR(NOT(ISNUMBER($B10)),SUM($B$5:$B$16)=0),"",$B10/SUM($B$5:$B$16))</f>
        <v/>
      </c>
      <c r="E10" s="17">
        <f>IF(OR($A10="",NOT(ISNUMBER($D10)),NOT(ISNUMBER('3. Result'!$B$8))),"",MAX(MIN_PER_STRATUM,CEILING($D10*'3. Result'!$B$8,1)))</f>
        <v/>
      </c>
      <c r="F10" s="17">
        <f>IF(OR($A10="",NOT(ISNUMBER($D10)),NOT(ISNUMBER('3. Result'!$C$8))),"",MAX(MIN_PER_STRATUM,CEILING($D10*'3. Result'!$C$8,1)))</f>
        <v/>
      </c>
      <c r="G10" s="14" t="n"/>
    </row>
    <row r="11">
      <c r="A11" s="14" t="n"/>
      <c r="B11" s="14" t="n"/>
      <c r="C11" s="15">
        <f>IF(NOT(ISNUMBER($B11)),"",$B11/10000)</f>
        <v/>
      </c>
      <c r="D11" s="16">
        <f>IF(OR(NOT(ISNUMBER($B11)),SUM($B$5:$B$16)=0),"",$B11/SUM($B$5:$B$16))</f>
        <v/>
      </c>
      <c r="E11" s="17">
        <f>IF(OR($A11="",NOT(ISNUMBER($D11)),NOT(ISNUMBER('3. Result'!$B$8))),"",MAX(MIN_PER_STRATUM,CEILING($D11*'3. Result'!$B$8,1)))</f>
        <v/>
      </c>
      <c r="F11" s="17">
        <f>IF(OR($A11="",NOT(ISNUMBER($D11)),NOT(ISNUMBER('3. Result'!$C$8))),"",MAX(MIN_PER_STRATUM,CEILING($D11*'3. Result'!$C$8,1)))</f>
        <v/>
      </c>
      <c r="G11" s="14" t="n"/>
    </row>
    <row r="12">
      <c r="A12" s="14" t="n"/>
      <c r="B12" s="14" t="n"/>
      <c r="C12" s="15">
        <f>IF(NOT(ISNUMBER($B12)),"",$B12/10000)</f>
        <v/>
      </c>
      <c r="D12" s="16">
        <f>IF(OR(NOT(ISNUMBER($B12)),SUM($B$5:$B$16)=0),"",$B12/SUM($B$5:$B$16))</f>
        <v/>
      </c>
      <c r="E12" s="17">
        <f>IF(OR($A12="",NOT(ISNUMBER($D12)),NOT(ISNUMBER('3. Result'!$B$8))),"",MAX(MIN_PER_STRATUM,CEILING($D12*'3. Result'!$B$8,1)))</f>
        <v/>
      </c>
      <c r="F12" s="17">
        <f>IF(OR($A12="",NOT(ISNUMBER($D12)),NOT(ISNUMBER('3. Result'!$C$8))),"",MAX(MIN_PER_STRATUM,CEILING($D12*'3. Result'!$C$8,1)))</f>
        <v/>
      </c>
      <c r="G12" s="14" t="n"/>
    </row>
    <row r="13">
      <c r="A13" s="14" t="n"/>
      <c r="B13" s="14" t="n"/>
      <c r="C13" s="15">
        <f>IF(NOT(ISNUMBER($B13)),"",$B13/10000)</f>
        <v/>
      </c>
      <c r="D13" s="16">
        <f>IF(OR(NOT(ISNUMBER($B13)),SUM($B$5:$B$16)=0),"",$B13/SUM($B$5:$B$16))</f>
        <v/>
      </c>
      <c r="E13" s="17">
        <f>IF(OR($A13="",NOT(ISNUMBER($D13)),NOT(ISNUMBER('3. Result'!$B$8))),"",MAX(MIN_PER_STRATUM,CEILING($D13*'3. Result'!$B$8,1)))</f>
        <v/>
      </c>
      <c r="F13" s="17">
        <f>IF(OR($A13="",NOT(ISNUMBER($D13)),NOT(ISNUMBER('3. Result'!$C$8))),"",MAX(MIN_PER_STRATUM,CEILING($D13*'3. Result'!$C$8,1)))</f>
        <v/>
      </c>
      <c r="G13" s="14" t="n"/>
    </row>
    <row r="14">
      <c r="A14" s="14" t="n"/>
      <c r="B14" s="14" t="n"/>
      <c r="C14" s="15">
        <f>IF(NOT(ISNUMBER($B14)),"",$B14/10000)</f>
        <v/>
      </c>
      <c r="D14" s="16">
        <f>IF(OR(NOT(ISNUMBER($B14)),SUM($B$5:$B$16)=0),"",$B14/SUM($B$5:$B$16))</f>
        <v/>
      </c>
      <c r="E14" s="17">
        <f>IF(OR($A14="",NOT(ISNUMBER($D14)),NOT(ISNUMBER('3. Result'!$B$8))),"",MAX(MIN_PER_STRATUM,CEILING($D14*'3. Result'!$B$8,1)))</f>
        <v/>
      </c>
      <c r="F14" s="17">
        <f>IF(OR($A14="",NOT(ISNUMBER($D14)),NOT(ISNUMBER('3. Result'!$C$8))),"",MAX(MIN_PER_STRATUM,CEILING($D14*'3. Result'!$C$8,1)))</f>
        <v/>
      </c>
      <c r="G14" s="14" t="n"/>
    </row>
    <row r="15">
      <c r="A15" s="14" t="n"/>
      <c r="B15" s="14" t="n"/>
      <c r="C15" s="15">
        <f>IF(NOT(ISNUMBER($B15)),"",$B15/10000)</f>
        <v/>
      </c>
      <c r="D15" s="16">
        <f>IF(OR(NOT(ISNUMBER($B15)),SUM($B$5:$B$16)=0),"",$B15/SUM($B$5:$B$16))</f>
        <v/>
      </c>
      <c r="E15" s="17">
        <f>IF(OR($A15="",NOT(ISNUMBER($D15)),NOT(ISNUMBER('3. Result'!$B$8))),"",MAX(MIN_PER_STRATUM,CEILING($D15*'3. Result'!$B$8,1)))</f>
        <v/>
      </c>
      <c r="F15" s="17">
        <f>IF(OR($A15="",NOT(ISNUMBER($D15)),NOT(ISNUMBER('3. Result'!$C$8))),"",MAX(MIN_PER_STRATUM,CEILING($D15*'3. Result'!$C$8,1)))</f>
        <v/>
      </c>
      <c r="G15" s="14" t="n"/>
    </row>
    <row r="16">
      <c r="A16" s="14" t="n"/>
      <c r="B16" s="14" t="n"/>
      <c r="C16" s="15">
        <f>IF(NOT(ISNUMBER($B16)),"",$B16/10000)</f>
        <v/>
      </c>
      <c r="D16" s="16">
        <f>IF(OR(NOT(ISNUMBER($B16)),SUM($B$5:$B$16)=0),"",$B16/SUM($B$5:$B$16))</f>
        <v/>
      </c>
      <c r="E16" s="17">
        <f>IF(OR($A16="",NOT(ISNUMBER($D16)),NOT(ISNUMBER('3. Result'!$B$8))),"",MAX(MIN_PER_STRATUM,CEILING($D16*'3. Result'!$B$8,1)))</f>
        <v/>
      </c>
      <c r="F16" s="17">
        <f>IF(OR($A16="",NOT(ISNUMBER($D16)),NOT(ISNUMBER('3. Result'!$C$8))),"",MAX(MIN_PER_STRATUM,CEILING($D16*'3. Result'!$C$8,1)))</f>
        <v/>
      </c>
      <c r="G16" s="14" t="n"/>
    </row>
    <row r="18">
      <c r="A18" s="3" t="inlineStr">
        <is>
          <t>TOTAL</t>
        </is>
      </c>
      <c r="B18" s="3">
        <f>IF(SUM($B$5:$B$16)=0,"",SUM($B$5:$B$16))</f>
        <v/>
      </c>
      <c r="C18" s="18">
        <f>IF(SUM($B$5:$B$16)=0,"",SUM($B$5:$B$16)/10000)</f>
        <v/>
      </c>
      <c r="E18" s="3">
        <f>IF(SUM($E$5:$E$16)=0,"",SUM($E$5:$E$16))</f>
        <v/>
      </c>
      <c r="F18" s="3">
        <f>IF(SUM($F$5:$F$16)=0,"",SUM($F$5:$F$16))</f>
        <v/>
      </c>
    </row>
    <row r="20" ht="30" customHeight="1">
      <c r="A20" s="2" t="inlineStr">
        <is>
          <t>Allocation is proportional to AREA, rounded up, then raised to the minimum per stratum. Both of those push the total above the calculated n, which is expected — rounding down or allowing a 2-sample stratum would leave that stratum without an estimable variance. Where strata differ greatly in variability or cost, area-proportional allocation is not optimal; see Appendix A7.</t>
        </is>
      </c>
    </row>
  </sheetData>
  <mergeCells count="3">
    <mergeCell ref="A20:G20"/>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2" customWidth="1" min="1" max="1"/>
    <col width="15" customWidth="1" min="2" max="2"/>
    <col width="15" customWidth="1" min="3" max="3"/>
    <col width="46" customWidth="1" min="4" max="4"/>
    <col width="9" customWidth="1" min="5" max="5"/>
    <col hidden="1" width="9" customWidth="1" min="6" max="6"/>
    <col hidden="1" width="9" customWidth="1" min="7" max="7"/>
    <col hidden="1" width="9" customWidth="1" min="8" max="8"/>
    <col hidden="1" width="9" customWidth="1" min="9" max="9"/>
    <col hidden="1" width="9" customWidth="1" min="10" max="10"/>
    <col hidden="1" width="9" customWidth="1" min="11" max="11"/>
    <col width="9" customWidth="1" min="12" max="12"/>
    <col width="9" customWidth="1" min="13" max="13"/>
    <col width="9" customWidth="1" min="14" max="14"/>
  </cols>
  <sheetData>
    <row r="1">
      <c r="A1" s="1" t="inlineStr">
        <is>
          <t>RESULT</t>
        </is>
      </c>
    </row>
    <row r="2" ht="32" customHeight="1">
      <c r="A2" s="2" t="inlineStr">
        <is>
          <t>The sample size for each pool, and how it was reached.</t>
        </is>
      </c>
    </row>
    <row r="4">
      <c r="B4" s="19" t="inlineStr">
        <is>
          <t>SOIL</t>
        </is>
      </c>
      <c r="C4" s="19" t="inlineStr">
        <is>
          <t>ROOTS</t>
        </is>
      </c>
    </row>
    <row r="5">
      <c r="A5" s="3" t="inlineStr">
        <is>
          <t>CV used</t>
        </is>
      </c>
      <c r="B5" s="13">
        <f>IF(ISNUMBER(CV_SOIL),CV_SOIL,"")</f>
        <v/>
      </c>
      <c r="C5" s="13">
        <f>IF(ISNUMBER(CV_ROOT),CV_ROOT,"")</f>
        <v/>
      </c>
    </row>
    <row r="6">
      <c r="A6" s="3" t="inlineStr">
        <is>
          <t>Target E</t>
        </is>
      </c>
      <c r="B6" s="20">
        <f>E_SOIL</f>
        <v/>
      </c>
      <c r="C6" s="20">
        <f>E_ROOT</f>
        <v/>
      </c>
    </row>
    <row r="7">
      <c r="A7" s="3" t="inlineStr">
        <is>
          <t>Planning n (z only)</t>
        </is>
      </c>
      <c r="B7" s="21">
        <f>IF(OR(NOT(ISNUMBER(CV_SOIL)),NOT(ISNUMBER(E_SOIL)),E_SOIL=0),"",CEILING((Z_MULT*CV_SOIL/E_SOIL)^2,1))</f>
        <v/>
      </c>
      <c r="C7" s="21">
        <f>IF(OR(NOT(ISNUMBER(CV_ROOT)),NOT(ISNUMBER(E_ROOT)),E_ROOT=0),"",CEILING((Z_MULT*CV_ROOT/E_ROOT)^2,1))</f>
        <v/>
      </c>
    </row>
    <row r="8">
      <c r="A8" s="3" t="inlineStr">
        <is>
          <t>SAMPLE SIZE (t-adjusted)</t>
        </is>
      </c>
      <c r="B8" s="22">
        <f>IF(NOT(ISNUMBER($B$7)),"",MAX($J$12,$K$12))</f>
        <v/>
      </c>
      <c r="C8" s="22">
        <f>IF(NOT(ISNUMBER($C$7)),"",MAX($J$13,$K$13))</f>
        <v/>
      </c>
    </row>
    <row r="9">
      <c r="A9" s="3" t="inlineStr">
        <is>
          <t>Added by the adjustment</t>
        </is>
      </c>
      <c r="B9" s="21">
        <f>IF(OR(NOT(ISNUMBER($B$7)),NOT(ISNUMBER($B$8))),"",$B$8-$B$7)</f>
        <v/>
      </c>
      <c r="C9" s="21">
        <f>IF(OR(NOT(ISNUMBER($C$7)),NOT(ISNUMBER($C$8))),"",$C$8-$C$7)</f>
        <v/>
      </c>
    </row>
    <row r="11">
      <c r="A11" s="3" t="inlineStr">
        <is>
          <t>t-iteration (unrolled)</t>
        </is>
      </c>
      <c r="D11" s="2" t="inlineStr">
        <is>
          <t>Each pass recomputes n from t on the previous n−1 degrees of freedom. It converges in three or four passes; six is headroom.</t>
        </is>
      </c>
      <c r="F11" s="7" t="inlineStr">
        <is>
          <t>pass 1</t>
        </is>
      </c>
      <c r="G11" s="7" t="inlineStr">
        <is>
          <t>pass 2</t>
        </is>
      </c>
      <c r="H11" s="7" t="inlineStr">
        <is>
          <t>pass 3</t>
        </is>
      </c>
      <c r="I11" s="7" t="inlineStr">
        <is>
          <t>pass 4</t>
        </is>
      </c>
      <c r="J11" s="7" t="inlineStr">
        <is>
          <t>pass 5</t>
        </is>
      </c>
      <c r="K11" s="7" t="inlineStr">
        <is>
          <t>pass 6</t>
        </is>
      </c>
    </row>
    <row r="12">
      <c r="A12" s="11" t="inlineStr">
        <is>
          <t>soil</t>
        </is>
      </c>
      <c r="F12" s="23">
        <f>IF(NOT(ISNUMBER($B$7)),"",CEILING((TINV(1-CONF_LEVEL,MAX(1,$B$7-1))*CV_SOIL/E_SOIL)^2,1))</f>
        <v/>
      </c>
      <c r="G12" s="23">
        <f>IF(NOT(ISNUMBER($F$12)),"",CEILING((TINV(1-CONF_LEVEL,MAX(1,$F$12-1))*CV_SOIL/E_SOIL)^2,1))</f>
        <v/>
      </c>
      <c r="H12" s="23">
        <f>IF(NOT(ISNUMBER($G$12)),"",CEILING((TINV(1-CONF_LEVEL,MAX(1,$G$12-1))*CV_SOIL/E_SOIL)^2,1))</f>
        <v/>
      </c>
      <c r="I12" s="23">
        <f>IF(NOT(ISNUMBER($H$12)),"",CEILING((TINV(1-CONF_LEVEL,MAX(1,$H$12-1))*CV_SOIL/E_SOIL)^2,1))</f>
        <v/>
      </c>
      <c r="J12" s="23">
        <f>IF(NOT(ISNUMBER($I$12)),"",CEILING((TINV(1-CONF_LEVEL,MAX(1,$I$12-1))*CV_SOIL/E_SOIL)^2,1))</f>
        <v/>
      </c>
      <c r="K12" s="23">
        <f>IF(NOT(ISNUMBER($J$12)),"",CEILING((TINV(1-CONF_LEVEL,MAX(1,$J$12-1))*CV_SOIL/E_SOIL)^2,1))</f>
        <v/>
      </c>
    </row>
    <row r="13">
      <c r="A13" s="11" t="inlineStr">
        <is>
          <t>roots</t>
        </is>
      </c>
      <c r="F13" s="23">
        <f>IF(NOT(ISNUMBER($C$7)),"",CEILING((TINV(1-CONF_LEVEL,MAX(1,$C$7-1))*CV_ROOT/E_ROOT)^2,1))</f>
        <v/>
      </c>
      <c r="G13" s="23">
        <f>IF(NOT(ISNUMBER($F$13)),"",CEILING((TINV(1-CONF_LEVEL,MAX(1,$F$13-1))*CV_ROOT/E_ROOT)^2,1))</f>
        <v/>
      </c>
      <c r="H13" s="23">
        <f>IF(NOT(ISNUMBER($G$13)),"",CEILING((TINV(1-CONF_LEVEL,MAX(1,$G$13-1))*CV_ROOT/E_ROOT)^2,1))</f>
        <v/>
      </c>
      <c r="I13" s="23">
        <f>IF(NOT(ISNUMBER($H$13)),"",CEILING((TINV(1-CONF_LEVEL,MAX(1,$H$13-1))*CV_ROOT/E_ROOT)^2,1))</f>
        <v/>
      </c>
      <c r="J13" s="23">
        <f>IF(NOT(ISNUMBER($I$13)),"",CEILING((TINV(1-CONF_LEVEL,MAX(1,$I$13-1))*CV_ROOT/E_ROOT)^2,1))</f>
        <v/>
      </c>
      <c r="K13" s="23">
        <f>IF(NOT(ISNUMBER($J$13)),"",CEILING((TINV(1-CONF_LEVEL,MAX(1,$J$13-1))*CV_ROOT/E_ROOT)^2,1))</f>
        <v/>
      </c>
    </row>
    <row r="15" ht="20" customHeight="1">
      <c r="A15" s="5" t="inlineStr">
        <is>
          <t xml:space="preserve">  FIELD COUNT</t>
        </is>
      </c>
    </row>
    <row r="16">
      <c r="A16" s="3" t="inlineStr">
        <is>
          <t>Cores to collect</t>
        </is>
      </c>
      <c r="B16" s="24">
        <f>'2. Strata'!$E$18</f>
        <v/>
      </c>
      <c r="D16" s="7" t="inlineStr">
        <is>
          <t>Soil allocation summed over strata, after rounding and the minimum.</t>
        </is>
      </c>
    </row>
    <row r="17" ht="30" customHeight="1">
      <c r="A17" s="3" t="inlineStr">
        <is>
          <t>Cores to wash for roots</t>
        </is>
      </c>
      <c r="B17" s="24">
        <f>'2. Strata'!$F$18</f>
        <v/>
      </c>
      <c r="D17" s="2" t="inlineStr">
        <is>
          <t>Roots come out of the same cores. If this is below the soil count, choose the subset AT RANDOM before looking at the cores.</t>
        </is>
      </c>
    </row>
    <row r="19" ht="20" customHeight="1">
      <c r="A19" s="5" t="inlineStr">
        <is>
          <t xml:space="preserve">  ASSUMPTIONS STATEMENT — copy this into your project record</t>
        </is>
      </c>
    </row>
    <row r="20" ht="22" customHeight="1">
      <c r="A20" s="25">
        <f>IF(OR(NOT(ISNUMBER($B$8)),NOT(ISNUMBER($C$8))),"Complete the design inputs to generate this statement.","Sample sizes were calculated at "&amp;TEXT(CONF_LEVEL,"0%")&amp;" confidence. Soil carbon was sized to a relative margin of error of "&amp;TEXT(E_SOIL,"0%")&amp;" using a coefficient of variation of "&amp;TEXT(CV_SOIL,"0.00")&amp;", giving "&amp;$B$8&amp;" samples. Root biomass was sized separately to "&amp;TEXT(E_ROOT,"0%")&amp;" using a coefficient of variation of "&amp;TEXT(CV_ROOT,"0.00")&amp;", giving "&amp;$C$8&amp;" samples. Planning began from the normal multiplier and was then adjusted for small-sample Students t until stable. Samples were allocated across strata in proportion to area, rounded up, with a minimum of "&amp;MIN_PER_STRATUM&amp;" per stratum. Record the source of each variability prior alongside this statement.")</f>
        <v/>
      </c>
    </row>
    <row r="21" ht="22" customHeight="1"/>
    <row r="22" ht="22" customHeight="1"/>
    <row r="23" ht="22" customHeight="1"/>
    <row r="25" ht="30" customHeight="1">
      <c r="A25" s="2" t="inlineStr">
        <is>
          <t>This is a planning starting point, not a design-specific analysis. It assumes independent samples and a defensible prior. Paired designs, chronosequences, unequal-variance comparisons and detectable-change studies all need more than this sheet — see Appendix A10.</t>
        </is>
      </c>
    </row>
  </sheetData>
  <mergeCells count="6">
    <mergeCell ref="A1:D1"/>
    <mergeCell ref="A15:D15"/>
    <mergeCell ref="A25:D25"/>
    <mergeCell ref="A20:D23"/>
    <mergeCell ref="A19:D19"/>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26" customWidth="1" min="1" max="1"/>
    <col width="10" customWidth="1" min="2" max="2"/>
    <col width="11" customWidth="1" min="3" max="3"/>
    <col width="12" customWidth="1" min="4" max="4"/>
    <col width="13" customWidth="1" min="5" max="5"/>
    <col width="15" customWidth="1" min="6" max="6"/>
    <col width="10" customWidth="1" min="7" max="7"/>
  </cols>
  <sheetData>
    <row r="1">
      <c r="A1" s="1" t="inlineStr">
        <is>
          <t>SENSITIVITY</t>
        </is>
      </c>
    </row>
    <row r="2" ht="32" customHeight="1">
      <c r="A2" s="2" t="inlineStr">
        <is>
          <t>What one knob at a time does. These are the figures Part 2 quotes — they are computed here, so the prose and the calculator cannot disagree.</t>
        </is>
      </c>
    </row>
    <row r="4" ht="46" customHeight="1">
      <c r="A4" s="9" t="inlineStr">
        <is>
          <t>Pool</t>
        </is>
      </c>
      <c r="B4" s="9" t="inlineStr">
        <is>
          <t>CV</t>
        </is>
      </c>
      <c r="C4" s="9" t="inlineStr">
        <is>
          <t>Target E</t>
        </is>
      </c>
      <c r="D4" s="9" t="inlineStr">
        <is>
          <t>Confidence</t>
        </is>
      </c>
      <c r="E4" s="9" t="inlineStr">
        <is>
          <t>n (z only)</t>
        </is>
      </c>
      <c r="F4" s="9" t="inlineStr">
        <is>
          <t>n (t-adjusted)</t>
        </is>
      </c>
      <c r="G4" s="9" t="inlineStr">
        <is>
          <t>Added</t>
        </is>
      </c>
    </row>
    <row r="5">
      <c r="A5" s="17" t="inlineStr">
        <is>
          <t>Soil carbon — relatively uniform</t>
        </is>
      </c>
      <c r="B5" s="13" t="n">
        <v>0.2</v>
      </c>
      <c r="C5" s="20" t="n">
        <v>0.2</v>
      </c>
      <c r="D5" s="20" t="n">
        <v>0.9</v>
      </c>
      <c r="E5" s="26" t="n">
        <v>3</v>
      </c>
      <c r="F5" s="27" t="n">
        <v>5</v>
      </c>
      <c r="G5" s="28" t="n">
        <v>2</v>
      </c>
    </row>
    <row r="6">
      <c r="A6" s="17" t="inlineStr">
        <is>
          <t>Soil carbon — moderate variation</t>
        </is>
      </c>
      <c r="B6" s="13" t="n">
        <v>0.3</v>
      </c>
      <c r="C6" s="20" t="n">
        <v>0.2</v>
      </c>
      <c r="D6" s="20" t="n">
        <v>0.9</v>
      </c>
      <c r="E6" s="26" t="n">
        <v>7</v>
      </c>
      <c r="F6" s="27" t="n">
        <v>9</v>
      </c>
      <c r="G6" s="28" t="n">
        <v>2</v>
      </c>
    </row>
    <row r="7">
      <c r="A7" s="17" t="inlineStr">
        <is>
          <t>Soil carbon — higher variation</t>
        </is>
      </c>
      <c r="B7" s="13" t="n">
        <v>0.4</v>
      </c>
      <c r="C7" s="20" t="n">
        <v>0.2</v>
      </c>
      <c r="D7" s="20" t="n">
        <v>0.9</v>
      </c>
      <c r="E7" s="26" t="n">
        <v>11</v>
      </c>
      <c r="F7" s="27" t="n">
        <v>13</v>
      </c>
      <c r="G7" s="28" t="n">
        <v>2</v>
      </c>
    </row>
    <row r="8">
      <c r="A8" s="17" t="inlineStr">
        <is>
          <t>Roots — lower illustrative variation</t>
        </is>
      </c>
      <c r="B8" s="13" t="n">
        <v>0.5</v>
      </c>
      <c r="C8" s="20" t="n">
        <v>0.2</v>
      </c>
      <c r="D8" s="20" t="n">
        <v>0.9</v>
      </c>
      <c r="E8" s="26" t="n">
        <v>17</v>
      </c>
      <c r="F8" s="27" t="n">
        <v>19</v>
      </c>
      <c r="G8" s="28" t="n">
        <v>2</v>
      </c>
    </row>
    <row r="9">
      <c r="A9" s="17" t="inlineStr">
        <is>
          <t>Roots — moderate illustrative variation</t>
        </is>
      </c>
      <c r="B9" s="13" t="n">
        <v>0.7</v>
      </c>
      <c r="C9" s="20" t="n">
        <v>0.2</v>
      </c>
      <c r="D9" s="20" t="n">
        <v>0.9</v>
      </c>
      <c r="E9" s="26" t="n">
        <v>34</v>
      </c>
      <c r="F9" s="27" t="n">
        <v>36</v>
      </c>
      <c r="G9" s="28" t="n">
        <v>2</v>
      </c>
    </row>
    <row r="10">
      <c r="A10" s="17" t="inlineStr">
        <is>
          <t>Roots — high illustrative variation</t>
        </is>
      </c>
      <c r="B10" s="13" t="n">
        <v>1</v>
      </c>
      <c r="C10" s="20" t="n">
        <v>0.2</v>
      </c>
      <c r="D10" s="20" t="n">
        <v>0.9</v>
      </c>
      <c r="E10" s="26" t="n">
        <v>68</v>
      </c>
      <c r="F10" s="27" t="n">
        <v>70</v>
      </c>
      <c r="G10" s="28" t="n">
        <v>2</v>
      </c>
    </row>
    <row r="11">
      <c r="A11" s="17" t="inlineStr">
        <is>
          <t>Roots at a ±30% target</t>
        </is>
      </c>
      <c r="B11" s="13" t="n">
        <v>0.7</v>
      </c>
      <c r="C11" s="20" t="n">
        <v>0.3</v>
      </c>
      <c r="D11" s="20" t="n">
        <v>0.9</v>
      </c>
      <c r="E11" s="26" t="n">
        <v>15</v>
      </c>
      <c r="F11" s="27" t="n">
        <v>17</v>
      </c>
      <c r="G11" s="28" t="n">
        <v>2</v>
      </c>
    </row>
    <row r="12">
      <c r="A12" s="17" t="inlineStr">
        <is>
          <t>Roots at a ±40% target</t>
        </is>
      </c>
      <c r="B12" s="13" t="n">
        <v>0.7</v>
      </c>
      <c r="C12" s="20" t="n">
        <v>0.4</v>
      </c>
      <c r="D12" s="20" t="n">
        <v>0.9</v>
      </c>
      <c r="E12" s="26" t="n">
        <v>9</v>
      </c>
      <c r="F12" s="27" t="n">
        <v>11</v>
      </c>
      <c r="G12" s="28" t="n">
        <v>2</v>
      </c>
    </row>
    <row r="13">
      <c r="A13" s="17" t="inlineStr">
        <is>
          <t>Soil at 95% confidence</t>
        </is>
      </c>
      <c r="B13" s="13" t="n">
        <v>0.3</v>
      </c>
      <c r="C13" s="20" t="n">
        <v>0.2</v>
      </c>
      <c r="D13" s="20" t="n">
        <v>0.95</v>
      </c>
      <c r="E13" s="26" t="n">
        <v>9</v>
      </c>
      <c r="F13" s="27" t="n">
        <v>12</v>
      </c>
      <c r="G13" s="28" t="n">
        <v>3</v>
      </c>
    </row>
    <row r="15" ht="30" customHeight="1">
      <c r="A15" s="2" t="inlineStr">
        <is>
          <t>Values computed by build_grass_alloc.py with the same iteration the '3. Result' tab unrolls in Excel. Re-run that script after changing the method, and copy these figures into Part 2 rather than editing either by hand.</t>
        </is>
      </c>
    </row>
  </sheetData>
  <mergeCells count="3">
    <mergeCell ref="A2:G2"/>
    <mergeCell ref="A1:G1"/>
    <mergeCell ref="A15:G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2026-09-23T17:56:33Z</dcterms:created>
  <dcterms:modified xsi:type="dcterms:W3CDTF">2026-09-23T17:56:33Z</dcterms:modified>
</cp:coreProperties>
</file>