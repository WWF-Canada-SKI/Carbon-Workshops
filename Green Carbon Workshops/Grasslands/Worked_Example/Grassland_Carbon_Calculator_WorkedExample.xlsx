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 Instructions" sheetId="1" state="visible" r:id="rId3"/>
    <sheet name="1. Plot &amp; Site Log" sheetId="2" state="visible" r:id="rId4"/>
    <sheet name="2. Soil Data" sheetId="3" state="visible" r:id="rId5"/>
    <sheet name="3. Root Biomass" sheetId="4" state="visible" r:id="rId6"/>
    <sheet name="4. Vegetation Data" sheetId="5" state="visible" r:id="rId7"/>
    <sheet name="5. Plot Summary" sheetId="6" state="visible" r:id="rId8"/>
    <sheet name="6. Site Summary" sheetId="7" state="visible" r:id="rId9"/>
    <sheet name="7. Settings" sheetId="8" state="visible" r:id="rId10"/>
    <sheet name="8. Fill Me In" sheetId="9" state="visible" r:id="rId11"/>
    <sheet name="R1. Reference" sheetId="10" state="visible" r:id="rId12"/>
  </sheets>
  <definedNames>
    <definedName function="false" hidden="false" name="ASH_CORRECTED" vbProcedure="false">'7. Settings'!$B$12</definedName>
    <definedName function="false" hidden="false" name="CARBON_FRACTION_BIOMASS" vbProcedure="false">'7. Settings'!$B$5</definedName>
    <definedName function="false" hidden="false" name="CARBON_FRACTION_ROOT" vbProcedure="false">'7. Settings'!$B$6</definedName>
    <definedName function="false" hidden="false" name="CO2E_FACTOR" vbProcedure="false">'7. Settings'!$B$7</definedName>
    <definedName function="false" hidden="false" name="COMPARABLE_SEASON_RULE" vbProcedure="false">'7. Settings'!$B$14</definedName>
    <definedName function="false" hidden="false" name="LAB_BULK_DENSITY_BASIS" vbProcedure="false">'7. Settings'!$B$15</definedName>
    <definedName function="false" hidden="false" name="LAB_METHOD_REFERENCE" vbProcedure="false">'7. Settings'!$B$16</definedName>
    <definedName function="false" hidden="false" name="LARGE_PLOT_AREA_M2" vbProcedure="false">'7. Settings'!$B$19</definedName>
    <definedName function="false" hidden="false" name="MEDIUM_PLOT_AREA_M2" vbProcedure="false">'7. Settings'!$B$18</definedName>
    <definedName function="false" hidden="false" name="QC_BD_MAX" vbProcedure="false">'7. Settings'!$B$24</definedName>
    <definedName function="false" hidden="false" name="QC_BD_MIN" vbProcedure="false">'7. Settings'!$B$23</definedName>
    <definedName function="false" hidden="false" name="QC_CARBON_PCT_MAX" vbProcedure="false">'7. Settings'!$B$25</definedName>
    <definedName function="false" hidden="false" name="QC_RECOVERY_MIN" vbProcedure="false">'7. Settings'!$B$26</definedName>
    <definedName function="false" hidden="false" name="ROOT_DRY_TEMP_C" vbProcedure="false">'7. Settings'!$B$13</definedName>
    <definedName function="false" hidden="false" name="ROOT_SIEVE_MM" vbProcedure="false">'7. Settings'!$B$11</definedName>
    <definedName function="false" hidden="false" name="ROOT_SOIL_BOUNDARY_SOURCE" vbProcedure="false">'7. Settings'!$B$10</definedName>
    <definedName function="false" hidden="false" name="ROOT_SOIL_REPORTING_BOUNDARY" vbProcedure="false">'7. Settings'!$B$9</definedName>
    <definedName function="false" hidden="false" name="SMALL_PLOT_AREA_M2" vbProcedure="false">'7. Settings'!$B$17</definedName>
    <definedName function="false" hidden="false" name="SOIL_REPORTING_DEPTH_CM" vbProcedure="false">'7. Settings'!$B$8</definedName>
    <definedName function="false" hidden="false" name="TARGET_CONFIDENCE" vbProcedure="false">'7. Settings'!$B$22</definedName>
    <definedName function="false" hidden="false" name="TARGET_MARGIN_ROOT" vbProcedure="false">'7. Settings'!$B$21</definedName>
    <definedName function="false" hidden="false" name="TARGET_MARGIN_SOIL" vbProcedure="false">'7. Settings'!$B$20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<sst xmlns="http://schemas.openxmlformats.org/spreadsheetml/2006/main" count="923" uniqueCount="377">
  <si>
    <t xml:space="preserve">GRASSLAND CARBON CALCULATOR</t>
  </si>
  <si>
    <t xml:space="preserve">WWF-Canada Carbon Measurement · Grassland Carbon Workshop</t>
  </si>
  <si>
    <t xml:space="preserve">What this workbook does</t>
  </si>
  <si>
    <t xml:space="preserve">Turns soil cores, separated roots and clipped vegetation into a carbon stock in kg C/m², scales plots to sites and to your study area, and checks the precision you achieved against the target you set in Part 2.</t>
  </si>
  <si>
    <t xml:space="preserve">COLOUR KEY</t>
  </si>
  <si>
    <t xml:space="preserve">Yellow</t>
  </si>
  <si>
    <t xml:space="preserve">TYPE HERE — field measurements you record.</t>
  </si>
  <si>
    <t xml:space="preserve">Blue</t>
  </si>
  <si>
    <t xml:space="preserve">TYPE HERE — lab results, once they come back.</t>
  </si>
  <si>
    <t xml:space="preserve">Orange</t>
  </si>
  <si>
    <t xml:space="preserve">NEEDS YOUR INPUT — a value this workshop cannot supply. Every one has a working default and a flag that stays lit until you replace it. They are all listed on '8. Fill Me In'.</t>
  </si>
  <si>
    <t xml:space="preserve">Grey</t>
  </si>
  <si>
    <t xml:space="preserve">Calculated for you. Do not type in grey cells.</t>
  </si>
  <si>
    <t xml:space="preserve">Green</t>
  </si>
  <si>
    <t xml:space="preserve">Summary — calculated.</t>
  </si>
  <si>
    <t xml:space="preserve">Red</t>
  </si>
  <si>
    <t xml:space="preserve">A QC flag. Read it; it is an instruction, not a decoration.</t>
  </si>
  <si>
    <t xml:space="preserve">FILL THE TABS IN THIS ORDER — each one joins to the ones above it</t>
  </si>
  <si>
    <t xml:space="preserve">1. Plot &amp; Site Log</t>
  </si>
  <si>
    <t xml:space="preserve">One row per plot. Everything keys to Plot ID, so fill this first.</t>
  </si>
  <si>
    <t xml:space="preserve">2. Soil Data</t>
  </si>
  <si>
    <t xml:space="preserve">One row per depth increment per core. Joins on Plot ID and Core ID.</t>
  </si>
  <si>
    <t xml:space="preserve">3. Root Biomass</t>
  </si>
  <si>
    <t xml:space="preserve">One row per increment per diameter class per live/dead state.</t>
  </si>
  <si>
    <t xml:space="preserve">4. Vegetation Data</t>
  </si>
  <si>
    <t xml:space="preserve">One row per plot. Clip-and-weigh, shrubs, and tree carbon carried across from the Forests calculator.</t>
  </si>
  <si>
    <t xml:space="preserve">5. Plot Summary</t>
  </si>
  <si>
    <t xml:space="preserve">Calculated. One row per plot.</t>
  </si>
  <si>
    <t xml:space="preserve">6. Site Summary</t>
  </si>
  <si>
    <t xml:space="preserve">Calculated, except Site ID and site area. Soil and roots are checked against SEPARATE precision targets.</t>
  </si>
  <si>
    <t xml:space="preserve">7. Settings</t>
  </si>
  <si>
    <t xml:space="preserve">Everything the workbook assumes. Orange rows need you.</t>
  </si>
  <si>
    <t xml:space="preserve">8. Fill Me In</t>
  </si>
  <si>
    <t xml:space="preserve">Every orange cell in one list, with what happens if you leave it.</t>
  </si>
  <si>
    <t xml:space="preserve">R1. Reference</t>
  </si>
  <si>
    <t xml:space="preserve">Lookup tables — carbon fractions, grassland types, the bulk-density basis question.</t>
  </si>
  <si>
    <t xml:space="preserve">THREE THINGS THIS WORKBOOK WILL NOT LET YOU SKIP</t>
  </si>
  <si>
    <t xml:space="preserve">Roots and soil carbon can be double counted</t>
  </si>
  <si>
    <t xml:space="preserve">Soil carbon analysis conventionally removes visible roots, but fine roots stay in the sample. If root carbon is then added to a soil stock that already contains it, the same carbon is counted twice. ROOT_SOIL_REPORTING_BOUNDARY records which roots the soil sample no longer contains; until it is agreed with the lab, the Plot Summary refuses to add the two pools.</t>
  </si>
  <si>
    <t xml:space="preserve">30 cm is a floor, not a total</t>
  </si>
  <si>
    <t xml:space="preserve">Native grassland roots reach metres. A root total whose deepest increment is simply the bottom of the core is a MINIMUM, and the Plot Summary flags it as one.</t>
  </si>
  <si>
    <t xml:space="preserve">A standing crop is not a stock</t>
  </si>
  <si>
    <t xml:space="preserve">Clipped vegetation grows from nothing each spring and is gone by autumn. It is reported in its own column and never merged into the soil figure.</t>
  </si>
  <si>
    <t xml:space="preserve">PLOT &amp; SITE LOG</t>
  </si>
  <si>
    <t xml:space="preserve">ONE ROW PER PLOT. Fill this in first — everything joins to it on Plot ID. Management, grazing and fire are not optional context: they are the stratification variables, and they are what lets you post-stratify if your interval comes out wide.</t>
  </si>
  <si>
    <t xml:space="preserve">Plot ID</t>
  </si>
  <si>
    <t xml:space="preserve">Site ID</t>
  </si>
  <si>
    <t xml:space="preserve">Study area</t>
  </si>
  <si>
    <t xml:space="preserve">Date</t>
  </si>
  <si>
    <t xml:space="preserve">Location</t>
  </si>
  <si>
    <t xml:space="preserve">Latitude</t>
  </si>
  <si>
    <t xml:space="preserve">Longitude</t>
  </si>
  <si>
    <t xml:space="preserve">GNSS accuracy (m)</t>
  </si>
  <si>
    <t xml:space="preserve">Datum</t>
  </si>
  <si>
    <t xml:space="preserve">Elevation (m)</t>
  </si>
  <si>
    <t xml:space="preserve">Grassland type</t>
  </si>
  <si>
    <t xml:space="preserve">Management</t>
  </si>
  <si>
    <t xml:space="preserve">Grazing regime</t>
  </si>
  <si>
    <t xml:space="preserve">Years since fire</t>
  </si>
  <si>
    <t xml:space="preserve">Cultivation history</t>
  </si>
  <si>
    <t xml:space="preserve">Restoration year</t>
  </si>
  <si>
    <t xml:space="preserve">Native or seeded</t>
  </si>
  <si>
    <t xml:space="preserve">Canopy cover (%)</t>
  </si>
  <si>
    <t xml:space="preserve">Slope position</t>
  </si>
  <si>
    <t xml:space="preserve">Notes</t>
  </si>
  <si>
    <t xml:space="preserve">GP-01</t>
  </si>
  <si>
    <t xml:space="preserve">S1</t>
  </si>
  <si>
    <t xml:space="preserve">RC</t>
  </si>
  <si>
    <t xml:space="preserve">2026-08-05</t>
  </si>
  <si>
    <t xml:space="preserve">Prairie unit</t>
  </si>
  <si>
    <t xml:space="preserve">WGS84</t>
  </si>
  <si>
    <t xml:space="preserve">Prairie</t>
  </si>
  <si>
    <t xml:space="preserve">Never cultivated</t>
  </si>
  <si>
    <t xml:space="preserve">Season-long</t>
  </si>
  <si>
    <t xml:space="preserve">Native sward</t>
  </si>
  <si>
    <t xml:space="preserve">Mid slope</t>
  </si>
  <si>
    <t xml:space="preserve">GP-02</t>
  </si>
  <si>
    <t xml:space="preserve">GP-03</t>
  </si>
  <si>
    <t xml:space="preserve">UP-01</t>
  </si>
  <si>
    <t xml:space="preserve">S2</t>
  </si>
  <si>
    <t xml:space="preserve">None</t>
  </si>
  <si>
    <t xml:space="preserve">UP-02</t>
  </si>
  <si>
    <t xml:space="preserve">UP-03</t>
  </si>
  <si>
    <t xml:space="preserve">BOS-01</t>
  </si>
  <si>
    <t xml:space="preserve">S3</t>
  </si>
  <si>
    <t xml:space="preserve">Black Oak savannah unit</t>
  </si>
  <si>
    <t xml:space="preserve">Black Oak savannah</t>
  </si>
  <si>
    <t xml:space="preserve">BOS-02</t>
  </si>
  <si>
    <t xml:space="preserve">BOS-03</t>
  </si>
  <si>
    <t xml:space="preserve">SOIL DATA</t>
  </si>
  <si>
    <t xml:space="preserve">ONE ROW PER DEPTH INCREMENT PER CORE. Record the ACTUAL top and bottom depths, not the ones you planned — a truncated increment scaled as a full one is a silent error. Bulk density and carbon come back from the lab.</t>
  </si>
  <si>
    <t xml:space="preserve">Core ID</t>
  </si>
  <si>
    <t xml:space="preserve">Increment #</t>
  </si>
  <si>
    <t xml:space="preserve">Top depth (cm)</t>
  </si>
  <si>
    <t xml:space="preserve">Bottom depth (cm)</t>
  </si>
  <si>
    <t xml:space="preserve">Thickness (cm)</t>
  </si>
  <si>
    <t xml:space="preserve">Corer internal diameter (cm)</t>
  </si>
  <si>
    <t xml:space="preserve">Depth driven (cm)</t>
  </si>
  <si>
    <t xml:space="preserve">Length recovered (cm)</t>
  </si>
  <si>
    <t xml:space="preserve">Recovery ratio</t>
  </si>
  <si>
    <t xml:space="preserve">Coarse fragments (% vol)</t>
  </si>
  <si>
    <t xml:space="preserve">Bulk density basis</t>
  </si>
  <si>
    <t xml:space="preserve">Bulk density (g/cm³)</t>
  </si>
  <si>
    <t xml:space="preserve">Organic carbon (%)</t>
  </si>
  <si>
    <t xml:space="preserve">BD used (g/cm³)</t>
  </si>
  <si>
    <t xml:space="preserve">Stock, increment (kg C/m²)</t>
  </si>
  <si>
    <t xml:space="preserve">Thickness within reporting depth (cm)</t>
  </si>
  <si>
    <t xml:space="preserve">Stock to reporting depth (kg C/m²)</t>
  </si>
  <si>
    <t xml:space="preserve">QC flags</t>
  </si>
  <si>
    <t xml:space="preserve">_first_of_core</t>
  </si>
  <si>
    <t xml:space="preserve">GP-01-C1</t>
  </si>
  <si>
    <t xml:space="preserve">Fine earth / total volume</t>
  </si>
  <si>
    <t xml:space="preserve">GP-02-C1</t>
  </si>
  <si>
    <t xml:space="preserve">Not confirmed</t>
  </si>
  <si>
    <t xml:space="preserve">GP-03-C1</t>
  </si>
  <si>
    <t xml:space="preserve">UP-01-C1</t>
  </si>
  <si>
    <t xml:space="preserve">UP-02-C1</t>
  </si>
  <si>
    <t xml:space="preserve">UP-03-C1</t>
  </si>
  <si>
    <t xml:space="preserve">BOS-01-C1</t>
  </si>
  <si>
    <t xml:space="preserve">BOS-02-C1</t>
  </si>
  <si>
    <t xml:space="preserve">BOS-03-C1</t>
  </si>
  <si>
    <t xml:space="preserve">Refusal on bedrock at 22 cm.</t>
  </si>
  <si>
    <t xml:space="preserve">ROOT BIOMASS</t>
  </si>
  <si>
    <t xml:space="preserve">ONE ROW PER INCREMENT PER DIAMETER CLASS PER LIVE/DEAD STATE. This is MEASURED root mass, not a root:shoot ratio. Mass is oven-dry at 60–70 °C — not the 105 °C used for soil bulk density. Ash fraction corrects for mineral soil still clinging to the roots after washing; without it root mass is systematically too high.</t>
  </si>
  <si>
    <t xml:space="preserve">Diameter class</t>
  </si>
  <si>
    <t xml:space="preserve">Live or dead</t>
  </si>
  <si>
    <t xml:space="preserve">Oven-dry mass (g)</t>
  </si>
  <si>
    <t xml:space="preserve">Ash fraction (0–1)</t>
  </si>
  <si>
    <t xml:space="preserve">Sieve mesh (mm)</t>
  </si>
  <si>
    <t xml:space="preserve">Corrected mass (g)</t>
  </si>
  <si>
    <t xml:space="preserve">Core area (cm²)</t>
  </si>
  <si>
    <t xml:space="preserve">Root mass (g/m²)</t>
  </si>
  <si>
    <t xml:space="preserve">Root carbon (kg C/m²)</t>
  </si>
  <si>
    <t xml:space="preserve">&lt;=2 mm (fine)</t>
  </si>
  <si>
    <t xml:space="preserve">Live</t>
  </si>
  <si>
    <t xml:space="preserve">&gt;2 mm (coarse)</t>
  </si>
  <si>
    <t xml:space="preserve">VEGETATION DATA</t>
  </si>
  <si>
    <t xml:space="preserve">ONE ROW PER PLOT. This is a STANDING CROP, not a stock — it grows from nothing each spring and is gone by autumn, so it is reported in its own column and never merged into the soil figure. Record the stage you found it at, not the stage you wanted.</t>
  </si>
  <si>
    <t xml:space="preserve">Sampling date</t>
  </si>
  <si>
    <t xml:space="preserve">Phenological stage</t>
  </si>
  <si>
    <t xml:space="preserve">Recent grazing / removal</t>
  </si>
  <si>
    <t xml:space="preserve">Comparable-season criterion met?</t>
  </si>
  <si>
    <t xml:space="preserve">Small plot area (m²)</t>
  </si>
  <si>
    <t xml:space="preserve">Clip dry mass — LIVE (g)</t>
  </si>
  <si>
    <t xml:space="preserve">Clip dry mass — DEAD (g)</t>
  </si>
  <si>
    <t xml:space="preserve">Herbaceous carbon (kg C/m²)</t>
  </si>
  <si>
    <t xml:space="preserve">Medium plot area (m²)</t>
  </si>
  <si>
    <t xml:space="preserve">Shrub biomass, total (kg)</t>
  </si>
  <si>
    <t xml:space="preserve">Shrub carbon (kg C/m²)</t>
  </si>
  <si>
    <t xml:space="preserve">Tree carbon (kg C/m²) — from Forests calculator</t>
  </si>
  <si>
    <t xml:space="preserve">TOTAL vegetation (kg C/m²)</t>
  </si>
  <si>
    <t xml:space="preserve">Peak standing biomass</t>
  </si>
  <si>
    <t xml:space="preserve">None observed</t>
  </si>
  <si>
    <t xml:space="preserve">Yes</t>
  </si>
  <si>
    <t xml:space="preserve">PLOT SUMMARY</t>
  </si>
  <si>
    <t xml:space="preserve">One row per plot, calculated for you. Soil carbon is reported on two bases — to the reporting depth, and to the full depth you actually cored. Root carbon is measured, not derived from a ratio.</t>
  </si>
  <si>
    <t xml:space="preserve">Increments</t>
  </si>
  <si>
    <t xml:space="preserve">Soil C to reporting depth (kg C/m²)</t>
  </si>
  <si>
    <t xml:space="preserve">Soil C, full profile (kg C/m²)</t>
  </si>
  <si>
    <t xml:space="preserve">Deepest increment (cm)</t>
  </si>
  <si>
    <t xml:space="preserve">Root C (kg C/m²)</t>
  </si>
  <si>
    <t xml:space="preserve">Vegetation C (kg C/m²)</t>
  </si>
  <si>
    <t xml:space="preserve">TOTAL to reporting depth (kg C/m²)</t>
  </si>
  <si>
    <t xml:space="preserve">TOTAL, full profile (kg C/m²)</t>
  </si>
  <si>
    <t xml:space="preserve">_soil</t>
  </si>
  <si>
    <t xml:space="preserve">_root</t>
  </si>
  <si>
    <t xml:space="preserve">_inc</t>
  </si>
  <si>
    <t xml:space="preserve">_cores</t>
  </si>
  <si>
    <t xml:space="preserve">_rootcores</t>
  </si>
  <si>
    <t xml:space="preserve">_soil2</t>
  </si>
  <si>
    <t xml:space="preserve">_root2</t>
  </si>
  <si>
    <t xml:space="preserve">_sr</t>
  </si>
  <si>
    <t xml:space="preserve">_sr2</t>
  </si>
  <si>
    <t xml:space="preserve">SITE SUMMARY</t>
  </si>
  <si>
    <t xml:space="preserve">Type a Site ID and its area; everything else calculates. Soil is summarised on the REPORTING-DEPTH basis, so cores of different depths stay comparable. SOIL and ROOTS are checked against SEPARATE targets, because roots are far more variable and holding both to the same precision would need four to five times the cores. See Part 2, Appendix A10.</t>
  </si>
  <si>
    <t xml:space="preserve">Site area (m²)</t>
  </si>
  <si>
    <t xml:space="preserve">Plots</t>
  </si>
  <si>
    <t xml:space="preserve">SOIL mean to reporting depth (kg C/m²)</t>
  </si>
  <si>
    <t xml:space="preserve">SOIL SD</t>
  </si>
  <si>
    <t xml:space="preserve">SOIL ± half-width</t>
  </si>
  <si>
    <t xml:space="preserve">SOIL achieved</t>
  </si>
  <si>
    <t xml:space="preserve">SOIL target</t>
  </si>
  <si>
    <t xml:space="preserve">SOIL precision</t>
  </si>
  <si>
    <t xml:space="preserve">ROOT mean (kg C/m²)</t>
  </si>
  <si>
    <t xml:space="preserve">ROOT SD</t>
  </si>
  <si>
    <t xml:space="preserve">ROOT ± half-width</t>
  </si>
  <si>
    <t xml:space="preserve">ROOT achieved</t>
  </si>
  <si>
    <t xml:space="preserve">ROOT target</t>
  </si>
  <si>
    <t xml:space="preserve">ROOT precision</t>
  </si>
  <si>
    <t xml:space="preserve">Total carbon (kg C)</t>
  </si>
  <si>
    <t xml:space="preserve">Total (t CO₂e)</t>
  </si>
  <si>
    <t xml:space="preserve">_srmean</t>
  </si>
  <si>
    <t xml:space="preserve">_srsd</t>
  </si>
  <si>
    <t xml:space="preserve">_varpart</t>
  </si>
  <si>
    <t xml:space="preserve">_dfpart</t>
  </si>
  <si>
    <t xml:space="preserve">  STUDY AREA — all sites combined, weighted by area</t>
  </si>
  <si>
    <t xml:space="preserve">Total area (m²)</t>
  </si>
  <si>
    <t xml:space="preserve">Area-weighted mean (kg C/m²)</t>
  </si>
  <si>
    <t xml:space="preserve">  STUDY-AREA INTERVAL — the sites combined as strata</t>
  </si>
  <si>
    <t xml:space="preserve">Standard error (kg C/m²)</t>
  </si>
  <si>
    <t xml:space="preserve">Degrees of freedom</t>
  </si>
  <si>
    <t xml:space="preserve">± half-width (kg C/m²)</t>
  </si>
  <si>
    <t xml:space="preserve">Achieved margin</t>
  </si>
  <si>
    <t xml:space="preserve">Study-area precision</t>
  </si>
  <si>
    <t xml:space="preserve">Total carbon, ± (kg C)</t>
  </si>
  <si>
    <t xml:space="preserve">Basis: soil to the REPORTING DEPTH, plus measured root carbon. The site mean uses the reporting-depth figure because cores reach different depths, and averaging full-profile stocks would describe no defined depth — a plot cored shallower would look like real variability rather than a shorter core. Full-profile figures are on the Plot Summary. Vegetation is reported separately on the Plot Summary and is deliberately NOT rolled into this total — it is a standing crop, not a stock. The study-area mean weights each site by its AREA, not by how many plots landed in it, and the interval above propagates the per-site spreads through that same weighting: Var = sum of W_h² · s_h² / n_h, on sum(n_h − 1) degrees of freedom. Note that individual sites can miss their own targets while the study-area figure meets its, because combining strata pools the information — that is what stratifying buys.</t>
  </si>
  <si>
    <t xml:space="preserve">SETTINGS</t>
  </si>
  <si>
    <t xml:space="preserve">Everything the calculator assumes lives here. Change it once and every sheet follows. Orange rows are values only you can supply.</t>
  </si>
  <si>
    <t xml:space="preserve">Parameter</t>
  </si>
  <si>
    <t xml:space="preserve">Value</t>
  </si>
  <si>
    <t xml:space="preserve">What it does</t>
  </si>
  <si>
    <t xml:space="preserve">CARBON_FRACTION_BIOMASS</t>
  </si>
  <si>
    <t xml:space="preserve">Fraction of dry ABOVE-GROUND plant biomass that is carbon. 0.5 is the convention used across this series.</t>
  </si>
  <si>
    <t xml:space="preserve">CARBON_FRACTION_ROOT</t>
  </si>
  <si>
    <t xml:space="preserve">Fraction of dry ROOT biomass that is carbon. Set equal to the shoot value by default; published root values often run a little lower. See 'R1. Reference'.</t>
  </si>
  <si>
    <t xml:space="preserve">CO2E_FACTOR</t>
  </si>
  <si>
    <t xml:space="preserve">Multiply kg C by this to report CO₂ equivalents.</t>
  </si>
  <si>
    <t xml:space="preserve">SOIL_REPORTING_DEPTH_CM</t>
  </si>
  <si>
    <t xml:space="preserve">The fixed depth every core is reported to, ALONGSIDE the full profile. 30 cm is the IPCC default and what makes your number comparable. It is a floor, not the total.</t>
  </si>
  <si>
    <t xml:space="preserve">ROOT_SOIL_REPORTING_BOUNDARY</t>
  </si>
  <si>
    <t xml:space="preserve">Root-separated soil</t>
  </si>
  <si>
    <t xml:space="preserve">WHICH roots the soil-carbon sample no longer contains, agreed with the lab in writing before sampling. 'Root-separated soil' = roots removed by the project's defined procedure, so soil and root pools may be added. 'Operational soil fraction' = the lab removed only what its standard preparation picks out, so finer roots are already inside the soil number and an overlapping root estimate must NOT be added to it.</t>
  </si>
  <si>
    <t xml:space="preserve">ROOT_SOIL_BOUNDARY_SOURCE</t>
  </si>
  <si>
    <t xml:space="preserve">Example lab agreement, method GC-SOC-02, 2026-05-14</t>
  </si>
  <si>
    <t xml:space="preserve">Who agreed the boundary above, under which written method, and on what date. A boundary with no source is an assumption, not a method.</t>
  </si>
  <si>
    <t xml:space="preserve">ROOT_SIEVE_MM</t>
  </si>
  <si>
    <t xml:space="preserve">Finest sieve mesh used to recover roots, mm. Roots finer than this are lost, so the fine-root figure is a known underestimate and cannot be interpreted without this number.</t>
  </si>
  <si>
    <t xml:space="preserve">ASH_CORRECTED</t>
  </si>
  <si>
    <t xml:space="preserve">Was root mass corrected for adhering mineral soil by ashing a subsample? Uncorrected root mass is systematically too high.</t>
  </si>
  <si>
    <t xml:space="preserve">ROOT_DRY_TEMP_C</t>
  </si>
  <si>
    <t xml:space="preserve">Temperature roots were dried at. Roots dry at 60–70 °C; soil bulk density at 105 °C.</t>
  </si>
  <si>
    <t xml:space="preserve">COMPARABLE_SEASON_RULE</t>
  </si>
  <si>
    <t xml:space="preserve">Clipped within 14 days of peak standing biomass, judged from phenology on site; plots grazed or hayed in the preceding 30 days are excluded from pooled means.</t>
  </si>
  <si>
    <t xml:space="preserve">The project's OWN rule for when two clip-and-weigh samples count as comparable, written out — the phenological stage, the window around it, and what disqualifies a plot. Each plot then records whether it met the rule, on '4. Vegetation Data'. A blank here means no plot can honestly answer that question.</t>
  </si>
  <si>
    <t xml:space="preserve">LAB_BULK_DENSITY_BASIS</t>
  </si>
  <si>
    <t xml:space="preserve">The volume the LAB divides dry mass by when it reports bulk density. 'total volume' = the whole cored volume, coarse fragments included, so no further coarse-fragment correction belongs in this workbook. 'fine-earth volume' = stones already excluded, so the workbook applies the correction. Getting this wrong corrects once too often or not at all, and Soil Data flags every row that disagrees with it.</t>
  </si>
  <si>
    <t xml:space="preserve">LAB_METHOD_REFERENCE</t>
  </si>
  <si>
    <t xml:space="preserve">Example lab, methods GC-SOC-02 / GC-BD-01, confirmed 2026-05-14</t>
  </si>
  <si>
    <t xml:space="preserve">Laboratory, method code or SOP number, and the date the bulk-density basis and the root/soil boundary above were confirmed. This is the record the two settings point to.</t>
  </si>
  <si>
    <t xml:space="preserve">SMALL_PLOT_AREA_M2</t>
  </si>
  <si>
    <t xml:space="preserve">Default clip-and-weigh quadrat area. 0.25 m², or a circle of radius 0.28 m.</t>
  </si>
  <si>
    <t xml:space="preserve">MEDIUM_PLOT_AREA_M2</t>
  </si>
  <si>
    <t xml:space="preserve">Default medium (shrub) plot area. 16–100 m².</t>
  </si>
  <si>
    <t xml:space="preserve">LARGE_PLOT_AREA_M2</t>
  </si>
  <si>
    <t xml:space="preserve">Default large (tree) plot area.</t>
  </si>
  <si>
    <t xml:space="preserve">TARGET_MARGIN_SOIL</t>
  </si>
  <si>
    <t xml:space="preserve">Precision target for SOIL carbon, as a fraction of the mean.</t>
  </si>
  <si>
    <t xml:space="preserve">TARGET_MARGIN_ROOT</t>
  </si>
  <si>
    <t xml:space="preserve">Precision target for ROOT biomass. Deliberately looser than soil — roots are far more variable, so the same target would need four to five times the cores. See Part 2, A10.</t>
  </si>
  <si>
    <t xml:space="preserve">TARGET_CONFIDENCE</t>
  </si>
  <si>
    <t xml:space="preserve">Confidence level for the targets and all reported intervals.</t>
  </si>
  <si>
    <t xml:space="preserve">QC_BD_MIN</t>
  </si>
  <si>
    <t xml:space="preserve">Minimum plausible bulk density for a mineral grassland soil, g/cm³.</t>
  </si>
  <si>
    <t xml:space="preserve">QC_BD_MAX</t>
  </si>
  <si>
    <t xml:space="preserve">Maximum plausible bulk density, g/cm³. Above this suggests a compacted or mis-measured sample.</t>
  </si>
  <si>
    <t xml:space="preserve">QC_CARBON_PCT_MAX</t>
  </si>
  <si>
    <t xml:space="preserve">Flag soil organic carbon above this per cent. Grassland topsoil usually runs 2–8%; much higher suggests an organic horizon or a units error.</t>
  </si>
  <si>
    <t xml:space="preserve">QC_RECOVERY_MIN</t>
  </si>
  <si>
    <t xml:space="preserve">Minimum acceptable ratio of core length recovered to depth driven.</t>
  </si>
  <si>
    <t xml:space="preserve">FILL ME IN</t>
  </si>
  <si>
    <t xml:space="preserve">Every value in this workbook that only you can supply, in one list. Each has a working default, so the workbook computes from the moment you open it — but the defaults are assumptions, and each one stays flagged until you replace it.</t>
  </si>
  <si>
    <t xml:space="preserve">What</t>
  </si>
  <si>
    <t xml:space="preserve">Where it lives</t>
  </si>
  <si>
    <t xml:space="preserve">What it is</t>
  </si>
  <si>
    <t xml:space="preserve">Default</t>
  </si>
  <si>
    <t xml:space="preserve">What happens if you leave it</t>
  </si>
  <si>
    <t xml:space="preserve">Fraction of dry above-ground plant biomass that is carbon.</t>
  </si>
  <si>
    <t xml:space="preserve">0.5</t>
  </si>
  <si>
    <t xml:space="preserve">A generic default. Fine for most purposes; calibrate if you have CHN on plant tissue.</t>
  </si>
  <si>
    <t xml:space="preserve">Fraction of dry root biomass that is carbon.</t>
  </si>
  <si>
    <t xml:space="preserve">Set equal to the shoot value by default. Published root values often run a little lower.</t>
  </si>
  <si>
    <t xml:space="preserve">Which roots the soil-carbon sample no longer contains, agreed with the lab.</t>
  </si>
  <si>
    <t xml:space="preserve">Not agreed with the lab</t>
  </si>
  <si>
    <t xml:space="preserve">Until it is agreed, soil and root pools cannot be added: the overlap between them is unknown, not zero.</t>
  </si>
  <si>
    <t xml:space="preserve">Who agreed that boundary, under which written method, and when.</t>
  </si>
  <si>
    <t xml:space="preserve">(blank)</t>
  </si>
  <si>
    <t xml:space="preserve">A boundary with no source is an assumption. Reviewers cannot check it and neither can you, later.</t>
  </si>
  <si>
    <t xml:space="preserve">Finest sieve mesh used to recover roots, in mm.</t>
  </si>
  <si>
    <t xml:space="preserve">Roots finer than the mesh are lost. Without this number the fine-root figure cannot be interpreted.</t>
  </si>
  <si>
    <t xml:space="preserve">Was root mass corrected for adhering mineral soil by ashing?</t>
  </si>
  <si>
    <t xml:space="preserve">No</t>
  </si>
  <si>
    <t xml:space="preserve">Uncorrected root mass is systematically TOO HIGH, badly so in clay soils.</t>
  </si>
  <si>
    <t xml:space="preserve">Temperature roots were dried at, in degrees C.</t>
  </si>
  <si>
    <t xml:space="preserve">65</t>
  </si>
  <si>
    <t xml:space="preserve">Roots dry at 60-70 C; soil bulk density at 105 C. Confusing the two biases root mass.</t>
  </si>
  <si>
    <t xml:space="preserve">The project's written rule for when two clip-and-weigh samples are comparable.</t>
  </si>
  <si>
    <t xml:space="preserve">Each plot is asked whether it met the rule. With no rule written down, that question has no answer.</t>
  </si>
  <si>
    <t xml:space="preserve">The volume the lab divides dry mass by when reporting bulk density.</t>
  </si>
  <si>
    <t xml:space="preserve">The coarse-fragment correction is applied once, twice or never. Every Soil Data row that disagrees is flagged.</t>
  </si>
  <si>
    <t xml:space="preserve">Laboratory, method or SOP number, and the date those two were confirmed.</t>
  </si>
  <si>
    <t xml:space="preserve">The two settings above point at this record. Without it they are unsourced claims.</t>
  </si>
  <si>
    <t xml:space="preserve">The fixed depth every core is reported to, alongside the full profile.</t>
  </si>
  <si>
    <t xml:space="preserve">30</t>
  </si>
  <si>
    <t xml:space="preserve">30 cm is the comparability depth. It is a FLOOR, not the total.</t>
  </si>
  <si>
    <t xml:space="preserve">Precision target for soil carbon, as a fraction of the mean.</t>
  </si>
  <si>
    <t xml:space="preserve">0.2</t>
  </si>
  <si>
    <t xml:space="preserve">Set in Part 2. The Site Summary checks achieved precision against it.</t>
  </si>
  <si>
    <t xml:space="preserve">Precision target for root biomass, as a fraction of the mean.</t>
  </si>
  <si>
    <t xml:space="preserve">0.4</t>
  </si>
  <si>
    <t xml:space="preserve">Deliberately looser than soil: roots are far more variable, so the same target would need 4-5x the cores.</t>
  </si>
  <si>
    <t xml:space="preserve">Regional SOC prior (mean)</t>
  </si>
  <si>
    <t xml:space="preserve">Expected soil carbon for your region, kg C/m2, used when planning.</t>
  </si>
  <si>
    <t xml:space="preserve">(none)</t>
  </si>
  <si>
    <t xml:space="preserve">Planning only -- does not affect any calculated result. Without it, Part 2's sample size is a guess.</t>
  </si>
  <si>
    <t xml:space="preserve">Regional SOC prior (CV)</t>
  </si>
  <si>
    <t xml:space="preserve">Expected coefficient of variation for soil carbon in your region.</t>
  </si>
  <si>
    <t xml:space="preserve">As above. A map-derived CV must be inflated before use -- see Part 2.</t>
  </si>
  <si>
    <t xml:space="preserve">Regional root CV prior</t>
  </si>
  <si>
    <t xml:space="preserve">Expected coefficient of variation for root biomass.</t>
  </si>
  <si>
    <t xml:space="preserve">Roots typically 0.5-1.0+. Drives the separate root sample size.</t>
  </si>
  <si>
    <t xml:space="preserve">Lab bulk-density basis</t>
  </si>
  <si>
    <t xml:space="preserve">Which basis your lab reports bulk density on. Column L, per row.</t>
  </si>
  <si>
    <t xml:space="preserve">Getting this wrong understates a stony site by up to a third -- or double-corrects it.</t>
  </si>
  <si>
    <t xml:space="preserve">PLANNING PRIORS — not used in any calculation, recorded so the design is auditable</t>
  </si>
  <si>
    <t xml:space="preserve">Regional SOC prior — mean (kg C/m²)</t>
  </si>
  <si>
    <t xml:space="preserve">Regional SOC prior — CV</t>
  </si>
  <si>
    <t xml:space="preserve">Source of the above</t>
  </si>
  <si>
    <t xml:space="preserve">Part 2 sizes the campaign from these. A CV read off a modelled map understates plot-scale variance and must be inflated — or replaced with a pilot estimate — before it sizes anything.</t>
  </si>
  <si>
    <t xml:space="preserve">REFERENCE TABLES</t>
  </si>
  <si>
    <t xml:space="preserve">Lookups and the published ranges behind the defaults.</t>
  </si>
  <si>
    <t xml:space="preserve">CARBON FRACTION OF DRY BIOMASS</t>
  </si>
  <si>
    <t xml:space="preserve">The workbook defaults to 0.5 for both shoots and roots. Root tissue is often reported a little lower than shoot tissue. Calibrate against CHN if you can.</t>
  </si>
  <si>
    <t xml:space="preserve">Factor</t>
  </si>
  <si>
    <t xml:space="preserve">Source</t>
  </si>
  <si>
    <t xml:space="preserve">Note</t>
  </si>
  <si>
    <t xml:space="preserve">0.50</t>
  </si>
  <si>
    <t xml:space="preserve">This workshop / WWF guides</t>
  </si>
  <si>
    <t xml:space="preserve">Dry plant biomass taken as 50% carbon. The default here.</t>
  </si>
  <si>
    <t xml:space="preserve">0.45-0.50</t>
  </si>
  <si>
    <t xml:space="preserve">Commonly reported for roots</t>
  </si>
  <si>
    <t xml:space="preserve">Root tissue carbon fraction is often reported a little BELOW shoot tissue.</t>
  </si>
  <si>
    <t xml:space="preserve">0.58</t>
  </si>
  <si>
    <t xml:space="preserve">van Bemmelen (historical)</t>
  </si>
  <si>
    <t xml:space="preserve">Long-standing general soil factor; considered too high for many soils.</t>
  </si>
  <si>
    <t xml:space="preserve">0.40-0.60</t>
  </si>
  <si>
    <t xml:space="preserve">Varies with material and decomposition</t>
  </si>
  <si>
    <t xml:space="preserve">Which is why a local calibration against CHN is worth doing.</t>
  </si>
  <si>
    <t xml:space="preserve">BULK DENSITY BASIS — and the double-correction trap</t>
  </si>
  <si>
    <t xml:space="preserve">Rocks hold no carbon. Labs report bulk density on one of two bases and they are NOT interchangeable. Correcting twice understates a stony site by as much as a third; not correcting at all overstates it by the same.</t>
  </si>
  <si>
    <t xml:space="preserve">Basis</t>
  </si>
  <si>
    <t xml:space="preserve">Meaning</t>
  </si>
  <si>
    <t xml:space="preserve">What the workbook does</t>
  </si>
  <si>
    <t xml:space="preserve">Mass of the &lt;2 mm fraction divided by the WHOLE sample volume.</t>
  </si>
  <si>
    <t xml:space="preserve">Uses it as-is. Coarse fragments are already accounted for.</t>
  </si>
  <si>
    <t xml:space="preserve">Fine earth / fine-earth volume</t>
  </si>
  <si>
    <t xml:space="preserve">Mass of the &lt;2 mm fraction divided by only the volume that fraction occupies.</t>
  </si>
  <si>
    <t xml:space="preserve">Multiplies by (1 − coarse fragment %) to convert to a total-volume basis.</t>
  </si>
  <si>
    <t xml:space="preserve">You have not asked the lab yet.</t>
  </si>
  <si>
    <t xml:space="preserve">Uses the value as-is AND raises a flag. Ask the lab.</t>
  </si>
  <si>
    <t xml:space="preserve">ROOT DIAMETER CLASSES</t>
  </si>
  <si>
    <t xml:space="preserve">The ≤2 mm cutoff for 'fine' roots is near-universal and functionally arbitrary — it lumps absorptive roots that live weeks with transport roots that live years. The workshop keeps it because a field crew can apply it consistently with a sieve, not because it is a biological boundary.</t>
  </si>
  <si>
    <t xml:space="preserve">Class</t>
  </si>
  <si>
    <t xml:space="preserve">Turnover</t>
  </si>
  <si>
    <t xml:space="preserve">Where the carbon goes</t>
  </si>
  <si>
    <t xml:space="preserve">Recovery from a core</t>
  </si>
  <si>
    <t xml:space="preserve">≤ 2 mm (fine)</t>
  </si>
  <si>
    <t xml:space="preserve">Fast — much of it annual</t>
  </si>
  <si>
    <t xml:space="preserve">Straight into soil organic matter</t>
  </si>
  <si>
    <t xml:space="preserve">POOR — the finest pass through the sieve and are lost</t>
  </si>
  <si>
    <t xml:space="preserve">&gt; 2 mm (coarse)</t>
  </si>
  <si>
    <t xml:space="preserve">Slow</t>
  </si>
  <si>
    <t xml:space="preserve">Stays as biomass for years</t>
  </si>
  <si>
    <t xml:space="preserve">Good</t>
  </si>
  <si>
    <t xml:space="preserve">GRASSLAND TYPES</t>
  </si>
  <si>
    <t xml:space="preserve">Type</t>
  </si>
  <si>
    <t xml:space="preserve">Character</t>
  </si>
  <si>
    <t xml:space="preserve">What changes in the method</t>
  </si>
  <si>
    <t xml:space="preserve">Mixed-grass, fescue. Deep dark soils.</t>
  </si>
  <si>
    <t xml:space="preserve">The baseline case. Stratify on grazing and management first.</t>
  </si>
  <si>
    <t xml:space="preserve">Aspen parkland</t>
  </si>
  <si>
    <t xml:space="preserve">Grassland matrix with aspen groves.</t>
  </si>
  <si>
    <t xml:space="preserve">Shrub/medium plot carries more weight; the boundary with Forests matters.</t>
  </si>
  <si>
    <t xml:space="preserve">Scattered open-grown oaks; fire-maintained; sandy soils.</t>
  </si>
  <si>
    <t xml:space="preserve">Tree protocol applies. Fire history is a stratification variable, not context.</t>
  </si>
  <si>
    <t xml:space="preserve">Interior BC bunchgrass</t>
  </si>
  <si>
    <t xml:space="preserve">Semi-arid; shallow soils; coarse fragments common.</t>
  </si>
  <si>
    <t xml:space="preserve">The coarse-fragment correction is mandatory. Shallow-soil method; record depth to refusal.</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</si>
</sst>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4A3421"/>
      <name val="Cambria"/>
      <family val="0"/>
      <charset val="1"/>
    </font>
    <font>
      <i val="true"/>
      <sz val="9"/>
      <color rgb="FF666666"/>
      <name val="Cambria"/>
      <family val="0"/>
      <charset val="1"/>
    </font>
    <font>
      <b val="true"/>
      <sz val="10"/>
      <color rgb="FF4A3421"/>
      <name val="Cambria"/>
      <family val="0"/>
      <charset val="1"/>
    </font>
    <font>
      <sz val="10"/>
      <name val="Cambria"/>
      <family val="0"/>
      <charset val="1"/>
    </font>
    <font>
      <b val="true"/>
      <sz val="10"/>
      <color rgb="FF9C4221"/>
      <name val="Cambria"/>
      <family val="0"/>
      <charset val="1"/>
    </font>
    <font>
      <b val="true"/>
      <sz val="10"/>
      <color rgb="FFFFFFFF"/>
      <name val="Cambria"/>
      <family val="0"/>
      <charset val="1"/>
    </font>
  </fonts>
  <fills count="9">
    <fill>
      <patternFill patternType="none"/>
    </fill>
    <fill>
      <patternFill patternType="gray125"/>
    </fill>
    <fill>
      <patternFill patternType="solid">
        <fgColor rgb="FFE2EFDA"/>
        <bgColor rgb="FFEDEDED"/>
      </patternFill>
    </fill>
    <fill>
      <patternFill patternType="solid">
        <fgColor rgb="FFFFF2CC"/>
        <bgColor rgb="FFFBE2D5"/>
      </patternFill>
    </fill>
    <fill>
      <patternFill patternType="solid">
        <fgColor rgb="FFDDEBF7"/>
        <bgColor rgb="FFEDEDED"/>
      </patternFill>
    </fill>
    <fill>
      <patternFill patternType="solid">
        <fgColor rgb="FFFBE2D5"/>
        <bgColor rgb="FFFCE4E4"/>
      </patternFill>
    </fill>
    <fill>
      <patternFill patternType="solid">
        <fgColor rgb="FFEDEDED"/>
        <bgColor rgb="FFE2EFDA"/>
      </patternFill>
    </fill>
    <fill>
      <patternFill patternType="solid">
        <fgColor rgb="FFFCE4E4"/>
        <bgColor rgb="FFFBE2D5"/>
      </patternFill>
    </fill>
    <fill>
      <patternFill patternType="solid">
        <fgColor rgb="FF4A3421"/>
        <bgColor rgb="FF33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6" fillId="5" borderId="0"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2EFDA"/>
      <rgbColor rgb="FFFCE4E4"/>
      <rgbColor rgb="FF99CCFF"/>
      <rgbColor rgb="FFFF99CC"/>
      <rgbColor rgb="FFCC99FF"/>
      <rgbColor rgb="FFFBE2D5"/>
      <rgbColor rgb="FF3366FF"/>
      <rgbColor rgb="FF33CCCC"/>
      <rgbColor rgb="FF99CC00"/>
      <rgbColor rgb="FFFFCC00"/>
      <rgbColor rgb="FFFF9900"/>
      <rgbColor rgb="FFFF6600"/>
      <rgbColor rgb="FF666666"/>
      <rgbColor rgb="FF969696"/>
      <rgbColor rgb="FF003366"/>
      <rgbColor rgb="FF339966"/>
      <rgbColor rgb="FF003300"/>
      <rgbColor rgb="FF333300"/>
      <rgbColor rgb="FF9C4221"/>
      <rgbColor rgb="FF993366"/>
      <rgbColor rgb="FF333399"/>
      <rgbColor rgb="FF4A342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22"/>
    <col collapsed="false" customWidth="true" hidden="false" outlineLevel="0" max="4" min="4" style="0" width="46"/>
  </cols>
  <sheetData>
    <row r="1" customFormat="false" ht="17.35" hidden="false" customHeight="false" outlineLevel="0" collapsed="false">
      <c r="A1" s="1" t="s">
        <v>0</v>
      </c>
      <c r="B1" s="1"/>
      <c r="C1" s="1"/>
      <c r="D1" s="1"/>
    </row>
    <row r="2" customFormat="false" ht="31.5" hidden="false" customHeight="true" outlineLevel="0" collapsed="false">
      <c r="A2" s="2" t="s">
        <v>1</v>
      </c>
      <c r="B2" s="2"/>
      <c r="C2" s="2"/>
      <c r="D2" s="2"/>
    </row>
    <row r="4" customFormat="false" ht="45.75" hidden="false" customHeight="true" outlineLevel="0" collapsed="false">
      <c r="A4" s="3" t="s">
        <v>2</v>
      </c>
      <c r="B4" s="4" t="s">
        <v>3</v>
      </c>
    </row>
    <row r="6" customFormat="false" ht="19.5" hidden="false" customHeight="true" outlineLevel="0" collapsed="false">
      <c r="A6" s="5" t="s">
        <v>4</v>
      </c>
      <c r="B6" s="5"/>
      <c r="C6" s="5"/>
      <c r="D6" s="5"/>
    </row>
    <row r="7" customFormat="false" ht="30" hidden="false" customHeight="true" outlineLevel="0" collapsed="false">
      <c r="A7" s="6" t="s">
        <v>5</v>
      </c>
      <c r="B7" s="4" t="s">
        <v>6</v>
      </c>
    </row>
    <row r="8" customFormat="false" ht="30" hidden="false" customHeight="true" outlineLevel="0" collapsed="false">
      <c r="A8" s="7" t="s">
        <v>7</v>
      </c>
      <c r="B8" s="4" t="s">
        <v>8</v>
      </c>
    </row>
    <row r="9" customFormat="false" ht="45.75" hidden="false" customHeight="true" outlineLevel="0" collapsed="false">
      <c r="A9" s="8" t="s">
        <v>9</v>
      </c>
      <c r="B9" s="4" t="s">
        <v>10</v>
      </c>
    </row>
    <row r="10" customFormat="false" ht="30" hidden="false" customHeight="true" outlineLevel="0" collapsed="false">
      <c r="A10" s="9" t="s">
        <v>11</v>
      </c>
      <c r="B10" s="4" t="s">
        <v>12</v>
      </c>
    </row>
    <row r="11" customFormat="false" ht="30" hidden="false" customHeight="true" outlineLevel="0" collapsed="false">
      <c r="A11" s="10" t="s">
        <v>13</v>
      </c>
      <c r="B11" s="4" t="s">
        <v>14</v>
      </c>
    </row>
    <row r="12" customFormat="false" ht="30" hidden="false" customHeight="true" outlineLevel="0" collapsed="false">
      <c r="A12" s="11" t="s">
        <v>15</v>
      </c>
      <c r="B12" s="4" t="s">
        <v>16</v>
      </c>
    </row>
    <row r="14" customFormat="false" ht="19.5" hidden="false" customHeight="true" outlineLevel="0" collapsed="false">
      <c r="A14" s="5" t="s">
        <v>17</v>
      </c>
      <c r="B14" s="5"/>
      <c r="C14" s="5"/>
      <c r="D14" s="5"/>
    </row>
    <row r="15" customFormat="false" ht="30" hidden="false" customHeight="true" outlineLevel="0" collapsed="false">
      <c r="A15" s="3" t="s">
        <v>18</v>
      </c>
      <c r="B15" s="4" t="s">
        <v>19</v>
      </c>
    </row>
    <row r="16" customFormat="false" ht="30" hidden="false" customHeight="true" outlineLevel="0" collapsed="false">
      <c r="A16" s="3" t="s">
        <v>20</v>
      </c>
      <c r="B16" s="4" t="s">
        <v>21</v>
      </c>
    </row>
    <row r="17" customFormat="false" ht="30" hidden="false" customHeight="true" outlineLevel="0" collapsed="false">
      <c r="A17" s="3" t="s">
        <v>22</v>
      </c>
      <c r="B17" s="4" t="s">
        <v>23</v>
      </c>
    </row>
    <row r="18" customFormat="false" ht="30" hidden="false" customHeight="true" outlineLevel="0" collapsed="false">
      <c r="A18" s="3" t="s">
        <v>24</v>
      </c>
      <c r="B18" s="4" t="s">
        <v>25</v>
      </c>
    </row>
    <row r="19" customFormat="false" ht="30" hidden="false" customHeight="true" outlineLevel="0" collapsed="false">
      <c r="A19" s="3" t="s">
        <v>26</v>
      </c>
      <c r="B19" s="4" t="s">
        <v>27</v>
      </c>
    </row>
    <row r="20" customFormat="false" ht="30" hidden="false" customHeight="true" outlineLevel="0" collapsed="false">
      <c r="A20" s="3" t="s">
        <v>28</v>
      </c>
      <c r="B20" s="4" t="s">
        <v>29</v>
      </c>
    </row>
    <row r="21" customFormat="false" ht="30" hidden="false" customHeight="true" outlineLevel="0" collapsed="false">
      <c r="A21" s="3" t="s">
        <v>30</v>
      </c>
      <c r="B21" s="4" t="s">
        <v>31</v>
      </c>
    </row>
    <row r="22" customFormat="false" ht="30" hidden="false" customHeight="true" outlineLevel="0" collapsed="false">
      <c r="A22" s="3" t="s">
        <v>32</v>
      </c>
      <c r="B22" s="4" t="s">
        <v>33</v>
      </c>
    </row>
    <row r="23" customFormat="false" ht="30" hidden="false" customHeight="true" outlineLevel="0" collapsed="false">
      <c r="A23" s="3" t="s">
        <v>34</v>
      </c>
      <c r="B23" s="4" t="s">
        <v>35</v>
      </c>
    </row>
    <row r="25" customFormat="false" ht="19.5" hidden="false" customHeight="true" outlineLevel="0" collapsed="false">
      <c r="A25" s="12" t="s">
        <v>36</v>
      </c>
      <c r="B25" s="12"/>
      <c r="C25" s="12"/>
      <c r="D25" s="12"/>
    </row>
    <row r="26" customFormat="false" ht="57.75" hidden="false" customHeight="true" outlineLevel="0" collapsed="false">
      <c r="A26" s="13" t="s">
        <v>37</v>
      </c>
      <c r="B26" s="4" t="s">
        <v>38</v>
      </c>
    </row>
    <row r="27" customFormat="false" ht="57.75" hidden="false" customHeight="true" outlineLevel="0" collapsed="false">
      <c r="A27" s="13" t="s">
        <v>39</v>
      </c>
      <c r="B27" s="4" t="s">
        <v>40</v>
      </c>
    </row>
    <row r="28" customFormat="false" ht="57.75" hidden="false" customHeight="true" outlineLevel="0" collapsed="false">
      <c r="A28" s="13" t="s">
        <v>41</v>
      </c>
      <c r="B28" s="4" t="s">
        <v>42</v>
      </c>
    </row>
  </sheetData>
  <mergeCells count="5">
    <mergeCell ref="A1:D1"/>
    <mergeCell ref="A2:D2"/>
    <mergeCell ref="A6:D6"/>
    <mergeCell ref="A14:D14"/>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4" min="3" style="0" width="12"/>
    <col collapsed="false" customWidth="true" hidden="false" outlineLevel="0" max="5" min="5" style="0" width="22"/>
    <col collapsed="false" customWidth="true" hidden="false" outlineLevel="0" max="8" min="6" style="0" width="11"/>
    <col collapsed="false" customWidth="true" hidden="false" outlineLevel="0" max="9" min="9" style="0" width="10"/>
    <col collapsed="false" customWidth="true" hidden="false" outlineLevel="0" max="10" min="10" style="0" width="11"/>
    <col collapsed="false" customWidth="true" hidden="false" outlineLevel="0" max="11" min="11" style="0" width="18"/>
    <col collapsed="false" customWidth="true" hidden="false" outlineLevel="0" max="12" min="12" style="0" width="22"/>
    <col collapsed="false" customWidth="true" hidden="false" outlineLevel="0" max="13" min="13" style="0" width="14"/>
    <col collapsed="false" customWidth="true" hidden="false" outlineLevel="0" max="14" min="14" style="0" width="12"/>
    <col collapsed="false" customWidth="true" hidden="false" outlineLevel="0" max="15" min="15" style="0" width="22"/>
    <col collapsed="false" customWidth="true" hidden="false" outlineLevel="0" max="16" min="16" style="0" width="13"/>
    <col collapsed="false" customWidth="true" hidden="false" outlineLevel="0" max="17" min="17" style="0" width="18"/>
    <col collapsed="false" customWidth="true" hidden="false" outlineLevel="0" max="18" min="18" style="0" width="12"/>
    <col collapsed="false" customWidth="true" hidden="false" outlineLevel="0" max="19" min="19" style="0" width="14"/>
    <col collapsed="false" customWidth="true" hidden="false" outlineLevel="0" max="20" min="20" style="0" width="34"/>
  </cols>
  <sheetData>
    <row r="1" customFormat="false" ht="17.35" hidden="false" customHeight="false" outlineLevel="0" collapsed="false">
      <c r="A1" s="1" t="s">
        <v>43</v>
      </c>
      <c r="B1" s="1"/>
      <c r="C1" s="1"/>
      <c r="D1" s="1"/>
      <c r="E1" s="1"/>
      <c r="F1" s="1"/>
      <c r="G1" s="1"/>
      <c r="H1" s="1"/>
      <c r="I1" s="1"/>
      <c r="J1" s="1"/>
      <c r="K1" s="1"/>
      <c r="L1" s="1"/>
      <c r="M1" s="1"/>
      <c r="N1" s="1"/>
      <c r="O1" s="1"/>
      <c r="P1" s="1"/>
      <c r="Q1" s="1"/>
      <c r="R1" s="1"/>
      <c r="S1" s="1"/>
      <c r="T1" s="1"/>
    </row>
    <row r="2" customFormat="false" ht="31.5" hidden="false" customHeight="true" outlineLevel="0" collapsed="false">
      <c r="A2" s="2" t="s">
        <v>44</v>
      </c>
      <c r="B2" s="2"/>
      <c r="C2" s="2"/>
      <c r="D2" s="2"/>
      <c r="E2" s="2"/>
      <c r="F2" s="2"/>
      <c r="G2" s="2"/>
      <c r="H2" s="2"/>
      <c r="I2" s="2"/>
      <c r="J2" s="2"/>
      <c r="K2" s="2"/>
      <c r="L2" s="2"/>
      <c r="M2" s="2"/>
      <c r="N2" s="2"/>
      <c r="O2" s="2"/>
      <c r="P2" s="2"/>
      <c r="Q2" s="2"/>
      <c r="R2" s="2"/>
      <c r="S2" s="2"/>
      <c r="T2" s="2"/>
    </row>
    <row r="4" customFormat="false" ht="45.75" hidden="false" customHeight="true" outlineLevel="0" collapsed="false">
      <c r="A4" s="14" t="s">
        <v>45</v>
      </c>
      <c r="B4" s="14" t="s">
        <v>46</v>
      </c>
      <c r="C4" s="14" t="s">
        <v>47</v>
      </c>
      <c r="D4" s="14" t="s">
        <v>48</v>
      </c>
      <c r="E4" s="14" t="s">
        <v>49</v>
      </c>
      <c r="F4" s="14" t="s">
        <v>50</v>
      </c>
      <c r="G4" s="14" t="s">
        <v>51</v>
      </c>
      <c r="H4" s="14" t="s">
        <v>52</v>
      </c>
      <c r="I4" s="14" t="s">
        <v>53</v>
      </c>
      <c r="J4" s="14" t="s">
        <v>54</v>
      </c>
      <c r="K4" s="14" t="s">
        <v>55</v>
      </c>
      <c r="L4" s="14" t="s">
        <v>56</v>
      </c>
      <c r="M4" s="14" t="s">
        <v>57</v>
      </c>
      <c r="N4" s="14" t="s">
        <v>58</v>
      </c>
      <c r="O4" s="14" t="s">
        <v>59</v>
      </c>
      <c r="P4" s="14" t="s">
        <v>60</v>
      </c>
      <c r="Q4" s="14" t="s">
        <v>61</v>
      </c>
      <c r="R4" s="14" t="s">
        <v>62</v>
      </c>
      <c r="S4" s="14" t="s">
        <v>63</v>
      </c>
      <c r="T4" s="14" t="s">
        <v>64</v>
      </c>
    </row>
    <row r="5" customFormat="false" ht="15" hidden="false" customHeight="false" outlineLevel="0" collapsed="false">
      <c r="A5" s="6" t="s">
        <v>65</v>
      </c>
      <c r="B5" s="6" t="s">
        <v>66</v>
      </c>
      <c r="C5" s="6" t="s">
        <v>67</v>
      </c>
      <c r="D5" s="6" t="s">
        <v>68</v>
      </c>
      <c r="E5" s="6" t="s">
        <v>69</v>
      </c>
      <c r="F5" s="6" t="n">
        <v>50.9</v>
      </c>
      <c r="G5" s="6" t="n">
        <v>-104.62</v>
      </c>
      <c r="H5" s="6" t="n">
        <v>0.5</v>
      </c>
      <c r="I5" s="6" t="s">
        <v>70</v>
      </c>
      <c r="J5" s="6" t="n">
        <v>580</v>
      </c>
      <c r="K5" s="6" t="s">
        <v>71</v>
      </c>
      <c r="L5" s="6" t="s">
        <v>72</v>
      </c>
      <c r="M5" s="6" t="s">
        <v>73</v>
      </c>
      <c r="N5" s="6" t="n">
        <v>12</v>
      </c>
      <c r="O5" s="6" t="s">
        <v>74</v>
      </c>
      <c r="P5" s="6" t="n">
        <v>0</v>
      </c>
      <c r="Q5" s="6" t="s">
        <v>75</v>
      </c>
      <c r="R5" s="6"/>
      <c r="S5" s="6"/>
      <c r="T5" s="6"/>
    </row>
    <row r="6" customFormat="false" ht="15" hidden="false" customHeight="false" outlineLevel="0" collapsed="false">
      <c r="A6" s="6" t="s">
        <v>76</v>
      </c>
      <c r="B6" s="6" t="s">
        <v>66</v>
      </c>
      <c r="C6" s="6" t="s">
        <v>67</v>
      </c>
      <c r="D6" s="6" t="s">
        <v>68</v>
      </c>
      <c r="E6" s="6" t="s">
        <v>69</v>
      </c>
      <c r="F6" s="6" t="n">
        <v>50.904</v>
      </c>
      <c r="G6" s="6" t="n">
        <v>-104.625</v>
      </c>
      <c r="H6" s="6" t="n">
        <v>0.5</v>
      </c>
      <c r="I6" s="6" t="s">
        <v>70</v>
      </c>
      <c r="J6" s="6" t="n">
        <v>577</v>
      </c>
      <c r="K6" s="6" t="s">
        <v>71</v>
      </c>
      <c r="L6" s="6" t="s">
        <v>72</v>
      </c>
      <c r="M6" s="6" t="s">
        <v>73</v>
      </c>
      <c r="N6" s="6" t="n">
        <v>12</v>
      </c>
      <c r="O6" s="6" t="s">
        <v>74</v>
      </c>
      <c r="P6" s="6" t="n">
        <v>0</v>
      </c>
      <c r="Q6" s="6" t="s">
        <v>75</v>
      </c>
      <c r="R6" s="6"/>
      <c r="S6" s="6"/>
      <c r="T6" s="6"/>
    </row>
    <row r="7" customFormat="false" ht="15" hidden="false" customHeight="false" outlineLevel="0" collapsed="false">
      <c r="A7" s="6" t="s">
        <v>77</v>
      </c>
      <c r="B7" s="6" t="s">
        <v>66</v>
      </c>
      <c r="C7" s="6" t="s">
        <v>67</v>
      </c>
      <c r="D7" s="6" t="s">
        <v>68</v>
      </c>
      <c r="E7" s="6" t="s">
        <v>69</v>
      </c>
      <c r="F7" s="6" t="n">
        <v>50.908</v>
      </c>
      <c r="G7" s="6" t="n">
        <v>-104.63</v>
      </c>
      <c r="H7" s="6" t="n">
        <v>0.5</v>
      </c>
      <c r="I7" s="6" t="s">
        <v>70</v>
      </c>
      <c r="J7" s="6" t="n">
        <v>574</v>
      </c>
      <c r="K7" s="6" t="s">
        <v>71</v>
      </c>
      <c r="L7" s="6" t="s">
        <v>72</v>
      </c>
      <c r="M7" s="6" t="s">
        <v>73</v>
      </c>
      <c r="N7" s="6" t="n">
        <v>12</v>
      </c>
      <c r="O7" s="6" t="s">
        <v>74</v>
      </c>
      <c r="P7" s="6" t="n">
        <v>0</v>
      </c>
      <c r="Q7" s="6" t="s">
        <v>75</v>
      </c>
      <c r="R7" s="6"/>
      <c r="S7" s="6"/>
      <c r="T7" s="6"/>
    </row>
    <row r="8" customFormat="false" ht="15" hidden="false" customHeight="false" outlineLevel="0" collapsed="false">
      <c r="A8" s="6" t="s">
        <v>78</v>
      </c>
      <c r="B8" s="6" t="s">
        <v>79</v>
      </c>
      <c r="C8" s="6" t="s">
        <v>67</v>
      </c>
      <c r="D8" s="6" t="s">
        <v>68</v>
      </c>
      <c r="E8" s="6" t="s">
        <v>69</v>
      </c>
      <c r="F8" s="6" t="n">
        <v>50.912</v>
      </c>
      <c r="G8" s="6" t="n">
        <v>-104.635</v>
      </c>
      <c r="H8" s="6" t="n">
        <v>0.5</v>
      </c>
      <c r="I8" s="6" t="s">
        <v>70</v>
      </c>
      <c r="J8" s="6" t="n">
        <v>571</v>
      </c>
      <c r="K8" s="6" t="s">
        <v>71</v>
      </c>
      <c r="L8" s="6" t="s">
        <v>72</v>
      </c>
      <c r="M8" s="6" t="s">
        <v>80</v>
      </c>
      <c r="N8" s="6" t="n">
        <v>12</v>
      </c>
      <c r="O8" s="6" t="s">
        <v>74</v>
      </c>
      <c r="P8" s="6" t="n">
        <v>0</v>
      </c>
      <c r="Q8" s="6" t="s">
        <v>75</v>
      </c>
      <c r="R8" s="6"/>
      <c r="S8" s="6"/>
      <c r="T8" s="6"/>
    </row>
    <row r="9" customFormat="false" ht="15" hidden="false" customHeight="false" outlineLevel="0" collapsed="false">
      <c r="A9" s="6" t="s">
        <v>81</v>
      </c>
      <c r="B9" s="6" t="s">
        <v>79</v>
      </c>
      <c r="C9" s="6" t="s">
        <v>67</v>
      </c>
      <c r="D9" s="6" t="s">
        <v>68</v>
      </c>
      <c r="E9" s="6" t="s">
        <v>69</v>
      </c>
      <c r="F9" s="6" t="n">
        <v>50.916</v>
      </c>
      <c r="G9" s="6" t="n">
        <v>-104.64</v>
      </c>
      <c r="H9" s="6" t="n">
        <v>0.5</v>
      </c>
      <c r="I9" s="6" t="s">
        <v>70</v>
      </c>
      <c r="J9" s="6" t="n">
        <v>568</v>
      </c>
      <c r="K9" s="6" t="s">
        <v>71</v>
      </c>
      <c r="L9" s="6" t="s">
        <v>72</v>
      </c>
      <c r="M9" s="6" t="s">
        <v>80</v>
      </c>
      <c r="N9" s="6" t="n">
        <v>12</v>
      </c>
      <c r="O9" s="6" t="s">
        <v>74</v>
      </c>
      <c r="P9" s="6" t="n">
        <v>0</v>
      </c>
      <c r="Q9" s="6" t="s">
        <v>75</v>
      </c>
      <c r="R9" s="6"/>
      <c r="S9" s="6"/>
      <c r="T9" s="6"/>
    </row>
    <row r="10" customFormat="false" ht="15" hidden="false" customHeight="false" outlineLevel="0" collapsed="false">
      <c r="A10" s="6" t="s">
        <v>82</v>
      </c>
      <c r="B10" s="6" t="s">
        <v>79</v>
      </c>
      <c r="C10" s="6" t="s">
        <v>67</v>
      </c>
      <c r="D10" s="6" t="s">
        <v>68</v>
      </c>
      <c r="E10" s="6" t="s">
        <v>69</v>
      </c>
      <c r="F10" s="6" t="n">
        <v>50.92</v>
      </c>
      <c r="G10" s="6" t="n">
        <v>-104.645</v>
      </c>
      <c r="H10" s="6" t="n">
        <v>0.5</v>
      </c>
      <c r="I10" s="6" t="s">
        <v>70</v>
      </c>
      <c r="J10" s="6" t="n">
        <v>565</v>
      </c>
      <c r="K10" s="6" t="s">
        <v>71</v>
      </c>
      <c r="L10" s="6" t="s">
        <v>72</v>
      </c>
      <c r="M10" s="6" t="s">
        <v>80</v>
      </c>
      <c r="N10" s="6" t="n">
        <v>12</v>
      </c>
      <c r="O10" s="6" t="s">
        <v>74</v>
      </c>
      <c r="P10" s="6" t="n">
        <v>0</v>
      </c>
      <c r="Q10" s="6" t="s">
        <v>75</v>
      </c>
      <c r="R10" s="6"/>
      <c r="S10" s="6"/>
      <c r="T10" s="6"/>
    </row>
    <row r="11" customFormat="false" ht="15" hidden="false" customHeight="false" outlineLevel="0" collapsed="false">
      <c r="A11" s="6" t="s">
        <v>83</v>
      </c>
      <c r="B11" s="6" t="s">
        <v>84</v>
      </c>
      <c r="C11" s="6" t="s">
        <v>67</v>
      </c>
      <c r="D11" s="6" t="s">
        <v>68</v>
      </c>
      <c r="E11" s="6" t="s">
        <v>85</v>
      </c>
      <c r="F11" s="6" t="n">
        <v>50.924</v>
      </c>
      <c r="G11" s="6" t="n">
        <v>-104.65</v>
      </c>
      <c r="H11" s="6" t="n">
        <v>0.5</v>
      </c>
      <c r="I11" s="6" t="s">
        <v>70</v>
      </c>
      <c r="J11" s="6" t="n">
        <v>562</v>
      </c>
      <c r="K11" s="6" t="s">
        <v>86</v>
      </c>
      <c r="L11" s="6" t="s">
        <v>72</v>
      </c>
      <c r="M11" s="6" t="s">
        <v>80</v>
      </c>
      <c r="N11" s="6" t="n">
        <v>3</v>
      </c>
      <c r="O11" s="6" t="s">
        <v>74</v>
      </c>
      <c r="P11" s="6" t="n">
        <v>28</v>
      </c>
      <c r="Q11" s="6" t="s">
        <v>75</v>
      </c>
      <c r="R11" s="6"/>
      <c r="S11" s="6"/>
      <c r="T11" s="6"/>
    </row>
    <row r="12" customFormat="false" ht="15" hidden="false" customHeight="false" outlineLevel="0" collapsed="false">
      <c r="A12" s="6" t="s">
        <v>87</v>
      </c>
      <c r="B12" s="6" t="s">
        <v>84</v>
      </c>
      <c r="C12" s="6" t="s">
        <v>67</v>
      </c>
      <c r="D12" s="6" t="s">
        <v>68</v>
      </c>
      <c r="E12" s="6" t="s">
        <v>85</v>
      </c>
      <c r="F12" s="6" t="n">
        <v>50.928</v>
      </c>
      <c r="G12" s="6" t="n">
        <v>-104.655</v>
      </c>
      <c r="H12" s="6" t="n">
        <v>0.5</v>
      </c>
      <c r="I12" s="6" t="s">
        <v>70</v>
      </c>
      <c r="J12" s="6" t="n">
        <v>559</v>
      </c>
      <c r="K12" s="6" t="s">
        <v>86</v>
      </c>
      <c r="L12" s="6" t="s">
        <v>72</v>
      </c>
      <c r="M12" s="6" t="s">
        <v>80</v>
      </c>
      <c r="N12" s="6" t="n">
        <v>3</v>
      </c>
      <c r="O12" s="6" t="s">
        <v>74</v>
      </c>
      <c r="P12" s="6" t="n">
        <v>31</v>
      </c>
      <c r="Q12" s="6" t="s">
        <v>75</v>
      </c>
      <c r="R12" s="6"/>
      <c r="S12" s="6"/>
      <c r="T12" s="6"/>
    </row>
    <row r="13" customFormat="false" ht="15" hidden="false" customHeight="false" outlineLevel="0" collapsed="false">
      <c r="A13" s="6" t="s">
        <v>88</v>
      </c>
      <c r="B13" s="6" t="s">
        <v>84</v>
      </c>
      <c r="C13" s="6" t="s">
        <v>67</v>
      </c>
      <c r="D13" s="6" t="s">
        <v>68</v>
      </c>
      <c r="E13" s="6" t="s">
        <v>85</v>
      </c>
      <c r="F13" s="6" t="n">
        <v>50.932</v>
      </c>
      <c r="G13" s="6" t="n">
        <v>-104.66</v>
      </c>
      <c r="H13" s="6" t="n">
        <v>0.5</v>
      </c>
      <c r="I13" s="6" t="s">
        <v>70</v>
      </c>
      <c r="J13" s="6" t="n">
        <v>556</v>
      </c>
      <c r="K13" s="6" t="s">
        <v>86</v>
      </c>
      <c r="L13" s="6" t="s">
        <v>72</v>
      </c>
      <c r="M13" s="6" t="s">
        <v>80</v>
      </c>
      <c r="N13" s="6" t="n">
        <v>9</v>
      </c>
      <c r="O13" s="6" t="s">
        <v>74</v>
      </c>
      <c r="P13" s="6" t="n">
        <v>22</v>
      </c>
      <c r="Q13" s="6" t="s">
        <v>75</v>
      </c>
      <c r="R13" s="6"/>
      <c r="S13" s="6"/>
      <c r="T13" s="6"/>
    </row>
    <row r="14" customFormat="false" ht="15" hidden="false" customHeight="false" outlineLevel="0" collapsed="false">
      <c r="A14" s="6"/>
      <c r="B14" s="6"/>
      <c r="C14" s="6"/>
      <c r="D14" s="6"/>
      <c r="E14" s="6"/>
      <c r="F14" s="6"/>
      <c r="G14" s="6"/>
      <c r="H14" s="6"/>
      <c r="I14" s="6"/>
      <c r="J14" s="6"/>
      <c r="K14" s="6"/>
      <c r="L14" s="6"/>
      <c r="M14" s="6"/>
      <c r="N14" s="6"/>
      <c r="O14" s="6"/>
      <c r="P14" s="6"/>
      <c r="Q14" s="6"/>
      <c r="R14" s="6"/>
      <c r="S14" s="6"/>
      <c r="T14" s="6"/>
    </row>
    <row r="15" customFormat="false" ht="15" hidden="false" customHeight="false" outlineLevel="0" collapsed="false">
      <c r="A15" s="6"/>
      <c r="B15" s="6"/>
      <c r="C15" s="6"/>
      <c r="D15" s="6"/>
      <c r="E15" s="6"/>
      <c r="F15" s="6"/>
      <c r="G15" s="6"/>
      <c r="H15" s="6"/>
      <c r="I15" s="6"/>
      <c r="J15" s="6"/>
      <c r="K15" s="6"/>
      <c r="L15" s="6"/>
      <c r="M15" s="6"/>
      <c r="N15" s="6"/>
      <c r="O15" s="6"/>
      <c r="P15" s="6"/>
      <c r="Q15" s="6"/>
      <c r="R15" s="6"/>
      <c r="S15" s="6"/>
      <c r="T15" s="6"/>
    </row>
    <row r="16" customFormat="false" ht="15" hidden="false" customHeight="false" outlineLevel="0" collapsed="false">
      <c r="A16" s="6"/>
      <c r="B16" s="6"/>
      <c r="C16" s="6"/>
      <c r="D16" s="6"/>
      <c r="E16" s="6"/>
      <c r="F16" s="6"/>
      <c r="G16" s="6"/>
      <c r="H16" s="6"/>
      <c r="I16" s="6"/>
      <c r="J16" s="6"/>
      <c r="K16" s="6"/>
      <c r="L16" s="6"/>
      <c r="M16" s="6"/>
      <c r="N16" s="6"/>
      <c r="O16" s="6"/>
      <c r="P16" s="6"/>
      <c r="Q16" s="6"/>
      <c r="R16" s="6"/>
      <c r="S16" s="6"/>
      <c r="T16" s="6"/>
    </row>
    <row r="17" customFormat="false" ht="15" hidden="false" customHeight="false" outlineLevel="0" collapsed="false">
      <c r="A17" s="6"/>
      <c r="B17" s="6"/>
      <c r="C17" s="6"/>
      <c r="D17" s="6"/>
      <c r="E17" s="6"/>
      <c r="F17" s="6"/>
      <c r="G17" s="6"/>
      <c r="H17" s="6"/>
      <c r="I17" s="6"/>
      <c r="J17" s="6"/>
      <c r="K17" s="6"/>
      <c r="L17" s="6"/>
      <c r="M17" s="6"/>
      <c r="N17" s="6"/>
      <c r="O17" s="6"/>
      <c r="P17" s="6"/>
      <c r="Q17" s="6"/>
      <c r="R17" s="6"/>
      <c r="S17" s="6"/>
      <c r="T17" s="6"/>
    </row>
    <row r="18" customFormat="false" ht="15" hidden="false" customHeight="false" outlineLevel="0" collapsed="false">
      <c r="A18" s="6"/>
      <c r="B18" s="6"/>
      <c r="C18" s="6"/>
      <c r="D18" s="6"/>
      <c r="E18" s="6"/>
      <c r="F18" s="6"/>
      <c r="G18" s="6"/>
      <c r="H18" s="6"/>
      <c r="I18" s="6"/>
      <c r="J18" s="6"/>
      <c r="K18" s="6"/>
      <c r="L18" s="6"/>
      <c r="M18" s="6"/>
      <c r="N18" s="6"/>
      <c r="O18" s="6"/>
      <c r="P18" s="6"/>
      <c r="Q18" s="6"/>
      <c r="R18" s="6"/>
      <c r="S18" s="6"/>
      <c r="T18" s="6"/>
    </row>
    <row r="19" customFormat="false" ht="15" hidden="false" customHeight="false" outlineLevel="0" collapsed="false">
      <c r="A19" s="6"/>
      <c r="B19" s="6"/>
      <c r="C19" s="6"/>
      <c r="D19" s="6"/>
      <c r="E19" s="6"/>
      <c r="F19" s="6"/>
      <c r="G19" s="6"/>
      <c r="H19" s="6"/>
      <c r="I19" s="6"/>
      <c r="J19" s="6"/>
      <c r="K19" s="6"/>
      <c r="L19" s="6"/>
      <c r="M19" s="6"/>
      <c r="N19" s="6"/>
      <c r="O19" s="6"/>
      <c r="P19" s="6"/>
      <c r="Q19" s="6"/>
      <c r="R19" s="6"/>
      <c r="S19" s="6"/>
      <c r="T19" s="6"/>
    </row>
    <row r="20" customFormat="false" ht="15" hidden="false" customHeight="false" outlineLevel="0" collapsed="false">
      <c r="A20" s="6"/>
      <c r="B20" s="6"/>
      <c r="C20" s="6"/>
      <c r="D20" s="6"/>
      <c r="E20" s="6"/>
      <c r="F20" s="6"/>
      <c r="G20" s="6"/>
      <c r="H20" s="6"/>
      <c r="I20" s="6"/>
      <c r="J20" s="6"/>
      <c r="K20" s="6"/>
      <c r="L20" s="6"/>
      <c r="M20" s="6"/>
      <c r="N20" s="6"/>
      <c r="O20" s="6"/>
      <c r="P20" s="6"/>
      <c r="Q20" s="6"/>
      <c r="R20" s="6"/>
      <c r="S20" s="6"/>
      <c r="T20" s="6"/>
    </row>
    <row r="21" customFormat="false" ht="15" hidden="false" customHeight="false" outlineLevel="0" collapsed="false">
      <c r="A21" s="6"/>
      <c r="B21" s="6"/>
      <c r="C21" s="6"/>
      <c r="D21" s="6"/>
      <c r="E21" s="6"/>
      <c r="F21" s="6"/>
      <c r="G21" s="6"/>
      <c r="H21" s="6"/>
      <c r="I21" s="6"/>
      <c r="J21" s="6"/>
      <c r="K21" s="6"/>
      <c r="L21" s="6"/>
      <c r="M21" s="6"/>
      <c r="N21" s="6"/>
      <c r="O21" s="6"/>
      <c r="P21" s="6"/>
      <c r="Q21" s="6"/>
      <c r="R21" s="6"/>
      <c r="S21" s="6"/>
      <c r="T21" s="6"/>
    </row>
    <row r="22" customFormat="false" ht="15" hidden="false" customHeight="false" outlineLevel="0" collapsed="false">
      <c r="A22" s="6"/>
      <c r="B22" s="6"/>
      <c r="C22" s="6"/>
      <c r="D22" s="6"/>
      <c r="E22" s="6"/>
      <c r="F22" s="6"/>
      <c r="G22" s="6"/>
      <c r="H22" s="6"/>
      <c r="I22" s="6"/>
      <c r="J22" s="6"/>
      <c r="K22" s="6"/>
      <c r="L22" s="6"/>
      <c r="M22" s="6"/>
      <c r="N22" s="6"/>
      <c r="O22" s="6"/>
      <c r="P22" s="6"/>
      <c r="Q22" s="6"/>
      <c r="R22" s="6"/>
      <c r="S22" s="6"/>
      <c r="T22" s="6"/>
    </row>
    <row r="23" customFormat="false" ht="15" hidden="false" customHeight="false" outlineLevel="0" collapsed="false">
      <c r="A23" s="6"/>
      <c r="B23" s="6"/>
      <c r="C23" s="6"/>
      <c r="D23" s="6"/>
      <c r="E23" s="6"/>
      <c r="F23" s="6"/>
      <c r="G23" s="6"/>
      <c r="H23" s="6"/>
      <c r="I23" s="6"/>
      <c r="J23" s="6"/>
      <c r="K23" s="6"/>
      <c r="L23" s="6"/>
      <c r="M23" s="6"/>
      <c r="N23" s="6"/>
      <c r="O23" s="6"/>
      <c r="P23" s="6"/>
      <c r="Q23" s="6"/>
      <c r="R23" s="6"/>
      <c r="S23" s="6"/>
      <c r="T23" s="6"/>
    </row>
    <row r="24" customFormat="false" ht="15" hidden="false" customHeight="false" outlineLevel="0" collapsed="false">
      <c r="A24" s="6"/>
      <c r="B24" s="6"/>
      <c r="C24" s="6"/>
      <c r="D24" s="6"/>
      <c r="E24" s="6"/>
      <c r="F24" s="6"/>
      <c r="G24" s="6"/>
      <c r="H24" s="6"/>
      <c r="I24" s="6"/>
      <c r="J24" s="6"/>
      <c r="K24" s="6"/>
      <c r="L24" s="6"/>
      <c r="M24" s="6"/>
      <c r="N24" s="6"/>
      <c r="O24" s="6"/>
      <c r="P24" s="6"/>
      <c r="Q24" s="6"/>
      <c r="R24" s="6"/>
      <c r="S24" s="6"/>
      <c r="T24" s="6"/>
    </row>
    <row r="25" customFormat="false" ht="15" hidden="false" customHeight="false" outlineLevel="0" collapsed="false">
      <c r="A25" s="6"/>
      <c r="B25" s="6"/>
      <c r="C25" s="6"/>
      <c r="D25" s="6"/>
      <c r="E25" s="6"/>
      <c r="F25" s="6"/>
      <c r="G25" s="6"/>
      <c r="H25" s="6"/>
      <c r="I25" s="6"/>
      <c r="J25" s="6"/>
      <c r="K25" s="6"/>
      <c r="L25" s="6"/>
      <c r="M25" s="6"/>
      <c r="N25" s="6"/>
      <c r="O25" s="6"/>
      <c r="P25" s="6"/>
      <c r="Q25" s="6"/>
      <c r="R25" s="6"/>
      <c r="S25" s="6"/>
      <c r="T25" s="6"/>
    </row>
    <row r="26" customFormat="false" ht="15" hidden="false" customHeight="false" outlineLevel="0" collapsed="false">
      <c r="A26" s="6"/>
      <c r="B26" s="6"/>
      <c r="C26" s="6"/>
      <c r="D26" s="6"/>
      <c r="E26" s="6"/>
      <c r="F26" s="6"/>
      <c r="G26" s="6"/>
      <c r="H26" s="6"/>
      <c r="I26" s="6"/>
      <c r="J26" s="6"/>
      <c r="K26" s="6"/>
      <c r="L26" s="6"/>
      <c r="M26" s="6"/>
      <c r="N26" s="6"/>
      <c r="O26" s="6"/>
      <c r="P26" s="6"/>
      <c r="Q26" s="6"/>
      <c r="R26" s="6"/>
      <c r="S26" s="6"/>
      <c r="T26" s="6"/>
    </row>
    <row r="27" customFormat="false" ht="15" hidden="false" customHeight="false" outlineLevel="0" collapsed="false">
      <c r="A27" s="6"/>
      <c r="B27" s="6"/>
      <c r="C27" s="6"/>
      <c r="D27" s="6"/>
      <c r="E27" s="6"/>
      <c r="F27" s="6"/>
      <c r="G27" s="6"/>
      <c r="H27" s="6"/>
      <c r="I27" s="6"/>
      <c r="J27" s="6"/>
      <c r="K27" s="6"/>
      <c r="L27" s="6"/>
      <c r="M27" s="6"/>
      <c r="N27" s="6"/>
      <c r="O27" s="6"/>
      <c r="P27" s="6"/>
      <c r="Q27" s="6"/>
      <c r="R27" s="6"/>
      <c r="S27" s="6"/>
      <c r="T27" s="6"/>
    </row>
    <row r="28" customFormat="false" ht="15" hidden="false" customHeight="false" outlineLevel="0" collapsed="false">
      <c r="A28" s="6"/>
      <c r="B28" s="6"/>
      <c r="C28" s="6"/>
      <c r="D28" s="6"/>
      <c r="E28" s="6"/>
      <c r="F28" s="6"/>
      <c r="G28" s="6"/>
      <c r="H28" s="6"/>
      <c r="I28" s="6"/>
      <c r="J28" s="6"/>
      <c r="K28" s="6"/>
      <c r="L28" s="6"/>
      <c r="M28" s="6"/>
      <c r="N28" s="6"/>
      <c r="O28" s="6"/>
      <c r="P28" s="6"/>
      <c r="Q28" s="6"/>
      <c r="R28" s="6"/>
      <c r="S28" s="6"/>
      <c r="T28" s="6"/>
    </row>
    <row r="29" customFormat="false" ht="15" hidden="false" customHeight="false" outlineLevel="0" collapsed="false">
      <c r="A29" s="6"/>
      <c r="B29" s="6"/>
      <c r="C29" s="6"/>
      <c r="D29" s="6"/>
      <c r="E29" s="6"/>
      <c r="F29" s="6"/>
      <c r="G29" s="6"/>
      <c r="H29" s="6"/>
      <c r="I29" s="6"/>
      <c r="J29" s="6"/>
      <c r="K29" s="6"/>
      <c r="L29" s="6"/>
      <c r="M29" s="6"/>
      <c r="N29" s="6"/>
      <c r="O29" s="6"/>
      <c r="P29" s="6"/>
      <c r="Q29" s="6"/>
      <c r="R29" s="6"/>
      <c r="S29" s="6"/>
      <c r="T29" s="6"/>
    </row>
    <row r="30" customFormat="false" ht="15" hidden="false" customHeight="false" outlineLevel="0" collapsed="false">
      <c r="A30" s="6"/>
      <c r="B30" s="6"/>
      <c r="C30" s="6"/>
      <c r="D30" s="6"/>
      <c r="E30" s="6"/>
      <c r="F30" s="6"/>
      <c r="G30" s="6"/>
      <c r="H30" s="6"/>
      <c r="I30" s="6"/>
      <c r="J30" s="6"/>
      <c r="K30" s="6"/>
      <c r="L30" s="6"/>
      <c r="M30" s="6"/>
      <c r="N30" s="6"/>
      <c r="O30" s="6"/>
      <c r="P30" s="6"/>
      <c r="Q30" s="6"/>
      <c r="R30" s="6"/>
      <c r="S30" s="6"/>
      <c r="T30" s="6"/>
    </row>
    <row r="31" customFormat="false" ht="15" hidden="false" customHeight="false" outlineLevel="0" collapsed="false">
      <c r="A31" s="6"/>
      <c r="B31" s="6"/>
      <c r="C31" s="6"/>
      <c r="D31" s="6"/>
      <c r="E31" s="6"/>
      <c r="F31" s="6"/>
      <c r="G31" s="6"/>
      <c r="H31" s="6"/>
      <c r="I31" s="6"/>
      <c r="J31" s="6"/>
      <c r="K31" s="6"/>
      <c r="L31" s="6"/>
      <c r="M31" s="6"/>
      <c r="N31" s="6"/>
      <c r="O31" s="6"/>
      <c r="P31" s="6"/>
      <c r="Q31" s="6"/>
      <c r="R31" s="6"/>
      <c r="S31" s="6"/>
      <c r="T31" s="6"/>
    </row>
    <row r="32" customFormat="false" ht="15" hidden="false" customHeight="false" outlineLevel="0" collapsed="false">
      <c r="A32" s="6"/>
      <c r="B32" s="6"/>
      <c r="C32" s="6"/>
      <c r="D32" s="6"/>
      <c r="E32" s="6"/>
      <c r="F32" s="6"/>
      <c r="G32" s="6"/>
      <c r="H32" s="6"/>
      <c r="I32" s="6"/>
      <c r="J32" s="6"/>
      <c r="K32" s="6"/>
      <c r="L32" s="6"/>
      <c r="M32" s="6"/>
      <c r="N32" s="6"/>
      <c r="O32" s="6"/>
      <c r="P32" s="6"/>
      <c r="Q32" s="6"/>
      <c r="R32" s="6"/>
      <c r="S32" s="6"/>
      <c r="T32" s="6"/>
    </row>
    <row r="33" customFormat="false" ht="15" hidden="false" customHeight="false" outlineLevel="0" collapsed="false">
      <c r="A33" s="6"/>
      <c r="B33" s="6"/>
      <c r="C33" s="6"/>
      <c r="D33" s="6"/>
      <c r="E33" s="6"/>
      <c r="F33" s="6"/>
      <c r="G33" s="6"/>
      <c r="H33" s="6"/>
      <c r="I33" s="6"/>
      <c r="J33" s="6"/>
      <c r="K33" s="6"/>
      <c r="L33" s="6"/>
      <c r="M33" s="6"/>
      <c r="N33" s="6"/>
      <c r="O33" s="6"/>
      <c r="P33" s="6"/>
      <c r="Q33" s="6"/>
      <c r="R33" s="6"/>
      <c r="S33" s="6"/>
      <c r="T33" s="6"/>
    </row>
    <row r="34" customFormat="false" ht="15" hidden="false" customHeight="false" outlineLevel="0" collapsed="false">
      <c r="A34" s="6"/>
      <c r="B34" s="6"/>
      <c r="C34" s="6"/>
      <c r="D34" s="6"/>
      <c r="E34" s="6"/>
      <c r="F34" s="6"/>
      <c r="G34" s="6"/>
      <c r="H34" s="6"/>
      <c r="I34" s="6"/>
      <c r="J34" s="6"/>
      <c r="K34" s="6"/>
      <c r="L34" s="6"/>
      <c r="M34" s="6"/>
      <c r="N34" s="6"/>
      <c r="O34" s="6"/>
      <c r="P34" s="6"/>
      <c r="Q34" s="6"/>
      <c r="R34" s="6"/>
      <c r="S34" s="6"/>
      <c r="T34" s="6"/>
    </row>
    <row r="35" customFormat="false" ht="15" hidden="false" customHeight="false" outlineLevel="0" collapsed="false">
      <c r="A35" s="6"/>
      <c r="B35" s="6"/>
      <c r="C35" s="6"/>
      <c r="D35" s="6"/>
      <c r="E35" s="6"/>
      <c r="F35" s="6"/>
      <c r="G35" s="6"/>
      <c r="H35" s="6"/>
      <c r="I35" s="6"/>
      <c r="J35" s="6"/>
      <c r="K35" s="6"/>
      <c r="L35" s="6"/>
      <c r="M35" s="6"/>
      <c r="N35" s="6"/>
      <c r="O35" s="6"/>
      <c r="P35" s="6"/>
      <c r="Q35" s="6"/>
      <c r="R35" s="6"/>
      <c r="S35" s="6"/>
      <c r="T35" s="6"/>
    </row>
    <row r="36" customFormat="false" ht="15" hidden="false" customHeight="false" outlineLevel="0" collapsed="false">
      <c r="A36" s="6"/>
      <c r="B36" s="6"/>
      <c r="C36" s="6"/>
      <c r="D36" s="6"/>
      <c r="E36" s="6"/>
      <c r="F36" s="6"/>
      <c r="G36" s="6"/>
      <c r="H36" s="6"/>
      <c r="I36" s="6"/>
      <c r="J36" s="6"/>
      <c r="K36" s="6"/>
      <c r="L36" s="6"/>
      <c r="M36" s="6"/>
      <c r="N36" s="6"/>
      <c r="O36" s="6"/>
      <c r="P36" s="6"/>
      <c r="Q36" s="6"/>
      <c r="R36" s="6"/>
      <c r="S36" s="6"/>
      <c r="T36" s="6"/>
    </row>
    <row r="37" customFormat="false" ht="15" hidden="false" customHeight="false" outlineLevel="0" collapsed="false">
      <c r="A37" s="6"/>
      <c r="B37" s="6"/>
      <c r="C37" s="6"/>
      <c r="D37" s="6"/>
      <c r="E37" s="6"/>
      <c r="F37" s="6"/>
      <c r="G37" s="6"/>
      <c r="H37" s="6"/>
      <c r="I37" s="6"/>
      <c r="J37" s="6"/>
      <c r="K37" s="6"/>
      <c r="L37" s="6"/>
      <c r="M37" s="6"/>
      <c r="N37" s="6"/>
      <c r="O37" s="6"/>
      <c r="P37" s="6"/>
      <c r="Q37" s="6"/>
      <c r="R37" s="6"/>
      <c r="S37" s="6"/>
      <c r="T37" s="6"/>
    </row>
    <row r="38" customFormat="false" ht="15" hidden="false" customHeight="false" outlineLevel="0" collapsed="false">
      <c r="A38" s="6"/>
      <c r="B38" s="6"/>
      <c r="C38" s="6"/>
      <c r="D38" s="6"/>
      <c r="E38" s="6"/>
      <c r="F38" s="6"/>
      <c r="G38" s="6"/>
      <c r="H38" s="6"/>
      <c r="I38" s="6"/>
      <c r="J38" s="6"/>
      <c r="K38" s="6"/>
      <c r="L38" s="6"/>
      <c r="M38" s="6"/>
      <c r="N38" s="6"/>
      <c r="O38" s="6"/>
      <c r="P38" s="6"/>
      <c r="Q38" s="6"/>
      <c r="R38" s="6"/>
      <c r="S38" s="6"/>
      <c r="T38" s="6"/>
    </row>
    <row r="39" customFormat="false" ht="15" hidden="false" customHeight="false" outlineLevel="0" collapsed="false">
      <c r="A39" s="6"/>
      <c r="B39" s="6"/>
      <c r="C39" s="6"/>
      <c r="D39" s="6"/>
      <c r="E39" s="6"/>
      <c r="F39" s="6"/>
      <c r="G39" s="6"/>
      <c r="H39" s="6"/>
      <c r="I39" s="6"/>
      <c r="J39" s="6"/>
      <c r="K39" s="6"/>
      <c r="L39" s="6"/>
      <c r="M39" s="6"/>
      <c r="N39" s="6"/>
      <c r="O39" s="6"/>
      <c r="P39" s="6"/>
      <c r="Q39" s="6"/>
      <c r="R39" s="6"/>
      <c r="S39" s="6"/>
      <c r="T39" s="6"/>
    </row>
    <row r="40" customFormat="false" ht="15" hidden="false" customHeight="false" outlineLevel="0" collapsed="false">
      <c r="A40" s="6"/>
      <c r="B40" s="6"/>
      <c r="C40" s="6"/>
      <c r="D40" s="6"/>
      <c r="E40" s="6"/>
      <c r="F40" s="6"/>
      <c r="G40" s="6"/>
      <c r="H40" s="6"/>
      <c r="I40" s="6"/>
      <c r="J40" s="6"/>
      <c r="K40" s="6"/>
      <c r="L40" s="6"/>
      <c r="M40" s="6"/>
      <c r="N40" s="6"/>
      <c r="O40" s="6"/>
      <c r="P40" s="6"/>
      <c r="Q40" s="6"/>
      <c r="R40" s="6"/>
      <c r="S40" s="6"/>
      <c r="T40" s="6"/>
    </row>
    <row r="41" customFormat="false" ht="15" hidden="false" customHeight="false" outlineLevel="0" collapsed="false">
      <c r="A41" s="6"/>
      <c r="B41" s="6"/>
      <c r="C41" s="6"/>
      <c r="D41" s="6"/>
      <c r="E41" s="6"/>
      <c r="F41" s="6"/>
      <c r="G41" s="6"/>
      <c r="H41" s="6"/>
      <c r="I41" s="6"/>
      <c r="J41" s="6"/>
      <c r="K41" s="6"/>
      <c r="L41" s="6"/>
      <c r="M41" s="6"/>
      <c r="N41" s="6"/>
      <c r="O41" s="6"/>
      <c r="P41" s="6"/>
      <c r="Q41" s="6"/>
      <c r="R41" s="6"/>
      <c r="S41" s="6"/>
      <c r="T41" s="6"/>
    </row>
    <row r="42" customFormat="false" ht="15" hidden="false" customHeight="false" outlineLevel="0" collapsed="false">
      <c r="A42" s="6"/>
      <c r="B42" s="6"/>
      <c r="C42" s="6"/>
      <c r="D42" s="6"/>
      <c r="E42" s="6"/>
      <c r="F42" s="6"/>
      <c r="G42" s="6"/>
      <c r="H42" s="6"/>
      <c r="I42" s="6"/>
      <c r="J42" s="6"/>
      <c r="K42" s="6"/>
      <c r="L42" s="6"/>
      <c r="M42" s="6"/>
      <c r="N42" s="6"/>
      <c r="O42" s="6"/>
      <c r="P42" s="6"/>
      <c r="Q42" s="6"/>
      <c r="R42" s="6"/>
      <c r="S42" s="6"/>
      <c r="T42" s="6"/>
    </row>
    <row r="43" customFormat="false" ht="15" hidden="false" customHeight="false" outlineLevel="0" collapsed="false">
      <c r="A43" s="6"/>
      <c r="B43" s="6"/>
      <c r="C43" s="6"/>
      <c r="D43" s="6"/>
      <c r="E43" s="6"/>
      <c r="F43" s="6"/>
      <c r="G43" s="6"/>
      <c r="H43" s="6"/>
      <c r="I43" s="6"/>
      <c r="J43" s="6"/>
      <c r="K43" s="6"/>
      <c r="L43" s="6"/>
      <c r="M43" s="6"/>
      <c r="N43" s="6"/>
      <c r="O43" s="6"/>
      <c r="P43" s="6"/>
      <c r="Q43" s="6"/>
      <c r="R43" s="6"/>
      <c r="S43" s="6"/>
      <c r="T43" s="6"/>
    </row>
    <row r="44" customFormat="false" ht="15" hidden="false" customHeight="false" outlineLevel="0" collapsed="false">
      <c r="A44" s="6"/>
      <c r="B44" s="6"/>
      <c r="C44" s="6"/>
      <c r="D44" s="6"/>
      <c r="E44" s="6"/>
      <c r="F44" s="6"/>
      <c r="G44" s="6"/>
      <c r="H44" s="6"/>
      <c r="I44" s="6"/>
      <c r="J44" s="6"/>
      <c r="K44" s="6"/>
      <c r="L44" s="6"/>
      <c r="M44" s="6"/>
      <c r="N44" s="6"/>
      <c r="O44" s="6"/>
      <c r="P44" s="6"/>
      <c r="Q44" s="6"/>
      <c r="R44" s="6"/>
      <c r="S44" s="6"/>
      <c r="T44" s="6"/>
    </row>
    <row r="45" customFormat="false" ht="15" hidden="false" customHeight="false" outlineLevel="0" collapsed="false">
      <c r="A45" s="6"/>
      <c r="B45" s="6"/>
      <c r="C45" s="6"/>
      <c r="D45" s="6"/>
      <c r="E45" s="6"/>
      <c r="F45" s="6"/>
      <c r="G45" s="6"/>
      <c r="H45" s="6"/>
      <c r="I45" s="6"/>
      <c r="J45" s="6"/>
      <c r="K45" s="6"/>
      <c r="L45" s="6"/>
      <c r="M45" s="6"/>
      <c r="N45" s="6"/>
      <c r="O45" s="6"/>
      <c r="P45" s="6"/>
      <c r="Q45" s="6"/>
      <c r="R45" s="6"/>
      <c r="S45" s="6"/>
      <c r="T45" s="6"/>
    </row>
    <row r="46" customFormat="false" ht="15" hidden="false" customHeight="false" outlineLevel="0" collapsed="false">
      <c r="A46" s="6"/>
      <c r="B46" s="6"/>
      <c r="C46" s="6"/>
      <c r="D46" s="6"/>
      <c r="E46" s="6"/>
      <c r="F46" s="6"/>
      <c r="G46" s="6"/>
      <c r="H46" s="6"/>
      <c r="I46" s="6"/>
      <c r="J46" s="6"/>
      <c r="K46" s="6"/>
      <c r="L46" s="6"/>
      <c r="M46" s="6"/>
      <c r="N46" s="6"/>
      <c r="O46" s="6"/>
      <c r="P46" s="6"/>
      <c r="Q46" s="6"/>
      <c r="R46" s="6"/>
      <c r="S46" s="6"/>
      <c r="T46" s="6"/>
    </row>
    <row r="47" customFormat="false" ht="15" hidden="false" customHeight="false" outlineLevel="0" collapsed="false">
      <c r="A47" s="6"/>
      <c r="B47" s="6"/>
      <c r="C47" s="6"/>
      <c r="D47" s="6"/>
      <c r="E47" s="6"/>
      <c r="F47" s="6"/>
      <c r="G47" s="6"/>
      <c r="H47" s="6"/>
      <c r="I47" s="6"/>
      <c r="J47" s="6"/>
      <c r="K47" s="6"/>
      <c r="L47" s="6"/>
      <c r="M47" s="6"/>
      <c r="N47" s="6"/>
      <c r="O47" s="6"/>
      <c r="P47" s="6"/>
      <c r="Q47" s="6"/>
      <c r="R47" s="6"/>
      <c r="S47" s="6"/>
      <c r="T47" s="6"/>
    </row>
    <row r="48" customFormat="false" ht="15" hidden="false" customHeight="false" outlineLevel="0" collapsed="false">
      <c r="A48" s="6"/>
      <c r="B48" s="6"/>
      <c r="C48" s="6"/>
      <c r="D48" s="6"/>
      <c r="E48" s="6"/>
      <c r="F48" s="6"/>
      <c r="G48" s="6"/>
      <c r="H48" s="6"/>
      <c r="I48" s="6"/>
      <c r="J48" s="6"/>
      <c r="K48" s="6"/>
      <c r="L48" s="6"/>
      <c r="M48" s="6"/>
      <c r="N48" s="6"/>
      <c r="O48" s="6"/>
      <c r="P48" s="6"/>
      <c r="Q48" s="6"/>
      <c r="R48" s="6"/>
      <c r="S48" s="6"/>
      <c r="T48" s="6"/>
    </row>
    <row r="49" customFormat="false" ht="15" hidden="false" customHeight="false" outlineLevel="0" collapsed="false">
      <c r="A49" s="6"/>
      <c r="B49" s="6"/>
      <c r="C49" s="6"/>
      <c r="D49" s="6"/>
      <c r="E49" s="6"/>
      <c r="F49" s="6"/>
      <c r="G49" s="6"/>
      <c r="H49" s="6"/>
      <c r="I49" s="6"/>
      <c r="J49" s="6"/>
      <c r="K49" s="6"/>
      <c r="L49" s="6"/>
      <c r="M49" s="6"/>
      <c r="N49" s="6"/>
      <c r="O49" s="6"/>
      <c r="P49" s="6"/>
      <c r="Q49" s="6"/>
      <c r="R49" s="6"/>
      <c r="S49" s="6"/>
      <c r="T49" s="6"/>
    </row>
    <row r="50" customFormat="false" ht="15" hidden="false" customHeight="false" outlineLevel="0" collapsed="false">
      <c r="A50" s="6"/>
      <c r="B50" s="6"/>
      <c r="C50" s="6"/>
      <c r="D50" s="6"/>
      <c r="E50" s="6"/>
      <c r="F50" s="6"/>
      <c r="G50" s="6"/>
      <c r="H50" s="6"/>
      <c r="I50" s="6"/>
      <c r="J50" s="6"/>
      <c r="K50" s="6"/>
      <c r="L50" s="6"/>
      <c r="M50" s="6"/>
      <c r="N50" s="6"/>
      <c r="O50" s="6"/>
      <c r="P50" s="6"/>
      <c r="Q50" s="6"/>
      <c r="R50" s="6"/>
      <c r="S50" s="6"/>
      <c r="T50" s="6"/>
    </row>
    <row r="51" customFormat="false" ht="15" hidden="false" customHeight="false" outlineLevel="0" collapsed="false">
      <c r="A51" s="6"/>
      <c r="B51" s="6"/>
      <c r="C51" s="6"/>
      <c r="D51" s="6"/>
      <c r="E51" s="6"/>
      <c r="F51" s="6"/>
      <c r="G51" s="6"/>
      <c r="H51" s="6"/>
      <c r="I51" s="6"/>
      <c r="J51" s="6"/>
      <c r="K51" s="6"/>
      <c r="L51" s="6"/>
      <c r="M51" s="6"/>
      <c r="N51" s="6"/>
      <c r="O51" s="6"/>
      <c r="P51" s="6"/>
      <c r="Q51" s="6"/>
      <c r="R51" s="6"/>
      <c r="S51" s="6"/>
      <c r="T51" s="6"/>
    </row>
    <row r="52" customFormat="false" ht="15" hidden="false" customHeight="false" outlineLevel="0" collapsed="false">
      <c r="A52" s="6"/>
      <c r="B52" s="6"/>
      <c r="C52" s="6"/>
      <c r="D52" s="6"/>
      <c r="E52" s="6"/>
      <c r="F52" s="6"/>
      <c r="G52" s="6"/>
      <c r="H52" s="6"/>
      <c r="I52" s="6"/>
      <c r="J52" s="6"/>
      <c r="K52" s="6"/>
      <c r="L52" s="6"/>
      <c r="M52" s="6"/>
      <c r="N52" s="6"/>
      <c r="O52" s="6"/>
      <c r="P52" s="6"/>
      <c r="Q52" s="6"/>
      <c r="R52" s="6"/>
      <c r="S52" s="6"/>
      <c r="T52" s="6"/>
    </row>
    <row r="53" customFormat="false" ht="15" hidden="false" customHeight="false" outlineLevel="0" collapsed="false">
      <c r="A53" s="6"/>
      <c r="B53" s="6"/>
      <c r="C53" s="6"/>
      <c r="D53" s="6"/>
      <c r="E53" s="6"/>
      <c r="F53" s="6"/>
      <c r="G53" s="6"/>
      <c r="H53" s="6"/>
      <c r="I53" s="6"/>
      <c r="J53" s="6"/>
      <c r="K53" s="6"/>
      <c r="L53" s="6"/>
      <c r="M53" s="6"/>
      <c r="N53" s="6"/>
      <c r="O53" s="6"/>
      <c r="P53" s="6"/>
      <c r="Q53" s="6"/>
      <c r="R53" s="6"/>
      <c r="S53" s="6"/>
      <c r="T53" s="6"/>
    </row>
    <row r="54" customFormat="false" ht="15" hidden="false" customHeight="false" outlineLevel="0" collapsed="false">
      <c r="A54" s="6"/>
      <c r="B54" s="6"/>
      <c r="C54" s="6"/>
      <c r="D54" s="6"/>
      <c r="E54" s="6"/>
      <c r="F54" s="6"/>
      <c r="G54" s="6"/>
      <c r="H54" s="6"/>
      <c r="I54" s="6"/>
      <c r="J54" s="6"/>
      <c r="K54" s="6"/>
      <c r="L54" s="6"/>
      <c r="M54" s="6"/>
      <c r="N54" s="6"/>
      <c r="O54" s="6"/>
      <c r="P54" s="6"/>
      <c r="Q54" s="6"/>
      <c r="R54" s="6"/>
      <c r="S54" s="6"/>
      <c r="T54" s="6"/>
    </row>
    <row r="55" customFormat="false" ht="15" hidden="false" customHeight="false" outlineLevel="0" collapsed="false">
      <c r="A55" s="6"/>
      <c r="B55" s="6"/>
      <c r="C55" s="6"/>
      <c r="D55" s="6"/>
      <c r="E55" s="6"/>
      <c r="F55" s="6"/>
      <c r="G55" s="6"/>
      <c r="H55" s="6"/>
      <c r="I55" s="6"/>
      <c r="J55" s="6"/>
      <c r="K55" s="6"/>
      <c r="L55" s="6"/>
      <c r="M55" s="6"/>
      <c r="N55" s="6"/>
      <c r="O55" s="6"/>
      <c r="P55" s="6"/>
      <c r="Q55" s="6"/>
      <c r="R55" s="6"/>
      <c r="S55" s="6"/>
      <c r="T55" s="6"/>
    </row>
    <row r="56" customFormat="false" ht="15" hidden="false" customHeight="false" outlineLevel="0" collapsed="false">
      <c r="A56" s="6"/>
      <c r="B56" s="6"/>
      <c r="C56" s="6"/>
      <c r="D56" s="6"/>
      <c r="E56" s="6"/>
      <c r="F56" s="6"/>
      <c r="G56" s="6"/>
      <c r="H56" s="6"/>
      <c r="I56" s="6"/>
      <c r="J56" s="6"/>
      <c r="K56" s="6"/>
      <c r="L56" s="6"/>
      <c r="M56" s="6"/>
      <c r="N56" s="6"/>
      <c r="O56" s="6"/>
      <c r="P56" s="6"/>
      <c r="Q56" s="6"/>
      <c r="R56" s="6"/>
      <c r="S56" s="6"/>
      <c r="T56" s="6"/>
    </row>
    <row r="57" customFormat="false" ht="15" hidden="false" customHeight="false" outlineLevel="0" collapsed="false">
      <c r="A57" s="6"/>
      <c r="B57" s="6"/>
      <c r="C57" s="6"/>
      <c r="D57" s="6"/>
      <c r="E57" s="6"/>
      <c r="F57" s="6"/>
      <c r="G57" s="6"/>
      <c r="H57" s="6"/>
      <c r="I57" s="6"/>
      <c r="J57" s="6"/>
      <c r="K57" s="6"/>
      <c r="L57" s="6"/>
      <c r="M57" s="6"/>
      <c r="N57" s="6"/>
      <c r="O57" s="6"/>
      <c r="P57" s="6"/>
      <c r="Q57" s="6"/>
      <c r="R57" s="6"/>
      <c r="S57" s="6"/>
      <c r="T57" s="6"/>
    </row>
    <row r="58" customFormat="false" ht="15" hidden="false" customHeight="false" outlineLevel="0" collapsed="false">
      <c r="A58" s="6"/>
      <c r="B58" s="6"/>
      <c r="C58" s="6"/>
      <c r="D58" s="6"/>
      <c r="E58" s="6"/>
      <c r="F58" s="6"/>
      <c r="G58" s="6"/>
      <c r="H58" s="6"/>
      <c r="I58" s="6"/>
      <c r="J58" s="6"/>
      <c r="K58" s="6"/>
      <c r="L58" s="6"/>
      <c r="M58" s="6"/>
      <c r="N58" s="6"/>
      <c r="O58" s="6"/>
      <c r="P58" s="6"/>
      <c r="Q58" s="6"/>
      <c r="R58" s="6"/>
      <c r="S58" s="6"/>
      <c r="T58" s="6"/>
    </row>
    <row r="59" customFormat="false" ht="15" hidden="false" customHeight="false" outlineLevel="0" collapsed="false">
      <c r="A59" s="6"/>
      <c r="B59" s="6"/>
      <c r="C59" s="6"/>
      <c r="D59" s="6"/>
      <c r="E59" s="6"/>
      <c r="F59" s="6"/>
      <c r="G59" s="6"/>
      <c r="H59" s="6"/>
      <c r="I59" s="6"/>
      <c r="J59" s="6"/>
      <c r="K59" s="6"/>
      <c r="L59" s="6"/>
      <c r="M59" s="6"/>
      <c r="N59" s="6"/>
      <c r="O59" s="6"/>
      <c r="P59" s="6"/>
      <c r="Q59" s="6"/>
      <c r="R59" s="6"/>
      <c r="S59" s="6"/>
      <c r="T59" s="6"/>
    </row>
    <row r="60" customFormat="false" ht="15" hidden="false" customHeight="false" outlineLevel="0" collapsed="false">
      <c r="A60" s="6"/>
      <c r="B60" s="6"/>
      <c r="C60" s="6"/>
      <c r="D60" s="6"/>
      <c r="E60" s="6"/>
      <c r="F60" s="6"/>
      <c r="G60" s="6"/>
      <c r="H60" s="6"/>
      <c r="I60" s="6"/>
      <c r="J60" s="6"/>
      <c r="K60" s="6"/>
      <c r="L60" s="6"/>
      <c r="M60" s="6"/>
      <c r="N60" s="6"/>
      <c r="O60" s="6"/>
      <c r="P60" s="6"/>
      <c r="Q60" s="6"/>
      <c r="R60" s="6"/>
      <c r="S60" s="6"/>
      <c r="T60" s="6"/>
    </row>
    <row r="61" customFormat="false" ht="15" hidden="false" customHeight="false" outlineLevel="0" collapsed="false">
      <c r="A61" s="6"/>
      <c r="B61" s="6"/>
      <c r="C61" s="6"/>
      <c r="D61" s="6"/>
      <c r="E61" s="6"/>
      <c r="F61" s="6"/>
      <c r="G61" s="6"/>
      <c r="H61" s="6"/>
      <c r="I61" s="6"/>
      <c r="J61" s="6"/>
      <c r="K61" s="6"/>
      <c r="L61" s="6"/>
      <c r="M61" s="6"/>
      <c r="N61" s="6"/>
      <c r="O61" s="6"/>
      <c r="P61" s="6"/>
      <c r="Q61" s="6"/>
      <c r="R61" s="6"/>
      <c r="S61" s="6"/>
      <c r="T61" s="6"/>
    </row>
    <row r="62" customFormat="false" ht="15" hidden="false" customHeight="false" outlineLevel="0" collapsed="false">
      <c r="A62" s="6"/>
      <c r="B62" s="6"/>
      <c r="C62" s="6"/>
      <c r="D62" s="6"/>
      <c r="E62" s="6"/>
      <c r="F62" s="6"/>
      <c r="G62" s="6"/>
      <c r="H62" s="6"/>
      <c r="I62" s="6"/>
      <c r="J62" s="6"/>
      <c r="K62" s="6"/>
      <c r="L62" s="6"/>
      <c r="M62" s="6"/>
      <c r="N62" s="6"/>
      <c r="O62" s="6"/>
      <c r="P62" s="6"/>
      <c r="Q62" s="6"/>
      <c r="R62" s="6"/>
      <c r="S62" s="6"/>
      <c r="T62" s="6"/>
    </row>
    <row r="63" customFormat="false" ht="15" hidden="false" customHeight="false" outlineLevel="0" collapsed="false">
      <c r="A63" s="6"/>
      <c r="B63" s="6"/>
      <c r="C63" s="6"/>
      <c r="D63" s="6"/>
      <c r="E63" s="6"/>
      <c r="F63" s="6"/>
      <c r="G63" s="6"/>
      <c r="H63" s="6"/>
      <c r="I63" s="6"/>
      <c r="J63" s="6"/>
      <c r="K63" s="6"/>
      <c r="L63" s="6"/>
      <c r="M63" s="6"/>
      <c r="N63" s="6"/>
      <c r="O63" s="6"/>
      <c r="P63" s="6"/>
      <c r="Q63" s="6"/>
      <c r="R63" s="6"/>
      <c r="S63" s="6"/>
      <c r="T63" s="6"/>
    </row>
    <row r="64" customFormat="false" ht="15" hidden="false" customHeight="false" outlineLevel="0" collapsed="false">
      <c r="A64" s="6"/>
      <c r="B64" s="6"/>
      <c r="C64" s="6"/>
      <c r="D64" s="6"/>
      <c r="E64" s="6"/>
      <c r="F64" s="6"/>
      <c r="G64" s="6"/>
      <c r="H64" s="6"/>
      <c r="I64" s="6"/>
      <c r="J64" s="6"/>
      <c r="K64" s="6"/>
      <c r="L64" s="6"/>
      <c r="M64" s="6"/>
      <c r="N64" s="6"/>
      <c r="O64" s="6"/>
      <c r="P64" s="6"/>
      <c r="Q64" s="6"/>
      <c r="R64" s="6"/>
      <c r="S64" s="6"/>
      <c r="T64" s="6"/>
    </row>
  </sheetData>
  <mergeCells count="2">
    <mergeCell ref="A1:T1"/>
    <mergeCell ref="A2:T2"/>
  </mergeCells>
  <dataValidations count="5">
    <dataValidation allowBlank="true" errorStyle="stop" operator="between" showDropDown="false" showErrorMessage="false" showInputMessage="false" sqref="K5:K64" type="list">
      <formula1>"Prairie,Aspen parkland,Black Oak savannah,Interior BC bunchgrass,Other"</formula1>
      <formula2>0</formula2>
    </dataValidation>
    <dataValidation allowBlank="true" errorStyle="stop" operator="between" showDropDown="false" showErrorMessage="false" showInputMessage="false" sqref="L5:L64" type="list">
      <formula1>"Never cultivated,Cultivated and reseeded,Long-term tame pasture,Hayed,Unknown"</formula1>
      <formula2>0</formula2>
    </dataValidation>
    <dataValidation allowBlank="true" errorStyle="stop" operator="between" showDropDown="false" showErrorMessage="false" showInputMessage="false" sqref="M5:M64" type="list">
      <formula1>"None,Season-long,Rotational,Heavy,Unknown"</formula1>
      <formula2>0</formula2>
    </dataValidation>
    <dataValidation allowBlank="true" errorStyle="stop" operator="between" showDropDown="false" showErrorMessage="false" showInputMessage="false" sqref="O5:O64" type="list">
      <formula1>"Never cultivated,Cultivated,reseeded,Cultivated,abandoned,Long-term tame pasture,Unknown"</formula1>
      <formula2>0</formula2>
    </dataValidation>
    <dataValidation allowBlank="true" errorStyle="stop" operator="between" showDropDown="false" showErrorMessage="false" showInputMessage="false" sqref="Q5:Q64" type="list">
      <formula1>"Native sward,Tame or introduced,Mixed,Unknown"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4" min="3" style="0" width="11"/>
    <col collapsed="false" customWidth="true" hidden="false" outlineLevel="0" max="5" min="5" style="0" width="12"/>
    <col collapsed="false" customWidth="true" hidden="false" outlineLevel="0" max="6" min="6" style="0" width="11"/>
    <col collapsed="false" customWidth="true" hidden="false" outlineLevel="0" max="9" min="7" style="0" width="12"/>
    <col collapsed="false" customWidth="true" hidden="false" outlineLevel="0" max="10" min="10" style="0" width="11"/>
    <col collapsed="false" customWidth="true" hidden="false" outlineLevel="0" max="11" min="11" style="0" width="13"/>
    <col collapsed="false" customWidth="true" hidden="false" outlineLevel="0" max="12" min="12" style="0" width="20"/>
    <col collapsed="false" customWidth="true" hidden="false" outlineLevel="0" max="13" min="13" style="0" width="13"/>
    <col collapsed="false" customWidth="true" hidden="false" outlineLevel="0" max="15" min="14" style="0" width="12"/>
    <col collapsed="false" customWidth="true" hidden="false" outlineLevel="0" max="18" min="16" style="0" width="15"/>
    <col collapsed="false" customWidth="true" hidden="false" outlineLevel="0" max="19" min="19" style="0" width="46"/>
    <col collapsed="false" customWidth="true" hidden="false" outlineLevel="0" max="20" min="20" style="0" width="30"/>
    <col collapsed="false" customWidth="true" hidden="false" outlineLevel="0" max="21" min="21" style="0" width="8"/>
  </cols>
  <sheetData>
    <row r="1" customFormat="false" ht="17.35" hidden="false" customHeight="false" outlineLevel="0" collapsed="false">
      <c r="A1" s="1" t="s">
        <v>89</v>
      </c>
      <c r="B1" s="1"/>
      <c r="C1" s="1"/>
      <c r="D1" s="1"/>
      <c r="E1" s="1"/>
      <c r="F1" s="1"/>
      <c r="G1" s="1"/>
      <c r="H1" s="1"/>
      <c r="I1" s="1"/>
      <c r="J1" s="1"/>
      <c r="K1" s="1"/>
      <c r="L1" s="1"/>
      <c r="M1" s="1"/>
      <c r="N1" s="1"/>
      <c r="O1" s="1"/>
      <c r="P1" s="1"/>
      <c r="Q1" s="1"/>
      <c r="R1" s="1"/>
      <c r="S1" s="1"/>
      <c r="T1" s="1"/>
      <c r="U1" s="1"/>
    </row>
    <row r="2" customFormat="false" ht="31.5" hidden="false" customHeight="true" outlineLevel="0" collapsed="false">
      <c r="A2" s="2" t="s">
        <v>90</v>
      </c>
      <c r="B2" s="2"/>
      <c r="C2" s="2"/>
      <c r="D2" s="2"/>
      <c r="E2" s="2"/>
      <c r="F2" s="2"/>
      <c r="G2" s="2"/>
      <c r="H2" s="2"/>
      <c r="I2" s="2"/>
      <c r="J2" s="2"/>
      <c r="K2" s="2"/>
      <c r="L2" s="2"/>
      <c r="M2" s="2"/>
      <c r="N2" s="2"/>
      <c r="O2" s="2"/>
      <c r="P2" s="2"/>
      <c r="Q2" s="2"/>
      <c r="R2" s="2"/>
      <c r="S2" s="2"/>
      <c r="T2" s="2"/>
      <c r="U2" s="2"/>
    </row>
    <row r="4" customFormat="false" ht="45.75" hidden="false" customHeight="true" outlineLevel="0" collapsed="false">
      <c r="A4" s="14" t="s">
        <v>45</v>
      </c>
      <c r="B4" s="14" t="s">
        <v>91</v>
      </c>
      <c r="C4" s="14" t="s">
        <v>92</v>
      </c>
      <c r="D4" s="14" t="s">
        <v>93</v>
      </c>
      <c r="E4" s="14" t="s">
        <v>94</v>
      </c>
      <c r="F4" s="14" t="s">
        <v>95</v>
      </c>
      <c r="G4" s="14" t="s">
        <v>96</v>
      </c>
      <c r="H4" s="14" t="s">
        <v>97</v>
      </c>
      <c r="I4" s="14" t="s">
        <v>98</v>
      </c>
      <c r="J4" s="14" t="s">
        <v>99</v>
      </c>
      <c r="K4" s="14" t="s">
        <v>100</v>
      </c>
      <c r="L4" s="14" t="s">
        <v>101</v>
      </c>
      <c r="M4" s="14" t="s">
        <v>102</v>
      </c>
      <c r="N4" s="14" t="s">
        <v>103</v>
      </c>
      <c r="O4" s="14" t="s">
        <v>104</v>
      </c>
      <c r="P4" s="14" t="s">
        <v>105</v>
      </c>
      <c r="Q4" s="14" t="s">
        <v>106</v>
      </c>
      <c r="R4" s="14" t="s">
        <v>107</v>
      </c>
      <c r="S4" s="14" t="s">
        <v>108</v>
      </c>
      <c r="T4" s="14" t="s">
        <v>64</v>
      </c>
      <c r="U4" s="14" t="s">
        <v>109</v>
      </c>
    </row>
    <row r="5" customFormat="false" ht="15" hidden="false" customHeight="false" outlineLevel="0" collapsed="false">
      <c r="A5" s="6" t="s">
        <v>65</v>
      </c>
      <c r="B5" s="6" t="s">
        <v>110</v>
      </c>
      <c r="C5" s="6" t="n">
        <v>1</v>
      </c>
      <c r="D5" s="6" t="n">
        <v>0</v>
      </c>
      <c r="E5" s="6" t="n">
        <v>10</v>
      </c>
      <c r="F5" s="9" t="n">
        <f aca="false">IF(OR($D5="",$E5=""),"",$E5-$D5)</f>
        <v>10</v>
      </c>
      <c r="G5" s="6" t="n">
        <v>5</v>
      </c>
      <c r="H5" s="6" t="n">
        <v>10</v>
      </c>
      <c r="I5" s="6" t="n">
        <v>10</v>
      </c>
      <c r="J5" s="9" t="n">
        <f aca="false">IF(OR(NOT(ISNUMBER($H5)),NOT(ISNUMBER($I5)),$H5=0),"",$I5/$H5)</f>
        <v>1</v>
      </c>
      <c r="K5" s="6" t="n">
        <v>2</v>
      </c>
      <c r="L5" s="8" t="s">
        <v>111</v>
      </c>
      <c r="M5" s="7" t="n">
        <v>1.019</v>
      </c>
      <c r="N5" s="7" t="n">
        <v>4.816</v>
      </c>
      <c r="O5" s="9" t="n">
        <f aca="false">IF(NOT(ISNUMBER($M5)),"",IF($L5="Fine earth / fine-earth volume",$M5*(1-IF(ISNUMBER($K5),$K5,0)/100),$M5))</f>
        <v>1.019</v>
      </c>
      <c r="P5" s="9" t="n">
        <f aca="false">IF(OR(NOT(ISNUMBER($O5)),NOT(ISNUMBER($N5)),NOT(ISNUMBER($F5))),"",$O5*($N5/100)*$F5*10)</f>
        <v>4.907504</v>
      </c>
      <c r="Q5" s="9" t="n">
        <f aca="false">IF(OR(NOT(ISNUMBER($D5)),NOT(ISNUMBER($E5))),"",MAX(0,MIN($E5,SOIL_REPORTING_DEPTH_CM)-MIN($D5,SOIL_REPORTING_DEPTH_CM)))</f>
        <v>10</v>
      </c>
      <c r="R5" s="9" t="n">
        <f aca="false">IF(OR(NOT(ISNUMBER($O5)),NOT(ISNUMBER($N5)),NOT(ISNUMBER($Q5))),"",$O5*($N5/100)*$Q5*10)</f>
        <v>4.907504</v>
      </c>
      <c r="S5" s="11" t="str">
        <f aca="false">IF(AND($A5="",$B5="",$D5=""),"",IF(AND($A5&lt;&gt;"",COUNTIF('1. Plot &amp; Site Log'!$A$5:$A$64,$A5)=0),"Plot ID not in the Plot &amp; Site Log. ","")&amp;IF(AND(ISNUMBER($D5),ISNUMBER($E5),$E5&lt;=$D5),"Bottom depth is not below top depth. ","")&amp;IF($L5="Not confirmed","Bulk-density basis not confirmed with the lab — the coarse-fragment correction may be wrong or doubled. ","")&amp;IF(LAB_BULK_DENSITY_BASIS="Not confirmed","No lab bulk-density basis is on file in Settings (LAB_BULK_DENSITY_BASIS), so nothing checks this row. ","")&amp;IF(AND($L5&lt;&gt;"",LAB_BULK_DENSITY_BASIS&lt;&gt;"Not confirmed",$L5&lt;&gt;LAB_BULK_DENSITY_BASIS),"This row's bulk-density basis disagrees with the lab method on file. One of "&amp;"the two is wrong, and the coarse-fragment correction follows the row. ","")&amp;IF(AND(ISNUMBER($M5),OR($M5&lt;QC_BD_MIN,$M5&gt;QC_BD_MAX)),"Bulk density outside the plausible range for a mineral grassland soil. ","")&amp;IF(AND(ISNUMBER($N5),$N5&gt;QC_CARBON_PCT_MAX),"Organic carbon above the QC ceiling — check units, and whether this is an organic horizon. ","")&amp;IF(AND(ISNUMBER($J5),$J5&lt;QC_RECOVERY_MIN),"Recovered less than the QC minimum of the depth driven — the increments may not sit where you think. Do NOT stretch them back out. ","")&amp;IF(AND(ISNUMBER($K5),$K5&gt;0,$L5="Fine earth / total volume"),"Coarse fragments recorded and the lab basis already accounts for them — no further correction applied, which is correct. ",""))</f>
        <v>Coarse fragments recorded and the lab basis already accounts for them — no further correction applied, which is correct. </v>
      </c>
      <c r="T5" s="6"/>
      <c r="U5" s="9" t="n">
        <f aca="false">IF($B5="",0,IF(COUNTIFS($B$5:$B5,$B5)=1,1,0))</f>
        <v>1</v>
      </c>
    </row>
    <row r="6" customFormat="false" ht="15" hidden="false" customHeight="false" outlineLevel="0" collapsed="false">
      <c r="A6" s="6" t="s">
        <v>65</v>
      </c>
      <c r="B6" s="6" t="s">
        <v>110</v>
      </c>
      <c r="C6" s="6" t="n">
        <v>2</v>
      </c>
      <c r="D6" s="6" t="n">
        <v>10</v>
      </c>
      <c r="E6" s="6" t="n">
        <v>20</v>
      </c>
      <c r="F6" s="9" t="n">
        <f aca="false">IF(OR($D6="",$E6=""),"",$E6-$D6)</f>
        <v>10</v>
      </c>
      <c r="G6" s="6" t="n">
        <v>5</v>
      </c>
      <c r="H6" s="6" t="n">
        <v>20</v>
      </c>
      <c r="I6" s="6" t="n">
        <v>20</v>
      </c>
      <c r="J6" s="9" t="n">
        <f aca="false">IF(OR(NOT(ISNUMBER($H6)),NOT(ISNUMBER($I6)),$H6=0),"",$I6/$H6)</f>
        <v>1</v>
      </c>
      <c r="K6" s="6" t="n">
        <v>2</v>
      </c>
      <c r="L6" s="8" t="s">
        <v>111</v>
      </c>
      <c r="M6" s="7" t="n">
        <v>1.182</v>
      </c>
      <c r="N6" s="7" t="n">
        <v>3.003</v>
      </c>
      <c r="O6" s="9" t="n">
        <f aca="false">IF(NOT(ISNUMBER($M6)),"",IF($L6="Fine earth / fine-earth volume",$M6*(1-IF(ISNUMBER($K6),$K6,0)/100),$M6))</f>
        <v>1.182</v>
      </c>
      <c r="P6" s="9" t="n">
        <f aca="false">IF(OR(NOT(ISNUMBER($O6)),NOT(ISNUMBER($N6)),NOT(ISNUMBER($F6))),"",$O6*($N6/100)*$F6*10)</f>
        <v>3.549546</v>
      </c>
      <c r="Q6" s="9" t="n">
        <f aca="false">IF(OR(NOT(ISNUMBER($D6)),NOT(ISNUMBER($E6))),"",MAX(0,MIN($E6,SOIL_REPORTING_DEPTH_CM)-MIN($D6,SOIL_REPORTING_DEPTH_CM)))</f>
        <v>10</v>
      </c>
      <c r="R6" s="9" t="n">
        <f aca="false">IF(OR(NOT(ISNUMBER($O6)),NOT(ISNUMBER($N6)),NOT(ISNUMBER($Q6))),"",$O6*($N6/100)*$Q6*10)</f>
        <v>3.549546</v>
      </c>
      <c r="S6" s="11" t="str">
        <f aca="false">IF(AND($A6="",$B6="",$D6=""),"",IF(AND($A6&lt;&gt;"",COUNTIF('1. Plot &amp; Site Log'!$A$5:$A$64,$A6)=0),"Plot ID not in the Plot &amp; Site Log. ","")&amp;IF(AND(ISNUMBER($D6),ISNUMBER($E6),$E6&lt;=$D6),"Bottom depth is not below top depth. ","")&amp;IF($L6="Not confirmed","Bulk-density basis not confirmed with the lab — the coarse-fragment correction may be wrong or doubled. ","")&amp;IF(LAB_BULK_DENSITY_BASIS="Not confirmed","No lab bulk-density basis is on file in Settings (LAB_BULK_DENSITY_BASIS), so nothing checks this row. ","")&amp;IF(AND($L6&lt;&gt;"",LAB_BULK_DENSITY_BASIS&lt;&gt;"Not confirmed",$L6&lt;&gt;LAB_BULK_DENSITY_BASIS),"This row's bulk-density basis disagrees with the lab method on file. One of "&amp;"the two is wrong, and the coarse-fragment correction follows the row. ","")&amp;IF(AND(ISNUMBER($M6),OR($M6&lt;QC_BD_MIN,$M6&gt;QC_BD_MAX)),"Bulk density outside the plausible range for a mineral grassland soil. ","")&amp;IF(AND(ISNUMBER($N6),$N6&gt;QC_CARBON_PCT_MAX),"Organic carbon above the QC ceiling — check units, and whether this is an organic horizon. ","")&amp;IF(AND(ISNUMBER($J6),$J6&lt;QC_RECOVERY_MIN),"Recovered less than the QC minimum of the depth driven — the increments may not sit where you think. Do NOT stretch them back out. ","")&amp;IF(AND(ISNUMBER($K6),$K6&gt;0,$L6="Fine earth / total volume"),"Coarse fragments recorded and the lab basis already accounts for them — no further correction applied, which is correct. ",""))</f>
        <v>Coarse fragments recorded and the lab basis already accounts for them — no further correction applied, which is correct. </v>
      </c>
      <c r="T6" s="6"/>
      <c r="U6" s="9" t="n">
        <f aca="false">IF($B6="",0,IF(COUNTIFS($B$5:$B6,$B6)=1,1,0))</f>
        <v>0</v>
      </c>
    </row>
    <row r="7" customFormat="false" ht="15" hidden="false" customHeight="false" outlineLevel="0" collapsed="false">
      <c r="A7" s="6" t="s">
        <v>65</v>
      </c>
      <c r="B7" s="6" t="s">
        <v>110</v>
      </c>
      <c r="C7" s="6" t="n">
        <v>3</v>
      </c>
      <c r="D7" s="6" t="n">
        <v>20</v>
      </c>
      <c r="E7" s="6" t="n">
        <v>30</v>
      </c>
      <c r="F7" s="9" t="n">
        <f aca="false">IF(OR($D7="",$E7=""),"",$E7-$D7)</f>
        <v>10</v>
      </c>
      <c r="G7" s="6" t="n">
        <v>5</v>
      </c>
      <c r="H7" s="6" t="n">
        <v>30</v>
      </c>
      <c r="I7" s="6" t="n">
        <v>30</v>
      </c>
      <c r="J7" s="9" t="n">
        <f aca="false">IF(OR(NOT(ISNUMBER($H7)),NOT(ISNUMBER($I7)),$H7=0),"",$I7/$H7)</f>
        <v>1</v>
      </c>
      <c r="K7" s="6" t="n">
        <v>2</v>
      </c>
      <c r="L7" s="8" t="s">
        <v>111</v>
      </c>
      <c r="M7" s="7" t="n">
        <v>1.283</v>
      </c>
      <c r="N7" s="7" t="n">
        <v>2.1</v>
      </c>
      <c r="O7" s="9" t="n">
        <f aca="false">IF(NOT(ISNUMBER($M7)),"",IF($L7="Fine earth / fine-earth volume",$M7*(1-IF(ISNUMBER($K7),$K7,0)/100),$M7))</f>
        <v>1.283</v>
      </c>
      <c r="P7" s="9" t="n">
        <f aca="false">IF(OR(NOT(ISNUMBER($O7)),NOT(ISNUMBER($N7)),NOT(ISNUMBER($F7))),"",$O7*($N7/100)*$F7*10)</f>
        <v>2.6943</v>
      </c>
      <c r="Q7" s="9" t="n">
        <f aca="false">IF(OR(NOT(ISNUMBER($D7)),NOT(ISNUMBER($E7))),"",MAX(0,MIN($E7,SOIL_REPORTING_DEPTH_CM)-MIN($D7,SOIL_REPORTING_DEPTH_CM)))</f>
        <v>10</v>
      </c>
      <c r="R7" s="9" t="n">
        <f aca="false">IF(OR(NOT(ISNUMBER($O7)),NOT(ISNUMBER($N7)),NOT(ISNUMBER($Q7))),"",$O7*($N7/100)*$Q7*10)</f>
        <v>2.6943</v>
      </c>
      <c r="S7" s="11" t="str">
        <f aca="false">IF(AND($A7="",$B7="",$D7=""),"",IF(AND($A7&lt;&gt;"",COUNTIF('1. Plot &amp; Site Log'!$A$5:$A$64,$A7)=0),"Plot ID not in the Plot &amp; Site Log. ","")&amp;IF(AND(ISNUMBER($D7),ISNUMBER($E7),$E7&lt;=$D7),"Bottom depth is not below top depth. ","")&amp;IF($L7="Not confirmed","Bulk-density basis not confirmed with the lab — the coarse-fragment correction may be wrong or doubled. ","")&amp;IF(LAB_BULK_DENSITY_BASIS="Not confirmed","No lab bulk-density basis is on file in Settings (LAB_BULK_DENSITY_BASIS), so nothing checks this row. ","")&amp;IF(AND($L7&lt;&gt;"",LAB_BULK_DENSITY_BASIS&lt;&gt;"Not confirmed",$L7&lt;&gt;LAB_BULK_DENSITY_BASIS),"This row's bulk-density basis disagrees with the lab method on file. One of "&amp;"the two is wrong, and the coarse-fragment correction follows the row. ","")&amp;IF(AND(ISNUMBER($M7),OR($M7&lt;QC_BD_MIN,$M7&gt;QC_BD_MAX)),"Bulk density outside the plausible range for a mineral grassland soil. ","")&amp;IF(AND(ISNUMBER($N7),$N7&gt;QC_CARBON_PCT_MAX),"Organic carbon above the QC ceiling — check units, and whether this is an organic horizon. ","")&amp;IF(AND(ISNUMBER($J7),$J7&lt;QC_RECOVERY_MIN),"Recovered less than the QC minimum of the depth driven — the increments may not sit where you think. Do NOT stretch them back out. ","")&amp;IF(AND(ISNUMBER($K7),$K7&gt;0,$L7="Fine earth / total volume"),"Coarse fragments recorded and the lab basis already accounts for them — no further correction applied, which is correct. ",""))</f>
        <v>Coarse fragments recorded and the lab basis already accounts for them — no further correction applied, which is correct. </v>
      </c>
      <c r="T7" s="6"/>
      <c r="U7" s="9" t="n">
        <f aca="false">IF($B7="",0,IF(COUNTIFS($B$5:$B7,$B7)=1,1,0))</f>
        <v>0</v>
      </c>
    </row>
    <row r="8" customFormat="false" ht="15" hidden="false" customHeight="false" outlineLevel="0" collapsed="false">
      <c r="A8" s="6" t="s">
        <v>65</v>
      </c>
      <c r="B8" s="6" t="s">
        <v>110</v>
      </c>
      <c r="C8" s="6" t="n">
        <v>4</v>
      </c>
      <c r="D8" s="6" t="n">
        <v>30</v>
      </c>
      <c r="E8" s="6" t="n">
        <v>60</v>
      </c>
      <c r="F8" s="9" t="n">
        <f aca="false">IF(OR($D8="",$E8=""),"",$E8-$D8)</f>
        <v>30</v>
      </c>
      <c r="G8" s="6" t="n">
        <v>5</v>
      </c>
      <c r="H8" s="6" t="n">
        <v>60</v>
      </c>
      <c r="I8" s="6" t="n">
        <v>60</v>
      </c>
      <c r="J8" s="9" t="n">
        <f aca="false">IF(OR(NOT(ISNUMBER($H8)),NOT(ISNUMBER($I8)),$H8=0),"",$I8/$H8)</f>
        <v>1</v>
      </c>
      <c r="K8" s="6" t="n">
        <v>2</v>
      </c>
      <c r="L8" s="8" t="s">
        <v>111</v>
      </c>
      <c r="M8" s="7" t="n">
        <v>1.359</v>
      </c>
      <c r="N8" s="7" t="n">
        <v>1.205</v>
      </c>
      <c r="O8" s="9" t="n">
        <f aca="false">IF(NOT(ISNUMBER($M8)),"",IF($L8="Fine earth / fine-earth volume",$M8*(1-IF(ISNUMBER($K8),$K8,0)/100),$M8))</f>
        <v>1.359</v>
      </c>
      <c r="P8" s="9" t="n">
        <f aca="false">IF(OR(NOT(ISNUMBER($O8)),NOT(ISNUMBER($N8)),NOT(ISNUMBER($F8))),"",$O8*($N8/100)*$F8*10)</f>
        <v>4.912785</v>
      </c>
      <c r="Q8" s="9" t="n">
        <f aca="false">IF(OR(NOT(ISNUMBER($D8)),NOT(ISNUMBER($E8))),"",MAX(0,MIN($E8,SOIL_REPORTING_DEPTH_CM)-MIN($D8,SOIL_REPORTING_DEPTH_CM)))</f>
        <v>0</v>
      </c>
      <c r="R8" s="9" t="n">
        <f aca="false">IF(OR(NOT(ISNUMBER($O8)),NOT(ISNUMBER($N8)),NOT(ISNUMBER($Q8))),"",$O8*($N8/100)*$Q8*10)</f>
        <v>0</v>
      </c>
      <c r="S8" s="11" t="str">
        <f aca="false">IF(AND($A8="",$B8="",$D8=""),"",IF(AND($A8&lt;&gt;"",COUNTIF('1. Plot &amp; Site Log'!$A$5:$A$64,$A8)=0),"Plot ID not in the Plot &amp; Site Log. ","")&amp;IF(AND(ISNUMBER($D8),ISNUMBER($E8),$E8&lt;=$D8),"Bottom depth is not below top depth. ","")&amp;IF($L8="Not confirmed","Bulk-density basis not confirmed with the lab — the coarse-fragment correction may be wrong or doubled. ","")&amp;IF(LAB_BULK_DENSITY_BASIS="Not confirmed","No lab bulk-density basis is on file in Settings (LAB_BULK_DENSITY_BASIS), so nothing checks this row. ","")&amp;IF(AND($L8&lt;&gt;"",LAB_BULK_DENSITY_BASIS&lt;&gt;"Not confirmed",$L8&lt;&gt;LAB_BULK_DENSITY_BASIS),"This row's bulk-density basis disagrees with the lab method on file. One of "&amp;"the two is wrong, and the coarse-fragment correction follows the row. ","")&amp;IF(AND(ISNUMBER($M8),OR($M8&lt;QC_BD_MIN,$M8&gt;QC_BD_MAX)),"Bulk density outside the plausible range for a mineral grassland soil. ","")&amp;IF(AND(ISNUMBER($N8),$N8&gt;QC_CARBON_PCT_MAX),"Organic carbon above the QC ceiling — check units, and whether this is an organic horizon. ","")&amp;IF(AND(ISNUMBER($J8),$J8&lt;QC_RECOVERY_MIN),"Recovered less than the QC minimum of the depth driven — the increments may not sit where you think. Do NOT stretch them back out. ","")&amp;IF(AND(ISNUMBER($K8),$K8&gt;0,$L8="Fine earth / total volume"),"Coarse fragments recorded and the lab basis already accounts for them — no further correction applied, which is correct. ",""))</f>
        <v>Coarse fragments recorded and the lab basis already accounts for them — no further correction applied, which is correct. </v>
      </c>
      <c r="T8" s="6"/>
      <c r="U8" s="9" t="n">
        <f aca="false">IF($B8="",0,IF(COUNTIFS($B$5:$B8,$B8)=1,1,0))</f>
        <v>0</v>
      </c>
    </row>
    <row r="9" customFormat="false" ht="15" hidden="false" customHeight="false" outlineLevel="0" collapsed="false">
      <c r="A9" s="6" t="s">
        <v>76</v>
      </c>
      <c r="B9" s="6" t="s">
        <v>112</v>
      </c>
      <c r="C9" s="6" t="n">
        <v>1</v>
      </c>
      <c r="D9" s="6" t="n">
        <v>0</v>
      </c>
      <c r="E9" s="6" t="n">
        <v>10</v>
      </c>
      <c r="F9" s="9" t="n">
        <f aca="false">IF(OR($D9="",$E9=""),"",$E9-$D9)</f>
        <v>10</v>
      </c>
      <c r="G9" s="6" t="n">
        <v>5</v>
      </c>
      <c r="H9" s="6" t="n">
        <v>10</v>
      </c>
      <c r="I9" s="6" t="n">
        <v>10</v>
      </c>
      <c r="J9" s="9" t="n">
        <f aca="false">IF(OR(NOT(ISNUMBER($H9)),NOT(ISNUMBER($I9)),$H9=0),"",$I9/$H9)</f>
        <v>1</v>
      </c>
      <c r="K9" s="6" t="n">
        <v>2</v>
      </c>
      <c r="L9" s="8" t="s">
        <v>113</v>
      </c>
      <c r="M9" s="7" t="n">
        <v>1.02</v>
      </c>
      <c r="N9" s="7" t="n">
        <v>4.418</v>
      </c>
      <c r="O9" s="9" t="n">
        <f aca="false">IF(NOT(ISNUMBER($M9)),"",IF($L9="Fine earth / fine-earth volume",$M9*(1-IF(ISNUMBER($K9),$K9,0)/100),$M9))</f>
        <v>1.02</v>
      </c>
      <c r="P9" s="9" t="n">
        <f aca="false">IF(OR(NOT(ISNUMBER($O9)),NOT(ISNUMBER($N9)),NOT(ISNUMBER($F9))),"",$O9*($N9/100)*$F9*10)</f>
        <v>4.50636</v>
      </c>
      <c r="Q9" s="9" t="n">
        <f aca="false">IF(OR(NOT(ISNUMBER($D9)),NOT(ISNUMBER($E9))),"",MAX(0,MIN($E9,SOIL_REPORTING_DEPTH_CM)-MIN($D9,SOIL_REPORTING_DEPTH_CM)))</f>
        <v>10</v>
      </c>
      <c r="R9" s="9" t="n">
        <f aca="false">IF(OR(NOT(ISNUMBER($O9)),NOT(ISNUMBER($N9)),NOT(ISNUMBER($Q9))),"",$O9*($N9/100)*$Q9*10)</f>
        <v>4.50636</v>
      </c>
      <c r="S9" s="11" t="str">
        <f aca="false">IF(AND($A9="",$B9="",$D9=""),"",IF(AND($A9&lt;&gt;"",COUNTIF('1. Plot &amp; Site Log'!$A$5:$A$64,$A9)=0),"Plot ID not in the Plot &amp; Site Log. ","")&amp;IF(AND(ISNUMBER($D9),ISNUMBER($E9),$E9&lt;=$D9),"Bottom depth is not below top depth. ","")&amp;IF($L9="Not confirmed","Bulk-density basis not confirmed with the lab — the coarse-fragment correction may be wrong or doubled. ","")&amp;IF(LAB_BULK_DENSITY_BASIS="Not confirmed","No lab bulk-density basis is on file in Settings (LAB_BULK_DENSITY_BASIS), so nothing checks this row. ","")&amp;IF(AND($L9&lt;&gt;"",LAB_BULK_DENSITY_BASIS&lt;&gt;"Not confirmed",$L9&lt;&gt;LAB_BULK_DENSITY_BASIS),"This row's bulk-density basis disagrees with the lab method on file. One of "&amp;"the two is wrong, and the coarse-fragment correction follows the row. ","")&amp;IF(AND(ISNUMBER($M9),OR($M9&lt;QC_BD_MIN,$M9&gt;QC_BD_MAX)),"Bulk density outside the plausible range for a mineral grassland soil. ","")&amp;IF(AND(ISNUMBER($N9),$N9&gt;QC_CARBON_PCT_MAX),"Organic carbon above the QC ceiling — check units, and whether this is an organic horizon. ","")&amp;IF(AND(ISNUMBER($J9),$J9&lt;QC_RECOVERY_MIN),"Recovered less than the QC minimum of the depth driven — the increments may not sit where you think. Do NOT stretch them back out. ","")&amp;IF(AND(ISNUMBER($K9),$K9&gt;0,$L9="Fine earth / total volume"),"Coarse fragments recorded and the lab basis already accounts for them — no further correction applied, which is correct. ",""))</f>
        <v>Bulk-density basis not confirmed with the lab — the coarse-fragment correction may be wrong or doubled. This row's bulk-density basis disagrees with the lab method on file. One of the two is wrong, and the coarse-fragment correction follows the row. </v>
      </c>
      <c r="T9" s="6"/>
      <c r="U9" s="9" t="n">
        <f aca="false">IF($B9="",0,IF(COUNTIFS($B$5:$B9,$B9)=1,1,0))</f>
        <v>1</v>
      </c>
    </row>
    <row r="10" customFormat="false" ht="15" hidden="false" customHeight="false" outlineLevel="0" collapsed="false">
      <c r="A10" s="6" t="s">
        <v>76</v>
      </c>
      <c r="B10" s="6" t="s">
        <v>112</v>
      </c>
      <c r="C10" s="6" t="n">
        <v>2</v>
      </c>
      <c r="D10" s="6" t="n">
        <v>10</v>
      </c>
      <c r="E10" s="6" t="n">
        <v>20</v>
      </c>
      <c r="F10" s="9" t="n">
        <f aca="false">IF(OR($D10="",$E10=""),"",$E10-$D10)</f>
        <v>10</v>
      </c>
      <c r="G10" s="6" t="n">
        <v>5</v>
      </c>
      <c r="H10" s="6" t="n">
        <v>20</v>
      </c>
      <c r="I10" s="6" t="n">
        <v>20</v>
      </c>
      <c r="J10" s="9" t="n">
        <f aca="false">IF(OR(NOT(ISNUMBER($H10)),NOT(ISNUMBER($I10)),$H10=0),"",$I10/$H10)</f>
        <v>1</v>
      </c>
      <c r="K10" s="6" t="n">
        <v>2</v>
      </c>
      <c r="L10" s="8" t="s">
        <v>113</v>
      </c>
      <c r="M10" s="7" t="n">
        <v>1.182</v>
      </c>
      <c r="N10" s="7" t="n">
        <v>2.75</v>
      </c>
      <c r="O10" s="9" t="n">
        <f aca="false">IF(NOT(ISNUMBER($M10)),"",IF($L10="Fine earth / fine-earth volume",$M10*(1-IF(ISNUMBER($K10),$K10,0)/100),$M10))</f>
        <v>1.182</v>
      </c>
      <c r="P10" s="9" t="n">
        <f aca="false">IF(OR(NOT(ISNUMBER($O10)),NOT(ISNUMBER($N10)),NOT(ISNUMBER($F10))),"",$O10*($N10/100)*$F10*10)</f>
        <v>3.2505</v>
      </c>
      <c r="Q10" s="9" t="n">
        <f aca="false">IF(OR(NOT(ISNUMBER($D10)),NOT(ISNUMBER($E10))),"",MAX(0,MIN($E10,SOIL_REPORTING_DEPTH_CM)-MIN($D10,SOIL_REPORTING_DEPTH_CM)))</f>
        <v>10</v>
      </c>
      <c r="R10" s="9" t="n">
        <f aca="false">IF(OR(NOT(ISNUMBER($O10)),NOT(ISNUMBER($N10)),NOT(ISNUMBER($Q10))),"",$O10*($N10/100)*$Q10*10)</f>
        <v>3.2505</v>
      </c>
      <c r="S10" s="11" t="str">
        <f aca="false">IF(AND($A10="",$B10="",$D10=""),"",IF(AND($A10&lt;&gt;"",COUNTIF('1. Plot &amp; Site Log'!$A$5:$A$64,$A10)=0),"Plot ID not in the Plot &amp; Site Log. ","")&amp;IF(AND(ISNUMBER($D10),ISNUMBER($E10),$E10&lt;=$D10),"Bottom depth is not below top depth. ","")&amp;IF($L10="Not confirmed","Bulk-density basis not confirmed with the lab — the coarse-fragment correction may be wrong or doubled. ","")&amp;IF(LAB_BULK_DENSITY_BASIS="Not confirmed","No lab bulk-density basis is on file in Settings (LAB_BULK_DENSITY_BASIS), so nothing checks this row. ","")&amp;IF(AND($L10&lt;&gt;"",LAB_BULK_DENSITY_BASIS&lt;&gt;"Not confirmed",$L10&lt;&gt;LAB_BULK_DENSITY_BASIS),"This row's bulk-density basis disagrees with the lab method on file. One of "&amp;"the two is wrong, and the coarse-fragment correction follows the row. ","")&amp;IF(AND(ISNUMBER($M10),OR($M10&lt;QC_BD_MIN,$M10&gt;QC_BD_MAX)),"Bulk density outside the plausible range for a mineral grassland soil. ","")&amp;IF(AND(ISNUMBER($N10),$N10&gt;QC_CARBON_PCT_MAX),"Organic carbon above the QC ceiling — check units, and whether this is an organic horizon. ","")&amp;IF(AND(ISNUMBER($J10),$J10&lt;QC_RECOVERY_MIN),"Recovered less than the QC minimum of the depth driven — the increments may not sit where you think. Do NOT stretch them back out. ","")&amp;IF(AND(ISNUMBER($K10),$K10&gt;0,$L10="Fine earth / total volume"),"Coarse fragments recorded and the lab basis already accounts for them — no further correction applied, which is correct. ",""))</f>
        <v>Bulk-density basis not confirmed with the lab — the coarse-fragment correction may be wrong or doubled. This row's bulk-density basis disagrees with the lab method on file. One of the two is wrong, and the coarse-fragment correction follows the row. </v>
      </c>
      <c r="T10" s="6"/>
      <c r="U10" s="9" t="n">
        <f aca="false">IF($B10="",0,IF(COUNTIFS($B$5:$B10,$B10)=1,1,0))</f>
        <v>0</v>
      </c>
    </row>
    <row r="11" customFormat="false" ht="15" hidden="false" customHeight="false" outlineLevel="0" collapsed="false">
      <c r="A11" s="6" t="s">
        <v>76</v>
      </c>
      <c r="B11" s="6" t="s">
        <v>112</v>
      </c>
      <c r="C11" s="6" t="n">
        <v>3</v>
      </c>
      <c r="D11" s="6" t="n">
        <v>20</v>
      </c>
      <c r="E11" s="6" t="n">
        <v>30</v>
      </c>
      <c r="F11" s="9" t="n">
        <f aca="false">IF(OR($D11="",$E11=""),"",$E11-$D11)</f>
        <v>10</v>
      </c>
      <c r="G11" s="6" t="n">
        <v>5</v>
      </c>
      <c r="H11" s="6" t="n">
        <v>30</v>
      </c>
      <c r="I11" s="6" t="n">
        <v>30</v>
      </c>
      <c r="J11" s="9" t="n">
        <f aca="false">IF(OR(NOT(ISNUMBER($H11)),NOT(ISNUMBER($I11)),$H11=0),"",$I11/$H11)</f>
        <v>1</v>
      </c>
      <c r="K11" s="6" t="n">
        <v>2</v>
      </c>
      <c r="L11" s="8" t="s">
        <v>113</v>
      </c>
      <c r="M11" s="7" t="n">
        <v>1.26</v>
      </c>
      <c r="N11" s="7" t="n">
        <v>1.837</v>
      </c>
      <c r="O11" s="9" t="n">
        <f aca="false">IF(NOT(ISNUMBER($M11)),"",IF($L11="Fine earth / fine-earth volume",$M11*(1-IF(ISNUMBER($K11),$K11,0)/100),$M11))</f>
        <v>1.26</v>
      </c>
      <c r="P11" s="9" t="n">
        <f aca="false">IF(OR(NOT(ISNUMBER($O11)),NOT(ISNUMBER($N11)),NOT(ISNUMBER($F11))),"",$O11*($N11/100)*$F11*10)</f>
        <v>2.31462</v>
      </c>
      <c r="Q11" s="9" t="n">
        <f aca="false">IF(OR(NOT(ISNUMBER($D11)),NOT(ISNUMBER($E11))),"",MAX(0,MIN($E11,SOIL_REPORTING_DEPTH_CM)-MIN($D11,SOIL_REPORTING_DEPTH_CM)))</f>
        <v>10</v>
      </c>
      <c r="R11" s="9" t="n">
        <f aca="false">IF(OR(NOT(ISNUMBER($O11)),NOT(ISNUMBER($N11)),NOT(ISNUMBER($Q11))),"",$O11*($N11/100)*$Q11*10)</f>
        <v>2.31462</v>
      </c>
      <c r="S11" s="11" t="str">
        <f aca="false">IF(AND($A11="",$B11="",$D11=""),"",IF(AND($A11&lt;&gt;"",COUNTIF('1. Plot &amp; Site Log'!$A$5:$A$64,$A11)=0),"Plot ID not in the Plot &amp; Site Log. ","")&amp;IF(AND(ISNUMBER($D11),ISNUMBER($E11),$E11&lt;=$D11),"Bottom depth is not below top depth. ","")&amp;IF($L11="Not confirmed","Bulk-density basis not confirmed with the lab — the coarse-fragment correction may be wrong or doubled. ","")&amp;IF(LAB_BULK_DENSITY_BASIS="Not confirmed","No lab bulk-density basis is on file in Settings (LAB_BULK_DENSITY_BASIS), so nothing checks this row. ","")&amp;IF(AND($L11&lt;&gt;"",LAB_BULK_DENSITY_BASIS&lt;&gt;"Not confirmed",$L11&lt;&gt;LAB_BULK_DENSITY_BASIS),"This row's bulk-density basis disagrees with the lab method on file. One of "&amp;"the two is wrong, and the coarse-fragment correction follows the row. ","")&amp;IF(AND(ISNUMBER($M11),OR($M11&lt;QC_BD_MIN,$M11&gt;QC_BD_MAX)),"Bulk density outside the plausible range for a mineral grassland soil. ","")&amp;IF(AND(ISNUMBER($N11),$N11&gt;QC_CARBON_PCT_MAX),"Organic carbon above the QC ceiling — check units, and whether this is an organic horizon. ","")&amp;IF(AND(ISNUMBER($J11),$J11&lt;QC_RECOVERY_MIN),"Recovered less than the QC minimum of the depth driven — the increments may not sit where you think. Do NOT stretch them back out. ","")&amp;IF(AND(ISNUMBER($K11),$K11&gt;0,$L11="Fine earth / total volume"),"Coarse fragments recorded and the lab basis already accounts for them — no further correction applied, which is correct. ",""))</f>
        <v>Bulk-density basis not confirmed with the lab — the coarse-fragment correction may be wrong or doubled. This row's bulk-density basis disagrees with the lab method on file. One of the two is wrong, and the coarse-fragment correction follows the row. </v>
      </c>
      <c r="T11" s="6"/>
      <c r="U11" s="9" t="n">
        <f aca="false">IF($B11="",0,IF(COUNTIFS($B$5:$B11,$B11)=1,1,0))</f>
        <v>0</v>
      </c>
    </row>
    <row r="12" customFormat="false" ht="15" hidden="false" customHeight="false" outlineLevel="0" collapsed="false">
      <c r="A12" s="6" t="s">
        <v>76</v>
      </c>
      <c r="B12" s="6" t="s">
        <v>112</v>
      </c>
      <c r="C12" s="6" t="n">
        <v>4</v>
      </c>
      <c r="D12" s="6" t="n">
        <v>30</v>
      </c>
      <c r="E12" s="6" t="n">
        <v>60</v>
      </c>
      <c r="F12" s="9" t="n">
        <f aca="false">IF(OR($D12="",$E12=""),"",$E12-$D12)</f>
        <v>30</v>
      </c>
      <c r="G12" s="6" t="n">
        <v>5</v>
      </c>
      <c r="H12" s="6" t="n">
        <v>60</v>
      </c>
      <c r="I12" s="6" t="n">
        <v>60</v>
      </c>
      <c r="J12" s="9" t="n">
        <f aca="false">IF(OR(NOT(ISNUMBER($H12)),NOT(ISNUMBER($I12)),$H12=0),"",$I12/$H12)</f>
        <v>1</v>
      </c>
      <c r="K12" s="6" t="n">
        <v>2</v>
      </c>
      <c r="L12" s="8" t="s">
        <v>113</v>
      </c>
      <c r="M12" s="7" t="n">
        <v>1.36</v>
      </c>
      <c r="N12" s="7" t="n">
        <v>1.105</v>
      </c>
      <c r="O12" s="9" t="n">
        <f aca="false">IF(NOT(ISNUMBER($M12)),"",IF($L12="Fine earth / fine-earth volume",$M12*(1-IF(ISNUMBER($K12),$K12,0)/100),$M12))</f>
        <v>1.36</v>
      </c>
      <c r="P12" s="9" t="n">
        <f aca="false">IF(OR(NOT(ISNUMBER($O12)),NOT(ISNUMBER($N12)),NOT(ISNUMBER($F12))),"",$O12*($N12/100)*$F12*10)</f>
        <v>4.5084</v>
      </c>
      <c r="Q12" s="9" t="n">
        <f aca="false">IF(OR(NOT(ISNUMBER($D12)),NOT(ISNUMBER($E12))),"",MAX(0,MIN($E12,SOIL_REPORTING_DEPTH_CM)-MIN($D12,SOIL_REPORTING_DEPTH_CM)))</f>
        <v>0</v>
      </c>
      <c r="R12" s="9" t="n">
        <f aca="false">IF(OR(NOT(ISNUMBER($O12)),NOT(ISNUMBER($N12)),NOT(ISNUMBER($Q12))),"",$O12*($N12/100)*$Q12*10)</f>
        <v>0</v>
      </c>
      <c r="S12" s="11" t="str">
        <f aca="false">IF(AND($A12="",$B12="",$D12=""),"",IF(AND($A12&lt;&gt;"",COUNTIF('1. Plot &amp; Site Log'!$A$5:$A$64,$A12)=0),"Plot ID not in the Plot &amp; Site Log. ","")&amp;IF(AND(ISNUMBER($D12),ISNUMBER($E12),$E12&lt;=$D12),"Bottom depth is not below top depth. ","")&amp;IF($L12="Not confirmed","Bulk-density basis not confirmed with the lab — the coarse-fragment correction may be wrong or doubled. ","")&amp;IF(LAB_BULK_DENSITY_BASIS="Not confirmed","No lab bulk-density basis is on file in Settings (LAB_BULK_DENSITY_BASIS), so nothing checks this row. ","")&amp;IF(AND($L12&lt;&gt;"",LAB_BULK_DENSITY_BASIS&lt;&gt;"Not confirmed",$L12&lt;&gt;LAB_BULK_DENSITY_BASIS),"This row's bulk-density basis disagrees with the lab method on file. One of "&amp;"the two is wrong, and the coarse-fragment correction follows the row. ","")&amp;IF(AND(ISNUMBER($M12),OR($M12&lt;QC_BD_MIN,$M12&gt;QC_BD_MAX)),"Bulk density outside the plausible range for a mineral grassland soil. ","")&amp;IF(AND(ISNUMBER($N12),$N12&gt;QC_CARBON_PCT_MAX),"Organic carbon above the QC ceiling — check units, and whether this is an organic horizon. ","")&amp;IF(AND(ISNUMBER($J12),$J12&lt;QC_RECOVERY_MIN),"Recovered less than the QC minimum of the depth driven — the increments may not sit where you think. Do NOT stretch them back out. ","")&amp;IF(AND(ISNUMBER($K12),$K12&gt;0,$L12="Fine earth / total volume"),"Coarse fragments recorded and the lab basis already accounts for them — no further correction applied, which is correct. ",""))</f>
        <v>Bulk-density basis not confirmed with the lab — the coarse-fragment correction may be wrong or doubled. This row's bulk-density basis disagrees with the lab method on file. One of the two is wrong, and the coarse-fragment correction follows the row. </v>
      </c>
      <c r="T12" s="6"/>
      <c r="U12" s="9" t="n">
        <f aca="false">IF($B12="",0,IF(COUNTIFS($B$5:$B12,$B12)=1,1,0))</f>
        <v>0</v>
      </c>
    </row>
    <row r="13" customFormat="false" ht="15" hidden="false" customHeight="false" outlineLevel="0" collapsed="false">
      <c r="A13" s="6" t="s">
        <v>77</v>
      </c>
      <c r="B13" s="6" t="s">
        <v>114</v>
      </c>
      <c r="C13" s="6" t="n">
        <v>1</v>
      </c>
      <c r="D13" s="6" t="n">
        <v>0</v>
      </c>
      <c r="E13" s="6" t="n">
        <v>10</v>
      </c>
      <c r="F13" s="9" t="n">
        <f aca="false">IF(OR($D13="",$E13=""),"",$E13-$D13)</f>
        <v>10</v>
      </c>
      <c r="G13" s="6" t="n">
        <v>5</v>
      </c>
      <c r="H13" s="6" t="n">
        <v>10</v>
      </c>
      <c r="I13" s="6" t="n">
        <v>9.4</v>
      </c>
      <c r="J13" s="9" t="n">
        <f aca="false">IF(OR(NOT(ISNUMBER($H13)),NOT(ISNUMBER($I13)),$H13=0),"",$I13/$H13)</f>
        <v>0.94</v>
      </c>
      <c r="K13" s="6" t="n">
        <v>2</v>
      </c>
      <c r="L13" s="8" t="s">
        <v>111</v>
      </c>
      <c r="M13" s="7" t="n">
        <v>1.023</v>
      </c>
      <c r="N13" s="7" t="n">
        <v>4.589</v>
      </c>
      <c r="O13" s="9" t="n">
        <f aca="false">IF(NOT(ISNUMBER($M13)),"",IF($L13="Fine earth / fine-earth volume",$M13*(1-IF(ISNUMBER($K13),$K13,0)/100),$M13))</f>
        <v>1.023</v>
      </c>
      <c r="P13" s="9" t="n">
        <f aca="false">IF(OR(NOT(ISNUMBER($O13)),NOT(ISNUMBER($N13)),NOT(ISNUMBER($F13))),"",$O13*($N13/100)*$F13*10)</f>
        <v>4.694547</v>
      </c>
      <c r="Q13" s="9" t="n">
        <f aca="false">IF(OR(NOT(ISNUMBER($D13)),NOT(ISNUMBER($E13))),"",MAX(0,MIN($E13,SOIL_REPORTING_DEPTH_CM)-MIN($D13,SOIL_REPORTING_DEPTH_CM)))</f>
        <v>10</v>
      </c>
      <c r="R13" s="9" t="n">
        <f aca="false">IF(OR(NOT(ISNUMBER($O13)),NOT(ISNUMBER($N13)),NOT(ISNUMBER($Q13))),"",$O13*($N13/100)*$Q13*10)</f>
        <v>4.694547</v>
      </c>
      <c r="S13" s="11" t="str">
        <f aca="false">IF(AND($A13="",$B13="",$D13=""),"",IF(AND($A13&lt;&gt;"",COUNTIF('1. Plot &amp; Site Log'!$A$5:$A$64,$A13)=0),"Plot ID not in the Plot &amp; Site Log. ","")&amp;IF(AND(ISNUMBER($D13),ISNUMBER($E13),$E13&lt;=$D13),"Bottom depth is not below top depth. ","")&amp;IF($L13="Not confirmed","Bulk-density basis not confirmed with the lab — the coarse-fragment correction may be wrong or doubled. ","")&amp;IF(LAB_BULK_DENSITY_BASIS="Not confirmed","No lab bulk-density basis is on file in Settings (LAB_BULK_DENSITY_BASIS), so nothing checks this row. ","")&amp;IF(AND($L13&lt;&gt;"",LAB_BULK_DENSITY_BASIS&lt;&gt;"Not confirmed",$L13&lt;&gt;LAB_BULK_DENSITY_BASIS),"This row's bulk-density basis disagrees with the lab method on file. One of "&amp;"the two is wrong, and the coarse-fragment correction follows the row. ","")&amp;IF(AND(ISNUMBER($M13),OR($M13&lt;QC_BD_MIN,$M13&gt;QC_BD_MAX)),"Bulk density outside the plausible range for a mineral grassland soil. ","")&amp;IF(AND(ISNUMBER($N13),$N13&gt;QC_CARBON_PCT_MAX),"Organic carbon above the QC ceiling — check units, and whether this is an organic horizon. ","")&amp;IF(AND(ISNUMBER($J13),$J13&lt;QC_RECOVERY_MIN),"Recovered less than the QC minimum of the depth driven — the increments may not sit where you think. Do NOT stretch them back out. ","")&amp;IF(AND(ISNUMBER($K13),$K13&gt;0,$L13="Fine earth / total volume"),"Coarse fragments recorded and the lab basis already accounts for them — no further correction applied, which is correct. ",""))</f>
        <v>Coarse fragments recorded and the lab basis already accounts for them — no further correction applied, which is correct. </v>
      </c>
      <c r="T13" s="6"/>
      <c r="U13" s="9" t="n">
        <f aca="false">IF($B13="",0,IF(COUNTIFS($B$5:$B13,$B13)=1,1,0))</f>
        <v>1</v>
      </c>
    </row>
    <row r="14" customFormat="false" ht="15" hidden="false" customHeight="false" outlineLevel="0" collapsed="false">
      <c r="A14" s="6" t="s">
        <v>77</v>
      </c>
      <c r="B14" s="6" t="s">
        <v>114</v>
      </c>
      <c r="C14" s="6" t="n">
        <v>2</v>
      </c>
      <c r="D14" s="6" t="n">
        <v>10</v>
      </c>
      <c r="E14" s="6" t="n">
        <v>20</v>
      </c>
      <c r="F14" s="9" t="n">
        <f aca="false">IF(OR($D14="",$E14=""),"",$E14-$D14)</f>
        <v>10</v>
      </c>
      <c r="G14" s="6" t="n">
        <v>5</v>
      </c>
      <c r="H14" s="6" t="n">
        <v>20</v>
      </c>
      <c r="I14" s="6" t="n">
        <v>18.8</v>
      </c>
      <c r="J14" s="9" t="n">
        <f aca="false">IF(OR(NOT(ISNUMBER($H14)),NOT(ISNUMBER($I14)),$H14=0),"",$I14/$H14)</f>
        <v>0.94</v>
      </c>
      <c r="K14" s="6" t="n">
        <v>2</v>
      </c>
      <c r="L14" s="8" t="s">
        <v>111</v>
      </c>
      <c r="M14" s="7" t="n">
        <v>1.188</v>
      </c>
      <c r="N14" s="7" t="n">
        <v>2.871</v>
      </c>
      <c r="O14" s="9" t="n">
        <f aca="false">IF(NOT(ISNUMBER($M14)),"",IF($L14="Fine earth / fine-earth volume",$M14*(1-IF(ISNUMBER($K14),$K14,0)/100),$M14))</f>
        <v>1.188</v>
      </c>
      <c r="P14" s="9" t="n">
        <f aca="false">IF(OR(NOT(ISNUMBER($O14)),NOT(ISNUMBER($N14)),NOT(ISNUMBER($F14))),"",$O14*($N14/100)*$F14*10)</f>
        <v>3.410748</v>
      </c>
      <c r="Q14" s="9" t="n">
        <f aca="false">IF(OR(NOT(ISNUMBER($D14)),NOT(ISNUMBER($E14))),"",MAX(0,MIN($E14,SOIL_REPORTING_DEPTH_CM)-MIN($D14,SOIL_REPORTING_DEPTH_CM)))</f>
        <v>10</v>
      </c>
      <c r="R14" s="9" t="n">
        <f aca="false">IF(OR(NOT(ISNUMBER($O14)),NOT(ISNUMBER($N14)),NOT(ISNUMBER($Q14))),"",$O14*($N14/100)*$Q14*10)</f>
        <v>3.410748</v>
      </c>
      <c r="S14" s="11" t="str">
        <f aca="false">IF(AND($A14="",$B14="",$D14=""),"",IF(AND($A14&lt;&gt;"",COUNTIF('1. Plot &amp; Site Log'!$A$5:$A$64,$A14)=0),"Plot ID not in the Plot &amp; Site Log. ","")&amp;IF(AND(ISNUMBER($D14),ISNUMBER($E14),$E14&lt;=$D14),"Bottom depth is not below top depth. ","")&amp;IF($L14="Not confirmed","Bulk-density basis not confirmed with the lab — the coarse-fragment correction may be wrong or doubled. ","")&amp;IF(LAB_BULK_DENSITY_BASIS="Not confirmed","No lab bulk-density basis is on file in Settings (LAB_BULK_DENSITY_BASIS), so nothing checks this row. ","")&amp;IF(AND($L14&lt;&gt;"",LAB_BULK_DENSITY_BASIS&lt;&gt;"Not confirmed",$L14&lt;&gt;LAB_BULK_DENSITY_BASIS),"This row's bulk-density basis disagrees with the lab method on file. One of "&amp;"the two is wrong, and the coarse-fragment correction follows the row. ","")&amp;IF(AND(ISNUMBER($M14),OR($M14&lt;QC_BD_MIN,$M14&gt;QC_BD_MAX)),"Bulk density outside the plausible range for a mineral grassland soil. ","")&amp;IF(AND(ISNUMBER($N14),$N14&gt;QC_CARBON_PCT_MAX),"Organic carbon above the QC ceiling — check units, and whether this is an organic horizon. ","")&amp;IF(AND(ISNUMBER($J14),$J14&lt;QC_RECOVERY_MIN),"Recovered less than the QC minimum of the depth driven — the increments may not sit where you think. Do NOT stretch them back out. ","")&amp;IF(AND(ISNUMBER($K14),$K14&gt;0,$L14="Fine earth / total volume"),"Coarse fragments recorded and the lab basis already accounts for them — no further correction applied, which is correct. ",""))</f>
        <v>Coarse fragments recorded and the lab basis already accounts for them — no further correction applied, which is correct. </v>
      </c>
      <c r="T14" s="6"/>
      <c r="U14" s="9" t="n">
        <f aca="false">IF($B14="",0,IF(COUNTIFS($B$5:$B14,$B14)=1,1,0))</f>
        <v>0</v>
      </c>
    </row>
    <row r="15" customFormat="false" ht="15" hidden="false" customHeight="false" outlineLevel="0" collapsed="false">
      <c r="A15" s="6" t="s">
        <v>77</v>
      </c>
      <c r="B15" s="6" t="s">
        <v>114</v>
      </c>
      <c r="C15" s="6" t="n">
        <v>3</v>
      </c>
      <c r="D15" s="6" t="n">
        <v>20</v>
      </c>
      <c r="E15" s="6" t="n">
        <v>30</v>
      </c>
      <c r="F15" s="9" t="n">
        <f aca="false">IF(OR($D15="",$E15=""),"",$E15-$D15)</f>
        <v>10</v>
      </c>
      <c r="G15" s="6" t="n">
        <v>5</v>
      </c>
      <c r="H15" s="6" t="n">
        <v>30</v>
      </c>
      <c r="I15" s="6" t="n">
        <v>28.2</v>
      </c>
      <c r="J15" s="9" t="n">
        <f aca="false">IF(OR(NOT(ISNUMBER($H15)),NOT(ISNUMBER($I15)),$H15=0),"",$I15/$H15)</f>
        <v>0.94</v>
      </c>
      <c r="K15" s="6" t="n">
        <v>2</v>
      </c>
      <c r="L15" s="8" t="s">
        <v>111</v>
      </c>
      <c r="M15" s="7" t="n">
        <v>1.258</v>
      </c>
      <c r="N15" s="7" t="n">
        <v>1.883</v>
      </c>
      <c r="O15" s="9" t="n">
        <f aca="false">IF(NOT(ISNUMBER($M15)),"",IF($L15="Fine earth / fine-earth volume",$M15*(1-IF(ISNUMBER($K15),$K15,0)/100),$M15))</f>
        <v>1.258</v>
      </c>
      <c r="P15" s="9" t="n">
        <f aca="false">IF(OR(NOT(ISNUMBER($O15)),NOT(ISNUMBER($N15)),NOT(ISNUMBER($F15))),"",$O15*($N15/100)*$F15*10)</f>
        <v>2.368814</v>
      </c>
      <c r="Q15" s="9" t="n">
        <f aca="false">IF(OR(NOT(ISNUMBER($D15)),NOT(ISNUMBER($E15))),"",MAX(0,MIN($E15,SOIL_REPORTING_DEPTH_CM)-MIN($D15,SOIL_REPORTING_DEPTH_CM)))</f>
        <v>10</v>
      </c>
      <c r="R15" s="9" t="n">
        <f aca="false">IF(OR(NOT(ISNUMBER($O15)),NOT(ISNUMBER($N15)),NOT(ISNUMBER($Q15))),"",$O15*($N15/100)*$Q15*10)</f>
        <v>2.368814</v>
      </c>
      <c r="S15" s="11" t="str">
        <f aca="false">IF(AND($A15="",$B15="",$D15=""),"",IF(AND($A15&lt;&gt;"",COUNTIF('1. Plot &amp; Site Log'!$A$5:$A$64,$A15)=0),"Plot ID not in the Plot &amp; Site Log. ","")&amp;IF(AND(ISNUMBER($D15),ISNUMBER($E15),$E15&lt;=$D15),"Bottom depth is not below top depth. ","")&amp;IF($L15="Not confirmed","Bulk-density basis not confirmed with the lab — the coarse-fragment correction may be wrong or doubled. ","")&amp;IF(LAB_BULK_DENSITY_BASIS="Not confirmed","No lab bulk-density basis is on file in Settings (LAB_BULK_DENSITY_BASIS), so nothing checks this row. ","")&amp;IF(AND($L15&lt;&gt;"",LAB_BULK_DENSITY_BASIS&lt;&gt;"Not confirmed",$L15&lt;&gt;LAB_BULK_DENSITY_BASIS),"This row's bulk-density basis disagrees with the lab method on file. One of "&amp;"the two is wrong, and the coarse-fragment correction follows the row. ","")&amp;IF(AND(ISNUMBER($M15),OR($M15&lt;QC_BD_MIN,$M15&gt;QC_BD_MAX)),"Bulk density outside the plausible range for a mineral grassland soil. ","")&amp;IF(AND(ISNUMBER($N15),$N15&gt;QC_CARBON_PCT_MAX),"Organic carbon above the QC ceiling — check units, and whether this is an organic horizon. ","")&amp;IF(AND(ISNUMBER($J15),$J15&lt;QC_RECOVERY_MIN),"Recovered less than the QC minimum of the depth driven — the increments may not sit where you think. Do NOT stretch them back out. ","")&amp;IF(AND(ISNUMBER($K15),$K15&gt;0,$L15="Fine earth / total volume"),"Coarse fragments recorded and the lab basis already accounts for them — no further correction applied, which is correct. ",""))</f>
        <v>Coarse fragments recorded and the lab basis already accounts for them — no further correction applied, which is correct. </v>
      </c>
      <c r="T15" s="6"/>
      <c r="U15" s="9" t="n">
        <f aca="false">IF($B15="",0,IF(COUNTIFS($B$5:$B15,$B15)=1,1,0))</f>
        <v>0</v>
      </c>
    </row>
    <row r="16" customFormat="false" ht="15" hidden="false" customHeight="false" outlineLevel="0" collapsed="false">
      <c r="A16" s="6" t="s">
        <v>77</v>
      </c>
      <c r="B16" s="6" t="s">
        <v>114</v>
      </c>
      <c r="C16" s="6" t="n">
        <v>4</v>
      </c>
      <c r="D16" s="6" t="n">
        <v>30</v>
      </c>
      <c r="E16" s="6" t="n">
        <v>60</v>
      </c>
      <c r="F16" s="9" t="n">
        <f aca="false">IF(OR($D16="",$E16=""),"",$E16-$D16)</f>
        <v>30</v>
      </c>
      <c r="G16" s="6" t="n">
        <v>5</v>
      </c>
      <c r="H16" s="6" t="n">
        <v>60</v>
      </c>
      <c r="I16" s="6" t="n">
        <v>56.4</v>
      </c>
      <c r="J16" s="9" t="n">
        <f aca="false">IF(OR(NOT(ISNUMBER($H16)),NOT(ISNUMBER($I16)),$H16=0),"",$I16/$H16)</f>
        <v>0.94</v>
      </c>
      <c r="K16" s="6" t="n">
        <v>2</v>
      </c>
      <c r="L16" s="8" t="s">
        <v>111</v>
      </c>
      <c r="M16" s="7" t="n">
        <v>1.354</v>
      </c>
      <c r="N16" s="7" t="n">
        <v>1.125</v>
      </c>
      <c r="O16" s="9" t="n">
        <f aca="false">IF(NOT(ISNUMBER($M16)),"",IF($L16="Fine earth / fine-earth volume",$M16*(1-IF(ISNUMBER($K16),$K16,0)/100),$M16))</f>
        <v>1.354</v>
      </c>
      <c r="P16" s="9" t="n">
        <f aca="false">IF(OR(NOT(ISNUMBER($O16)),NOT(ISNUMBER($N16)),NOT(ISNUMBER($F16))),"",$O16*($N16/100)*$F16*10)</f>
        <v>4.56975</v>
      </c>
      <c r="Q16" s="9" t="n">
        <f aca="false">IF(OR(NOT(ISNUMBER($D16)),NOT(ISNUMBER($E16))),"",MAX(0,MIN($E16,SOIL_REPORTING_DEPTH_CM)-MIN($D16,SOIL_REPORTING_DEPTH_CM)))</f>
        <v>0</v>
      </c>
      <c r="R16" s="9" t="n">
        <f aca="false">IF(OR(NOT(ISNUMBER($O16)),NOT(ISNUMBER($N16)),NOT(ISNUMBER($Q16))),"",$O16*($N16/100)*$Q16*10)</f>
        <v>0</v>
      </c>
      <c r="S16" s="11" t="str">
        <f aca="false">IF(AND($A16="",$B16="",$D16=""),"",IF(AND($A16&lt;&gt;"",COUNTIF('1. Plot &amp; Site Log'!$A$5:$A$64,$A16)=0),"Plot ID not in the Plot &amp; Site Log. ","")&amp;IF(AND(ISNUMBER($D16),ISNUMBER($E16),$E16&lt;=$D16),"Bottom depth is not below top depth. ","")&amp;IF($L16="Not confirmed","Bulk-density basis not confirmed with the lab — the coarse-fragment correction may be wrong or doubled. ","")&amp;IF(LAB_BULK_DENSITY_BASIS="Not confirmed","No lab bulk-density basis is on file in Settings (LAB_BULK_DENSITY_BASIS), so nothing checks this row. ","")&amp;IF(AND($L16&lt;&gt;"",LAB_BULK_DENSITY_BASIS&lt;&gt;"Not confirmed",$L16&lt;&gt;LAB_BULK_DENSITY_BASIS),"This row's bulk-density basis disagrees with the lab method on file. One of "&amp;"the two is wrong, and the coarse-fragment correction follows the row. ","")&amp;IF(AND(ISNUMBER($M16),OR($M16&lt;QC_BD_MIN,$M16&gt;QC_BD_MAX)),"Bulk density outside the plausible range for a mineral grassland soil. ","")&amp;IF(AND(ISNUMBER($N16),$N16&gt;QC_CARBON_PCT_MAX),"Organic carbon above the QC ceiling — check units, and whether this is an organic horizon. ","")&amp;IF(AND(ISNUMBER($J16),$J16&lt;QC_RECOVERY_MIN),"Recovered less than the QC minimum of the depth driven — the increments may not sit where you think. Do NOT stretch them back out. ","")&amp;IF(AND(ISNUMBER($K16),$K16&gt;0,$L16="Fine earth / total volume"),"Coarse fragments recorded and the lab basis already accounts for them — no further correction applied, which is correct. ",""))</f>
        <v>Coarse fragments recorded and the lab basis already accounts for them — no further correction applied, which is correct. </v>
      </c>
      <c r="T16" s="6"/>
      <c r="U16" s="9" t="n">
        <f aca="false">IF($B16="",0,IF(COUNTIFS($B$5:$B16,$B16)=1,1,0))</f>
        <v>0</v>
      </c>
    </row>
    <row r="17" customFormat="false" ht="15" hidden="false" customHeight="false" outlineLevel="0" collapsed="false">
      <c r="A17" s="6" t="s">
        <v>78</v>
      </c>
      <c r="B17" s="6" t="s">
        <v>115</v>
      </c>
      <c r="C17" s="6" t="n">
        <v>1</v>
      </c>
      <c r="D17" s="6" t="n">
        <v>0</v>
      </c>
      <c r="E17" s="6" t="n">
        <v>10</v>
      </c>
      <c r="F17" s="9" t="n">
        <f aca="false">IF(OR($D17="",$E17=""),"",$E17-$D17)</f>
        <v>10</v>
      </c>
      <c r="G17" s="6" t="n">
        <v>5</v>
      </c>
      <c r="H17" s="6" t="n">
        <v>10</v>
      </c>
      <c r="I17" s="6" t="n">
        <v>10</v>
      </c>
      <c r="J17" s="9" t="n">
        <f aca="false">IF(OR(NOT(ISNUMBER($H17)),NOT(ISNUMBER($I17)),$H17=0),"",$I17/$H17)</f>
        <v>1</v>
      </c>
      <c r="K17" s="6" t="n">
        <v>2</v>
      </c>
      <c r="L17" s="8" t="s">
        <v>111</v>
      </c>
      <c r="M17" s="7" t="n">
        <v>0.931</v>
      </c>
      <c r="N17" s="7" t="n">
        <v>6.005</v>
      </c>
      <c r="O17" s="9" t="n">
        <f aca="false">IF(NOT(ISNUMBER($M17)),"",IF($L17="Fine earth / fine-earth volume",$M17*(1-IF(ISNUMBER($K17),$K17,0)/100),$M17))</f>
        <v>0.931</v>
      </c>
      <c r="P17" s="9" t="n">
        <f aca="false">IF(OR(NOT(ISNUMBER($O17)),NOT(ISNUMBER($N17)),NOT(ISNUMBER($F17))),"",$O17*($N17/100)*$F17*10)</f>
        <v>5.590655</v>
      </c>
      <c r="Q17" s="9" t="n">
        <f aca="false">IF(OR(NOT(ISNUMBER($D17)),NOT(ISNUMBER($E17))),"",MAX(0,MIN($E17,SOIL_REPORTING_DEPTH_CM)-MIN($D17,SOIL_REPORTING_DEPTH_CM)))</f>
        <v>10</v>
      </c>
      <c r="R17" s="9" t="n">
        <f aca="false">IF(OR(NOT(ISNUMBER($O17)),NOT(ISNUMBER($N17)),NOT(ISNUMBER($Q17))),"",$O17*($N17/100)*$Q17*10)</f>
        <v>5.590655</v>
      </c>
      <c r="S17" s="11" t="str">
        <f aca="false">IF(AND($A17="",$B17="",$D17=""),"",IF(AND($A17&lt;&gt;"",COUNTIF('1. Plot &amp; Site Log'!$A$5:$A$64,$A17)=0),"Plot ID not in the Plot &amp; Site Log. ","")&amp;IF(AND(ISNUMBER($D17),ISNUMBER($E17),$E17&lt;=$D17),"Bottom depth is not below top depth. ","")&amp;IF($L17="Not confirmed","Bulk-density basis not confirmed with the lab — the coarse-fragment correction may be wrong or doubled. ","")&amp;IF(LAB_BULK_DENSITY_BASIS="Not confirmed","No lab bulk-density basis is on file in Settings (LAB_BULK_DENSITY_BASIS), so nothing checks this row. ","")&amp;IF(AND($L17&lt;&gt;"",LAB_BULK_DENSITY_BASIS&lt;&gt;"Not confirmed",$L17&lt;&gt;LAB_BULK_DENSITY_BASIS),"This row's bulk-density basis disagrees with the lab method on file. One of "&amp;"the two is wrong, and the coarse-fragment correction follows the row. ","")&amp;IF(AND(ISNUMBER($M17),OR($M17&lt;QC_BD_MIN,$M17&gt;QC_BD_MAX)),"Bulk density outside the plausible range for a mineral grassland soil. ","")&amp;IF(AND(ISNUMBER($N17),$N17&gt;QC_CARBON_PCT_MAX),"Organic carbon above the QC ceiling — check units, and whether this is an organic horizon. ","")&amp;IF(AND(ISNUMBER($J17),$J17&lt;QC_RECOVERY_MIN),"Recovered less than the QC minimum of the depth driven — the increments may not sit where you think. Do NOT stretch them back out. ","")&amp;IF(AND(ISNUMBER($K17),$K17&gt;0,$L17="Fine earth / total volume"),"Coarse fragments recorded and the lab basis already accounts for them — no further correction applied, which is correct. ",""))</f>
        <v>Coarse fragments recorded and the lab basis already accounts for them — no further correction applied, which is correct. </v>
      </c>
      <c r="T17" s="6"/>
      <c r="U17" s="9" t="n">
        <f aca="false">IF($B17="",0,IF(COUNTIFS($B$5:$B17,$B17)=1,1,0))</f>
        <v>1</v>
      </c>
    </row>
    <row r="18" customFormat="false" ht="15" hidden="false" customHeight="false" outlineLevel="0" collapsed="false">
      <c r="A18" s="6" t="s">
        <v>78</v>
      </c>
      <c r="B18" s="6" t="s">
        <v>115</v>
      </c>
      <c r="C18" s="6" t="n">
        <v>2</v>
      </c>
      <c r="D18" s="6" t="n">
        <v>10</v>
      </c>
      <c r="E18" s="6" t="n">
        <v>20</v>
      </c>
      <c r="F18" s="9" t="n">
        <f aca="false">IF(OR($D18="",$E18=""),"",$E18-$D18)</f>
        <v>10</v>
      </c>
      <c r="G18" s="6" t="n">
        <v>5</v>
      </c>
      <c r="H18" s="6" t="n">
        <v>20</v>
      </c>
      <c r="I18" s="6" t="n">
        <v>20</v>
      </c>
      <c r="J18" s="9" t="n">
        <f aca="false">IF(OR(NOT(ISNUMBER($H18)),NOT(ISNUMBER($I18)),$H18=0),"",$I18/$H18)</f>
        <v>1</v>
      </c>
      <c r="K18" s="6" t="n">
        <v>2</v>
      </c>
      <c r="L18" s="8" t="s">
        <v>111</v>
      </c>
      <c r="M18" s="7" t="n">
        <v>1.128</v>
      </c>
      <c r="N18" s="7" t="n">
        <v>3.774</v>
      </c>
      <c r="O18" s="9" t="n">
        <f aca="false">IF(NOT(ISNUMBER($M18)),"",IF($L18="Fine earth / fine-earth volume",$M18*(1-IF(ISNUMBER($K18),$K18,0)/100),$M18))</f>
        <v>1.128</v>
      </c>
      <c r="P18" s="9" t="n">
        <f aca="false">IF(OR(NOT(ISNUMBER($O18)),NOT(ISNUMBER($N18)),NOT(ISNUMBER($F18))),"",$O18*($N18/100)*$F18*10)</f>
        <v>4.257072</v>
      </c>
      <c r="Q18" s="9" t="n">
        <f aca="false">IF(OR(NOT(ISNUMBER($D18)),NOT(ISNUMBER($E18))),"",MAX(0,MIN($E18,SOIL_REPORTING_DEPTH_CM)-MIN($D18,SOIL_REPORTING_DEPTH_CM)))</f>
        <v>10</v>
      </c>
      <c r="R18" s="9" t="n">
        <f aca="false">IF(OR(NOT(ISNUMBER($O18)),NOT(ISNUMBER($N18)),NOT(ISNUMBER($Q18))),"",$O18*($N18/100)*$Q18*10)</f>
        <v>4.257072</v>
      </c>
      <c r="S18" s="11" t="str">
        <f aca="false">IF(AND($A18="",$B18="",$D18=""),"",IF(AND($A18&lt;&gt;"",COUNTIF('1. Plot &amp; Site Log'!$A$5:$A$64,$A18)=0),"Plot ID not in the Plot &amp; Site Log. ","")&amp;IF(AND(ISNUMBER($D18),ISNUMBER($E18),$E18&lt;=$D18),"Bottom depth is not below top depth. ","")&amp;IF($L18="Not confirmed","Bulk-density basis not confirmed with the lab — the coarse-fragment correction may be wrong or doubled. ","")&amp;IF(LAB_BULK_DENSITY_BASIS="Not confirmed","No lab bulk-density basis is on file in Settings (LAB_BULK_DENSITY_BASIS), so nothing checks this row. ","")&amp;IF(AND($L18&lt;&gt;"",LAB_BULK_DENSITY_BASIS&lt;&gt;"Not confirmed",$L18&lt;&gt;LAB_BULK_DENSITY_BASIS),"This row's bulk-density basis disagrees with the lab method on file. One of "&amp;"the two is wrong, and the coarse-fragment correction follows the row. ","")&amp;IF(AND(ISNUMBER($M18),OR($M18&lt;QC_BD_MIN,$M18&gt;QC_BD_MAX)),"Bulk density outside the plausible range for a mineral grassland soil. ","")&amp;IF(AND(ISNUMBER($N18),$N18&gt;QC_CARBON_PCT_MAX),"Organic carbon above the QC ceiling — check units, and whether this is an organic horizon. ","")&amp;IF(AND(ISNUMBER($J18),$J18&lt;QC_RECOVERY_MIN),"Recovered less than the QC minimum of the depth driven — the increments may not sit where you think. Do NOT stretch them back out. ","")&amp;IF(AND(ISNUMBER($K18),$K18&gt;0,$L18="Fine earth / total volume"),"Coarse fragments recorded and the lab basis already accounts for them — no further correction applied, which is correct. ",""))</f>
        <v>Coarse fragments recorded and the lab basis already accounts for them — no further correction applied, which is correct. </v>
      </c>
      <c r="T18" s="6"/>
      <c r="U18" s="9" t="n">
        <f aca="false">IF($B18="",0,IF(COUNTIFS($B$5:$B18,$B18)=1,1,0))</f>
        <v>0</v>
      </c>
    </row>
    <row r="19" customFormat="false" ht="15" hidden="false" customHeight="false" outlineLevel="0" collapsed="false">
      <c r="A19" s="6" t="s">
        <v>78</v>
      </c>
      <c r="B19" s="6" t="s">
        <v>115</v>
      </c>
      <c r="C19" s="6" t="n">
        <v>3</v>
      </c>
      <c r="D19" s="6" t="n">
        <v>20</v>
      </c>
      <c r="E19" s="6" t="n">
        <v>30</v>
      </c>
      <c r="F19" s="9" t="n">
        <f aca="false">IF(OR($D19="",$E19=""),"",$E19-$D19)</f>
        <v>10</v>
      </c>
      <c r="G19" s="6" t="n">
        <v>5</v>
      </c>
      <c r="H19" s="6" t="n">
        <v>30</v>
      </c>
      <c r="I19" s="6" t="n">
        <v>30</v>
      </c>
      <c r="J19" s="9" t="n">
        <f aca="false">IF(OR(NOT(ISNUMBER($H19)),NOT(ISNUMBER($I19)),$H19=0),"",$I19/$H19)</f>
        <v>1</v>
      </c>
      <c r="K19" s="6" t="n">
        <v>2</v>
      </c>
      <c r="L19" s="8" t="s">
        <v>111</v>
      </c>
      <c r="M19" s="7" t="n">
        <v>1.246</v>
      </c>
      <c r="N19" s="7" t="n">
        <v>2.479</v>
      </c>
      <c r="O19" s="9" t="n">
        <f aca="false">IF(NOT(ISNUMBER($M19)),"",IF($L19="Fine earth / fine-earth volume",$M19*(1-IF(ISNUMBER($K19),$K19,0)/100),$M19))</f>
        <v>1.246</v>
      </c>
      <c r="P19" s="9" t="n">
        <f aca="false">IF(OR(NOT(ISNUMBER($O19)),NOT(ISNUMBER($N19)),NOT(ISNUMBER($F19))),"",$O19*($N19/100)*$F19*10)</f>
        <v>3.088834</v>
      </c>
      <c r="Q19" s="9" t="n">
        <f aca="false">IF(OR(NOT(ISNUMBER($D19)),NOT(ISNUMBER($E19))),"",MAX(0,MIN($E19,SOIL_REPORTING_DEPTH_CM)-MIN($D19,SOIL_REPORTING_DEPTH_CM)))</f>
        <v>10</v>
      </c>
      <c r="R19" s="9" t="n">
        <f aca="false">IF(OR(NOT(ISNUMBER($O19)),NOT(ISNUMBER($N19)),NOT(ISNUMBER($Q19))),"",$O19*($N19/100)*$Q19*10)</f>
        <v>3.088834</v>
      </c>
      <c r="S19" s="11" t="str">
        <f aca="false">IF(AND($A19="",$B19="",$D19=""),"",IF(AND($A19&lt;&gt;"",COUNTIF('1. Plot &amp; Site Log'!$A$5:$A$64,$A19)=0),"Plot ID not in the Plot &amp; Site Log. ","")&amp;IF(AND(ISNUMBER($D19),ISNUMBER($E19),$E19&lt;=$D19),"Bottom depth is not below top depth. ","")&amp;IF($L19="Not confirmed","Bulk-density basis not confirmed with the lab — the coarse-fragment correction may be wrong or doubled. ","")&amp;IF(LAB_BULK_DENSITY_BASIS="Not confirmed","No lab bulk-density basis is on file in Settings (LAB_BULK_DENSITY_BASIS), so nothing checks this row. ","")&amp;IF(AND($L19&lt;&gt;"",LAB_BULK_DENSITY_BASIS&lt;&gt;"Not confirmed",$L19&lt;&gt;LAB_BULK_DENSITY_BASIS),"This row's bulk-density basis disagrees with the lab method on file. One of "&amp;"the two is wrong, and the coarse-fragment correction follows the row. ","")&amp;IF(AND(ISNUMBER($M19),OR($M19&lt;QC_BD_MIN,$M19&gt;QC_BD_MAX)),"Bulk density outside the plausible range for a mineral grassland soil. ","")&amp;IF(AND(ISNUMBER($N19),$N19&gt;QC_CARBON_PCT_MAX),"Organic carbon above the QC ceiling — check units, and whether this is an organic horizon. ","")&amp;IF(AND(ISNUMBER($J19),$J19&lt;QC_RECOVERY_MIN),"Recovered less than the QC minimum of the depth driven — the increments may not sit where you think. Do NOT stretch them back out. ","")&amp;IF(AND(ISNUMBER($K19),$K19&gt;0,$L19="Fine earth / total volume"),"Coarse fragments recorded and the lab basis already accounts for them — no further correction applied, which is correct. ",""))</f>
        <v>Coarse fragments recorded and the lab basis already accounts for them — no further correction applied, which is correct. </v>
      </c>
      <c r="T19" s="6"/>
      <c r="U19" s="9" t="n">
        <f aca="false">IF($B19="",0,IF(COUNTIFS($B$5:$B19,$B19)=1,1,0))</f>
        <v>0</v>
      </c>
    </row>
    <row r="20" customFormat="false" ht="15" hidden="false" customHeight="false" outlineLevel="0" collapsed="false">
      <c r="A20" s="6" t="s">
        <v>78</v>
      </c>
      <c r="B20" s="6" t="s">
        <v>115</v>
      </c>
      <c r="C20" s="6" t="n">
        <v>4</v>
      </c>
      <c r="D20" s="6" t="n">
        <v>30</v>
      </c>
      <c r="E20" s="6" t="n">
        <v>60</v>
      </c>
      <c r="F20" s="9" t="n">
        <f aca="false">IF(OR($D20="",$E20=""),"",$E20-$D20)</f>
        <v>30</v>
      </c>
      <c r="G20" s="6" t="n">
        <v>5</v>
      </c>
      <c r="H20" s="6" t="n">
        <v>60</v>
      </c>
      <c r="I20" s="6" t="n">
        <v>60</v>
      </c>
      <c r="J20" s="9" t="n">
        <f aca="false">IF(OR(NOT(ISNUMBER($H20)),NOT(ISNUMBER($I20)),$H20=0),"",$I20/$H20)</f>
        <v>1</v>
      </c>
      <c r="K20" s="6" t="n">
        <v>2</v>
      </c>
      <c r="L20" s="8" t="s">
        <v>111</v>
      </c>
      <c r="M20" s="7" t="n">
        <v>1.315</v>
      </c>
      <c r="N20" s="7" t="n">
        <v>1.419</v>
      </c>
      <c r="O20" s="9" t="n">
        <f aca="false">IF(NOT(ISNUMBER($M20)),"",IF($L20="Fine earth / fine-earth volume",$M20*(1-IF(ISNUMBER($K20),$K20,0)/100),$M20))</f>
        <v>1.315</v>
      </c>
      <c r="P20" s="9" t="n">
        <f aca="false">IF(OR(NOT(ISNUMBER($O20)),NOT(ISNUMBER($N20)),NOT(ISNUMBER($F20))),"",$O20*($N20/100)*$F20*10)</f>
        <v>5.597955</v>
      </c>
      <c r="Q20" s="9" t="n">
        <f aca="false">IF(OR(NOT(ISNUMBER($D20)),NOT(ISNUMBER($E20))),"",MAX(0,MIN($E20,SOIL_REPORTING_DEPTH_CM)-MIN($D20,SOIL_REPORTING_DEPTH_CM)))</f>
        <v>0</v>
      </c>
      <c r="R20" s="9" t="n">
        <f aca="false">IF(OR(NOT(ISNUMBER($O20)),NOT(ISNUMBER($N20)),NOT(ISNUMBER($Q20))),"",$O20*($N20/100)*$Q20*10)</f>
        <v>0</v>
      </c>
      <c r="S20" s="11" t="str">
        <f aca="false">IF(AND($A20="",$B20="",$D20=""),"",IF(AND($A20&lt;&gt;"",COUNTIF('1. Plot &amp; Site Log'!$A$5:$A$64,$A20)=0),"Plot ID not in the Plot &amp; Site Log. ","")&amp;IF(AND(ISNUMBER($D20),ISNUMBER($E20),$E20&lt;=$D20),"Bottom depth is not below top depth. ","")&amp;IF($L20="Not confirmed","Bulk-density basis not confirmed with the lab — the coarse-fragment correction may be wrong or doubled. ","")&amp;IF(LAB_BULK_DENSITY_BASIS="Not confirmed","No lab bulk-density basis is on file in Settings (LAB_BULK_DENSITY_BASIS), so nothing checks this row. ","")&amp;IF(AND($L20&lt;&gt;"",LAB_BULK_DENSITY_BASIS&lt;&gt;"Not confirmed",$L20&lt;&gt;LAB_BULK_DENSITY_BASIS),"This row's bulk-density basis disagrees with the lab method on file. One of "&amp;"the two is wrong, and the coarse-fragment correction follows the row. ","")&amp;IF(AND(ISNUMBER($M20),OR($M20&lt;QC_BD_MIN,$M20&gt;QC_BD_MAX)),"Bulk density outside the plausible range for a mineral grassland soil. ","")&amp;IF(AND(ISNUMBER($N20),$N20&gt;QC_CARBON_PCT_MAX),"Organic carbon above the QC ceiling — check units, and whether this is an organic horizon. ","")&amp;IF(AND(ISNUMBER($J20),$J20&lt;QC_RECOVERY_MIN),"Recovered less than the QC minimum of the depth driven — the increments may not sit where you think. Do NOT stretch them back out. ","")&amp;IF(AND(ISNUMBER($K20),$K20&gt;0,$L20="Fine earth / total volume"),"Coarse fragments recorded and the lab basis already accounts for them — no further correction applied, which is correct. ",""))</f>
        <v>Coarse fragments recorded and the lab basis already accounts for them — no further correction applied, which is correct. </v>
      </c>
      <c r="T20" s="6"/>
      <c r="U20" s="9" t="n">
        <f aca="false">IF($B20="",0,IF(COUNTIFS($B$5:$B20,$B20)=1,1,0))</f>
        <v>0</v>
      </c>
    </row>
    <row r="21" customFormat="false" ht="15" hidden="false" customHeight="false" outlineLevel="0" collapsed="false">
      <c r="A21" s="6" t="s">
        <v>81</v>
      </c>
      <c r="B21" s="6" t="s">
        <v>116</v>
      </c>
      <c r="C21" s="6" t="n">
        <v>1</v>
      </c>
      <c r="D21" s="6" t="n">
        <v>0</v>
      </c>
      <c r="E21" s="6" t="n">
        <v>10</v>
      </c>
      <c r="F21" s="9" t="n">
        <f aca="false">IF(OR($D21="",$E21=""),"",$E21-$D21)</f>
        <v>10</v>
      </c>
      <c r="G21" s="6" t="n">
        <v>5</v>
      </c>
      <c r="H21" s="6" t="n">
        <v>10</v>
      </c>
      <c r="I21" s="6" t="n">
        <v>10</v>
      </c>
      <c r="J21" s="9" t="n">
        <f aca="false">IF(OR(NOT(ISNUMBER($H21)),NOT(ISNUMBER($I21)),$H21=0),"",$I21/$H21)</f>
        <v>1</v>
      </c>
      <c r="K21" s="6" t="n">
        <v>2</v>
      </c>
      <c r="L21" s="8" t="s">
        <v>111</v>
      </c>
      <c r="M21" s="7" t="n">
        <v>0.951</v>
      </c>
      <c r="N21" s="7" t="n">
        <v>4.556</v>
      </c>
      <c r="O21" s="9" t="n">
        <f aca="false">IF(NOT(ISNUMBER($M21)),"",IF($L21="Fine earth / fine-earth volume",$M21*(1-IF(ISNUMBER($K21),$K21,0)/100),$M21))</f>
        <v>0.951</v>
      </c>
      <c r="P21" s="9" t="n">
        <f aca="false">IF(OR(NOT(ISNUMBER($O21)),NOT(ISNUMBER($N21)),NOT(ISNUMBER($F21))),"",$O21*($N21/100)*$F21*10)</f>
        <v>4.332756</v>
      </c>
      <c r="Q21" s="9" t="n">
        <f aca="false">IF(OR(NOT(ISNUMBER($D21)),NOT(ISNUMBER($E21))),"",MAX(0,MIN($E21,SOIL_REPORTING_DEPTH_CM)-MIN($D21,SOIL_REPORTING_DEPTH_CM)))</f>
        <v>10</v>
      </c>
      <c r="R21" s="9" t="n">
        <f aca="false">IF(OR(NOT(ISNUMBER($O21)),NOT(ISNUMBER($N21)),NOT(ISNUMBER($Q21))),"",$O21*($N21/100)*$Q21*10)</f>
        <v>4.332756</v>
      </c>
      <c r="S21" s="11" t="str">
        <f aca="false">IF(AND($A21="",$B21="",$D21=""),"",IF(AND($A21&lt;&gt;"",COUNTIF('1. Plot &amp; Site Log'!$A$5:$A$64,$A21)=0),"Plot ID not in the Plot &amp; Site Log. ","")&amp;IF(AND(ISNUMBER($D21),ISNUMBER($E21),$E21&lt;=$D21),"Bottom depth is not below top depth. ","")&amp;IF($L21="Not confirmed","Bulk-density basis not confirmed with the lab — the coarse-fragment correction may be wrong or doubled. ","")&amp;IF(LAB_BULK_DENSITY_BASIS="Not confirmed","No lab bulk-density basis is on file in Settings (LAB_BULK_DENSITY_BASIS), so nothing checks this row. ","")&amp;IF(AND($L21&lt;&gt;"",LAB_BULK_DENSITY_BASIS&lt;&gt;"Not confirmed",$L21&lt;&gt;LAB_BULK_DENSITY_BASIS),"This row's bulk-density basis disagrees with the lab method on file. One of "&amp;"the two is wrong, and the coarse-fragment correction follows the row. ","")&amp;IF(AND(ISNUMBER($M21),OR($M21&lt;QC_BD_MIN,$M21&gt;QC_BD_MAX)),"Bulk density outside the plausible range for a mineral grassland soil. ","")&amp;IF(AND(ISNUMBER($N21),$N21&gt;QC_CARBON_PCT_MAX),"Organic carbon above the QC ceiling — check units, and whether this is an organic horizon. ","")&amp;IF(AND(ISNUMBER($J21),$J21&lt;QC_RECOVERY_MIN),"Recovered less than the QC minimum of the depth driven — the increments may not sit where you think. Do NOT stretch them back out. ","")&amp;IF(AND(ISNUMBER($K21),$K21&gt;0,$L21="Fine earth / total volume"),"Coarse fragments recorded and the lab basis already accounts for them — no further correction applied, which is correct. ",""))</f>
        <v>Coarse fragments recorded and the lab basis already accounts for them — no further correction applied, which is correct. </v>
      </c>
      <c r="T21" s="6"/>
      <c r="U21" s="9" t="n">
        <f aca="false">IF($B21="",0,IF(COUNTIFS($B$5:$B21,$B21)=1,1,0))</f>
        <v>1</v>
      </c>
    </row>
    <row r="22" customFormat="false" ht="15" hidden="false" customHeight="false" outlineLevel="0" collapsed="false">
      <c r="A22" s="6" t="s">
        <v>81</v>
      </c>
      <c r="B22" s="6" t="s">
        <v>116</v>
      </c>
      <c r="C22" s="6" t="n">
        <v>2</v>
      </c>
      <c r="D22" s="6" t="n">
        <v>10</v>
      </c>
      <c r="E22" s="6" t="n">
        <v>20</v>
      </c>
      <c r="F22" s="9" t="n">
        <f aca="false">IF(OR($D22="",$E22=""),"",$E22-$D22)</f>
        <v>10</v>
      </c>
      <c r="G22" s="6" t="n">
        <v>5</v>
      </c>
      <c r="H22" s="6" t="n">
        <v>20</v>
      </c>
      <c r="I22" s="6" t="n">
        <v>20</v>
      </c>
      <c r="J22" s="9" t="n">
        <f aca="false">IF(OR(NOT(ISNUMBER($H22)),NOT(ISNUMBER($I22)),$H22=0),"",$I22/$H22)</f>
        <v>1</v>
      </c>
      <c r="K22" s="6" t="n">
        <v>2</v>
      </c>
      <c r="L22" s="8" t="s">
        <v>111</v>
      </c>
      <c r="M22" s="7" t="n">
        <v>1.132</v>
      </c>
      <c r="N22" s="7" t="n">
        <v>2.739</v>
      </c>
      <c r="O22" s="9" t="n">
        <f aca="false">IF(NOT(ISNUMBER($M22)),"",IF($L22="Fine earth / fine-earth volume",$M22*(1-IF(ISNUMBER($K22),$K22,0)/100),$M22))</f>
        <v>1.132</v>
      </c>
      <c r="P22" s="9" t="n">
        <f aca="false">IF(OR(NOT(ISNUMBER($O22)),NOT(ISNUMBER($N22)),NOT(ISNUMBER($F22))),"",$O22*($N22/100)*$F22*10)</f>
        <v>3.100548</v>
      </c>
      <c r="Q22" s="9" t="n">
        <f aca="false">IF(OR(NOT(ISNUMBER($D22)),NOT(ISNUMBER($E22))),"",MAX(0,MIN($E22,SOIL_REPORTING_DEPTH_CM)-MIN($D22,SOIL_REPORTING_DEPTH_CM)))</f>
        <v>10</v>
      </c>
      <c r="R22" s="9" t="n">
        <f aca="false">IF(OR(NOT(ISNUMBER($O22)),NOT(ISNUMBER($N22)),NOT(ISNUMBER($Q22))),"",$O22*($N22/100)*$Q22*10)</f>
        <v>3.100548</v>
      </c>
      <c r="S22" s="11" t="str">
        <f aca="false">IF(AND($A22="",$B22="",$D22=""),"",IF(AND($A22&lt;&gt;"",COUNTIF('1. Plot &amp; Site Log'!$A$5:$A$64,$A22)=0),"Plot ID not in the Plot &amp; Site Log. ","")&amp;IF(AND(ISNUMBER($D22),ISNUMBER($E22),$E22&lt;=$D22),"Bottom depth is not below top depth. ","")&amp;IF($L22="Not confirmed","Bulk-density basis not confirmed with the lab — the coarse-fragment correction may be wrong or doubled. ","")&amp;IF(LAB_BULK_DENSITY_BASIS="Not confirmed","No lab bulk-density basis is on file in Settings (LAB_BULK_DENSITY_BASIS), so nothing checks this row. ","")&amp;IF(AND($L22&lt;&gt;"",LAB_BULK_DENSITY_BASIS&lt;&gt;"Not confirmed",$L22&lt;&gt;LAB_BULK_DENSITY_BASIS),"This row's bulk-density basis disagrees with the lab method on file. One of "&amp;"the two is wrong, and the coarse-fragment correction follows the row. ","")&amp;IF(AND(ISNUMBER($M22),OR($M22&lt;QC_BD_MIN,$M22&gt;QC_BD_MAX)),"Bulk density outside the plausible range for a mineral grassland soil. ","")&amp;IF(AND(ISNUMBER($N22),$N22&gt;QC_CARBON_PCT_MAX),"Organic carbon above the QC ceiling — check units, and whether this is an organic horizon. ","")&amp;IF(AND(ISNUMBER($J22),$J22&lt;QC_RECOVERY_MIN),"Recovered less than the QC minimum of the depth driven — the increments may not sit where you think. Do NOT stretch them back out. ","")&amp;IF(AND(ISNUMBER($K22),$K22&gt;0,$L22="Fine earth / total volume"),"Coarse fragments recorded and the lab basis already accounts for them — no further correction applied, which is correct. ",""))</f>
        <v>Coarse fragments recorded and the lab basis already accounts for them — no further correction applied, which is correct. </v>
      </c>
      <c r="T22" s="6"/>
      <c r="U22" s="9" t="n">
        <f aca="false">IF($B22="",0,IF(COUNTIFS($B$5:$B22,$B22)=1,1,0))</f>
        <v>0</v>
      </c>
    </row>
    <row r="23" customFormat="false" ht="15" hidden="false" customHeight="false" outlineLevel="0" collapsed="false">
      <c r="A23" s="6" t="s">
        <v>81</v>
      </c>
      <c r="B23" s="6" t="s">
        <v>116</v>
      </c>
      <c r="C23" s="6" t="n">
        <v>3</v>
      </c>
      <c r="D23" s="6" t="n">
        <v>20</v>
      </c>
      <c r="E23" s="6" t="n">
        <v>30</v>
      </c>
      <c r="F23" s="9" t="n">
        <f aca="false">IF(OR($D23="",$E23=""),"",$E23-$D23)</f>
        <v>10</v>
      </c>
      <c r="G23" s="6" t="n">
        <v>5</v>
      </c>
      <c r="H23" s="6" t="n">
        <v>30</v>
      </c>
      <c r="I23" s="6" t="n">
        <v>30</v>
      </c>
      <c r="J23" s="9" t="n">
        <f aca="false">IF(OR(NOT(ISNUMBER($H23)),NOT(ISNUMBER($I23)),$H23=0),"",$I23/$H23)</f>
        <v>1</v>
      </c>
      <c r="K23" s="6" t="n">
        <v>2</v>
      </c>
      <c r="L23" s="8" t="s">
        <v>111</v>
      </c>
      <c r="M23" s="7" t="n">
        <v>1.245</v>
      </c>
      <c r="N23" s="7" t="n">
        <v>1.779</v>
      </c>
      <c r="O23" s="9" t="n">
        <f aca="false">IF(NOT(ISNUMBER($M23)),"",IF($L23="Fine earth / fine-earth volume",$M23*(1-IF(ISNUMBER($K23),$K23,0)/100),$M23))</f>
        <v>1.245</v>
      </c>
      <c r="P23" s="9" t="n">
        <f aca="false">IF(OR(NOT(ISNUMBER($O23)),NOT(ISNUMBER($N23)),NOT(ISNUMBER($F23))),"",$O23*($N23/100)*$F23*10)</f>
        <v>2.214855</v>
      </c>
      <c r="Q23" s="9" t="n">
        <f aca="false">IF(OR(NOT(ISNUMBER($D23)),NOT(ISNUMBER($E23))),"",MAX(0,MIN($E23,SOIL_REPORTING_DEPTH_CM)-MIN($D23,SOIL_REPORTING_DEPTH_CM)))</f>
        <v>10</v>
      </c>
      <c r="R23" s="9" t="n">
        <f aca="false">IF(OR(NOT(ISNUMBER($O23)),NOT(ISNUMBER($N23)),NOT(ISNUMBER($Q23))),"",$O23*($N23/100)*$Q23*10)</f>
        <v>2.214855</v>
      </c>
      <c r="S23" s="11" t="str">
        <f aca="false">IF(AND($A23="",$B23="",$D23=""),"",IF(AND($A23&lt;&gt;"",COUNTIF('1. Plot &amp; Site Log'!$A$5:$A$64,$A23)=0),"Plot ID not in the Plot &amp; Site Log. ","")&amp;IF(AND(ISNUMBER($D23),ISNUMBER($E23),$E23&lt;=$D23),"Bottom depth is not below top depth. ","")&amp;IF($L23="Not confirmed","Bulk-density basis not confirmed with the lab — the coarse-fragment correction may be wrong or doubled. ","")&amp;IF(LAB_BULK_DENSITY_BASIS="Not confirmed","No lab bulk-density basis is on file in Settings (LAB_BULK_DENSITY_BASIS), so nothing checks this row. ","")&amp;IF(AND($L23&lt;&gt;"",LAB_BULK_DENSITY_BASIS&lt;&gt;"Not confirmed",$L23&lt;&gt;LAB_BULK_DENSITY_BASIS),"This row's bulk-density basis disagrees with the lab method on file. One of "&amp;"the two is wrong, and the coarse-fragment correction follows the row. ","")&amp;IF(AND(ISNUMBER($M23),OR($M23&lt;QC_BD_MIN,$M23&gt;QC_BD_MAX)),"Bulk density outside the plausible range for a mineral grassland soil. ","")&amp;IF(AND(ISNUMBER($N23),$N23&gt;QC_CARBON_PCT_MAX),"Organic carbon above the QC ceiling — check units, and whether this is an organic horizon. ","")&amp;IF(AND(ISNUMBER($J23),$J23&lt;QC_RECOVERY_MIN),"Recovered less than the QC minimum of the depth driven — the increments may not sit where you think. Do NOT stretch them back out. ","")&amp;IF(AND(ISNUMBER($K23),$K23&gt;0,$L23="Fine earth / total volume"),"Coarse fragments recorded and the lab basis already accounts for them — no further correction applied, which is correct. ",""))</f>
        <v>Coarse fragments recorded and the lab basis already accounts for them — no further correction applied, which is correct. </v>
      </c>
      <c r="T23" s="6"/>
      <c r="U23" s="9" t="n">
        <f aca="false">IF($B23="",0,IF(COUNTIFS($B$5:$B23,$B23)=1,1,0))</f>
        <v>0</v>
      </c>
    </row>
    <row r="24" customFormat="false" ht="15" hidden="false" customHeight="false" outlineLevel="0" collapsed="false">
      <c r="A24" s="6" t="s">
        <v>81</v>
      </c>
      <c r="B24" s="6" t="s">
        <v>116</v>
      </c>
      <c r="C24" s="6" t="n">
        <v>4</v>
      </c>
      <c r="D24" s="6" t="n">
        <v>30</v>
      </c>
      <c r="E24" s="6" t="n">
        <v>60</v>
      </c>
      <c r="F24" s="9" t="n">
        <f aca="false">IF(OR($D24="",$E24=""),"",$E24-$D24)</f>
        <v>30</v>
      </c>
      <c r="G24" s="6" t="n">
        <v>5</v>
      </c>
      <c r="H24" s="6" t="n">
        <v>60</v>
      </c>
      <c r="I24" s="6" t="n">
        <v>60</v>
      </c>
      <c r="J24" s="9" t="n">
        <f aca="false">IF(OR(NOT(ISNUMBER($H24)),NOT(ISNUMBER($I24)),$H24=0),"",$I24/$H24)</f>
        <v>1</v>
      </c>
      <c r="K24" s="6" t="n">
        <v>2</v>
      </c>
      <c r="L24" s="8" t="s">
        <v>111</v>
      </c>
      <c r="M24" s="7" t="n">
        <v>1.334</v>
      </c>
      <c r="N24" s="7" t="n">
        <v>1.057</v>
      </c>
      <c r="O24" s="9" t="n">
        <f aca="false">IF(NOT(ISNUMBER($M24)),"",IF($L24="Fine earth / fine-earth volume",$M24*(1-IF(ISNUMBER($K24),$K24,0)/100),$M24))</f>
        <v>1.334</v>
      </c>
      <c r="P24" s="9" t="n">
        <f aca="false">IF(OR(NOT(ISNUMBER($O24)),NOT(ISNUMBER($N24)),NOT(ISNUMBER($F24))),"",$O24*($N24/100)*$F24*10)</f>
        <v>4.230114</v>
      </c>
      <c r="Q24" s="9" t="n">
        <f aca="false">IF(OR(NOT(ISNUMBER($D24)),NOT(ISNUMBER($E24))),"",MAX(0,MIN($E24,SOIL_REPORTING_DEPTH_CM)-MIN($D24,SOIL_REPORTING_DEPTH_CM)))</f>
        <v>0</v>
      </c>
      <c r="R24" s="9" t="n">
        <f aca="false">IF(OR(NOT(ISNUMBER($O24)),NOT(ISNUMBER($N24)),NOT(ISNUMBER($Q24))),"",$O24*($N24/100)*$Q24*10)</f>
        <v>0</v>
      </c>
      <c r="S24" s="11" t="str">
        <f aca="false">IF(AND($A24="",$B24="",$D24=""),"",IF(AND($A24&lt;&gt;"",COUNTIF('1. Plot &amp; Site Log'!$A$5:$A$64,$A24)=0),"Plot ID not in the Plot &amp; Site Log. ","")&amp;IF(AND(ISNUMBER($D24),ISNUMBER($E24),$E24&lt;=$D24),"Bottom depth is not below top depth. ","")&amp;IF($L24="Not confirmed","Bulk-density basis not confirmed with the lab — the coarse-fragment correction may be wrong or doubled. ","")&amp;IF(LAB_BULK_DENSITY_BASIS="Not confirmed","No lab bulk-density basis is on file in Settings (LAB_BULK_DENSITY_BASIS), so nothing checks this row. ","")&amp;IF(AND($L24&lt;&gt;"",LAB_BULK_DENSITY_BASIS&lt;&gt;"Not confirmed",$L24&lt;&gt;LAB_BULK_DENSITY_BASIS),"This row's bulk-density basis disagrees with the lab method on file. One of "&amp;"the two is wrong, and the coarse-fragment correction follows the row. ","")&amp;IF(AND(ISNUMBER($M24),OR($M24&lt;QC_BD_MIN,$M24&gt;QC_BD_MAX)),"Bulk density outside the plausible range for a mineral grassland soil. ","")&amp;IF(AND(ISNUMBER($N24),$N24&gt;QC_CARBON_PCT_MAX),"Organic carbon above the QC ceiling — check units, and whether this is an organic horizon. ","")&amp;IF(AND(ISNUMBER($J24),$J24&lt;QC_RECOVERY_MIN),"Recovered less than the QC minimum of the depth driven — the increments may not sit where you think. Do NOT stretch them back out. ","")&amp;IF(AND(ISNUMBER($K24),$K24&gt;0,$L24="Fine earth / total volume"),"Coarse fragments recorded and the lab basis already accounts for them — no further correction applied, which is correct. ",""))</f>
        <v>Coarse fragments recorded and the lab basis already accounts for them — no further correction applied, which is correct. </v>
      </c>
      <c r="T24" s="6"/>
      <c r="U24" s="9" t="n">
        <f aca="false">IF($B24="",0,IF(COUNTIFS($B$5:$B24,$B24)=1,1,0))</f>
        <v>0</v>
      </c>
    </row>
    <row r="25" customFormat="false" ht="15" hidden="false" customHeight="false" outlineLevel="0" collapsed="false">
      <c r="A25" s="6" t="s">
        <v>82</v>
      </c>
      <c r="B25" s="6" t="s">
        <v>117</v>
      </c>
      <c r="C25" s="6" t="n">
        <v>1</v>
      </c>
      <c r="D25" s="6" t="n">
        <v>0</v>
      </c>
      <c r="E25" s="6" t="n">
        <v>10</v>
      </c>
      <c r="F25" s="9" t="n">
        <f aca="false">IF(OR($D25="",$E25=""),"",$E25-$D25)</f>
        <v>10</v>
      </c>
      <c r="G25" s="6" t="n">
        <v>5</v>
      </c>
      <c r="H25" s="6" t="n">
        <v>10</v>
      </c>
      <c r="I25" s="6" t="n">
        <v>10</v>
      </c>
      <c r="J25" s="9" t="n">
        <f aca="false">IF(OR(NOT(ISNUMBER($H25)),NOT(ISNUMBER($I25)),$H25=0),"",$I25/$H25)</f>
        <v>1</v>
      </c>
      <c r="K25" s="6" t="n">
        <v>2</v>
      </c>
      <c r="L25" s="8" t="s">
        <v>111</v>
      </c>
      <c r="M25" s="7" t="n">
        <v>0.932</v>
      </c>
      <c r="N25" s="7" t="n">
        <v>5.501</v>
      </c>
      <c r="O25" s="9" t="n">
        <f aca="false">IF(NOT(ISNUMBER($M25)),"",IF($L25="Fine earth / fine-earth volume",$M25*(1-IF(ISNUMBER($K25),$K25,0)/100),$M25))</f>
        <v>0.932</v>
      </c>
      <c r="P25" s="9" t="n">
        <f aca="false">IF(OR(NOT(ISNUMBER($O25)),NOT(ISNUMBER($N25)),NOT(ISNUMBER($F25))),"",$O25*($N25/100)*$F25*10)</f>
        <v>5.126932</v>
      </c>
      <c r="Q25" s="9" t="n">
        <f aca="false">IF(OR(NOT(ISNUMBER($D25)),NOT(ISNUMBER($E25))),"",MAX(0,MIN($E25,SOIL_REPORTING_DEPTH_CM)-MIN($D25,SOIL_REPORTING_DEPTH_CM)))</f>
        <v>10</v>
      </c>
      <c r="R25" s="9" t="n">
        <f aca="false">IF(OR(NOT(ISNUMBER($O25)),NOT(ISNUMBER($N25)),NOT(ISNUMBER($Q25))),"",$O25*($N25/100)*$Q25*10)</f>
        <v>5.126932</v>
      </c>
      <c r="S25" s="11" t="str">
        <f aca="false">IF(AND($A25="",$B25="",$D25=""),"",IF(AND($A25&lt;&gt;"",COUNTIF('1. Plot &amp; Site Log'!$A$5:$A$64,$A25)=0),"Plot ID not in the Plot &amp; Site Log. ","")&amp;IF(AND(ISNUMBER($D25),ISNUMBER($E25),$E25&lt;=$D25),"Bottom depth is not below top depth. ","")&amp;IF($L25="Not confirmed","Bulk-density basis not confirmed with the lab — the coarse-fragment correction may be wrong or doubled. ","")&amp;IF(LAB_BULK_DENSITY_BASIS="Not confirmed","No lab bulk-density basis is on file in Settings (LAB_BULK_DENSITY_BASIS), so nothing checks this row. ","")&amp;IF(AND($L25&lt;&gt;"",LAB_BULK_DENSITY_BASIS&lt;&gt;"Not confirmed",$L25&lt;&gt;LAB_BULK_DENSITY_BASIS),"This row's bulk-density basis disagrees with the lab method on file. One of "&amp;"the two is wrong, and the coarse-fragment correction follows the row. ","")&amp;IF(AND(ISNUMBER($M25),OR($M25&lt;QC_BD_MIN,$M25&gt;QC_BD_MAX)),"Bulk density outside the plausible range for a mineral grassland soil. ","")&amp;IF(AND(ISNUMBER($N25),$N25&gt;QC_CARBON_PCT_MAX),"Organic carbon above the QC ceiling — check units, and whether this is an organic horizon. ","")&amp;IF(AND(ISNUMBER($J25),$J25&lt;QC_RECOVERY_MIN),"Recovered less than the QC minimum of the depth driven — the increments may not sit where you think. Do NOT stretch them back out. ","")&amp;IF(AND(ISNUMBER($K25),$K25&gt;0,$L25="Fine earth / total volume"),"Coarse fragments recorded and the lab basis already accounts for them — no further correction applied, which is correct. ",""))</f>
        <v>Coarse fragments recorded and the lab basis already accounts for them — no further correction applied, which is correct. </v>
      </c>
      <c r="T25" s="6"/>
      <c r="U25" s="9" t="n">
        <f aca="false">IF($B25="",0,IF(COUNTIFS($B$5:$B25,$B25)=1,1,0))</f>
        <v>1</v>
      </c>
    </row>
    <row r="26" customFormat="false" ht="15" hidden="false" customHeight="false" outlineLevel="0" collapsed="false">
      <c r="A26" s="6" t="s">
        <v>82</v>
      </c>
      <c r="B26" s="6" t="s">
        <v>117</v>
      </c>
      <c r="C26" s="6" t="n">
        <v>2</v>
      </c>
      <c r="D26" s="6" t="n">
        <v>10</v>
      </c>
      <c r="E26" s="6" t="n">
        <v>20</v>
      </c>
      <c r="F26" s="9" t="n">
        <f aca="false">IF(OR($D26="",$E26=""),"",$E26-$D26)</f>
        <v>10</v>
      </c>
      <c r="G26" s="6" t="n">
        <v>5</v>
      </c>
      <c r="H26" s="6" t="n">
        <v>20</v>
      </c>
      <c r="I26" s="6" t="n">
        <v>20</v>
      </c>
      <c r="J26" s="9" t="n">
        <f aca="false">IF(OR(NOT(ISNUMBER($H26)),NOT(ISNUMBER($I26)),$H26=0),"",$I26/$H26)</f>
        <v>1</v>
      </c>
      <c r="K26" s="6" t="n">
        <v>2</v>
      </c>
      <c r="L26" s="8" t="s">
        <v>111</v>
      </c>
      <c r="M26" s="7" t="n">
        <v>1.107</v>
      </c>
      <c r="N26" s="7" t="n">
        <v>3.282</v>
      </c>
      <c r="O26" s="9" t="n">
        <f aca="false">IF(NOT(ISNUMBER($M26)),"",IF($L26="Fine earth / fine-earth volume",$M26*(1-IF(ISNUMBER($K26),$K26,0)/100),$M26))</f>
        <v>1.107</v>
      </c>
      <c r="P26" s="9" t="n">
        <f aca="false">IF(OR(NOT(ISNUMBER($O26)),NOT(ISNUMBER($N26)),NOT(ISNUMBER($F26))),"",$O26*($N26/100)*$F26*10)</f>
        <v>3.633174</v>
      </c>
      <c r="Q26" s="9" t="n">
        <f aca="false">IF(OR(NOT(ISNUMBER($D26)),NOT(ISNUMBER($E26))),"",MAX(0,MIN($E26,SOIL_REPORTING_DEPTH_CM)-MIN($D26,SOIL_REPORTING_DEPTH_CM)))</f>
        <v>10</v>
      </c>
      <c r="R26" s="9" t="n">
        <f aca="false">IF(OR(NOT(ISNUMBER($O26)),NOT(ISNUMBER($N26)),NOT(ISNUMBER($Q26))),"",$O26*($N26/100)*$Q26*10)</f>
        <v>3.633174</v>
      </c>
      <c r="S26" s="11" t="str">
        <f aca="false">IF(AND($A26="",$B26="",$D26=""),"",IF(AND($A26&lt;&gt;"",COUNTIF('1. Plot &amp; Site Log'!$A$5:$A$64,$A26)=0),"Plot ID not in the Plot &amp; Site Log. ","")&amp;IF(AND(ISNUMBER($D26),ISNUMBER($E26),$E26&lt;=$D26),"Bottom depth is not below top depth. ","")&amp;IF($L26="Not confirmed","Bulk-density basis not confirmed with the lab — the coarse-fragment correction may be wrong or doubled. ","")&amp;IF(LAB_BULK_DENSITY_BASIS="Not confirmed","No lab bulk-density basis is on file in Settings (LAB_BULK_DENSITY_BASIS), so nothing checks this row. ","")&amp;IF(AND($L26&lt;&gt;"",LAB_BULK_DENSITY_BASIS&lt;&gt;"Not confirmed",$L26&lt;&gt;LAB_BULK_DENSITY_BASIS),"This row's bulk-density basis disagrees with the lab method on file. One of "&amp;"the two is wrong, and the coarse-fragment correction follows the row. ","")&amp;IF(AND(ISNUMBER($M26),OR($M26&lt;QC_BD_MIN,$M26&gt;QC_BD_MAX)),"Bulk density outside the plausible range for a mineral grassland soil. ","")&amp;IF(AND(ISNUMBER($N26),$N26&gt;QC_CARBON_PCT_MAX),"Organic carbon above the QC ceiling — check units, and whether this is an organic horizon. ","")&amp;IF(AND(ISNUMBER($J26),$J26&lt;QC_RECOVERY_MIN),"Recovered less than the QC minimum of the depth driven — the increments may not sit where you think. Do NOT stretch them back out. ","")&amp;IF(AND(ISNUMBER($K26),$K26&gt;0,$L26="Fine earth / total volume"),"Coarse fragments recorded and the lab basis already accounts for them — no further correction applied, which is correct. ",""))</f>
        <v>Coarse fragments recorded and the lab basis already accounts for them — no further correction applied, which is correct. </v>
      </c>
      <c r="T26" s="6"/>
      <c r="U26" s="9" t="n">
        <f aca="false">IF($B26="",0,IF(COUNTIFS($B$5:$B26,$B26)=1,1,0))</f>
        <v>0</v>
      </c>
    </row>
    <row r="27" customFormat="false" ht="15" hidden="false" customHeight="false" outlineLevel="0" collapsed="false">
      <c r="A27" s="6" t="s">
        <v>82</v>
      </c>
      <c r="B27" s="6" t="s">
        <v>117</v>
      </c>
      <c r="C27" s="6" t="n">
        <v>3</v>
      </c>
      <c r="D27" s="6" t="n">
        <v>20</v>
      </c>
      <c r="E27" s="6" t="n">
        <v>30</v>
      </c>
      <c r="F27" s="9" t="n">
        <f aca="false">IF(OR($D27="",$E27=""),"",$E27-$D27)</f>
        <v>10</v>
      </c>
      <c r="G27" s="6" t="n">
        <v>5</v>
      </c>
      <c r="H27" s="6" t="n">
        <v>30</v>
      </c>
      <c r="I27" s="6" t="n">
        <v>30</v>
      </c>
      <c r="J27" s="9" t="n">
        <f aca="false">IF(OR(NOT(ISNUMBER($H27)),NOT(ISNUMBER($I27)),$H27=0),"",$I27/$H27)</f>
        <v>1</v>
      </c>
      <c r="K27" s="6" t="n">
        <v>2</v>
      </c>
      <c r="L27" s="8" t="s">
        <v>111</v>
      </c>
      <c r="M27" s="7" t="n">
        <v>1.241</v>
      </c>
      <c r="N27" s="7" t="n">
        <v>2.24</v>
      </c>
      <c r="O27" s="9" t="n">
        <f aca="false">IF(NOT(ISNUMBER($M27)),"",IF($L27="Fine earth / fine-earth volume",$M27*(1-IF(ISNUMBER($K27),$K27,0)/100),$M27))</f>
        <v>1.241</v>
      </c>
      <c r="P27" s="9" t="n">
        <f aca="false">IF(OR(NOT(ISNUMBER($O27)),NOT(ISNUMBER($N27)),NOT(ISNUMBER($F27))),"",$O27*($N27/100)*$F27*10)</f>
        <v>2.77984</v>
      </c>
      <c r="Q27" s="9" t="n">
        <f aca="false">IF(OR(NOT(ISNUMBER($D27)),NOT(ISNUMBER($E27))),"",MAX(0,MIN($E27,SOIL_REPORTING_DEPTH_CM)-MIN($D27,SOIL_REPORTING_DEPTH_CM)))</f>
        <v>10</v>
      </c>
      <c r="R27" s="9" t="n">
        <f aca="false">IF(OR(NOT(ISNUMBER($O27)),NOT(ISNUMBER($N27)),NOT(ISNUMBER($Q27))),"",$O27*($N27/100)*$Q27*10)</f>
        <v>2.77984</v>
      </c>
      <c r="S27" s="11" t="str">
        <f aca="false">IF(AND($A27="",$B27="",$D27=""),"",IF(AND($A27&lt;&gt;"",COUNTIF('1. Plot &amp; Site Log'!$A$5:$A$64,$A27)=0),"Plot ID not in the Plot &amp; Site Log. ","")&amp;IF(AND(ISNUMBER($D27),ISNUMBER($E27),$E27&lt;=$D27),"Bottom depth is not below top depth. ","")&amp;IF($L27="Not confirmed","Bulk-density basis not confirmed with the lab — the coarse-fragment correction may be wrong or doubled. ","")&amp;IF(LAB_BULK_DENSITY_BASIS="Not confirmed","No lab bulk-density basis is on file in Settings (LAB_BULK_DENSITY_BASIS), so nothing checks this row. ","")&amp;IF(AND($L27&lt;&gt;"",LAB_BULK_DENSITY_BASIS&lt;&gt;"Not confirmed",$L27&lt;&gt;LAB_BULK_DENSITY_BASIS),"This row's bulk-density basis disagrees with the lab method on file. One of "&amp;"the two is wrong, and the coarse-fragment correction follows the row. ","")&amp;IF(AND(ISNUMBER($M27),OR($M27&lt;QC_BD_MIN,$M27&gt;QC_BD_MAX)),"Bulk density outside the plausible range for a mineral grassland soil. ","")&amp;IF(AND(ISNUMBER($N27),$N27&gt;QC_CARBON_PCT_MAX),"Organic carbon above the QC ceiling — check units, and whether this is an organic horizon. ","")&amp;IF(AND(ISNUMBER($J27),$J27&lt;QC_RECOVERY_MIN),"Recovered less than the QC minimum of the depth driven — the increments may not sit where you think. Do NOT stretch them back out. ","")&amp;IF(AND(ISNUMBER($K27),$K27&gt;0,$L27="Fine earth / total volume"),"Coarse fragments recorded and the lab basis already accounts for them — no further correction applied, which is correct. ",""))</f>
        <v>Coarse fragments recorded and the lab basis already accounts for them — no further correction applied, which is correct. </v>
      </c>
      <c r="T27" s="6"/>
      <c r="U27" s="9" t="n">
        <f aca="false">IF($B27="",0,IF(COUNTIFS($B$5:$B27,$B27)=1,1,0))</f>
        <v>0</v>
      </c>
    </row>
    <row r="28" customFormat="false" ht="15" hidden="false" customHeight="false" outlineLevel="0" collapsed="false">
      <c r="A28" s="6" t="s">
        <v>83</v>
      </c>
      <c r="B28" s="6" t="s">
        <v>118</v>
      </c>
      <c r="C28" s="6" t="n">
        <v>1</v>
      </c>
      <c r="D28" s="6" t="n">
        <v>0</v>
      </c>
      <c r="E28" s="6" t="n">
        <v>10</v>
      </c>
      <c r="F28" s="9" t="n">
        <f aca="false">IF(OR($D28="",$E28=""),"",$E28-$D28)</f>
        <v>10</v>
      </c>
      <c r="G28" s="6" t="n">
        <v>5</v>
      </c>
      <c r="H28" s="6" t="n">
        <v>10</v>
      </c>
      <c r="I28" s="6" t="n">
        <v>10</v>
      </c>
      <c r="J28" s="9" t="n">
        <f aca="false">IF(OR(NOT(ISNUMBER($H28)),NOT(ISNUMBER($I28)),$H28=0),"",$I28/$H28)</f>
        <v>1</v>
      </c>
      <c r="K28" s="6" t="n">
        <v>11</v>
      </c>
      <c r="L28" s="8" t="s">
        <v>111</v>
      </c>
      <c r="M28" s="7" t="n">
        <v>1.296</v>
      </c>
      <c r="N28" s="7" t="n">
        <v>2.235</v>
      </c>
      <c r="O28" s="9" t="n">
        <f aca="false">IF(NOT(ISNUMBER($M28)),"",IF($L28="Fine earth / fine-earth volume",$M28*(1-IF(ISNUMBER($K28),$K28,0)/100),$M28))</f>
        <v>1.296</v>
      </c>
      <c r="P28" s="9" t="n">
        <f aca="false">IF(OR(NOT(ISNUMBER($O28)),NOT(ISNUMBER($N28)),NOT(ISNUMBER($F28))),"",$O28*($N28/100)*$F28*10)</f>
        <v>2.89656</v>
      </c>
      <c r="Q28" s="9" t="n">
        <f aca="false">IF(OR(NOT(ISNUMBER($D28)),NOT(ISNUMBER($E28))),"",MAX(0,MIN($E28,SOIL_REPORTING_DEPTH_CM)-MIN($D28,SOIL_REPORTING_DEPTH_CM)))</f>
        <v>10</v>
      </c>
      <c r="R28" s="9" t="n">
        <f aca="false">IF(OR(NOT(ISNUMBER($O28)),NOT(ISNUMBER($N28)),NOT(ISNUMBER($Q28))),"",$O28*($N28/100)*$Q28*10)</f>
        <v>2.89656</v>
      </c>
      <c r="S28" s="11" t="str">
        <f aca="false">IF(AND($A28="",$B28="",$D28=""),"",IF(AND($A28&lt;&gt;"",COUNTIF('1. Plot &amp; Site Log'!$A$5:$A$64,$A28)=0),"Plot ID not in the Plot &amp; Site Log. ","")&amp;IF(AND(ISNUMBER($D28),ISNUMBER($E28),$E28&lt;=$D28),"Bottom depth is not below top depth. ","")&amp;IF($L28="Not confirmed","Bulk-density basis not confirmed with the lab — the coarse-fragment correction may be wrong or doubled. ","")&amp;IF(LAB_BULK_DENSITY_BASIS="Not confirmed","No lab bulk-density basis is on file in Settings (LAB_BULK_DENSITY_BASIS), so nothing checks this row. ","")&amp;IF(AND($L28&lt;&gt;"",LAB_BULK_DENSITY_BASIS&lt;&gt;"Not confirmed",$L28&lt;&gt;LAB_BULK_DENSITY_BASIS),"This row's bulk-density basis disagrees with the lab method on file. One of "&amp;"the two is wrong, and the coarse-fragment correction follows the row. ","")&amp;IF(AND(ISNUMBER($M28),OR($M28&lt;QC_BD_MIN,$M28&gt;QC_BD_MAX)),"Bulk density outside the plausible range for a mineral grassland soil. ","")&amp;IF(AND(ISNUMBER($N28),$N28&gt;QC_CARBON_PCT_MAX),"Organic carbon above the QC ceiling — check units, and whether this is an organic horizon. ","")&amp;IF(AND(ISNUMBER($J28),$J28&lt;QC_RECOVERY_MIN),"Recovered less than the QC minimum of the depth driven — the increments may not sit where you think. Do NOT stretch them back out. ","")&amp;IF(AND(ISNUMBER($K28),$K28&gt;0,$L28="Fine earth / total volume"),"Coarse fragments recorded and the lab basis already accounts for them — no further correction applied, which is correct. ",""))</f>
        <v>Coarse fragments recorded and the lab basis already accounts for them — no further correction applied, which is correct. </v>
      </c>
      <c r="T28" s="6"/>
      <c r="U28" s="9" t="n">
        <f aca="false">IF($B28="",0,IF(COUNTIFS($B$5:$B28,$B28)=1,1,0))</f>
        <v>1</v>
      </c>
    </row>
    <row r="29" customFormat="false" ht="15" hidden="false" customHeight="false" outlineLevel="0" collapsed="false">
      <c r="A29" s="6" t="s">
        <v>83</v>
      </c>
      <c r="B29" s="6" t="s">
        <v>118</v>
      </c>
      <c r="C29" s="6" t="n">
        <v>2</v>
      </c>
      <c r="D29" s="6" t="n">
        <v>10</v>
      </c>
      <c r="E29" s="6" t="n">
        <v>20</v>
      </c>
      <c r="F29" s="9" t="n">
        <f aca="false">IF(OR($D29="",$E29=""),"",$E29-$D29)</f>
        <v>10</v>
      </c>
      <c r="G29" s="6" t="n">
        <v>5</v>
      </c>
      <c r="H29" s="6" t="n">
        <v>20</v>
      </c>
      <c r="I29" s="6" t="n">
        <v>20</v>
      </c>
      <c r="J29" s="9" t="n">
        <f aca="false">IF(OR(NOT(ISNUMBER($H29)),NOT(ISNUMBER($I29)),$H29=0),"",$I29/$H29)</f>
        <v>1</v>
      </c>
      <c r="K29" s="6" t="n">
        <v>11</v>
      </c>
      <c r="L29" s="8" t="s">
        <v>111</v>
      </c>
      <c r="M29" s="7" t="n">
        <v>1.419</v>
      </c>
      <c r="N29" s="7" t="n">
        <v>1.374</v>
      </c>
      <c r="O29" s="9" t="n">
        <f aca="false">IF(NOT(ISNUMBER($M29)),"",IF($L29="Fine earth / fine-earth volume",$M29*(1-IF(ISNUMBER($K29),$K29,0)/100),$M29))</f>
        <v>1.419</v>
      </c>
      <c r="P29" s="9" t="n">
        <f aca="false">IF(OR(NOT(ISNUMBER($O29)),NOT(ISNUMBER($N29)),NOT(ISNUMBER($F29))),"",$O29*($N29/100)*$F29*10)</f>
        <v>1.949706</v>
      </c>
      <c r="Q29" s="9" t="n">
        <f aca="false">IF(OR(NOT(ISNUMBER($D29)),NOT(ISNUMBER($E29))),"",MAX(0,MIN($E29,SOIL_REPORTING_DEPTH_CM)-MIN($D29,SOIL_REPORTING_DEPTH_CM)))</f>
        <v>10</v>
      </c>
      <c r="R29" s="9" t="n">
        <f aca="false">IF(OR(NOT(ISNUMBER($O29)),NOT(ISNUMBER($N29)),NOT(ISNUMBER($Q29))),"",$O29*($N29/100)*$Q29*10)</f>
        <v>1.949706</v>
      </c>
      <c r="S29" s="11" t="str">
        <f aca="false">IF(AND($A29="",$B29="",$D29=""),"",IF(AND($A29&lt;&gt;"",COUNTIF('1. Plot &amp; Site Log'!$A$5:$A$64,$A29)=0),"Plot ID not in the Plot &amp; Site Log. ","")&amp;IF(AND(ISNUMBER($D29),ISNUMBER($E29),$E29&lt;=$D29),"Bottom depth is not below top depth. ","")&amp;IF($L29="Not confirmed","Bulk-density basis not confirmed with the lab — the coarse-fragment correction may be wrong or doubled. ","")&amp;IF(LAB_BULK_DENSITY_BASIS="Not confirmed","No lab bulk-density basis is on file in Settings (LAB_BULK_DENSITY_BASIS), so nothing checks this row. ","")&amp;IF(AND($L29&lt;&gt;"",LAB_BULK_DENSITY_BASIS&lt;&gt;"Not confirmed",$L29&lt;&gt;LAB_BULK_DENSITY_BASIS),"This row's bulk-density basis disagrees with the lab method on file. One of "&amp;"the two is wrong, and the coarse-fragment correction follows the row. ","")&amp;IF(AND(ISNUMBER($M29),OR($M29&lt;QC_BD_MIN,$M29&gt;QC_BD_MAX)),"Bulk density outside the plausible range for a mineral grassland soil. ","")&amp;IF(AND(ISNUMBER($N29),$N29&gt;QC_CARBON_PCT_MAX),"Organic carbon above the QC ceiling — check units, and whether this is an organic horizon. ","")&amp;IF(AND(ISNUMBER($J29),$J29&lt;QC_RECOVERY_MIN),"Recovered less than the QC minimum of the depth driven — the increments may not sit where you think. Do NOT stretch them back out. ","")&amp;IF(AND(ISNUMBER($K29),$K29&gt;0,$L29="Fine earth / total volume"),"Coarse fragments recorded and the lab basis already accounts for them — no further correction applied, which is correct. ",""))</f>
        <v>Coarse fragments recorded and the lab basis already accounts for them — no further correction applied, which is correct. </v>
      </c>
      <c r="T29" s="6"/>
      <c r="U29" s="9" t="n">
        <f aca="false">IF($B29="",0,IF(COUNTIFS($B$5:$B29,$B29)=1,1,0))</f>
        <v>0</v>
      </c>
    </row>
    <row r="30" customFormat="false" ht="15" hidden="false" customHeight="false" outlineLevel="0" collapsed="false">
      <c r="A30" s="6" t="s">
        <v>83</v>
      </c>
      <c r="B30" s="6" t="s">
        <v>118</v>
      </c>
      <c r="C30" s="6" t="n">
        <v>3</v>
      </c>
      <c r="D30" s="6" t="n">
        <v>20</v>
      </c>
      <c r="E30" s="6" t="n">
        <v>30</v>
      </c>
      <c r="F30" s="9" t="n">
        <f aca="false">IF(OR($D30="",$E30=""),"",$E30-$D30)</f>
        <v>10</v>
      </c>
      <c r="G30" s="6" t="n">
        <v>5</v>
      </c>
      <c r="H30" s="6" t="n">
        <v>30</v>
      </c>
      <c r="I30" s="6" t="n">
        <v>30</v>
      </c>
      <c r="J30" s="9" t="n">
        <f aca="false">IF(OR(NOT(ISNUMBER($H30)),NOT(ISNUMBER($I30)),$H30=0),"",$I30/$H30)</f>
        <v>1</v>
      </c>
      <c r="K30" s="6" t="n">
        <v>11</v>
      </c>
      <c r="L30" s="8" t="s">
        <v>111</v>
      </c>
      <c r="M30" s="7" t="n">
        <v>1.481</v>
      </c>
      <c r="N30" s="7" t="n">
        <v>0.882</v>
      </c>
      <c r="O30" s="9" t="n">
        <f aca="false">IF(NOT(ISNUMBER($M30)),"",IF($L30="Fine earth / fine-earth volume",$M30*(1-IF(ISNUMBER($K30),$K30,0)/100),$M30))</f>
        <v>1.481</v>
      </c>
      <c r="P30" s="9" t="n">
        <f aca="false">IF(OR(NOT(ISNUMBER($O30)),NOT(ISNUMBER($N30)),NOT(ISNUMBER($F30))),"",$O30*($N30/100)*$F30*10)</f>
        <v>1.306242</v>
      </c>
      <c r="Q30" s="9" t="n">
        <f aca="false">IF(OR(NOT(ISNUMBER($D30)),NOT(ISNUMBER($E30))),"",MAX(0,MIN($E30,SOIL_REPORTING_DEPTH_CM)-MIN($D30,SOIL_REPORTING_DEPTH_CM)))</f>
        <v>10</v>
      </c>
      <c r="R30" s="9" t="n">
        <f aca="false">IF(OR(NOT(ISNUMBER($O30)),NOT(ISNUMBER($N30)),NOT(ISNUMBER($Q30))),"",$O30*($N30/100)*$Q30*10)</f>
        <v>1.306242</v>
      </c>
      <c r="S30" s="11" t="str">
        <f aca="false">IF(AND($A30="",$B30="",$D30=""),"",IF(AND($A30&lt;&gt;"",COUNTIF('1. Plot &amp; Site Log'!$A$5:$A$64,$A30)=0),"Plot ID not in the Plot &amp; Site Log. ","")&amp;IF(AND(ISNUMBER($D30),ISNUMBER($E30),$E30&lt;=$D30),"Bottom depth is not below top depth. ","")&amp;IF($L30="Not confirmed","Bulk-density basis not confirmed with the lab — the coarse-fragment correction may be wrong or doubled. ","")&amp;IF(LAB_BULK_DENSITY_BASIS="Not confirmed","No lab bulk-density basis is on file in Settings (LAB_BULK_DENSITY_BASIS), so nothing checks this row. ","")&amp;IF(AND($L30&lt;&gt;"",LAB_BULK_DENSITY_BASIS&lt;&gt;"Not confirmed",$L30&lt;&gt;LAB_BULK_DENSITY_BASIS),"This row's bulk-density basis disagrees with the lab method on file. One of "&amp;"the two is wrong, and the coarse-fragment correction follows the row. ","")&amp;IF(AND(ISNUMBER($M30),OR($M30&lt;QC_BD_MIN,$M30&gt;QC_BD_MAX)),"Bulk density outside the plausible range for a mineral grassland soil. ","")&amp;IF(AND(ISNUMBER($N30),$N30&gt;QC_CARBON_PCT_MAX),"Organic carbon above the QC ceiling — check units, and whether this is an organic horizon. ","")&amp;IF(AND(ISNUMBER($J30),$J30&lt;QC_RECOVERY_MIN),"Recovered less than the QC minimum of the depth driven — the increments may not sit where you think. Do NOT stretch them back out. ","")&amp;IF(AND(ISNUMBER($K30),$K30&gt;0,$L30="Fine earth / total volume"),"Coarse fragments recorded and the lab basis already accounts for them — no further correction applied, which is correct. ",""))</f>
        <v>Coarse fragments recorded and the lab basis already accounts for them — no further correction applied, which is correct. </v>
      </c>
      <c r="T30" s="6"/>
      <c r="U30" s="9" t="n">
        <f aca="false">IF($B30="",0,IF(COUNTIFS($B$5:$B30,$B30)=1,1,0))</f>
        <v>0</v>
      </c>
    </row>
    <row r="31" customFormat="false" ht="15" hidden="false" customHeight="false" outlineLevel="0" collapsed="false">
      <c r="A31" s="6" t="s">
        <v>83</v>
      </c>
      <c r="B31" s="6" t="s">
        <v>118</v>
      </c>
      <c r="C31" s="6" t="n">
        <v>4</v>
      </c>
      <c r="D31" s="6" t="n">
        <v>30</v>
      </c>
      <c r="E31" s="6" t="n">
        <v>60</v>
      </c>
      <c r="F31" s="9" t="n">
        <f aca="false">IF(OR($D31="",$E31=""),"",$E31-$D31)</f>
        <v>30</v>
      </c>
      <c r="G31" s="6" t="n">
        <v>5</v>
      </c>
      <c r="H31" s="6" t="n">
        <v>60</v>
      </c>
      <c r="I31" s="6" t="n">
        <v>60</v>
      </c>
      <c r="J31" s="9" t="n">
        <f aca="false">IF(OR(NOT(ISNUMBER($H31)),NOT(ISNUMBER($I31)),$H31=0),"",$I31/$H31)</f>
        <v>1</v>
      </c>
      <c r="K31" s="6" t="n">
        <v>11</v>
      </c>
      <c r="L31" s="8" t="s">
        <v>111</v>
      </c>
      <c r="M31" s="7" t="n">
        <v>1.503</v>
      </c>
      <c r="N31" s="7" t="n">
        <v>0.566</v>
      </c>
      <c r="O31" s="9" t="n">
        <f aca="false">IF(NOT(ISNUMBER($M31)),"",IF($L31="Fine earth / fine-earth volume",$M31*(1-IF(ISNUMBER($K31),$K31,0)/100),$M31))</f>
        <v>1.503</v>
      </c>
      <c r="P31" s="9" t="n">
        <f aca="false">IF(OR(NOT(ISNUMBER($O31)),NOT(ISNUMBER($N31)),NOT(ISNUMBER($F31))),"",$O31*($N31/100)*$F31*10)</f>
        <v>2.552094</v>
      </c>
      <c r="Q31" s="9" t="n">
        <f aca="false">IF(OR(NOT(ISNUMBER($D31)),NOT(ISNUMBER($E31))),"",MAX(0,MIN($E31,SOIL_REPORTING_DEPTH_CM)-MIN($D31,SOIL_REPORTING_DEPTH_CM)))</f>
        <v>0</v>
      </c>
      <c r="R31" s="9" t="n">
        <f aca="false">IF(OR(NOT(ISNUMBER($O31)),NOT(ISNUMBER($N31)),NOT(ISNUMBER($Q31))),"",$O31*($N31/100)*$Q31*10)</f>
        <v>0</v>
      </c>
      <c r="S31" s="11" t="str">
        <f aca="false">IF(AND($A31="",$B31="",$D31=""),"",IF(AND($A31&lt;&gt;"",COUNTIF('1. Plot &amp; Site Log'!$A$5:$A$64,$A31)=0),"Plot ID not in the Plot &amp; Site Log. ","")&amp;IF(AND(ISNUMBER($D31),ISNUMBER($E31),$E31&lt;=$D31),"Bottom depth is not below top depth. ","")&amp;IF($L31="Not confirmed","Bulk-density basis not confirmed with the lab — the coarse-fragment correction may be wrong or doubled. ","")&amp;IF(LAB_BULK_DENSITY_BASIS="Not confirmed","No lab bulk-density basis is on file in Settings (LAB_BULK_DENSITY_BASIS), so nothing checks this row. ","")&amp;IF(AND($L31&lt;&gt;"",LAB_BULK_DENSITY_BASIS&lt;&gt;"Not confirmed",$L31&lt;&gt;LAB_BULK_DENSITY_BASIS),"This row's bulk-density basis disagrees with the lab method on file. One of "&amp;"the two is wrong, and the coarse-fragment correction follows the row. ","")&amp;IF(AND(ISNUMBER($M31),OR($M31&lt;QC_BD_MIN,$M31&gt;QC_BD_MAX)),"Bulk density outside the plausible range for a mineral grassland soil. ","")&amp;IF(AND(ISNUMBER($N31),$N31&gt;QC_CARBON_PCT_MAX),"Organic carbon above the QC ceiling — check units, and whether this is an organic horizon. ","")&amp;IF(AND(ISNUMBER($J31),$J31&lt;QC_RECOVERY_MIN),"Recovered less than the QC minimum of the depth driven — the increments may not sit where you think. Do NOT stretch them back out. ","")&amp;IF(AND(ISNUMBER($K31),$K31&gt;0,$L31="Fine earth / total volume"),"Coarse fragments recorded and the lab basis already accounts for them — no further correction applied, which is correct. ",""))</f>
        <v>Coarse fragments recorded and the lab basis already accounts for them — no further correction applied, which is correct. </v>
      </c>
      <c r="T31" s="6"/>
      <c r="U31" s="9" t="n">
        <f aca="false">IF($B31="",0,IF(COUNTIFS($B$5:$B31,$B31)=1,1,0))</f>
        <v>0</v>
      </c>
    </row>
    <row r="32" customFormat="false" ht="15" hidden="false" customHeight="false" outlineLevel="0" collapsed="false">
      <c r="A32" s="6" t="s">
        <v>87</v>
      </c>
      <c r="B32" s="6" t="s">
        <v>119</v>
      </c>
      <c r="C32" s="6" t="n">
        <v>1</v>
      </c>
      <c r="D32" s="6" t="n">
        <v>0</v>
      </c>
      <c r="E32" s="6" t="n">
        <v>10</v>
      </c>
      <c r="F32" s="9" t="n">
        <f aca="false">IF(OR($D32="",$E32=""),"",$E32-$D32)</f>
        <v>10</v>
      </c>
      <c r="G32" s="6" t="n">
        <v>5</v>
      </c>
      <c r="H32" s="6" t="n">
        <v>10</v>
      </c>
      <c r="I32" s="6" t="n">
        <v>10</v>
      </c>
      <c r="J32" s="9" t="n">
        <f aca="false">IF(OR(NOT(ISNUMBER($H32)),NOT(ISNUMBER($I32)),$H32=0),"",$I32/$H32)</f>
        <v>1</v>
      </c>
      <c r="K32" s="6" t="n">
        <v>11</v>
      </c>
      <c r="L32" s="8" t="s">
        <v>111</v>
      </c>
      <c r="M32" s="7" t="n">
        <v>1.309</v>
      </c>
      <c r="N32" s="7" t="n">
        <v>1.616</v>
      </c>
      <c r="O32" s="9" t="n">
        <f aca="false">IF(NOT(ISNUMBER($M32)),"",IF($L32="Fine earth / fine-earth volume",$M32*(1-IF(ISNUMBER($K32),$K32,0)/100),$M32))</f>
        <v>1.309</v>
      </c>
      <c r="P32" s="9" t="n">
        <f aca="false">IF(OR(NOT(ISNUMBER($O32)),NOT(ISNUMBER($N32)),NOT(ISNUMBER($F32))),"",$O32*($N32/100)*$F32*10)</f>
        <v>2.115344</v>
      </c>
      <c r="Q32" s="9" t="n">
        <f aca="false">IF(OR(NOT(ISNUMBER($D32)),NOT(ISNUMBER($E32))),"",MAX(0,MIN($E32,SOIL_REPORTING_DEPTH_CM)-MIN($D32,SOIL_REPORTING_DEPTH_CM)))</f>
        <v>10</v>
      </c>
      <c r="R32" s="9" t="n">
        <f aca="false">IF(OR(NOT(ISNUMBER($O32)),NOT(ISNUMBER($N32)),NOT(ISNUMBER($Q32))),"",$O32*($N32/100)*$Q32*10)</f>
        <v>2.115344</v>
      </c>
      <c r="S32" s="11" t="str">
        <f aca="false">IF(AND($A32="",$B32="",$D32=""),"",IF(AND($A32&lt;&gt;"",COUNTIF('1. Plot &amp; Site Log'!$A$5:$A$64,$A32)=0),"Plot ID not in the Plot &amp; Site Log. ","")&amp;IF(AND(ISNUMBER($D32),ISNUMBER($E32),$E32&lt;=$D32),"Bottom depth is not below top depth. ","")&amp;IF($L32="Not confirmed","Bulk-density basis not confirmed with the lab — the coarse-fragment correction may be wrong or doubled. ","")&amp;IF(LAB_BULK_DENSITY_BASIS="Not confirmed","No lab bulk-density basis is on file in Settings (LAB_BULK_DENSITY_BASIS), so nothing checks this row. ","")&amp;IF(AND($L32&lt;&gt;"",LAB_BULK_DENSITY_BASIS&lt;&gt;"Not confirmed",$L32&lt;&gt;LAB_BULK_DENSITY_BASIS),"This row's bulk-density basis disagrees with the lab method on file. One of "&amp;"the two is wrong, and the coarse-fragment correction follows the row. ","")&amp;IF(AND(ISNUMBER($M32),OR($M32&lt;QC_BD_MIN,$M32&gt;QC_BD_MAX)),"Bulk density outside the plausible range for a mineral grassland soil. ","")&amp;IF(AND(ISNUMBER($N32),$N32&gt;QC_CARBON_PCT_MAX),"Organic carbon above the QC ceiling — check units, and whether this is an organic horizon. ","")&amp;IF(AND(ISNUMBER($J32),$J32&lt;QC_RECOVERY_MIN),"Recovered less than the QC minimum of the depth driven — the increments may not sit where you think. Do NOT stretch them back out. ","")&amp;IF(AND(ISNUMBER($K32),$K32&gt;0,$L32="Fine earth / total volume"),"Coarse fragments recorded and the lab basis already accounts for them — no further correction applied, which is correct. ",""))</f>
        <v>Coarse fragments recorded and the lab basis already accounts for them — no further correction applied, which is correct. </v>
      </c>
      <c r="T32" s="6"/>
      <c r="U32" s="9" t="n">
        <f aca="false">IF($B32="",0,IF(COUNTIFS($B$5:$B32,$B32)=1,1,0))</f>
        <v>1</v>
      </c>
    </row>
    <row r="33" customFormat="false" ht="15" hidden="false" customHeight="false" outlineLevel="0" collapsed="false">
      <c r="A33" s="6" t="s">
        <v>87</v>
      </c>
      <c r="B33" s="6" t="s">
        <v>119</v>
      </c>
      <c r="C33" s="6" t="n">
        <v>2</v>
      </c>
      <c r="D33" s="6" t="n">
        <v>10</v>
      </c>
      <c r="E33" s="6" t="n">
        <v>20</v>
      </c>
      <c r="F33" s="9" t="n">
        <f aca="false">IF(OR($D33="",$E33=""),"",$E33-$D33)</f>
        <v>10</v>
      </c>
      <c r="G33" s="6" t="n">
        <v>5</v>
      </c>
      <c r="H33" s="6" t="n">
        <v>20</v>
      </c>
      <c r="I33" s="6" t="n">
        <v>20</v>
      </c>
      <c r="J33" s="9" t="n">
        <f aca="false">IF(OR(NOT(ISNUMBER($H33)),NOT(ISNUMBER($I33)),$H33=0),"",$I33/$H33)</f>
        <v>1</v>
      </c>
      <c r="K33" s="6" t="n">
        <v>11</v>
      </c>
      <c r="L33" s="8" t="s">
        <v>111</v>
      </c>
      <c r="M33" s="7" t="n">
        <v>1.428</v>
      </c>
      <c r="N33" s="7" t="n">
        <v>0.984</v>
      </c>
      <c r="O33" s="9" t="n">
        <f aca="false">IF(NOT(ISNUMBER($M33)),"",IF($L33="Fine earth / fine-earth volume",$M33*(1-IF(ISNUMBER($K33),$K33,0)/100),$M33))</f>
        <v>1.428</v>
      </c>
      <c r="P33" s="9" t="n">
        <f aca="false">IF(OR(NOT(ISNUMBER($O33)),NOT(ISNUMBER($N33)),NOT(ISNUMBER($F33))),"",$O33*($N33/100)*$F33*10)</f>
        <v>1.405152</v>
      </c>
      <c r="Q33" s="9" t="n">
        <f aca="false">IF(OR(NOT(ISNUMBER($D33)),NOT(ISNUMBER($E33))),"",MAX(0,MIN($E33,SOIL_REPORTING_DEPTH_CM)-MIN($D33,SOIL_REPORTING_DEPTH_CM)))</f>
        <v>10</v>
      </c>
      <c r="R33" s="9" t="n">
        <f aca="false">IF(OR(NOT(ISNUMBER($O33)),NOT(ISNUMBER($N33)),NOT(ISNUMBER($Q33))),"",$O33*($N33/100)*$Q33*10)</f>
        <v>1.405152</v>
      </c>
      <c r="S33" s="11" t="str">
        <f aca="false">IF(AND($A33="",$B33="",$D33=""),"",IF(AND($A33&lt;&gt;"",COUNTIF('1. Plot &amp; Site Log'!$A$5:$A$64,$A33)=0),"Plot ID not in the Plot &amp; Site Log. ","")&amp;IF(AND(ISNUMBER($D33),ISNUMBER($E33),$E33&lt;=$D33),"Bottom depth is not below top depth. ","")&amp;IF($L33="Not confirmed","Bulk-density basis not confirmed with the lab — the coarse-fragment correction may be wrong or doubled. ","")&amp;IF(LAB_BULK_DENSITY_BASIS="Not confirmed","No lab bulk-density basis is on file in Settings (LAB_BULK_DENSITY_BASIS), so nothing checks this row. ","")&amp;IF(AND($L33&lt;&gt;"",LAB_BULK_DENSITY_BASIS&lt;&gt;"Not confirmed",$L33&lt;&gt;LAB_BULK_DENSITY_BASIS),"This row's bulk-density basis disagrees with the lab method on file. One of "&amp;"the two is wrong, and the coarse-fragment correction follows the row. ","")&amp;IF(AND(ISNUMBER($M33),OR($M33&lt;QC_BD_MIN,$M33&gt;QC_BD_MAX)),"Bulk density outside the plausible range for a mineral grassland soil. ","")&amp;IF(AND(ISNUMBER($N33),$N33&gt;QC_CARBON_PCT_MAX),"Organic carbon above the QC ceiling — check units, and whether this is an organic horizon. ","")&amp;IF(AND(ISNUMBER($J33),$J33&lt;QC_RECOVERY_MIN),"Recovered less than the QC minimum of the depth driven — the increments may not sit where you think. Do NOT stretch them back out. ","")&amp;IF(AND(ISNUMBER($K33),$K33&gt;0,$L33="Fine earth / total volume"),"Coarse fragments recorded and the lab basis already accounts for them — no further correction applied, which is correct. ",""))</f>
        <v>Coarse fragments recorded and the lab basis already accounts for them — no further correction applied, which is correct. </v>
      </c>
      <c r="T33" s="6"/>
      <c r="U33" s="9" t="n">
        <f aca="false">IF($B33="",0,IF(COUNTIFS($B$5:$B33,$B33)=1,1,0))</f>
        <v>0</v>
      </c>
    </row>
    <row r="34" customFormat="false" ht="15" hidden="false" customHeight="false" outlineLevel="0" collapsed="false">
      <c r="A34" s="6" t="s">
        <v>87</v>
      </c>
      <c r="B34" s="6" t="s">
        <v>119</v>
      </c>
      <c r="C34" s="6" t="n">
        <v>3</v>
      </c>
      <c r="D34" s="6" t="n">
        <v>20</v>
      </c>
      <c r="E34" s="6" t="n">
        <v>30</v>
      </c>
      <c r="F34" s="9" t="n">
        <f aca="false">IF(OR($D34="",$E34=""),"",$E34-$D34)</f>
        <v>10</v>
      </c>
      <c r="G34" s="6" t="n">
        <v>5</v>
      </c>
      <c r="H34" s="6" t="n">
        <v>30</v>
      </c>
      <c r="I34" s="6" t="n">
        <v>30</v>
      </c>
      <c r="J34" s="9" t="n">
        <f aca="false">IF(OR(NOT(ISNUMBER($H34)),NOT(ISNUMBER($I34)),$H34=0),"",$I34/$H34)</f>
        <v>1</v>
      </c>
      <c r="K34" s="6" t="n">
        <v>11</v>
      </c>
      <c r="L34" s="8" t="s">
        <v>111</v>
      </c>
      <c r="M34" s="7" t="n">
        <v>1.502</v>
      </c>
      <c r="N34" s="7" t="n">
        <v>0.645</v>
      </c>
      <c r="O34" s="9" t="n">
        <f aca="false">IF(NOT(ISNUMBER($M34)),"",IF($L34="Fine earth / fine-earth volume",$M34*(1-IF(ISNUMBER($K34),$K34,0)/100),$M34))</f>
        <v>1.502</v>
      </c>
      <c r="P34" s="9" t="n">
        <f aca="false">IF(OR(NOT(ISNUMBER($O34)),NOT(ISNUMBER($N34)),NOT(ISNUMBER($F34))),"",$O34*($N34/100)*$F34*10)</f>
        <v>0.96879</v>
      </c>
      <c r="Q34" s="9" t="n">
        <f aca="false">IF(OR(NOT(ISNUMBER($D34)),NOT(ISNUMBER($E34))),"",MAX(0,MIN($E34,SOIL_REPORTING_DEPTH_CM)-MIN($D34,SOIL_REPORTING_DEPTH_CM)))</f>
        <v>10</v>
      </c>
      <c r="R34" s="9" t="n">
        <f aca="false">IF(OR(NOT(ISNUMBER($O34)),NOT(ISNUMBER($N34)),NOT(ISNUMBER($Q34))),"",$O34*($N34/100)*$Q34*10)</f>
        <v>0.96879</v>
      </c>
      <c r="S34" s="11" t="str">
        <f aca="false">IF(AND($A34="",$B34="",$D34=""),"",IF(AND($A34&lt;&gt;"",COUNTIF('1. Plot &amp; Site Log'!$A$5:$A$64,$A34)=0),"Plot ID not in the Plot &amp; Site Log. ","")&amp;IF(AND(ISNUMBER($D34),ISNUMBER($E34),$E34&lt;=$D34),"Bottom depth is not below top depth. ","")&amp;IF($L34="Not confirmed","Bulk-density basis not confirmed with the lab — the coarse-fragment correction may be wrong or doubled. ","")&amp;IF(LAB_BULK_DENSITY_BASIS="Not confirmed","No lab bulk-density basis is on file in Settings (LAB_BULK_DENSITY_BASIS), so nothing checks this row. ","")&amp;IF(AND($L34&lt;&gt;"",LAB_BULK_DENSITY_BASIS&lt;&gt;"Not confirmed",$L34&lt;&gt;LAB_BULK_DENSITY_BASIS),"This row's bulk-density basis disagrees with the lab method on file. One of "&amp;"the two is wrong, and the coarse-fragment correction follows the row. ","")&amp;IF(AND(ISNUMBER($M34),OR($M34&lt;QC_BD_MIN,$M34&gt;QC_BD_MAX)),"Bulk density outside the plausible range for a mineral grassland soil. ","")&amp;IF(AND(ISNUMBER($N34),$N34&gt;QC_CARBON_PCT_MAX),"Organic carbon above the QC ceiling — check units, and whether this is an organic horizon. ","")&amp;IF(AND(ISNUMBER($J34),$J34&lt;QC_RECOVERY_MIN),"Recovered less than the QC minimum of the depth driven — the increments may not sit where you think. Do NOT stretch them back out. ","")&amp;IF(AND(ISNUMBER($K34),$K34&gt;0,$L34="Fine earth / total volume"),"Coarse fragments recorded and the lab basis already accounts for them — no further correction applied, which is correct. ",""))</f>
        <v>Coarse fragments recorded and the lab basis already accounts for them — no further correction applied, which is correct. </v>
      </c>
      <c r="T34" s="6"/>
      <c r="U34" s="9" t="n">
        <f aca="false">IF($B34="",0,IF(COUNTIFS($B$5:$B34,$B34)=1,1,0))</f>
        <v>0</v>
      </c>
    </row>
    <row r="35" customFormat="false" ht="15" hidden="false" customHeight="false" outlineLevel="0" collapsed="false">
      <c r="A35" s="6" t="s">
        <v>87</v>
      </c>
      <c r="B35" s="6" t="s">
        <v>119</v>
      </c>
      <c r="C35" s="6" t="n">
        <v>4</v>
      </c>
      <c r="D35" s="6" t="n">
        <v>30</v>
      </c>
      <c r="E35" s="6" t="n">
        <v>60</v>
      </c>
      <c r="F35" s="9" t="n">
        <f aca="false">IF(OR($D35="",$E35=""),"",$E35-$D35)</f>
        <v>30</v>
      </c>
      <c r="G35" s="6" t="n">
        <v>5</v>
      </c>
      <c r="H35" s="6" t="n">
        <v>60</v>
      </c>
      <c r="I35" s="6" t="n">
        <v>60</v>
      </c>
      <c r="J35" s="9" t="n">
        <f aca="false">IF(OR(NOT(ISNUMBER($H35)),NOT(ISNUMBER($I35)),$H35=0),"",$I35/$H35)</f>
        <v>1</v>
      </c>
      <c r="K35" s="6" t="n">
        <v>11</v>
      </c>
      <c r="L35" s="8" t="s">
        <v>111</v>
      </c>
      <c r="M35" s="7" t="n">
        <v>1.521</v>
      </c>
      <c r="N35" s="7" t="n">
        <v>0.411</v>
      </c>
      <c r="O35" s="9" t="n">
        <f aca="false">IF(NOT(ISNUMBER($M35)),"",IF($L35="Fine earth / fine-earth volume",$M35*(1-IF(ISNUMBER($K35),$K35,0)/100),$M35))</f>
        <v>1.521</v>
      </c>
      <c r="P35" s="9" t="n">
        <f aca="false">IF(OR(NOT(ISNUMBER($O35)),NOT(ISNUMBER($N35)),NOT(ISNUMBER($F35))),"",$O35*($N35/100)*$F35*10)</f>
        <v>1.875393</v>
      </c>
      <c r="Q35" s="9" t="n">
        <f aca="false">IF(OR(NOT(ISNUMBER($D35)),NOT(ISNUMBER($E35))),"",MAX(0,MIN($E35,SOIL_REPORTING_DEPTH_CM)-MIN($D35,SOIL_REPORTING_DEPTH_CM)))</f>
        <v>0</v>
      </c>
      <c r="R35" s="9" t="n">
        <f aca="false">IF(OR(NOT(ISNUMBER($O35)),NOT(ISNUMBER($N35)),NOT(ISNUMBER($Q35))),"",$O35*($N35/100)*$Q35*10)</f>
        <v>0</v>
      </c>
      <c r="S35" s="11" t="str">
        <f aca="false">IF(AND($A35="",$B35="",$D35=""),"",IF(AND($A35&lt;&gt;"",COUNTIF('1. Plot &amp; Site Log'!$A$5:$A$64,$A35)=0),"Plot ID not in the Plot &amp; Site Log. ","")&amp;IF(AND(ISNUMBER($D35),ISNUMBER($E35),$E35&lt;=$D35),"Bottom depth is not below top depth. ","")&amp;IF($L35="Not confirmed","Bulk-density basis not confirmed with the lab — the coarse-fragment correction may be wrong or doubled. ","")&amp;IF(LAB_BULK_DENSITY_BASIS="Not confirmed","No lab bulk-density basis is on file in Settings (LAB_BULK_DENSITY_BASIS), so nothing checks this row. ","")&amp;IF(AND($L35&lt;&gt;"",LAB_BULK_DENSITY_BASIS&lt;&gt;"Not confirmed",$L35&lt;&gt;LAB_BULK_DENSITY_BASIS),"This row's bulk-density basis disagrees with the lab method on file. One of "&amp;"the two is wrong, and the coarse-fragment correction follows the row. ","")&amp;IF(AND(ISNUMBER($M35),OR($M35&lt;QC_BD_MIN,$M35&gt;QC_BD_MAX)),"Bulk density outside the plausible range for a mineral grassland soil. ","")&amp;IF(AND(ISNUMBER($N35),$N35&gt;QC_CARBON_PCT_MAX),"Organic carbon above the QC ceiling — check units, and whether this is an organic horizon. ","")&amp;IF(AND(ISNUMBER($J35),$J35&lt;QC_RECOVERY_MIN),"Recovered less than the QC minimum of the depth driven — the increments may not sit where you think. Do NOT stretch them back out. ","")&amp;IF(AND(ISNUMBER($K35),$K35&gt;0,$L35="Fine earth / total volume"),"Coarse fragments recorded and the lab basis already accounts for them — no further correction applied, which is correct. ",""))</f>
        <v>Coarse fragments recorded and the lab basis already accounts for them — no further correction applied, which is correct. </v>
      </c>
      <c r="T35" s="6"/>
      <c r="U35" s="9" t="n">
        <f aca="false">IF($B35="",0,IF(COUNTIFS($B$5:$B35,$B35)=1,1,0))</f>
        <v>0</v>
      </c>
    </row>
    <row r="36" customFormat="false" ht="15" hidden="false" customHeight="false" outlineLevel="0" collapsed="false">
      <c r="A36" s="6" t="s">
        <v>88</v>
      </c>
      <c r="B36" s="6" t="s">
        <v>120</v>
      </c>
      <c r="C36" s="6" t="n">
        <v>1</v>
      </c>
      <c r="D36" s="6" t="n">
        <v>0</v>
      </c>
      <c r="E36" s="6" t="n">
        <v>10</v>
      </c>
      <c r="F36" s="9" t="n">
        <f aca="false">IF(OR($D36="",$E36=""),"",$E36-$D36)</f>
        <v>10</v>
      </c>
      <c r="G36" s="6" t="n">
        <v>5</v>
      </c>
      <c r="H36" s="6" t="n">
        <v>10</v>
      </c>
      <c r="I36" s="6" t="n">
        <v>10</v>
      </c>
      <c r="J36" s="9" t="n">
        <f aca="false">IF(OR(NOT(ISNUMBER($H36)),NOT(ISNUMBER($I36)),$H36=0),"",$I36/$H36)</f>
        <v>1</v>
      </c>
      <c r="K36" s="6" t="n">
        <v>11</v>
      </c>
      <c r="L36" s="8" t="s">
        <v>111</v>
      </c>
      <c r="M36" s="7" t="n">
        <v>1.314</v>
      </c>
      <c r="N36" s="7" t="n">
        <v>2.253</v>
      </c>
      <c r="O36" s="9" t="n">
        <f aca="false">IF(NOT(ISNUMBER($M36)),"",IF($L36="Fine earth / fine-earth volume",$M36*(1-IF(ISNUMBER($K36),$K36,0)/100),$M36))</f>
        <v>1.314</v>
      </c>
      <c r="P36" s="9" t="n">
        <f aca="false">IF(OR(NOT(ISNUMBER($O36)),NOT(ISNUMBER($N36)),NOT(ISNUMBER($F36))),"",$O36*($N36/100)*$F36*10)</f>
        <v>2.960442</v>
      </c>
      <c r="Q36" s="9" t="n">
        <f aca="false">IF(OR(NOT(ISNUMBER($D36)),NOT(ISNUMBER($E36))),"",MAX(0,MIN($E36,SOIL_REPORTING_DEPTH_CM)-MIN($D36,SOIL_REPORTING_DEPTH_CM)))</f>
        <v>10</v>
      </c>
      <c r="R36" s="9" t="n">
        <f aca="false">IF(OR(NOT(ISNUMBER($O36)),NOT(ISNUMBER($N36)),NOT(ISNUMBER($Q36))),"",$O36*($N36/100)*$Q36*10)</f>
        <v>2.960442</v>
      </c>
      <c r="S36" s="11" t="str">
        <f aca="false">IF(AND($A36="",$B36="",$D36=""),"",IF(AND($A36&lt;&gt;"",COUNTIF('1. Plot &amp; Site Log'!$A$5:$A$64,$A36)=0),"Plot ID not in the Plot &amp; Site Log. ","")&amp;IF(AND(ISNUMBER($D36),ISNUMBER($E36),$E36&lt;=$D36),"Bottom depth is not below top depth. ","")&amp;IF($L36="Not confirmed","Bulk-density basis not confirmed with the lab — the coarse-fragment correction may be wrong or doubled. ","")&amp;IF(LAB_BULK_DENSITY_BASIS="Not confirmed","No lab bulk-density basis is on file in Settings (LAB_BULK_DENSITY_BASIS), so nothing checks this row. ","")&amp;IF(AND($L36&lt;&gt;"",LAB_BULK_DENSITY_BASIS&lt;&gt;"Not confirmed",$L36&lt;&gt;LAB_BULK_DENSITY_BASIS),"This row's bulk-density basis disagrees with the lab method on file. One of "&amp;"the two is wrong, and the coarse-fragment correction follows the row. ","")&amp;IF(AND(ISNUMBER($M36),OR($M36&lt;QC_BD_MIN,$M36&gt;QC_BD_MAX)),"Bulk density outside the plausible range for a mineral grassland soil. ","")&amp;IF(AND(ISNUMBER($N36),$N36&gt;QC_CARBON_PCT_MAX),"Organic carbon above the QC ceiling — check units, and whether this is an organic horizon. ","")&amp;IF(AND(ISNUMBER($J36),$J36&lt;QC_RECOVERY_MIN),"Recovered less than the QC minimum of the depth driven — the increments may not sit where you think. Do NOT stretch them back out. ","")&amp;IF(AND(ISNUMBER($K36),$K36&gt;0,$L36="Fine earth / total volume"),"Coarse fragments recorded and the lab basis already accounts for them — no further correction applied, which is correct. ",""))</f>
        <v>Coarse fragments recorded and the lab basis already accounts for them — no further correction applied, which is correct. </v>
      </c>
      <c r="T36" s="6"/>
      <c r="U36" s="9" t="n">
        <f aca="false">IF($B36="",0,IF(COUNTIFS($B$5:$B36,$B36)=1,1,0))</f>
        <v>1</v>
      </c>
    </row>
    <row r="37" customFormat="false" ht="15" hidden="false" customHeight="false" outlineLevel="0" collapsed="false">
      <c r="A37" s="6" t="s">
        <v>88</v>
      </c>
      <c r="B37" s="6" t="s">
        <v>120</v>
      </c>
      <c r="C37" s="6" t="n">
        <v>2</v>
      </c>
      <c r="D37" s="6" t="n">
        <v>10</v>
      </c>
      <c r="E37" s="6" t="n">
        <v>20</v>
      </c>
      <c r="F37" s="9" t="n">
        <f aca="false">IF(OR($D37="",$E37=""),"",$E37-$D37)</f>
        <v>10</v>
      </c>
      <c r="G37" s="6" t="n">
        <v>5</v>
      </c>
      <c r="H37" s="6" t="n">
        <v>20</v>
      </c>
      <c r="I37" s="6" t="n">
        <v>20</v>
      </c>
      <c r="J37" s="9" t="n">
        <f aca="false">IF(OR(NOT(ISNUMBER($H37)),NOT(ISNUMBER($I37)),$H37=0),"",$I37/$H37)</f>
        <v>1</v>
      </c>
      <c r="K37" s="6" t="n">
        <v>11</v>
      </c>
      <c r="L37" s="8" t="s">
        <v>111</v>
      </c>
      <c r="M37" s="7" t="n">
        <v>1.43</v>
      </c>
      <c r="N37" s="7" t="n">
        <v>1.362</v>
      </c>
      <c r="O37" s="9" t="n">
        <f aca="false">IF(NOT(ISNUMBER($M37)),"",IF($L37="Fine earth / fine-earth volume",$M37*(1-IF(ISNUMBER($K37),$K37,0)/100),$M37))</f>
        <v>1.43</v>
      </c>
      <c r="P37" s="9" t="n">
        <f aca="false">IF(OR(NOT(ISNUMBER($O37)),NOT(ISNUMBER($N37)),NOT(ISNUMBER($F37))),"",$O37*($N37/100)*$F37*10)</f>
        <v>1.94766</v>
      </c>
      <c r="Q37" s="9" t="n">
        <f aca="false">IF(OR(NOT(ISNUMBER($D37)),NOT(ISNUMBER($E37))),"",MAX(0,MIN($E37,SOIL_REPORTING_DEPTH_CM)-MIN($D37,SOIL_REPORTING_DEPTH_CM)))</f>
        <v>10</v>
      </c>
      <c r="R37" s="9" t="n">
        <f aca="false">IF(OR(NOT(ISNUMBER($O37)),NOT(ISNUMBER($N37)),NOT(ISNUMBER($Q37))),"",$O37*($N37/100)*$Q37*10)</f>
        <v>1.94766</v>
      </c>
      <c r="S37" s="11" t="str">
        <f aca="false">IF(AND($A37="",$B37="",$D37=""),"",IF(AND($A37&lt;&gt;"",COUNTIF('1. Plot &amp; Site Log'!$A$5:$A$64,$A37)=0),"Plot ID not in the Plot &amp; Site Log. ","")&amp;IF(AND(ISNUMBER($D37),ISNUMBER($E37),$E37&lt;=$D37),"Bottom depth is not below top depth. ","")&amp;IF($L37="Not confirmed","Bulk-density basis not confirmed with the lab — the coarse-fragment correction may be wrong or doubled. ","")&amp;IF(LAB_BULK_DENSITY_BASIS="Not confirmed","No lab bulk-density basis is on file in Settings (LAB_BULK_DENSITY_BASIS), so nothing checks this row. ","")&amp;IF(AND($L37&lt;&gt;"",LAB_BULK_DENSITY_BASIS&lt;&gt;"Not confirmed",$L37&lt;&gt;LAB_BULK_DENSITY_BASIS),"This row's bulk-density basis disagrees with the lab method on file. One of "&amp;"the two is wrong, and the coarse-fragment correction follows the row. ","")&amp;IF(AND(ISNUMBER($M37),OR($M37&lt;QC_BD_MIN,$M37&gt;QC_BD_MAX)),"Bulk density outside the plausible range for a mineral grassland soil. ","")&amp;IF(AND(ISNUMBER($N37),$N37&gt;QC_CARBON_PCT_MAX),"Organic carbon above the QC ceiling — check units, and whether this is an organic horizon. ","")&amp;IF(AND(ISNUMBER($J37),$J37&lt;QC_RECOVERY_MIN),"Recovered less than the QC minimum of the depth driven — the increments may not sit where you think. Do NOT stretch them back out. ","")&amp;IF(AND(ISNUMBER($K37),$K37&gt;0,$L37="Fine earth / total volume"),"Coarse fragments recorded and the lab basis already accounts for them — no further correction applied, which is correct. ",""))</f>
        <v>Coarse fragments recorded and the lab basis already accounts for them — no further correction applied, which is correct. </v>
      </c>
      <c r="T37" s="6"/>
      <c r="U37" s="9" t="n">
        <f aca="false">IF($B37="",0,IF(COUNTIFS($B$5:$B37,$B37)=1,1,0))</f>
        <v>0</v>
      </c>
    </row>
    <row r="38" customFormat="false" ht="15" hidden="false" customHeight="false" outlineLevel="0" collapsed="false">
      <c r="A38" s="6" t="s">
        <v>88</v>
      </c>
      <c r="B38" s="6" t="s">
        <v>120</v>
      </c>
      <c r="C38" s="6" t="n">
        <v>3</v>
      </c>
      <c r="D38" s="6" t="n">
        <v>20</v>
      </c>
      <c r="E38" s="6" t="n">
        <v>22</v>
      </c>
      <c r="F38" s="9" t="n">
        <f aca="false">IF(OR($D38="",$E38=""),"",$E38-$D38)</f>
        <v>2</v>
      </c>
      <c r="G38" s="6" t="n">
        <v>5</v>
      </c>
      <c r="H38" s="6" t="n">
        <v>22</v>
      </c>
      <c r="I38" s="6" t="n">
        <v>22</v>
      </c>
      <c r="J38" s="9" t="n">
        <f aca="false">IF(OR(NOT(ISNUMBER($H38)),NOT(ISNUMBER($I38)),$H38=0),"",$I38/$H38)</f>
        <v>1</v>
      </c>
      <c r="K38" s="6" t="n">
        <v>11</v>
      </c>
      <c r="L38" s="8" t="s">
        <v>111</v>
      </c>
      <c r="M38" s="7" t="n">
        <v>1.516</v>
      </c>
      <c r="N38" s="7" t="n">
        <v>0.792</v>
      </c>
      <c r="O38" s="9" t="n">
        <f aca="false">IF(NOT(ISNUMBER($M38)),"",IF($L38="Fine earth / fine-earth volume",$M38*(1-IF(ISNUMBER($K38),$K38,0)/100),$M38))</f>
        <v>1.516</v>
      </c>
      <c r="P38" s="9" t="n">
        <f aca="false">IF(OR(NOT(ISNUMBER($O38)),NOT(ISNUMBER($N38)),NOT(ISNUMBER($F38))),"",$O38*($N38/100)*$F38*10)</f>
        <v>0.2401344</v>
      </c>
      <c r="Q38" s="9" t="n">
        <f aca="false">IF(OR(NOT(ISNUMBER($D38)),NOT(ISNUMBER($E38))),"",MAX(0,MIN($E38,SOIL_REPORTING_DEPTH_CM)-MIN($D38,SOIL_REPORTING_DEPTH_CM)))</f>
        <v>2</v>
      </c>
      <c r="R38" s="9" t="n">
        <f aca="false">IF(OR(NOT(ISNUMBER($O38)),NOT(ISNUMBER($N38)),NOT(ISNUMBER($Q38))),"",$O38*($N38/100)*$Q38*10)</f>
        <v>0.2401344</v>
      </c>
      <c r="S38" s="11" t="str">
        <f aca="false">IF(AND($A38="",$B38="",$D38=""),"",IF(AND($A38&lt;&gt;"",COUNTIF('1. Plot &amp; Site Log'!$A$5:$A$64,$A38)=0),"Plot ID not in the Plot &amp; Site Log. ","")&amp;IF(AND(ISNUMBER($D38),ISNUMBER($E38),$E38&lt;=$D38),"Bottom depth is not below top depth. ","")&amp;IF($L38="Not confirmed","Bulk-density basis not confirmed with the lab — the coarse-fragment correction may be wrong or doubled. ","")&amp;IF(LAB_BULK_DENSITY_BASIS="Not confirmed","No lab bulk-density basis is on file in Settings (LAB_BULK_DENSITY_BASIS), so nothing checks this row. ","")&amp;IF(AND($L38&lt;&gt;"",LAB_BULK_DENSITY_BASIS&lt;&gt;"Not confirmed",$L38&lt;&gt;LAB_BULK_DENSITY_BASIS),"This row's bulk-density basis disagrees with the lab method on file. One of "&amp;"the two is wrong, and the coarse-fragment correction follows the row. ","")&amp;IF(AND(ISNUMBER($M38),OR($M38&lt;QC_BD_MIN,$M38&gt;QC_BD_MAX)),"Bulk density outside the plausible range for a mineral grassland soil. ","")&amp;IF(AND(ISNUMBER($N38),$N38&gt;QC_CARBON_PCT_MAX),"Organic carbon above the QC ceiling — check units, and whether this is an organic horizon. ","")&amp;IF(AND(ISNUMBER($J38),$J38&lt;QC_RECOVERY_MIN),"Recovered less than the QC minimum of the depth driven — the increments may not sit where you think. Do NOT stretch them back out. ","")&amp;IF(AND(ISNUMBER($K38),$K38&gt;0,$L38="Fine earth / total volume"),"Coarse fragments recorded and the lab basis already accounts for them — no further correction applied, which is correct. ",""))</f>
        <v>Coarse fragments recorded and the lab basis already accounts for them — no further correction applied, which is correct. </v>
      </c>
      <c r="T38" s="6" t="s">
        <v>121</v>
      </c>
      <c r="U38" s="9" t="n">
        <f aca="false">IF($B38="",0,IF(COUNTIFS($B$5:$B38,$B38)=1,1,0))</f>
        <v>0</v>
      </c>
    </row>
    <row r="39" customFormat="false" ht="15" hidden="false" customHeight="false" outlineLevel="0" collapsed="false">
      <c r="A39" s="6"/>
      <c r="B39" s="6"/>
      <c r="C39" s="6"/>
      <c r="D39" s="6"/>
      <c r="E39" s="6"/>
      <c r="F39" s="9" t="str">
        <f aca="false">IF(OR($D39="",$E39=""),"",$E39-$D39)</f>
        <v/>
      </c>
      <c r="G39" s="6"/>
      <c r="H39" s="6"/>
      <c r="I39" s="6"/>
      <c r="J39" s="9" t="str">
        <f aca="false">IF(OR(NOT(ISNUMBER($H39)),NOT(ISNUMBER($I39)),$H39=0),"",$I39/$H39)</f>
        <v/>
      </c>
      <c r="K39" s="6"/>
      <c r="L39" s="8"/>
      <c r="M39" s="7"/>
      <c r="N39" s="7"/>
      <c r="O39" s="9" t="str">
        <f aca="false">IF(NOT(ISNUMBER($M39)),"",IF($L39="Fine earth / fine-earth volume",$M39*(1-IF(ISNUMBER($K39),$K39,0)/100),$M39))</f>
        <v/>
      </c>
      <c r="P39" s="9" t="str">
        <f aca="false">IF(OR(NOT(ISNUMBER($O39)),NOT(ISNUMBER($N39)),NOT(ISNUMBER($F39))),"",$O39*($N39/100)*$F39*10)</f>
        <v/>
      </c>
      <c r="Q39" s="9" t="str">
        <f aca="false">IF(OR(NOT(ISNUMBER($D39)),NOT(ISNUMBER($E39))),"",MAX(0,MIN($E39,SOIL_REPORTING_DEPTH_CM)-MIN($D39,SOIL_REPORTING_DEPTH_CM)))</f>
        <v/>
      </c>
      <c r="R39" s="9" t="str">
        <f aca="false">IF(OR(NOT(ISNUMBER($O39)),NOT(ISNUMBER($N39)),NOT(ISNUMBER($Q39))),"",$O39*($N39/100)*$Q39*10)</f>
        <v/>
      </c>
      <c r="S39" s="11" t="str">
        <f aca="false">IF(AND($A39="",$B39="",$D39=""),"",IF(AND($A39&lt;&gt;"",COUNTIF('1. Plot &amp; Site Log'!$A$5:$A$64,$A39)=0),"Plot ID not in the Plot &amp; Site Log. ","")&amp;IF(AND(ISNUMBER($D39),ISNUMBER($E39),$E39&lt;=$D39),"Bottom depth is not below top depth. ","")&amp;IF($L39="Not confirmed","Bulk-density basis not confirmed with the lab — the coarse-fragment correction may be wrong or doubled. ","")&amp;IF(LAB_BULK_DENSITY_BASIS="Not confirmed","No lab bulk-density basis is on file in Settings (LAB_BULK_DENSITY_BASIS), so nothing checks this row. ","")&amp;IF(AND($L39&lt;&gt;"",LAB_BULK_DENSITY_BASIS&lt;&gt;"Not confirmed",$L39&lt;&gt;LAB_BULK_DENSITY_BASIS),"This row's bulk-density basis disagrees with the lab method on file. One of "&amp;"the two is wrong, and the coarse-fragment correction follows the row. ","")&amp;IF(AND(ISNUMBER($M39),OR($M39&lt;QC_BD_MIN,$M39&gt;QC_BD_MAX)),"Bulk density outside the plausible range for a mineral grassland soil. ","")&amp;IF(AND(ISNUMBER($N39),$N39&gt;QC_CARBON_PCT_MAX),"Organic carbon above the QC ceiling — check units, and whether this is an organic horizon. ","")&amp;IF(AND(ISNUMBER($J39),$J39&lt;QC_RECOVERY_MIN),"Recovered less than the QC minimum of the depth driven — the increments may not sit where you think. Do NOT stretch them back out. ","")&amp;IF(AND(ISNUMBER($K39),$K39&gt;0,$L39="Fine earth / total volume"),"Coarse fragments recorded and the lab basis already accounts for them — no further correction applied, which is correct. ",""))</f>
        <v/>
      </c>
      <c r="T39" s="6"/>
      <c r="U39" s="9" t="n">
        <f aca="false">IF($B39="",0,IF(COUNTIFS($B$5:$B39,$B39)=1,1,0))</f>
        <v>0</v>
      </c>
    </row>
    <row r="40" customFormat="false" ht="15" hidden="false" customHeight="false" outlineLevel="0" collapsed="false">
      <c r="A40" s="6"/>
      <c r="B40" s="6"/>
      <c r="C40" s="6"/>
      <c r="D40" s="6"/>
      <c r="E40" s="6"/>
      <c r="F40" s="9" t="str">
        <f aca="false">IF(OR($D40="",$E40=""),"",$E40-$D40)</f>
        <v/>
      </c>
      <c r="G40" s="6"/>
      <c r="H40" s="6"/>
      <c r="I40" s="6"/>
      <c r="J40" s="9" t="str">
        <f aca="false">IF(OR(NOT(ISNUMBER($H40)),NOT(ISNUMBER($I40)),$H40=0),"",$I40/$H40)</f>
        <v/>
      </c>
      <c r="K40" s="6"/>
      <c r="L40" s="8"/>
      <c r="M40" s="7"/>
      <c r="N40" s="7"/>
      <c r="O40" s="9" t="str">
        <f aca="false">IF(NOT(ISNUMBER($M40)),"",IF($L40="Fine earth / fine-earth volume",$M40*(1-IF(ISNUMBER($K40),$K40,0)/100),$M40))</f>
        <v/>
      </c>
      <c r="P40" s="9" t="str">
        <f aca="false">IF(OR(NOT(ISNUMBER($O40)),NOT(ISNUMBER($N40)),NOT(ISNUMBER($F40))),"",$O40*($N40/100)*$F40*10)</f>
        <v/>
      </c>
      <c r="Q40" s="9" t="str">
        <f aca="false">IF(OR(NOT(ISNUMBER($D40)),NOT(ISNUMBER($E40))),"",MAX(0,MIN($E40,SOIL_REPORTING_DEPTH_CM)-MIN($D40,SOIL_REPORTING_DEPTH_CM)))</f>
        <v/>
      </c>
      <c r="R40" s="9" t="str">
        <f aca="false">IF(OR(NOT(ISNUMBER($O40)),NOT(ISNUMBER($N40)),NOT(ISNUMBER($Q40))),"",$O40*($N40/100)*$Q40*10)</f>
        <v/>
      </c>
      <c r="S40" s="11" t="str">
        <f aca="false">IF(AND($A40="",$B40="",$D40=""),"",IF(AND($A40&lt;&gt;"",COUNTIF('1. Plot &amp; Site Log'!$A$5:$A$64,$A40)=0),"Plot ID not in the Plot &amp; Site Log. ","")&amp;IF(AND(ISNUMBER($D40),ISNUMBER($E40),$E40&lt;=$D40),"Bottom depth is not below top depth. ","")&amp;IF($L40="Not confirmed","Bulk-density basis not confirmed with the lab — the coarse-fragment correction may be wrong or doubled. ","")&amp;IF(LAB_BULK_DENSITY_BASIS="Not confirmed","No lab bulk-density basis is on file in Settings (LAB_BULK_DENSITY_BASIS), so nothing checks this row. ","")&amp;IF(AND($L40&lt;&gt;"",LAB_BULK_DENSITY_BASIS&lt;&gt;"Not confirmed",$L40&lt;&gt;LAB_BULK_DENSITY_BASIS),"This row's bulk-density basis disagrees with the lab method on file. One of "&amp;"the two is wrong, and the coarse-fragment correction follows the row. ","")&amp;IF(AND(ISNUMBER($M40),OR($M40&lt;QC_BD_MIN,$M40&gt;QC_BD_MAX)),"Bulk density outside the plausible range for a mineral grassland soil. ","")&amp;IF(AND(ISNUMBER($N40),$N40&gt;QC_CARBON_PCT_MAX),"Organic carbon above the QC ceiling — check units, and whether this is an organic horizon. ","")&amp;IF(AND(ISNUMBER($J40),$J40&lt;QC_RECOVERY_MIN),"Recovered less than the QC minimum of the depth driven — the increments may not sit where you think. Do NOT stretch them back out. ","")&amp;IF(AND(ISNUMBER($K40),$K40&gt;0,$L40="Fine earth / total volume"),"Coarse fragments recorded and the lab basis already accounts for them — no further correction applied, which is correct. ",""))</f>
        <v/>
      </c>
      <c r="T40" s="6"/>
      <c r="U40" s="9" t="n">
        <f aca="false">IF($B40="",0,IF(COUNTIFS($B$5:$B40,$B40)=1,1,0))</f>
        <v>0</v>
      </c>
    </row>
    <row r="41" customFormat="false" ht="15" hidden="false" customHeight="false" outlineLevel="0" collapsed="false">
      <c r="A41" s="6"/>
      <c r="B41" s="6"/>
      <c r="C41" s="6"/>
      <c r="D41" s="6"/>
      <c r="E41" s="6"/>
      <c r="F41" s="9" t="str">
        <f aca="false">IF(OR($D41="",$E41=""),"",$E41-$D41)</f>
        <v/>
      </c>
      <c r="G41" s="6"/>
      <c r="H41" s="6"/>
      <c r="I41" s="6"/>
      <c r="J41" s="9" t="str">
        <f aca="false">IF(OR(NOT(ISNUMBER($H41)),NOT(ISNUMBER($I41)),$H41=0),"",$I41/$H41)</f>
        <v/>
      </c>
      <c r="K41" s="6"/>
      <c r="L41" s="8"/>
      <c r="M41" s="7"/>
      <c r="N41" s="7"/>
      <c r="O41" s="9" t="str">
        <f aca="false">IF(NOT(ISNUMBER($M41)),"",IF($L41="Fine earth / fine-earth volume",$M41*(1-IF(ISNUMBER($K41),$K41,0)/100),$M41))</f>
        <v/>
      </c>
      <c r="P41" s="9" t="str">
        <f aca="false">IF(OR(NOT(ISNUMBER($O41)),NOT(ISNUMBER($N41)),NOT(ISNUMBER($F41))),"",$O41*($N41/100)*$F41*10)</f>
        <v/>
      </c>
      <c r="Q41" s="9" t="str">
        <f aca="false">IF(OR(NOT(ISNUMBER($D41)),NOT(ISNUMBER($E41))),"",MAX(0,MIN($E41,SOIL_REPORTING_DEPTH_CM)-MIN($D41,SOIL_REPORTING_DEPTH_CM)))</f>
        <v/>
      </c>
      <c r="R41" s="9" t="str">
        <f aca="false">IF(OR(NOT(ISNUMBER($O41)),NOT(ISNUMBER($N41)),NOT(ISNUMBER($Q41))),"",$O41*($N41/100)*$Q41*10)</f>
        <v/>
      </c>
      <c r="S41" s="11" t="str">
        <f aca="false">IF(AND($A41="",$B41="",$D41=""),"",IF(AND($A41&lt;&gt;"",COUNTIF('1. Plot &amp; Site Log'!$A$5:$A$64,$A41)=0),"Plot ID not in the Plot &amp; Site Log. ","")&amp;IF(AND(ISNUMBER($D41),ISNUMBER($E41),$E41&lt;=$D41),"Bottom depth is not below top depth. ","")&amp;IF($L41="Not confirmed","Bulk-density basis not confirmed with the lab — the coarse-fragment correction may be wrong or doubled. ","")&amp;IF(LAB_BULK_DENSITY_BASIS="Not confirmed","No lab bulk-density basis is on file in Settings (LAB_BULK_DENSITY_BASIS), so nothing checks this row. ","")&amp;IF(AND($L41&lt;&gt;"",LAB_BULK_DENSITY_BASIS&lt;&gt;"Not confirmed",$L41&lt;&gt;LAB_BULK_DENSITY_BASIS),"This row's bulk-density basis disagrees with the lab method on file. One of "&amp;"the two is wrong, and the coarse-fragment correction follows the row. ","")&amp;IF(AND(ISNUMBER($M41),OR($M41&lt;QC_BD_MIN,$M41&gt;QC_BD_MAX)),"Bulk density outside the plausible range for a mineral grassland soil. ","")&amp;IF(AND(ISNUMBER($N41),$N41&gt;QC_CARBON_PCT_MAX),"Organic carbon above the QC ceiling — check units, and whether this is an organic horizon. ","")&amp;IF(AND(ISNUMBER($J41),$J41&lt;QC_RECOVERY_MIN),"Recovered less than the QC minimum of the depth driven — the increments may not sit where you think. Do NOT stretch them back out. ","")&amp;IF(AND(ISNUMBER($K41),$K41&gt;0,$L41="Fine earth / total volume"),"Coarse fragments recorded and the lab basis already accounts for them — no further correction applied, which is correct. ",""))</f>
        <v/>
      </c>
      <c r="T41" s="6"/>
      <c r="U41" s="9" t="n">
        <f aca="false">IF($B41="",0,IF(COUNTIFS($B$5:$B41,$B41)=1,1,0))</f>
        <v>0</v>
      </c>
    </row>
    <row r="42" customFormat="false" ht="15" hidden="false" customHeight="false" outlineLevel="0" collapsed="false">
      <c r="A42" s="6"/>
      <c r="B42" s="6"/>
      <c r="C42" s="6"/>
      <c r="D42" s="6"/>
      <c r="E42" s="6"/>
      <c r="F42" s="9" t="str">
        <f aca="false">IF(OR($D42="",$E42=""),"",$E42-$D42)</f>
        <v/>
      </c>
      <c r="G42" s="6"/>
      <c r="H42" s="6"/>
      <c r="I42" s="6"/>
      <c r="J42" s="9" t="str">
        <f aca="false">IF(OR(NOT(ISNUMBER($H42)),NOT(ISNUMBER($I42)),$H42=0),"",$I42/$H42)</f>
        <v/>
      </c>
      <c r="K42" s="6"/>
      <c r="L42" s="8"/>
      <c r="M42" s="7"/>
      <c r="N42" s="7"/>
      <c r="O42" s="9" t="str">
        <f aca="false">IF(NOT(ISNUMBER($M42)),"",IF($L42="Fine earth / fine-earth volume",$M42*(1-IF(ISNUMBER($K42),$K42,0)/100),$M42))</f>
        <v/>
      </c>
      <c r="P42" s="9" t="str">
        <f aca="false">IF(OR(NOT(ISNUMBER($O42)),NOT(ISNUMBER($N42)),NOT(ISNUMBER($F42))),"",$O42*($N42/100)*$F42*10)</f>
        <v/>
      </c>
      <c r="Q42" s="9" t="str">
        <f aca="false">IF(OR(NOT(ISNUMBER($D42)),NOT(ISNUMBER($E42))),"",MAX(0,MIN($E42,SOIL_REPORTING_DEPTH_CM)-MIN($D42,SOIL_REPORTING_DEPTH_CM)))</f>
        <v/>
      </c>
      <c r="R42" s="9" t="str">
        <f aca="false">IF(OR(NOT(ISNUMBER($O42)),NOT(ISNUMBER($N42)),NOT(ISNUMBER($Q42))),"",$O42*($N42/100)*$Q42*10)</f>
        <v/>
      </c>
      <c r="S42" s="11" t="str">
        <f aca="false">IF(AND($A42="",$B42="",$D42=""),"",IF(AND($A42&lt;&gt;"",COUNTIF('1. Plot &amp; Site Log'!$A$5:$A$64,$A42)=0),"Plot ID not in the Plot &amp; Site Log. ","")&amp;IF(AND(ISNUMBER($D42),ISNUMBER($E42),$E42&lt;=$D42),"Bottom depth is not below top depth. ","")&amp;IF($L42="Not confirmed","Bulk-density basis not confirmed with the lab — the coarse-fragment correction may be wrong or doubled. ","")&amp;IF(LAB_BULK_DENSITY_BASIS="Not confirmed","No lab bulk-density basis is on file in Settings (LAB_BULK_DENSITY_BASIS), so nothing checks this row. ","")&amp;IF(AND($L42&lt;&gt;"",LAB_BULK_DENSITY_BASIS&lt;&gt;"Not confirmed",$L42&lt;&gt;LAB_BULK_DENSITY_BASIS),"This row's bulk-density basis disagrees with the lab method on file. One of "&amp;"the two is wrong, and the coarse-fragment correction follows the row. ","")&amp;IF(AND(ISNUMBER($M42),OR($M42&lt;QC_BD_MIN,$M42&gt;QC_BD_MAX)),"Bulk density outside the plausible range for a mineral grassland soil. ","")&amp;IF(AND(ISNUMBER($N42),$N42&gt;QC_CARBON_PCT_MAX),"Organic carbon above the QC ceiling — check units, and whether this is an organic horizon. ","")&amp;IF(AND(ISNUMBER($J42),$J42&lt;QC_RECOVERY_MIN),"Recovered less than the QC minimum of the depth driven — the increments may not sit where you think. Do NOT stretch them back out. ","")&amp;IF(AND(ISNUMBER($K42),$K42&gt;0,$L42="Fine earth / total volume"),"Coarse fragments recorded and the lab basis already accounts for them — no further correction applied, which is correct. ",""))</f>
        <v/>
      </c>
      <c r="T42" s="6"/>
      <c r="U42" s="9" t="n">
        <f aca="false">IF($B42="",0,IF(COUNTIFS($B$5:$B42,$B42)=1,1,0))</f>
        <v>0</v>
      </c>
    </row>
    <row r="43" customFormat="false" ht="15" hidden="false" customHeight="false" outlineLevel="0" collapsed="false">
      <c r="A43" s="6"/>
      <c r="B43" s="6"/>
      <c r="C43" s="6"/>
      <c r="D43" s="6"/>
      <c r="E43" s="6"/>
      <c r="F43" s="9" t="str">
        <f aca="false">IF(OR($D43="",$E43=""),"",$E43-$D43)</f>
        <v/>
      </c>
      <c r="G43" s="6"/>
      <c r="H43" s="6"/>
      <c r="I43" s="6"/>
      <c r="J43" s="9" t="str">
        <f aca="false">IF(OR(NOT(ISNUMBER($H43)),NOT(ISNUMBER($I43)),$H43=0),"",$I43/$H43)</f>
        <v/>
      </c>
      <c r="K43" s="6"/>
      <c r="L43" s="8"/>
      <c r="M43" s="7"/>
      <c r="N43" s="7"/>
      <c r="O43" s="9" t="str">
        <f aca="false">IF(NOT(ISNUMBER($M43)),"",IF($L43="Fine earth / fine-earth volume",$M43*(1-IF(ISNUMBER($K43),$K43,0)/100),$M43))</f>
        <v/>
      </c>
      <c r="P43" s="9" t="str">
        <f aca="false">IF(OR(NOT(ISNUMBER($O43)),NOT(ISNUMBER($N43)),NOT(ISNUMBER($F43))),"",$O43*($N43/100)*$F43*10)</f>
        <v/>
      </c>
      <c r="Q43" s="9" t="str">
        <f aca="false">IF(OR(NOT(ISNUMBER($D43)),NOT(ISNUMBER($E43))),"",MAX(0,MIN($E43,SOIL_REPORTING_DEPTH_CM)-MIN($D43,SOIL_REPORTING_DEPTH_CM)))</f>
        <v/>
      </c>
      <c r="R43" s="9" t="str">
        <f aca="false">IF(OR(NOT(ISNUMBER($O43)),NOT(ISNUMBER($N43)),NOT(ISNUMBER($Q43))),"",$O43*($N43/100)*$Q43*10)</f>
        <v/>
      </c>
      <c r="S43" s="11" t="str">
        <f aca="false">IF(AND($A43="",$B43="",$D43=""),"",IF(AND($A43&lt;&gt;"",COUNTIF('1. Plot &amp; Site Log'!$A$5:$A$64,$A43)=0),"Plot ID not in the Plot &amp; Site Log. ","")&amp;IF(AND(ISNUMBER($D43),ISNUMBER($E43),$E43&lt;=$D43),"Bottom depth is not below top depth. ","")&amp;IF($L43="Not confirmed","Bulk-density basis not confirmed with the lab — the coarse-fragment correction may be wrong or doubled. ","")&amp;IF(LAB_BULK_DENSITY_BASIS="Not confirmed","No lab bulk-density basis is on file in Settings (LAB_BULK_DENSITY_BASIS), so nothing checks this row. ","")&amp;IF(AND($L43&lt;&gt;"",LAB_BULK_DENSITY_BASIS&lt;&gt;"Not confirmed",$L43&lt;&gt;LAB_BULK_DENSITY_BASIS),"This row's bulk-density basis disagrees with the lab method on file. One of "&amp;"the two is wrong, and the coarse-fragment correction follows the row. ","")&amp;IF(AND(ISNUMBER($M43),OR($M43&lt;QC_BD_MIN,$M43&gt;QC_BD_MAX)),"Bulk density outside the plausible range for a mineral grassland soil. ","")&amp;IF(AND(ISNUMBER($N43),$N43&gt;QC_CARBON_PCT_MAX),"Organic carbon above the QC ceiling — check units, and whether this is an organic horizon. ","")&amp;IF(AND(ISNUMBER($J43),$J43&lt;QC_RECOVERY_MIN),"Recovered less than the QC minimum of the depth driven — the increments may not sit where you think. Do NOT stretch them back out. ","")&amp;IF(AND(ISNUMBER($K43),$K43&gt;0,$L43="Fine earth / total volume"),"Coarse fragments recorded and the lab basis already accounts for them — no further correction applied, which is correct. ",""))</f>
        <v/>
      </c>
      <c r="T43" s="6"/>
      <c r="U43" s="9" t="n">
        <f aca="false">IF($B43="",0,IF(COUNTIFS($B$5:$B43,$B43)=1,1,0))</f>
        <v>0</v>
      </c>
    </row>
    <row r="44" customFormat="false" ht="15" hidden="false" customHeight="false" outlineLevel="0" collapsed="false">
      <c r="A44" s="6"/>
      <c r="B44" s="6"/>
      <c r="C44" s="6"/>
      <c r="D44" s="6"/>
      <c r="E44" s="6"/>
      <c r="F44" s="9" t="str">
        <f aca="false">IF(OR($D44="",$E44=""),"",$E44-$D44)</f>
        <v/>
      </c>
      <c r="G44" s="6"/>
      <c r="H44" s="6"/>
      <c r="I44" s="6"/>
      <c r="J44" s="9" t="str">
        <f aca="false">IF(OR(NOT(ISNUMBER($H44)),NOT(ISNUMBER($I44)),$H44=0),"",$I44/$H44)</f>
        <v/>
      </c>
      <c r="K44" s="6"/>
      <c r="L44" s="8"/>
      <c r="M44" s="7"/>
      <c r="N44" s="7"/>
      <c r="O44" s="9" t="str">
        <f aca="false">IF(NOT(ISNUMBER($M44)),"",IF($L44="Fine earth / fine-earth volume",$M44*(1-IF(ISNUMBER($K44),$K44,0)/100),$M44))</f>
        <v/>
      </c>
      <c r="P44" s="9" t="str">
        <f aca="false">IF(OR(NOT(ISNUMBER($O44)),NOT(ISNUMBER($N44)),NOT(ISNUMBER($F44))),"",$O44*($N44/100)*$F44*10)</f>
        <v/>
      </c>
      <c r="Q44" s="9" t="str">
        <f aca="false">IF(OR(NOT(ISNUMBER($D44)),NOT(ISNUMBER($E44))),"",MAX(0,MIN($E44,SOIL_REPORTING_DEPTH_CM)-MIN($D44,SOIL_REPORTING_DEPTH_CM)))</f>
        <v/>
      </c>
      <c r="R44" s="9" t="str">
        <f aca="false">IF(OR(NOT(ISNUMBER($O44)),NOT(ISNUMBER($N44)),NOT(ISNUMBER($Q44))),"",$O44*($N44/100)*$Q44*10)</f>
        <v/>
      </c>
      <c r="S44" s="11" t="str">
        <f aca="false">IF(AND($A44="",$B44="",$D44=""),"",IF(AND($A44&lt;&gt;"",COUNTIF('1. Plot &amp; Site Log'!$A$5:$A$64,$A44)=0),"Plot ID not in the Plot &amp; Site Log. ","")&amp;IF(AND(ISNUMBER($D44),ISNUMBER($E44),$E44&lt;=$D44),"Bottom depth is not below top depth. ","")&amp;IF($L44="Not confirmed","Bulk-density basis not confirmed with the lab — the coarse-fragment correction may be wrong or doubled. ","")&amp;IF(LAB_BULK_DENSITY_BASIS="Not confirmed","No lab bulk-density basis is on file in Settings (LAB_BULK_DENSITY_BASIS), so nothing checks this row. ","")&amp;IF(AND($L44&lt;&gt;"",LAB_BULK_DENSITY_BASIS&lt;&gt;"Not confirmed",$L44&lt;&gt;LAB_BULK_DENSITY_BASIS),"This row's bulk-density basis disagrees with the lab method on file. One of "&amp;"the two is wrong, and the coarse-fragment correction follows the row. ","")&amp;IF(AND(ISNUMBER($M44),OR($M44&lt;QC_BD_MIN,$M44&gt;QC_BD_MAX)),"Bulk density outside the plausible range for a mineral grassland soil. ","")&amp;IF(AND(ISNUMBER($N44),$N44&gt;QC_CARBON_PCT_MAX),"Organic carbon above the QC ceiling — check units, and whether this is an organic horizon. ","")&amp;IF(AND(ISNUMBER($J44),$J44&lt;QC_RECOVERY_MIN),"Recovered less than the QC minimum of the depth driven — the increments may not sit where you think. Do NOT stretch them back out. ","")&amp;IF(AND(ISNUMBER($K44),$K44&gt;0,$L44="Fine earth / total volume"),"Coarse fragments recorded and the lab basis already accounts for them — no further correction applied, which is correct. ",""))</f>
        <v/>
      </c>
      <c r="T44" s="6"/>
      <c r="U44" s="9" t="n">
        <f aca="false">IF($B44="",0,IF(COUNTIFS($B$5:$B44,$B44)=1,1,0))</f>
        <v>0</v>
      </c>
    </row>
    <row r="45" customFormat="false" ht="15" hidden="false" customHeight="false" outlineLevel="0" collapsed="false">
      <c r="A45" s="6"/>
      <c r="B45" s="6"/>
      <c r="C45" s="6"/>
      <c r="D45" s="6"/>
      <c r="E45" s="6"/>
      <c r="F45" s="9" t="str">
        <f aca="false">IF(OR($D45="",$E45=""),"",$E45-$D45)</f>
        <v/>
      </c>
      <c r="G45" s="6"/>
      <c r="H45" s="6"/>
      <c r="I45" s="6"/>
      <c r="J45" s="9" t="str">
        <f aca="false">IF(OR(NOT(ISNUMBER($H45)),NOT(ISNUMBER($I45)),$H45=0),"",$I45/$H45)</f>
        <v/>
      </c>
      <c r="K45" s="6"/>
      <c r="L45" s="8"/>
      <c r="M45" s="7"/>
      <c r="N45" s="7"/>
      <c r="O45" s="9" t="str">
        <f aca="false">IF(NOT(ISNUMBER($M45)),"",IF($L45="Fine earth / fine-earth volume",$M45*(1-IF(ISNUMBER($K45),$K45,0)/100),$M45))</f>
        <v/>
      </c>
      <c r="P45" s="9" t="str">
        <f aca="false">IF(OR(NOT(ISNUMBER($O45)),NOT(ISNUMBER($N45)),NOT(ISNUMBER($F45))),"",$O45*($N45/100)*$F45*10)</f>
        <v/>
      </c>
      <c r="Q45" s="9" t="str">
        <f aca="false">IF(OR(NOT(ISNUMBER($D45)),NOT(ISNUMBER($E45))),"",MAX(0,MIN($E45,SOIL_REPORTING_DEPTH_CM)-MIN($D45,SOIL_REPORTING_DEPTH_CM)))</f>
        <v/>
      </c>
      <c r="R45" s="9" t="str">
        <f aca="false">IF(OR(NOT(ISNUMBER($O45)),NOT(ISNUMBER($N45)),NOT(ISNUMBER($Q45))),"",$O45*($N45/100)*$Q45*10)</f>
        <v/>
      </c>
      <c r="S45" s="11" t="str">
        <f aca="false">IF(AND($A45="",$B45="",$D45=""),"",IF(AND($A45&lt;&gt;"",COUNTIF('1. Plot &amp; Site Log'!$A$5:$A$64,$A45)=0),"Plot ID not in the Plot &amp; Site Log. ","")&amp;IF(AND(ISNUMBER($D45),ISNUMBER($E45),$E45&lt;=$D45),"Bottom depth is not below top depth. ","")&amp;IF($L45="Not confirmed","Bulk-density basis not confirmed with the lab — the coarse-fragment correction may be wrong or doubled. ","")&amp;IF(LAB_BULK_DENSITY_BASIS="Not confirmed","No lab bulk-density basis is on file in Settings (LAB_BULK_DENSITY_BASIS), so nothing checks this row. ","")&amp;IF(AND($L45&lt;&gt;"",LAB_BULK_DENSITY_BASIS&lt;&gt;"Not confirmed",$L45&lt;&gt;LAB_BULK_DENSITY_BASIS),"This row's bulk-density basis disagrees with the lab method on file. One of "&amp;"the two is wrong, and the coarse-fragment correction follows the row. ","")&amp;IF(AND(ISNUMBER($M45),OR($M45&lt;QC_BD_MIN,$M45&gt;QC_BD_MAX)),"Bulk density outside the plausible range for a mineral grassland soil. ","")&amp;IF(AND(ISNUMBER($N45),$N45&gt;QC_CARBON_PCT_MAX),"Organic carbon above the QC ceiling — check units, and whether this is an organic horizon. ","")&amp;IF(AND(ISNUMBER($J45),$J45&lt;QC_RECOVERY_MIN),"Recovered less than the QC minimum of the depth driven — the increments may not sit where you think. Do NOT stretch them back out. ","")&amp;IF(AND(ISNUMBER($K45),$K45&gt;0,$L45="Fine earth / total volume"),"Coarse fragments recorded and the lab basis already accounts for them — no further correction applied, which is correct. ",""))</f>
        <v/>
      </c>
      <c r="T45" s="6"/>
      <c r="U45" s="9" t="n">
        <f aca="false">IF($B45="",0,IF(COUNTIFS($B$5:$B45,$B45)=1,1,0))</f>
        <v>0</v>
      </c>
    </row>
    <row r="46" customFormat="false" ht="15" hidden="false" customHeight="false" outlineLevel="0" collapsed="false">
      <c r="A46" s="6"/>
      <c r="B46" s="6"/>
      <c r="C46" s="6"/>
      <c r="D46" s="6"/>
      <c r="E46" s="6"/>
      <c r="F46" s="9" t="str">
        <f aca="false">IF(OR($D46="",$E46=""),"",$E46-$D46)</f>
        <v/>
      </c>
      <c r="G46" s="6"/>
      <c r="H46" s="6"/>
      <c r="I46" s="6"/>
      <c r="J46" s="9" t="str">
        <f aca="false">IF(OR(NOT(ISNUMBER($H46)),NOT(ISNUMBER($I46)),$H46=0),"",$I46/$H46)</f>
        <v/>
      </c>
      <c r="K46" s="6"/>
      <c r="L46" s="8"/>
      <c r="M46" s="7"/>
      <c r="N46" s="7"/>
      <c r="O46" s="9" t="str">
        <f aca="false">IF(NOT(ISNUMBER($M46)),"",IF($L46="Fine earth / fine-earth volume",$M46*(1-IF(ISNUMBER($K46),$K46,0)/100),$M46))</f>
        <v/>
      </c>
      <c r="P46" s="9" t="str">
        <f aca="false">IF(OR(NOT(ISNUMBER($O46)),NOT(ISNUMBER($N46)),NOT(ISNUMBER($F46))),"",$O46*($N46/100)*$F46*10)</f>
        <v/>
      </c>
      <c r="Q46" s="9" t="str">
        <f aca="false">IF(OR(NOT(ISNUMBER($D46)),NOT(ISNUMBER($E46))),"",MAX(0,MIN($E46,SOIL_REPORTING_DEPTH_CM)-MIN($D46,SOIL_REPORTING_DEPTH_CM)))</f>
        <v/>
      </c>
      <c r="R46" s="9" t="str">
        <f aca="false">IF(OR(NOT(ISNUMBER($O46)),NOT(ISNUMBER($N46)),NOT(ISNUMBER($Q46))),"",$O46*($N46/100)*$Q46*10)</f>
        <v/>
      </c>
      <c r="S46" s="11" t="str">
        <f aca="false">IF(AND($A46="",$B46="",$D46=""),"",IF(AND($A46&lt;&gt;"",COUNTIF('1. Plot &amp; Site Log'!$A$5:$A$64,$A46)=0),"Plot ID not in the Plot &amp; Site Log. ","")&amp;IF(AND(ISNUMBER($D46),ISNUMBER($E46),$E46&lt;=$D46),"Bottom depth is not below top depth. ","")&amp;IF($L46="Not confirmed","Bulk-density basis not confirmed with the lab — the coarse-fragment correction may be wrong or doubled. ","")&amp;IF(LAB_BULK_DENSITY_BASIS="Not confirmed","No lab bulk-density basis is on file in Settings (LAB_BULK_DENSITY_BASIS), so nothing checks this row. ","")&amp;IF(AND($L46&lt;&gt;"",LAB_BULK_DENSITY_BASIS&lt;&gt;"Not confirmed",$L46&lt;&gt;LAB_BULK_DENSITY_BASIS),"This row's bulk-density basis disagrees with the lab method on file. One of "&amp;"the two is wrong, and the coarse-fragment correction follows the row. ","")&amp;IF(AND(ISNUMBER($M46),OR($M46&lt;QC_BD_MIN,$M46&gt;QC_BD_MAX)),"Bulk density outside the plausible range for a mineral grassland soil. ","")&amp;IF(AND(ISNUMBER($N46),$N46&gt;QC_CARBON_PCT_MAX),"Organic carbon above the QC ceiling — check units, and whether this is an organic horizon. ","")&amp;IF(AND(ISNUMBER($J46),$J46&lt;QC_RECOVERY_MIN),"Recovered less than the QC minimum of the depth driven — the increments may not sit where you think. Do NOT stretch them back out. ","")&amp;IF(AND(ISNUMBER($K46),$K46&gt;0,$L46="Fine earth / total volume"),"Coarse fragments recorded and the lab basis already accounts for them — no further correction applied, which is correct. ",""))</f>
        <v/>
      </c>
      <c r="T46" s="6"/>
      <c r="U46" s="9" t="n">
        <f aca="false">IF($B46="",0,IF(COUNTIFS($B$5:$B46,$B46)=1,1,0))</f>
        <v>0</v>
      </c>
    </row>
    <row r="47" customFormat="false" ht="15" hidden="false" customHeight="false" outlineLevel="0" collapsed="false">
      <c r="A47" s="6"/>
      <c r="B47" s="6"/>
      <c r="C47" s="6"/>
      <c r="D47" s="6"/>
      <c r="E47" s="6"/>
      <c r="F47" s="9" t="str">
        <f aca="false">IF(OR($D47="",$E47=""),"",$E47-$D47)</f>
        <v/>
      </c>
      <c r="G47" s="6"/>
      <c r="H47" s="6"/>
      <c r="I47" s="6"/>
      <c r="J47" s="9" t="str">
        <f aca="false">IF(OR(NOT(ISNUMBER($H47)),NOT(ISNUMBER($I47)),$H47=0),"",$I47/$H47)</f>
        <v/>
      </c>
      <c r="K47" s="6"/>
      <c r="L47" s="8"/>
      <c r="M47" s="7"/>
      <c r="N47" s="7"/>
      <c r="O47" s="9" t="str">
        <f aca="false">IF(NOT(ISNUMBER($M47)),"",IF($L47="Fine earth / fine-earth volume",$M47*(1-IF(ISNUMBER($K47),$K47,0)/100),$M47))</f>
        <v/>
      </c>
      <c r="P47" s="9" t="str">
        <f aca="false">IF(OR(NOT(ISNUMBER($O47)),NOT(ISNUMBER($N47)),NOT(ISNUMBER($F47))),"",$O47*($N47/100)*$F47*10)</f>
        <v/>
      </c>
      <c r="Q47" s="9" t="str">
        <f aca="false">IF(OR(NOT(ISNUMBER($D47)),NOT(ISNUMBER($E47))),"",MAX(0,MIN($E47,SOIL_REPORTING_DEPTH_CM)-MIN($D47,SOIL_REPORTING_DEPTH_CM)))</f>
        <v/>
      </c>
      <c r="R47" s="9" t="str">
        <f aca="false">IF(OR(NOT(ISNUMBER($O47)),NOT(ISNUMBER($N47)),NOT(ISNUMBER($Q47))),"",$O47*($N47/100)*$Q47*10)</f>
        <v/>
      </c>
      <c r="S47" s="11" t="str">
        <f aca="false">IF(AND($A47="",$B47="",$D47=""),"",IF(AND($A47&lt;&gt;"",COUNTIF('1. Plot &amp; Site Log'!$A$5:$A$64,$A47)=0),"Plot ID not in the Plot &amp; Site Log. ","")&amp;IF(AND(ISNUMBER($D47),ISNUMBER($E47),$E47&lt;=$D47),"Bottom depth is not below top depth. ","")&amp;IF($L47="Not confirmed","Bulk-density basis not confirmed with the lab — the coarse-fragment correction may be wrong or doubled. ","")&amp;IF(LAB_BULK_DENSITY_BASIS="Not confirmed","No lab bulk-density basis is on file in Settings (LAB_BULK_DENSITY_BASIS), so nothing checks this row. ","")&amp;IF(AND($L47&lt;&gt;"",LAB_BULK_DENSITY_BASIS&lt;&gt;"Not confirmed",$L47&lt;&gt;LAB_BULK_DENSITY_BASIS),"This row's bulk-density basis disagrees with the lab method on file. One of "&amp;"the two is wrong, and the coarse-fragment correction follows the row. ","")&amp;IF(AND(ISNUMBER($M47),OR($M47&lt;QC_BD_MIN,$M47&gt;QC_BD_MAX)),"Bulk density outside the plausible range for a mineral grassland soil. ","")&amp;IF(AND(ISNUMBER($N47),$N47&gt;QC_CARBON_PCT_MAX),"Organic carbon above the QC ceiling — check units, and whether this is an organic horizon. ","")&amp;IF(AND(ISNUMBER($J47),$J47&lt;QC_RECOVERY_MIN),"Recovered less than the QC minimum of the depth driven — the increments may not sit where you think. Do NOT stretch them back out. ","")&amp;IF(AND(ISNUMBER($K47),$K47&gt;0,$L47="Fine earth / total volume"),"Coarse fragments recorded and the lab basis already accounts for them — no further correction applied, which is correct. ",""))</f>
        <v/>
      </c>
      <c r="T47" s="6"/>
      <c r="U47" s="9" t="n">
        <f aca="false">IF($B47="",0,IF(COUNTIFS($B$5:$B47,$B47)=1,1,0))</f>
        <v>0</v>
      </c>
    </row>
    <row r="48" customFormat="false" ht="15" hidden="false" customHeight="false" outlineLevel="0" collapsed="false">
      <c r="A48" s="6"/>
      <c r="B48" s="6"/>
      <c r="C48" s="6"/>
      <c r="D48" s="6"/>
      <c r="E48" s="6"/>
      <c r="F48" s="9" t="str">
        <f aca="false">IF(OR($D48="",$E48=""),"",$E48-$D48)</f>
        <v/>
      </c>
      <c r="G48" s="6"/>
      <c r="H48" s="6"/>
      <c r="I48" s="6"/>
      <c r="J48" s="9" t="str">
        <f aca="false">IF(OR(NOT(ISNUMBER($H48)),NOT(ISNUMBER($I48)),$H48=0),"",$I48/$H48)</f>
        <v/>
      </c>
      <c r="K48" s="6"/>
      <c r="L48" s="8"/>
      <c r="M48" s="7"/>
      <c r="N48" s="7"/>
      <c r="O48" s="9" t="str">
        <f aca="false">IF(NOT(ISNUMBER($M48)),"",IF($L48="Fine earth / fine-earth volume",$M48*(1-IF(ISNUMBER($K48),$K48,0)/100),$M48))</f>
        <v/>
      </c>
      <c r="P48" s="9" t="str">
        <f aca="false">IF(OR(NOT(ISNUMBER($O48)),NOT(ISNUMBER($N48)),NOT(ISNUMBER($F48))),"",$O48*($N48/100)*$F48*10)</f>
        <v/>
      </c>
      <c r="Q48" s="9" t="str">
        <f aca="false">IF(OR(NOT(ISNUMBER($D48)),NOT(ISNUMBER($E48))),"",MAX(0,MIN($E48,SOIL_REPORTING_DEPTH_CM)-MIN($D48,SOIL_REPORTING_DEPTH_CM)))</f>
        <v/>
      </c>
      <c r="R48" s="9" t="str">
        <f aca="false">IF(OR(NOT(ISNUMBER($O48)),NOT(ISNUMBER($N48)),NOT(ISNUMBER($Q48))),"",$O48*($N48/100)*$Q48*10)</f>
        <v/>
      </c>
      <c r="S48" s="11" t="str">
        <f aca="false">IF(AND($A48="",$B48="",$D48=""),"",IF(AND($A48&lt;&gt;"",COUNTIF('1. Plot &amp; Site Log'!$A$5:$A$64,$A48)=0),"Plot ID not in the Plot &amp; Site Log. ","")&amp;IF(AND(ISNUMBER($D48),ISNUMBER($E48),$E48&lt;=$D48),"Bottom depth is not below top depth. ","")&amp;IF($L48="Not confirmed","Bulk-density basis not confirmed with the lab — the coarse-fragment correction may be wrong or doubled. ","")&amp;IF(LAB_BULK_DENSITY_BASIS="Not confirmed","No lab bulk-density basis is on file in Settings (LAB_BULK_DENSITY_BASIS), so nothing checks this row. ","")&amp;IF(AND($L48&lt;&gt;"",LAB_BULK_DENSITY_BASIS&lt;&gt;"Not confirmed",$L48&lt;&gt;LAB_BULK_DENSITY_BASIS),"This row's bulk-density basis disagrees with the lab method on file. One of "&amp;"the two is wrong, and the coarse-fragment correction follows the row. ","")&amp;IF(AND(ISNUMBER($M48),OR($M48&lt;QC_BD_MIN,$M48&gt;QC_BD_MAX)),"Bulk density outside the plausible range for a mineral grassland soil. ","")&amp;IF(AND(ISNUMBER($N48),$N48&gt;QC_CARBON_PCT_MAX),"Organic carbon above the QC ceiling — check units, and whether this is an organic horizon. ","")&amp;IF(AND(ISNUMBER($J48),$J48&lt;QC_RECOVERY_MIN),"Recovered less than the QC minimum of the depth driven — the increments may not sit where you think. Do NOT stretch them back out. ","")&amp;IF(AND(ISNUMBER($K48),$K48&gt;0,$L48="Fine earth / total volume"),"Coarse fragments recorded and the lab basis already accounts for them — no further correction applied, which is correct. ",""))</f>
        <v/>
      </c>
      <c r="T48" s="6"/>
      <c r="U48" s="9" t="n">
        <f aca="false">IF($B48="",0,IF(COUNTIFS($B$5:$B48,$B48)=1,1,0))</f>
        <v>0</v>
      </c>
    </row>
    <row r="49" customFormat="false" ht="15" hidden="false" customHeight="false" outlineLevel="0" collapsed="false">
      <c r="A49" s="6"/>
      <c r="B49" s="6"/>
      <c r="C49" s="6"/>
      <c r="D49" s="6"/>
      <c r="E49" s="6"/>
      <c r="F49" s="9" t="str">
        <f aca="false">IF(OR($D49="",$E49=""),"",$E49-$D49)</f>
        <v/>
      </c>
      <c r="G49" s="6"/>
      <c r="H49" s="6"/>
      <c r="I49" s="6"/>
      <c r="J49" s="9" t="str">
        <f aca="false">IF(OR(NOT(ISNUMBER($H49)),NOT(ISNUMBER($I49)),$H49=0),"",$I49/$H49)</f>
        <v/>
      </c>
      <c r="K49" s="6"/>
      <c r="L49" s="8"/>
      <c r="M49" s="7"/>
      <c r="N49" s="7"/>
      <c r="O49" s="9" t="str">
        <f aca="false">IF(NOT(ISNUMBER($M49)),"",IF($L49="Fine earth / fine-earth volume",$M49*(1-IF(ISNUMBER($K49),$K49,0)/100),$M49))</f>
        <v/>
      </c>
      <c r="P49" s="9" t="str">
        <f aca="false">IF(OR(NOT(ISNUMBER($O49)),NOT(ISNUMBER($N49)),NOT(ISNUMBER($F49))),"",$O49*($N49/100)*$F49*10)</f>
        <v/>
      </c>
      <c r="Q49" s="9" t="str">
        <f aca="false">IF(OR(NOT(ISNUMBER($D49)),NOT(ISNUMBER($E49))),"",MAX(0,MIN($E49,SOIL_REPORTING_DEPTH_CM)-MIN($D49,SOIL_REPORTING_DEPTH_CM)))</f>
        <v/>
      </c>
      <c r="R49" s="9" t="str">
        <f aca="false">IF(OR(NOT(ISNUMBER($O49)),NOT(ISNUMBER($N49)),NOT(ISNUMBER($Q49))),"",$O49*($N49/100)*$Q49*10)</f>
        <v/>
      </c>
      <c r="S49" s="11" t="str">
        <f aca="false">IF(AND($A49="",$B49="",$D49=""),"",IF(AND($A49&lt;&gt;"",COUNTIF('1. Plot &amp; Site Log'!$A$5:$A$64,$A49)=0),"Plot ID not in the Plot &amp; Site Log. ","")&amp;IF(AND(ISNUMBER($D49),ISNUMBER($E49),$E49&lt;=$D49),"Bottom depth is not below top depth. ","")&amp;IF($L49="Not confirmed","Bulk-density basis not confirmed with the lab — the coarse-fragment correction may be wrong or doubled. ","")&amp;IF(LAB_BULK_DENSITY_BASIS="Not confirmed","No lab bulk-density basis is on file in Settings (LAB_BULK_DENSITY_BASIS), so nothing checks this row. ","")&amp;IF(AND($L49&lt;&gt;"",LAB_BULK_DENSITY_BASIS&lt;&gt;"Not confirmed",$L49&lt;&gt;LAB_BULK_DENSITY_BASIS),"This row's bulk-density basis disagrees with the lab method on file. One of "&amp;"the two is wrong, and the coarse-fragment correction follows the row. ","")&amp;IF(AND(ISNUMBER($M49),OR($M49&lt;QC_BD_MIN,$M49&gt;QC_BD_MAX)),"Bulk density outside the plausible range for a mineral grassland soil. ","")&amp;IF(AND(ISNUMBER($N49),$N49&gt;QC_CARBON_PCT_MAX),"Organic carbon above the QC ceiling — check units, and whether this is an organic horizon. ","")&amp;IF(AND(ISNUMBER($J49),$J49&lt;QC_RECOVERY_MIN),"Recovered less than the QC minimum of the depth driven — the increments may not sit where you think. Do NOT stretch them back out. ","")&amp;IF(AND(ISNUMBER($K49),$K49&gt;0,$L49="Fine earth / total volume"),"Coarse fragments recorded and the lab basis already accounts for them — no further correction applied, which is correct. ",""))</f>
        <v/>
      </c>
      <c r="T49" s="6"/>
      <c r="U49" s="9" t="n">
        <f aca="false">IF($B49="",0,IF(COUNTIFS($B$5:$B49,$B49)=1,1,0))</f>
        <v>0</v>
      </c>
    </row>
    <row r="50" customFormat="false" ht="15" hidden="false" customHeight="false" outlineLevel="0" collapsed="false">
      <c r="A50" s="6"/>
      <c r="B50" s="6"/>
      <c r="C50" s="6"/>
      <c r="D50" s="6"/>
      <c r="E50" s="6"/>
      <c r="F50" s="9" t="str">
        <f aca="false">IF(OR($D50="",$E50=""),"",$E50-$D50)</f>
        <v/>
      </c>
      <c r="G50" s="6"/>
      <c r="H50" s="6"/>
      <c r="I50" s="6"/>
      <c r="J50" s="9" t="str">
        <f aca="false">IF(OR(NOT(ISNUMBER($H50)),NOT(ISNUMBER($I50)),$H50=0),"",$I50/$H50)</f>
        <v/>
      </c>
      <c r="K50" s="6"/>
      <c r="L50" s="8"/>
      <c r="M50" s="7"/>
      <c r="N50" s="7"/>
      <c r="O50" s="9" t="str">
        <f aca="false">IF(NOT(ISNUMBER($M50)),"",IF($L50="Fine earth / fine-earth volume",$M50*(1-IF(ISNUMBER($K50),$K50,0)/100),$M50))</f>
        <v/>
      </c>
      <c r="P50" s="9" t="str">
        <f aca="false">IF(OR(NOT(ISNUMBER($O50)),NOT(ISNUMBER($N50)),NOT(ISNUMBER($F50))),"",$O50*($N50/100)*$F50*10)</f>
        <v/>
      </c>
      <c r="Q50" s="9" t="str">
        <f aca="false">IF(OR(NOT(ISNUMBER($D50)),NOT(ISNUMBER($E50))),"",MAX(0,MIN($E50,SOIL_REPORTING_DEPTH_CM)-MIN($D50,SOIL_REPORTING_DEPTH_CM)))</f>
        <v/>
      </c>
      <c r="R50" s="9" t="str">
        <f aca="false">IF(OR(NOT(ISNUMBER($O50)),NOT(ISNUMBER($N50)),NOT(ISNUMBER($Q50))),"",$O50*($N50/100)*$Q50*10)</f>
        <v/>
      </c>
      <c r="S50" s="11" t="str">
        <f aca="false">IF(AND($A50="",$B50="",$D50=""),"",IF(AND($A50&lt;&gt;"",COUNTIF('1. Plot &amp; Site Log'!$A$5:$A$64,$A50)=0),"Plot ID not in the Plot &amp; Site Log. ","")&amp;IF(AND(ISNUMBER($D50),ISNUMBER($E50),$E50&lt;=$D50),"Bottom depth is not below top depth. ","")&amp;IF($L50="Not confirmed","Bulk-density basis not confirmed with the lab — the coarse-fragment correction may be wrong or doubled. ","")&amp;IF(LAB_BULK_DENSITY_BASIS="Not confirmed","No lab bulk-density basis is on file in Settings (LAB_BULK_DENSITY_BASIS), so nothing checks this row. ","")&amp;IF(AND($L50&lt;&gt;"",LAB_BULK_DENSITY_BASIS&lt;&gt;"Not confirmed",$L50&lt;&gt;LAB_BULK_DENSITY_BASIS),"This row's bulk-density basis disagrees with the lab method on file. One of "&amp;"the two is wrong, and the coarse-fragment correction follows the row. ","")&amp;IF(AND(ISNUMBER($M50),OR($M50&lt;QC_BD_MIN,$M50&gt;QC_BD_MAX)),"Bulk density outside the plausible range for a mineral grassland soil. ","")&amp;IF(AND(ISNUMBER($N50),$N50&gt;QC_CARBON_PCT_MAX),"Organic carbon above the QC ceiling — check units, and whether this is an organic horizon. ","")&amp;IF(AND(ISNUMBER($J50),$J50&lt;QC_RECOVERY_MIN),"Recovered less than the QC minimum of the depth driven — the increments may not sit where you think. Do NOT stretch them back out. ","")&amp;IF(AND(ISNUMBER($K50),$K50&gt;0,$L50="Fine earth / total volume"),"Coarse fragments recorded and the lab basis already accounts for them — no further correction applied, which is correct. ",""))</f>
        <v/>
      </c>
      <c r="T50" s="6"/>
      <c r="U50" s="9" t="n">
        <f aca="false">IF($B50="",0,IF(COUNTIFS($B$5:$B50,$B50)=1,1,0))</f>
        <v>0</v>
      </c>
    </row>
    <row r="51" customFormat="false" ht="15" hidden="false" customHeight="false" outlineLevel="0" collapsed="false">
      <c r="A51" s="6"/>
      <c r="B51" s="6"/>
      <c r="C51" s="6"/>
      <c r="D51" s="6"/>
      <c r="E51" s="6"/>
      <c r="F51" s="9" t="str">
        <f aca="false">IF(OR($D51="",$E51=""),"",$E51-$D51)</f>
        <v/>
      </c>
      <c r="G51" s="6"/>
      <c r="H51" s="6"/>
      <c r="I51" s="6"/>
      <c r="J51" s="9" t="str">
        <f aca="false">IF(OR(NOT(ISNUMBER($H51)),NOT(ISNUMBER($I51)),$H51=0),"",$I51/$H51)</f>
        <v/>
      </c>
      <c r="K51" s="6"/>
      <c r="L51" s="8"/>
      <c r="M51" s="7"/>
      <c r="N51" s="7"/>
      <c r="O51" s="9" t="str">
        <f aca="false">IF(NOT(ISNUMBER($M51)),"",IF($L51="Fine earth / fine-earth volume",$M51*(1-IF(ISNUMBER($K51),$K51,0)/100),$M51))</f>
        <v/>
      </c>
      <c r="P51" s="9" t="str">
        <f aca="false">IF(OR(NOT(ISNUMBER($O51)),NOT(ISNUMBER($N51)),NOT(ISNUMBER($F51))),"",$O51*($N51/100)*$F51*10)</f>
        <v/>
      </c>
      <c r="Q51" s="9" t="str">
        <f aca="false">IF(OR(NOT(ISNUMBER($D51)),NOT(ISNUMBER($E51))),"",MAX(0,MIN($E51,SOIL_REPORTING_DEPTH_CM)-MIN($D51,SOIL_REPORTING_DEPTH_CM)))</f>
        <v/>
      </c>
      <c r="R51" s="9" t="str">
        <f aca="false">IF(OR(NOT(ISNUMBER($O51)),NOT(ISNUMBER($N51)),NOT(ISNUMBER($Q51))),"",$O51*($N51/100)*$Q51*10)</f>
        <v/>
      </c>
      <c r="S51" s="11" t="str">
        <f aca="false">IF(AND($A51="",$B51="",$D51=""),"",IF(AND($A51&lt;&gt;"",COUNTIF('1. Plot &amp; Site Log'!$A$5:$A$64,$A51)=0),"Plot ID not in the Plot &amp; Site Log. ","")&amp;IF(AND(ISNUMBER($D51),ISNUMBER($E51),$E51&lt;=$D51),"Bottom depth is not below top depth. ","")&amp;IF($L51="Not confirmed","Bulk-density basis not confirmed with the lab — the coarse-fragment correction may be wrong or doubled. ","")&amp;IF(LAB_BULK_DENSITY_BASIS="Not confirmed","No lab bulk-density basis is on file in Settings (LAB_BULK_DENSITY_BASIS), so nothing checks this row. ","")&amp;IF(AND($L51&lt;&gt;"",LAB_BULK_DENSITY_BASIS&lt;&gt;"Not confirmed",$L51&lt;&gt;LAB_BULK_DENSITY_BASIS),"This row's bulk-density basis disagrees with the lab method on file. One of "&amp;"the two is wrong, and the coarse-fragment correction follows the row. ","")&amp;IF(AND(ISNUMBER($M51),OR($M51&lt;QC_BD_MIN,$M51&gt;QC_BD_MAX)),"Bulk density outside the plausible range for a mineral grassland soil. ","")&amp;IF(AND(ISNUMBER($N51),$N51&gt;QC_CARBON_PCT_MAX),"Organic carbon above the QC ceiling — check units, and whether this is an organic horizon. ","")&amp;IF(AND(ISNUMBER($J51),$J51&lt;QC_RECOVERY_MIN),"Recovered less than the QC minimum of the depth driven — the increments may not sit where you think. Do NOT stretch them back out. ","")&amp;IF(AND(ISNUMBER($K51),$K51&gt;0,$L51="Fine earth / total volume"),"Coarse fragments recorded and the lab basis already accounts for them — no further correction applied, which is correct. ",""))</f>
        <v/>
      </c>
      <c r="T51" s="6"/>
      <c r="U51" s="9" t="n">
        <f aca="false">IF($B51="",0,IF(COUNTIFS($B$5:$B51,$B51)=1,1,0))</f>
        <v>0</v>
      </c>
    </row>
    <row r="52" customFormat="false" ht="15" hidden="false" customHeight="false" outlineLevel="0" collapsed="false">
      <c r="A52" s="6"/>
      <c r="B52" s="6"/>
      <c r="C52" s="6"/>
      <c r="D52" s="6"/>
      <c r="E52" s="6"/>
      <c r="F52" s="9" t="str">
        <f aca="false">IF(OR($D52="",$E52=""),"",$E52-$D52)</f>
        <v/>
      </c>
      <c r="G52" s="6"/>
      <c r="H52" s="6"/>
      <c r="I52" s="6"/>
      <c r="J52" s="9" t="str">
        <f aca="false">IF(OR(NOT(ISNUMBER($H52)),NOT(ISNUMBER($I52)),$H52=0),"",$I52/$H52)</f>
        <v/>
      </c>
      <c r="K52" s="6"/>
      <c r="L52" s="8"/>
      <c r="M52" s="7"/>
      <c r="N52" s="7"/>
      <c r="O52" s="9" t="str">
        <f aca="false">IF(NOT(ISNUMBER($M52)),"",IF($L52="Fine earth / fine-earth volume",$M52*(1-IF(ISNUMBER($K52),$K52,0)/100),$M52))</f>
        <v/>
      </c>
      <c r="P52" s="9" t="str">
        <f aca="false">IF(OR(NOT(ISNUMBER($O52)),NOT(ISNUMBER($N52)),NOT(ISNUMBER($F52))),"",$O52*($N52/100)*$F52*10)</f>
        <v/>
      </c>
      <c r="Q52" s="9" t="str">
        <f aca="false">IF(OR(NOT(ISNUMBER($D52)),NOT(ISNUMBER($E52))),"",MAX(0,MIN($E52,SOIL_REPORTING_DEPTH_CM)-MIN($D52,SOIL_REPORTING_DEPTH_CM)))</f>
        <v/>
      </c>
      <c r="R52" s="9" t="str">
        <f aca="false">IF(OR(NOT(ISNUMBER($O52)),NOT(ISNUMBER($N52)),NOT(ISNUMBER($Q52))),"",$O52*($N52/100)*$Q52*10)</f>
        <v/>
      </c>
      <c r="S52" s="11" t="str">
        <f aca="false">IF(AND($A52="",$B52="",$D52=""),"",IF(AND($A52&lt;&gt;"",COUNTIF('1. Plot &amp; Site Log'!$A$5:$A$64,$A52)=0),"Plot ID not in the Plot &amp; Site Log. ","")&amp;IF(AND(ISNUMBER($D52),ISNUMBER($E52),$E52&lt;=$D52),"Bottom depth is not below top depth. ","")&amp;IF($L52="Not confirmed","Bulk-density basis not confirmed with the lab — the coarse-fragment correction may be wrong or doubled. ","")&amp;IF(LAB_BULK_DENSITY_BASIS="Not confirmed","No lab bulk-density basis is on file in Settings (LAB_BULK_DENSITY_BASIS), so nothing checks this row. ","")&amp;IF(AND($L52&lt;&gt;"",LAB_BULK_DENSITY_BASIS&lt;&gt;"Not confirmed",$L52&lt;&gt;LAB_BULK_DENSITY_BASIS),"This row's bulk-density basis disagrees with the lab method on file. One of "&amp;"the two is wrong, and the coarse-fragment correction follows the row. ","")&amp;IF(AND(ISNUMBER($M52),OR($M52&lt;QC_BD_MIN,$M52&gt;QC_BD_MAX)),"Bulk density outside the plausible range for a mineral grassland soil. ","")&amp;IF(AND(ISNUMBER($N52),$N52&gt;QC_CARBON_PCT_MAX),"Organic carbon above the QC ceiling — check units, and whether this is an organic horizon. ","")&amp;IF(AND(ISNUMBER($J52),$J52&lt;QC_RECOVERY_MIN),"Recovered less than the QC minimum of the depth driven — the increments may not sit where you think. Do NOT stretch them back out. ","")&amp;IF(AND(ISNUMBER($K52),$K52&gt;0,$L52="Fine earth / total volume"),"Coarse fragments recorded and the lab basis already accounts for them — no further correction applied, which is correct. ",""))</f>
        <v/>
      </c>
      <c r="T52" s="6"/>
      <c r="U52" s="9" t="n">
        <f aca="false">IF($B52="",0,IF(COUNTIFS($B$5:$B52,$B52)=1,1,0))</f>
        <v>0</v>
      </c>
    </row>
    <row r="53" customFormat="false" ht="15" hidden="false" customHeight="false" outlineLevel="0" collapsed="false">
      <c r="A53" s="6"/>
      <c r="B53" s="6"/>
      <c r="C53" s="6"/>
      <c r="D53" s="6"/>
      <c r="E53" s="6"/>
      <c r="F53" s="9" t="str">
        <f aca="false">IF(OR($D53="",$E53=""),"",$E53-$D53)</f>
        <v/>
      </c>
      <c r="G53" s="6"/>
      <c r="H53" s="6"/>
      <c r="I53" s="6"/>
      <c r="J53" s="9" t="str">
        <f aca="false">IF(OR(NOT(ISNUMBER($H53)),NOT(ISNUMBER($I53)),$H53=0),"",$I53/$H53)</f>
        <v/>
      </c>
      <c r="K53" s="6"/>
      <c r="L53" s="8"/>
      <c r="M53" s="7"/>
      <c r="N53" s="7"/>
      <c r="O53" s="9" t="str">
        <f aca="false">IF(NOT(ISNUMBER($M53)),"",IF($L53="Fine earth / fine-earth volume",$M53*(1-IF(ISNUMBER($K53),$K53,0)/100),$M53))</f>
        <v/>
      </c>
      <c r="P53" s="9" t="str">
        <f aca="false">IF(OR(NOT(ISNUMBER($O53)),NOT(ISNUMBER($N53)),NOT(ISNUMBER($F53))),"",$O53*($N53/100)*$F53*10)</f>
        <v/>
      </c>
      <c r="Q53" s="9" t="str">
        <f aca="false">IF(OR(NOT(ISNUMBER($D53)),NOT(ISNUMBER($E53))),"",MAX(0,MIN($E53,SOIL_REPORTING_DEPTH_CM)-MIN($D53,SOIL_REPORTING_DEPTH_CM)))</f>
        <v/>
      </c>
      <c r="R53" s="9" t="str">
        <f aca="false">IF(OR(NOT(ISNUMBER($O53)),NOT(ISNUMBER($N53)),NOT(ISNUMBER($Q53))),"",$O53*($N53/100)*$Q53*10)</f>
        <v/>
      </c>
      <c r="S53" s="11" t="str">
        <f aca="false">IF(AND($A53="",$B53="",$D53=""),"",IF(AND($A53&lt;&gt;"",COUNTIF('1. Plot &amp; Site Log'!$A$5:$A$64,$A53)=0),"Plot ID not in the Plot &amp; Site Log. ","")&amp;IF(AND(ISNUMBER($D53),ISNUMBER($E53),$E53&lt;=$D53),"Bottom depth is not below top depth. ","")&amp;IF($L53="Not confirmed","Bulk-density basis not confirmed with the lab — the coarse-fragment correction may be wrong or doubled. ","")&amp;IF(LAB_BULK_DENSITY_BASIS="Not confirmed","No lab bulk-density basis is on file in Settings (LAB_BULK_DENSITY_BASIS), so nothing checks this row. ","")&amp;IF(AND($L53&lt;&gt;"",LAB_BULK_DENSITY_BASIS&lt;&gt;"Not confirmed",$L53&lt;&gt;LAB_BULK_DENSITY_BASIS),"This row's bulk-density basis disagrees with the lab method on file. One of "&amp;"the two is wrong, and the coarse-fragment correction follows the row. ","")&amp;IF(AND(ISNUMBER($M53),OR($M53&lt;QC_BD_MIN,$M53&gt;QC_BD_MAX)),"Bulk density outside the plausible range for a mineral grassland soil. ","")&amp;IF(AND(ISNUMBER($N53),$N53&gt;QC_CARBON_PCT_MAX),"Organic carbon above the QC ceiling — check units, and whether this is an organic horizon. ","")&amp;IF(AND(ISNUMBER($J53),$J53&lt;QC_RECOVERY_MIN),"Recovered less than the QC minimum of the depth driven — the increments may not sit where you think. Do NOT stretch them back out. ","")&amp;IF(AND(ISNUMBER($K53),$K53&gt;0,$L53="Fine earth / total volume"),"Coarse fragments recorded and the lab basis already accounts for them — no further correction applied, which is correct. ",""))</f>
        <v/>
      </c>
      <c r="T53" s="6"/>
      <c r="U53" s="9" t="n">
        <f aca="false">IF($B53="",0,IF(COUNTIFS($B$5:$B53,$B53)=1,1,0))</f>
        <v>0</v>
      </c>
    </row>
    <row r="54" customFormat="false" ht="15" hidden="false" customHeight="false" outlineLevel="0" collapsed="false">
      <c r="A54" s="6"/>
      <c r="B54" s="6"/>
      <c r="C54" s="6"/>
      <c r="D54" s="6"/>
      <c r="E54" s="6"/>
      <c r="F54" s="9" t="str">
        <f aca="false">IF(OR($D54="",$E54=""),"",$E54-$D54)</f>
        <v/>
      </c>
      <c r="G54" s="6"/>
      <c r="H54" s="6"/>
      <c r="I54" s="6"/>
      <c r="J54" s="9" t="str">
        <f aca="false">IF(OR(NOT(ISNUMBER($H54)),NOT(ISNUMBER($I54)),$H54=0),"",$I54/$H54)</f>
        <v/>
      </c>
      <c r="K54" s="6"/>
      <c r="L54" s="8"/>
      <c r="M54" s="7"/>
      <c r="N54" s="7"/>
      <c r="O54" s="9" t="str">
        <f aca="false">IF(NOT(ISNUMBER($M54)),"",IF($L54="Fine earth / fine-earth volume",$M54*(1-IF(ISNUMBER($K54),$K54,0)/100),$M54))</f>
        <v/>
      </c>
      <c r="P54" s="9" t="str">
        <f aca="false">IF(OR(NOT(ISNUMBER($O54)),NOT(ISNUMBER($N54)),NOT(ISNUMBER($F54))),"",$O54*($N54/100)*$F54*10)</f>
        <v/>
      </c>
      <c r="Q54" s="9" t="str">
        <f aca="false">IF(OR(NOT(ISNUMBER($D54)),NOT(ISNUMBER($E54))),"",MAX(0,MIN($E54,SOIL_REPORTING_DEPTH_CM)-MIN($D54,SOIL_REPORTING_DEPTH_CM)))</f>
        <v/>
      </c>
      <c r="R54" s="9" t="str">
        <f aca="false">IF(OR(NOT(ISNUMBER($O54)),NOT(ISNUMBER($N54)),NOT(ISNUMBER($Q54))),"",$O54*($N54/100)*$Q54*10)</f>
        <v/>
      </c>
      <c r="S54" s="11" t="str">
        <f aca="false">IF(AND($A54="",$B54="",$D54=""),"",IF(AND($A54&lt;&gt;"",COUNTIF('1. Plot &amp; Site Log'!$A$5:$A$64,$A54)=0),"Plot ID not in the Plot &amp; Site Log. ","")&amp;IF(AND(ISNUMBER($D54),ISNUMBER($E54),$E54&lt;=$D54),"Bottom depth is not below top depth. ","")&amp;IF($L54="Not confirmed","Bulk-density basis not confirmed with the lab — the coarse-fragment correction may be wrong or doubled. ","")&amp;IF(LAB_BULK_DENSITY_BASIS="Not confirmed","No lab bulk-density basis is on file in Settings (LAB_BULK_DENSITY_BASIS), so nothing checks this row. ","")&amp;IF(AND($L54&lt;&gt;"",LAB_BULK_DENSITY_BASIS&lt;&gt;"Not confirmed",$L54&lt;&gt;LAB_BULK_DENSITY_BASIS),"This row's bulk-density basis disagrees with the lab method on file. One of "&amp;"the two is wrong, and the coarse-fragment correction follows the row. ","")&amp;IF(AND(ISNUMBER($M54),OR($M54&lt;QC_BD_MIN,$M54&gt;QC_BD_MAX)),"Bulk density outside the plausible range for a mineral grassland soil. ","")&amp;IF(AND(ISNUMBER($N54),$N54&gt;QC_CARBON_PCT_MAX),"Organic carbon above the QC ceiling — check units, and whether this is an organic horizon. ","")&amp;IF(AND(ISNUMBER($J54),$J54&lt;QC_RECOVERY_MIN),"Recovered less than the QC minimum of the depth driven — the increments may not sit where you think. Do NOT stretch them back out. ","")&amp;IF(AND(ISNUMBER($K54),$K54&gt;0,$L54="Fine earth / total volume"),"Coarse fragments recorded and the lab basis already accounts for them — no further correction applied, which is correct. ",""))</f>
        <v/>
      </c>
      <c r="T54" s="6"/>
      <c r="U54" s="9" t="n">
        <f aca="false">IF($B54="",0,IF(COUNTIFS($B$5:$B54,$B54)=1,1,0))</f>
        <v>0</v>
      </c>
    </row>
    <row r="55" customFormat="false" ht="15" hidden="false" customHeight="false" outlineLevel="0" collapsed="false">
      <c r="A55" s="6"/>
      <c r="B55" s="6"/>
      <c r="C55" s="6"/>
      <c r="D55" s="6"/>
      <c r="E55" s="6"/>
      <c r="F55" s="9" t="str">
        <f aca="false">IF(OR($D55="",$E55=""),"",$E55-$D55)</f>
        <v/>
      </c>
      <c r="G55" s="6"/>
      <c r="H55" s="6"/>
      <c r="I55" s="6"/>
      <c r="J55" s="9" t="str">
        <f aca="false">IF(OR(NOT(ISNUMBER($H55)),NOT(ISNUMBER($I55)),$H55=0),"",$I55/$H55)</f>
        <v/>
      </c>
      <c r="K55" s="6"/>
      <c r="L55" s="8"/>
      <c r="M55" s="7"/>
      <c r="N55" s="7"/>
      <c r="O55" s="9" t="str">
        <f aca="false">IF(NOT(ISNUMBER($M55)),"",IF($L55="Fine earth / fine-earth volume",$M55*(1-IF(ISNUMBER($K55),$K55,0)/100),$M55))</f>
        <v/>
      </c>
      <c r="P55" s="9" t="str">
        <f aca="false">IF(OR(NOT(ISNUMBER($O55)),NOT(ISNUMBER($N55)),NOT(ISNUMBER($F55))),"",$O55*($N55/100)*$F55*10)</f>
        <v/>
      </c>
      <c r="Q55" s="9" t="str">
        <f aca="false">IF(OR(NOT(ISNUMBER($D55)),NOT(ISNUMBER($E55))),"",MAX(0,MIN($E55,SOIL_REPORTING_DEPTH_CM)-MIN($D55,SOIL_REPORTING_DEPTH_CM)))</f>
        <v/>
      </c>
      <c r="R55" s="9" t="str">
        <f aca="false">IF(OR(NOT(ISNUMBER($O55)),NOT(ISNUMBER($N55)),NOT(ISNUMBER($Q55))),"",$O55*($N55/100)*$Q55*10)</f>
        <v/>
      </c>
      <c r="S55" s="11" t="str">
        <f aca="false">IF(AND($A55="",$B55="",$D55=""),"",IF(AND($A55&lt;&gt;"",COUNTIF('1. Plot &amp; Site Log'!$A$5:$A$64,$A55)=0),"Plot ID not in the Plot &amp; Site Log. ","")&amp;IF(AND(ISNUMBER($D55),ISNUMBER($E55),$E55&lt;=$D55),"Bottom depth is not below top depth. ","")&amp;IF($L55="Not confirmed","Bulk-density basis not confirmed with the lab — the coarse-fragment correction may be wrong or doubled. ","")&amp;IF(LAB_BULK_DENSITY_BASIS="Not confirmed","No lab bulk-density basis is on file in Settings (LAB_BULK_DENSITY_BASIS), so nothing checks this row. ","")&amp;IF(AND($L55&lt;&gt;"",LAB_BULK_DENSITY_BASIS&lt;&gt;"Not confirmed",$L55&lt;&gt;LAB_BULK_DENSITY_BASIS),"This row's bulk-density basis disagrees with the lab method on file. One of "&amp;"the two is wrong, and the coarse-fragment correction follows the row. ","")&amp;IF(AND(ISNUMBER($M55),OR($M55&lt;QC_BD_MIN,$M55&gt;QC_BD_MAX)),"Bulk density outside the plausible range for a mineral grassland soil. ","")&amp;IF(AND(ISNUMBER($N55),$N55&gt;QC_CARBON_PCT_MAX),"Organic carbon above the QC ceiling — check units, and whether this is an organic horizon. ","")&amp;IF(AND(ISNUMBER($J55),$J55&lt;QC_RECOVERY_MIN),"Recovered less than the QC minimum of the depth driven — the increments may not sit where you think. Do NOT stretch them back out. ","")&amp;IF(AND(ISNUMBER($K55),$K55&gt;0,$L55="Fine earth / total volume"),"Coarse fragments recorded and the lab basis already accounts for them — no further correction applied, which is correct. ",""))</f>
        <v/>
      </c>
      <c r="T55" s="6"/>
      <c r="U55" s="9" t="n">
        <f aca="false">IF($B55="",0,IF(COUNTIFS($B$5:$B55,$B55)=1,1,0))</f>
        <v>0</v>
      </c>
    </row>
    <row r="56" customFormat="false" ht="15" hidden="false" customHeight="false" outlineLevel="0" collapsed="false">
      <c r="A56" s="6"/>
      <c r="B56" s="6"/>
      <c r="C56" s="6"/>
      <c r="D56" s="6"/>
      <c r="E56" s="6"/>
      <c r="F56" s="9" t="str">
        <f aca="false">IF(OR($D56="",$E56=""),"",$E56-$D56)</f>
        <v/>
      </c>
      <c r="G56" s="6"/>
      <c r="H56" s="6"/>
      <c r="I56" s="6"/>
      <c r="J56" s="9" t="str">
        <f aca="false">IF(OR(NOT(ISNUMBER($H56)),NOT(ISNUMBER($I56)),$H56=0),"",$I56/$H56)</f>
        <v/>
      </c>
      <c r="K56" s="6"/>
      <c r="L56" s="8"/>
      <c r="M56" s="7"/>
      <c r="N56" s="7"/>
      <c r="O56" s="9" t="str">
        <f aca="false">IF(NOT(ISNUMBER($M56)),"",IF($L56="Fine earth / fine-earth volume",$M56*(1-IF(ISNUMBER($K56),$K56,0)/100),$M56))</f>
        <v/>
      </c>
      <c r="P56" s="9" t="str">
        <f aca="false">IF(OR(NOT(ISNUMBER($O56)),NOT(ISNUMBER($N56)),NOT(ISNUMBER($F56))),"",$O56*($N56/100)*$F56*10)</f>
        <v/>
      </c>
      <c r="Q56" s="9" t="str">
        <f aca="false">IF(OR(NOT(ISNUMBER($D56)),NOT(ISNUMBER($E56))),"",MAX(0,MIN($E56,SOIL_REPORTING_DEPTH_CM)-MIN($D56,SOIL_REPORTING_DEPTH_CM)))</f>
        <v/>
      </c>
      <c r="R56" s="9" t="str">
        <f aca="false">IF(OR(NOT(ISNUMBER($O56)),NOT(ISNUMBER($N56)),NOT(ISNUMBER($Q56))),"",$O56*($N56/100)*$Q56*10)</f>
        <v/>
      </c>
      <c r="S56" s="11" t="str">
        <f aca="false">IF(AND($A56="",$B56="",$D56=""),"",IF(AND($A56&lt;&gt;"",COUNTIF('1. Plot &amp; Site Log'!$A$5:$A$64,$A56)=0),"Plot ID not in the Plot &amp; Site Log. ","")&amp;IF(AND(ISNUMBER($D56),ISNUMBER($E56),$E56&lt;=$D56),"Bottom depth is not below top depth. ","")&amp;IF($L56="Not confirmed","Bulk-density basis not confirmed with the lab — the coarse-fragment correction may be wrong or doubled. ","")&amp;IF(LAB_BULK_DENSITY_BASIS="Not confirmed","No lab bulk-density basis is on file in Settings (LAB_BULK_DENSITY_BASIS), so nothing checks this row. ","")&amp;IF(AND($L56&lt;&gt;"",LAB_BULK_DENSITY_BASIS&lt;&gt;"Not confirmed",$L56&lt;&gt;LAB_BULK_DENSITY_BASIS),"This row's bulk-density basis disagrees with the lab method on file. One of "&amp;"the two is wrong, and the coarse-fragment correction follows the row. ","")&amp;IF(AND(ISNUMBER($M56),OR($M56&lt;QC_BD_MIN,$M56&gt;QC_BD_MAX)),"Bulk density outside the plausible range for a mineral grassland soil. ","")&amp;IF(AND(ISNUMBER($N56),$N56&gt;QC_CARBON_PCT_MAX),"Organic carbon above the QC ceiling — check units, and whether this is an organic horizon. ","")&amp;IF(AND(ISNUMBER($J56),$J56&lt;QC_RECOVERY_MIN),"Recovered less than the QC minimum of the depth driven — the increments may not sit where you think. Do NOT stretch them back out. ","")&amp;IF(AND(ISNUMBER($K56),$K56&gt;0,$L56="Fine earth / total volume"),"Coarse fragments recorded and the lab basis already accounts for them — no further correction applied, which is correct. ",""))</f>
        <v/>
      </c>
      <c r="T56" s="6"/>
      <c r="U56" s="9" t="n">
        <f aca="false">IF($B56="",0,IF(COUNTIFS($B$5:$B56,$B56)=1,1,0))</f>
        <v>0</v>
      </c>
    </row>
    <row r="57" customFormat="false" ht="15" hidden="false" customHeight="false" outlineLevel="0" collapsed="false">
      <c r="A57" s="6"/>
      <c r="B57" s="6"/>
      <c r="C57" s="6"/>
      <c r="D57" s="6"/>
      <c r="E57" s="6"/>
      <c r="F57" s="9" t="str">
        <f aca="false">IF(OR($D57="",$E57=""),"",$E57-$D57)</f>
        <v/>
      </c>
      <c r="G57" s="6"/>
      <c r="H57" s="6"/>
      <c r="I57" s="6"/>
      <c r="J57" s="9" t="str">
        <f aca="false">IF(OR(NOT(ISNUMBER($H57)),NOT(ISNUMBER($I57)),$H57=0),"",$I57/$H57)</f>
        <v/>
      </c>
      <c r="K57" s="6"/>
      <c r="L57" s="8"/>
      <c r="M57" s="7"/>
      <c r="N57" s="7"/>
      <c r="O57" s="9" t="str">
        <f aca="false">IF(NOT(ISNUMBER($M57)),"",IF($L57="Fine earth / fine-earth volume",$M57*(1-IF(ISNUMBER($K57),$K57,0)/100),$M57))</f>
        <v/>
      </c>
      <c r="P57" s="9" t="str">
        <f aca="false">IF(OR(NOT(ISNUMBER($O57)),NOT(ISNUMBER($N57)),NOT(ISNUMBER($F57))),"",$O57*($N57/100)*$F57*10)</f>
        <v/>
      </c>
      <c r="Q57" s="9" t="str">
        <f aca="false">IF(OR(NOT(ISNUMBER($D57)),NOT(ISNUMBER($E57))),"",MAX(0,MIN($E57,SOIL_REPORTING_DEPTH_CM)-MIN($D57,SOIL_REPORTING_DEPTH_CM)))</f>
        <v/>
      </c>
      <c r="R57" s="9" t="str">
        <f aca="false">IF(OR(NOT(ISNUMBER($O57)),NOT(ISNUMBER($N57)),NOT(ISNUMBER($Q57))),"",$O57*($N57/100)*$Q57*10)</f>
        <v/>
      </c>
      <c r="S57" s="11" t="str">
        <f aca="false">IF(AND($A57="",$B57="",$D57=""),"",IF(AND($A57&lt;&gt;"",COUNTIF('1. Plot &amp; Site Log'!$A$5:$A$64,$A57)=0),"Plot ID not in the Plot &amp; Site Log. ","")&amp;IF(AND(ISNUMBER($D57),ISNUMBER($E57),$E57&lt;=$D57),"Bottom depth is not below top depth. ","")&amp;IF($L57="Not confirmed","Bulk-density basis not confirmed with the lab — the coarse-fragment correction may be wrong or doubled. ","")&amp;IF(LAB_BULK_DENSITY_BASIS="Not confirmed","No lab bulk-density basis is on file in Settings (LAB_BULK_DENSITY_BASIS), so nothing checks this row. ","")&amp;IF(AND($L57&lt;&gt;"",LAB_BULK_DENSITY_BASIS&lt;&gt;"Not confirmed",$L57&lt;&gt;LAB_BULK_DENSITY_BASIS),"This row's bulk-density basis disagrees with the lab method on file. One of "&amp;"the two is wrong, and the coarse-fragment correction follows the row. ","")&amp;IF(AND(ISNUMBER($M57),OR($M57&lt;QC_BD_MIN,$M57&gt;QC_BD_MAX)),"Bulk density outside the plausible range for a mineral grassland soil. ","")&amp;IF(AND(ISNUMBER($N57),$N57&gt;QC_CARBON_PCT_MAX),"Organic carbon above the QC ceiling — check units, and whether this is an organic horizon. ","")&amp;IF(AND(ISNUMBER($J57),$J57&lt;QC_RECOVERY_MIN),"Recovered less than the QC minimum of the depth driven — the increments may not sit where you think. Do NOT stretch them back out. ","")&amp;IF(AND(ISNUMBER($K57),$K57&gt;0,$L57="Fine earth / total volume"),"Coarse fragments recorded and the lab basis already accounts for them — no further correction applied, which is correct. ",""))</f>
        <v/>
      </c>
      <c r="T57" s="6"/>
      <c r="U57" s="9" t="n">
        <f aca="false">IF($B57="",0,IF(COUNTIFS($B$5:$B57,$B57)=1,1,0))</f>
        <v>0</v>
      </c>
    </row>
    <row r="58" customFormat="false" ht="15" hidden="false" customHeight="false" outlineLevel="0" collapsed="false">
      <c r="A58" s="6"/>
      <c r="B58" s="6"/>
      <c r="C58" s="6"/>
      <c r="D58" s="6"/>
      <c r="E58" s="6"/>
      <c r="F58" s="9" t="str">
        <f aca="false">IF(OR($D58="",$E58=""),"",$E58-$D58)</f>
        <v/>
      </c>
      <c r="G58" s="6"/>
      <c r="H58" s="6"/>
      <c r="I58" s="6"/>
      <c r="J58" s="9" t="str">
        <f aca="false">IF(OR(NOT(ISNUMBER($H58)),NOT(ISNUMBER($I58)),$H58=0),"",$I58/$H58)</f>
        <v/>
      </c>
      <c r="K58" s="6"/>
      <c r="L58" s="8"/>
      <c r="M58" s="7"/>
      <c r="N58" s="7"/>
      <c r="O58" s="9" t="str">
        <f aca="false">IF(NOT(ISNUMBER($M58)),"",IF($L58="Fine earth / fine-earth volume",$M58*(1-IF(ISNUMBER($K58),$K58,0)/100),$M58))</f>
        <v/>
      </c>
      <c r="P58" s="9" t="str">
        <f aca="false">IF(OR(NOT(ISNUMBER($O58)),NOT(ISNUMBER($N58)),NOT(ISNUMBER($F58))),"",$O58*($N58/100)*$F58*10)</f>
        <v/>
      </c>
      <c r="Q58" s="9" t="str">
        <f aca="false">IF(OR(NOT(ISNUMBER($D58)),NOT(ISNUMBER($E58))),"",MAX(0,MIN($E58,SOIL_REPORTING_DEPTH_CM)-MIN($D58,SOIL_REPORTING_DEPTH_CM)))</f>
        <v/>
      </c>
      <c r="R58" s="9" t="str">
        <f aca="false">IF(OR(NOT(ISNUMBER($O58)),NOT(ISNUMBER($N58)),NOT(ISNUMBER($Q58))),"",$O58*($N58/100)*$Q58*10)</f>
        <v/>
      </c>
      <c r="S58" s="11" t="str">
        <f aca="false">IF(AND($A58="",$B58="",$D58=""),"",IF(AND($A58&lt;&gt;"",COUNTIF('1. Plot &amp; Site Log'!$A$5:$A$64,$A58)=0),"Plot ID not in the Plot &amp; Site Log. ","")&amp;IF(AND(ISNUMBER($D58),ISNUMBER($E58),$E58&lt;=$D58),"Bottom depth is not below top depth. ","")&amp;IF($L58="Not confirmed","Bulk-density basis not confirmed with the lab — the coarse-fragment correction may be wrong or doubled. ","")&amp;IF(LAB_BULK_DENSITY_BASIS="Not confirmed","No lab bulk-density basis is on file in Settings (LAB_BULK_DENSITY_BASIS), so nothing checks this row. ","")&amp;IF(AND($L58&lt;&gt;"",LAB_BULK_DENSITY_BASIS&lt;&gt;"Not confirmed",$L58&lt;&gt;LAB_BULK_DENSITY_BASIS),"This row's bulk-density basis disagrees with the lab method on file. One of "&amp;"the two is wrong, and the coarse-fragment correction follows the row. ","")&amp;IF(AND(ISNUMBER($M58),OR($M58&lt;QC_BD_MIN,$M58&gt;QC_BD_MAX)),"Bulk density outside the plausible range for a mineral grassland soil. ","")&amp;IF(AND(ISNUMBER($N58),$N58&gt;QC_CARBON_PCT_MAX),"Organic carbon above the QC ceiling — check units, and whether this is an organic horizon. ","")&amp;IF(AND(ISNUMBER($J58),$J58&lt;QC_RECOVERY_MIN),"Recovered less than the QC minimum of the depth driven — the increments may not sit where you think. Do NOT stretch them back out. ","")&amp;IF(AND(ISNUMBER($K58),$K58&gt;0,$L58="Fine earth / total volume"),"Coarse fragments recorded and the lab basis already accounts for them — no further correction applied, which is correct. ",""))</f>
        <v/>
      </c>
      <c r="T58" s="6"/>
      <c r="U58" s="9" t="n">
        <f aca="false">IF($B58="",0,IF(COUNTIFS($B$5:$B58,$B58)=1,1,0))</f>
        <v>0</v>
      </c>
    </row>
    <row r="59" customFormat="false" ht="15" hidden="false" customHeight="false" outlineLevel="0" collapsed="false">
      <c r="A59" s="6"/>
      <c r="B59" s="6"/>
      <c r="C59" s="6"/>
      <c r="D59" s="6"/>
      <c r="E59" s="6"/>
      <c r="F59" s="9" t="str">
        <f aca="false">IF(OR($D59="",$E59=""),"",$E59-$D59)</f>
        <v/>
      </c>
      <c r="G59" s="6"/>
      <c r="H59" s="6"/>
      <c r="I59" s="6"/>
      <c r="J59" s="9" t="str">
        <f aca="false">IF(OR(NOT(ISNUMBER($H59)),NOT(ISNUMBER($I59)),$H59=0),"",$I59/$H59)</f>
        <v/>
      </c>
      <c r="K59" s="6"/>
      <c r="L59" s="8"/>
      <c r="M59" s="7"/>
      <c r="N59" s="7"/>
      <c r="O59" s="9" t="str">
        <f aca="false">IF(NOT(ISNUMBER($M59)),"",IF($L59="Fine earth / fine-earth volume",$M59*(1-IF(ISNUMBER($K59),$K59,0)/100),$M59))</f>
        <v/>
      </c>
      <c r="P59" s="9" t="str">
        <f aca="false">IF(OR(NOT(ISNUMBER($O59)),NOT(ISNUMBER($N59)),NOT(ISNUMBER($F59))),"",$O59*($N59/100)*$F59*10)</f>
        <v/>
      </c>
      <c r="Q59" s="9" t="str">
        <f aca="false">IF(OR(NOT(ISNUMBER($D59)),NOT(ISNUMBER($E59))),"",MAX(0,MIN($E59,SOIL_REPORTING_DEPTH_CM)-MIN($D59,SOIL_REPORTING_DEPTH_CM)))</f>
        <v/>
      </c>
      <c r="R59" s="9" t="str">
        <f aca="false">IF(OR(NOT(ISNUMBER($O59)),NOT(ISNUMBER($N59)),NOT(ISNUMBER($Q59))),"",$O59*($N59/100)*$Q59*10)</f>
        <v/>
      </c>
      <c r="S59" s="11" t="str">
        <f aca="false">IF(AND($A59="",$B59="",$D59=""),"",IF(AND($A59&lt;&gt;"",COUNTIF('1. Plot &amp; Site Log'!$A$5:$A$64,$A59)=0),"Plot ID not in the Plot &amp; Site Log. ","")&amp;IF(AND(ISNUMBER($D59),ISNUMBER($E59),$E59&lt;=$D59),"Bottom depth is not below top depth. ","")&amp;IF($L59="Not confirmed","Bulk-density basis not confirmed with the lab — the coarse-fragment correction may be wrong or doubled. ","")&amp;IF(LAB_BULK_DENSITY_BASIS="Not confirmed","No lab bulk-density basis is on file in Settings (LAB_BULK_DENSITY_BASIS), so nothing checks this row. ","")&amp;IF(AND($L59&lt;&gt;"",LAB_BULK_DENSITY_BASIS&lt;&gt;"Not confirmed",$L59&lt;&gt;LAB_BULK_DENSITY_BASIS),"This row's bulk-density basis disagrees with the lab method on file. One of "&amp;"the two is wrong, and the coarse-fragment correction follows the row. ","")&amp;IF(AND(ISNUMBER($M59),OR($M59&lt;QC_BD_MIN,$M59&gt;QC_BD_MAX)),"Bulk density outside the plausible range for a mineral grassland soil. ","")&amp;IF(AND(ISNUMBER($N59),$N59&gt;QC_CARBON_PCT_MAX),"Organic carbon above the QC ceiling — check units, and whether this is an organic horizon. ","")&amp;IF(AND(ISNUMBER($J59),$J59&lt;QC_RECOVERY_MIN),"Recovered less than the QC minimum of the depth driven — the increments may not sit where you think. Do NOT stretch them back out. ","")&amp;IF(AND(ISNUMBER($K59),$K59&gt;0,$L59="Fine earth / total volume"),"Coarse fragments recorded and the lab basis already accounts for them — no further correction applied, which is correct. ",""))</f>
        <v/>
      </c>
      <c r="T59" s="6"/>
      <c r="U59" s="9" t="n">
        <f aca="false">IF($B59="",0,IF(COUNTIFS($B$5:$B59,$B59)=1,1,0))</f>
        <v>0</v>
      </c>
    </row>
    <row r="60" customFormat="false" ht="15" hidden="false" customHeight="false" outlineLevel="0" collapsed="false">
      <c r="A60" s="6"/>
      <c r="B60" s="6"/>
      <c r="C60" s="6"/>
      <c r="D60" s="6"/>
      <c r="E60" s="6"/>
      <c r="F60" s="9" t="str">
        <f aca="false">IF(OR($D60="",$E60=""),"",$E60-$D60)</f>
        <v/>
      </c>
      <c r="G60" s="6"/>
      <c r="H60" s="6"/>
      <c r="I60" s="6"/>
      <c r="J60" s="9" t="str">
        <f aca="false">IF(OR(NOT(ISNUMBER($H60)),NOT(ISNUMBER($I60)),$H60=0),"",$I60/$H60)</f>
        <v/>
      </c>
      <c r="K60" s="6"/>
      <c r="L60" s="8"/>
      <c r="M60" s="7"/>
      <c r="N60" s="7"/>
      <c r="O60" s="9" t="str">
        <f aca="false">IF(NOT(ISNUMBER($M60)),"",IF($L60="Fine earth / fine-earth volume",$M60*(1-IF(ISNUMBER($K60),$K60,0)/100),$M60))</f>
        <v/>
      </c>
      <c r="P60" s="9" t="str">
        <f aca="false">IF(OR(NOT(ISNUMBER($O60)),NOT(ISNUMBER($N60)),NOT(ISNUMBER($F60))),"",$O60*($N60/100)*$F60*10)</f>
        <v/>
      </c>
      <c r="Q60" s="9" t="str">
        <f aca="false">IF(OR(NOT(ISNUMBER($D60)),NOT(ISNUMBER($E60))),"",MAX(0,MIN($E60,SOIL_REPORTING_DEPTH_CM)-MIN($D60,SOIL_REPORTING_DEPTH_CM)))</f>
        <v/>
      </c>
      <c r="R60" s="9" t="str">
        <f aca="false">IF(OR(NOT(ISNUMBER($O60)),NOT(ISNUMBER($N60)),NOT(ISNUMBER($Q60))),"",$O60*($N60/100)*$Q60*10)</f>
        <v/>
      </c>
      <c r="S60" s="11" t="str">
        <f aca="false">IF(AND($A60="",$B60="",$D60=""),"",IF(AND($A60&lt;&gt;"",COUNTIF('1. Plot &amp; Site Log'!$A$5:$A$64,$A60)=0),"Plot ID not in the Plot &amp; Site Log. ","")&amp;IF(AND(ISNUMBER($D60),ISNUMBER($E60),$E60&lt;=$D60),"Bottom depth is not below top depth. ","")&amp;IF($L60="Not confirmed","Bulk-density basis not confirmed with the lab — the coarse-fragment correction may be wrong or doubled. ","")&amp;IF(LAB_BULK_DENSITY_BASIS="Not confirmed","No lab bulk-density basis is on file in Settings (LAB_BULK_DENSITY_BASIS), so nothing checks this row. ","")&amp;IF(AND($L60&lt;&gt;"",LAB_BULK_DENSITY_BASIS&lt;&gt;"Not confirmed",$L60&lt;&gt;LAB_BULK_DENSITY_BASIS),"This row's bulk-density basis disagrees with the lab method on file. One of "&amp;"the two is wrong, and the coarse-fragment correction follows the row. ","")&amp;IF(AND(ISNUMBER($M60),OR($M60&lt;QC_BD_MIN,$M60&gt;QC_BD_MAX)),"Bulk density outside the plausible range for a mineral grassland soil. ","")&amp;IF(AND(ISNUMBER($N60),$N60&gt;QC_CARBON_PCT_MAX),"Organic carbon above the QC ceiling — check units, and whether this is an organic horizon. ","")&amp;IF(AND(ISNUMBER($J60),$J60&lt;QC_RECOVERY_MIN),"Recovered less than the QC minimum of the depth driven — the increments may not sit where you think. Do NOT stretch them back out. ","")&amp;IF(AND(ISNUMBER($K60),$K60&gt;0,$L60="Fine earth / total volume"),"Coarse fragments recorded and the lab basis already accounts for them — no further correction applied, which is correct. ",""))</f>
        <v/>
      </c>
      <c r="T60" s="6"/>
      <c r="U60" s="9" t="n">
        <f aca="false">IF($B60="",0,IF(COUNTIFS($B$5:$B60,$B60)=1,1,0))</f>
        <v>0</v>
      </c>
    </row>
    <row r="61" customFormat="false" ht="15" hidden="false" customHeight="false" outlineLevel="0" collapsed="false">
      <c r="A61" s="6"/>
      <c r="B61" s="6"/>
      <c r="C61" s="6"/>
      <c r="D61" s="6"/>
      <c r="E61" s="6"/>
      <c r="F61" s="9" t="str">
        <f aca="false">IF(OR($D61="",$E61=""),"",$E61-$D61)</f>
        <v/>
      </c>
      <c r="G61" s="6"/>
      <c r="H61" s="6"/>
      <c r="I61" s="6"/>
      <c r="J61" s="9" t="str">
        <f aca="false">IF(OR(NOT(ISNUMBER($H61)),NOT(ISNUMBER($I61)),$H61=0),"",$I61/$H61)</f>
        <v/>
      </c>
      <c r="K61" s="6"/>
      <c r="L61" s="8"/>
      <c r="M61" s="7"/>
      <c r="N61" s="7"/>
      <c r="O61" s="9" t="str">
        <f aca="false">IF(NOT(ISNUMBER($M61)),"",IF($L61="Fine earth / fine-earth volume",$M61*(1-IF(ISNUMBER($K61),$K61,0)/100),$M61))</f>
        <v/>
      </c>
      <c r="P61" s="9" t="str">
        <f aca="false">IF(OR(NOT(ISNUMBER($O61)),NOT(ISNUMBER($N61)),NOT(ISNUMBER($F61))),"",$O61*($N61/100)*$F61*10)</f>
        <v/>
      </c>
      <c r="Q61" s="9" t="str">
        <f aca="false">IF(OR(NOT(ISNUMBER($D61)),NOT(ISNUMBER($E61))),"",MAX(0,MIN($E61,SOIL_REPORTING_DEPTH_CM)-MIN($D61,SOIL_REPORTING_DEPTH_CM)))</f>
        <v/>
      </c>
      <c r="R61" s="9" t="str">
        <f aca="false">IF(OR(NOT(ISNUMBER($O61)),NOT(ISNUMBER($N61)),NOT(ISNUMBER($Q61))),"",$O61*($N61/100)*$Q61*10)</f>
        <v/>
      </c>
      <c r="S61" s="11" t="str">
        <f aca="false">IF(AND($A61="",$B61="",$D61=""),"",IF(AND($A61&lt;&gt;"",COUNTIF('1. Plot &amp; Site Log'!$A$5:$A$64,$A61)=0),"Plot ID not in the Plot &amp; Site Log. ","")&amp;IF(AND(ISNUMBER($D61),ISNUMBER($E61),$E61&lt;=$D61),"Bottom depth is not below top depth. ","")&amp;IF($L61="Not confirmed","Bulk-density basis not confirmed with the lab — the coarse-fragment correction may be wrong or doubled. ","")&amp;IF(LAB_BULK_DENSITY_BASIS="Not confirmed","No lab bulk-density basis is on file in Settings (LAB_BULK_DENSITY_BASIS), so nothing checks this row. ","")&amp;IF(AND($L61&lt;&gt;"",LAB_BULK_DENSITY_BASIS&lt;&gt;"Not confirmed",$L61&lt;&gt;LAB_BULK_DENSITY_BASIS),"This row's bulk-density basis disagrees with the lab method on file. One of "&amp;"the two is wrong, and the coarse-fragment correction follows the row. ","")&amp;IF(AND(ISNUMBER($M61),OR($M61&lt;QC_BD_MIN,$M61&gt;QC_BD_MAX)),"Bulk density outside the plausible range for a mineral grassland soil. ","")&amp;IF(AND(ISNUMBER($N61),$N61&gt;QC_CARBON_PCT_MAX),"Organic carbon above the QC ceiling — check units, and whether this is an organic horizon. ","")&amp;IF(AND(ISNUMBER($J61),$J61&lt;QC_RECOVERY_MIN),"Recovered less than the QC minimum of the depth driven — the increments may not sit where you think. Do NOT stretch them back out. ","")&amp;IF(AND(ISNUMBER($K61),$K61&gt;0,$L61="Fine earth / total volume"),"Coarse fragments recorded and the lab basis already accounts for them — no further correction applied, which is correct. ",""))</f>
        <v/>
      </c>
      <c r="T61" s="6"/>
      <c r="U61" s="9" t="n">
        <f aca="false">IF($B61="",0,IF(COUNTIFS($B$5:$B61,$B61)=1,1,0))</f>
        <v>0</v>
      </c>
    </row>
    <row r="62" customFormat="false" ht="15" hidden="false" customHeight="false" outlineLevel="0" collapsed="false">
      <c r="A62" s="6"/>
      <c r="B62" s="6"/>
      <c r="C62" s="6"/>
      <c r="D62" s="6"/>
      <c r="E62" s="6"/>
      <c r="F62" s="9" t="str">
        <f aca="false">IF(OR($D62="",$E62=""),"",$E62-$D62)</f>
        <v/>
      </c>
      <c r="G62" s="6"/>
      <c r="H62" s="6"/>
      <c r="I62" s="6"/>
      <c r="J62" s="9" t="str">
        <f aca="false">IF(OR(NOT(ISNUMBER($H62)),NOT(ISNUMBER($I62)),$H62=0),"",$I62/$H62)</f>
        <v/>
      </c>
      <c r="K62" s="6"/>
      <c r="L62" s="8"/>
      <c r="M62" s="7"/>
      <c r="N62" s="7"/>
      <c r="O62" s="9" t="str">
        <f aca="false">IF(NOT(ISNUMBER($M62)),"",IF($L62="Fine earth / fine-earth volume",$M62*(1-IF(ISNUMBER($K62),$K62,0)/100),$M62))</f>
        <v/>
      </c>
      <c r="P62" s="9" t="str">
        <f aca="false">IF(OR(NOT(ISNUMBER($O62)),NOT(ISNUMBER($N62)),NOT(ISNUMBER($F62))),"",$O62*($N62/100)*$F62*10)</f>
        <v/>
      </c>
      <c r="Q62" s="9" t="str">
        <f aca="false">IF(OR(NOT(ISNUMBER($D62)),NOT(ISNUMBER($E62))),"",MAX(0,MIN($E62,SOIL_REPORTING_DEPTH_CM)-MIN($D62,SOIL_REPORTING_DEPTH_CM)))</f>
        <v/>
      </c>
      <c r="R62" s="9" t="str">
        <f aca="false">IF(OR(NOT(ISNUMBER($O62)),NOT(ISNUMBER($N62)),NOT(ISNUMBER($Q62))),"",$O62*($N62/100)*$Q62*10)</f>
        <v/>
      </c>
      <c r="S62" s="11" t="str">
        <f aca="false">IF(AND($A62="",$B62="",$D62=""),"",IF(AND($A62&lt;&gt;"",COUNTIF('1. Plot &amp; Site Log'!$A$5:$A$64,$A62)=0),"Plot ID not in the Plot &amp; Site Log. ","")&amp;IF(AND(ISNUMBER($D62),ISNUMBER($E62),$E62&lt;=$D62),"Bottom depth is not below top depth. ","")&amp;IF($L62="Not confirmed","Bulk-density basis not confirmed with the lab — the coarse-fragment correction may be wrong or doubled. ","")&amp;IF(LAB_BULK_DENSITY_BASIS="Not confirmed","No lab bulk-density basis is on file in Settings (LAB_BULK_DENSITY_BASIS), so nothing checks this row. ","")&amp;IF(AND($L62&lt;&gt;"",LAB_BULK_DENSITY_BASIS&lt;&gt;"Not confirmed",$L62&lt;&gt;LAB_BULK_DENSITY_BASIS),"This row's bulk-density basis disagrees with the lab method on file. One of "&amp;"the two is wrong, and the coarse-fragment correction follows the row. ","")&amp;IF(AND(ISNUMBER($M62),OR($M62&lt;QC_BD_MIN,$M62&gt;QC_BD_MAX)),"Bulk density outside the plausible range for a mineral grassland soil. ","")&amp;IF(AND(ISNUMBER($N62),$N62&gt;QC_CARBON_PCT_MAX),"Organic carbon above the QC ceiling — check units, and whether this is an organic horizon. ","")&amp;IF(AND(ISNUMBER($J62),$J62&lt;QC_RECOVERY_MIN),"Recovered less than the QC minimum of the depth driven — the increments may not sit where you think. Do NOT stretch them back out. ","")&amp;IF(AND(ISNUMBER($K62),$K62&gt;0,$L62="Fine earth / total volume"),"Coarse fragments recorded and the lab basis already accounts for them — no further correction applied, which is correct. ",""))</f>
        <v/>
      </c>
      <c r="T62" s="6"/>
      <c r="U62" s="9" t="n">
        <f aca="false">IF($B62="",0,IF(COUNTIFS($B$5:$B62,$B62)=1,1,0))</f>
        <v>0</v>
      </c>
    </row>
    <row r="63" customFormat="false" ht="15" hidden="false" customHeight="false" outlineLevel="0" collapsed="false">
      <c r="A63" s="6"/>
      <c r="B63" s="6"/>
      <c r="C63" s="6"/>
      <c r="D63" s="6"/>
      <c r="E63" s="6"/>
      <c r="F63" s="9" t="str">
        <f aca="false">IF(OR($D63="",$E63=""),"",$E63-$D63)</f>
        <v/>
      </c>
      <c r="G63" s="6"/>
      <c r="H63" s="6"/>
      <c r="I63" s="6"/>
      <c r="J63" s="9" t="str">
        <f aca="false">IF(OR(NOT(ISNUMBER($H63)),NOT(ISNUMBER($I63)),$H63=0),"",$I63/$H63)</f>
        <v/>
      </c>
      <c r="K63" s="6"/>
      <c r="L63" s="8"/>
      <c r="M63" s="7"/>
      <c r="N63" s="7"/>
      <c r="O63" s="9" t="str">
        <f aca="false">IF(NOT(ISNUMBER($M63)),"",IF($L63="Fine earth / fine-earth volume",$M63*(1-IF(ISNUMBER($K63),$K63,0)/100),$M63))</f>
        <v/>
      </c>
      <c r="P63" s="9" t="str">
        <f aca="false">IF(OR(NOT(ISNUMBER($O63)),NOT(ISNUMBER($N63)),NOT(ISNUMBER($F63))),"",$O63*($N63/100)*$F63*10)</f>
        <v/>
      </c>
      <c r="Q63" s="9" t="str">
        <f aca="false">IF(OR(NOT(ISNUMBER($D63)),NOT(ISNUMBER($E63))),"",MAX(0,MIN($E63,SOIL_REPORTING_DEPTH_CM)-MIN($D63,SOIL_REPORTING_DEPTH_CM)))</f>
        <v/>
      </c>
      <c r="R63" s="9" t="str">
        <f aca="false">IF(OR(NOT(ISNUMBER($O63)),NOT(ISNUMBER($N63)),NOT(ISNUMBER($Q63))),"",$O63*($N63/100)*$Q63*10)</f>
        <v/>
      </c>
      <c r="S63" s="11" t="str">
        <f aca="false">IF(AND($A63="",$B63="",$D63=""),"",IF(AND($A63&lt;&gt;"",COUNTIF('1. Plot &amp; Site Log'!$A$5:$A$64,$A63)=0),"Plot ID not in the Plot &amp; Site Log. ","")&amp;IF(AND(ISNUMBER($D63),ISNUMBER($E63),$E63&lt;=$D63),"Bottom depth is not below top depth. ","")&amp;IF($L63="Not confirmed","Bulk-density basis not confirmed with the lab — the coarse-fragment correction may be wrong or doubled. ","")&amp;IF(LAB_BULK_DENSITY_BASIS="Not confirmed","No lab bulk-density basis is on file in Settings (LAB_BULK_DENSITY_BASIS), so nothing checks this row. ","")&amp;IF(AND($L63&lt;&gt;"",LAB_BULK_DENSITY_BASIS&lt;&gt;"Not confirmed",$L63&lt;&gt;LAB_BULK_DENSITY_BASIS),"This row's bulk-density basis disagrees with the lab method on file. One of "&amp;"the two is wrong, and the coarse-fragment correction follows the row. ","")&amp;IF(AND(ISNUMBER($M63),OR($M63&lt;QC_BD_MIN,$M63&gt;QC_BD_MAX)),"Bulk density outside the plausible range for a mineral grassland soil. ","")&amp;IF(AND(ISNUMBER($N63),$N63&gt;QC_CARBON_PCT_MAX),"Organic carbon above the QC ceiling — check units, and whether this is an organic horizon. ","")&amp;IF(AND(ISNUMBER($J63),$J63&lt;QC_RECOVERY_MIN),"Recovered less than the QC minimum of the depth driven — the increments may not sit where you think. Do NOT stretch them back out. ","")&amp;IF(AND(ISNUMBER($K63),$K63&gt;0,$L63="Fine earth / total volume"),"Coarse fragments recorded and the lab basis already accounts for them — no further correction applied, which is correct. ",""))</f>
        <v/>
      </c>
      <c r="T63" s="6"/>
      <c r="U63" s="9" t="n">
        <f aca="false">IF($B63="",0,IF(COUNTIFS($B$5:$B63,$B63)=1,1,0))</f>
        <v>0</v>
      </c>
    </row>
    <row r="64" customFormat="false" ht="15" hidden="false" customHeight="false" outlineLevel="0" collapsed="false">
      <c r="A64" s="6"/>
      <c r="B64" s="6"/>
      <c r="C64" s="6"/>
      <c r="D64" s="6"/>
      <c r="E64" s="6"/>
      <c r="F64" s="9" t="str">
        <f aca="false">IF(OR($D64="",$E64=""),"",$E64-$D64)</f>
        <v/>
      </c>
      <c r="G64" s="6"/>
      <c r="H64" s="6"/>
      <c r="I64" s="6"/>
      <c r="J64" s="9" t="str">
        <f aca="false">IF(OR(NOT(ISNUMBER($H64)),NOT(ISNUMBER($I64)),$H64=0),"",$I64/$H64)</f>
        <v/>
      </c>
      <c r="K64" s="6"/>
      <c r="L64" s="8"/>
      <c r="M64" s="7"/>
      <c r="N64" s="7"/>
      <c r="O64" s="9" t="str">
        <f aca="false">IF(NOT(ISNUMBER($M64)),"",IF($L64="Fine earth / fine-earth volume",$M64*(1-IF(ISNUMBER($K64),$K64,0)/100),$M64))</f>
        <v/>
      </c>
      <c r="P64" s="9" t="str">
        <f aca="false">IF(OR(NOT(ISNUMBER($O64)),NOT(ISNUMBER($N64)),NOT(ISNUMBER($F64))),"",$O64*($N64/100)*$F64*10)</f>
        <v/>
      </c>
      <c r="Q64" s="9" t="str">
        <f aca="false">IF(OR(NOT(ISNUMBER($D64)),NOT(ISNUMBER($E64))),"",MAX(0,MIN($E64,SOIL_REPORTING_DEPTH_CM)-MIN($D64,SOIL_REPORTING_DEPTH_CM)))</f>
        <v/>
      </c>
      <c r="R64" s="9" t="str">
        <f aca="false">IF(OR(NOT(ISNUMBER($O64)),NOT(ISNUMBER($N64)),NOT(ISNUMBER($Q64))),"",$O64*($N64/100)*$Q64*10)</f>
        <v/>
      </c>
      <c r="S64" s="11" t="str">
        <f aca="false">IF(AND($A64="",$B64="",$D64=""),"",IF(AND($A64&lt;&gt;"",COUNTIF('1. Plot &amp; Site Log'!$A$5:$A$64,$A64)=0),"Plot ID not in the Plot &amp; Site Log. ","")&amp;IF(AND(ISNUMBER($D64),ISNUMBER($E64),$E64&lt;=$D64),"Bottom depth is not below top depth. ","")&amp;IF($L64="Not confirmed","Bulk-density basis not confirmed with the lab — the coarse-fragment correction may be wrong or doubled. ","")&amp;IF(LAB_BULK_DENSITY_BASIS="Not confirmed","No lab bulk-density basis is on file in Settings (LAB_BULK_DENSITY_BASIS), so nothing checks this row. ","")&amp;IF(AND($L64&lt;&gt;"",LAB_BULK_DENSITY_BASIS&lt;&gt;"Not confirmed",$L64&lt;&gt;LAB_BULK_DENSITY_BASIS),"This row's bulk-density basis disagrees with the lab method on file. One of "&amp;"the two is wrong, and the coarse-fragment correction follows the row. ","")&amp;IF(AND(ISNUMBER($M64),OR($M64&lt;QC_BD_MIN,$M64&gt;QC_BD_MAX)),"Bulk density outside the plausible range for a mineral grassland soil. ","")&amp;IF(AND(ISNUMBER($N64),$N64&gt;QC_CARBON_PCT_MAX),"Organic carbon above the QC ceiling — check units, and whether this is an organic horizon. ","")&amp;IF(AND(ISNUMBER($J64),$J64&lt;QC_RECOVERY_MIN),"Recovered less than the QC minimum of the depth driven — the increments may not sit where you think. Do NOT stretch them back out. ","")&amp;IF(AND(ISNUMBER($K64),$K64&gt;0,$L64="Fine earth / total volume"),"Coarse fragments recorded and the lab basis already accounts for them — no further correction applied, which is correct. ",""))</f>
        <v/>
      </c>
      <c r="T64" s="6"/>
      <c r="U64" s="9" t="n">
        <f aca="false">IF($B64="",0,IF(COUNTIFS($B$5:$B64,$B64)=1,1,0))</f>
        <v>0</v>
      </c>
    </row>
    <row r="65" customFormat="false" ht="15" hidden="false" customHeight="false" outlineLevel="0" collapsed="false">
      <c r="A65" s="6"/>
      <c r="B65" s="6"/>
      <c r="C65" s="6"/>
      <c r="D65" s="6"/>
      <c r="E65" s="6"/>
      <c r="F65" s="9" t="str">
        <f aca="false">IF(OR($D65="",$E65=""),"",$E65-$D65)</f>
        <v/>
      </c>
      <c r="G65" s="6"/>
      <c r="H65" s="6"/>
      <c r="I65" s="6"/>
      <c r="J65" s="9" t="str">
        <f aca="false">IF(OR(NOT(ISNUMBER($H65)),NOT(ISNUMBER($I65)),$H65=0),"",$I65/$H65)</f>
        <v/>
      </c>
      <c r="K65" s="6"/>
      <c r="L65" s="8"/>
      <c r="M65" s="7"/>
      <c r="N65" s="7"/>
      <c r="O65" s="9" t="str">
        <f aca="false">IF(NOT(ISNUMBER($M65)),"",IF($L65="Fine earth / fine-earth volume",$M65*(1-IF(ISNUMBER($K65),$K65,0)/100),$M65))</f>
        <v/>
      </c>
      <c r="P65" s="9" t="str">
        <f aca="false">IF(OR(NOT(ISNUMBER($O65)),NOT(ISNUMBER($N65)),NOT(ISNUMBER($F65))),"",$O65*($N65/100)*$F65*10)</f>
        <v/>
      </c>
      <c r="Q65" s="9" t="str">
        <f aca="false">IF(OR(NOT(ISNUMBER($D65)),NOT(ISNUMBER($E65))),"",MAX(0,MIN($E65,SOIL_REPORTING_DEPTH_CM)-MIN($D65,SOIL_REPORTING_DEPTH_CM)))</f>
        <v/>
      </c>
      <c r="R65" s="9" t="str">
        <f aca="false">IF(OR(NOT(ISNUMBER($O65)),NOT(ISNUMBER($N65)),NOT(ISNUMBER($Q65))),"",$O65*($N65/100)*$Q65*10)</f>
        <v/>
      </c>
      <c r="S65" s="11" t="str">
        <f aca="false">IF(AND($A65="",$B65="",$D65=""),"",IF(AND($A65&lt;&gt;"",COUNTIF('1. Plot &amp; Site Log'!$A$5:$A$64,$A65)=0),"Plot ID not in the Plot &amp; Site Log. ","")&amp;IF(AND(ISNUMBER($D65),ISNUMBER($E65),$E65&lt;=$D65),"Bottom depth is not below top depth. ","")&amp;IF($L65="Not confirmed","Bulk-density basis not confirmed with the lab — the coarse-fragment correction may be wrong or doubled. ","")&amp;IF(LAB_BULK_DENSITY_BASIS="Not confirmed","No lab bulk-density basis is on file in Settings (LAB_BULK_DENSITY_BASIS), so nothing checks this row. ","")&amp;IF(AND($L65&lt;&gt;"",LAB_BULK_DENSITY_BASIS&lt;&gt;"Not confirmed",$L65&lt;&gt;LAB_BULK_DENSITY_BASIS),"This row's bulk-density basis disagrees with the lab method on file. One of "&amp;"the two is wrong, and the coarse-fragment correction follows the row. ","")&amp;IF(AND(ISNUMBER($M65),OR($M65&lt;QC_BD_MIN,$M65&gt;QC_BD_MAX)),"Bulk density outside the plausible range for a mineral grassland soil. ","")&amp;IF(AND(ISNUMBER($N65),$N65&gt;QC_CARBON_PCT_MAX),"Organic carbon above the QC ceiling — check units, and whether this is an organic horizon. ","")&amp;IF(AND(ISNUMBER($J65),$J65&lt;QC_RECOVERY_MIN),"Recovered less than the QC minimum of the depth driven — the increments may not sit where you think. Do NOT stretch them back out. ","")&amp;IF(AND(ISNUMBER($K65),$K65&gt;0,$L65="Fine earth / total volume"),"Coarse fragments recorded and the lab basis already accounts for them — no further correction applied, which is correct. ",""))</f>
        <v/>
      </c>
      <c r="T65" s="6"/>
      <c r="U65" s="9" t="n">
        <f aca="false">IF($B65="",0,IF(COUNTIFS($B$5:$B65,$B65)=1,1,0))</f>
        <v>0</v>
      </c>
    </row>
    <row r="66" customFormat="false" ht="15" hidden="false" customHeight="false" outlineLevel="0" collapsed="false">
      <c r="A66" s="6"/>
      <c r="B66" s="6"/>
      <c r="C66" s="6"/>
      <c r="D66" s="6"/>
      <c r="E66" s="6"/>
      <c r="F66" s="9" t="str">
        <f aca="false">IF(OR($D66="",$E66=""),"",$E66-$D66)</f>
        <v/>
      </c>
      <c r="G66" s="6"/>
      <c r="H66" s="6"/>
      <c r="I66" s="6"/>
      <c r="J66" s="9" t="str">
        <f aca="false">IF(OR(NOT(ISNUMBER($H66)),NOT(ISNUMBER($I66)),$H66=0),"",$I66/$H66)</f>
        <v/>
      </c>
      <c r="K66" s="6"/>
      <c r="L66" s="8"/>
      <c r="M66" s="7"/>
      <c r="N66" s="7"/>
      <c r="O66" s="9" t="str">
        <f aca="false">IF(NOT(ISNUMBER($M66)),"",IF($L66="Fine earth / fine-earth volume",$M66*(1-IF(ISNUMBER($K66),$K66,0)/100),$M66))</f>
        <v/>
      </c>
      <c r="P66" s="9" t="str">
        <f aca="false">IF(OR(NOT(ISNUMBER($O66)),NOT(ISNUMBER($N66)),NOT(ISNUMBER($F66))),"",$O66*($N66/100)*$F66*10)</f>
        <v/>
      </c>
      <c r="Q66" s="9" t="str">
        <f aca="false">IF(OR(NOT(ISNUMBER($D66)),NOT(ISNUMBER($E66))),"",MAX(0,MIN($E66,SOIL_REPORTING_DEPTH_CM)-MIN($D66,SOIL_REPORTING_DEPTH_CM)))</f>
        <v/>
      </c>
      <c r="R66" s="9" t="str">
        <f aca="false">IF(OR(NOT(ISNUMBER($O66)),NOT(ISNUMBER($N66)),NOT(ISNUMBER($Q66))),"",$O66*($N66/100)*$Q66*10)</f>
        <v/>
      </c>
      <c r="S66" s="11" t="str">
        <f aca="false">IF(AND($A66="",$B66="",$D66=""),"",IF(AND($A66&lt;&gt;"",COUNTIF('1. Plot &amp; Site Log'!$A$5:$A$64,$A66)=0),"Plot ID not in the Plot &amp; Site Log. ","")&amp;IF(AND(ISNUMBER($D66),ISNUMBER($E66),$E66&lt;=$D66),"Bottom depth is not below top depth. ","")&amp;IF($L66="Not confirmed","Bulk-density basis not confirmed with the lab — the coarse-fragment correction may be wrong or doubled. ","")&amp;IF(LAB_BULK_DENSITY_BASIS="Not confirmed","No lab bulk-density basis is on file in Settings (LAB_BULK_DENSITY_BASIS), so nothing checks this row. ","")&amp;IF(AND($L66&lt;&gt;"",LAB_BULK_DENSITY_BASIS&lt;&gt;"Not confirmed",$L66&lt;&gt;LAB_BULK_DENSITY_BASIS),"This row's bulk-density basis disagrees with the lab method on file. One of "&amp;"the two is wrong, and the coarse-fragment correction follows the row. ","")&amp;IF(AND(ISNUMBER($M66),OR($M66&lt;QC_BD_MIN,$M66&gt;QC_BD_MAX)),"Bulk density outside the plausible range for a mineral grassland soil. ","")&amp;IF(AND(ISNUMBER($N66),$N66&gt;QC_CARBON_PCT_MAX),"Organic carbon above the QC ceiling — check units, and whether this is an organic horizon. ","")&amp;IF(AND(ISNUMBER($J66),$J66&lt;QC_RECOVERY_MIN),"Recovered less than the QC minimum of the depth driven — the increments may not sit where you think. Do NOT stretch them back out. ","")&amp;IF(AND(ISNUMBER($K66),$K66&gt;0,$L66="Fine earth / total volume"),"Coarse fragments recorded and the lab basis already accounts for them — no further correction applied, which is correct. ",""))</f>
        <v/>
      </c>
      <c r="T66" s="6"/>
      <c r="U66" s="9" t="n">
        <f aca="false">IF($B66="",0,IF(COUNTIFS($B$5:$B66,$B66)=1,1,0))</f>
        <v>0</v>
      </c>
    </row>
    <row r="67" customFormat="false" ht="15" hidden="false" customHeight="false" outlineLevel="0" collapsed="false">
      <c r="A67" s="6"/>
      <c r="B67" s="6"/>
      <c r="C67" s="6"/>
      <c r="D67" s="6"/>
      <c r="E67" s="6"/>
      <c r="F67" s="9" t="str">
        <f aca="false">IF(OR($D67="",$E67=""),"",$E67-$D67)</f>
        <v/>
      </c>
      <c r="G67" s="6"/>
      <c r="H67" s="6"/>
      <c r="I67" s="6"/>
      <c r="J67" s="9" t="str">
        <f aca="false">IF(OR(NOT(ISNUMBER($H67)),NOT(ISNUMBER($I67)),$H67=0),"",$I67/$H67)</f>
        <v/>
      </c>
      <c r="K67" s="6"/>
      <c r="L67" s="8"/>
      <c r="M67" s="7"/>
      <c r="N67" s="7"/>
      <c r="O67" s="9" t="str">
        <f aca="false">IF(NOT(ISNUMBER($M67)),"",IF($L67="Fine earth / fine-earth volume",$M67*(1-IF(ISNUMBER($K67),$K67,0)/100),$M67))</f>
        <v/>
      </c>
      <c r="P67" s="9" t="str">
        <f aca="false">IF(OR(NOT(ISNUMBER($O67)),NOT(ISNUMBER($N67)),NOT(ISNUMBER($F67))),"",$O67*($N67/100)*$F67*10)</f>
        <v/>
      </c>
      <c r="Q67" s="9" t="str">
        <f aca="false">IF(OR(NOT(ISNUMBER($D67)),NOT(ISNUMBER($E67))),"",MAX(0,MIN($E67,SOIL_REPORTING_DEPTH_CM)-MIN($D67,SOIL_REPORTING_DEPTH_CM)))</f>
        <v/>
      </c>
      <c r="R67" s="9" t="str">
        <f aca="false">IF(OR(NOT(ISNUMBER($O67)),NOT(ISNUMBER($N67)),NOT(ISNUMBER($Q67))),"",$O67*($N67/100)*$Q67*10)</f>
        <v/>
      </c>
      <c r="S67" s="11" t="str">
        <f aca="false">IF(AND($A67="",$B67="",$D67=""),"",IF(AND($A67&lt;&gt;"",COUNTIF('1. Plot &amp; Site Log'!$A$5:$A$64,$A67)=0),"Plot ID not in the Plot &amp; Site Log. ","")&amp;IF(AND(ISNUMBER($D67),ISNUMBER($E67),$E67&lt;=$D67),"Bottom depth is not below top depth. ","")&amp;IF($L67="Not confirmed","Bulk-density basis not confirmed with the lab — the coarse-fragment correction may be wrong or doubled. ","")&amp;IF(LAB_BULK_DENSITY_BASIS="Not confirmed","No lab bulk-density basis is on file in Settings (LAB_BULK_DENSITY_BASIS), so nothing checks this row. ","")&amp;IF(AND($L67&lt;&gt;"",LAB_BULK_DENSITY_BASIS&lt;&gt;"Not confirmed",$L67&lt;&gt;LAB_BULK_DENSITY_BASIS),"This row's bulk-density basis disagrees with the lab method on file. One of "&amp;"the two is wrong, and the coarse-fragment correction follows the row. ","")&amp;IF(AND(ISNUMBER($M67),OR($M67&lt;QC_BD_MIN,$M67&gt;QC_BD_MAX)),"Bulk density outside the plausible range for a mineral grassland soil. ","")&amp;IF(AND(ISNUMBER($N67),$N67&gt;QC_CARBON_PCT_MAX),"Organic carbon above the QC ceiling — check units, and whether this is an organic horizon. ","")&amp;IF(AND(ISNUMBER($J67),$J67&lt;QC_RECOVERY_MIN),"Recovered less than the QC minimum of the depth driven — the increments may not sit where you think. Do NOT stretch them back out. ","")&amp;IF(AND(ISNUMBER($K67),$K67&gt;0,$L67="Fine earth / total volume"),"Coarse fragments recorded and the lab basis already accounts for them — no further correction applied, which is correct. ",""))</f>
        <v/>
      </c>
      <c r="T67" s="6"/>
      <c r="U67" s="9" t="n">
        <f aca="false">IF($B67="",0,IF(COUNTIFS($B$5:$B67,$B67)=1,1,0))</f>
        <v>0</v>
      </c>
    </row>
    <row r="68" customFormat="false" ht="15" hidden="false" customHeight="false" outlineLevel="0" collapsed="false">
      <c r="A68" s="6"/>
      <c r="B68" s="6"/>
      <c r="C68" s="6"/>
      <c r="D68" s="6"/>
      <c r="E68" s="6"/>
      <c r="F68" s="9" t="str">
        <f aca="false">IF(OR($D68="",$E68=""),"",$E68-$D68)</f>
        <v/>
      </c>
      <c r="G68" s="6"/>
      <c r="H68" s="6"/>
      <c r="I68" s="6"/>
      <c r="J68" s="9" t="str">
        <f aca="false">IF(OR(NOT(ISNUMBER($H68)),NOT(ISNUMBER($I68)),$H68=0),"",$I68/$H68)</f>
        <v/>
      </c>
      <c r="K68" s="6"/>
      <c r="L68" s="8"/>
      <c r="M68" s="7"/>
      <c r="N68" s="7"/>
      <c r="O68" s="9" t="str">
        <f aca="false">IF(NOT(ISNUMBER($M68)),"",IF($L68="Fine earth / fine-earth volume",$M68*(1-IF(ISNUMBER($K68),$K68,0)/100),$M68))</f>
        <v/>
      </c>
      <c r="P68" s="9" t="str">
        <f aca="false">IF(OR(NOT(ISNUMBER($O68)),NOT(ISNUMBER($N68)),NOT(ISNUMBER($F68))),"",$O68*($N68/100)*$F68*10)</f>
        <v/>
      </c>
      <c r="Q68" s="9" t="str">
        <f aca="false">IF(OR(NOT(ISNUMBER($D68)),NOT(ISNUMBER($E68))),"",MAX(0,MIN($E68,SOIL_REPORTING_DEPTH_CM)-MIN($D68,SOIL_REPORTING_DEPTH_CM)))</f>
        <v/>
      </c>
      <c r="R68" s="9" t="str">
        <f aca="false">IF(OR(NOT(ISNUMBER($O68)),NOT(ISNUMBER($N68)),NOT(ISNUMBER($Q68))),"",$O68*($N68/100)*$Q68*10)</f>
        <v/>
      </c>
      <c r="S68" s="11" t="str">
        <f aca="false">IF(AND($A68="",$B68="",$D68=""),"",IF(AND($A68&lt;&gt;"",COUNTIF('1. Plot &amp; Site Log'!$A$5:$A$64,$A68)=0),"Plot ID not in the Plot &amp; Site Log. ","")&amp;IF(AND(ISNUMBER($D68),ISNUMBER($E68),$E68&lt;=$D68),"Bottom depth is not below top depth. ","")&amp;IF($L68="Not confirmed","Bulk-density basis not confirmed with the lab — the coarse-fragment correction may be wrong or doubled. ","")&amp;IF(LAB_BULK_DENSITY_BASIS="Not confirmed","No lab bulk-density basis is on file in Settings (LAB_BULK_DENSITY_BASIS), so nothing checks this row. ","")&amp;IF(AND($L68&lt;&gt;"",LAB_BULK_DENSITY_BASIS&lt;&gt;"Not confirmed",$L68&lt;&gt;LAB_BULK_DENSITY_BASIS),"This row's bulk-density basis disagrees with the lab method on file. One of "&amp;"the two is wrong, and the coarse-fragment correction follows the row. ","")&amp;IF(AND(ISNUMBER($M68),OR($M68&lt;QC_BD_MIN,$M68&gt;QC_BD_MAX)),"Bulk density outside the plausible range for a mineral grassland soil. ","")&amp;IF(AND(ISNUMBER($N68),$N68&gt;QC_CARBON_PCT_MAX),"Organic carbon above the QC ceiling — check units, and whether this is an organic horizon. ","")&amp;IF(AND(ISNUMBER($J68),$J68&lt;QC_RECOVERY_MIN),"Recovered less than the QC minimum of the depth driven — the increments may not sit where you think. Do NOT stretch them back out. ","")&amp;IF(AND(ISNUMBER($K68),$K68&gt;0,$L68="Fine earth / total volume"),"Coarse fragments recorded and the lab basis already accounts for them — no further correction applied, which is correct. ",""))</f>
        <v/>
      </c>
      <c r="T68" s="6"/>
      <c r="U68" s="9" t="n">
        <f aca="false">IF($B68="",0,IF(COUNTIFS($B$5:$B68,$B68)=1,1,0))</f>
        <v>0</v>
      </c>
    </row>
    <row r="69" customFormat="false" ht="15" hidden="false" customHeight="false" outlineLevel="0" collapsed="false">
      <c r="A69" s="6"/>
      <c r="B69" s="6"/>
      <c r="C69" s="6"/>
      <c r="D69" s="6"/>
      <c r="E69" s="6"/>
      <c r="F69" s="9" t="str">
        <f aca="false">IF(OR($D69="",$E69=""),"",$E69-$D69)</f>
        <v/>
      </c>
      <c r="G69" s="6"/>
      <c r="H69" s="6"/>
      <c r="I69" s="6"/>
      <c r="J69" s="9" t="str">
        <f aca="false">IF(OR(NOT(ISNUMBER($H69)),NOT(ISNUMBER($I69)),$H69=0),"",$I69/$H69)</f>
        <v/>
      </c>
      <c r="K69" s="6"/>
      <c r="L69" s="8"/>
      <c r="M69" s="7"/>
      <c r="N69" s="7"/>
      <c r="O69" s="9" t="str">
        <f aca="false">IF(NOT(ISNUMBER($M69)),"",IF($L69="Fine earth / fine-earth volume",$M69*(1-IF(ISNUMBER($K69),$K69,0)/100),$M69))</f>
        <v/>
      </c>
      <c r="P69" s="9" t="str">
        <f aca="false">IF(OR(NOT(ISNUMBER($O69)),NOT(ISNUMBER($N69)),NOT(ISNUMBER($F69))),"",$O69*($N69/100)*$F69*10)</f>
        <v/>
      </c>
      <c r="Q69" s="9" t="str">
        <f aca="false">IF(OR(NOT(ISNUMBER($D69)),NOT(ISNUMBER($E69))),"",MAX(0,MIN($E69,SOIL_REPORTING_DEPTH_CM)-MIN($D69,SOIL_REPORTING_DEPTH_CM)))</f>
        <v/>
      </c>
      <c r="R69" s="9" t="str">
        <f aca="false">IF(OR(NOT(ISNUMBER($O69)),NOT(ISNUMBER($N69)),NOT(ISNUMBER($Q69))),"",$O69*($N69/100)*$Q69*10)</f>
        <v/>
      </c>
      <c r="S69" s="11" t="str">
        <f aca="false">IF(AND($A69="",$B69="",$D69=""),"",IF(AND($A69&lt;&gt;"",COUNTIF('1. Plot &amp; Site Log'!$A$5:$A$64,$A69)=0),"Plot ID not in the Plot &amp; Site Log. ","")&amp;IF(AND(ISNUMBER($D69),ISNUMBER($E69),$E69&lt;=$D69),"Bottom depth is not below top depth. ","")&amp;IF($L69="Not confirmed","Bulk-density basis not confirmed with the lab — the coarse-fragment correction may be wrong or doubled. ","")&amp;IF(LAB_BULK_DENSITY_BASIS="Not confirmed","No lab bulk-density basis is on file in Settings (LAB_BULK_DENSITY_BASIS), so nothing checks this row. ","")&amp;IF(AND($L69&lt;&gt;"",LAB_BULK_DENSITY_BASIS&lt;&gt;"Not confirmed",$L69&lt;&gt;LAB_BULK_DENSITY_BASIS),"This row's bulk-density basis disagrees with the lab method on file. One of "&amp;"the two is wrong, and the coarse-fragment correction follows the row. ","")&amp;IF(AND(ISNUMBER($M69),OR($M69&lt;QC_BD_MIN,$M69&gt;QC_BD_MAX)),"Bulk density outside the plausible range for a mineral grassland soil. ","")&amp;IF(AND(ISNUMBER($N69),$N69&gt;QC_CARBON_PCT_MAX),"Organic carbon above the QC ceiling — check units, and whether this is an organic horizon. ","")&amp;IF(AND(ISNUMBER($J69),$J69&lt;QC_RECOVERY_MIN),"Recovered less than the QC minimum of the depth driven — the increments may not sit where you think. Do NOT stretch them back out. ","")&amp;IF(AND(ISNUMBER($K69),$K69&gt;0,$L69="Fine earth / total volume"),"Coarse fragments recorded and the lab basis already accounts for them — no further correction applied, which is correct. ",""))</f>
        <v/>
      </c>
      <c r="T69" s="6"/>
      <c r="U69" s="9" t="n">
        <f aca="false">IF($B69="",0,IF(COUNTIFS($B$5:$B69,$B69)=1,1,0))</f>
        <v>0</v>
      </c>
    </row>
    <row r="70" customFormat="false" ht="15" hidden="false" customHeight="false" outlineLevel="0" collapsed="false">
      <c r="A70" s="6"/>
      <c r="B70" s="6"/>
      <c r="C70" s="6"/>
      <c r="D70" s="6"/>
      <c r="E70" s="6"/>
      <c r="F70" s="9" t="str">
        <f aca="false">IF(OR($D70="",$E70=""),"",$E70-$D70)</f>
        <v/>
      </c>
      <c r="G70" s="6"/>
      <c r="H70" s="6"/>
      <c r="I70" s="6"/>
      <c r="J70" s="9" t="str">
        <f aca="false">IF(OR(NOT(ISNUMBER($H70)),NOT(ISNUMBER($I70)),$H70=0),"",$I70/$H70)</f>
        <v/>
      </c>
      <c r="K70" s="6"/>
      <c r="L70" s="8"/>
      <c r="M70" s="7"/>
      <c r="N70" s="7"/>
      <c r="O70" s="9" t="str">
        <f aca="false">IF(NOT(ISNUMBER($M70)),"",IF($L70="Fine earth / fine-earth volume",$M70*(1-IF(ISNUMBER($K70),$K70,0)/100),$M70))</f>
        <v/>
      </c>
      <c r="P70" s="9" t="str">
        <f aca="false">IF(OR(NOT(ISNUMBER($O70)),NOT(ISNUMBER($N70)),NOT(ISNUMBER($F70))),"",$O70*($N70/100)*$F70*10)</f>
        <v/>
      </c>
      <c r="Q70" s="9" t="str">
        <f aca="false">IF(OR(NOT(ISNUMBER($D70)),NOT(ISNUMBER($E70))),"",MAX(0,MIN($E70,SOIL_REPORTING_DEPTH_CM)-MIN($D70,SOIL_REPORTING_DEPTH_CM)))</f>
        <v/>
      </c>
      <c r="R70" s="9" t="str">
        <f aca="false">IF(OR(NOT(ISNUMBER($O70)),NOT(ISNUMBER($N70)),NOT(ISNUMBER($Q70))),"",$O70*($N70/100)*$Q70*10)</f>
        <v/>
      </c>
      <c r="S70" s="11" t="str">
        <f aca="false">IF(AND($A70="",$B70="",$D70=""),"",IF(AND($A70&lt;&gt;"",COUNTIF('1. Plot &amp; Site Log'!$A$5:$A$64,$A70)=0),"Plot ID not in the Plot &amp; Site Log. ","")&amp;IF(AND(ISNUMBER($D70),ISNUMBER($E70),$E70&lt;=$D70),"Bottom depth is not below top depth. ","")&amp;IF($L70="Not confirmed","Bulk-density basis not confirmed with the lab — the coarse-fragment correction may be wrong or doubled. ","")&amp;IF(LAB_BULK_DENSITY_BASIS="Not confirmed","No lab bulk-density basis is on file in Settings (LAB_BULK_DENSITY_BASIS), so nothing checks this row. ","")&amp;IF(AND($L70&lt;&gt;"",LAB_BULK_DENSITY_BASIS&lt;&gt;"Not confirmed",$L70&lt;&gt;LAB_BULK_DENSITY_BASIS),"This row's bulk-density basis disagrees with the lab method on file. One of "&amp;"the two is wrong, and the coarse-fragment correction follows the row. ","")&amp;IF(AND(ISNUMBER($M70),OR($M70&lt;QC_BD_MIN,$M70&gt;QC_BD_MAX)),"Bulk density outside the plausible range for a mineral grassland soil. ","")&amp;IF(AND(ISNUMBER($N70),$N70&gt;QC_CARBON_PCT_MAX),"Organic carbon above the QC ceiling — check units, and whether this is an organic horizon. ","")&amp;IF(AND(ISNUMBER($J70),$J70&lt;QC_RECOVERY_MIN),"Recovered less than the QC minimum of the depth driven — the increments may not sit where you think. Do NOT stretch them back out. ","")&amp;IF(AND(ISNUMBER($K70),$K70&gt;0,$L70="Fine earth / total volume"),"Coarse fragments recorded and the lab basis already accounts for them — no further correction applied, which is correct. ",""))</f>
        <v/>
      </c>
      <c r="T70" s="6"/>
      <c r="U70" s="9" t="n">
        <f aca="false">IF($B70="",0,IF(COUNTIFS($B$5:$B70,$B70)=1,1,0))</f>
        <v>0</v>
      </c>
    </row>
    <row r="71" customFormat="false" ht="15" hidden="false" customHeight="false" outlineLevel="0" collapsed="false">
      <c r="A71" s="6"/>
      <c r="B71" s="6"/>
      <c r="C71" s="6"/>
      <c r="D71" s="6"/>
      <c r="E71" s="6"/>
      <c r="F71" s="9" t="str">
        <f aca="false">IF(OR($D71="",$E71=""),"",$E71-$D71)</f>
        <v/>
      </c>
      <c r="G71" s="6"/>
      <c r="H71" s="6"/>
      <c r="I71" s="6"/>
      <c r="J71" s="9" t="str">
        <f aca="false">IF(OR(NOT(ISNUMBER($H71)),NOT(ISNUMBER($I71)),$H71=0),"",$I71/$H71)</f>
        <v/>
      </c>
      <c r="K71" s="6"/>
      <c r="L71" s="8"/>
      <c r="M71" s="7"/>
      <c r="N71" s="7"/>
      <c r="O71" s="9" t="str">
        <f aca="false">IF(NOT(ISNUMBER($M71)),"",IF($L71="Fine earth / fine-earth volume",$M71*(1-IF(ISNUMBER($K71),$K71,0)/100),$M71))</f>
        <v/>
      </c>
      <c r="P71" s="9" t="str">
        <f aca="false">IF(OR(NOT(ISNUMBER($O71)),NOT(ISNUMBER($N71)),NOT(ISNUMBER($F71))),"",$O71*($N71/100)*$F71*10)</f>
        <v/>
      </c>
      <c r="Q71" s="9" t="str">
        <f aca="false">IF(OR(NOT(ISNUMBER($D71)),NOT(ISNUMBER($E71))),"",MAX(0,MIN($E71,SOIL_REPORTING_DEPTH_CM)-MIN($D71,SOIL_REPORTING_DEPTH_CM)))</f>
        <v/>
      </c>
      <c r="R71" s="9" t="str">
        <f aca="false">IF(OR(NOT(ISNUMBER($O71)),NOT(ISNUMBER($N71)),NOT(ISNUMBER($Q71))),"",$O71*($N71/100)*$Q71*10)</f>
        <v/>
      </c>
      <c r="S71" s="11" t="str">
        <f aca="false">IF(AND($A71="",$B71="",$D71=""),"",IF(AND($A71&lt;&gt;"",COUNTIF('1. Plot &amp; Site Log'!$A$5:$A$64,$A71)=0),"Plot ID not in the Plot &amp; Site Log. ","")&amp;IF(AND(ISNUMBER($D71),ISNUMBER($E71),$E71&lt;=$D71),"Bottom depth is not below top depth. ","")&amp;IF($L71="Not confirmed","Bulk-density basis not confirmed with the lab — the coarse-fragment correction may be wrong or doubled. ","")&amp;IF(LAB_BULK_DENSITY_BASIS="Not confirmed","No lab bulk-density basis is on file in Settings (LAB_BULK_DENSITY_BASIS), so nothing checks this row. ","")&amp;IF(AND($L71&lt;&gt;"",LAB_BULK_DENSITY_BASIS&lt;&gt;"Not confirmed",$L71&lt;&gt;LAB_BULK_DENSITY_BASIS),"This row's bulk-density basis disagrees with the lab method on file. One of "&amp;"the two is wrong, and the coarse-fragment correction follows the row. ","")&amp;IF(AND(ISNUMBER($M71),OR($M71&lt;QC_BD_MIN,$M71&gt;QC_BD_MAX)),"Bulk density outside the plausible range for a mineral grassland soil. ","")&amp;IF(AND(ISNUMBER($N71),$N71&gt;QC_CARBON_PCT_MAX),"Organic carbon above the QC ceiling — check units, and whether this is an organic horizon. ","")&amp;IF(AND(ISNUMBER($J71),$J71&lt;QC_RECOVERY_MIN),"Recovered less than the QC minimum of the depth driven — the increments may not sit where you think. Do NOT stretch them back out. ","")&amp;IF(AND(ISNUMBER($K71),$K71&gt;0,$L71="Fine earth / total volume"),"Coarse fragments recorded and the lab basis already accounts for them — no further correction applied, which is correct. ",""))</f>
        <v/>
      </c>
      <c r="T71" s="6"/>
      <c r="U71" s="9" t="n">
        <f aca="false">IF($B71="",0,IF(COUNTIFS($B$5:$B71,$B71)=1,1,0))</f>
        <v>0</v>
      </c>
    </row>
    <row r="72" customFormat="false" ht="15" hidden="false" customHeight="false" outlineLevel="0" collapsed="false">
      <c r="A72" s="6"/>
      <c r="B72" s="6"/>
      <c r="C72" s="6"/>
      <c r="D72" s="6"/>
      <c r="E72" s="6"/>
      <c r="F72" s="9" t="str">
        <f aca="false">IF(OR($D72="",$E72=""),"",$E72-$D72)</f>
        <v/>
      </c>
      <c r="G72" s="6"/>
      <c r="H72" s="6"/>
      <c r="I72" s="6"/>
      <c r="J72" s="9" t="str">
        <f aca="false">IF(OR(NOT(ISNUMBER($H72)),NOT(ISNUMBER($I72)),$H72=0),"",$I72/$H72)</f>
        <v/>
      </c>
      <c r="K72" s="6"/>
      <c r="L72" s="8"/>
      <c r="M72" s="7"/>
      <c r="N72" s="7"/>
      <c r="O72" s="9" t="str">
        <f aca="false">IF(NOT(ISNUMBER($M72)),"",IF($L72="Fine earth / fine-earth volume",$M72*(1-IF(ISNUMBER($K72),$K72,0)/100),$M72))</f>
        <v/>
      </c>
      <c r="P72" s="9" t="str">
        <f aca="false">IF(OR(NOT(ISNUMBER($O72)),NOT(ISNUMBER($N72)),NOT(ISNUMBER($F72))),"",$O72*($N72/100)*$F72*10)</f>
        <v/>
      </c>
      <c r="Q72" s="9" t="str">
        <f aca="false">IF(OR(NOT(ISNUMBER($D72)),NOT(ISNUMBER($E72))),"",MAX(0,MIN($E72,SOIL_REPORTING_DEPTH_CM)-MIN($D72,SOIL_REPORTING_DEPTH_CM)))</f>
        <v/>
      </c>
      <c r="R72" s="9" t="str">
        <f aca="false">IF(OR(NOT(ISNUMBER($O72)),NOT(ISNUMBER($N72)),NOT(ISNUMBER($Q72))),"",$O72*($N72/100)*$Q72*10)</f>
        <v/>
      </c>
      <c r="S72" s="11" t="str">
        <f aca="false">IF(AND($A72="",$B72="",$D72=""),"",IF(AND($A72&lt;&gt;"",COUNTIF('1. Plot &amp; Site Log'!$A$5:$A$64,$A72)=0),"Plot ID not in the Plot &amp; Site Log. ","")&amp;IF(AND(ISNUMBER($D72),ISNUMBER($E72),$E72&lt;=$D72),"Bottom depth is not below top depth. ","")&amp;IF($L72="Not confirmed","Bulk-density basis not confirmed with the lab — the coarse-fragment correction may be wrong or doubled. ","")&amp;IF(LAB_BULK_DENSITY_BASIS="Not confirmed","No lab bulk-density basis is on file in Settings (LAB_BULK_DENSITY_BASIS), so nothing checks this row. ","")&amp;IF(AND($L72&lt;&gt;"",LAB_BULK_DENSITY_BASIS&lt;&gt;"Not confirmed",$L72&lt;&gt;LAB_BULK_DENSITY_BASIS),"This row's bulk-density basis disagrees with the lab method on file. One of "&amp;"the two is wrong, and the coarse-fragment correction follows the row. ","")&amp;IF(AND(ISNUMBER($M72),OR($M72&lt;QC_BD_MIN,$M72&gt;QC_BD_MAX)),"Bulk density outside the plausible range for a mineral grassland soil. ","")&amp;IF(AND(ISNUMBER($N72),$N72&gt;QC_CARBON_PCT_MAX),"Organic carbon above the QC ceiling — check units, and whether this is an organic horizon. ","")&amp;IF(AND(ISNUMBER($J72),$J72&lt;QC_RECOVERY_MIN),"Recovered less than the QC minimum of the depth driven — the increments may not sit where you think. Do NOT stretch them back out. ","")&amp;IF(AND(ISNUMBER($K72),$K72&gt;0,$L72="Fine earth / total volume"),"Coarse fragments recorded and the lab basis already accounts for them — no further correction applied, which is correct. ",""))</f>
        <v/>
      </c>
      <c r="T72" s="6"/>
      <c r="U72" s="9" t="n">
        <f aca="false">IF($B72="",0,IF(COUNTIFS($B$5:$B72,$B72)=1,1,0))</f>
        <v>0</v>
      </c>
    </row>
    <row r="73" customFormat="false" ht="15" hidden="false" customHeight="false" outlineLevel="0" collapsed="false">
      <c r="A73" s="6"/>
      <c r="B73" s="6"/>
      <c r="C73" s="6"/>
      <c r="D73" s="6"/>
      <c r="E73" s="6"/>
      <c r="F73" s="9" t="str">
        <f aca="false">IF(OR($D73="",$E73=""),"",$E73-$D73)</f>
        <v/>
      </c>
      <c r="G73" s="6"/>
      <c r="H73" s="6"/>
      <c r="I73" s="6"/>
      <c r="J73" s="9" t="str">
        <f aca="false">IF(OR(NOT(ISNUMBER($H73)),NOT(ISNUMBER($I73)),$H73=0),"",$I73/$H73)</f>
        <v/>
      </c>
      <c r="K73" s="6"/>
      <c r="L73" s="8"/>
      <c r="M73" s="7"/>
      <c r="N73" s="7"/>
      <c r="O73" s="9" t="str">
        <f aca="false">IF(NOT(ISNUMBER($M73)),"",IF($L73="Fine earth / fine-earth volume",$M73*(1-IF(ISNUMBER($K73),$K73,0)/100),$M73))</f>
        <v/>
      </c>
      <c r="P73" s="9" t="str">
        <f aca="false">IF(OR(NOT(ISNUMBER($O73)),NOT(ISNUMBER($N73)),NOT(ISNUMBER($F73))),"",$O73*($N73/100)*$F73*10)</f>
        <v/>
      </c>
      <c r="Q73" s="9" t="str">
        <f aca="false">IF(OR(NOT(ISNUMBER($D73)),NOT(ISNUMBER($E73))),"",MAX(0,MIN($E73,SOIL_REPORTING_DEPTH_CM)-MIN($D73,SOIL_REPORTING_DEPTH_CM)))</f>
        <v/>
      </c>
      <c r="R73" s="9" t="str">
        <f aca="false">IF(OR(NOT(ISNUMBER($O73)),NOT(ISNUMBER($N73)),NOT(ISNUMBER($Q73))),"",$O73*($N73/100)*$Q73*10)</f>
        <v/>
      </c>
      <c r="S73" s="11" t="str">
        <f aca="false">IF(AND($A73="",$B73="",$D73=""),"",IF(AND($A73&lt;&gt;"",COUNTIF('1. Plot &amp; Site Log'!$A$5:$A$64,$A73)=0),"Plot ID not in the Plot &amp; Site Log. ","")&amp;IF(AND(ISNUMBER($D73),ISNUMBER($E73),$E73&lt;=$D73),"Bottom depth is not below top depth. ","")&amp;IF($L73="Not confirmed","Bulk-density basis not confirmed with the lab — the coarse-fragment correction may be wrong or doubled. ","")&amp;IF(LAB_BULK_DENSITY_BASIS="Not confirmed","No lab bulk-density basis is on file in Settings (LAB_BULK_DENSITY_BASIS), so nothing checks this row. ","")&amp;IF(AND($L73&lt;&gt;"",LAB_BULK_DENSITY_BASIS&lt;&gt;"Not confirmed",$L73&lt;&gt;LAB_BULK_DENSITY_BASIS),"This row's bulk-density basis disagrees with the lab method on file. One of "&amp;"the two is wrong, and the coarse-fragment correction follows the row. ","")&amp;IF(AND(ISNUMBER($M73),OR($M73&lt;QC_BD_MIN,$M73&gt;QC_BD_MAX)),"Bulk density outside the plausible range for a mineral grassland soil. ","")&amp;IF(AND(ISNUMBER($N73),$N73&gt;QC_CARBON_PCT_MAX),"Organic carbon above the QC ceiling — check units, and whether this is an organic horizon. ","")&amp;IF(AND(ISNUMBER($J73),$J73&lt;QC_RECOVERY_MIN),"Recovered less than the QC minimum of the depth driven — the increments may not sit where you think. Do NOT stretch them back out. ","")&amp;IF(AND(ISNUMBER($K73),$K73&gt;0,$L73="Fine earth / total volume"),"Coarse fragments recorded and the lab basis already accounts for them — no further correction applied, which is correct. ",""))</f>
        <v/>
      </c>
      <c r="T73" s="6"/>
      <c r="U73" s="9" t="n">
        <f aca="false">IF($B73="",0,IF(COUNTIFS($B$5:$B73,$B73)=1,1,0))</f>
        <v>0</v>
      </c>
    </row>
    <row r="74" customFormat="false" ht="15" hidden="false" customHeight="false" outlineLevel="0" collapsed="false">
      <c r="A74" s="6"/>
      <c r="B74" s="6"/>
      <c r="C74" s="6"/>
      <c r="D74" s="6"/>
      <c r="E74" s="6"/>
      <c r="F74" s="9" t="str">
        <f aca="false">IF(OR($D74="",$E74=""),"",$E74-$D74)</f>
        <v/>
      </c>
      <c r="G74" s="6"/>
      <c r="H74" s="6"/>
      <c r="I74" s="6"/>
      <c r="J74" s="9" t="str">
        <f aca="false">IF(OR(NOT(ISNUMBER($H74)),NOT(ISNUMBER($I74)),$H74=0),"",$I74/$H74)</f>
        <v/>
      </c>
      <c r="K74" s="6"/>
      <c r="L74" s="8"/>
      <c r="M74" s="7"/>
      <c r="N74" s="7"/>
      <c r="O74" s="9" t="str">
        <f aca="false">IF(NOT(ISNUMBER($M74)),"",IF($L74="Fine earth / fine-earth volume",$M74*(1-IF(ISNUMBER($K74),$K74,0)/100),$M74))</f>
        <v/>
      </c>
      <c r="P74" s="9" t="str">
        <f aca="false">IF(OR(NOT(ISNUMBER($O74)),NOT(ISNUMBER($N74)),NOT(ISNUMBER($F74))),"",$O74*($N74/100)*$F74*10)</f>
        <v/>
      </c>
      <c r="Q74" s="9" t="str">
        <f aca="false">IF(OR(NOT(ISNUMBER($D74)),NOT(ISNUMBER($E74))),"",MAX(0,MIN($E74,SOIL_REPORTING_DEPTH_CM)-MIN($D74,SOIL_REPORTING_DEPTH_CM)))</f>
        <v/>
      </c>
      <c r="R74" s="9" t="str">
        <f aca="false">IF(OR(NOT(ISNUMBER($O74)),NOT(ISNUMBER($N74)),NOT(ISNUMBER($Q74))),"",$O74*($N74/100)*$Q74*10)</f>
        <v/>
      </c>
      <c r="S74" s="11" t="str">
        <f aca="false">IF(AND($A74="",$B74="",$D74=""),"",IF(AND($A74&lt;&gt;"",COUNTIF('1. Plot &amp; Site Log'!$A$5:$A$64,$A74)=0),"Plot ID not in the Plot &amp; Site Log. ","")&amp;IF(AND(ISNUMBER($D74),ISNUMBER($E74),$E74&lt;=$D74),"Bottom depth is not below top depth. ","")&amp;IF($L74="Not confirmed","Bulk-density basis not confirmed with the lab — the coarse-fragment correction may be wrong or doubled. ","")&amp;IF(LAB_BULK_DENSITY_BASIS="Not confirmed","No lab bulk-density basis is on file in Settings (LAB_BULK_DENSITY_BASIS), so nothing checks this row. ","")&amp;IF(AND($L74&lt;&gt;"",LAB_BULK_DENSITY_BASIS&lt;&gt;"Not confirmed",$L74&lt;&gt;LAB_BULK_DENSITY_BASIS),"This row's bulk-density basis disagrees with the lab method on file. One of "&amp;"the two is wrong, and the coarse-fragment correction follows the row. ","")&amp;IF(AND(ISNUMBER($M74),OR($M74&lt;QC_BD_MIN,$M74&gt;QC_BD_MAX)),"Bulk density outside the plausible range for a mineral grassland soil. ","")&amp;IF(AND(ISNUMBER($N74),$N74&gt;QC_CARBON_PCT_MAX),"Organic carbon above the QC ceiling — check units, and whether this is an organic horizon. ","")&amp;IF(AND(ISNUMBER($J74),$J74&lt;QC_RECOVERY_MIN),"Recovered less than the QC minimum of the depth driven — the increments may not sit where you think. Do NOT stretch them back out. ","")&amp;IF(AND(ISNUMBER($K74),$K74&gt;0,$L74="Fine earth / total volume"),"Coarse fragments recorded and the lab basis already accounts for them — no further correction applied, which is correct. ",""))</f>
        <v/>
      </c>
      <c r="T74" s="6"/>
      <c r="U74" s="9" t="n">
        <f aca="false">IF($B74="",0,IF(COUNTIFS($B$5:$B74,$B74)=1,1,0))</f>
        <v>0</v>
      </c>
    </row>
    <row r="75" customFormat="false" ht="15" hidden="false" customHeight="false" outlineLevel="0" collapsed="false">
      <c r="A75" s="6"/>
      <c r="B75" s="6"/>
      <c r="C75" s="6"/>
      <c r="D75" s="6"/>
      <c r="E75" s="6"/>
      <c r="F75" s="9" t="str">
        <f aca="false">IF(OR($D75="",$E75=""),"",$E75-$D75)</f>
        <v/>
      </c>
      <c r="G75" s="6"/>
      <c r="H75" s="6"/>
      <c r="I75" s="6"/>
      <c r="J75" s="9" t="str">
        <f aca="false">IF(OR(NOT(ISNUMBER($H75)),NOT(ISNUMBER($I75)),$H75=0),"",$I75/$H75)</f>
        <v/>
      </c>
      <c r="K75" s="6"/>
      <c r="L75" s="8"/>
      <c r="M75" s="7"/>
      <c r="N75" s="7"/>
      <c r="O75" s="9" t="str">
        <f aca="false">IF(NOT(ISNUMBER($M75)),"",IF($L75="Fine earth / fine-earth volume",$M75*(1-IF(ISNUMBER($K75),$K75,0)/100),$M75))</f>
        <v/>
      </c>
      <c r="P75" s="9" t="str">
        <f aca="false">IF(OR(NOT(ISNUMBER($O75)),NOT(ISNUMBER($N75)),NOT(ISNUMBER($F75))),"",$O75*($N75/100)*$F75*10)</f>
        <v/>
      </c>
      <c r="Q75" s="9" t="str">
        <f aca="false">IF(OR(NOT(ISNUMBER($D75)),NOT(ISNUMBER($E75))),"",MAX(0,MIN($E75,SOIL_REPORTING_DEPTH_CM)-MIN($D75,SOIL_REPORTING_DEPTH_CM)))</f>
        <v/>
      </c>
      <c r="R75" s="9" t="str">
        <f aca="false">IF(OR(NOT(ISNUMBER($O75)),NOT(ISNUMBER($N75)),NOT(ISNUMBER($Q75))),"",$O75*($N75/100)*$Q75*10)</f>
        <v/>
      </c>
      <c r="S75" s="11" t="str">
        <f aca="false">IF(AND($A75="",$B75="",$D75=""),"",IF(AND($A75&lt;&gt;"",COUNTIF('1. Plot &amp; Site Log'!$A$5:$A$64,$A75)=0),"Plot ID not in the Plot &amp; Site Log. ","")&amp;IF(AND(ISNUMBER($D75),ISNUMBER($E75),$E75&lt;=$D75),"Bottom depth is not below top depth. ","")&amp;IF($L75="Not confirmed","Bulk-density basis not confirmed with the lab — the coarse-fragment correction may be wrong or doubled. ","")&amp;IF(LAB_BULK_DENSITY_BASIS="Not confirmed","No lab bulk-density basis is on file in Settings (LAB_BULK_DENSITY_BASIS), so nothing checks this row. ","")&amp;IF(AND($L75&lt;&gt;"",LAB_BULK_DENSITY_BASIS&lt;&gt;"Not confirmed",$L75&lt;&gt;LAB_BULK_DENSITY_BASIS),"This row's bulk-density basis disagrees with the lab method on file. One of "&amp;"the two is wrong, and the coarse-fragment correction follows the row. ","")&amp;IF(AND(ISNUMBER($M75),OR($M75&lt;QC_BD_MIN,$M75&gt;QC_BD_MAX)),"Bulk density outside the plausible range for a mineral grassland soil. ","")&amp;IF(AND(ISNUMBER($N75),$N75&gt;QC_CARBON_PCT_MAX),"Organic carbon above the QC ceiling — check units, and whether this is an organic horizon. ","")&amp;IF(AND(ISNUMBER($J75),$J75&lt;QC_RECOVERY_MIN),"Recovered less than the QC minimum of the depth driven — the increments may not sit where you think. Do NOT stretch them back out. ","")&amp;IF(AND(ISNUMBER($K75),$K75&gt;0,$L75="Fine earth / total volume"),"Coarse fragments recorded and the lab basis already accounts for them — no further correction applied, which is correct. ",""))</f>
        <v/>
      </c>
      <c r="T75" s="6"/>
      <c r="U75" s="9" t="n">
        <f aca="false">IF($B75="",0,IF(COUNTIFS($B$5:$B75,$B75)=1,1,0))</f>
        <v>0</v>
      </c>
    </row>
    <row r="76" customFormat="false" ht="15" hidden="false" customHeight="false" outlineLevel="0" collapsed="false">
      <c r="A76" s="6"/>
      <c r="B76" s="6"/>
      <c r="C76" s="6"/>
      <c r="D76" s="6"/>
      <c r="E76" s="6"/>
      <c r="F76" s="9" t="str">
        <f aca="false">IF(OR($D76="",$E76=""),"",$E76-$D76)</f>
        <v/>
      </c>
      <c r="G76" s="6"/>
      <c r="H76" s="6"/>
      <c r="I76" s="6"/>
      <c r="J76" s="9" t="str">
        <f aca="false">IF(OR(NOT(ISNUMBER($H76)),NOT(ISNUMBER($I76)),$H76=0),"",$I76/$H76)</f>
        <v/>
      </c>
      <c r="K76" s="6"/>
      <c r="L76" s="8"/>
      <c r="M76" s="7"/>
      <c r="N76" s="7"/>
      <c r="O76" s="9" t="str">
        <f aca="false">IF(NOT(ISNUMBER($M76)),"",IF($L76="Fine earth / fine-earth volume",$M76*(1-IF(ISNUMBER($K76),$K76,0)/100),$M76))</f>
        <v/>
      </c>
      <c r="P76" s="9" t="str">
        <f aca="false">IF(OR(NOT(ISNUMBER($O76)),NOT(ISNUMBER($N76)),NOT(ISNUMBER($F76))),"",$O76*($N76/100)*$F76*10)</f>
        <v/>
      </c>
      <c r="Q76" s="9" t="str">
        <f aca="false">IF(OR(NOT(ISNUMBER($D76)),NOT(ISNUMBER($E76))),"",MAX(0,MIN($E76,SOIL_REPORTING_DEPTH_CM)-MIN($D76,SOIL_REPORTING_DEPTH_CM)))</f>
        <v/>
      </c>
      <c r="R76" s="9" t="str">
        <f aca="false">IF(OR(NOT(ISNUMBER($O76)),NOT(ISNUMBER($N76)),NOT(ISNUMBER($Q76))),"",$O76*($N76/100)*$Q76*10)</f>
        <v/>
      </c>
      <c r="S76" s="11" t="str">
        <f aca="false">IF(AND($A76="",$B76="",$D76=""),"",IF(AND($A76&lt;&gt;"",COUNTIF('1. Plot &amp; Site Log'!$A$5:$A$64,$A76)=0),"Plot ID not in the Plot &amp; Site Log. ","")&amp;IF(AND(ISNUMBER($D76),ISNUMBER($E76),$E76&lt;=$D76),"Bottom depth is not below top depth. ","")&amp;IF($L76="Not confirmed","Bulk-density basis not confirmed with the lab — the coarse-fragment correction may be wrong or doubled. ","")&amp;IF(LAB_BULK_DENSITY_BASIS="Not confirmed","No lab bulk-density basis is on file in Settings (LAB_BULK_DENSITY_BASIS), so nothing checks this row. ","")&amp;IF(AND($L76&lt;&gt;"",LAB_BULK_DENSITY_BASIS&lt;&gt;"Not confirmed",$L76&lt;&gt;LAB_BULK_DENSITY_BASIS),"This row's bulk-density basis disagrees with the lab method on file. One of "&amp;"the two is wrong, and the coarse-fragment correction follows the row. ","")&amp;IF(AND(ISNUMBER($M76),OR($M76&lt;QC_BD_MIN,$M76&gt;QC_BD_MAX)),"Bulk density outside the plausible range for a mineral grassland soil. ","")&amp;IF(AND(ISNUMBER($N76),$N76&gt;QC_CARBON_PCT_MAX),"Organic carbon above the QC ceiling — check units, and whether this is an organic horizon. ","")&amp;IF(AND(ISNUMBER($J76),$J76&lt;QC_RECOVERY_MIN),"Recovered less than the QC minimum of the depth driven — the increments may not sit where you think. Do NOT stretch them back out. ","")&amp;IF(AND(ISNUMBER($K76),$K76&gt;0,$L76="Fine earth / total volume"),"Coarse fragments recorded and the lab basis already accounts for them — no further correction applied, which is correct. ",""))</f>
        <v/>
      </c>
      <c r="T76" s="6"/>
      <c r="U76" s="9" t="n">
        <f aca="false">IF($B76="",0,IF(COUNTIFS($B$5:$B76,$B76)=1,1,0))</f>
        <v>0</v>
      </c>
    </row>
    <row r="77" customFormat="false" ht="15" hidden="false" customHeight="false" outlineLevel="0" collapsed="false">
      <c r="A77" s="6"/>
      <c r="B77" s="6"/>
      <c r="C77" s="6"/>
      <c r="D77" s="6"/>
      <c r="E77" s="6"/>
      <c r="F77" s="9" t="str">
        <f aca="false">IF(OR($D77="",$E77=""),"",$E77-$D77)</f>
        <v/>
      </c>
      <c r="G77" s="6"/>
      <c r="H77" s="6"/>
      <c r="I77" s="6"/>
      <c r="J77" s="9" t="str">
        <f aca="false">IF(OR(NOT(ISNUMBER($H77)),NOT(ISNUMBER($I77)),$H77=0),"",$I77/$H77)</f>
        <v/>
      </c>
      <c r="K77" s="6"/>
      <c r="L77" s="8"/>
      <c r="M77" s="7"/>
      <c r="N77" s="7"/>
      <c r="O77" s="9" t="str">
        <f aca="false">IF(NOT(ISNUMBER($M77)),"",IF($L77="Fine earth / fine-earth volume",$M77*(1-IF(ISNUMBER($K77),$K77,0)/100),$M77))</f>
        <v/>
      </c>
      <c r="P77" s="9" t="str">
        <f aca="false">IF(OR(NOT(ISNUMBER($O77)),NOT(ISNUMBER($N77)),NOT(ISNUMBER($F77))),"",$O77*($N77/100)*$F77*10)</f>
        <v/>
      </c>
      <c r="Q77" s="9" t="str">
        <f aca="false">IF(OR(NOT(ISNUMBER($D77)),NOT(ISNUMBER($E77))),"",MAX(0,MIN($E77,SOIL_REPORTING_DEPTH_CM)-MIN($D77,SOIL_REPORTING_DEPTH_CM)))</f>
        <v/>
      </c>
      <c r="R77" s="9" t="str">
        <f aca="false">IF(OR(NOT(ISNUMBER($O77)),NOT(ISNUMBER($N77)),NOT(ISNUMBER($Q77))),"",$O77*($N77/100)*$Q77*10)</f>
        <v/>
      </c>
      <c r="S77" s="11" t="str">
        <f aca="false">IF(AND($A77="",$B77="",$D77=""),"",IF(AND($A77&lt;&gt;"",COUNTIF('1. Plot &amp; Site Log'!$A$5:$A$64,$A77)=0),"Plot ID not in the Plot &amp; Site Log. ","")&amp;IF(AND(ISNUMBER($D77),ISNUMBER($E77),$E77&lt;=$D77),"Bottom depth is not below top depth. ","")&amp;IF($L77="Not confirmed","Bulk-density basis not confirmed with the lab — the coarse-fragment correction may be wrong or doubled. ","")&amp;IF(LAB_BULK_DENSITY_BASIS="Not confirmed","No lab bulk-density basis is on file in Settings (LAB_BULK_DENSITY_BASIS), so nothing checks this row. ","")&amp;IF(AND($L77&lt;&gt;"",LAB_BULK_DENSITY_BASIS&lt;&gt;"Not confirmed",$L77&lt;&gt;LAB_BULK_DENSITY_BASIS),"This row's bulk-density basis disagrees with the lab method on file. One of "&amp;"the two is wrong, and the coarse-fragment correction follows the row. ","")&amp;IF(AND(ISNUMBER($M77),OR($M77&lt;QC_BD_MIN,$M77&gt;QC_BD_MAX)),"Bulk density outside the plausible range for a mineral grassland soil. ","")&amp;IF(AND(ISNUMBER($N77),$N77&gt;QC_CARBON_PCT_MAX),"Organic carbon above the QC ceiling — check units, and whether this is an organic horizon. ","")&amp;IF(AND(ISNUMBER($J77),$J77&lt;QC_RECOVERY_MIN),"Recovered less than the QC minimum of the depth driven — the increments may not sit where you think. Do NOT stretch them back out. ","")&amp;IF(AND(ISNUMBER($K77),$K77&gt;0,$L77="Fine earth / total volume"),"Coarse fragments recorded and the lab basis already accounts for them — no further correction applied, which is correct. ",""))</f>
        <v/>
      </c>
      <c r="T77" s="6"/>
      <c r="U77" s="9" t="n">
        <f aca="false">IF($B77="",0,IF(COUNTIFS($B$5:$B77,$B77)=1,1,0))</f>
        <v>0</v>
      </c>
    </row>
    <row r="78" customFormat="false" ht="15" hidden="false" customHeight="false" outlineLevel="0" collapsed="false">
      <c r="A78" s="6"/>
      <c r="B78" s="6"/>
      <c r="C78" s="6"/>
      <c r="D78" s="6"/>
      <c r="E78" s="6"/>
      <c r="F78" s="9" t="str">
        <f aca="false">IF(OR($D78="",$E78=""),"",$E78-$D78)</f>
        <v/>
      </c>
      <c r="G78" s="6"/>
      <c r="H78" s="6"/>
      <c r="I78" s="6"/>
      <c r="J78" s="9" t="str">
        <f aca="false">IF(OR(NOT(ISNUMBER($H78)),NOT(ISNUMBER($I78)),$H78=0),"",$I78/$H78)</f>
        <v/>
      </c>
      <c r="K78" s="6"/>
      <c r="L78" s="8"/>
      <c r="M78" s="7"/>
      <c r="N78" s="7"/>
      <c r="O78" s="9" t="str">
        <f aca="false">IF(NOT(ISNUMBER($M78)),"",IF($L78="Fine earth / fine-earth volume",$M78*(1-IF(ISNUMBER($K78),$K78,0)/100),$M78))</f>
        <v/>
      </c>
      <c r="P78" s="9" t="str">
        <f aca="false">IF(OR(NOT(ISNUMBER($O78)),NOT(ISNUMBER($N78)),NOT(ISNUMBER($F78))),"",$O78*($N78/100)*$F78*10)</f>
        <v/>
      </c>
      <c r="Q78" s="9" t="str">
        <f aca="false">IF(OR(NOT(ISNUMBER($D78)),NOT(ISNUMBER($E78))),"",MAX(0,MIN($E78,SOIL_REPORTING_DEPTH_CM)-MIN($D78,SOIL_REPORTING_DEPTH_CM)))</f>
        <v/>
      </c>
      <c r="R78" s="9" t="str">
        <f aca="false">IF(OR(NOT(ISNUMBER($O78)),NOT(ISNUMBER($N78)),NOT(ISNUMBER($Q78))),"",$O78*($N78/100)*$Q78*10)</f>
        <v/>
      </c>
      <c r="S78" s="11" t="str">
        <f aca="false">IF(AND($A78="",$B78="",$D78=""),"",IF(AND($A78&lt;&gt;"",COUNTIF('1. Plot &amp; Site Log'!$A$5:$A$64,$A78)=0),"Plot ID not in the Plot &amp; Site Log. ","")&amp;IF(AND(ISNUMBER($D78),ISNUMBER($E78),$E78&lt;=$D78),"Bottom depth is not below top depth. ","")&amp;IF($L78="Not confirmed","Bulk-density basis not confirmed with the lab — the coarse-fragment correction may be wrong or doubled. ","")&amp;IF(LAB_BULK_DENSITY_BASIS="Not confirmed","No lab bulk-density basis is on file in Settings (LAB_BULK_DENSITY_BASIS), so nothing checks this row. ","")&amp;IF(AND($L78&lt;&gt;"",LAB_BULK_DENSITY_BASIS&lt;&gt;"Not confirmed",$L78&lt;&gt;LAB_BULK_DENSITY_BASIS),"This row's bulk-density basis disagrees with the lab method on file. One of "&amp;"the two is wrong, and the coarse-fragment correction follows the row. ","")&amp;IF(AND(ISNUMBER($M78),OR($M78&lt;QC_BD_MIN,$M78&gt;QC_BD_MAX)),"Bulk density outside the plausible range for a mineral grassland soil. ","")&amp;IF(AND(ISNUMBER($N78),$N78&gt;QC_CARBON_PCT_MAX),"Organic carbon above the QC ceiling — check units, and whether this is an organic horizon. ","")&amp;IF(AND(ISNUMBER($J78),$J78&lt;QC_RECOVERY_MIN),"Recovered less than the QC minimum of the depth driven — the increments may not sit where you think. Do NOT stretch them back out. ","")&amp;IF(AND(ISNUMBER($K78),$K78&gt;0,$L78="Fine earth / total volume"),"Coarse fragments recorded and the lab basis already accounts for them — no further correction applied, which is correct. ",""))</f>
        <v/>
      </c>
      <c r="T78" s="6"/>
      <c r="U78" s="9" t="n">
        <f aca="false">IF($B78="",0,IF(COUNTIFS($B$5:$B78,$B78)=1,1,0))</f>
        <v>0</v>
      </c>
    </row>
    <row r="79" customFormat="false" ht="15" hidden="false" customHeight="false" outlineLevel="0" collapsed="false">
      <c r="A79" s="6"/>
      <c r="B79" s="6"/>
      <c r="C79" s="6"/>
      <c r="D79" s="6"/>
      <c r="E79" s="6"/>
      <c r="F79" s="9" t="str">
        <f aca="false">IF(OR($D79="",$E79=""),"",$E79-$D79)</f>
        <v/>
      </c>
      <c r="G79" s="6"/>
      <c r="H79" s="6"/>
      <c r="I79" s="6"/>
      <c r="J79" s="9" t="str">
        <f aca="false">IF(OR(NOT(ISNUMBER($H79)),NOT(ISNUMBER($I79)),$H79=0),"",$I79/$H79)</f>
        <v/>
      </c>
      <c r="K79" s="6"/>
      <c r="L79" s="8"/>
      <c r="M79" s="7"/>
      <c r="N79" s="7"/>
      <c r="O79" s="9" t="str">
        <f aca="false">IF(NOT(ISNUMBER($M79)),"",IF($L79="Fine earth / fine-earth volume",$M79*(1-IF(ISNUMBER($K79),$K79,0)/100),$M79))</f>
        <v/>
      </c>
      <c r="P79" s="9" t="str">
        <f aca="false">IF(OR(NOT(ISNUMBER($O79)),NOT(ISNUMBER($N79)),NOT(ISNUMBER($F79))),"",$O79*($N79/100)*$F79*10)</f>
        <v/>
      </c>
      <c r="Q79" s="9" t="str">
        <f aca="false">IF(OR(NOT(ISNUMBER($D79)),NOT(ISNUMBER($E79))),"",MAX(0,MIN($E79,SOIL_REPORTING_DEPTH_CM)-MIN($D79,SOIL_REPORTING_DEPTH_CM)))</f>
        <v/>
      </c>
      <c r="R79" s="9" t="str">
        <f aca="false">IF(OR(NOT(ISNUMBER($O79)),NOT(ISNUMBER($N79)),NOT(ISNUMBER($Q79))),"",$O79*($N79/100)*$Q79*10)</f>
        <v/>
      </c>
      <c r="S79" s="11" t="str">
        <f aca="false">IF(AND($A79="",$B79="",$D79=""),"",IF(AND($A79&lt;&gt;"",COUNTIF('1. Plot &amp; Site Log'!$A$5:$A$64,$A79)=0),"Plot ID not in the Plot &amp; Site Log. ","")&amp;IF(AND(ISNUMBER($D79),ISNUMBER($E79),$E79&lt;=$D79),"Bottom depth is not below top depth. ","")&amp;IF($L79="Not confirmed","Bulk-density basis not confirmed with the lab — the coarse-fragment correction may be wrong or doubled. ","")&amp;IF(LAB_BULK_DENSITY_BASIS="Not confirmed","No lab bulk-density basis is on file in Settings (LAB_BULK_DENSITY_BASIS), so nothing checks this row. ","")&amp;IF(AND($L79&lt;&gt;"",LAB_BULK_DENSITY_BASIS&lt;&gt;"Not confirmed",$L79&lt;&gt;LAB_BULK_DENSITY_BASIS),"This row's bulk-density basis disagrees with the lab method on file. One of "&amp;"the two is wrong, and the coarse-fragment correction follows the row. ","")&amp;IF(AND(ISNUMBER($M79),OR($M79&lt;QC_BD_MIN,$M79&gt;QC_BD_MAX)),"Bulk density outside the plausible range for a mineral grassland soil. ","")&amp;IF(AND(ISNUMBER($N79),$N79&gt;QC_CARBON_PCT_MAX),"Organic carbon above the QC ceiling — check units, and whether this is an organic horizon. ","")&amp;IF(AND(ISNUMBER($J79),$J79&lt;QC_RECOVERY_MIN),"Recovered less than the QC minimum of the depth driven — the increments may not sit where you think. Do NOT stretch them back out. ","")&amp;IF(AND(ISNUMBER($K79),$K79&gt;0,$L79="Fine earth / total volume"),"Coarse fragments recorded and the lab basis already accounts for them — no further correction applied, which is correct. ",""))</f>
        <v/>
      </c>
      <c r="T79" s="6"/>
      <c r="U79" s="9" t="n">
        <f aca="false">IF($B79="",0,IF(COUNTIFS($B$5:$B79,$B79)=1,1,0))</f>
        <v>0</v>
      </c>
    </row>
    <row r="80" customFormat="false" ht="15" hidden="false" customHeight="false" outlineLevel="0" collapsed="false">
      <c r="A80" s="6"/>
      <c r="B80" s="6"/>
      <c r="C80" s="6"/>
      <c r="D80" s="6"/>
      <c r="E80" s="6"/>
      <c r="F80" s="9" t="str">
        <f aca="false">IF(OR($D80="",$E80=""),"",$E80-$D80)</f>
        <v/>
      </c>
      <c r="G80" s="6"/>
      <c r="H80" s="6"/>
      <c r="I80" s="6"/>
      <c r="J80" s="9" t="str">
        <f aca="false">IF(OR(NOT(ISNUMBER($H80)),NOT(ISNUMBER($I80)),$H80=0),"",$I80/$H80)</f>
        <v/>
      </c>
      <c r="K80" s="6"/>
      <c r="L80" s="8"/>
      <c r="M80" s="7"/>
      <c r="N80" s="7"/>
      <c r="O80" s="9" t="str">
        <f aca="false">IF(NOT(ISNUMBER($M80)),"",IF($L80="Fine earth / fine-earth volume",$M80*(1-IF(ISNUMBER($K80),$K80,0)/100),$M80))</f>
        <v/>
      </c>
      <c r="P80" s="9" t="str">
        <f aca="false">IF(OR(NOT(ISNUMBER($O80)),NOT(ISNUMBER($N80)),NOT(ISNUMBER($F80))),"",$O80*($N80/100)*$F80*10)</f>
        <v/>
      </c>
      <c r="Q80" s="9" t="str">
        <f aca="false">IF(OR(NOT(ISNUMBER($D80)),NOT(ISNUMBER($E80))),"",MAX(0,MIN($E80,SOIL_REPORTING_DEPTH_CM)-MIN($D80,SOIL_REPORTING_DEPTH_CM)))</f>
        <v/>
      </c>
      <c r="R80" s="9" t="str">
        <f aca="false">IF(OR(NOT(ISNUMBER($O80)),NOT(ISNUMBER($N80)),NOT(ISNUMBER($Q80))),"",$O80*($N80/100)*$Q80*10)</f>
        <v/>
      </c>
      <c r="S80" s="11" t="str">
        <f aca="false">IF(AND($A80="",$B80="",$D80=""),"",IF(AND($A80&lt;&gt;"",COUNTIF('1. Plot &amp; Site Log'!$A$5:$A$64,$A80)=0),"Plot ID not in the Plot &amp; Site Log. ","")&amp;IF(AND(ISNUMBER($D80),ISNUMBER($E80),$E80&lt;=$D80),"Bottom depth is not below top depth. ","")&amp;IF($L80="Not confirmed","Bulk-density basis not confirmed with the lab — the coarse-fragment correction may be wrong or doubled. ","")&amp;IF(LAB_BULK_DENSITY_BASIS="Not confirmed","No lab bulk-density basis is on file in Settings (LAB_BULK_DENSITY_BASIS), so nothing checks this row. ","")&amp;IF(AND($L80&lt;&gt;"",LAB_BULK_DENSITY_BASIS&lt;&gt;"Not confirmed",$L80&lt;&gt;LAB_BULK_DENSITY_BASIS),"This row's bulk-density basis disagrees with the lab method on file. One of "&amp;"the two is wrong, and the coarse-fragment correction follows the row. ","")&amp;IF(AND(ISNUMBER($M80),OR($M80&lt;QC_BD_MIN,$M80&gt;QC_BD_MAX)),"Bulk density outside the plausible range for a mineral grassland soil. ","")&amp;IF(AND(ISNUMBER($N80),$N80&gt;QC_CARBON_PCT_MAX),"Organic carbon above the QC ceiling — check units, and whether this is an organic horizon. ","")&amp;IF(AND(ISNUMBER($J80),$J80&lt;QC_RECOVERY_MIN),"Recovered less than the QC minimum of the depth driven — the increments may not sit where you think. Do NOT stretch them back out. ","")&amp;IF(AND(ISNUMBER($K80),$K80&gt;0,$L80="Fine earth / total volume"),"Coarse fragments recorded and the lab basis already accounts for them — no further correction applied, which is correct. ",""))</f>
        <v/>
      </c>
      <c r="T80" s="6"/>
      <c r="U80" s="9" t="n">
        <f aca="false">IF($B80="",0,IF(COUNTIFS($B$5:$B80,$B80)=1,1,0))</f>
        <v>0</v>
      </c>
    </row>
    <row r="81" customFormat="false" ht="15" hidden="false" customHeight="false" outlineLevel="0" collapsed="false">
      <c r="A81" s="6"/>
      <c r="B81" s="6"/>
      <c r="C81" s="6"/>
      <c r="D81" s="6"/>
      <c r="E81" s="6"/>
      <c r="F81" s="9" t="str">
        <f aca="false">IF(OR($D81="",$E81=""),"",$E81-$D81)</f>
        <v/>
      </c>
      <c r="G81" s="6"/>
      <c r="H81" s="6"/>
      <c r="I81" s="6"/>
      <c r="J81" s="9" t="str">
        <f aca="false">IF(OR(NOT(ISNUMBER($H81)),NOT(ISNUMBER($I81)),$H81=0),"",$I81/$H81)</f>
        <v/>
      </c>
      <c r="K81" s="6"/>
      <c r="L81" s="8"/>
      <c r="M81" s="7"/>
      <c r="N81" s="7"/>
      <c r="O81" s="9" t="str">
        <f aca="false">IF(NOT(ISNUMBER($M81)),"",IF($L81="Fine earth / fine-earth volume",$M81*(1-IF(ISNUMBER($K81),$K81,0)/100),$M81))</f>
        <v/>
      </c>
      <c r="P81" s="9" t="str">
        <f aca="false">IF(OR(NOT(ISNUMBER($O81)),NOT(ISNUMBER($N81)),NOT(ISNUMBER($F81))),"",$O81*($N81/100)*$F81*10)</f>
        <v/>
      </c>
      <c r="Q81" s="9" t="str">
        <f aca="false">IF(OR(NOT(ISNUMBER($D81)),NOT(ISNUMBER($E81))),"",MAX(0,MIN($E81,SOIL_REPORTING_DEPTH_CM)-MIN($D81,SOIL_REPORTING_DEPTH_CM)))</f>
        <v/>
      </c>
      <c r="R81" s="9" t="str">
        <f aca="false">IF(OR(NOT(ISNUMBER($O81)),NOT(ISNUMBER($N81)),NOT(ISNUMBER($Q81))),"",$O81*($N81/100)*$Q81*10)</f>
        <v/>
      </c>
      <c r="S81" s="11" t="str">
        <f aca="false">IF(AND($A81="",$B81="",$D81=""),"",IF(AND($A81&lt;&gt;"",COUNTIF('1. Plot &amp; Site Log'!$A$5:$A$64,$A81)=0),"Plot ID not in the Plot &amp; Site Log. ","")&amp;IF(AND(ISNUMBER($D81),ISNUMBER($E81),$E81&lt;=$D81),"Bottom depth is not below top depth. ","")&amp;IF($L81="Not confirmed","Bulk-density basis not confirmed with the lab — the coarse-fragment correction may be wrong or doubled. ","")&amp;IF(LAB_BULK_DENSITY_BASIS="Not confirmed","No lab bulk-density basis is on file in Settings (LAB_BULK_DENSITY_BASIS), so nothing checks this row. ","")&amp;IF(AND($L81&lt;&gt;"",LAB_BULK_DENSITY_BASIS&lt;&gt;"Not confirmed",$L81&lt;&gt;LAB_BULK_DENSITY_BASIS),"This row's bulk-density basis disagrees with the lab method on file. One of "&amp;"the two is wrong, and the coarse-fragment correction follows the row. ","")&amp;IF(AND(ISNUMBER($M81),OR($M81&lt;QC_BD_MIN,$M81&gt;QC_BD_MAX)),"Bulk density outside the plausible range for a mineral grassland soil. ","")&amp;IF(AND(ISNUMBER($N81),$N81&gt;QC_CARBON_PCT_MAX),"Organic carbon above the QC ceiling — check units, and whether this is an organic horizon. ","")&amp;IF(AND(ISNUMBER($J81),$J81&lt;QC_RECOVERY_MIN),"Recovered less than the QC minimum of the depth driven — the increments may not sit where you think. Do NOT stretch them back out. ","")&amp;IF(AND(ISNUMBER($K81),$K81&gt;0,$L81="Fine earth / total volume"),"Coarse fragments recorded and the lab basis already accounts for them — no further correction applied, which is correct. ",""))</f>
        <v/>
      </c>
      <c r="T81" s="6"/>
      <c r="U81" s="9" t="n">
        <f aca="false">IF($B81="",0,IF(COUNTIFS($B$5:$B81,$B81)=1,1,0))</f>
        <v>0</v>
      </c>
    </row>
    <row r="82" customFormat="false" ht="15" hidden="false" customHeight="false" outlineLevel="0" collapsed="false">
      <c r="A82" s="6"/>
      <c r="B82" s="6"/>
      <c r="C82" s="6"/>
      <c r="D82" s="6"/>
      <c r="E82" s="6"/>
      <c r="F82" s="9" t="str">
        <f aca="false">IF(OR($D82="",$E82=""),"",$E82-$D82)</f>
        <v/>
      </c>
      <c r="G82" s="6"/>
      <c r="H82" s="6"/>
      <c r="I82" s="6"/>
      <c r="J82" s="9" t="str">
        <f aca="false">IF(OR(NOT(ISNUMBER($H82)),NOT(ISNUMBER($I82)),$H82=0),"",$I82/$H82)</f>
        <v/>
      </c>
      <c r="K82" s="6"/>
      <c r="L82" s="8"/>
      <c r="M82" s="7"/>
      <c r="N82" s="7"/>
      <c r="O82" s="9" t="str">
        <f aca="false">IF(NOT(ISNUMBER($M82)),"",IF($L82="Fine earth / fine-earth volume",$M82*(1-IF(ISNUMBER($K82),$K82,0)/100),$M82))</f>
        <v/>
      </c>
      <c r="P82" s="9" t="str">
        <f aca="false">IF(OR(NOT(ISNUMBER($O82)),NOT(ISNUMBER($N82)),NOT(ISNUMBER($F82))),"",$O82*($N82/100)*$F82*10)</f>
        <v/>
      </c>
      <c r="Q82" s="9" t="str">
        <f aca="false">IF(OR(NOT(ISNUMBER($D82)),NOT(ISNUMBER($E82))),"",MAX(0,MIN($E82,SOIL_REPORTING_DEPTH_CM)-MIN($D82,SOIL_REPORTING_DEPTH_CM)))</f>
        <v/>
      </c>
      <c r="R82" s="9" t="str">
        <f aca="false">IF(OR(NOT(ISNUMBER($O82)),NOT(ISNUMBER($N82)),NOT(ISNUMBER($Q82))),"",$O82*($N82/100)*$Q82*10)</f>
        <v/>
      </c>
      <c r="S82" s="11" t="str">
        <f aca="false">IF(AND($A82="",$B82="",$D82=""),"",IF(AND($A82&lt;&gt;"",COUNTIF('1. Plot &amp; Site Log'!$A$5:$A$64,$A82)=0),"Plot ID not in the Plot &amp; Site Log. ","")&amp;IF(AND(ISNUMBER($D82),ISNUMBER($E82),$E82&lt;=$D82),"Bottom depth is not below top depth. ","")&amp;IF($L82="Not confirmed","Bulk-density basis not confirmed with the lab — the coarse-fragment correction may be wrong or doubled. ","")&amp;IF(LAB_BULK_DENSITY_BASIS="Not confirmed","No lab bulk-density basis is on file in Settings (LAB_BULK_DENSITY_BASIS), so nothing checks this row. ","")&amp;IF(AND($L82&lt;&gt;"",LAB_BULK_DENSITY_BASIS&lt;&gt;"Not confirmed",$L82&lt;&gt;LAB_BULK_DENSITY_BASIS),"This row's bulk-density basis disagrees with the lab method on file. One of "&amp;"the two is wrong, and the coarse-fragment correction follows the row. ","")&amp;IF(AND(ISNUMBER($M82),OR($M82&lt;QC_BD_MIN,$M82&gt;QC_BD_MAX)),"Bulk density outside the plausible range for a mineral grassland soil. ","")&amp;IF(AND(ISNUMBER($N82),$N82&gt;QC_CARBON_PCT_MAX),"Organic carbon above the QC ceiling — check units, and whether this is an organic horizon. ","")&amp;IF(AND(ISNUMBER($J82),$J82&lt;QC_RECOVERY_MIN),"Recovered less than the QC minimum of the depth driven — the increments may not sit where you think. Do NOT stretch them back out. ","")&amp;IF(AND(ISNUMBER($K82),$K82&gt;0,$L82="Fine earth / total volume"),"Coarse fragments recorded and the lab basis already accounts for them — no further correction applied, which is correct. ",""))</f>
        <v/>
      </c>
      <c r="T82" s="6"/>
      <c r="U82" s="9" t="n">
        <f aca="false">IF($B82="",0,IF(COUNTIFS($B$5:$B82,$B82)=1,1,0))</f>
        <v>0</v>
      </c>
    </row>
    <row r="83" customFormat="false" ht="15" hidden="false" customHeight="false" outlineLevel="0" collapsed="false">
      <c r="A83" s="6"/>
      <c r="B83" s="6"/>
      <c r="C83" s="6"/>
      <c r="D83" s="6"/>
      <c r="E83" s="6"/>
      <c r="F83" s="9" t="str">
        <f aca="false">IF(OR($D83="",$E83=""),"",$E83-$D83)</f>
        <v/>
      </c>
      <c r="G83" s="6"/>
      <c r="H83" s="6"/>
      <c r="I83" s="6"/>
      <c r="J83" s="9" t="str">
        <f aca="false">IF(OR(NOT(ISNUMBER($H83)),NOT(ISNUMBER($I83)),$H83=0),"",$I83/$H83)</f>
        <v/>
      </c>
      <c r="K83" s="6"/>
      <c r="L83" s="8"/>
      <c r="M83" s="7"/>
      <c r="N83" s="7"/>
      <c r="O83" s="9" t="str">
        <f aca="false">IF(NOT(ISNUMBER($M83)),"",IF($L83="Fine earth / fine-earth volume",$M83*(1-IF(ISNUMBER($K83),$K83,0)/100),$M83))</f>
        <v/>
      </c>
      <c r="P83" s="9" t="str">
        <f aca="false">IF(OR(NOT(ISNUMBER($O83)),NOT(ISNUMBER($N83)),NOT(ISNUMBER($F83))),"",$O83*($N83/100)*$F83*10)</f>
        <v/>
      </c>
      <c r="Q83" s="9" t="str">
        <f aca="false">IF(OR(NOT(ISNUMBER($D83)),NOT(ISNUMBER($E83))),"",MAX(0,MIN($E83,SOIL_REPORTING_DEPTH_CM)-MIN($D83,SOIL_REPORTING_DEPTH_CM)))</f>
        <v/>
      </c>
      <c r="R83" s="9" t="str">
        <f aca="false">IF(OR(NOT(ISNUMBER($O83)),NOT(ISNUMBER($N83)),NOT(ISNUMBER($Q83))),"",$O83*($N83/100)*$Q83*10)</f>
        <v/>
      </c>
      <c r="S83" s="11" t="str">
        <f aca="false">IF(AND($A83="",$B83="",$D83=""),"",IF(AND($A83&lt;&gt;"",COUNTIF('1. Plot &amp; Site Log'!$A$5:$A$64,$A83)=0),"Plot ID not in the Plot &amp; Site Log. ","")&amp;IF(AND(ISNUMBER($D83),ISNUMBER($E83),$E83&lt;=$D83),"Bottom depth is not below top depth. ","")&amp;IF($L83="Not confirmed","Bulk-density basis not confirmed with the lab — the coarse-fragment correction may be wrong or doubled. ","")&amp;IF(LAB_BULK_DENSITY_BASIS="Not confirmed","No lab bulk-density basis is on file in Settings (LAB_BULK_DENSITY_BASIS), so nothing checks this row. ","")&amp;IF(AND($L83&lt;&gt;"",LAB_BULK_DENSITY_BASIS&lt;&gt;"Not confirmed",$L83&lt;&gt;LAB_BULK_DENSITY_BASIS),"This row's bulk-density basis disagrees with the lab method on file. One of "&amp;"the two is wrong, and the coarse-fragment correction follows the row. ","")&amp;IF(AND(ISNUMBER($M83),OR($M83&lt;QC_BD_MIN,$M83&gt;QC_BD_MAX)),"Bulk density outside the plausible range for a mineral grassland soil. ","")&amp;IF(AND(ISNUMBER($N83),$N83&gt;QC_CARBON_PCT_MAX),"Organic carbon above the QC ceiling — check units, and whether this is an organic horizon. ","")&amp;IF(AND(ISNUMBER($J83),$J83&lt;QC_RECOVERY_MIN),"Recovered less than the QC minimum of the depth driven — the increments may not sit where you think. Do NOT stretch them back out. ","")&amp;IF(AND(ISNUMBER($K83),$K83&gt;0,$L83="Fine earth / total volume"),"Coarse fragments recorded and the lab basis already accounts for them — no further correction applied, which is correct. ",""))</f>
        <v/>
      </c>
      <c r="T83" s="6"/>
      <c r="U83" s="9" t="n">
        <f aca="false">IF($B83="",0,IF(COUNTIFS($B$5:$B83,$B83)=1,1,0))</f>
        <v>0</v>
      </c>
    </row>
    <row r="84" customFormat="false" ht="15" hidden="false" customHeight="false" outlineLevel="0" collapsed="false">
      <c r="A84" s="6"/>
      <c r="B84" s="6"/>
      <c r="C84" s="6"/>
      <c r="D84" s="6"/>
      <c r="E84" s="6"/>
      <c r="F84" s="9" t="str">
        <f aca="false">IF(OR($D84="",$E84=""),"",$E84-$D84)</f>
        <v/>
      </c>
      <c r="G84" s="6"/>
      <c r="H84" s="6"/>
      <c r="I84" s="6"/>
      <c r="J84" s="9" t="str">
        <f aca="false">IF(OR(NOT(ISNUMBER($H84)),NOT(ISNUMBER($I84)),$H84=0),"",$I84/$H84)</f>
        <v/>
      </c>
      <c r="K84" s="6"/>
      <c r="L84" s="8"/>
      <c r="M84" s="7"/>
      <c r="N84" s="7"/>
      <c r="O84" s="9" t="str">
        <f aca="false">IF(NOT(ISNUMBER($M84)),"",IF($L84="Fine earth / fine-earth volume",$M84*(1-IF(ISNUMBER($K84),$K84,0)/100),$M84))</f>
        <v/>
      </c>
      <c r="P84" s="9" t="str">
        <f aca="false">IF(OR(NOT(ISNUMBER($O84)),NOT(ISNUMBER($N84)),NOT(ISNUMBER($F84))),"",$O84*($N84/100)*$F84*10)</f>
        <v/>
      </c>
      <c r="Q84" s="9" t="str">
        <f aca="false">IF(OR(NOT(ISNUMBER($D84)),NOT(ISNUMBER($E84))),"",MAX(0,MIN($E84,SOIL_REPORTING_DEPTH_CM)-MIN($D84,SOIL_REPORTING_DEPTH_CM)))</f>
        <v/>
      </c>
      <c r="R84" s="9" t="str">
        <f aca="false">IF(OR(NOT(ISNUMBER($O84)),NOT(ISNUMBER($N84)),NOT(ISNUMBER($Q84))),"",$O84*($N84/100)*$Q84*10)</f>
        <v/>
      </c>
      <c r="S84" s="11" t="str">
        <f aca="false">IF(AND($A84="",$B84="",$D84=""),"",IF(AND($A84&lt;&gt;"",COUNTIF('1. Plot &amp; Site Log'!$A$5:$A$64,$A84)=0),"Plot ID not in the Plot &amp; Site Log. ","")&amp;IF(AND(ISNUMBER($D84),ISNUMBER($E84),$E84&lt;=$D84),"Bottom depth is not below top depth. ","")&amp;IF($L84="Not confirmed","Bulk-density basis not confirmed with the lab — the coarse-fragment correction may be wrong or doubled. ","")&amp;IF(LAB_BULK_DENSITY_BASIS="Not confirmed","No lab bulk-density basis is on file in Settings (LAB_BULK_DENSITY_BASIS), so nothing checks this row. ","")&amp;IF(AND($L84&lt;&gt;"",LAB_BULK_DENSITY_BASIS&lt;&gt;"Not confirmed",$L84&lt;&gt;LAB_BULK_DENSITY_BASIS),"This row's bulk-density basis disagrees with the lab method on file. One of "&amp;"the two is wrong, and the coarse-fragment correction follows the row. ","")&amp;IF(AND(ISNUMBER($M84),OR($M84&lt;QC_BD_MIN,$M84&gt;QC_BD_MAX)),"Bulk density outside the plausible range for a mineral grassland soil. ","")&amp;IF(AND(ISNUMBER($N84),$N84&gt;QC_CARBON_PCT_MAX),"Organic carbon above the QC ceiling — check units, and whether this is an organic horizon. ","")&amp;IF(AND(ISNUMBER($J84),$J84&lt;QC_RECOVERY_MIN),"Recovered less than the QC minimum of the depth driven — the increments may not sit where you think. Do NOT stretch them back out. ","")&amp;IF(AND(ISNUMBER($K84),$K84&gt;0,$L84="Fine earth / total volume"),"Coarse fragments recorded and the lab basis already accounts for them — no further correction applied, which is correct. ",""))</f>
        <v/>
      </c>
      <c r="T84" s="6"/>
      <c r="U84" s="9" t="n">
        <f aca="false">IF($B84="",0,IF(COUNTIFS($B$5:$B84,$B84)=1,1,0))</f>
        <v>0</v>
      </c>
    </row>
    <row r="85" customFormat="false" ht="15" hidden="false" customHeight="false" outlineLevel="0" collapsed="false">
      <c r="A85" s="6"/>
      <c r="B85" s="6"/>
      <c r="C85" s="6"/>
      <c r="D85" s="6"/>
      <c r="E85" s="6"/>
      <c r="F85" s="9" t="str">
        <f aca="false">IF(OR($D85="",$E85=""),"",$E85-$D85)</f>
        <v/>
      </c>
      <c r="G85" s="6"/>
      <c r="H85" s="6"/>
      <c r="I85" s="6"/>
      <c r="J85" s="9" t="str">
        <f aca="false">IF(OR(NOT(ISNUMBER($H85)),NOT(ISNUMBER($I85)),$H85=0),"",$I85/$H85)</f>
        <v/>
      </c>
      <c r="K85" s="6"/>
      <c r="L85" s="8"/>
      <c r="M85" s="7"/>
      <c r="N85" s="7"/>
      <c r="O85" s="9" t="str">
        <f aca="false">IF(NOT(ISNUMBER($M85)),"",IF($L85="Fine earth / fine-earth volume",$M85*(1-IF(ISNUMBER($K85),$K85,0)/100),$M85))</f>
        <v/>
      </c>
      <c r="P85" s="9" t="str">
        <f aca="false">IF(OR(NOT(ISNUMBER($O85)),NOT(ISNUMBER($N85)),NOT(ISNUMBER($F85))),"",$O85*($N85/100)*$F85*10)</f>
        <v/>
      </c>
      <c r="Q85" s="9" t="str">
        <f aca="false">IF(OR(NOT(ISNUMBER($D85)),NOT(ISNUMBER($E85))),"",MAX(0,MIN($E85,SOIL_REPORTING_DEPTH_CM)-MIN($D85,SOIL_REPORTING_DEPTH_CM)))</f>
        <v/>
      </c>
      <c r="R85" s="9" t="str">
        <f aca="false">IF(OR(NOT(ISNUMBER($O85)),NOT(ISNUMBER($N85)),NOT(ISNUMBER($Q85))),"",$O85*($N85/100)*$Q85*10)</f>
        <v/>
      </c>
      <c r="S85" s="11" t="str">
        <f aca="false">IF(AND($A85="",$B85="",$D85=""),"",IF(AND($A85&lt;&gt;"",COUNTIF('1. Plot &amp; Site Log'!$A$5:$A$64,$A85)=0),"Plot ID not in the Plot &amp; Site Log. ","")&amp;IF(AND(ISNUMBER($D85),ISNUMBER($E85),$E85&lt;=$D85),"Bottom depth is not below top depth. ","")&amp;IF($L85="Not confirmed","Bulk-density basis not confirmed with the lab — the coarse-fragment correction may be wrong or doubled. ","")&amp;IF(LAB_BULK_DENSITY_BASIS="Not confirmed","No lab bulk-density basis is on file in Settings (LAB_BULK_DENSITY_BASIS), so nothing checks this row. ","")&amp;IF(AND($L85&lt;&gt;"",LAB_BULK_DENSITY_BASIS&lt;&gt;"Not confirmed",$L85&lt;&gt;LAB_BULK_DENSITY_BASIS),"This row's bulk-density basis disagrees with the lab method on file. One of "&amp;"the two is wrong, and the coarse-fragment correction follows the row. ","")&amp;IF(AND(ISNUMBER($M85),OR($M85&lt;QC_BD_MIN,$M85&gt;QC_BD_MAX)),"Bulk density outside the plausible range for a mineral grassland soil. ","")&amp;IF(AND(ISNUMBER($N85),$N85&gt;QC_CARBON_PCT_MAX),"Organic carbon above the QC ceiling — check units, and whether this is an organic horizon. ","")&amp;IF(AND(ISNUMBER($J85),$J85&lt;QC_RECOVERY_MIN),"Recovered less than the QC minimum of the depth driven — the increments may not sit where you think. Do NOT stretch them back out. ","")&amp;IF(AND(ISNUMBER($K85),$K85&gt;0,$L85="Fine earth / total volume"),"Coarse fragments recorded and the lab basis already accounts for them — no further correction applied, which is correct. ",""))</f>
        <v/>
      </c>
      <c r="T85" s="6"/>
      <c r="U85" s="9" t="n">
        <f aca="false">IF($B85="",0,IF(COUNTIFS($B$5:$B85,$B85)=1,1,0))</f>
        <v>0</v>
      </c>
    </row>
    <row r="86" customFormat="false" ht="15" hidden="false" customHeight="false" outlineLevel="0" collapsed="false">
      <c r="A86" s="6"/>
      <c r="B86" s="6"/>
      <c r="C86" s="6"/>
      <c r="D86" s="6"/>
      <c r="E86" s="6"/>
      <c r="F86" s="9" t="str">
        <f aca="false">IF(OR($D86="",$E86=""),"",$E86-$D86)</f>
        <v/>
      </c>
      <c r="G86" s="6"/>
      <c r="H86" s="6"/>
      <c r="I86" s="6"/>
      <c r="J86" s="9" t="str">
        <f aca="false">IF(OR(NOT(ISNUMBER($H86)),NOT(ISNUMBER($I86)),$H86=0),"",$I86/$H86)</f>
        <v/>
      </c>
      <c r="K86" s="6"/>
      <c r="L86" s="8"/>
      <c r="M86" s="7"/>
      <c r="N86" s="7"/>
      <c r="O86" s="9" t="str">
        <f aca="false">IF(NOT(ISNUMBER($M86)),"",IF($L86="Fine earth / fine-earth volume",$M86*(1-IF(ISNUMBER($K86),$K86,0)/100),$M86))</f>
        <v/>
      </c>
      <c r="P86" s="9" t="str">
        <f aca="false">IF(OR(NOT(ISNUMBER($O86)),NOT(ISNUMBER($N86)),NOT(ISNUMBER($F86))),"",$O86*($N86/100)*$F86*10)</f>
        <v/>
      </c>
      <c r="Q86" s="9" t="str">
        <f aca="false">IF(OR(NOT(ISNUMBER($D86)),NOT(ISNUMBER($E86))),"",MAX(0,MIN($E86,SOIL_REPORTING_DEPTH_CM)-MIN($D86,SOIL_REPORTING_DEPTH_CM)))</f>
        <v/>
      </c>
      <c r="R86" s="9" t="str">
        <f aca="false">IF(OR(NOT(ISNUMBER($O86)),NOT(ISNUMBER($N86)),NOT(ISNUMBER($Q86))),"",$O86*($N86/100)*$Q86*10)</f>
        <v/>
      </c>
      <c r="S86" s="11" t="str">
        <f aca="false">IF(AND($A86="",$B86="",$D86=""),"",IF(AND($A86&lt;&gt;"",COUNTIF('1. Plot &amp; Site Log'!$A$5:$A$64,$A86)=0),"Plot ID not in the Plot &amp; Site Log. ","")&amp;IF(AND(ISNUMBER($D86),ISNUMBER($E86),$E86&lt;=$D86),"Bottom depth is not below top depth. ","")&amp;IF($L86="Not confirmed","Bulk-density basis not confirmed with the lab — the coarse-fragment correction may be wrong or doubled. ","")&amp;IF(LAB_BULK_DENSITY_BASIS="Not confirmed","No lab bulk-density basis is on file in Settings (LAB_BULK_DENSITY_BASIS), so nothing checks this row. ","")&amp;IF(AND($L86&lt;&gt;"",LAB_BULK_DENSITY_BASIS&lt;&gt;"Not confirmed",$L86&lt;&gt;LAB_BULK_DENSITY_BASIS),"This row's bulk-density basis disagrees with the lab method on file. One of "&amp;"the two is wrong, and the coarse-fragment correction follows the row. ","")&amp;IF(AND(ISNUMBER($M86),OR($M86&lt;QC_BD_MIN,$M86&gt;QC_BD_MAX)),"Bulk density outside the plausible range for a mineral grassland soil. ","")&amp;IF(AND(ISNUMBER($N86),$N86&gt;QC_CARBON_PCT_MAX),"Organic carbon above the QC ceiling — check units, and whether this is an organic horizon. ","")&amp;IF(AND(ISNUMBER($J86),$J86&lt;QC_RECOVERY_MIN),"Recovered less than the QC minimum of the depth driven — the increments may not sit where you think. Do NOT stretch them back out. ","")&amp;IF(AND(ISNUMBER($K86),$K86&gt;0,$L86="Fine earth / total volume"),"Coarse fragments recorded and the lab basis already accounts for them — no further correction applied, which is correct. ",""))</f>
        <v/>
      </c>
      <c r="T86" s="6"/>
      <c r="U86" s="9" t="n">
        <f aca="false">IF($B86="",0,IF(COUNTIFS($B$5:$B86,$B86)=1,1,0))</f>
        <v>0</v>
      </c>
    </row>
    <row r="87" customFormat="false" ht="15" hidden="false" customHeight="false" outlineLevel="0" collapsed="false">
      <c r="A87" s="6"/>
      <c r="B87" s="6"/>
      <c r="C87" s="6"/>
      <c r="D87" s="6"/>
      <c r="E87" s="6"/>
      <c r="F87" s="9" t="str">
        <f aca="false">IF(OR($D87="",$E87=""),"",$E87-$D87)</f>
        <v/>
      </c>
      <c r="G87" s="6"/>
      <c r="H87" s="6"/>
      <c r="I87" s="6"/>
      <c r="J87" s="9" t="str">
        <f aca="false">IF(OR(NOT(ISNUMBER($H87)),NOT(ISNUMBER($I87)),$H87=0),"",$I87/$H87)</f>
        <v/>
      </c>
      <c r="K87" s="6"/>
      <c r="L87" s="8"/>
      <c r="M87" s="7"/>
      <c r="N87" s="7"/>
      <c r="O87" s="9" t="str">
        <f aca="false">IF(NOT(ISNUMBER($M87)),"",IF($L87="Fine earth / fine-earth volume",$M87*(1-IF(ISNUMBER($K87),$K87,0)/100),$M87))</f>
        <v/>
      </c>
      <c r="P87" s="9" t="str">
        <f aca="false">IF(OR(NOT(ISNUMBER($O87)),NOT(ISNUMBER($N87)),NOT(ISNUMBER($F87))),"",$O87*($N87/100)*$F87*10)</f>
        <v/>
      </c>
      <c r="Q87" s="9" t="str">
        <f aca="false">IF(OR(NOT(ISNUMBER($D87)),NOT(ISNUMBER($E87))),"",MAX(0,MIN($E87,SOIL_REPORTING_DEPTH_CM)-MIN($D87,SOIL_REPORTING_DEPTH_CM)))</f>
        <v/>
      </c>
      <c r="R87" s="9" t="str">
        <f aca="false">IF(OR(NOT(ISNUMBER($O87)),NOT(ISNUMBER($N87)),NOT(ISNUMBER($Q87))),"",$O87*($N87/100)*$Q87*10)</f>
        <v/>
      </c>
      <c r="S87" s="11" t="str">
        <f aca="false">IF(AND($A87="",$B87="",$D87=""),"",IF(AND($A87&lt;&gt;"",COUNTIF('1. Plot &amp; Site Log'!$A$5:$A$64,$A87)=0),"Plot ID not in the Plot &amp; Site Log. ","")&amp;IF(AND(ISNUMBER($D87),ISNUMBER($E87),$E87&lt;=$D87),"Bottom depth is not below top depth. ","")&amp;IF($L87="Not confirmed","Bulk-density basis not confirmed with the lab — the coarse-fragment correction may be wrong or doubled. ","")&amp;IF(LAB_BULK_DENSITY_BASIS="Not confirmed","No lab bulk-density basis is on file in Settings (LAB_BULK_DENSITY_BASIS), so nothing checks this row. ","")&amp;IF(AND($L87&lt;&gt;"",LAB_BULK_DENSITY_BASIS&lt;&gt;"Not confirmed",$L87&lt;&gt;LAB_BULK_DENSITY_BASIS),"This row's bulk-density basis disagrees with the lab method on file. One of "&amp;"the two is wrong, and the coarse-fragment correction follows the row. ","")&amp;IF(AND(ISNUMBER($M87),OR($M87&lt;QC_BD_MIN,$M87&gt;QC_BD_MAX)),"Bulk density outside the plausible range for a mineral grassland soil. ","")&amp;IF(AND(ISNUMBER($N87),$N87&gt;QC_CARBON_PCT_MAX),"Organic carbon above the QC ceiling — check units, and whether this is an organic horizon. ","")&amp;IF(AND(ISNUMBER($J87),$J87&lt;QC_RECOVERY_MIN),"Recovered less than the QC minimum of the depth driven — the increments may not sit where you think. Do NOT stretch them back out. ","")&amp;IF(AND(ISNUMBER($K87),$K87&gt;0,$L87="Fine earth / total volume"),"Coarse fragments recorded and the lab basis already accounts for them — no further correction applied, which is correct. ",""))</f>
        <v/>
      </c>
      <c r="T87" s="6"/>
      <c r="U87" s="9" t="n">
        <f aca="false">IF($B87="",0,IF(COUNTIFS($B$5:$B87,$B87)=1,1,0))</f>
        <v>0</v>
      </c>
    </row>
    <row r="88" customFormat="false" ht="15" hidden="false" customHeight="false" outlineLevel="0" collapsed="false">
      <c r="A88" s="6"/>
      <c r="B88" s="6"/>
      <c r="C88" s="6"/>
      <c r="D88" s="6"/>
      <c r="E88" s="6"/>
      <c r="F88" s="9" t="str">
        <f aca="false">IF(OR($D88="",$E88=""),"",$E88-$D88)</f>
        <v/>
      </c>
      <c r="G88" s="6"/>
      <c r="H88" s="6"/>
      <c r="I88" s="6"/>
      <c r="J88" s="9" t="str">
        <f aca="false">IF(OR(NOT(ISNUMBER($H88)),NOT(ISNUMBER($I88)),$H88=0),"",$I88/$H88)</f>
        <v/>
      </c>
      <c r="K88" s="6"/>
      <c r="L88" s="8"/>
      <c r="M88" s="7"/>
      <c r="N88" s="7"/>
      <c r="O88" s="9" t="str">
        <f aca="false">IF(NOT(ISNUMBER($M88)),"",IF($L88="Fine earth / fine-earth volume",$M88*(1-IF(ISNUMBER($K88),$K88,0)/100),$M88))</f>
        <v/>
      </c>
      <c r="P88" s="9" t="str">
        <f aca="false">IF(OR(NOT(ISNUMBER($O88)),NOT(ISNUMBER($N88)),NOT(ISNUMBER($F88))),"",$O88*($N88/100)*$F88*10)</f>
        <v/>
      </c>
      <c r="Q88" s="9" t="str">
        <f aca="false">IF(OR(NOT(ISNUMBER($D88)),NOT(ISNUMBER($E88))),"",MAX(0,MIN($E88,SOIL_REPORTING_DEPTH_CM)-MIN($D88,SOIL_REPORTING_DEPTH_CM)))</f>
        <v/>
      </c>
      <c r="R88" s="9" t="str">
        <f aca="false">IF(OR(NOT(ISNUMBER($O88)),NOT(ISNUMBER($N88)),NOT(ISNUMBER($Q88))),"",$O88*($N88/100)*$Q88*10)</f>
        <v/>
      </c>
      <c r="S88" s="11" t="str">
        <f aca="false">IF(AND($A88="",$B88="",$D88=""),"",IF(AND($A88&lt;&gt;"",COUNTIF('1. Plot &amp; Site Log'!$A$5:$A$64,$A88)=0),"Plot ID not in the Plot &amp; Site Log. ","")&amp;IF(AND(ISNUMBER($D88),ISNUMBER($E88),$E88&lt;=$D88),"Bottom depth is not below top depth. ","")&amp;IF($L88="Not confirmed","Bulk-density basis not confirmed with the lab — the coarse-fragment correction may be wrong or doubled. ","")&amp;IF(LAB_BULK_DENSITY_BASIS="Not confirmed","No lab bulk-density basis is on file in Settings (LAB_BULK_DENSITY_BASIS), so nothing checks this row. ","")&amp;IF(AND($L88&lt;&gt;"",LAB_BULK_DENSITY_BASIS&lt;&gt;"Not confirmed",$L88&lt;&gt;LAB_BULK_DENSITY_BASIS),"This row's bulk-density basis disagrees with the lab method on file. One of "&amp;"the two is wrong, and the coarse-fragment correction follows the row. ","")&amp;IF(AND(ISNUMBER($M88),OR($M88&lt;QC_BD_MIN,$M88&gt;QC_BD_MAX)),"Bulk density outside the plausible range for a mineral grassland soil. ","")&amp;IF(AND(ISNUMBER($N88),$N88&gt;QC_CARBON_PCT_MAX),"Organic carbon above the QC ceiling — check units, and whether this is an organic horizon. ","")&amp;IF(AND(ISNUMBER($J88),$J88&lt;QC_RECOVERY_MIN),"Recovered less than the QC minimum of the depth driven — the increments may not sit where you think. Do NOT stretch them back out. ","")&amp;IF(AND(ISNUMBER($K88),$K88&gt;0,$L88="Fine earth / total volume"),"Coarse fragments recorded and the lab basis already accounts for them — no further correction applied, which is correct. ",""))</f>
        <v/>
      </c>
      <c r="T88" s="6"/>
      <c r="U88" s="9" t="n">
        <f aca="false">IF($B88="",0,IF(COUNTIFS($B$5:$B88,$B88)=1,1,0))</f>
        <v>0</v>
      </c>
    </row>
    <row r="89" customFormat="false" ht="15" hidden="false" customHeight="false" outlineLevel="0" collapsed="false">
      <c r="A89" s="6"/>
      <c r="B89" s="6"/>
      <c r="C89" s="6"/>
      <c r="D89" s="6"/>
      <c r="E89" s="6"/>
      <c r="F89" s="9" t="str">
        <f aca="false">IF(OR($D89="",$E89=""),"",$E89-$D89)</f>
        <v/>
      </c>
      <c r="G89" s="6"/>
      <c r="H89" s="6"/>
      <c r="I89" s="6"/>
      <c r="J89" s="9" t="str">
        <f aca="false">IF(OR(NOT(ISNUMBER($H89)),NOT(ISNUMBER($I89)),$H89=0),"",$I89/$H89)</f>
        <v/>
      </c>
      <c r="K89" s="6"/>
      <c r="L89" s="8"/>
      <c r="M89" s="7"/>
      <c r="N89" s="7"/>
      <c r="O89" s="9" t="str">
        <f aca="false">IF(NOT(ISNUMBER($M89)),"",IF($L89="Fine earth / fine-earth volume",$M89*(1-IF(ISNUMBER($K89),$K89,0)/100),$M89))</f>
        <v/>
      </c>
      <c r="P89" s="9" t="str">
        <f aca="false">IF(OR(NOT(ISNUMBER($O89)),NOT(ISNUMBER($N89)),NOT(ISNUMBER($F89))),"",$O89*($N89/100)*$F89*10)</f>
        <v/>
      </c>
      <c r="Q89" s="9" t="str">
        <f aca="false">IF(OR(NOT(ISNUMBER($D89)),NOT(ISNUMBER($E89))),"",MAX(0,MIN($E89,SOIL_REPORTING_DEPTH_CM)-MIN($D89,SOIL_REPORTING_DEPTH_CM)))</f>
        <v/>
      </c>
      <c r="R89" s="9" t="str">
        <f aca="false">IF(OR(NOT(ISNUMBER($O89)),NOT(ISNUMBER($N89)),NOT(ISNUMBER($Q89))),"",$O89*($N89/100)*$Q89*10)</f>
        <v/>
      </c>
      <c r="S89" s="11" t="str">
        <f aca="false">IF(AND($A89="",$B89="",$D89=""),"",IF(AND($A89&lt;&gt;"",COUNTIF('1. Plot &amp; Site Log'!$A$5:$A$64,$A89)=0),"Plot ID not in the Plot &amp; Site Log. ","")&amp;IF(AND(ISNUMBER($D89),ISNUMBER($E89),$E89&lt;=$D89),"Bottom depth is not below top depth. ","")&amp;IF($L89="Not confirmed","Bulk-density basis not confirmed with the lab — the coarse-fragment correction may be wrong or doubled. ","")&amp;IF(LAB_BULK_DENSITY_BASIS="Not confirmed","No lab bulk-density basis is on file in Settings (LAB_BULK_DENSITY_BASIS), so nothing checks this row. ","")&amp;IF(AND($L89&lt;&gt;"",LAB_BULK_DENSITY_BASIS&lt;&gt;"Not confirmed",$L89&lt;&gt;LAB_BULK_DENSITY_BASIS),"This row's bulk-density basis disagrees with the lab method on file. One of "&amp;"the two is wrong, and the coarse-fragment correction follows the row. ","")&amp;IF(AND(ISNUMBER($M89),OR($M89&lt;QC_BD_MIN,$M89&gt;QC_BD_MAX)),"Bulk density outside the plausible range for a mineral grassland soil. ","")&amp;IF(AND(ISNUMBER($N89),$N89&gt;QC_CARBON_PCT_MAX),"Organic carbon above the QC ceiling — check units, and whether this is an organic horizon. ","")&amp;IF(AND(ISNUMBER($J89),$J89&lt;QC_RECOVERY_MIN),"Recovered less than the QC minimum of the depth driven — the increments may not sit where you think. Do NOT stretch them back out. ","")&amp;IF(AND(ISNUMBER($K89),$K89&gt;0,$L89="Fine earth / total volume"),"Coarse fragments recorded and the lab basis already accounts for them — no further correction applied, which is correct. ",""))</f>
        <v/>
      </c>
      <c r="T89" s="6"/>
      <c r="U89" s="9" t="n">
        <f aca="false">IF($B89="",0,IF(COUNTIFS($B$5:$B89,$B89)=1,1,0))</f>
        <v>0</v>
      </c>
    </row>
    <row r="90" customFormat="false" ht="15" hidden="false" customHeight="false" outlineLevel="0" collapsed="false">
      <c r="A90" s="6"/>
      <c r="B90" s="6"/>
      <c r="C90" s="6"/>
      <c r="D90" s="6"/>
      <c r="E90" s="6"/>
      <c r="F90" s="9" t="str">
        <f aca="false">IF(OR($D90="",$E90=""),"",$E90-$D90)</f>
        <v/>
      </c>
      <c r="G90" s="6"/>
      <c r="H90" s="6"/>
      <c r="I90" s="6"/>
      <c r="J90" s="9" t="str">
        <f aca="false">IF(OR(NOT(ISNUMBER($H90)),NOT(ISNUMBER($I90)),$H90=0),"",$I90/$H90)</f>
        <v/>
      </c>
      <c r="K90" s="6"/>
      <c r="L90" s="8"/>
      <c r="M90" s="7"/>
      <c r="N90" s="7"/>
      <c r="O90" s="9" t="str">
        <f aca="false">IF(NOT(ISNUMBER($M90)),"",IF($L90="Fine earth / fine-earth volume",$M90*(1-IF(ISNUMBER($K90),$K90,0)/100),$M90))</f>
        <v/>
      </c>
      <c r="P90" s="9" t="str">
        <f aca="false">IF(OR(NOT(ISNUMBER($O90)),NOT(ISNUMBER($N90)),NOT(ISNUMBER($F90))),"",$O90*($N90/100)*$F90*10)</f>
        <v/>
      </c>
      <c r="Q90" s="9" t="str">
        <f aca="false">IF(OR(NOT(ISNUMBER($D90)),NOT(ISNUMBER($E90))),"",MAX(0,MIN($E90,SOIL_REPORTING_DEPTH_CM)-MIN($D90,SOIL_REPORTING_DEPTH_CM)))</f>
        <v/>
      </c>
      <c r="R90" s="9" t="str">
        <f aca="false">IF(OR(NOT(ISNUMBER($O90)),NOT(ISNUMBER($N90)),NOT(ISNUMBER($Q90))),"",$O90*($N90/100)*$Q90*10)</f>
        <v/>
      </c>
      <c r="S90" s="11" t="str">
        <f aca="false">IF(AND($A90="",$B90="",$D90=""),"",IF(AND($A90&lt;&gt;"",COUNTIF('1. Plot &amp; Site Log'!$A$5:$A$64,$A90)=0),"Plot ID not in the Plot &amp; Site Log. ","")&amp;IF(AND(ISNUMBER($D90),ISNUMBER($E90),$E90&lt;=$D90),"Bottom depth is not below top depth. ","")&amp;IF($L90="Not confirmed","Bulk-density basis not confirmed with the lab — the coarse-fragment correction may be wrong or doubled. ","")&amp;IF(LAB_BULK_DENSITY_BASIS="Not confirmed","No lab bulk-density basis is on file in Settings (LAB_BULK_DENSITY_BASIS), so nothing checks this row. ","")&amp;IF(AND($L90&lt;&gt;"",LAB_BULK_DENSITY_BASIS&lt;&gt;"Not confirmed",$L90&lt;&gt;LAB_BULK_DENSITY_BASIS),"This row's bulk-density basis disagrees with the lab method on file. One of "&amp;"the two is wrong, and the coarse-fragment correction follows the row. ","")&amp;IF(AND(ISNUMBER($M90),OR($M90&lt;QC_BD_MIN,$M90&gt;QC_BD_MAX)),"Bulk density outside the plausible range for a mineral grassland soil. ","")&amp;IF(AND(ISNUMBER($N90),$N90&gt;QC_CARBON_PCT_MAX),"Organic carbon above the QC ceiling — check units, and whether this is an organic horizon. ","")&amp;IF(AND(ISNUMBER($J90),$J90&lt;QC_RECOVERY_MIN),"Recovered less than the QC minimum of the depth driven — the increments may not sit where you think. Do NOT stretch them back out. ","")&amp;IF(AND(ISNUMBER($K90),$K90&gt;0,$L90="Fine earth / total volume"),"Coarse fragments recorded and the lab basis already accounts for them — no further correction applied, which is correct. ",""))</f>
        <v/>
      </c>
      <c r="T90" s="6"/>
      <c r="U90" s="9" t="n">
        <f aca="false">IF($B90="",0,IF(COUNTIFS($B$5:$B90,$B90)=1,1,0))</f>
        <v>0</v>
      </c>
    </row>
    <row r="91" customFormat="false" ht="15" hidden="false" customHeight="false" outlineLevel="0" collapsed="false">
      <c r="A91" s="6"/>
      <c r="B91" s="6"/>
      <c r="C91" s="6"/>
      <c r="D91" s="6"/>
      <c r="E91" s="6"/>
      <c r="F91" s="9" t="str">
        <f aca="false">IF(OR($D91="",$E91=""),"",$E91-$D91)</f>
        <v/>
      </c>
      <c r="G91" s="6"/>
      <c r="H91" s="6"/>
      <c r="I91" s="6"/>
      <c r="J91" s="9" t="str">
        <f aca="false">IF(OR(NOT(ISNUMBER($H91)),NOT(ISNUMBER($I91)),$H91=0),"",$I91/$H91)</f>
        <v/>
      </c>
      <c r="K91" s="6"/>
      <c r="L91" s="8"/>
      <c r="M91" s="7"/>
      <c r="N91" s="7"/>
      <c r="O91" s="9" t="str">
        <f aca="false">IF(NOT(ISNUMBER($M91)),"",IF($L91="Fine earth / fine-earth volume",$M91*(1-IF(ISNUMBER($K91),$K91,0)/100),$M91))</f>
        <v/>
      </c>
      <c r="P91" s="9" t="str">
        <f aca="false">IF(OR(NOT(ISNUMBER($O91)),NOT(ISNUMBER($N91)),NOT(ISNUMBER($F91))),"",$O91*($N91/100)*$F91*10)</f>
        <v/>
      </c>
      <c r="Q91" s="9" t="str">
        <f aca="false">IF(OR(NOT(ISNUMBER($D91)),NOT(ISNUMBER($E91))),"",MAX(0,MIN($E91,SOIL_REPORTING_DEPTH_CM)-MIN($D91,SOIL_REPORTING_DEPTH_CM)))</f>
        <v/>
      </c>
      <c r="R91" s="9" t="str">
        <f aca="false">IF(OR(NOT(ISNUMBER($O91)),NOT(ISNUMBER($N91)),NOT(ISNUMBER($Q91))),"",$O91*($N91/100)*$Q91*10)</f>
        <v/>
      </c>
      <c r="S91" s="11" t="str">
        <f aca="false">IF(AND($A91="",$B91="",$D91=""),"",IF(AND($A91&lt;&gt;"",COUNTIF('1. Plot &amp; Site Log'!$A$5:$A$64,$A91)=0),"Plot ID not in the Plot &amp; Site Log. ","")&amp;IF(AND(ISNUMBER($D91),ISNUMBER($E91),$E91&lt;=$D91),"Bottom depth is not below top depth. ","")&amp;IF($L91="Not confirmed","Bulk-density basis not confirmed with the lab — the coarse-fragment correction may be wrong or doubled. ","")&amp;IF(LAB_BULK_DENSITY_BASIS="Not confirmed","No lab bulk-density basis is on file in Settings (LAB_BULK_DENSITY_BASIS), so nothing checks this row. ","")&amp;IF(AND($L91&lt;&gt;"",LAB_BULK_DENSITY_BASIS&lt;&gt;"Not confirmed",$L91&lt;&gt;LAB_BULK_DENSITY_BASIS),"This row's bulk-density basis disagrees with the lab method on file. One of "&amp;"the two is wrong, and the coarse-fragment correction follows the row. ","")&amp;IF(AND(ISNUMBER($M91),OR($M91&lt;QC_BD_MIN,$M91&gt;QC_BD_MAX)),"Bulk density outside the plausible range for a mineral grassland soil. ","")&amp;IF(AND(ISNUMBER($N91),$N91&gt;QC_CARBON_PCT_MAX),"Organic carbon above the QC ceiling — check units, and whether this is an organic horizon. ","")&amp;IF(AND(ISNUMBER($J91),$J91&lt;QC_RECOVERY_MIN),"Recovered less than the QC minimum of the depth driven — the increments may not sit where you think. Do NOT stretch them back out. ","")&amp;IF(AND(ISNUMBER($K91),$K91&gt;0,$L91="Fine earth / total volume"),"Coarse fragments recorded and the lab basis already accounts for them — no further correction applied, which is correct. ",""))</f>
        <v/>
      </c>
      <c r="T91" s="6"/>
      <c r="U91" s="9" t="n">
        <f aca="false">IF($B91="",0,IF(COUNTIFS($B$5:$B91,$B91)=1,1,0))</f>
        <v>0</v>
      </c>
    </row>
    <row r="92" customFormat="false" ht="15" hidden="false" customHeight="false" outlineLevel="0" collapsed="false">
      <c r="A92" s="6"/>
      <c r="B92" s="6"/>
      <c r="C92" s="6"/>
      <c r="D92" s="6"/>
      <c r="E92" s="6"/>
      <c r="F92" s="9" t="str">
        <f aca="false">IF(OR($D92="",$E92=""),"",$E92-$D92)</f>
        <v/>
      </c>
      <c r="G92" s="6"/>
      <c r="H92" s="6"/>
      <c r="I92" s="6"/>
      <c r="J92" s="9" t="str">
        <f aca="false">IF(OR(NOT(ISNUMBER($H92)),NOT(ISNUMBER($I92)),$H92=0),"",$I92/$H92)</f>
        <v/>
      </c>
      <c r="K92" s="6"/>
      <c r="L92" s="8"/>
      <c r="M92" s="7"/>
      <c r="N92" s="7"/>
      <c r="O92" s="9" t="str">
        <f aca="false">IF(NOT(ISNUMBER($M92)),"",IF($L92="Fine earth / fine-earth volume",$M92*(1-IF(ISNUMBER($K92),$K92,0)/100),$M92))</f>
        <v/>
      </c>
      <c r="P92" s="9" t="str">
        <f aca="false">IF(OR(NOT(ISNUMBER($O92)),NOT(ISNUMBER($N92)),NOT(ISNUMBER($F92))),"",$O92*($N92/100)*$F92*10)</f>
        <v/>
      </c>
      <c r="Q92" s="9" t="str">
        <f aca="false">IF(OR(NOT(ISNUMBER($D92)),NOT(ISNUMBER($E92))),"",MAX(0,MIN($E92,SOIL_REPORTING_DEPTH_CM)-MIN($D92,SOIL_REPORTING_DEPTH_CM)))</f>
        <v/>
      </c>
      <c r="R92" s="9" t="str">
        <f aca="false">IF(OR(NOT(ISNUMBER($O92)),NOT(ISNUMBER($N92)),NOT(ISNUMBER($Q92))),"",$O92*($N92/100)*$Q92*10)</f>
        <v/>
      </c>
      <c r="S92" s="11" t="str">
        <f aca="false">IF(AND($A92="",$B92="",$D92=""),"",IF(AND($A92&lt;&gt;"",COUNTIF('1. Plot &amp; Site Log'!$A$5:$A$64,$A92)=0),"Plot ID not in the Plot &amp; Site Log. ","")&amp;IF(AND(ISNUMBER($D92),ISNUMBER($E92),$E92&lt;=$D92),"Bottom depth is not below top depth. ","")&amp;IF($L92="Not confirmed","Bulk-density basis not confirmed with the lab — the coarse-fragment correction may be wrong or doubled. ","")&amp;IF(LAB_BULK_DENSITY_BASIS="Not confirmed","No lab bulk-density basis is on file in Settings (LAB_BULK_DENSITY_BASIS), so nothing checks this row. ","")&amp;IF(AND($L92&lt;&gt;"",LAB_BULK_DENSITY_BASIS&lt;&gt;"Not confirmed",$L92&lt;&gt;LAB_BULK_DENSITY_BASIS),"This row's bulk-density basis disagrees with the lab method on file. One of "&amp;"the two is wrong, and the coarse-fragment correction follows the row. ","")&amp;IF(AND(ISNUMBER($M92),OR($M92&lt;QC_BD_MIN,$M92&gt;QC_BD_MAX)),"Bulk density outside the plausible range for a mineral grassland soil. ","")&amp;IF(AND(ISNUMBER($N92),$N92&gt;QC_CARBON_PCT_MAX),"Organic carbon above the QC ceiling — check units, and whether this is an organic horizon. ","")&amp;IF(AND(ISNUMBER($J92),$J92&lt;QC_RECOVERY_MIN),"Recovered less than the QC minimum of the depth driven — the increments may not sit where you think. Do NOT stretch them back out. ","")&amp;IF(AND(ISNUMBER($K92),$K92&gt;0,$L92="Fine earth / total volume"),"Coarse fragments recorded and the lab basis already accounts for them — no further correction applied, which is correct. ",""))</f>
        <v/>
      </c>
      <c r="T92" s="6"/>
      <c r="U92" s="9" t="n">
        <f aca="false">IF($B92="",0,IF(COUNTIFS($B$5:$B92,$B92)=1,1,0))</f>
        <v>0</v>
      </c>
    </row>
    <row r="93" customFormat="false" ht="15" hidden="false" customHeight="false" outlineLevel="0" collapsed="false">
      <c r="A93" s="6"/>
      <c r="B93" s="6"/>
      <c r="C93" s="6"/>
      <c r="D93" s="6"/>
      <c r="E93" s="6"/>
      <c r="F93" s="9" t="str">
        <f aca="false">IF(OR($D93="",$E93=""),"",$E93-$D93)</f>
        <v/>
      </c>
      <c r="G93" s="6"/>
      <c r="H93" s="6"/>
      <c r="I93" s="6"/>
      <c r="J93" s="9" t="str">
        <f aca="false">IF(OR(NOT(ISNUMBER($H93)),NOT(ISNUMBER($I93)),$H93=0),"",$I93/$H93)</f>
        <v/>
      </c>
      <c r="K93" s="6"/>
      <c r="L93" s="8"/>
      <c r="M93" s="7"/>
      <c r="N93" s="7"/>
      <c r="O93" s="9" t="str">
        <f aca="false">IF(NOT(ISNUMBER($M93)),"",IF($L93="Fine earth / fine-earth volume",$M93*(1-IF(ISNUMBER($K93),$K93,0)/100),$M93))</f>
        <v/>
      </c>
      <c r="P93" s="9" t="str">
        <f aca="false">IF(OR(NOT(ISNUMBER($O93)),NOT(ISNUMBER($N93)),NOT(ISNUMBER($F93))),"",$O93*($N93/100)*$F93*10)</f>
        <v/>
      </c>
      <c r="Q93" s="9" t="str">
        <f aca="false">IF(OR(NOT(ISNUMBER($D93)),NOT(ISNUMBER($E93))),"",MAX(0,MIN($E93,SOIL_REPORTING_DEPTH_CM)-MIN($D93,SOIL_REPORTING_DEPTH_CM)))</f>
        <v/>
      </c>
      <c r="R93" s="9" t="str">
        <f aca="false">IF(OR(NOT(ISNUMBER($O93)),NOT(ISNUMBER($N93)),NOT(ISNUMBER($Q93))),"",$O93*($N93/100)*$Q93*10)</f>
        <v/>
      </c>
      <c r="S93" s="11" t="str">
        <f aca="false">IF(AND($A93="",$B93="",$D93=""),"",IF(AND($A93&lt;&gt;"",COUNTIF('1. Plot &amp; Site Log'!$A$5:$A$64,$A93)=0),"Plot ID not in the Plot &amp; Site Log. ","")&amp;IF(AND(ISNUMBER($D93),ISNUMBER($E93),$E93&lt;=$D93),"Bottom depth is not below top depth. ","")&amp;IF($L93="Not confirmed","Bulk-density basis not confirmed with the lab — the coarse-fragment correction may be wrong or doubled. ","")&amp;IF(LAB_BULK_DENSITY_BASIS="Not confirmed","No lab bulk-density basis is on file in Settings (LAB_BULK_DENSITY_BASIS), so nothing checks this row. ","")&amp;IF(AND($L93&lt;&gt;"",LAB_BULK_DENSITY_BASIS&lt;&gt;"Not confirmed",$L93&lt;&gt;LAB_BULK_DENSITY_BASIS),"This row's bulk-density basis disagrees with the lab method on file. One of "&amp;"the two is wrong, and the coarse-fragment correction follows the row. ","")&amp;IF(AND(ISNUMBER($M93),OR($M93&lt;QC_BD_MIN,$M93&gt;QC_BD_MAX)),"Bulk density outside the plausible range for a mineral grassland soil. ","")&amp;IF(AND(ISNUMBER($N93),$N93&gt;QC_CARBON_PCT_MAX),"Organic carbon above the QC ceiling — check units, and whether this is an organic horizon. ","")&amp;IF(AND(ISNUMBER($J93),$J93&lt;QC_RECOVERY_MIN),"Recovered less than the QC minimum of the depth driven — the increments may not sit where you think. Do NOT stretch them back out. ","")&amp;IF(AND(ISNUMBER($K93),$K93&gt;0,$L93="Fine earth / total volume"),"Coarse fragments recorded and the lab basis already accounts for them — no further correction applied, which is correct. ",""))</f>
        <v/>
      </c>
      <c r="T93" s="6"/>
      <c r="U93" s="9" t="n">
        <f aca="false">IF($B93="",0,IF(COUNTIFS($B$5:$B93,$B93)=1,1,0))</f>
        <v>0</v>
      </c>
    </row>
    <row r="94" customFormat="false" ht="15" hidden="false" customHeight="false" outlineLevel="0" collapsed="false">
      <c r="A94" s="6"/>
      <c r="B94" s="6"/>
      <c r="C94" s="6"/>
      <c r="D94" s="6"/>
      <c r="E94" s="6"/>
      <c r="F94" s="9" t="str">
        <f aca="false">IF(OR($D94="",$E94=""),"",$E94-$D94)</f>
        <v/>
      </c>
      <c r="G94" s="6"/>
      <c r="H94" s="6"/>
      <c r="I94" s="6"/>
      <c r="J94" s="9" t="str">
        <f aca="false">IF(OR(NOT(ISNUMBER($H94)),NOT(ISNUMBER($I94)),$H94=0),"",$I94/$H94)</f>
        <v/>
      </c>
      <c r="K94" s="6"/>
      <c r="L94" s="8"/>
      <c r="M94" s="7"/>
      <c r="N94" s="7"/>
      <c r="O94" s="9" t="str">
        <f aca="false">IF(NOT(ISNUMBER($M94)),"",IF($L94="Fine earth / fine-earth volume",$M94*(1-IF(ISNUMBER($K94),$K94,0)/100),$M94))</f>
        <v/>
      </c>
      <c r="P94" s="9" t="str">
        <f aca="false">IF(OR(NOT(ISNUMBER($O94)),NOT(ISNUMBER($N94)),NOT(ISNUMBER($F94))),"",$O94*($N94/100)*$F94*10)</f>
        <v/>
      </c>
      <c r="Q94" s="9" t="str">
        <f aca="false">IF(OR(NOT(ISNUMBER($D94)),NOT(ISNUMBER($E94))),"",MAX(0,MIN($E94,SOIL_REPORTING_DEPTH_CM)-MIN($D94,SOIL_REPORTING_DEPTH_CM)))</f>
        <v/>
      </c>
      <c r="R94" s="9" t="str">
        <f aca="false">IF(OR(NOT(ISNUMBER($O94)),NOT(ISNUMBER($N94)),NOT(ISNUMBER($Q94))),"",$O94*($N94/100)*$Q94*10)</f>
        <v/>
      </c>
      <c r="S94" s="11" t="str">
        <f aca="false">IF(AND($A94="",$B94="",$D94=""),"",IF(AND($A94&lt;&gt;"",COUNTIF('1. Plot &amp; Site Log'!$A$5:$A$64,$A94)=0),"Plot ID not in the Plot &amp; Site Log. ","")&amp;IF(AND(ISNUMBER($D94),ISNUMBER($E94),$E94&lt;=$D94),"Bottom depth is not below top depth. ","")&amp;IF($L94="Not confirmed","Bulk-density basis not confirmed with the lab — the coarse-fragment correction may be wrong or doubled. ","")&amp;IF(LAB_BULK_DENSITY_BASIS="Not confirmed","No lab bulk-density basis is on file in Settings (LAB_BULK_DENSITY_BASIS), so nothing checks this row. ","")&amp;IF(AND($L94&lt;&gt;"",LAB_BULK_DENSITY_BASIS&lt;&gt;"Not confirmed",$L94&lt;&gt;LAB_BULK_DENSITY_BASIS),"This row's bulk-density basis disagrees with the lab method on file. One of "&amp;"the two is wrong, and the coarse-fragment correction follows the row. ","")&amp;IF(AND(ISNUMBER($M94),OR($M94&lt;QC_BD_MIN,$M94&gt;QC_BD_MAX)),"Bulk density outside the plausible range for a mineral grassland soil. ","")&amp;IF(AND(ISNUMBER($N94),$N94&gt;QC_CARBON_PCT_MAX),"Organic carbon above the QC ceiling — check units, and whether this is an organic horizon. ","")&amp;IF(AND(ISNUMBER($J94),$J94&lt;QC_RECOVERY_MIN),"Recovered less than the QC minimum of the depth driven — the increments may not sit where you think. Do NOT stretch them back out. ","")&amp;IF(AND(ISNUMBER($K94),$K94&gt;0,$L94="Fine earth / total volume"),"Coarse fragments recorded and the lab basis already accounts for them — no further correction applied, which is correct. ",""))</f>
        <v/>
      </c>
      <c r="T94" s="6"/>
      <c r="U94" s="9" t="n">
        <f aca="false">IF($B94="",0,IF(COUNTIFS($B$5:$B94,$B94)=1,1,0))</f>
        <v>0</v>
      </c>
    </row>
    <row r="95" customFormat="false" ht="15" hidden="false" customHeight="false" outlineLevel="0" collapsed="false">
      <c r="A95" s="6"/>
      <c r="B95" s="6"/>
      <c r="C95" s="6"/>
      <c r="D95" s="6"/>
      <c r="E95" s="6"/>
      <c r="F95" s="9" t="str">
        <f aca="false">IF(OR($D95="",$E95=""),"",$E95-$D95)</f>
        <v/>
      </c>
      <c r="G95" s="6"/>
      <c r="H95" s="6"/>
      <c r="I95" s="6"/>
      <c r="J95" s="9" t="str">
        <f aca="false">IF(OR(NOT(ISNUMBER($H95)),NOT(ISNUMBER($I95)),$H95=0),"",$I95/$H95)</f>
        <v/>
      </c>
      <c r="K95" s="6"/>
      <c r="L95" s="8"/>
      <c r="M95" s="7"/>
      <c r="N95" s="7"/>
      <c r="O95" s="9" t="str">
        <f aca="false">IF(NOT(ISNUMBER($M95)),"",IF($L95="Fine earth / fine-earth volume",$M95*(1-IF(ISNUMBER($K95),$K95,0)/100),$M95))</f>
        <v/>
      </c>
      <c r="P95" s="9" t="str">
        <f aca="false">IF(OR(NOT(ISNUMBER($O95)),NOT(ISNUMBER($N95)),NOT(ISNUMBER($F95))),"",$O95*($N95/100)*$F95*10)</f>
        <v/>
      </c>
      <c r="Q95" s="9" t="str">
        <f aca="false">IF(OR(NOT(ISNUMBER($D95)),NOT(ISNUMBER($E95))),"",MAX(0,MIN($E95,SOIL_REPORTING_DEPTH_CM)-MIN($D95,SOIL_REPORTING_DEPTH_CM)))</f>
        <v/>
      </c>
      <c r="R95" s="9" t="str">
        <f aca="false">IF(OR(NOT(ISNUMBER($O95)),NOT(ISNUMBER($N95)),NOT(ISNUMBER($Q95))),"",$O95*($N95/100)*$Q95*10)</f>
        <v/>
      </c>
      <c r="S95" s="11" t="str">
        <f aca="false">IF(AND($A95="",$B95="",$D95=""),"",IF(AND($A95&lt;&gt;"",COUNTIF('1. Plot &amp; Site Log'!$A$5:$A$64,$A95)=0),"Plot ID not in the Plot &amp; Site Log. ","")&amp;IF(AND(ISNUMBER($D95),ISNUMBER($E95),$E95&lt;=$D95),"Bottom depth is not below top depth. ","")&amp;IF($L95="Not confirmed","Bulk-density basis not confirmed with the lab — the coarse-fragment correction may be wrong or doubled. ","")&amp;IF(LAB_BULK_DENSITY_BASIS="Not confirmed","No lab bulk-density basis is on file in Settings (LAB_BULK_DENSITY_BASIS), so nothing checks this row. ","")&amp;IF(AND($L95&lt;&gt;"",LAB_BULK_DENSITY_BASIS&lt;&gt;"Not confirmed",$L95&lt;&gt;LAB_BULK_DENSITY_BASIS),"This row's bulk-density basis disagrees with the lab method on file. One of "&amp;"the two is wrong, and the coarse-fragment correction follows the row. ","")&amp;IF(AND(ISNUMBER($M95),OR($M95&lt;QC_BD_MIN,$M95&gt;QC_BD_MAX)),"Bulk density outside the plausible range for a mineral grassland soil. ","")&amp;IF(AND(ISNUMBER($N95),$N95&gt;QC_CARBON_PCT_MAX),"Organic carbon above the QC ceiling — check units, and whether this is an organic horizon. ","")&amp;IF(AND(ISNUMBER($J95),$J95&lt;QC_RECOVERY_MIN),"Recovered less than the QC minimum of the depth driven — the increments may not sit where you think. Do NOT stretch them back out. ","")&amp;IF(AND(ISNUMBER($K95),$K95&gt;0,$L95="Fine earth / total volume"),"Coarse fragments recorded and the lab basis already accounts for them — no further correction applied, which is correct. ",""))</f>
        <v/>
      </c>
      <c r="T95" s="6"/>
      <c r="U95" s="9" t="n">
        <f aca="false">IF($B95="",0,IF(COUNTIFS($B$5:$B95,$B95)=1,1,0))</f>
        <v>0</v>
      </c>
    </row>
    <row r="96" customFormat="false" ht="15" hidden="false" customHeight="false" outlineLevel="0" collapsed="false">
      <c r="A96" s="6"/>
      <c r="B96" s="6"/>
      <c r="C96" s="6"/>
      <c r="D96" s="6"/>
      <c r="E96" s="6"/>
      <c r="F96" s="9" t="str">
        <f aca="false">IF(OR($D96="",$E96=""),"",$E96-$D96)</f>
        <v/>
      </c>
      <c r="G96" s="6"/>
      <c r="H96" s="6"/>
      <c r="I96" s="6"/>
      <c r="J96" s="9" t="str">
        <f aca="false">IF(OR(NOT(ISNUMBER($H96)),NOT(ISNUMBER($I96)),$H96=0),"",$I96/$H96)</f>
        <v/>
      </c>
      <c r="K96" s="6"/>
      <c r="L96" s="8"/>
      <c r="M96" s="7"/>
      <c r="N96" s="7"/>
      <c r="O96" s="9" t="str">
        <f aca="false">IF(NOT(ISNUMBER($M96)),"",IF($L96="Fine earth / fine-earth volume",$M96*(1-IF(ISNUMBER($K96),$K96,0)/100),$M96))</f>
        <v/>
      </c>
      <c r="P96" s="9" t="str">
        <f aca="false">IF(OR(NOT(ISNUMBER($O96)),NOT(ISNUMBER($N96)),NOT(ISNUMBER($F96))),"",$O96*($N96/100)*$F96*10)</f>
        <v/>
      </c>
      <c r="Q96" s="9" t="str">
        <f aca="false">IF(OR(NOT(ISNUMBER($D96)),NOT(ISNUMBER($E96))),"",MAX(0,MIN($E96,SOIL_REPORTING_DEPTH_CM)-MIN($D96,SOIL_REPORTING_DEPTH_CM)))</f>
        <v/>
      </c>
      <c r="R96" s="9" t="str">
        <f aca="false">IF(OR(NOT(ISNUMBER($O96)),NOT(ISNUMBER($N96)),NOT(ISNUMBER($Q96))),"",$O96*($N96/100)*$Q96*10)</f>
        <v/>
      </c>
      <c r="S96" s="11" t="str">
        <f aca="false">IF(AND($A96="",$B96="",$D96=""),"",IF(AND($A96&lt;&gt;"",COUNTIF('1. Plot &amp; Site Log'!$A$5:$A$64,$A96)=0),"Plot ID not in the Plot &amp; Site Log. ","")&amp;IF(AND(ISNUMBER($D96),ISNUMBER($E96),$E96&lt;=$D96),"Bottom depth is not below top depth. ","")&amp;IF($L96="Not confirmed","Bulk-density basis not confirmed with the lab — the coarse-fragment correction may be wrong or doubled. ","")&amp;IF(LAB_BULK_DENSITY_BASIS="Not confirmed","No lab bulk-density basis is on file in Settings (LAB_BULK_DENSITY_BASIS), so nothing checks this row. ","")&amp;IF(AND($L96&lt;&gt;"",LAB_BULK_DENSITY_BASIS&lt;&gt;"Not confirmed",$L96&lt;&gt;LAB_BULK_DENSITY_BASIS),"This row's bulk-density basis disagrees with the lab method on file. One of "&amp;"the two is wrong, and the coarse-fragment correction follows the row. ","")&amp;IF(AND(ISNUMBER($M96),OR($M96&lt;QC_BD_MIN,$M96&gt;QC_BD_MAX)),"Bulk density outside the plausible range for a mineral grassland soil. ","")&amp;IF(AND(ISNUMBER($N96),$N96&gt;QC_CARBON_PCT_MAX),"Organic carbon above the QC ceiling — check units, and whether this is an organic horizon. ","")&amp;IF(AND(ISNUMBER($J96),$J96&lt;QC_RECOVERY_MIN),"Recovered less than the QC minimum of the depth driven — the increments may not sit where you think. Do NOT stretch them back out. ","")&amp;IF(AND(ISNUMBER($K96),$K96&gt;0,$L96="Fine earth / total volume"),"Coarse fragments recorded and the lab basis already accounts for them — no further correction applied, which is correct. ",""))</f>
        <v/>
      </c>
      <c r="T96" s="6"/>
      <c r="U96" s="9" t="n">
        <f aca="false">IF($B96="",0,IF(COUNTIFS($B$5:$B96,$B96)=1,1,0))</f>
        <v>0</v>
      </c>
    </row>
    <row r="97" customFormat="false" ht="15" hidden="false" customHeight="false" outlineLevel="0" collapsed="false">
      <c r="A97" s="6"/>
      <c r="B97" s="6"/>
      <c r="C97" s="6"/>
      <c r="D97" s="6"/>
      <c r="E97" s="6"/>
      <c r="F97" s="9" t="str">
        <f aca="false">IF(OR($D97="",$E97=""),"",$E97-$D97)</f>
        <v/>
      </c>
      <c r="G97" s="6"/>
      <c r="H97" s="6"/>
      <c r="I97" s="6"/>
      <c r="J97" s="9" t="str">
        <f aca="false">IF(OR(NOT(ISNUMBER($H97)),NOT(ISNUMBER($I97)),$H97=0),"",$I97/$H97)</f>
        <v/>
      </c>
      <c r="K97" s="6"/>
      <c r="L97" s="8"/>
      <c r="M97" s="7"/>
      <c r="N97" s="7"/>
      <c r="O97" s="9" t="str">
        <f aca="false">IF(NOT(ISNUMBER($M97)),"",IF($L97="Fine earth / fine-earth volume",$M97*(1-IF(ISNUMBER($K97),$K97,0)/100),$M97))</f>
        <v/>
      </c>
      <c r="P97" s="9" t="str">
        <f aca="false">IF(OR(NOT(ISNUMBER($O97)),NOT(ISNUMBER($N97)),NOT(ISNUMBER($F97))),"",$O97*($N97/100)*$F97*10)</f>
        <v/>
      </c>
      <c r="Q97" s="9" t="str">
        <f aca="false">IF(OR(NOT(ISNUMBER($D97)),NOT(ISNUMBER($E97))),"",MAX(0,MIN($E97,SOIL_REPORTING_DEPTH_CM)-MIN($D97,SOIL_REPORTING_DEPTH_CM)))</f>
        <v/>
      </c>
      <c r="R97" s="9" t="str">
        <f aca="false">IF(OR(NOT(ISNUMBER($O97)),NOT(ISNUMBER($N97)),NOT(ISNUMBER($Q97))),"",$O97*($N97/100)*$Q97*10)</f>
        <v/>
      </c>
      <c r="S97" s="11" t="str">
        <f aca="false">IF(AND($A97="",$B97="",$D97=""),"",IF(AND($A97&lt;&gt;"",COUNTIF('1. Plot &amp; Site Log'!$A$5:$A$64,$A97)=0),"Plot ID not in the Plot &amp; Site Log. ","")&amp;IF(AND(ISNUMBER($D97),ISNUMBER($E97),$E97&lt;=$D97),"Bottom depth is not below top depth. ","")&amp;IF($L97="Not confirmed","Bulk-density basis not confirmed with the lab — the coarse-fragment correction may be wrong or doubled. ","")&amp;IF(LAB_BULK_DENSITY_BASIS="Not confirmed","No lab bulk-density basis is on file in Settings (LAB_BULK_DENSITY_BASIS), so nothing checks this row. ","")&amp;IF(AND($L97&lt;&gt;"",LAB_BULK_DENSITY_BASIS&lt;&gt;"Not confirmed",$L97&lt;&gt;LAB_BULK_DENSITY_BASIS),"This row's bulk-density basis disagrees with the lab method on file. One of "&amp;"the two is wrong, and the coarse-fragment correction follows the row. ","")&amp;IF(AND(ISNUMBER($M97),OR($M97&lt;QC_BD_MIN,$M97&gt;QC_BD_MAX)),"Bulk density outside the plausible range for a mineral grassland soil. ","")&amp;IF(AND(ISNUMBER($N97),$N97&gt;QC_CARBON_PCT_MAX),"Organic carbon above the QC ceiling — check units, and whether this is an organic horizon. ","")&amp;IF(AND(ISNUMBER($J97),$J97&lt;QC_RECOVERY_MIN),"Recovered less than the QC minimum of the depth driven — the increments may not sit where you think. Do NOT stretch them back out. ","")&amp;IF(AND(ISNUMBER($K97),$K97&gt;0,$L97="Fine earth / total volume"),"Coarse fragments recorded and the lab basis already accounts for them — no further correction applied, which is correct. ",""))</f>
        <v/>
      </c>
      <c r="T97" s="6"/>
      <c r="U97" s="9" t="n">
        <f aca="false">IF($B97="",0,IF(COUNTIFS($B$5:$B97,$B97)=1,1,0))</f>
        <v>0</v>
      </c>
    </row>
    <row r="98" customFormat="false" ht="15" hidden="false" customHeight="false" outlineLevel="0" collapsed="false">
      <c r="A98" s="6"/>
      <c r="B98" s="6"/>
      <c r="C98" s="6"/>
      <c r="D98" s="6"/>
      <c r="E98" s="6"/>
      <c r="F98" s="9" t="str">
        <f aca="false">IF(OR($D98="",$E98=""),"",$E98-$D98)</f>
        <v/>
      </c>
      <c r="G98" s="6"/>
      <c r="H98" s="6"/>
      <c r="I98" s="6"/>
      <c r="J98" s="9" t="str">
        <f aca="false">IF(OR(NOT(ISNUMBER($H98)),NOT(ISNUMBER($I98)),$H98=0),"",$I98/$H98)</f>
        <v/>
      </c>
      <c r="K98" s="6"/>
      <c r="L98" s="8"/>
      <c r="M98" s="7"/>
      <c r="N98" s="7"/>
      <c r="O98" s="9" t="str">
        <f aca="false">IF(NOT(ISNUMBER($M98)),"",IF($L98="Fine earth / fine-earth volume",$M98*(1-IF(ISNUMBER($K98),$K98,0)/100),$M98))</f>
        <v/>
      </c>
      <c r="P98" s="9" t="str">
        <f aca="false">IF(OR(NOT(ISNUMBER($O98)),NOT(ISNUMBER($N98)),NOT(ISNUMBER($F98))),"",$O98*($N98/100)*$F98*10)</f>
        <v/>
      </c>
      <c r="Q98" s="9" t="str">
        <f aca="false">IF(OR(NOT(ISNUMBER($D98)),NOT(ISNUMBER($E98))),"",MAX(0,MIN($E98,SOIL_REPORTING_DEPTH_CM)-MIN($D98,SOIL_REPORTING_DEPTH_CM)))</f>
        <v/>
      </c>
      <c r="R98" s="9" t="str">
        <f aca="false">IF(OR(NOT(ISNUMBER($O98)),NOT(ISNUMBER($N98)),NOT(ISNUMBER($Q98))),"",$O98*($N98/100)*$Q98*10)</f>
        <v/>
      </c>
      <c r="S98" s="11" t="str">
        <f aca="false">IF(AND($A98="",$B98="",$D98=""),"",IF(AND($A98&lt;&gt;"",COUNTIF('1. Plot &amp; Site Log'!$A$5:$A$64,$A98)=0),"Plot ID not in the Plot &amp; Site Log. ","")&amp;IF(AND(ISNUMBER($D98),ISNUMBER($E98),$E98&lt;=$D98),"Bottom depth is not below top depth. ","")&amp;IF($L98="Not confirmed","Bulk-density basis not confirmed with the lab — the coarse-fragment correction may be wrong or doubled. ","")&amp;IF(LAB_BULK_DENSITY_BASIS="Not confirmed","No lab bulk-density basis is on file in Settings (LAB_BULK_DENSITY_BASIS), so nothing checks this row. ","")&amp;IF(AND($L98&lt;&gt;"",LAB_BULK_DENSITY_BASIS&lt;&gt;"Not confirmed",$L98&lt;&gt;LAB_BULK_DENSITY_BASIS),"This row's bulk-density basis disagrees with the lab method on file. One of "&amp;"the two is wrong, and the coarse-fragment correction follows the row. ","")&amp;IF(AND(ISNUMBER($M98),OR($M98&lt;QC_BD_MIN,$M98&gt;QC_BD_MAX)),"Bulk density outside the plausible range for a mineral grassland soil. ","")&amp;IF(AND(ISNUMBER($N98),$N98&gt;QC_CARBON_PCT_MAX),"Organic carbon above the QC ceiling — check units, and whether this is an organic horizon. ","")&amp;IF(AND(ISNUMBER($J98),$J98&lt;QC_RECOVERY_MIN),"Recovered less than the QC minimum of the depth driven — the increments may not sit where you think. Do NOT stretch them back out. ","")&amp;IF(AND(ISNUMBER($K98),$K98&gt;0,$L98="Fine earth / total volume"),"Coarse fragments recorded and the lab basis already accounts for them — no further correction applied, which is correct. ",""))</f>
        <v/>
      </c>
      <c r="T98" s="6"/>
      <c r="U98" s="9" t="n">
        <f aca="false">IF($B98="",0,IF(COUNTIFS($B$5:$B98,$B98)=1,1,0))</f>
        <v>0</v>
      </c>
    </row>
    <row r="99" customFormat="false" ht="15" hidden="false" customHeight="false" outlineLevel="0" collapsed="false">
      <c r="A99" s="6"/>
      <c r="B99" s="6"/>
      <c r="C99" s="6"/>
      <c r="D99" s="6"/>
      <c r="E99" s="6"/>
      <c r="F99" s="9" t="str">
        <f aca="false">IF(OR($D99="",$E99=""),"",$E99-$D99)</f>
        <v/>
      </c>
      <c r="G99" s="6"/>
      <c r="H99" s="6"/>
      <c r="I99" s="6"/>
      <c r="J99" s="9" t="str">
        <f aca="false">IF(OR(NOT(ISNUMBER($H99)),NOT(ISNUMBER($I99)),$H99=0),"",$I99/$H99)</f>
        <v/>
      </c>
      <c r="K99" s="6"/>
      <c r="L99" s="8"/>
      <c r="M99" s="7"/>
      <c r="N99" s="7"/>
      <c r="O99" s="9" t="str">
        <f aca="false">IF(NOT(ISNUMBER($M99)),"",IF($L99="Fine earth / fine-earth volume",$M99*(1-IF(ISNUMBER($K99),$K99,0)/100),$M99))</f>
        <v/>
      </c>
      <c r="P99" s="9" t="str">
        <f aca="false">IF(OR(NOT(ISNUMBER($O99)),NOT(ISNUMBER($N99)),NOT(ISNUMBER($F99))),"",$O99*($N99/100)*$F99*10)</f>
        <v/>
      </c>
      <c r="Q99" s="9" t="str">
        <f aca="false">IF(OR(NOT(ISNUMBER($D99)),NOT(ISNUMBER($E99))),"",MAX(0,MIN($E99,SOIL_REPORTING_DEPTH_CM)-MIN($D99,SOIL_REPORTING_DEPTH_CM)))</f>
        <v/>
      </c>
      <c r="R99" s="9" t="str">
        <f aca="false">IF(OR(NOT(ISNUMBER($O99)),NOT(ISNUMBER($N99)),NOT(ISNUMBER($Q99))),"",$O99*($N99/100)*$Q99*10)</f>
        <v/>
      </c>
      <c r="S99" s="11" t="str">
        <f aca="false">IF(AND($A99="",$B99="",$D99=""),"",IF(AND($A99&lt;&gt;"",COUNTIF('1. Plot &amp; Site Log'!$A$5:$A$64,$A99)=0),"Plot ID not in the Plot &amp; Site Log. ","")&amp;IF(AND(ISNUMBER($D99),ISNUMBER($E99),$E99&lt;=$D99),"Bottom depth is not below top depth. ","")&amp;IF($L99="Not confirmed","Bulk-density basis not confirmed with the lab — the coarse-fragment correction may be wrong or doubled. ","")&amp;IF(LAB_BULK_DENSITY_BASIS="Not confirmed","No lab bulk-density basis is on file in Settings (LAB_BULK_DENSITY_BASIS), so nothing checks this row. ","")&amp;IF(AND($L99&lt;&gt;"",LAB_BULK_DENSITY_BASIS&lt;&gt;"Not confirmed",$L99&lt;&gt;LAB_BULK_DENSITY_BASIS),"This row's bulk-density basis disagrees with the lab method on file. One of "&amp;"the two is wrong, and the coarse-fragment correction follows the row. ","")&amp;IF(AND(ISNUMBER($M99),OR($M99&lt;QC_BD_MIN,$M99&gt;QC_BD_MAX)),"Bulk density outside the plausible range for a mineral grassland soil. ","")&amp;IF(AND(ISNUMBER($N99),$N99&gt;QC_CARBON_PCT_MAX),"Organic carbon above the QC ceiling — check units, and whether this is an organic horizon. ","")&amp;IF(AND(ISNUMBER($J99),$J99&lt;QC_RECOVERY_MIN),"Recovered less than the QC minimum of the depth driven — the increments may not sit where you think. Do NOT stretch them back out. ","")&amp;IF(AND(ISNUMBER($K99),$K99&gt;0,$L99="Fine earth / total volume"),"Coarse fragments recorded and the lab basis already accounts for them — no further correction applied, which is correct. ",""))</f>
        <v/>
      </c>
      <c r="T99" s="6"/>
      <c r="U99" s="9" t="n">
        <f aca="false">IF($B99="",0,IF(COUNTIFS($B$5:$B99,$B99)=1,1,0))</f>
        <v>0</v>
      </c>
    </row>
    <row r="100" customFormat="false" ht="15" hidden="false" customHeight="false" outlineLevel="0" collapsed="false">
      <c r="A100" s="6"/>
      <c r="B100" s="6"/>
      <c r="C100" s="6"/>
      <c r="D100" s="6"/>
      <c r="E100" s="6"/>
      <c r="F100" s="9" t="str">
        <f aca="false">IF(OR($D100="",$E100=""),"",$E100-$D100)</f>
        <v/>
      </c>
      <c r="G100" s="6"/>
      <c r="H100" s="6"/>
      <c r="I100" s="6"/>
      <c r="J100" s="9" t="str">
        <f aca="false">IF(OR(NOT(ISNUMBER($H100)),NOT(ISNUMBER($I100)),$H100=0),"",$I100/$H100)</f>
        <v/>
      </c>
      <c r="K100" s="6"/>
      <c r="L100" s="8"/>
      <c r="M100" s="7"/>
      <c r="N100" s="7"/>
      <c r="O100" s="9" t="str">
        <f aca="false">IF(NOT(ISNUMBER($M100)),"",IF($L100="Fine earth / fine-earth volume",$M100*(1-IF(ISNUMBER($K100),$K100,0)/100),$M100))</f>
        <v/>
      </c>
      <c r="P100" s="9" t="str">
        <f aca="false">IF(OR(NOT(ISNUMBER($O100)),NOT(ISNUMBER($N100)),NOT(ISNUMBER($F100))),"",$O100*($N100/100)*$F100*10)</f>
        <v/>
      </c>
      <c r="Q100" s="9" t="str">
        <f aca="false">IF(OR(NOT(ISNUMBER($D100)),NOT(ISNUMBER($E100))),"",MAX(0,MIN($E100,SOIL_REPORTING_DEPTH_CM)-MIN($D100,SOIL_REPORTING_DEPTH_CM)))</f>
        <v/>
      </c>
      <c r="R100" s="9" t="str">
        <f aca="false">IF(OR(NOT(ISNUMBER($O100)),NOT(ISNUMBER($N100)),NOT(ISNUMBER($Q100))),"",$O100*($N100/100)*$Q100*10)</f>
        <v/>
      </c>
      <c r="S100" s="11" t="str">
        <f aca="false">IF(AND($A100="",$B100="",$D100=""),"",IF(AND($A100&lt;&gt;"",COUNTIF('1. Plot &amp; Site Log'!$A$5:$A$64,$A100)=0),"Plot ID not in the Plot &amp; Site Log. ","")&amp;IF(AND(ISNUMBER($D100),ISNUMBER($E100),$E100&lt;=$D100),"Bottom depth is not below top depth. ","")&amp;IF($L100="Not confirmed","Bulk-density basis not confirmed with the lab — the coarse-fragment correction may be wrong or doubled. ","")&amp;IF(LAB_BULK_DENSITY_BASIS="Not confirmed","No lab bulk-density basis is on file in Settings (LAB_BULK_DENSITY_BASIS), so nothing checks this row. ","")&amp;IF(AND($L100&lt;&gt;"",LAB_BULK_DENSITY_BASIS&lt;&gt;"Not confirmed",$L100&lt;&gt;LAB_BULK_DENSITY_BASIS),"This row's bulk-density basis disagrees with the lab method on file. One of "&amp;"the two is wrong, and the coarse-fragment correction follows the row. ","")&amp;IF(AND(ISNUMBER($M100),OR($M100&lt;QC_BD_MIN,$M100&gt;QC_BD_MAX)),"Bulk density outside the plausible range for a mineral grassland soil. ","")&amp;IF(AND(ISNUMBER($N100),$N100&gt;QC_CARBON_PCT_MAX),"Organic carbon above the QC ceiling — check units, and whether this is an organic horizon. ","")&amp;IF(AND(ISNUMBER($J100),$J100&lt;QC_RECOVERY_MIN),"Recovered less than the QC minimum of the depth driven — the increments may not sit where you think. Do NOT stretch them back out. ","")&amp;IF(AND(ISNUMBER($K100),$K100&gt;0,$L100="Fine earth / total volume"),"Coarse fragments recorded and the lab basis already accounts for them — no further correction applied, which is correct. ",""))</f>
        <v/>
      </c>
      <c r="T100" s="6"/>
      <c r="U100" s="9" t="n">
        <f aca="false">IF($B100="",0,IF(COUNTIFS($B$5:$B100,$B100)=1,1,0))</f>
        <v>0</v>
      </c>
    </row>
    <row r="101" customFormat="false" ht="15" hidden="false" customHeight="false" outlineLevel="0" collapsed="false">
      <c r="A101" s="6"/>
      <c r="B101" s="6"/>
      <c r="C101" s="6"/>
      <c r="D101" s="6"/>
      <c r="E101" s="6"/>
      <c r="F101" s="9" t="str">
        <f aca="false">IF(OR($D101="",$E101=""),"",$E101-$D101)</f>
        <v/>
      </c>
      <c r="G101" s="6"/>
      <c r="H101" s="6"/>
      <c r="I101" s="6"/>
      <c r="J101" s="9" t="str">
        <f aca="false">IF(OR(NOT(ISNUMBER($H101)),NOT(ISNUMBER($I101)),$H101=0),"",$I101/$H101)</f>
        <v/>
      </c>
      <c r="K101" s="6"/>
      <c r="L101" s="8"/>
      <c r="M101" s="7"/>
      <c r="N101" s="7"/>
      <c r="O101" s="9" t="str">
        <f aca="false">IF(NOT(ISNUMBER($M101)),"",IF($L101="Fine earth / fine-earth volume",$M101*(1-IF(ISNUMBER($K101),$K101,0)/100),$M101))</f>
        <v/>
      </c>
      <c r="P101" s="9" t="str">
        <f aca="false">IF(OR(NOT(ISNUMBER($O101)),NOT(ISNUMBER($N101)),NOT(ISNUMBER($F101))),"",$O101*($N101/100)*$F101*10)</f>
        <v/>
      </c>
      <c r="Q101" s="9" t="str">
        <f aca="false">IF(OR(NOT(ISNUMBER($D101)),NOT(ISNUMBER($E101))),"",MAX(0,MIN($E101,SOIL_REPORTING_DEPTH_CM)-MIN($D101,SOIL_REPORTING_DEPTH_CM)))</f>
        <v/>
      </c>
      <c r="R101" s="9" t="str">
        <f aca="false">IF(OR(NOT(ISNUMBER($O101)),NOT(ISNUMBER($N101)),NOT(ISNUMBER($Q101))),"",$O101*($N101/100)*$Q101*10)</f>
        <v/>
      </c>
      <c r="S101" s="11" t="str">
        <f aca="false">IF(AND($A101="",$B101="",$D101=""),"",IF(AND($A101&lt;&gt;"",COUNTIF('1. Plot &amp; Site Log'!$A$5:$A$64,$A101)=0),"Plot ID not in the Plot &amp; Site Log. ","")&amp;IF(AND(ISNUMBER($D101),ISNUMBER($E101),$E101&lt;=$D101),"Bottom depth is not below top depth. ","")&amp;IF($L101="Not confirmed","Bulk-density basis not confirmed with the lab — the coarse-fragment correction may be wrong or doubled. ","")&amp;IF(LAB_BULK_DENSITY_BASIS="Not confirmed","No lab bulk-density basis is on file in Settings (LAB_BULK_DENSITY_BASIS), so nothing checks this row. ","")&amp;IF(AND($L101&lt;&gt;"",LAB_BULK_DENSITY_BASIS&lt;&gt;"Not confirmed",$L101&lt;&gt;LAB_BULK_DENSITY_BASIS),"This row's bulk-density basis disagrees with the lab method on file. One of "&amp;"the two is wrong, and the coarse-fragment correction follows the row. ","")&amp;IF(AND(ISNUMBER($M101),OR($M101&lt;QC_BD_MIN,$M101&gt;QC_BD_MAX)),"Bulk density outside the plausible range for a mineral grassland soil. ","")&amp;IF(AND(ISNUMBER($N101),$N101&gt;QC_CARBON_PCT_MAX),"Organic carbon above the QC ceiling — check units, and whether this is an organic horizon. ","")&amp;IF(AND(ISNUMBER($J101),$J101&lt;QC_RECOVERY_MIN),"Recovered less than the QC minimum of the depth driven — the increments may not sit where you think. Do NOT stretch them back out. ","")&amp;IF(AND(ISNUMBER($K101),$K101&gt;0,$L101="Fine earth / total volume"),"Coarse fragments recorded and the lab basis already accounts for them — no further correction applied, which is correct. ",""))</f>
        <v/>
      </c>
      <c r="T101" s="6"/>
      <c r="U101" s="9" t="n">
        <f aca="false">IF($B101="",0,IF(COUNTIFS($B$5:$B101,$B101)=1,1,0))</f>
        <v>0</v>
      </c>
    </row>
    <row r="102" customFormat="false" ht="15" hidden="false" customHeight="false" outlineLevel="0" collapsed="false">
      <c r="A102" s="6"/>
      <c r="B102" s="6"/>
      <c r="C102" s="6"/>
      <c r="D102" s="6"/>
      <c r="E102" s="6"/>
      <c r="F102" s="9" t="str">
        <f aca="false">IF(OR($D102="",$E102=""),"",$E102-$D102)</f>
        <v/>
      </c>
      <c r="G102" s="6"/>
      <c r="H102" s="6"/>
      <c r="I102" s="6"/>
      <c r="J102" s="9" t="str">
        <f aca="false">IF(OR(NOT(ISNUMBER($H102)),NOT(ISNUMBER($I102)),$H102=0),"",$I102/$H102)</f>
        <v/>
      </c>
      <c r="K102" s="6"/>
      <c r="L102" s="8"/>
      <c r="M102" s="7"/>
      <c r="N102" s="7"/>
      <c r="O102" s="9" t="str">
        <f aca="false">IF(NOT(ISNUMBER($M102)),"",IF($L102="Fine earth / fine-earth volume",$M102*(1-IF(ISNUMBER($K102),$K102,0)/100),$M102))</f>
        <v/>
      </c>
      <c r="P102" s="9" t="str">
        <f aca="false">IF(OR(NOT(ISNUMBER($O102)),NOT(ISNUMBER($N102)),NOT(ISNUMBER($F102))),"",$O102*($N102/100)*$F102*10)</f>
        <v/>
      </c>
      <c r="Q102" s="9" t="str">
        <f aca="false">IF(OR(NOT(ISNUMBER($D102)),NOT(ISNUMBER($E102))),"",MAX(0,MIN($E102,SOIL_REPORTING_DEPTH_CM)-MIN($D102,SOIL_REPORTING_DEPTH_CM)))</f>
        <v/>
      </c>
      <c r="R102" s="9" t="str">
        <f aca="false">IF(OR(NOT(ISNUMBER($O102)),NOT(ISNUMBER($N102)),NOT(ISNUMBER($Q102))),"",$O102*($N102/100)*$Q102*10)</f>
        <v/>
      </c>
      <c r="S102" s="11" t="str">
        <f aca="false">IF(AND($A102="",$B102="",$D102=""),"",IF(AND($A102&lt;&gt;"",COUNTIF('1. Plot &amp; Site Log'!$A$5:$A$64,$A102)=0),"Plot ID not in the Plot &amp; Site Log. ","")&amp;IF(AND(ISNUMBER($D102),ISNUMBER($E102),$E102&lt;=$D102),"Bottom depth is not below top depth. ","")&amp;IF($L102="Not confirmed","Bulk-density basis not confirmed with the lab — the coarse-fragment correction may be wrong or doubled. ","")&amp;IF(LAB_BULK_DENSITY_BASIS="Not confirmed","No lab bulk-density basis is on file in Settings (LAB_BULK_DENSITY_BASIS), so nothing checks this row. ","")&amp;IF(AND($L102&lt;&gt;"",LAB_BULK_DENSITY_BASIS&lt;&gt;"Not confirmed",$L102&lt;&gt;LAB_BULK_DENSITY_BASIS),"This row's bulk-density basis disagrees with the lab method on file. One of "&amp;"the two is wrong, and the coarse-fragment correction follows the row. ","")&amp;IF(AND(ISNUMBER($M102),OR($M102&lt;QC_BD_MIN,$M102&gt;QC_BD_MAX)),"Bulk density outside the plausible range for a mineral grassland soil. ","")&amp;IF(AND(ISNUMBER($N102),$N102&gt;QC_CARBON_PCT_MAX),"Organic carbon above the QC ceiling — check units, and whether this is an organic horizon. ","")&amp;IF(AND(ISNUMBER($J102),$J102&lt;QC_RECOVERY_MIN),"Recovered less than the QC minimum of the depth driven — the increments may not sit where you think. Do NOT stretch them back out. ","")&amp;IF(AND(ISNUMBER($K102),$K102&gt;0,$L102="Fine earth / total volume"),"Coarse fragments recorded and the lab basis already accounts for them — no further correction applied, which is correct. ",""))</f>
        <v/>
      </c>
      <c r="T102" s="6"/>
      <c r="U102" s="9" t="n">
        <f aca="false">IF($B102="",0,IF(COUNTIFS($B$5:$B102,$B102)=1,1,0))</f>
        <v>0</v>
      </c>
    </row>
    <row r="103" customFormat="false" ht="15" hidden="false" customHeight="false" outlineLevel="0" collapsed="false">
      <c r="A103" s="6"/>
      <c r="B103" s="6"/>
      <c r="C103" s="6"/>
      <c r="D103" s="6"/>
      <c r="E103" s="6"/>
      <c r="F103" s="9" t="str">
        <f aca="false">IF(OR($D103="",$E103=""),"",$E103-$D103)</f>
        <v/>
      </c>
      <c r="G103" s="6"/>
      <c r="H103" s="6"/>
      <c r="I103" s="6"/>
      <c r="J103" s="9" t="str">
        <f aca="false">IF(OR(NOT(ISNUMBER($H103)),NOT(ISNUMBER($I103)),$H103=0),"",$I103/$H103)</f>
        <v/>
      </c>
      <c r="K103" s="6"/>
      <c r="L103" s="8"/>
      <c r="M103" s="7"/>
      <c r="N103" s="7"/>
      <c r="O103" s="9" t="str">
        <f aca="false">IF(NOT(ISNUMBER($M103)),"",IF($L103="Fine earth / fine-earth volume",$M103*(1-IF(ISNUMBER($K103),$K103,0)/100),$M103))</f>
        <v/>
      </c>
      <c r="P103" s="9" t="str">
        <f aca="false">IF(OR(NOT(ISNUMBER($O103)),NOT(ISNUMBER($N103)),NOT(ISNUMBER($F103))),"",$O103*($N103/100)*$F103*10)</f>
        <v/>
      </c>
      <c r="Q103" s="9" t="str">
        <f aca="false">IF(OR(NOT(ISNUMBER($D103)),NOT(ISNUMBER($E103))),"",MAX(0,MIN($E103,SOIL_REPORTING_DEPTH_CM)-MIN($D103,SOIL_REPORTING_DEPTH_CM)))</f>
        <v/>
      </c>
      <c r="R103" s="9" t="str">
        <f aca="false">IF(OR(NOT(ISNUMBER($O103)),NOT(ISNUMBER($N103)),NOT(ISNUMBER($Q103))),"",$O103*($N103/100)*$Q103*10)</f>
        <v/>
      </c>
      <c r="S103" s="11" t="str">
        <f aca="false">IF(AND($A103="",$B103="",$D103=""),"",IF(AND($A103&lt;&gt;"",COUNTIF('1. Plot &amp; Site Log'!$A$5:$A$64,$A103)=0),"Plot ID not in the Plot &amp; Site Log. ","")&amp;IF(AND(ISNUMBER($D103),ISNUMBER($E103),$E103&lt;=$D103),"Bottom depth is not below top depth. ","")&amp;IF($L103="Not confirmed","Bulk-density basis not confirmed with the lab — the coarse-fragment correction may be wrong or doubled. ","")&amp;IF(LAB_BULK_DENSITY_BASIS="Not confirmed","No lab bulk-density basis is on file in Settings (LAB_BULK_DENSITY_BASIS), so nothing checks this row. ","")&amp;IF(AND($L103&lt;&gt;"",LAB_BULK_DENSITY_BASIS&lt;&gt;"Not confirmed",$L103&lt;&gt;LAB_BULK_DENSITY_BASIS),"This row's bulk-density basis disagrees with the lab method on file. One of "&amp;"the two is wrong, and the coarse-fragment correction follows the row. ","")&amp;IF(AND(ISNUMBER($M103),OR($M103&lt;QC_BD_MIN,$M103&gt;QC_BD_MAX)),"Bulk density outside the plausible range for a mineral grassland soil. ","")&amp;IF(AND(ISNUMBER($N103),$N103&gt;QC_CARBON_PCT_MAX),"Organic carbon above the QC ceiling — check units, and whether this is an organic horizon. ","")&amp;IF(AND(ISNUMBER($J103),$J103&lt;QC_RECOVERY_MIN),"Recovered less than the QC minimum of the depth driven — the increments may not sit where you think. Do NOT stretch them back out. ","")&amp;IF(AND(ISNUMBER($K103),$K103&gt;0,$L103="Fine earth / total volume"),"Coarse fragments recorded and the lab basis already accounts for them — no further correction applied, which is correct. ",""))</f>
        <v/>
      </c>
      <c r="T103" s="6"/>
      <c r="U103" s="9" t="n">
        <f aca="false">IF($B103="",0,IF(COUNTIFS($B$5:$B103,$B103)=1,1,0))</f>
        <v>0</v>
      </c>
    </row>
    <row r="104" customFormat="false" ht="15" hidden="false" customHeight="false" outlineLevel="0" collapsed="false">
      <c r="A104" s="6"/>
      <c r="B104" s="6"/>
      <c r="C104" s="6"/>
      <c r="D104" s="6"/>
      <c r="E104" s="6"/>
      <c r="F104" s="9" t="str">
        <f aca="false">IF(OR($D104="",$E104=""),"",$E104-$D104)</f>
        <v/>
      </c>
      <c r="G104" s="6"/>
      <c r="H104" s="6"/>
      <c r="I104" s="6"/>
      <c r="J104" s="9" t="str">
        <f aca="false">IF(OR(NOT(ISNUMBER($H104)),NOT(ISNUMBER($I104)),$H104=0),"",$I104/$H104)</f>
        <v/>
      </c>
      <c r="K104" s="6"/>
      <c r="L104" s="8"/>
      <c r="M104" s="7"/>
      <c r="N104" s="7"/>
      <c r="O104" s="9" t="str">
        <f aca="false">IF(NOT(ISNUMBER($M104)),"",IF($L104="Fine earth / fine-earth volume",$M104*(1-IF(ISNUMBER($K104),$K104,0)/100),$M104))</f>
        <v/>
      </c>
      <c r="P104" s="9" t="str">
        <f aca="false">IF(OR(NOT(ISNUMBER($O104)),NOT(ISNUMBER($N104)),NOT(ISNUMBER($F104))),"",$O104*($N104/100)*$F104*10)</f>
        <v/>
      </c>
      <c r="Q104" s="9" t="str">
        <f aca="false">IF(OR(NOT(ISNUMBER($D104)),NOT(ISNUMBER($E104))),"",MAX(0,MIN($E104,SOIL_REPORTING_DEPTH_CM)-MIN($D104,SOIL_REPORTING_DEPTH_CM)))</f>
        <v/>
      </c>
      <c r="R104" s="9" t="str">
        <f aca="false">IF(OR(NOT(ISNUMBER($O104)),NOT(ISNUMBER($N104)),NOT(ISNUMBER($Q104))),"",$O104*($N104/100)*$Q104*10)</f>
        <v/>
      </c>
      <c r="S104" s="11" t="str">
        <f aca="false">IF(AND($A104="",$B104="",$D104=""),"",IF(AND($A104&lt;&gt;"",COUNTIF('1. Plot &amp; Site Log'!$A$5:$A$64,$A104)=0),"Plot ID not in the Plot &amp; Site Log. ","")&amp;IF(AND(ISNUMBER($D104),ISNUMBER($E104),$E104&lt;=$D104),"Bottom depth is not below top depth. ","")&amp;IF($L104="Not confirmed","Bulk-density basis not confirmed with the lab — the coarse-fragment correction may be wrong or doubled. ","")&amp;IF(LAB_BULK_DENSITY_BASIS="Not confirmed","No lab bulk-density basis is on file in Settings (LAB_BULK_DENSITY_BASIS), so nothing checks this row. ","")&amp;IF(AND($L104&lt;&gt;"",LAB_BULK_DENSITY_BASIS&lt;&gt;"Not confirmed",$L104&lt;&gt;LAB_BULK_DENSITY_BASIS),"This row's bulk-density basis disagrees with the lab method on file. One of "&amp;"the two is wrong, and the coarse-fragment correction follows the row. ","")&amp;IF(AND(ISNUMBER($M104),OR($M104&lt;QC_BD_MIN,$M104&gt;QC_BD_MAX)),"Bulk density outside the plausible range for a mineral grassland soil. ","")&amp;IF(AND(ISNUMBER($N104),$N104&gt;QC_CARBON_PCT_MAX),"Organic carbon above the QC ceiling — check units, and whether this is an organic horizon. ","")&amp;IF(AND(ISNUMBER($J104),$J104&lt;QC_RECOVERY_MIN),"Recovered less than the QC minimum of the depth driven — the increments may not sit where you think. Do NOT stretch them back out. ","")&amp;IF(AND(ISNUMBER($K104),$K104&gt;0,$L104="Fine earth / total volume"),"Coarse fragments recorded and the lab basis already accounts for them — no further correction applied, which is correct. ",""))</f>
        <v/>
      </c>
      <c r="T104" s="6"/>
      <c r="U104" s="9" t="n">
        <f aca="false">IF($B104="",0,IF(COUNTIFS($B$5:$B104,$B104)=1,1,0))</f>
        <v>0</v>
      </c>
    </row>
    <row r="105" customFormat="false" ht="15" hidden="false" customHeight="false" outlineLevel="0" collapsed="false">
      <c r="A105" s="6"/>
      <c r="B105" s="6"/>
      <c r="C105" s="6"/>
      <c r="D105" s="6"/>
      <c r="E105" s="6"/>
      <c r="F105" s="9" t="str">
        <f aca="false">IF(OR($D105="",$E105=""),"",$E105-$D105)</f>
        <v/>
      </c>
      <c r="G105" s="6"/>
      <c r="H105" s="6"/>
      <c r="I105" s="6"/>
      <c r="J105" s="9" t="str">
        <f aca="false">IF(OR(NOT(ISNUMBER($H105)),NOT(ISNUMBER($I105)),$H105=0),"",$I105/$H105)</f>
        <v/>
      </c>
      <c r="K105" s="6"/>
      <c r="L105" s="8"/>
      <c r="M105" s="7"/>
      <c r="N105" s="7"/>
      <c r="O105" s="9" t="str">
        <f aca="false">IF(NOT(ISNUMBER($M105)),"",IF($L105="Fine earth / fine-earth volume",$M105*(1-IF(ISNUMBER($K105),$K105,0)/100),$M105))</f>
        <v/>
      </c>
      <c r="P105" s="9" t="str">
        <f aca="false">IF(OR(NOT(ISNUMBER($O105)),NOT(ISNUMBER($N105)),NOT(ISNUMBER($F105))),"",$O105*($N105/100)*$F105*10)</f>
        <v/>
      </c>
      <c r="Q105" s="9" t="str">
        <f aca="false">IF(OR(NOT(ISNUMBER($D105)),NOT(ISNUMBER($E105))),"",MAX(0,MIN($E105,SOIL_REPORTING_DEPTH_CM)-MIN($D105,SOIL_REPORTING_DEPTH_CM)))</f>
        <v/>
      </c>
      <c r="R105" s="9" t="str">
        <f aca="false">IF(OR(NOT(ISNUMBER($O105)),NOT(ISNUMBER($N105)),NOT(ISNUMBER($Q105))),"",$O105*($N105/100)*$Q105*10)</f>
        <v/>
      </c>
      <c r="S105" s="11" t="str">
        <f aca="false">IF(AND($A105="",$B105="",$D105=""),"",IF(AND($A105&lt;&gt;"",COUNTIF('1. Plot &amp; Site Log'!$A$5:$A$64,$A105)=0),"Plot ID not in the Plot &amp; Site Log. ","")&amp;IF(AND(ISNUMBER($D105),ISNUMBER($E105),$E105&lt;=$D105),"Bottom depth is not below top depth. ","")&amp;IF($L105="Not confirmed","Bulk-density basis not confirmed with the lab — the coarse-fragment correction may be wrong or doubled. ","")&amp;IF(LAB_BULK_DENSITY_BASIS="Not confirmed","No lab bulk-density basis is on file in Settings (LAB_BULK_DENSITY_BASIS), so nothing checks this row. ","")&amp;IF(AND($L105&lt;&gt;"",LAB_BULK_DENSITY_BASIS&lt;&gt;"Not confirmed",$L105&lt;&gt;LAB_BULK_DENSITY_BASIS),"This row's bulk-density basis disagrees with the lab method on file. One of "&amp;"the two is wrong, and the coarse-fragment correction follows the row. ","")&amp;IF(AND(ISNUMBER($M105),OR($M105&lt;QC_BD_MIN,$M105&gt;QC_BD_MAX)),"Bulk density outside the plausible range for a mineral grassland soil. ","")&amp;IF(AND(ISNUMBER($N105),$N105&gt;QC_CARBON_PCT_MAX),"Organic carbon above the QC ceiling — check units, and whether this is an organic horizon. ","")&amp;IF(AND(ISNUMBER($J105),$J105&lt;QC_RECOVERY_MIN),"Recovered less than the QC minimum of the depth driven — the increments may not sit where you think. Do NOT stretch them back out. ","")&amp;IF(AND(ISNUMBER($K105),$K105&gt;0,$L105="Fine earth / total volume"),"Coarse fragments recorded and the lab basis already accounts for them — no further correction applied, which is correct. ",""))</f>
        <v/>
      </c>
      <c r="T105" s="6"/>
      <c r="U105" s="9" t="n">
        <f aca="false">IF($B105="",0,IF(COUNTIFS($B$5:$B105,$B105)=1,1,0))</f>
        <v>0</v>
      </c>
    </row>
    <row r="106" customFormat="false" ht="15" hidden="false" customHeight="false" outlineLevel="0" collapsed="false">
      <c r="A106" s="6"/>
      <c r="B106" s="6"/>
      <c r="C106" s="6"/>
      <c r="D106" s="6"/>
      <c r="E106" s="6"/>
      <c r="F106" s="9" t="str">
        <f aca="false">IF(OR($D106="",$E106=""),"",$E106-$D106)</f>
        <v/>
      </c>
      <c r="G106" s="6"/>
      <c r="H106" s="6"/>
      <c r="I106" s="6"/>
      <c r="J106" s="9" t="str">
        <f aca="false">IF(OR(NOT(ISNUMBER($H106)),NOT(ISNUMBER($I106)),$H106=0),"",$I106/$H106)</f>
        <v/>
      </c>
      <c r="K106" s="6"/>
      <c r="L106" s="8"/>
      <c r="M106" s="7"/>
      <c r="N106" s="7"/>
      <c r="O106" s="9" t="str">
        <f aca="false">IF(NOT(ISNUMBER($M106)),"",IF($L106="Fine earth / fine-earth volume",$M106*(1-IF(ISNUMBER($K106),$K106,0)/100),$M106))</f>
        <v/>
      </c>
      <c r="P106" s="9" t="str">
        <f aca="false">IF(OR(NOT(ISNUMBER($O106)),NOT(ISNUMBER($N106)),NOT(ISNUMBER($F106))),"",$O106*($N106/100)*$F106*10)</f>
        <v/>
      </c>
      <c r="Q106" s="9" t="str">
        <f aca="false">IF(OR(NOT(ISNUMBER($D106)),NOT(ISNUMBER($E106))),"",MAX(0,MIN($E106,SOIL_REPORTING_DEPTH_CM)-MIN($D106,SOIL_REPORTING_DEPTH_CM)))</f>
        <v/>
      </c>
      <c r="R106" s="9" t="str">
        <f aca="false">IF(OR(NOT(ISNUMBER($O106)),NOT(ISNUMBER($N106)),NOT(ISNUMBER($Q106))),"",$O106*($N106/100)*$Q106*10)</f>
        <v/>
      </c>
      <c r="S106" s="11" t="str">
        <f aca="false">IF(AND($A106="",$B106="",$D106=""),"",IF(AND($A106&lt;&gt;"",COUNTIF('1. Plot &amp; Site Log'!$A$5:$A$64,$A106)=0),"Plot ID not in the Plot &amp; Site Log. ","")&amp;IF(AND(ISNUMBER($D106),ISNUMBER($E106),$E106&lt;=$D106),"Bottom depth is not below top depth. ","")&amp;IF($L106="Not confirmed","Bulk-density basis not confirmed with the lab — the coarse-fragment correction may be wrong or doubled. ","")&amp;IF(LAB_BULK_DENSITY_BASIS="Not confirmed","No lab bulk-density basis is on file in Settings (LAB_BULK_DENSITY_BASIS), so nothing checks this row. ","")&amp;IF(AND($L106&lt;&gt;"",LAB_BULK_DENSITY_BASIS&lt;&gt;"Not confirmed",$L106&lt;&gt;LAB_BULK_DENSITY_BASIS),"This row's bulk-density basis disagrees with the lab method on file. One of "&amp;"the two is wrong, and the coarse-fragment correction follows the row. ","")&amp;IF(AND(ISNUMBER($M106),OR($M106&lt;QC_BD_MIN,$M106&gt;QC_BD_MAX)),"Bulk density outside the plausible range for a mineral grassland soil. ","")&amp;IF(AND(ISNUMBER($N106),$N106&gt;QC_CARBON_PCT_MAX),"Organic carbon above the QC ceiling — check units, and whether this is an organic horizon. ","")&amp;IF(AND(ISNUMBER($J106),$J106&lt;QC_RECOVERY_MIN),"Recovered less than the QC minimum of the depth driven — the increments may not sit where you think. Do NOT stretch them back out. ","")&amp;IF(AND(ISNUMBER($K106),$K106&gt;0,$L106="Fine earth / total volume"),"Coarse fragments recorded and the lab basis already accounts for them — no further correction applied, which is correct. ",""))</f>
        <v/>
      </c>
      <c r="T106" s="6"/>
      <c r="U106" s="9" t="n">
        <f aca="false">IF($B106="",0,IF(COUNTIFS($B$5:$B106,$B106)=1,1,0))</f>
        <v>0</v>
      </c>
    </row>
    <row r="107" customFormat="false" ht="15" hidden="false" customHeight="false" outlineLevel="0" collapsed="false">
      <c r="A107" s="6"/>
      <c r="B107" s="6"/>
      <c r="C107" s="6"/>
      <c r="D107" s="6"/>
      <c r="E107" s="6"/>
      <c r="F107" s="9" t="str">
        <f aca="false">IF(OR($D107="",$E107=""),"",$E107-$D107)</f>
        <v/>
      </c>
      <c r="G107" s="6"/>
      <c r="H107" s="6"/>
      <c r="I107" s="6"/>
      <c r="J107" s="9" t="str">
        <f aca="false">IF(OR(NOT(ISNUMBER($H107)),NOT(ISNUMBER($I107)),$H107=0),"",$I107/$H107)</f>
        <v/>
      </c>
      <c r="K107" s="6"/>
      <c r="L107" s="8"/>
      <c r="M107" s="7"/>
      <c r="N107" s="7"/>
      <c r="O107" s="9" t="str">
        <f aca="false">IF(NOT(ISNUMBER($M107)),"",IF($L107="Fine earth / fine-earth volume",$M107*(1-IF(ISNUMBER($K107),$K107,0)/100),$M107))</f>
        <v/>
      </c>
      <c r="P107" s="9" t="str">
        <f aca="false">IF(OR(NOT(ISNUMBER($O107)),NOT(ISNUMBER($N107)),NOT(ISNUMBER($F107))),"",$O107*($N107/100)*$F107*10)</f>
        <v/>
      </c>
      <c r="Q107" s="9" t="str">
        <f aca="false">IF(OR(NOT(ISNUMBER($D107)),NOT(ISNUMBER($E107))),"",MAX(0,MIN($E107,SOIL_REPORTING_DEPTH_CM)-MIN($D107,SOIL_REPORTING_DEPTH_CM)))</f>
        <v/>
      </c>
      <c r="R107" s="9" t="str">
        <f aca="false">IF(OR(NOT(ISNUMBER($O107)),NOT(ISNUMBER($N107)),NOT(ISNUMBER($Q107))),"",$O107*($N107/100)*$Q107*10)</f>
        <v/>
      </c>
      <c r="S107" s="11" t="str">
        <f aca="false">IF(AND($A107="",$B107="",$D107=""),"",IF(AND($A107&lt;&gt;"",COUNTIF('1. Plot &amp; Site Log'!$A$5:$A$64,$A107)=0),"Plot ID not in the Plot &amp; Site Log. ","")&amp;IF(AND(ISNUMBER($D107),ISNUMBER($E107),$E107&lt;=$D107),"Bottom depth is not below top depth. ","")&amp;IF($L107="Not confirmed","Bulk-density basis not confirmed with the lab — the coarse-fragment correction may be wrong or doubled. ","")&amp;IF(LAB_BULK_DENSITY_BASIS="Not confirmed","No lab bulk-density basis is on file in Settings (LAB_BULK_DENSITY_BASIS), so nothing checks this row. ","")&amp;IF(AND($L107&lt;&gt;"",LAB_BULK_DENSITY_BASIS&lt;&gt;"Not confirmed",$L107&lt;&gt;LAB_BULK_DENSITY_BASIS),"This row's bulk-density basis disagrees with the lab method on file. One of "&amp;"the two is wrong, and the coarse-fragment correction follows the row. ","")&amp;IF(AND(ISNUMBER($M107),OR($M107&lt;QC_BD_MIN,$M107&gt;QC_BD_MAX)),"Bulk density outside the plausible range for a mineral grassland soil. ","")&amp;IF(AND(ISNUMBER($N107),$N107&gt;QC_CARBON_PCT_MAX),"Organic carbon above the QC ceiling — check units, and whether this is an organic horizon. ","")&amp;IF(AND(ISNUMBER($J107),$J107&lt;QC_RECOVERY_MIN),"Recovered less than the QC minimum of the depth driven — the increments may not sit where you think. Do NOT stretch them back out. ","")&amp;IF(AND(ISNUMBER($K107),$K107&gt;0,$L107="Fine earth / total volume"),"Coarse fragments recorded and the lab basis already accounts for them — no further correction applied, which is correct. ",""))</f>
        <v/>
      </c>
      <c r="T107" s="6"/>
      <c r="U107" s="9" t="n">
        <f aca="false">IF($B107="",0,IF(COUNTIFS($B$5:$B107,$B107)=1,1,0))</f>
        <v>0</v>
      </c>
    </row>
    <row r="108" customFormat="false" ht="15" hidden="false" customHeight="false" outlineLevel="0" collapsed="false">
      <c r="A108" s="6"/>
      <c r="B108" s="6"/>
      <c r="C108" s="6"/>
      <c r="D108" s="6"/>
      <c r="E108" s="6"/>
      <c r="F108" s="9" t="str">
        <f aca="false">IF(OR($D108="",$E108=""),"",$E108-$D108)</f>
        <v/>
      </c>
      <c r="G108" s="6"/>
      <c r="H108" s="6"/>
      <c r="I108" s="6"/>
      <c r="J108" s="9" t="str">
        <f aca="false">IF(OR(NOT(ISNUMBER($H108)),NOT(ISNUMBER($I108)),$H108=0),"",$I108/$H108)</f>
        <v/>
      </c>
      <c r="K108" s="6"/>
      <c r="L108" s="8"/>
      <c r="M108" s="7"/>
      <c r="N108" s="7"/>
      <c r="O108" s="9" t="str">
        <f aca="false">IF(NOT(ISNUMBER($M108)),"",IF($L108="Fine earth / fine-earth volume",$M108*(1-IF(ISNUMBER($K108),$K108,0)/100),$M108))</f>
        <v/>
      </c>
      <c r="P108" s="9" t="str">
        <f aca="false">IF(OR(NOT(ISNUMBER($O108)),NOT(ISNUMBER($N108)),NOT(ISNUMBER($F108))),"",$O108*($N108/100)*$F108*10)</f>
        <v/>
      </c>
      <c r="Q108" s="9" t="str">
        <f aca="false">IF(OR(NOT(ISNUMBER($D108)),NOT(ISNUMBER($E108))),"",MAX(0,MIN($E108,SOIL_REPORTING_DEPTH_CM)-MIN($D108,SOIL_REPORTING_DEPTH_CM)))</f>
        <v/>
      </c>
      <c r="R108" s="9" t="str">
        <f aca="false">IF(OR(NOT(ISNUMBER($O108)),NOT(ISNUMBER($N108)),NOT(ISNUMBER($Q108))),"",$O108*($N108/100)*$Q108*10)</f>
        <v/>
      </c>
      <c r="S108" s="11" t="str">
        <f aca="false">IF(AND($A108="",$B108="",$D108=""),"",IF(AND($A108&lt;&gt;"",COUNTIF('1. Plot &amp; Site Log'!$A$5:$A$64,$A108)=0),"Plot ID not in the Plot &amp; Site Log. ","")&amp;IF(AND(ISNUMBER($D108),ISNUMBER($E108),$E108&lt;=$D108),"Bottom depth is not below top depth. ","")&amp;IF($L108="Not confirmed","Bulk-density basis not confirmed with the lab — the coarse-fragment correction may be wrong or doubled. ","")&amp;IF(LAB_BULK_DENSITY_BASIS="Not confirmed","No lab bulk-density basis is on file in Settings (LAB_BULK_DENSITY_BASIS), so nothing checks this row. ","")&amp;IF(AND($L108&lt;&gt;"",LAB_BULK_DENSITY_BASIS&lt;&gt;"Not confirmed",$L108&lt;&gt;LAB_BULK_DENSITY_BASIS),"This row's bulk-density basis disagrees with the lab method on file. One of "&amp;"the two is wrong, and the coarse-fragment correction follows the row. ","")&amp;IF(AND(ISNUMBER($M108),OR($M108&lt;QC_BD_MIN,$M108&gt;QC_BD_MAX)),"Bulk density outside the plausible range for a mineral grassland soil. ","")&amp;IF(AND(ISNUMBER($N108),$N108&gt;QC_CARBON_PCT_MAX),"Organic carbon above the QC ceiling — check units, and whether this is an organic horizon. ","")&amp;IF(AND(ISNUMBER($J108),$J108&lt;QC_RECOVERY_MIN),"Recovered less than the QC minimum of the depth driven — the increments may not sit where you think. Do NOT stretch them back out. ","")&amp;IF(AND(ISNUMBER($K108),$K108&gt;0,$L108="Fine earth / total volume"),"Coarse fragments recorded and the lab basis already accounts for them — no further correction applied, which is correct. ",""))</f>
        <v/>
      </c>
      <c r="T108" s="6"/>
      <c r="U108" s="9" t="n">
        <f aca="false">IF($B108="",0,IF(COUNTIFS($B$5:$B108,$B108)=1,1,0))</f>
        <v>0</v>
      </c>
    </row>
    <row r="109" customFormat="false" ht="15" hidden="false" customHeight="false" outlineLevel="0" collapsed="false">
      <c r="A109" s="6"/>
      <c r="B109" s="6"/>
      <c r="C109" s="6"/>
      <c r="D109" s="6"/>
      <c r="E109" s="6"/>
      <c r="F109" s="9" t="str">
        <f aca="false">IF(OR($D109="",$E109=""),"",$E109-$D109)</f>
        <v/>
      </c>
      <c r="G109" s="6"/>
      <c r="H109" s="6"/>
      <c r="I109" s="6"/>
      <c r="J109" s="9" t="str">
        <f aca="false">IF(OR(NOT(ISNUMBER($H109)),NOT(ISNUMBER($I109)),$H109=0),"",$I109/$H109)</f>
        <v/>
      </c>
      <c r="K109" s="6"/>
      <c r="L109" s="8"/>
      <c r="M109" s="7"/>
      <c r="N109" s="7"/>
      <c r="O109" s="9" t="str">
        <f aca="false">IF(NOT(ISNUMBER($M109)),"",IF($L109="Fine earth / fine-earth volume",$M109*(1-IF(ISNUMBER($K109),$K109,0)/100),$M109))</f>
        <v/>
      </c>
      <c r="P109" s="9" t="str">
        <f aca="false">IF(OR(NOT(ISNUMBER($O109)),NOT(ISNUMBER($N109)),NOT(ISNUMBER($F109))),"",$O109*($N109/100)*$F109*10)</f>
        <v/>
      </c>
      <c r="Q109" s="9" t="str">
        <f aca="false">IF(OR(NOT(ISNUMBER($D109)),NOT(ISNUMBER($E109))),"",MAX(0,MIN($E109,SOIL_REPORTING_DEPTH_CM)-MIN($D109,SOIL_REPORTING_DEPTH_CM)))</f>
        <v/>
      </c>
      <c r="R109" s="9" t="str">
        <f aca="false">IF(OR(NOT(ISNUMBER($O109)),NOT(ISNUMBER($N109)),NOT(ISNUMBER($Q109))),"",$O109*($N109/100)*$Q109*10)</f>
        <v/>
      </c>
      <c r="S109" s="11" t="str">
        <f aca="false">IF(AND($A109="",$B109="",$D109=""),"",IF(AND($A109&lt;&gt;"",COUNTIF('1. Plot &amp; Site Log'!$A$5:$A$64,$A109)=0),"Plot ID not in the Plot &amp; Site Log. ","")&amp;IF(AND(ISNUMBER($D109),ISNUMBER($E109),$E109&lt;=$D109),"Bottom depth is not below top depth. ","")&amp;IF($L109="Not confirmed","Bulk-density basis not confirmed with the lab — the coarse-fragment correction may be wrong or doubled. ","")&amp;IF(LAB_BULK_DENSITY_BASIS="Not confirmed","No lab bulk-density basis is on file in Settings (LAB_BULK_DENSITY_BASIS), so nothing checks this row. ","")&amp;IF(AND($L109&lt;&gt;"",LAB_BULK_DENSITY_BASIS&lt;&gt;"Not confirmed",$L109&lt;&gt;LAB_BULK_DENSITY_BASIS),"This row's bulk-density basis disagrees with the lab method on file. One of "&amp;"the two is wrong, and the coarse-fragment correction follows the row. ","")&amp;IF(AND(ISNUMBER($M109),OR($M109&lt;QC_BD_MIN,$M109&gt;QC_BD_MAX)),"Bulk density outside the plausible range for a mineral grassland soil. ","")&amp;IF(AND(ISNUMBER($N109),$N109&gt;QC_CARBON_PCT_MAX),"Organic carbon above the QC ceiling — check units, and whether this is an organic horizon. ","")&amp;IF(AND(ISNUMBER($J109),$J109&lt;QC_RECOVERY_MIN),"Recovered less than the QC minimum of the depth driven — the increments may not sit where you think. Do NOT stretch them back out. ","")&amp;IF(AND(ISNUMBER($K109),$K109&gt;0,$L109="Fine earth / total volume"),"Coarse fragments recorded and the lab basis already accounts for them — no further correction applied, which is correct. ",""))</f>
        <v/>
      </c>
      <c r="T109" s="6"/>
      <c r="U109" s="9" t="n">
        <f aca="false">IF($B109="",0,IF(COUNTIFS($B$5:$B109,$B109)=1,1,0))</f>
        <v>0</v>
      </c>
    </row>
    <row r="110" customFormat="false" ht="15" hidden="false" customHeight="false" outlineLevel="0" collapsed="false">
      <c r="A110" s="6"/>
      <c r="B110" s="6"/>
      <c r="C110" s="6"/>
      <c r="D110" s="6"/>
      <c r="E110" s="6"/>
      <c r="F110" s="9" t="str">
        <f aca="false">IF(OR($D110="",$E110=""),"",$E110-$D110)</f>
        <v/>
      </c>
      <c r="G110" s="6"/>
      <c r="H110" s="6"/>
      <c r="I110" s="6"/>
      <c r="J110" s="9" t="str">
        <f aca="false">IF(OR(NOT(ISNUMBER($H110)),NOT(ISNUMBER($I110)),$H110=0),"",$I110/$H110)</f>
        <v/>
      </c>
      <c r="K110" s="6"/>
      <c r="L110" s="8"/>
      <c r="M110" s="7"/>
      <c r="N110" s="7"/>
      <c r="O110" s="9" t="str">
        <f aca="false">IF(NOT(ISNUMBER($M110)),"",IF($L110="Fine earth / fine-earth volume",$M110*(1-IF(ISNUMBER($K110),$K110,0)/100),$M110))</f>
        <v/>
      </c>
      <c r="P110" s="9" t="str">
        <f aca="false">IF(OR(NOT(ISNUMBER($O110)),NOT(ISNUMBER($N110)),NOT(ISNUMBER($F110))),"",$O110*($N110/100)*$F110*10)</f>
        <v/>
      </c>
      <c r="Q110" s="9" t="str">
        <f aca="false">IF(OR(NOT(ISNUMBER($D110)),NOT(ISNUMBER($E110))),"",MAX(0,MIN($E110,SOIL_REPORTING_DEPTH_CM)-MIN($D110,SOIL_REPORTING_DEPTH_CM)))</f>
        <v/>
      </c>
      <c r="R110" s="9" t="str">
        <f aca="false">IF(OR(NOT(ISNUMBER($O110)),NOT(ISNUMBER($N110)),NOT(ISNUMBER($Q110))),"",$O110*($N110/100)*$Q110*10)</f>
        <v/>
      </c>
      <c r="S110" s="11" t="str">
        <f aca="false">IF(AND($A110="",$B110="",$D110=""),"",IF(AND($A110&lt;&gt;"",COUNTIF('1. Plot &amp; Site Log'!$A$5:$A$64,$A110)=0),"Plot ID not in the Plot &amp; Site Log. ","")&amp;IF(AND(ISNUMBER($D110),ISNUMBER($E110),$E110&lt;=$D110),"Bottom depth is not below top depth. ","")&amp;IF($L110="Not confirmed","Bulk-density basis not confirmed with the lab — the coarse-fragment correction may be wrong or doubled. ","")&amp;IF(LAB_BULK_DENSITY_BASIS="Not confirmed","No lab bulk-density basis is on file in Settings (LAB_BULK_DENSITY_BASIS), so nothing checks this row. ","")&amp;IF(AND($L110&lt;&gt;"",LAB_BULK_DENSITY_BASIS&lt;&gt;"Not confirmed",$L110&lt;&gt;LAB_BULK_DENSITY_BASIS),"This row's bulk-density basis disagrees with the lab method on file. One of "&amp;"the two is wrong, and the coarse-fragment correction follows the row. ","")&amp;IF(AND(ISNUMBER($M110),OR($M110&lt;QC_BD_MIN,$M110&gt;QC_BD_MAX)),"Bulk density outside the plausible range for a mineral grassland soil. ","")&amp;IF(AND(ISNUMBER($N110),$N110&gt;QC_CARBON_PCT_MAX),"Organic carbon above the QC ceiling — check units, and whether this is an organic horizon. ","")&amp;IF(AND(ISNUMBER($J110),$J110&lt;QC_RECOVERY_MIN),"Recovered less than the QC minimum of the depth driven — the increments may not sit where you think. Do NOT stretch them back out. ","")&amp;IF(AND(ISNUMBER($K110),$K110&gt;0,$L110="Fine earth / total volume"),"Coarse fragments recorded and the lab basis already accounts for them — no further correction applied, which is correct. ",""))</f>
        <v/>
      </c>
      <c r="T110" s="6"/>
      <c r="U110" s="9" t="n">
        <f aca="false">IF($B110="",0,IF(COUNTIFS($B$5:$B110,$B110)=1,1,0))</f>
        <v>0</v>
      </c>
    </row>
    <row r="111" customFormat="false" ht="15" hidden="false" customHeight="false" outlineLevel="0" collapsed="false">
      <c r="A111" s="6"/>
      <c r="B111" s="6"/>
      <c r="C111" s="6"/>
      <c r="D111" s="6"/>
      <c r="E111" s="6"/>
      <c r="F111" s="9" t="str">
        <f aca="false">IF(OR($D111="",$E111=""),"",$E111-$D111)</f>
        <v/>
      </c>
      <c r="G111" s="6"/>
      <c r="H111" s="6"/>
      <c r="I111" s="6"/>
      <c r="J111" s="9" t="str">
        <f aca="false">IF(OR(NOT(ISNUMBER($H111)),NOT(ISNUMBER($I111)),$H111=0),"",$I111/$H111)</f>
        <v/>
      </c>
      <c r="K111" s="6"/>
      <c r="L111" s="8"/>
      <c r="M111" s="7"/>
      <c r="N111" s="7"/>
      <c r="O111" s="9" t="str">
        <f aca="false">IF(NOT(ISNUMBER($M111)),"",IF($L111="Fine earth / fine-earth volume",$M111*(1-IF(ISNUMBER($K111),$K111,0)/100),$M111))</f>
        <v/>
      </c>
      <c r="P111" s="9" t="str">
        <f aca="false">IF(OR(NOT(ISNUMBER($O111)),NOT(ISNUMBER($N111)),NOT(ISNUMBER($F111))),"",$O111*($N111/100)*$F111*10)</f>
        <v/>
      </c>
      <c r="Q111" s="9" t="str">
        <f aca="false">IF(OR(NOT(ISNUMBER($D111)),NOT(ISNUMBER($E111))),"",MAX(0,MIN($E111,SOIL_REPORTING_DEPTH_CM)-MIN($D111,SOIL_REPORTING_DEPTH_CM)))</f>
        <v/>
      </c>
      <c r="R111" s="9" t="str">
        <f aca="false">IF(OR(NOT(ISNUMBER($O111)),NOT(ISNUMBER($N111)),NOT(ISNUMBER($Q111))),"",$O111*($N111/100)*$Q111*10)</f>
        <v/>
      </c>
      <c r="S111" s="11" t="str">
        <f aca="false">IF(AND($A111="",$B111="",$D111=""),"",IF(AND($A111&lt;&gt;"",COUNTIF('1. Plot &amp; Site Log'!$A$5:$A$64,$A111)=0),"Plot ID not in the Plot &amp; Site Log. ","")&amp;IF(AND(ISNUMBER($D111),ISNUMBER($E111),$E111&lt;=$D111),"Bottom depth is not below top depth. ","")&amp;IF($L111="Not confirmed","Bulk-density basis not confirmed with the lab — the coarse-fragment correction may be wrong or doubled. ","")&amp;IF(LAB_BULK_DENSITY_BASIS="Not confirmed","No lab bulk-density basis is on file in Settings (LAB_BULK_DENSITY_BASIS), so nothing checks this row. ","")&amp;IF(AND($L111&lt;&gt;"",LAB_BULK_DENSITY_BASIS&lt;&gt;"Not confirmed",$L111&lt;&gt;LAB_BULK_DENSITY_BASIS),"This row's bulk-density basis disagrees with the lab method on file. One of "&amp;"the two is wrong, and the coarse-fragment correction follows the row. ","")&amp;IF(AND(ISNUMBER($M111),OR($M111&lt;QC_BD_MIN,$M111&gt;QC_BD_MAX)),"Bulk density outside the plausible range for a mineral grassland soil. ","")&amp;IF(AND(ISNUMBER($N111),$N111&gt;QC_CARBON_PCT_MAX),"Organic carbon above the QC ceiling — check units, and whether this is an organic horizon. ","")&amp;IF(AND(ISNUMBER($J111),$J111&lt;QC_RECOVERY_MIN),"Recovered less than the QC minimum of the depth driven — the increments may not sit where you think. Do NOT stretch them back out. ","")&amp;IF(AND(ISNUMBER($K111),$K111&gt;0,$L111="Fine earth / total volume"),"Coarse fragments recorded and the lab basis already accounts for them — no further correction applied, which is correct. ",""))</f>
        <v/>
      </c>
      <c r="T111" s="6"/>
      <c r="U111" s="9" t="n">
        <f aca="false">IF($B111="",0,IF(COUNTIFS($B$5:$B111,$B111)=1,1,0))</f>
        <v>0</v>
      </c>
    </row>
    <row r="112" customFormat="false" ht="15" hidden="false" customHeight="false" outlineLevel="0" collapsed="false">
      <c r="A112" s="6"/>
      <c r="B112" s="6"/>
      <c r="C112" s="6"/>
      <c r="D112" s="6"/>
      <c r="E112" s="6"/>
      <c r="F112" s="9" t="str">
        <f aca="false">IF(OR($D112="",$E112=""),"",$E112-$D112)</f>
        <v/>
      </c>
      <c r="G112" s="6"/>
      <c r="H112" s="6"/>
      <c r="I112" s="6"/>
      <c r="J112" s="9" t="str">
        <f aca="false">IF(OR(NOT(ISNUMBER($H112)),NOT(ISNUMBER($I112)),$H112=0),"",$I112/$H112)</f>
        <v/>
      </c>
      <c r="K112" s="6"/>
      <c r="L112" s="8"/>
      <c r="M112" s="7"/>
      <c r="N112" s="7"/>
      <c r="O112" s="9" t="str">
        <f aca="false">IF(NOT(ISNUMBER($M112)),"",IF($L112="Fine earth / fine-earth volume",$M112*(1-IF(ISNUMBER($K112),$K112,0)/100),$M112))</f>
        <v/>
      </c>
      <c r="P112" s="9" t="str">
        <f aca="false">IF(OR(NOT(ISNUMBER($O112)),NOT(ISNUMBER($N112)),NOT(ISNUMBER($F112))),"",$O112*($N112/100)*$F112*10)</f>
        <v/>
      </c>
      <c r="Q112" s="9" t="str">
        <f aca="false">IF(OR(NOT(ISNUMBER($D112)),NOT(ISNUMBER($E112))),"",MAX(0,MIN($E112,SOIL_REPORTING_DEPTH_CM)-MIN($D112,SOIL_REPORTING_DEPTH_CM)))</f>
        <v/>
      </c>
      <c r="R112" s="9" t="str">
        <f aca="false">IF(OR(NOT(ISNUMBER($O112)),NOT(ISNUMBER($N112)),NOT(ISNUMBER($Q112))),"",$O112*($N112/100)*$Q112*10)</f>
        <v/>
      </c>
      <c r="S112" s="11" t="str">
        <f aca="false">IF(AND($A112="",$B112="",$D112=""),"",IF(AND($A112&lt;&gt;"",COUNTIF('1. Plot &amp; Site Log'!$A$5:$A$64,$A112)=0),"Plot ID not in the Plot &amp; Site Log. ","")&amp;IF(AND(ISNUMBER($D112),ISNUMBER($E112),$E112&lt;=$D112),"Bottom depth is not below top depth. ","")&amp;IF($L112="Not confirmed","Bulk-density basis not confirmed with the lab — the coarse-fragment correction may be wrong or doubled. ","")&amp;IF(LAB_BULK_DENSITY_BASIS="Not confirmed","No lab bulk-density basis is on file in Settings (LAB_BULK_DENSITY_BASIS), so nothing checks this row. ","")&amp;IF(AND($L112&lt;&gt;"",LAB_BULK_DENSITY_BASIS&lt;&gt;"Not confirmed",$L112&lt;&gt;LAB_BULK_DENSITY_BASIS),"This row's bulk-density basis disagrees with the lab method on file. One of "&amp;"the two is wrong, and the coarse-fragment correction follows the row. ","")&amp;IF(AND(ISNUMBER($M112),OR($M112&lt;QC_BD_MIN,$M112&gt;QC_BD_MAX)),"Bulk density outside the plausible range for a mineral grassland soil. ","")&amp;IF(AND(ISNUMBER($N112),$N112&gt;QC_CARBON_PCT_MAX),"Organic carbon above the QC ceiling — check units, and whether this is an organic horizon. ","")&amp;IF(AND(ISNUMBER($J112),$J112&lt;QC_RECOVERY_MIN),"Recovered less than the QC minimum of the depth driven — the increments may not sit where you think. Do NOT stretch them back out. ","")&amp;IF(AND(ISNUMBER($K112),$K112&gt;0,$L112="Fine earth / total volume"),"Coarse fragments recorded and the lab basis already accounts for them — no further correction applied, which is correct. ",""))</f>
        <v/>
      </c>
      <c r="T112" s="6"/>
      <c r="U112" s="9" t="n">
        <f aca="false">IF($B112="",0,IF(COUNTIFS($B$5:$B112,$B112)=1,1,0))</f>
        <v>0</v>
      </c>
    </row>
    <row r="113" customFormat="false" ht="15" hidden="false" customHeight="false" outlineLevel="0" collapsed="false">
      <c r="A113" s="6"/>
      <c r="B113" s="6"/>
      <c r="C113" s="6"/>
      <c r="D113" s="6"/>
      <c r="E113" s="6"/>
      <c r="F113" s="9" t="str">
        <f aca="false">IF(OR($D113="",$E113=""),"",$E113-$D113)</f>
        <v/>
      </c>
      <c r="G113" s="6"/>
      <c r="H113" s="6"/>
      <c r="I113" s="6"/>
      <c r="J113" s="9" t="str">
        <f aca="false">IF(OR(NOT(ISNUMBER($H113)),NOT(ISNUMBER($I113)),$H113=0),"",$I113/$H113)</f>
        <v/>
      </c>
      <c r="K113" s="6"/>
      <c r="L113" s="8"/>
      <c r="M113" s="7"/>
      <c r="N113" s="7"/>
      <c r="O113" s="9" t="str">
        <f aca="false">IF(NOT(ISNUMBER($M113)),"",IF($L113="Fine earth / fine-earth volume",$M113*(1-IF(ISNUMBER($K113),$K113,0)/100),$M113))</f>
        <v/>
      </c>
      <c r="P113" s="9" t="str">
        <f aca="false">IF(OR(NOT(ISNUMBER($O113)),NOT(ISNUMBER($N113)),NOT(ISNUMBER($F113))),"",$O113*($N113/100)*$F113*10)</f>
        <v/>
      </c>
      <c r="Q113" s="9" t="str">
        <f aca="false">IF(OR(NOT(ISNUMBER($D113)),NOT(ISNUMBER($E113))),"",MAX(0,MIN($E113,SOIL_REPORTING_DEPTH_CM)-MIN($D113,SOIL_REPORTING_DEPTH_CM)))</f>
        <v/>
      </c>
      <c r="R113" s="9" t="str">
        <f aca="false">IF(OR(NOT(ISNUMBER($O113)),NOT(ISNUMBER($N113)),NOT(ISNUMBER($Q113))),"",$O113*($N113/100)*$Q113*10)</f>
        <v/>
      </c>
      <c r="S113" s="11" t="str">
        <f aca="false">IF(AND($A113="",$B113="",$D113=""),"",IF(AND($A113&lt;&gt;"",COUNTIF('1. Plot &amp; Site Log'!$A$5:$A$64,$A113)=0),"Plot ID not in the Plot &amp; Site Log. ","")&amp;IF(AND(ISNUMBER($D113),ISNUMBER($E113),$E113&lt;=$D113),"Bottom depth is not below top depth. ","")&amp;IF($L113="Not confirmed","Bulk-density basis not confirmed with the lab — the coarse-fragment correction may be wrong or doubled. ","")&amp;IF(LAB_BULK_DENSITY_BASIS="Not confirmed","No lab bulk-density basis is on file in Settings (LAB_BULK_DENSITY_BASIS), so nothing checks this row. ","")&amp;IF(AND($L113&lt;&gt;"",LAB_BULK_DENSITY_BASIS&lt;&gt;"Not confirmed",$L113&lt;&gt;LAB_BULK_DENSITY_BASIS),"This row's bulk-density basis disagrees with the lab method on file. One of "&amp;"the two is wrong, and the coarse-fragment correction follows the row. ","")&amp;IF(AND(ISNUMBER($M113),OR($M113&lt;QC_BD_MIN,$M113&gt;QC_BD_MAX)),"Bulk density outside the plausible range for a mineral grassland soil. ","")&amp;IF(AND(ISNUMBER($N113),$N113&gt;QC_CARBON_PCT_MAX),"Organic carbon above the QC ceiling — check units, and whether this is an organic horizon. ","")&amp;IF(AND(ISNUMBER($J113),$J113&lt;QC_RECOVERY_MIN),"Recovered less than the QC minimum of the depth driven — the increments may not sit where you think. Do NOT stretch them back out. ","")&amp;IF(AND(ISNUMBER($K113),$K113&gt;0,$L113="Fine earth / total volume"),"Coarse fragments recorded and the lab basis already accounts for them — no further correction applied, which is correct. ",""))</f>
        <v/>
      </c>
      <c r="T113" s="6"/>
      <c r="U113" s="9" t="n">
        <f aca="false">IF($B113="",0,IF(COUNTIFS($B$5:$B113,$B113)=1,1,0))</f>
        <v>0</v>
      </c>
    </row>
    <row r="114" customFormat="false" ht="15" hidden="false" customHeight="false" outlineLevel="0" collapsed="false">
      <c r="A114" s="6"/>
      <c r="B114" s="6"/>
      <c r="C114" s="6"/>
      <c r="D114" s="6"/>
      <c r="E114" s="6"/>
      <c r="F114" s="9" t="str">
        <f aca="false">IF(OR($D114="",$E114=""),"",$E114-$D114)</f>
        <v/>
      </c>
      <c r="G114" s="6"/>
      <c r="H114" s="6"/>
      <c r="I114" s="6"/>
      <c r="J114" s="9" t="str">
        <f aca="false">IF(OR(NOT(ISNUMBER($H114)),NOT(ISNUMBER($I114)),$H114=0),"",$I114/$H114)</f>
        <v/>
      </c>
      <c r="K114" s="6"/>
      <c r="L114" s="8"/>
      <c r="M114" s="7"/>
      <c r="N114" s="7"/>
      <c r="O114" s="9" t="str">
        <f aca="false">IF(NOT(ISNUMBER($M114)),"",IF($L114="Fine earth / fine-earth volume",$M114*(1-IF(ISNUMBER($K114),$K114,0)/100),$M114))</f>
        <v/>
      </c>
      <c r="P114" s="9" t="str">
        <f aca="false">IF(OR(NOT(ISNUMBER($O114)),NOT(ISNUMBER($N114)),NOT(ISNUMBER($F114))),"",$O114*($N114/100)*$F114*10)</f>
        <v/>
      </c>
      <c r="Q114" s="9" t="str">
        <f aca="false">IF(OR(NOT(ISNUMBER($D114)),NOT(ISNUMBER($E114))),"",MAX(0,MIN($E114,SOIL_REPORTING_DEPTH_CM)-MIN($D114,SOIL_REPORTING_DEPTH_CM)))</f>
        <v/>
      </c>
      <c r="R114" s="9" t="str">
        <f aca="false">IF(OR(NOT(ISNUMBER($O114)),NOT(ISNUMBER($N114)),NOT(ISNUMBER($Q114))),"",$O114*($N114/100)*$Q114*10)</f>
        <v/>
      </c>
      <c r="S114" s="11" t="str">
        <f aca="false">IF(AND($A114="",$B114="",$D114=""),"",IF(AND($A114&lt;&gt;"",COUNTIF('1. Plot &amp; Site Log'!$A$5:$A$64,$A114)=0),"Plot ID not in the Plot &amp; Site Log. ","")&amp;IF(AND(ISNUMBER($D114),ISNUMBER($E114),$E114&lt;=$D114),"Bottom depth is not below top depth. ","")&amp;IF($L114="Not confirmed","Bulk-density basis not confirmed with the lab — the coarse-fragment correction may be wrong or doubled. ","")&amp;IF(LAB_BULK_DENSITY_BASIS="Not confirmed","No lab bulk-density basis is on file in Settings (LAB_BULK_DENSITY_BASIS), so nothing checks this row. ","")&amp;IF(AND($L114&lt;&gt;"",LAB_BULK_DENSITY_BASIS&lt;&gt;"Not confirmed",$L114&lt;&gt;LAB_BULK_DENSITY_BASIS),"This row's bulk-density basis disagrees with the lab method on file. One of "&amp;"the two is wrong, and the coarse-fragment correction follows the row. ","")&amp;IF(AND(ISNUMBER($M114),OR($M114&lt;QC_BD_MIN,$M114&gt;QC_BD_MAX)),"Bulk density outside the plausible range for a mineral grassland soil. ","")&amp;IF(AND(ISNUMBER($N114),$N114&gt;QC_CARBON_PCT_MAX),"Organic carbon above the QC ceiling — check units, and whether this is an organic horizon. ","")&amp;IF(AND(ISNUMBER($J114),$J114&lt;QC_RECOVERY_MIN),"Recovered less than the QC minimum of the depth driven — the increments may not sit where you think. Do NOT stretch them back out. ","")&amp;IF(AND(ISNUMBER($K114),$K114&gt;0,$L114="Fine earth / total volume"),"Coarse fragments recorded and the lab basis already accounts for them — no further correction applied, which is correct. ",""))</f>
        <v/>
      </c>
      <c r="T114" s="6"/>
      <c r="U114" s="9" t="n">
        <f aca="false">IF($B114="",0,IF(COUNTIFS($B$5:$B114,$B114)=1,1,0))</f>
        <v>0</v>
      </c>
    </row>
    <row r="115" customFormat="false" ht="15" hidden="false" customHeight="false" outlineLevel="0" collapsed="false">
      <c r="A115" s="6"/>
      <c r="B115" s="6"/>
      <c r="C115" s="6"/>
      <c r="D115" s="6"/>
      <c r="E115" s="6"/>
      <c r="F115" s="9" t="str">
        <f aca="false">IF(OR($D115="",$E115=""),"",$E115-$D115)</f>
        <v/>
      </c>
      <c r="G115" s="6"/>
      <c r="H115" s="6"/>
      <c r="I115" s="6"/>
      <c r="J115" s="9" t="str">
        <f aca="false">IF(OR(NOT(ISNUMBER($H115)),NOT(ISNUMBER($I115)),$H115=0),"",$I115/$H115)</f>
        <v/>
      </c>
      <c r="K115" s="6"/>
      <c r="L115" s="8"/>
      <c r="M115" s="7"/>
      <c r="N115" s="7"/>
      <c r="O115" s="9" t="str">
        <f aca="false">IF(NOT(ISNUMBER($M115)),"",IF($L115="Fine earth / fine-earth volume",$M115*(1-IF(ISNUMBER($K115),$K115,0)/100),$M115))</f>
        <v/>
      </c>
      <c r="P115" s="9" t="str">
        <f aca="false">IF(OR(NOT(ISNUMBER($O115)),NOT(ISNUMBER($N115)),NOT(ISNUMBER($F115))),"",$O115*($N115/100)*$F115*10)</f>
        <v/>
      </c>
      <c r="Q115" s="9" t="str">
        <f aca="false">IF(OR(NOT(ISNUMBER($D115)),NOT(ISNUMBER($E115))),"",MAX(0,MIN($E115,SOIL_REPORTING_DEPTH_CM)-MIN($D115,SOIL_REPORTING_DEPTH_CM)))</f>
        <v/>
      </c>
      <c r="R115" s="9" t="str">
        <f aca="false">IF(OR(NOT(ISNUMBER($O115)),NOT(ISNUMBER($N115)),NOT(ISNUMBER($Q115))),"",$O115*($N115/100)*$Q115*10)</f>
        <v/>
      </c>
      <c r="S115" s="11" t="str">
        <f aca="false">IF(AND($A115="",$B115="",$D115=""),"",IF(AND($A115&lt;&gt;"",COUNTIF('1. Plot &amp; Site Log'!$A$5:$A$64,$A115)=0),"Plot ID not in the Plot &amp; Site Log. ","")&amp;IF(AND(ISNUMBER($D115),ISNUMBER($E115),$E115&lt;=$D115),"Bottom depth is not below top depth. ","")&amp;IF($L115="Not confirmed","Bulk-density basis not confirmed with the lab — the coarse-fragment correction may be wrong or doubled. ","")&amp;IF(LAB_BULK_DENSITY_BASIS="Not confirmed","No lab bulk-density basis is on file in Settings (LAB_BULK_DENSITY_BASIS), so nothing checks this row. ","")&amp;IF(AND($L115&lt;&gt;"",LAB_BULK_DENSITY_BASIS&lt;&gt;"Not confirmed",$L115&lt;&gt;LAB_BULK_DENSITY_BASIS),"This row's bulk-density basis disagrees with the lab method on file. One of "&amp;"the two is wrong, and the coarse-fragment correction follows the row. ","")&amp;IF(AND(ISNUMBER($M115),OR($M115&lt;QC_BD_MIN,$M115&gt;QC_BD_MAX)),"Bulk density outside the plausible range for a mineral grassland soil. ","")&amp;IF(AND(ISNUMBER($N115),$N115&gt;QC_CARBON_PCT_MAX),"Organic carbon above the QC ceiling — check units, and whether this is an organic horizon. ","")&amp;IF(AND(ISNUMBER($J115),$J115&lt;QC_RECOVERY_MIN),"Recovered less than the QC minimum of the depth driven — the increments may not sit where you think. Do NOT stretch them back out. ","")&amp;IF(AND(ISNUMBER($K115),$K115&gt;0,$L115="Fine earth / total volume"),"Coarse fragments recorded and the lab basis already accounts for them — no further correction applied, which is correct. ",""))</f>
        <v/>
      </c>
      <c r="T115" s="6"/>
      <c r="U115" s="9" t="n">
        <f aca="false">IF($B115="",0,IF(COUNTIFS($B$5:$B115,$B115)=1,1,0))</f>
        <v>0</v>
      </c>
    </row>
    <row r="116" customFormat="false" ht="15" hidden="false" customHeight="false" outlineLevel="0" collapsed="false">
      <c r="A116" s="6"/>
      <c r="B116" s="6"/>
      <c r="C116" s="6"/>
      <c r="D116" s="6"/>
      <c r="E116" s="6"/>
      <c r="F116" s="9" t="str">
        <f aca="false">IF(OR($D116="",$E116=""),"",$E116-$D116)</f>
        <v/>
      </c>
      <c r="G116" s="6"/>
      <c r="H116" s="6"/>
      <c r="I116" s="6"/>
      <c r="J116" s="9" t="str">
        <f aca="false">IF(OR(NOT(ISNUMBER($H116)),NOT(ISNUMBER($I116)),$H116=0),"",$I116/$H116)</f>
        <v/>
      </c>
      <c r="K116" s="6"/>
      <c r="L116" s="8"/>
      <c r="M116" s="7"/>
      <c r="N116" s="7"/>
      <c r="O116" s="9" t="str">
        <f aca="false">IF(NOT(ISNUMBER($M116)),"",IF($L116="Fine earth / fine-earth volume",$M116*(1-IF(ISNUMBER($K116),$K116,0)/100),$M116))</f>
        <v/>
      </c>
      <c r="P116" s="9" t="str">
        <f aca="false">IF(OR(NOT(ISNUMBER($O116)),NOT(ISNUMBER($N116)),NOT(ISNUMBER($F116))),"",$O116*($N116/100)*$F116*10)</f>
        <v/>
      </c>
      <c r="Q116" s="9" t="str">
        <f aca="false">IF(OR(NOT(ISNUMBER($D116)),NOT(ISNUMBER($E116))),"",MAX(0,MIN($E116,SOIL_REPORTING_DEPTH_CM)-MIN($D116,SOIL_REPORTING_DEPTH_CM)))</f>
        <v/>
      </c>
      <c r="R116" s="9" t="str">
        <f aca="false">IF(OR(NOT(ISNUMBER($O116)),NOT(ISNUMBER($N116)),NOT(ISNUMBER($Q116))),"",$O116*($N116/100)*$Q116*10)</f>
        <v/>
      </c>
      <c r="S116" s="11" t="str">
        <f aca="false">IF(AND($A116="",$B116="",$D116=""),"",IF(AND($A116&lt;&gt;"",COUNTIF('1. Plot &amp; Site Log'!$A$5:$A$64,$A116)=0),"Plot ID not in the Plot &amp; Site Log. ","")&amp;IF(AND(ISNUMBER($D116),ISNUMBER($E116),$E116&lt;=$D116),"Bottom depth is not below top depth. ","")&amp;IF($L116="Not confirmed","Bulk-density basis not confirmed with the lab — the coarse-fragment correction may be wrong or doubled. ","")&amp;IF(LAB_BULK_DENSITY_BASIS="Not confirmed","No lab bulk-density basis is on file in Settings (LAB_BULK_DENSITY_BASIS), so nothing checks this row. ","")&amp;IF(AND($L116&lt;&gt;"",LAB_BULK_DENSITY_BASIS&lt;&gt;"Not confirmed",$L116&lt;&gt;LAB_BULK_DENSITY_BASIS),"This row's bulk-density basis disagrees with the lab method on file. One of "&amp;"the two is wrong, and the coarse-fragment correction follows the row. ","")&amp;IF(AND(ISNUMBER($M116),OR($M116&lt;QC_BD_MIN,$M116&gt;QC_BD_MAX)),"Bulk density outside the plausible range for a mineral grassland soil. ","")&amp;IF(AND(ISNUMBER($N116),$N116&gt;QC_CARBON_PCT_MAX),"Organic carbon above the QC ceiling — check units, and whether this is an organic horizon. ","")&amp;IF(AND(ISNUMBER($J116),$J116&lt;QC_RECOVERY_MIN),"Recovered less than the QC minimum of the depth driven — the increments may not sit where you think. Do NOT stretch them back out. ","")&amp;IF(AND(ISNUMBER($K116),$K116&gt;0,$L116="Fine earth / total volume"),"Coarse fragments recorded and the lab basis already accounts for them — no further correction applied, which is correct. ",""))</f>
        <v/>
      </c>
      <c r="T116" s="6"/>
      <c r="U116" s="9" t="n">
        <f aca="false">IF($B116="",0,IF(COUNTIFS($B$5:$B116,$B116)=1,1,0))</f>
        <v>0</v>
      </c>
    </row>
    <row r="117" customFormat="false" ht="15" hidden="false" customHeight="false" outlineLevel="0" collapsed="false">
      <c r="A117" s="6"/>
      <c r="B117" s="6"/>
      <c r="C117" s="6"/>
      <c r="D117" s="6"/>
      <c r="E117" s="6"/>
      <c r="F117" s="9" t="str">
        <f aca="false">IF(OR($D117="",$E117=""),"",$E117-$D117)</f>
        <v/>
      </c>
      <c r="G117" s="6"/>
      <c r="H117" s="6"/>
      <c r="I117" s="6"/>
      <c r="J117" s="9" t="str">
        <f aca="false">IF(OR(NOT(ISNUMBER($H117)),NOT(ISNUMBER($I117)),$H117=0),"",$I117/$H117)</f>
        <v/>
      </c>
      <c r="K117" s="6"/>
      <c r="L117" s="8"/>
      <c r="M117" s="7"/>
      <c r="N117" s="7"/>
      <c r="O117" s="9" t="str">
        <f aca="false">IF(NOT(ISNUMBER($M117)),"",IF($L117="Fine earth / fine-earth volume",$M117*(1-IF(ISNUMBER($K117),$K117,0)/100),$M117))</f>
        <v/>
      </c>
      <c r="P117" s="9" t="str">
        <f aca="false">IF(OR(NOT(ISNUMBER($O117)),NOT(ISNUMBER($N117)),NOT(ISNUMBER($F117))),"",$O117*($N117/100)*$F117*10)</f>
        <v/>
      </c>
      <c r="Q117" s="9" t="str">
        <f aca="false">IF(OR(NOT(ISNUMBER($D117)),NOT(ISNUMBER($E117))),"",MAX(0,MIN($E117,SOIL_REPORTING_DEPTH_CM)-MIN($D117,SOIL_REPORTING_DEPTH_CM)))</f>
        <v/>
      </c>
      <c r="R117" s="9" t="str">
        <f aca="false">IF(OR(NOT(ISNUMBER($O117)),NOT(ISNUMBER($N117)),NOT(ISNUMBER($Q117))),"",$O117*($N117/100)*$Q117*10)</f>
        <v/>
      </c>
      <c r="S117" s="11" t="str">
        <f aca="false">IF(AND($A117="",$B117="",$D117=""),"",IF(AND($A117&lt;&gt;"",COUNTIF('1. Plot &amp; Site Log'!$A$5:$A$64,$A117)=0),"Plot ID not in the Plot &amp; Site Log. ","")&amp;IF(AND(ISNUMBER($D117),ISNUMBER($E117),$E117&lt;=$D117),"Bottom depth is not below top depth. ","")&amp;IF($L117="Not confirmed","Bulk-density basis not confirmed with the lab — the coarse-fragment correction may be wrong or doubled. ","")&amp;IF(LAB_BULK_DENSITY_BASIS="Not confirmed","No lab bulk-density basis is on file in Settings (LAB_BULK_DENSITY_BASIS), so nothing checks this row. ","")&amp;IF(AND($L117&lt;&gt;"",LAB_BULK_DENSITY_BASIS&lt;&gt;"Not confirmed",$L117&lt;&gt;LAB_BULK_DENSITY_BASIS),"This row's bulk-density basis disagrees with the lab method on file. One of "&amp;"the two is wrong, and the coarse-fragment correction follows the row. ","")&amp;IF(AND(ISNUMBER($M117),OR($M117&lt;QC_BD_MIN,$M117&gt;QC_BD_MAX)),"Bulk density outside the plausible range for a mineral grassland soil. ","")&amp;IF(AND(ISNUMBER($N117),$N117&gt;QC_CARBON_PCT_MAX),"Organic carbon above the QC ceiling — check units, and whether this is an organic horizon. ","")&amp;IF(AND(ISNUMBER($J117),$J117&lt;QC_RECOVERY_MIN),"Recovered less than the QC minimum of the depth driven — the increments may not sit where you think. Do NOT stretch them back out. ","")&amp;IF(AND(ISNUMBER($K117),$K117&gt;0,$L117="Fine earth / total volume"),"Coarse fragments recorded and the lab basis already accounts for them — no further correction applied, which is correct. ",""))</f>
        <v/>
      </c>
      <c r="T117" s="6"/>
      <c r="U117" s="9" t="n">
        <f aca="false">IF($B117="",0,IF(COUNTIFS($B$5:$B117,$B117)=1,1,0))</f>
        <v>0</v>
      </c>
    </row>
    <row r="118" customFormat="false" ht="15" hidden="false" customHeight="false" outlineLevel="0" collapsed="false">
      <c r="A118" s="6"/>
      <c r="B118" s="6"/>
      <c r="C118" s="6"/>
      <c r="D118" s="6"/>
      <c r="E118" s="6"/>
      <c r="F118" s="9" t="str">
        <f aca="false">IF(OR($D118="",$E118=""),"",$E118-$D118)</f>
        <v/>
      </c>
      <c r="G118" s="6"/>
      <c r="H118" s="6"/>
      <c r="I118" s="6"/>
      <c r="J118" s="9" t="str">
        <f aca="false">IF(OR(NOT(ISNUMBER($H118)),NOT(ISNUMBER($I118)),$H118=0),"",$I118/$H118)</f>
        <v/>
      </c>
      <c r="K118" s="6"/>
      <c r="L118" s="8"/>
      <c r="M118" s="7"/>
      <c r="N118" s="7"/>
      <c r="O118" s="9" t="str">
        <f aca="false">IF(NOT(ISNUMBER($M118)),"",IF($L118="Fine earth / fine-earth volume",$M118*(1-IF(ISNUMBER($K118),$K118,0)/100),$M118))</f>
        <v/>
      </c>
      <c r="P118" s="9" t="str">
        <f aca="false">IF(OR(NOT(ISNUMBER($O118)),NOT(ISNUMBER($N118)),NOT(ISNUMBER($F118))),"",$O118*($N118/100)*$F118*10)</f>
        <v/>
      </c>
      <c r="Q118" s="9" t="str">
        <f aca="false">IF(OR(NOT(ISNUMBER($D118)),NOT(ISNUMBER($E118))),"",MAX(0,MIN($E118,SOIL_REPORTING_DEPTH_CM)-MIN($D118,SOIL_REPORTING_DEPTH_CM)))</f>
        <v/>
      </c>
      <c r="R118" s="9" t="str">
        <f aca="false">IF(OR(NOT(ISNUMBER($O118)),NOT(ISNUMBER($N118)),NOT(ISNUMBER($Q118))),"",$O118*($N118/100)*$Q118*10)</f>
        <v/>
      </c>
      <c r="S118" s="11" t="str">
        <f aca="false">IF(AND($A118="",$B118="",$D118=""),"",IF(AND($A118&lt;&gt;"",COUNTIF('1. Plot &amp; Site Log'!$A$5:$A$64,$A118)=0),"Plot ID not in the Plot &amp; Site Log. ","")&amp;IF(AND(ISNUMBER($D118),ISNUMBER($E118),$E118&lt;=$D118),"Bottom depth is not below top depth. ","")&amp;IF($L118="Not confirmed","Bulk-density basis not confirmed with the lab — the coarse-fragment correction may be wrong or doubled. ","")&amp;IF(LAB_BULK_DENSITY_BASIS="Not confirmed","No lab bulk-density basis is on file in Settings (LAB_BULK_DENSITY_BASIS), so nothing checks this row. ","")&amp;IF(AND($L118&lt;&gt;"",LAB_BULK_DENSITY_BASIS&lt;&gt;"Not confirmed",$L118&lt;&gt;LAB_BULK_DENSITY_BASIS),"This row's bulk-density basis disagrees with the lab method on file. One of "&amp;"the two is wrong, and the coarse-fragment correction follows the row. ","")&amp;IF(AND(ISNUMBER($M118),OR($M118&lt;QC_BD_MIN,$M118&gt;QC_BD_MAX)),"Bulk density outside the plausible range for a mineral grassland soil. ","")&amp;IF(AND(ISNUMBER($N118),$N118&gt;QC_CARBON_PCT_MAX),"Organic carbon above the QC ceiling — check units, and whether this is an organic horizon. ","")&amp;IF(AND(ISNUMBER($J118),$J118&lt;QC_RECOVERY_MIN),"Recovered less than the QC minimum of the depth driven — the increments may not sit where you think. Do NOT stretch them back out. ","")&amp;IF(AND(ISNUMBER($K118),$K118&gt;0,$L118="Fine earth / total volume"),"Coarse fragments recorded and the lab basis already accounts for them — no further correction applied, which is correct. ",""))</f>
        <v/>
      </c>
      <c r="T118" s="6"/>
      <c r="U118" s="9" t="n">
        <f aca="false">IF($B118="",0,IF(COUNTIFS($B$5:$B118,$B118)=1,1,0))</f>
        <v>0</v>
      </c>
    </row>
    <row r="119" customFormat="false" ht="15" hidden="false" customHeight="false" outlineLevel="0" collapsed="false">
      <c r="A119" s="6"/>
      <c r="B119" s="6"/>
      <c r="C119" s="6"/>
      <c r="D119" s="6"/>
      <c r="E119" s="6"/>
      <c r="F119" s="9" t="str">
        <f aca="false">IF(OR($D119="",$E119=""),"",$E119-$D119)</f>
        <v/>
      </c>
      <c r="G119" s="6"/>
      <c r="H119" s="6"/>
      <c r="I119" s="6"/>
      <c r="J119" s="9" t="str">
        <f aca="false">IF(OR(NOT(ISNUMBER($H119)),NOT(ISNUMBER($I119)),$H119=0),"",$I119/$H119)</f>
        <v/>
      </c>
      <c r="K119" s="6"/>
      <c r="L119" s="8"/>
      <c r="M119" s="7"/>
      <c r="N119" s="7"/>
      <c r="O119" s="9" t="str">
        <f aca="false">IF(NOT(ISNUMBER($M119)),"",IF($L119="Fine earth / fine-earth volume",$M119*(1-IF(ISNUMBER($K119),$K119,0)/100),$M119))</f>
        <v/>
      </c>
      <c r="P119" s="9" t="str">
        <f aca="false">IF(OR(NOT(ISNUMBER($O119)),NOT(ISNUMBER($N119)),NOT(ISNUMBER($F119))),"",$O119*($N119/100)*$F119*10)</f>
        <v/>
      </c>
      <c r="Q119" s="9" t="str">
        <f aca="false">IF(OR(NOT(ISNUMBER($D119)),NOT(ISNUMBER($E119))),"",MAX(0,MIN($E119,SOIL_REPORTING_DEPTH_CM)-MIN($D119,SOIL_REPORTING_DEPTH_CM)))</f>
        <v/>
      </c>
      <c r="R119" s="9" t="str">
        <f aca="false">IF(OR(NOT(ISNUMBER($O119)),NOT(ISNUMBER($N119)),NOT(ISNUMBER($Q119))),"",$O119*($N119/100)*$Q119*10)</f>
        <v/>
      </c>
      <c r="S119" s="11" t="str">
        <f aca="false">IF(AND($A119="",$B119="",$D119=""),"",IF(AND($A119&lt;&gt;"",COUNTIF('1. Plot &amp; Site Log'!$A$5:$A$64,$A119)=0),"Plot ID not in the Plot &amp; Site Log. ","")&amp;IF(AND(ISNUMBER($D119),ISNUMBER($E119),$E119&lt;=$D119),"Bottom depth is not below top depth. ","")&amp;IF($L119="Not confirmed","Bulk-density basis not confirmed with the lab — the coarse-fragment correction may be wrong or doubled. ","")&amp;IF(LAB_BULK_DENSITY_BASIS="Not confirmed","No lab bulk-density basis is on file in Settings (LAB_BULK_DENSITY_BASIS), so nothing checks this row. ","")&amp;IF(AND($L119&lt;&gt;"",LAB_BULK_DENSITY_BASIS&lt;&gt;"Not confirmed",$L119&lt;&gt;LAB_BULK_DENSITY_BASIS),"This row's bulk-density basis disagrees with the lab method on file. One of "&amp;"the two is wrong, and the coarse-fragment correction follows the row. ","")&amp;IF(AND(ISNUMBER($M119),OR($M119&lt;QC_BD_MIN,$M119&gt;QC_BD_MAX)),"Bulk density outside the plausible range for a mineral grassland soil. ","")&amp;IF(AND(ISNUMBER($N119),$N119&gt;QC_CARBON_PCT_MAX),"Organic carbon above the QC ceiling — check units, and whether this is an organic horizon. ","")&amp;IF(AND(ISNUMBER($J119),$J119&lt;QC_RECOVERY_MIN),"Recovered less than the QC minimum of the depth driven — the increments may not sit where you think. Do NOT stretch them back out. ","")&amp;IF(AND(ISNUMBER($K119),$K119&gt;0,$L119="Fine earth / total volume"),"Coarse fragments recorded and the lab basis already accounts for them — no further correction applied, which is correct. ",""))</f>
        <v/>
      </c>
      <c r="T119" s="6"/>
      <c r="U119" s="9" t="n">
        <f aca="false">IF($B119="",0,IF(COUNTIFS($B$5:$B119,$B119)=1,1,0))</f>
        <v>0</v>
      </c>
    </row>
    <row r="120" customFormat="false" ht="15" hidden="false" customHeight="false" outlineLevel="0" collapsed="false">
      <c r="A120" s="6"/>
      <c r="B120" s="6"/>
      <c r="C120" s="6"/>
      <c r="D120" s="6"/>
      <c r="E120" s="6"/>
      <c r="F120" s="9" t="str">
        <f aca="false">IF(OR($D120="",$E120=""),"",$E120-$D120)</f>
        <v/>
      </c>
      <c r="G120" s="6"/>
      <c r="H120" s="6"/>
      <c r="I120" s="6"/>
      <c r="J120" s="9" t="str">
        <f aca="false">IF(OR(NOT(ISNUMBER($H120)),NOT(ISNUMBER($I120)),$H120=0),"",$I120/$H120)</f>
        <v/>
      </c>
      <c r="K120" s="6"/>
      <c r="L120" s="8"/>
      <c r="M120" s="7"/>
      <c r="N120" s="7"/>
      <c r="O120" s="9" t="str">
        <f aca="false">IF(NOT(ISNUMBER($M120)),"",IF($L120="Fine earth / fine-earth volume",$M120*(1-IF(ISNUMBER($K120),$K120,0)/100),$M120))</f>
        <v/>
      </c>
      <c r="P120" s="9" t="str">
        <f aca="false">IF(OR(NOT(ISNUMBER($O120)),NOT(ISNUMBER($N120)),NOT(ISNUMBER($F120))),"",$O120*($N120/100)*$F120*10)</f>
        <v/>
      </c>
      <c r="Q120" s="9" t="str">
        <f aca="false">IF(OR(NOT(ISNUMBER($D120)),NOT(ISNUMBER($E120))),"",MAX(0,MIN($E120,SOIL_REPORTING_DEPTH_CM)-MIN($D120,SOIL_REPORTING_DEPTH_CM)))</f>
        <v/>
      </c>
      <c r="R120" s="9" t="str">
        <f aca="false">IF(OR(NOT(ISNUMBER($O120)),NOT(ISNUMBER($N120)),NOT(ISNUMBER($Q120))),"",$O120*($N120/100)*$Q120*10)</f>
        <v/>
      </c>
      <c r="S120" s="11" t="str">
        <f aca="false">IF(AND($A120="",$B120="",$D120=""),"",IF(AND($A120&lt;&gt;"",COUNTIF('1. Plot &amp; Site Log'!$A$5:$A$64,$A120)=0),"Plot ID not in the Plot &amp; Site Log. ","")&amp;IF(AND(ISNUMBER($D120),ISNUMBER($E120),$E120&lt;=$D120),"Bottom depth is not below top depth. ","")&amp;IF($L120="Not confirmed","Bulk-density basis not confirmed with the lab — the coarse-fragment correction may be wrong or doubled. ","")&amp;IF(LAB_BULK_DENSITY_BASIS="Not confirmed","No lab bulk-density basis is on file in Settings (LAB_BULK_DENSITY_BASIS), so nothing checks this row. ","")&amp;IF(AND($L120&lt;&gt;"",LAB_BULK_DENSITY_BASIS&lt;&gt;"Not confirmed",$L120&lt;&gt;LAB_BULK_DENSITY_BASIS),"This row's bulk-density basis disagrees with the lab method on file. One of "&amp;"the two is wrong, and the coarse-fragment correction follows the row. ","")&amp;IF(AND(ISNUMBER($M120),OR($M120&lt;QC_BD_MIN,$M120&gt;QC_BD_MAX)),"Bulk density outside the plausible range for a mineral grassland soil. ","")&amp;IF(AND(ISNUMBER($N120),$N120&gt;QC_CARBON_PCT_MAX),"Organic carbon above the QC ceiling — check units, and whether this is an organic horizon. ","")&amp;IF(AND(ISNUMBER($J120),$J120&lt;QC_RECOVERY_MIN),"Recovered less than the QC minimum of the depth driven — the increments may not sit where you think. Do NOT stretch them back out. ","")&amp;IF(AND(ISNUMBER($K120),$K120&gt;0,$L120="Fine earth / total volume"),"Coarse fragments recorded and the lab basis already accounts for them — no further correction applied, which is correct. ",""))</f>
        <v/>
      </c>
      <c r="T120" s="6"/>
      <c r="U120" s="9" t="n">
        <f aca="false">IF($B120="",0,IF(COUNTIFS($B$5:$B120,$B120)=1,1,0))</f>
        <v>0</v>
      </c>
    </row>
    <row r="121" customFormat="false" ht="15" hidden="false" customHeight="false" outlineLevel="0" collapsed="false">
      <c r="A121" s="6"/>
      <c r="B121" s="6"/>
      <c r="C121" s="6"/>
      <c r="D121" s="6"/>
      <c r="E121" s="6"/>
      <c r="F121" s="9" t="str">
        <f aca="false">IF(OR($D121="",$E121=""),"",$E121-$D121)</f>
        <v/>
      </c>
      <c r="G121" s="6"/>
      <c r="H121" s="6"/>
      <c r="I121" s="6"/>
      <c r="J121" s="9" t="str">
        <f aca="false">IF(OR(NOT(ISNUMBER($H121)),NOT(ISNUMBER($I121)),$H121=0),"",$I121/$H121)</f>
        <v/>
      </c>
      <c r="K121" s="6"/>
      <c r="L121" s="8"/>
      <c r="M121" s="7"/>
      <c r="N121" s="7"/>
      <c r="O121" s="9" t="str">
        <f aca="false">IF(NOT(ISNUMBER($M121)),"",IF($L121="Fine earth / fine-earth volume",$M121*(1-IF(ISNUMBER($K121),$K121,0)/100),$M121))</f>
        <v/>
      </c>
      <c r="P121" s="9" t="str">
        <f aca="false">IF(OR(NOT(ISNUMBER($O121)),NOT(ISNUMBER($N121)),NOT(ISNUMBER($F121))),"",$O121*($N121/100)*$F121*10)</f>
        <v/>
      </c>
      <c r="Q121" s="9" t="str">
        <f aca="false">IF(OR(NOT(ISNUMBER($D121)),NOT(ISNUMBER($E121))),"",MAX(0,MIN($E121,SOIL_REPORTING_DEPTH_CM)-MIN($D121,SOIL_REPORTING_DEPTH_CM)))</f>
        <v/>
      </c>
      <c r="R121" s="9" t="str">
        <f aca="false">IF(OR(NOT(ISNUMBER($O121)),NOT(ISNUMBER($N121)),NOT(ISNUMBER($Q121))),"",$O121*($N121/100)*$Q121*10)</f>
        <v/>
      </c>
      <c r="S121" s="11" t="str">
        <f aca="false">IF(AND($A121="",$B121="",$D121=""),"",IF(AND($A121&lt;&gt;"",COUNTIF('1. Plot &amp; Site Log'!$A$5:$A$64,$A121)=0),"Plot ID not in the Plot &amp; Site Log. ","")&amp;IF(AND(ISNUMBER($D121),ISNUMBER($E121),$E121&lt;=$D121),"Bottom depth is not below top depth. ","")&amp;IF($L121="Not confirmed","Bulk-density basis not confirmed with the lab — the coarse-fragment correction may be wrong or doubled. ","")&amp;IF(LAB_BULK_DENSITY_BASIS="Not confirmed","No lab bulk-density basis is on file in Settings (LAB_BULK_DENSITY_BASIS), so nothing checks this row. ","")&amp;IF(AND($L121&lt;&gt;"",LAB_BULK_DENSITY_BASIS&lt;&gt;"Not confirmed",$L121&lt;&gt;LAB_BULK_DENSITY_BASIS),"This row's bulk-density basis disagrees with the lab method on file. One of "&amp;"the two is wrong, and the coarse-fragment correction follows the row. ","")&amp;IF(AND(ISNUMBER($M121),OR($M121&lt;QC_BD_MIN,$M121&gt;QC_BD_MAX)),"Bulk density outside the plausible range for a mineral grassland soil. ","")&amp;IF(AND(ISNUMBER($N121),$N121&gt;QC_CARBON_PCT_MAX),"Organic carbon above the QC ceiling — check units, and whether this is an organic horizon. ","")&amp;IF(AND(ISNUMBER($J121),$J121&lt;QC_RECOVERY_MIN),"Recovered less than the QC minimum of the depth driven — the increments may not sit where you think. Do NOT stretch them back out. ","")&amp;IF(AND(ISNUMBER($K121),$K121&gt;0,$L121="Fine earth / total volume"),"Coarse fragments recorded and the lab basis already accounts for them — no further correction applied, which is correct. ",""))</f>
        <v/>
      </c>
      <c r="T121" s="6"/>
      <c r="U121" s="9" t="n">
        <f aca="false">IF($B121="",0,IF(COUNTIFS($B$5:$B121,$B121)=1,1,0))</f>
        <v>0</v>
      </c>
    </row>
    <row r="122" customFormat="false" ht="15" hidden="false" customHeight="false" outlineLevel="0" collapsed="false">
      <c r="A122" s="6"/>
      <c r="B122" s="6"/>
      <c r="C122" s="6"/>
      <c r="D122" s="6"/>
      <c r="E122" s="6"/>
      <c r="F122" s="9" t="str">
        <f aca="false">IF(OR($D122="",$E122=""),"",$E122-$D122)</f>
        <v/>
      </c>
      <c r="G122" s="6"/>
      <c r="H122" s="6"/>
      <c r="I122" s="6"/>
      <c r="J122" s="9" t="str">
        <f aca="false">IF(OR(NOT(ISNUMBER($H122)),NOT(ISNUMBER($I122)),$H122=0),"",$I122/$H122)</f>
        <v/>
      </c>
      <c r="K122" s="6"/>
      <c r="L122" s="8"/>
      <c r="M122" s="7"/>
      <c r="N122" s="7"/>
      <c r="O122" s="9" t="str">
        <f aca="false">IF(NOT(ISNUMBER($M122)),"",IF($L122="Fine earth / fine-earth volume",$M122*(1-IF(ISNUMBER($K122),$K122,0)/100),$M122))</f>
        <v/>
      </c>
      <c r="P122" s="9" t="str">
        <f aca="false">IF(OR(NOT(ISNUMBER($O122)),NOT(ISNUMBER($N122)),NOT(ISNUMBER($F122))),"",$O122*($N122/100)*$F122*10)</f>
        <v/>
      </c>
      <c r="Q122" s="9" t="str">
        <f aca="false">IF(OR(NOT(ISNUMBER($D122)),NOT(ISNUMBER($E122))),"",MAX(0,MIN($E122,SOIL_REPORTING_DEPTH_CM)-MIN($D122,SOIL_REPORTING_DEPTH_CM)))</f>
        <v/>
      </c>
      <c r="R122" s="9" t="str">
        <f aca="false">IF(OR(NOT(ISNUMBER($O122)),NOT(ISNUMBER($N122)),NOT(ISNUMBER($Q122))),"",$O122*($N122/100)*$Q122*10)</f>
        <v/>
      </c>
      <c r="S122" s="11" t="str">
        <f aca="false">IF(AND($A122="",$B122="",$D122=""),"",IF(AND($A122&lt;&gt;"",COUNTIF('1. Plot &amp; Site Log'!$A$5:$A$64,$A122)=0),"Plot ID not in the Plot &amp; Site Log. ","")&amp;IF(AND(ISNUMBER($D122),ISNUMBER($E122),$E122&lt;=$D122),"Bottom depth is not below top depth. ","")&amp;IF($L122="Not confirmed","Bulk-density basis not confirmed with the lab — the coarse-fragment correction may be wrong or doubled. ","")&amp;IF(LAB_BULK_DENSITY_BASIS="Not confirmed","No lab bulk-density basis is on file in Settings (LAB_BULK_DENSITY_BASIS), so nothing checks this row. ","")&amp;IF(AND($L122&lt;&gt;"",LAB_BULK_DENSITY_BASIS&lt;&gt;"Not confirmed",$L122&lt;&gt;LAB_BULK_DENSITY_BASIS),"This row's bulk-density basis disagrees with the lab method on file. One of "&amp;"the two is wrong, and the coarse-fragment correction follows the row. ","")&amp;IF(AND(ISNUMBER($M122),OR($M122&lt;QC_BD_MIN,$M122&gt;QC_BD_MAX)),"Bulk density outside the plausible range for a mineral grassland soil. ","")&amp;IF(AND(ISNUMBER($N122),$N122&gt;QC_CARBON_PCT_MAX),"Organic carbon above the QC ceiling — check units, and whether this is an organic horizon. ","")&amp;IF(AND(ISNUMBER($J122),$J122&lt;QC_RECOVERY_MIN),"Recovered less than the QC minimum of the depth driven — the increments may not sit where you think. Do NOT stretch them back out. ","")&amp;IF(AND(ISNUMBER($K122),$K122&gt;0,$L122="Fine earth / total volume"),"Coarse fragments recorded and the lab basis already accounts for them — no further correction applied, which is correct. ",""))</f>
        <v/>
      </c>
      <c r="T122" s="6"/>
      <c r="U122" s="9" t="n">
        <f aca="false">IF($B122="",0,IF(COUNTIFS($B$5:$B122,$B122)=1,1,0))</f>
        <v>0</v>
      </c>
    </row>
    <row r="123" customFormat="false" ht="15" hidden="false" customHeight="false" outlineLevel="0" collapsed="false">
      <c r="A123" s="6"/>
      <c r="B123" s="6"/>
      <c r="C123" s="6"/>
      <c r="D123" s="6"/>
      <c r="E123" s="6"/>
      <c r="F123" s="9" t="str">
        <f aca="false">IF(OR($D123="",$E123=""),"",$E123-$D123)</f>
        <v/>
      </c>
      <c r="G123" s="6"/>
      <c r="H123" s="6"/>
      <c r="I123" s="6"/>
      <c r="J123" s="9" t="str">
        <f aca="false">IF(OR(NOT(ISNUMBER($H123)),NOT(ISNUMBER($I123)),$H123=0),"",$I123/$H123)</f>
        <v/>
      </c>
      <c r="K123" s="6"/>
      <c r="L123" s="8"/>
      <c r="M123" s="7"/>
      <c r="N123" s="7"/>
      <c r="O123" s="9" t="str">
        <f aca="false">IF(NOT(ISNUMBER($M123)),"",IF($L123="Fine earth / fine-earth volume",$M123*(1-IF(ISNUMBER($K123),$K123,0)/100),$M123))</f>
        <v/>
      </c>
      <c r="P123" s="9" t="str">
        <f aca="false">IF(OR(NOT(ISNUMBER($O123)),NOT(ISNUMBER($N123)),NOT(ISNUMBER($F123))),"",$O123*($N123/100)*$F123*10)</f>
        <v/>
      </c>
      <c r="Q123" s="9" t="str">
        <f aca="false">IF(OR(NOT(ISNUMBER($D123)),NOT(ISNUMBER($E123))),"",MAX(0,MIN($E123,SOIL_REPORTING_DEPTH_CM)-MIN($D123,SOIL_REPORTING_DEPTH_CM)))</f>
        <v/>
      </c>
      <c r="R123" s="9" t="str">
        <f aca="false">IF(OR(NOT(ISNUMBER($O123)),NOT(ISNUMBER($N123)),NOT(ISNUMBER($Q123))),"",$O123*($N123/100)*$Q123*10)</f>
        <v/>
      </c>
      <c r="S123" s="11" t="str">
        <f aca="false">IF(AND($A123="",$B123="",$D123=""),"",IF(AND($A123&lt;&gt;"",COUNTIF('1. Plot &amp; Site Log'!$A$5:$A$64,$A123)=0),"Plot ID not in the Plot &amp; Site Log. ","")&amp;IF(AND(ISNUMBER($D123),ISNUMBER($E123),$E123&lt;=$D123),"Bottom depth is not below top depth. ","")&amp;IF($L123="Not confirmed","Bulk-density basis not confirmed with the lab — the coarse-fragment correction may be wrong or doubled. ","")&amp;IF(LAB_BULK_DENSITY_BASIS="Not confirmed","No lab bulk-density basis is on file in Settings (LAB_BULK_DENSITY_BASIS), so nothing checks this row. ","")&amp;IF(AND($L123&lt;&gt;"",LAB_BULK_DENSITY_BASIS&lt;&gt;"Not confirmed",$L123&lt;&gt;LAB_BULK_DENSITY_BASIS),"This row's bulk-density basis disagrees with the lab method on file. One of "&amp;"the two is wrong, and the coarse-fragment correction follows the row. ","")&amp;IF(AND(ISNUMBER($M123),OR($M123&lt;QC_BD_MIN,$M123&gt;QC_BD_MAX)),"Bulk density outside the plausible range for a mineral grassland soil. ","")&amp;IF(AND(ISNUMBER($N123),$N123&gt;QC_CARBON_PCT_MAX),"Organic carbon above the QC ceiling — check units, and whether this is an organic horizon. ","")&amp;IF(AND(ISNUMBER($J123),$J123&lt;QC_RECOVERY_MIN),"Recovered less than the QC minimum of the depth driven — the increments may not sit where you think. Do NOT stretch them back out. ","")&amp;IF(AND(ISNUMBER($K123),$K123&gt;0,$L123="Fine earth / total volume"),"Coarse fragments recorded and the lab basis already accounts for them — no further correction applied, which is correct. ",""))</f>
        <v/>
      </c>
      <c r="T123" s="6"/>
      <c r="U123" s="9" t="n">
        <f aca="false">IF($B123="",0,IF(COUNTIFS($B$5:$B123,$B123)=1,1,0))</f>
        <v>0</v>
      </c>
    </row>
    <row r="124" customFormat="false" ht="15" hidden="false" customHeight="false" outlineLevel="0" collapsed="false">
      <c r="A124" s="6"/>
      <c r="B124" s="6"/>
      <c r="C124" s="6"/>
      <c r="D124" s="6"/>
      <c r="E124" s="6"/>
      <c r="F124" s="9" t="str">
        <f aca="false">IF(OR($D124="",$E124=""),"",$E124-$D124)</f>
        <v/>
      </c>
      <c r="G124" s="6"/>
      <c r="H124" s="6"/>
      <c r="I124" s="6"/>
      <c r="J124" s="9" t="str">
        <f aca="false">IF(OR(NOT(ISNUMBER($H124)),NOT(ISNUMBER($I124)),$H124=0),"",$I124/$H124)</f>
        <v/>
      </c>
      <c r="K124" s="6"/>
      <c r="L124" s="8"/>
      <c r="M124" s="7"/>
      <c r="N124" s="7"/>
      <c r="O124" s="9" t="str">
        <f aca="false">IF(NOT(ISNUMBER($M124)),"",IF($L124="Fine earth / fine-earth volume",$M124*(1-IF(ISNUMBER($K124),$K124,0)/100),$M124))</f>
        <v/>
      </c>
      <c r="P124" s="9" t="str">
        <f aca="false">IF(OR(NOT(ISNUMBER($O124)),NOT(ISNUMBER($N124)),NOT(ISNUMBER($F124))),"",$O124*($N124/100)*$F124*10)</f>
        <v/>
      </c>
      <c r="Q124" s="9" t="str">
        <f aca="false">IF(OR(NOT(ISNUMBER($D124)),NOT(ISNUMBER($E124))),"",MAX(0,MIN($E124,SOIL_REPORTING_DEPTH_CM)-MIN($D124,SOIL_REPORTING_DEPTH_CM)))</f>
        <v/>
      </c>
      <c r="R124" s="9" t="str">
        <f aca="false">IF(OR(NOT(ISNUMBER($O124)),NOT(ISNUMBER($N124)),NOT(ISNUMBER($Q124))),"",$O124*($N124/100)*$Q124*10)</f>
        <v/>
      </c>
      <c r="S124" s="11" t="str">
        <f aca="false">IF(AND($A124="",$B124="",$D124=""),"",IF(AND($A124&lt;&gt;"",COUNTIF('1. Plot &amp; Site Log'!$A$5:$A$64,$A124)=0),"Plot ID not in the Plot &amp; Site Log. ","")&amp;IF(AND(ISNUMBER($D124),ISNUMBER($E124),$E124&lt;=$D124),"Bottom depth is not below top depth. ","")&amp;IF($L124="Not confirmed","Bulk-density basis not confirmed with the lab — the coarse-fragment correction may be wrong or doubled. ","")&amp;IF(LAB_BULK_DENSITY_BASIS="Not confirmed","No lab bulk-density basis is on file in Settings (LAB_BULK_DENSITY_BASIS), so nothing checks this row. ","")&amp;IF(AND($L124&lt;&gt;"",LAB_BULK_DENSITY_BASIS&lt;&gt;"Not confirmed",$L124&lt;&gt;LAB_BULK_DENSITY_BASIS),"This row's bulk-density basis disagrees with the lab method on file. One of "&amp;"the two is wrong, and the coarse-fragment correction follows the row. ","")&amp;IF(AND(ISNUMBER($M124),OR($M124&lt;QC_BD_MIN,$M124&gt;QC_BD_MAX)),"Bulk density outside the plausible range for a mineral grassland soil. ","")&amp;IF(AND(ISNUMBER($N124),$N124&gt;QC_CARBON_PCT_MAX),"Organic carbon above the QC ceiling — check units, and whether this is an organic horizon. ","")&amp;IF(AND(ISNUMBER($J124),$J124&lt;QC_RECOVERY_MIN),"Recovered less than the QC minimum of the depth driven — the increments may not sit where you think. Do NOT stretch them back out. ","")&amp;IF(AND(ISNUMBER($K124),$K124&gt;0,$L124="Fine earth / total volume"),"Coarse fragments recorded and the lab basis already accounts for them — no further correction applied, which is correct. ",""))</f>
        <v/>
      </c>
      <c r="T124" s="6"/>
      <c r="U124" s="9" t="n">
        <f aca="false">IF($B124="",0,IF(COUNTIFS($B$5:$B124,$B124)=1,1,0))</f>
        <v>0</v>
      </c>
    </row>
    <row r="125" customFormat="false" ht="15" hidden="false" customHeight="false" outlineLevel="0" collapsed="false">
      <c r="A125" s="6"/>
      <c r="B125" s="6"/>
      <c r="C125" s="6"/>
      <c r="D125" s="6"/>
      <c r="E125" s="6"/>
      <c r="F125" s="9" t="str">
        <f aca="false">IF(OR($D125="",$E125=""),"",$E125-$D125)</f>
        <v/>
      </c>
      <c r="G125" s="6"/>
      <c r="H125" s="6"/>
      <c r="I125" s="6"/>
      <c r="J125" s="9" t="str">
        <f aca="false">IF(OR(NOT(ISNUMBER($H125)),NOT(ISNUMBER($I125)),$H125=0),"",$I125/$H125)</f>
        <v/>
      </c>
      <c r="K125" s="6"/>
      <c r="L125" s="8"/>
      <c r="M125" s="7"/>
      <c r="N125" s="7"/>
      <c r="O125" s="9" t="str">
        <f aca="false">IF(NOT(ISNUMBER($M125)),"",IF($L125="Fine earth / fine-earth volume",$M125*(1-IF(ISNUMBER($K125),$K125,0)/100),$M125))</f>
        <v/>
      </c>
      <c r="P125" s="9" t="str">
        <f aca="false">IF(OR(NOT(ISNUMBER($O125)),NOT(ISNUMBER($N125)),NOT(ISNUMBER($F125))),"",$O125*($N125/100)*$F125*10)</f>
        <v/>
      </c>
      <c r="Q125" s="9" t="str">
        <f aca="false">IF(OR(NOT(ISNUMBER($D125)),NOT(ISNUMBER($E125))),"",MAX(0,MIN($E125,SOIL_REPORTING_DEPTH_CM)-MIN($D125,SOIL_REPORTING_DEPTH_CM)))</f>
        <v/>
      </c>
      <c r="R125" s="9" t="str">
        <f aca="false">IF(OR(NOT(ISNUMBER($O125)),NOT(ISNUMBER($N125)),NOT(ISNUMBER($Q125))),"",$O125*($N125/100)*$Q125*10)</f>
        <v/>
      </c>
      <c r="S125" s="11" t="str">
        <f aca="false">IF(AND($A125="",$B125="",$D125=""),"",IF(AND($A125&lt;&gt;"",COUNTIF('1. Plot &amp; Site Log'!$A$5:$A$64,$A125)=0),"Plot ID not in the Plot &amp; Site Log. ","")&amp;IF(AND(ISNUMBER($D125),ISNUMBER($E125),$E125&lt;=$D125),"Bottom depth is not below top depth. ","")&amp;IF($L125="Not confirmed","Bulk-density basis not confirmed with the lab — the coarse-fragment correction may be wrong or doubled. ","")&amp;IF(LAB_BULK_DENSITY_BASIS="Not confirmed","No lab bulk-density basis is on file in Settings (LAB_BULK_DENSITY_BASIS), so nothing checks this row. ","")&amp;IF(AND($L125&lt;&gt;"",LAB_BULK_DENSITY_BASIS&lt;&gt;"Not confirmed",$L125&lt;&gt;LAB_BULK_DENSITY_BASIS),"This row's bulk-density basis disagrees with the lab method on file. One of "&amp;"the two is wrong, and the coarse-fragment correction follows the row. ","")&amp;IF(AND(ISNUMBER($M125),OR($M125&lt;QC_BD_MIN,$M125&gt;QC_BD_MAX)),"Bulk density outside the plausible range for a mineral grassland soil. ","")&amp;IF(AND(ISNUMBER($N125),$N125&gt;QC_CARBON_PCT_MAX),"Organic carbon above the QC ceiling — check units, and whether this is an organic horizon. ","")&amp;IF(AND(ISNUMBER($J125),$J125&lt;QC_RECOVERY_MIN),"Recovered less than the QC minimum of the depth driven — the increments may not sit where you think. Do NOT stretch them back out. ","")&amp;IF(AND(ISNUMBER($K125),$K125&gt;0,$L125="Fine earth / total volume"),"Coarse fragments recorded and the lab basis already accounts for them — no further correction applied, which is correct. ",""))</f>
        <v/>
      </c>
      <c r="T125" s="6"/>
      <c r="U125" s="9" t="n">
        <f aca="false">IF($B125="",0,IF(COUNTIFS($B$5:$B125,$B125)=1,1,0))</f>
        <v>0</v>
      </c>
    </row>
    <row r="126" customFormat="false" ht="15" hidden="false" customHeight="false" outlineLevel="0" collapsed="false">
      <c r="A126" s="6"/>
      <c r="B126" s="6"/>
      <c r="C126" s="6"/>
      <c r="D126" s="6"/>
      <c r="E126" s="6"/>
      <c r="F126" s="9" t="str">
        <f aca="false">IF(OR($D126="",$E126=""),"",$E126-$D126)</f>
        <v/>
      </c>
      <c r="G126" s="6"/>
      <c r="H126" s="6"/>
      <c r="I126" s="6"/>
      <c r="J126" s="9" t="str">
        <f aca="false">IF(OR(NOT(ISNUMBER($H126)),NOT(ISNUMBER($I126)),$H126=0),"",$I126/$H126)</f>
        <v/>
      </c>
      <c r="K126" s="6"/>
      <c r="L126" s="8"/>
      <c r="M126" s="7"/>
      <c r="N126" s="7"/>
      <c r="O126" s="9" t="str">
        <f aca="false">IF(NOT(ISNUMBER($M126)),"",IF($L126="Fine earth / fine-earth volume",$M126*(1-IF(ISNUMBER($K126),$K126,0)/100),$M126))</f>
        <v/>
      </c>
      <c r="P126" s="9" t="str">
        <f aca="false">IF(OR(NOT(ISNUMBER($O126)),NOT(ISNUMBER($N126)),NOT(ISNUMBER($F126))),"",$O126*($N126/100)*$F126*10)</f>
        <v/>
      </c>
      <c r="Q126" s="9" t="str">
        <f aca="false">IF(OR(NOT(ISNUMBER($D126)),NOT(ISNUMBER($E126))),"",MAX(0,MIN($E126,SOIL_REPORTING_DEPTH_CM)-MIN($D126,SOIL_REPORTING_DEPTH_CM)))</f>
        <v/>
      </c>
      <c r="R126" s="9" t="str">
        <f aca="false">IF(OR(NOT(ISNUMBER($O126)),NOT(ISNUMBER($N126)),NOT(ISNUMBER($Q126))),"",$O126*($N126/100)*$Q126*10)</f>
        <v/>
      </c>
      <c r="S126" s="11" t="str">
        <f aca="false">IF(AND($A126="",$B126="",$D126=""),"",IF(AND($A126&lt;&gt;"",COUNTIF('1. Plot &amp; Site Log'!$A$5:$A$64,$A126)=0),"Plot ID not in the Plot &amp; Site Log. ","")&amp;IF(AND(ISNUMBER($D126),ISNUMBER($E126),$E126&lt;=$D126),"Bottom depth is not below top depth. ","")&amp;IF($L126="Not confirmed","Bulk-density basis not confirmed with the lab — the coarse-fragment correction may be wrong or doubled. ","")&amp;IF(LAB_BULK_DENSITY_BASIS="Not confirmed","No lab bulk-density basis is on file in Settings (LAB_BULK_DENSITY_BASIS), so nothing checks this row. ","")&amp;IF(AND($L126&lt;&gt;"",LAB_BULK_DENSITY_BASIS&lt;&gt;"Not confirmed",$L126&lt;&gt;LAB_BULK_DENSITY_BASIS),"This row's bulk-density basis disagrees with the lab method on file. One of "&amp;"the two is wrong, and the coarse-fragment correction follows the row. ","")&amp;IF(AND(ISNUMBER($M126),OR($M126&lt;QC_BD_MIN,$M126&gt;QC_BD_MAX)),"Bulk density outside the plausible range for a mineral grassland soil. ","")&amp;IF(AND(ISNUMBER($N126),$N126&gt;QC_CARBON_PCT_MAX),"Organic carbon above the QC ceiling — check units, and whether this is an organic horizon. ","")&amp;IF(AND(ISNUMBER($J126),$J126&lt;QC_RECOVERY_MIN),"Recovered less than the QC minimum of the depth driven — the increments may not sit where you think. Do NOT stretch them back out. ","")&amp;IF(AND(ISNUMBER($K126),$K126&gt;0,$L126="Fine earth / total volume"),"Coarse fragments recorded and the lab basis already accounts for them — no further correction applied, which is correct. ",""))</f>
        <v/>
      </c>
      <c r="T126" s="6"/>
      <c r="U126" s="9" t="n">
        <f aca="false">IF($B126="",0,IF(COUNTIFS($B$5:$B126,$B126)=1,1,0))</f>
        <v>0</v>
      </c>
    </row>
    <row r="127" customFormat="false" ht="15" hidden="false" customHeight="false" outlineLevel="0" collapsed="false">
      <c r="A127" s="6"/>
      <c r="B127" s="6"/>
      <c r="C127" s="6"/>
      <c r="D127" s="6"/>
      <c r="E127" s="6"/>
      <c r="F127" s="9" t="str">
        <f aca="false">IF(OR($D127="",$E127=""),"",$E127-$D127)</f>
        <v/>
      </c>
      <c r="G127" s="6"/>
      <c r="H127" s="6"/>
      <c r="I127" s="6"/>
      <c r="J127" s="9" t="str">
        <f aca="false">IF(OR(NOT(ISNUMBER($H127)),NOT(ISNUMBER($I127)),$H127=0),"",$I127/$H127)</f>
        <v/>
      </c>
      <c r="K127" s="6"/>
      <c r="L127" s="8"/>
      <c r="M127" s="7"/>
      <c r="N127" s="7"/>
      <c r="O127" s="9" t="str">
        <f aca="false">IF(NOT(ISNUMBER($M127)),"",IF($L127="Fine earth / fine-earth volume",$M127*(1-IF(ISNUMBER($K127),$K127,0)/100),$M127))</f>
        <v/>
      </c>
      <c r="P127" s="9" t="str">
        <f aca="false">IF(OR(NOT(ISNUMBER($O127)),NOT(ISNUMBER($N127)),NOT(ISNUMBER($F127))),"",$O127*($N127/100)*$F127*10)</f>
        <v/>
      </c>
      <c r="Q127" s="9" t="str">
        <f aca="false">IF(OR(NOT(ISNUMBER($D127)),NOT(ISNUMBER($E127))),"",MAX(0,MIN($E127,SOIL_REPORTING_DEPTH_CM)-MIN($D127,SOIL_REPORTING_DEPTH_CM)))</f>
        <v/>
      </c>
      <c r="R127" s="9" t="str">
        <f aca="false">IF(OR(NOT(ISNUMBER($O127)),NOT(ISNUMBER($N127)),NOT(ISNUMBER($Q127))),"",$O127*($N127/100)*$Q127*10)</f>
        <v/>
      </c>
      <c r="S127" s="11" t="str">
        <f aca="false">IF(AND($A127="",$B127="",$D127=""),"",IF(AND($A127&lt;&gt;"",COUNTIF('1. Plot &amp; Site Log'!$A$5:$A$64,$A127)=0),"Plot ID not in the Plot &amp; Site Log. ","")&amp;IF(AND(ISNUMBER($D127),ISNUMBER($E127),$E127&lt;=$D127),"Bottom depth is not below top depth. ","")&amp;IF($L127="Not confirmed","Bulk-density basis not confirmed with the lab — the coarse-fragment correction may be wrong or doubled. ","")&amp;IF(LAB_BULK_DENSITY_BASIS="Not confirmed","No lab bulk-density basis is on file in Settings (LAB_BULK_DENSITY_BASIS), so nothing checks this row. ","")&amp;IF(AND($L127&lt;&gt;"",LAB_BULK_DENSITY_BASIS&lt;&gt;"Not confirmed",$L127&lt;&gt;LAB_BULK_DENSITY_BASIS),"This row's bulk-density basis disagrees with the lab method on file. One of "&amp;"the two is wrong, and the coarse-fragment correction follows the row. ","")&amp;IF(AND(ISNUMBER($M127),OR($M127&lt;QC_BD_MIN,$M127&gt;QC_BD_MAX)),"Bulk density outside the plausible range for a mineral grassland soil. ","")&amp;IF(AND(ISNUMBER($N127),$N127&gt;QC_CARBON_PCT_MAX),"Organic carbon above the QC ceiling — check units, and whether this is an organic horizon. ","")&amp;IF(AND(ISNUMBER($J127),$J127&lt;QC_RECOVERY_MIN),"Recovered less than the QC minimum of the depth driven — the increments may not sit where you think. Do NOT stretch them back out. ","")&amp;IF(AND(ISNUMBER($K127),$K127&gt;0,$L127="Fine earth / total volume"),"Coarse fragments recorded and the lab basis already accounts for them — no further correction applied, which is correct. ",""))</f>
        <v/>
      </c>
      <c r="T127" s="6"/>
      <c r="U127" s="9" t="n">
        <f aca="false">IF($B127="",0,IF(COUNTIFS($B$5:$B127,$B127)=1,1,0))</f>
        <v>0</v>
      </c>
    </row>
    <row r="128" customFormat="false" ht="15" hidden="false" customHeight="false" outlineLevel="0" collapsed="false">
      <c r="A128" s="6"/>
      <c r="B128" s="6"/>
      <c r="C128" s="6"/>
      <c r="D128" s="6"/>
      <c r="E128" s="6"/>
      <c r="F128" s="9" t="str">
        <f aca="false">IF(OR($D128="",$E128=""),"",$E128-$D128)</f>
        <v/>
      </c>
      <c r="G128" s="6"/>
      <c r="H128" s="6"/>
      <c r="I128" s="6"/>
      <c r="J128" s="9" t="str">
        <f aca="false">IF(OR(NOT(ISNUMBER($H128)),NOT(ISNUMBER($I128)),$H128=0),"",$I128/$H128)</f>
        <v/>
      </c>
      <c r="K128" s="6"/>
      <c r="L128" s="8"/>
      <c r="M128" s="7"/>
      <c r="N128" s="7"/>
      <c r="O128" s="9" t="str">
        <f aca="false">IF(NOT(ISNUMBER($M128)),"",IF($L128="Fine earth / fine-earth volume",$M128*(1-IF(ISNUMBER($K128),$K128,0)/100),$M128))</f>
        <v/>
      </c>
      <c r="P128" s="9" t="str">
        <f aca="false">IF(OR(NOT(ISNUMBER($O128)),NOT(ISNUMBER($N128)),NOT(ISNUMBER($F128))),"",$O128*($N128/100)*$F128*10)</f>
        <v/>
      </c>
      <c r="Q128" s="9" t="str">
        <f aca="false">IF(OR(NOT(ISNUMBER($D128)),NOT(ISNUMBER($E128))),"",MAX(0,MIN($E128,SOIL_REPORTING_DEPTH_CM)-MIN($D128,SOIL_REPORTING_DEPTH_CM)))</f>
        <v/>
      </c>
      <c r="R128" s="9" t="str">
        <f aca="false">IF(OR(NOT(ISNUMBER($O128)),NOT(ISNUMBER($N128)),NOT(ISNUMBER($Q128))),"",$O128*($N128/100)*$Q128*10)</f>
        <v/>
      </c>
      <c r="S128" s="11" t="str">
        <f aca="false">IF(AND($A128="",$B128="",$D128=""),"",IF(AND($A128&lt;&gt;"",COUNTIF('1. Plot &amp; Site Log'!$A$5:$A$64,$A128)=0),"Plot ID not in the Plot &amp; Site Log. ","")&amp;IF(AND(ISNUMBER($D128),ISNUMBER($E128),$E128&lt;=$D128),"Bottom depth is not below top depth. ","")&amp;IF($L128="Not confirmed","Bulk-density basis not confirmed with the lab — the coarse-fragment correction may be wrong or doubled. ","")&amp;IF(LAB_BULK_DENSITY_BASIS="Not confirmed","No lab bulk-density basis is on file in Settings (LAB_BULK_DENSITY_BASIS), so nothing checks this row. ","")&amp;IF(AND($L128&lt;&gt;"",LAB_BULK_DENSITY_BASIS&lt;&gt;"Not confirmed",$L128&lt;&gt;LAB_BULK_DENSITY_BASIS),"This row's bulk-density basis disagrees with the lab method on file. One of "&amp;"the two is wrong, and the coarse-fragment correction follows the row. ","")&amp;IF(AND(ISNUMBER($M128),OR($M128&lt;QC_BD_MIN,$M128&gt;QC_BD_MAX)),"Bulk density outside the plausible range for a mineral grassland soil. ","")&amp;IF(AND(ISNUMBER($N128),$N128&gt;QC_CARBON_PCT_MAX),"Organic carbon above the QC ceiling — check units, and whether this is an organic horizon. ","")&amp;IF(AND(ISNUMBER($J128),$J128&lt;QC_RECOVERY_MIN),"Recovered less than the QC minimum of the depth driven — the increments may not sit where you think. Do NOT stretch them back out. ","")&amp;IF(AND(ISNUMBER($K128),$K128&gt;0,$L128="Fine earth / total volume"),"Coarse fragments recorded and the lab basis already accounts for them — no further correction applied, which is correct. ",""))</f>
        <v/>
      </c>
      <c r="T128" s="6"/>
      <c r="U128" s="9" t="n">
        <f aca="false">IF($B128="",0,IF(COUNTIFS($B$5:$B128,$B128)=1,1,0))</f>
        <v>0</v>
      </c>
    </row>
    <row r="129" customFormat="false" ht="15" hidden="false" customHeight="false" outlineLevel="0" collapsed="false">
      <c r="A129" s="6"/>
      <c r="B129" s="6"/>
      <c r="C129" s="6"/>
      <c r="D129" s="6"/>
      <c r="E129" s="6"/>
      <c r="F129" s="9" t="str">
        <f aca="false">IF(OR($D129="",$E129=""),"",$E129-$D129)</f>
        <v/>
      </c>
      <c r="G129" s="6"/>
      <c r="H129" s="6"/>
      <c r="I129" s="6"/>
      <c r="J129" s="9" t="str">
        <f aca="false">IF(OR(NOT(ISNUMBER($H129)),NOT(ISNUMBER($I129)),$H129=0),"",$I129/$H129)</f>
        <v/>
      </c>
      <c r="K129" s="6"/>
      <c r="L129" s="8"/>
      <c r="M129" s="7"/>
      <c r="N129" s="7"/>
      <c r="O129" s="9" t="str">
        <f aca="false">IF(NOT(ISNUMBER($M129)),"",IF($L129="Fine earth / fine-earth volume",$M129*(1-IF(ISNUMBER($K129),$K129,0)/100),$M129))</f>
        <v/>
      </c>
      <c r="P129" s="9" t="str">
        <f aca="false">IF(OR(NOT(ISNUMBER($O129)),NOT(ISNUMBER($N129)),NOT(ISNUMBER($F129))),"",$O129*($N129/100)*$F129*10)</f>
        <v/>
      </c>
      <c r="Q129" s="9" t="str">
        <f aca="false">IF(OR(NOT(ISNUMBER($D129)),NOT(ISNUMBER($E129))),"",MAX(0,MIN($E129,SOIL_REPORTING_DEPTH_CM)-MIN($D129,SOIL_REPORTING_DEPTH_CM)))</f>
        <v/>
      </c>
      <c r="R129" s="9" t="str">
        <f aca="false">IF(OR(NOT(ISNUMBER($O129)),NOT(ISNUMBER($N129)),NOT(ISNUMBER($Q129))),"",$O129*($N129/100)*$Q129*10)</f>
        <v/>
      </c>
      <c r="S129" s="11" t="str">
        <f aca="false">IF(AND($A129="",$B129="",$D129=""),"",IF(AND($A129&lt;&gt;"",COUNTIF('1. Plot &amp; Site Log'!$A$5:$A$64,$A129)=0),"Plot ID not in the Plot &amp; Site Log. ","")&amp;IF(AND(ISNUMBER($D129),ISNUMBER($E129),$E129&lt;=$D129),"Bottom depth is not below top depth. ","")&amp;IF($L129="Not confirmed","Bulk-density basis not confirmed with the lab — the coarse-fragment correction may be wrong or doubled. ","")&amp;IF(LAB_BULK_DENSITY_BASIS="Not confirmed","No lab bulk-density basis is on file in Settings (LAB_BULK_DENSITY_BASIS), so nothing checks this row. ","")&amp;IF(AND($L129&lt;&gt;"",LAB_BULK_DENSITY_BASIS&lt;&gt;"Not confirmed",$L129&lt;&gt;LAB_BULK_DENSITY_BASIS),"This row's bulk-density basis disagrees with the lab method on file. One of "&amp;"the two is wrong, and the coarse-fragment correction follows the row. ","")&amp;IF(AND(ISNUMBER($M129),OR($M129&lt;QC_BD_MIN,$M129&gt;QC_BD_MAX)),"Bulk density outside the plausible range for a mineral grassland soil. ","")&amp;IF(AND(ISNUMBER($N129),$N129&gt;QC_CARBON_PCT_MAX),"Organic carbon above the QC ceiling — check units, and whether this is an organic horizon. ","")&amp;IF(AND(ISNUMBER($J129),$J129&lt;QC_RECOVERY_MIN),"Recovered less than the QC minimum of the depth driven — the increments may not sit where you think. Do NOT stretch them back out. ","")&amp;IF(AND(ISNUMBER($K129),$K129&gt;0,$L129="Fine earth / total volume"),"Coarse fragments recorded and the lab basis already accounts for them — no further correction applied, which is correct. ",""))</f>
        <v/>
      </c>
      <c r="T129" s="6"/>
      <c r="U129" s="9" t="n">
        <f aca="false">IF($B129="",0,IF(COUNTIFS($B$5:$B129,$B129)=1,1,0))</f>
        <v>0</v>
      </c>
    </row>
    <row r="130" customFormat="false" ht="15" hidden="false" customHeight="false" outlineLevel="0" collapsed="false">
      <c r="A130" s="6"/>
      <c r="B130" s="6"/>
      <c r="C130" s="6"/>
      <c r="D130" s="6"/>
      <c r="E130" s="6"/>
      <c r="F130" s="9" t="str">
        <f aca="false">IF(OR($D130="",$E130=""),"",$E130-$D130)</f>
        <v/>
      </c>
      <c r="G130" s="6"/>
      <c r="H130" s="6"/>
      <c r="I130" s="6"/>
      <c r="J130" s="9" t="str">
        <f aca="false">IF(OR(NOT(ISNUMBER($H130)),NOT(ISNUMBER($I130)),$H130=0),"",$I130/$H130)</f>
        <v/>
      </c>
      <c r="K130" s="6"/>
      <c r="L130" s="8"/>
      <c r="M130" s="7"/>
      <c r="N130" s="7"/>
      <c r="O130" s="9" t="str">
        <f aca="false">IF(NOT(ISNUMBER($M130)),"",IF($L130="Fine earth / fine-earth volume",$M130*(1-IF(ISNUMBER($K130),$K130,0)/100),$M130))</f>
        <v/>
      </c>
      <c r="P130" s="9" t="str">
        <f aca="false">IF(OR(NOT(ISNUMBER($O130)),NOT(ISNUMBER($N130)),NOT(ISNUMBER($F130))),"",$O130*($N130/100)*$F130*10)</f>
        <v/>
      </c>
      <c r="Q130" s="9" t="str">
        <f aca="false">IF(OR(NOT(ISNUMBER($D130)),NOT(ISNUMBER($E130))),"",MAX(0,MIN($E130,SOIL_REPORTING_DEPTH_CM)-MIN($D130,SOIL_REPORTING_DEPTH_CM)))</f>
        <v/>
      </c>
      <c r="R130" s="9" t="str">
        <f aca="false">IF(OR(NOT(ISNUMBER($O130)),NOT(ISNUMBER($N130)),NOT(ISNUMBER($Q130))),"",$O130*($N130/100)*$Q130*10)</f>
        <v/>
      </c>
      <c r="S130" s="11" t="str">
        <f aca="false">IF(AND($A130="",$B130="",$D130=""),"",IF(AND($A130&lt;&gt;"",COUNTIF('1. Plot &amp; Site Log'!$A$5:$A$64,$A130)=0),"Plot ID not in the Plot &amp; Site Log. ","")&amp;IF(AND(ISNUMBER($D130),ISNUMBER($E130),$E130&lt;=$D130),"Bottom depth is not below top depth. ","")&amp;IF($L130="Not confirmed","Bulk-density basis not confirmed with the lab — the coarse-fragment correction may be wrong or doubled. ","")&amp;IF(LAB_BULK_DENSITY_BASIS="Not confirmed","No lab bulk-density basis is on file in Settings (LAB_BULK_DENSITY_BASIS), so nothing checks this row. ","")&amp;IF(AND($L130&lt;&gt;"",LAB_BULK_DENSITY_BASIS&lt;&gt;"Not confirmed",$L130&lt;&gt;LAB_BULK_DENSITY_BASIS),"This row's bulk-density basis disagrees with the lab method on file. One of "&amp;"the two is wrong, and the coarse-fragment correction follows the row. ","")&amp;IF(AND(ISNUMBER($M130),OR($M130&lt;QC_BD_MIN,$M130&gt;QC_BD_MAX)),"Bulk density outside the plausible range for a mineral grassland soil. ","")&amp;IF(AND(ISNUMBER($N130),$N130&gt;QC_CARBON_PCT_MAX),"Organic carbon above the QC ceiling — check units, and whether this is an organic horizon. ","")&amp;IF(AND(ISNUMBER($J130),$J130&lt;QC_RECOVERY_MIN),"Recovered less than the QC minimum of the depth driven — the increments may not sit where you think. Do NOT stretch them back out. ","")&amp;IF(AND(ISNUMBER($K130),$K130&gt;0,$L130="Fine earth / total volume"),"Coarse fragments recorded and the lab basis already accounts for them — no further correction applied, which is correct. ",""))</f>
        <v/>
      </c>
      <c r="T130" s="6"/>
      <c r="U130" s="9" t="n">
        <f aca="false">IF($B130="",0,IF(COUNTIFS($B$5:$B130,$B130)=1,1,0))</f>
        <v>0</v>
      </c>
    </row>
    <row r="131" customFormat="false" ht="15" hidden="false" customHeight="false" outlineLevel="0" collapsed="false">
      <c r="A131" s="6"/>
      <c r="B131" s="6"/>
      <c r="C131" s="6"/>
      <c r="D131" s="6"/>
      <c r="E131" s="6"/>
      <c r="F131" s="9" t="str">
        <f aca="false">IF(OR($D131="",$E131=""),"",$E131-$D131)</f>
        <v/>
      </c>
      <c r="G131" s="6"/>
      <c r="H131" s="6"/>
      <c r="I131" s="6"/>
      <c r="J131" s="9" t="str">
        <f aca="false">IF(OR(NOT(ISNUMBER($H131)),NOT(ISNUMBER($I131)),$H131=0),"",$I131/$H131)</f>
        <v/>
      </c>
      <c r="K131" s="6"/>
      <c r="L131" s="8"/>
      <c r="M131" s="7"/>
      <c r="N131" s="7"/>
      <c r="O131" s="9" t="str">
        <f aca="false">IF(NOT(ISNUMBER($M131)),"",IF($L131="Fine earth / fine-earth volume",$M131*(1-IF(ISNUMBER($K131),$K131,0)/100),$M131))</f>
        <v/>
      </c>
      <c r="P131" s="9" t="str">
        <f aca="false">IF(OR(NOT(ISNUMBER($O131)),NOT(ISNUMBER($N131)),NOT(ISNUMBER($F131))),"",$O131*($N131/100)*$F131*10)</f>
        <v/>
      </c>
      <c r="Q131" s="9" t="str">
        <f aca="false">IF(OR(NOT(ISNUMBER($D131)),NOT(ISNUMBER($E131))),"",MAX(0,MIN($E131,SOIL_REPORTING_DEPTH_CM)-MIN($D131,SOIL_REPORTING_DEPTH_CM)))</f>
        <v/>
      </c>
      <c r="R131" s="9" t="str">
        <f aca="false">IF(OR(NOT(ISNUMBER($O131)),NOT(ISNUMBER($N131)),NOT(ISNUMBER($Q131))),"",$O131*($N131/100)*$Q131*10)</f>
        <v/>
      </c>
      <c r="S131" s="11" t="str">
        <f aca="false">IF(AND($A131="",$B131="",$D131=""),"",IF(AND($A131&lt;&gt;"",COUNTIF('1. Plot &amp; Site Log'!$A$5:$A$64,$A131)=0),"Plot ID not in the Plot &amp; Site Log. ","")&amp;IF(AND(ISNUMBER($D131),ISNUMBER($E131),$E131&lt;=$D131),"Bottom depth is not below top depth. ","")&amp;IF($L131="Not confirmed","Bulk-density basis not confirmed with the lab — the coarse-fragment correction may be wrong or doubled. ","")&amp;IF(LAB_BULK_DENSITY_BASIS="Not confirmed","No lab bulk-density basis is on file in Settings (LAB_BULK_DENSITY_BASIS), so nothing checks this row. ","")&amp;IF(AND($L131&lt;&gt;"",LAB_BULK_DENSITY_BASIS&lt;&gt;"Not confirmed",$L131&lt;&gt;LAB_BULK_DENSITY_BASIS),"This row's bulk-density basis disagrees with the lab method on file. One of "&amp;"the two is wrong, and the coarse-fragment correction follows the row. ","")&amp;IF(AND(ISNUMBER($M131),OR($M131&lt;QC_BD_MIN,$M131&gt;QC_BD_MAX)),"Bulk density outside the plausible range for a mineral grassland soil. ","")&amp;IF(AND(ISNUMBER($N131),$N131&gt;QC_CARBON_PCT_MAX),"Organic carbon above the QC ceiling — check units, and whether this is an organic horizon. ","")&amp;IF(AND(ISNUMBER($J131),$J131&lt;QC_RECOVERY_MIN),"Recovered less than the QC minimum of the depth driven — the increments may not sit where you think. Do NOT stretch them back out. ","")&amp;IF(AND(ISNUMBER($K131),$K131&gt;0,$L131="Fine earth / total volume"),"Coarse fragments recorded and the lab basis already accounts for them — no further correction applied, which is correct. ",""))</f>
        <v/>
      </c>
      <c r="T131" s="6"/>
      <c r="U131" s="9" t="n">
        <f aca="false">IF($B131="",0,IF(COUNTIFS($B$5:$B131,$B131)=1,1,0))</f>
        <v>0</v>
      </c>
    </row>
    <row r="132" customFormat="false" ht="15" hidden="false" customHeight="false" outlineLevel="0" collapsed="false">
      <c r="A132" s="6"/>
      <c r="B132" s="6"/>
      <c r="C132" s="6"/>
      <c r="D132" s="6"/>
      <c r="E132" s="6"/>
      <c r="F132" s="9" t="str">
        <f aca="false">IF(OR($D132="",$E132=""),"",$E132-$D132)</f>
        <v/>
      </c>
      <c r="G132" s="6"/>
      <c r="H132" s="6"/>
      <c r="I132" s="6"/>
      <c r="J132" s="9" t="str">
        <f aca="false">IF(OR(NOT(ISNUMBER($H132)),NOT(ISNUMBER($I132)),$H132=0),"",$I132/$H132)</f>
        <v/>
      </c>
      <c r="K132" s="6"/>
      <c r="L132" s="8"/>
      <c r="M132" s="7"/>
      <c r="N132" s="7"/>
      <c r="O132" s="9" t="str">
        <f aca="false">IF(NOT(ISNUMBER($M132)),"",IF($L132="Fine earth / fine-earth volume",$M132*(1-IF(ISNUMBER($K132),$K132,0)/100),$M132))</f>
        <v/>
      </c>
      <c r="P132" s="9" t="str">
        <f aca="false">IF(OR(NOT(ISNUMBER($O132)),NOT(ISNUMBER($N132)),NOT(ISNUMBER($F132))),"",$O132*($N132/100)*$F132*10)</f>
        <v/>
      </c>
      <c r="Q132" s="9" t="str">
        <f aca="false">IF(OR(NOT(ISNUMBER($D132)),NOT(ISNUMBER($E132))),"",MAX(0,MIN($E132,SOIL_REPORTING_DEPTH_CM)-MIN($D132,SOIL_REPORTING_DEPTH_CM)))</f>
        <v/>
      </c>
      <c r="R132" s="9" t="str">
        <f aca="false">IF(OR(NOT(ISNUMBER($O132)),NOT(ISNUMBER($N132)),NOT(ISNUMBER($Q132))),"",$O132*($N132/100)*$Q132*10)</f>
        <v/>
      </c>
      <c r="S132" s="11" t="str">
        <f aca="false">IF(AND($A132="",$B132="",$D132=""),"",IF(AND($A132&lt;&gt;"",COUNTIF('1. Plot &amp; Site Log'!$A$5:$A$64,$A132)=0),"Plot ID not in the Plot &amp; Site Log. ","")&amp;IF(AND(ISNUMBER($D132),ISNUMBER($E132),$E132&lt;=$D132),"Bottom depth is not below top depth. ","")&amp;IF($L132="Not confirmed","Bulk-density basis not confirmed with the lab — the coarse-fragment correction may be wrong or doubled. ","")&amp;IF(LAB_BULK_DENSITY_BASIS="Not confirmed","No lab bulk-density basis is on file in Settings (LAB_BULK_DENSITY_BASIS), so nothing checks this row. ","")&amp;IF(AND($L132&lt;&gt;"",LAB_BULK_DENSITY_BASIS&lt;&gt;"Not confirmed",$L132&lt;&gt;LAB_BULK_DENSITY_BASIS),"This row's bulk-density basis disagrees with the lab method on file. One of "&amp;"the two is wrong, and the coarse-fragment correction follows the row. ","")&amp;IF(AND(ISNUMBER($M132),OR($M132&lt;QC_BD_MIN,$M132&gt;QC_BD_MAX)),"Bulk density outside the plausible range for a mineral grassland soil. ","")&amp;IF(AND(ISNUMBER($N132),$N132&gt;QC_CARBON_PCT_MAX),"Organic carbon above the QC ceiling — check units, and whether this is an organic horizon. ","")&amp;IF(AND(ISNUMBER($J132),$J132&lt;QC_RECOVERY_MIN),"Recovered less than the QC minimum of the depth driven — the increments may not sit where you think. Do NOT stretch them back out. ","")&amp;IF(AND(ISNUMBER($K132),$K132&gt;0,$L132="Fine earth / total volume"),"Coarse fragments recorded and the lab basis already accounts for them — no further correction applied, which is correct. ",""))</f>
        <v/>
      </c>
      <c r="T132" s="6"/>
      <c r="U132" s="9" t="n">
        <f aca="false">IF($B132="",0,IF(COUNTIFS($B$5:$B132,$B132)=1,1,0))</f>
        <v>0</v>
      </c>
    </row>
    <row r="133" customFormat="false" ht="15" hidden="false" customHeight="false" outlineLevel="0" collapsed="false">
      <c r="A133" s="6"/>
      <c r="B133" s="6"/>
      <c r="C133" s="6"/>
      <c r="D133" s="6"/>
      <c r="E133" s="6"/>
      <c r="F133" s="9" t="str">
        <f aca="false">IF(OR($D133="",$E133=""),"",$E133-$D133)</f>
        <v/>
      </c>
      <c r="G133" s="6"/>
      <c r="H133" s="6"/>
      <c r="I133" s="6"/>
      <c r="J133" s="9" t="str">
        <f aca="false">IF(OR(NOT(ISNUMBER($H133)),NOT(ISNUMBER($I133)),$H133=0),"",$I133/$H133)</f>
        <v/>
      </c>
      <c r="K133" s="6"/>
      <c r="L133" s="8"/>
      <c r="M133" s="7"/>
      <c r="N133" s="7"/>
      <c r="O133" s="9" t="str">
        <f aca="false">IF(NOT(ISNUMBER($M133)),"",IF($L133="Fine earth / fine-earth volume",$M133*(1-IF(ISNUMBER($K133),$K133,0)/100),$M133))</f>
        <v/>
      </c>
      <c r="P133" s="9" t="str">
        <f aca="false">IF(OR(NOT(ISNUMBER($O133)),NOT(ISNUMBER($N133)),NOT(ISNUMBER($F133))),"",$O133*($N133/100)*$F133*10)</f>
        <v/>
      </c>
      <c r="Q133" s="9" t="str">
        <f aca="false">IF(OR(NOT(ISNUMBER($D133)),NOT(ISNUMBER($E133))),"",MAX(0,MIN($E133,SOIL_REPORTING_DEPTH_CM)-MIN($D133,SOIL_REPORTING_DEPTH_CM)))</f>
        <v/>
      </c>
      <c r="R133" s="9" t="str">
        <f aca="false">IF(OR(NOT(ISNUMBER($O133)),NOT(ISNUMBER($N133)),NOT(ISNUMBER($Q133))),"",$O133*($N133/100)*$Q133*10)</f>
        <v/>
      </c>
      <c r="S133" s="11" t="str">
        <f aca="false">IF(AND($A133="",$B133="",$D133=""),"",IF(AND($A133&lt;&gt;"",COUNTIF('1. Plot &amp; Site Log'!$A$5:$A$64,$A133)=0),"Plot ID not in the Plot &amp; Site Log. ","")&amp;IF(AND(ISNUMBER($D133),ISNUMBER($E133),$E133&lt;=$D133),"Bottom depth is not below top depth. ","")&amp;IF($L133="Not confirmed","Bulk-density basis not confirmed with the lab — the coarse-fragment correction may be wrong or doubled. ","")&amp;IF(LAB_BULK_DENSITY_BASIS="Not confirmed","No lab bulk-density basis is on file in Settings (LAB_BULK_DENSITY_BASIS), so nothing checks this row. ","")&amp;IF(AND($L133&lt;&gt;"",LAB_BULK_DENSITY_BASIS&lt;&gt;"Not confirmed",$L133&lt;&gt;LAB_BULK_DENSITY_BASIS),"This row's bulk-density basis disagrees with the lab method on file. One of "&amp;"the two is wrong, and the coarse-fragment correction follows the row. ","")&amp;IF(AND(ISNUMBER($M133),OR($M133&lt;QC_BD_MIN,$M133&gt;QC_BD_MAX)),"Bulk density outside the plausible range for a mineral grassland soil. ","")&amp;IF(AND(ISNUMBER($N133),$N133&gt;QC_CARBON_PCT_MAX),"Organic carbon above the QC ceiling — check units, and whether this is an organic horizon. ","")&amp;IF(AND(ISNUMBER($J133),$J133&lt;QC_RECOVERY_MIN),"Recovered less than the QC minimum of the depth driven — the increments may not sit where you think. Do NOT stretch them back out. ","")&amp;IF(AND(ISNUMBER($K133),$K133&gt;0,$L133="Fine earth / total volume"),"Coarse fragments recorded and the lab basis already accounts for them — no further correction applied, which is correct. ",""))</f>
        <v/>
      </c>
      <c r="T133" s="6"/>
      <c r="U133" s="9" t="n">
        <f aca="false">IF($B133="",0,IF(COUNTIFS($B$5:$B133,$B133)=1,1,0))</f>
        <v>0</v>
      </c>
    </row>
    <row r="134" customFormat="false" ht="15" hidden="false" customHeight="false" outlineLevel="0" collapsed="false">
      <c r="A134" s="6"/>
      <c r="B134" s="6"/>
      <c r="C134" s="6"/>
      <c r="D134" s="6"/>
      <c r="E134" s="6"/>
      <c r="F134" s="9" t="str">
        <f aca="false">IF(OR($D134="",$E134=""),"",$E134-$D134)</f>
        <v/>
      </c>
      <c r="G134" s="6"/>
      <c r="H134" s="6"/>
      <c r="I134" s="6"/>
      <c r="J134" s="9" t="str">
        <f aca="false">IF(OR(NOT(ISNUMBER($H134)),NOT(ISNUMBER($I134)),$H134=0),"",$I134/$H134)</f>
        <v/>
      </c>
      <c r="K134" s="6"/>
      <c r="L134" s="8"/>
      <c r="M134" s="7"/>
      <c r="N134" s="7"/>
      <c r="O134" s="9" t="str">
        <f aca="false">IF(NOT(ISNUMBER($M134)),"",IF($L134="Fine earth / fine-earth volume",$M134*(1-IF(ISNUMBER($K134),$K134,0)/100),$M134))</f>
        <v/>
      </c>
      <c r="P134" s="9" t="str">
        <f aca="false">IF(OR(NOT(ISNUMBER($O134)),NOT(ISNUMBER($N134)),NOT(ISNUMBER($F134))),"",$O134*($N134/100)*$F134*10)</f>
        <v/>
      </c>
      <c r="Q134" s="9" t="str">
        <f aca="false">IF(OR(NOT(ISNUMBER($D134)),NOT(ISNUMBER($E134))),"",MAX(0,MIN($E134,SOIL_REPORTING_DEPTH_CM)-MIN($D134,SOIL_REPORTING_DEPTH_CM)))</f>
        <v/>
      </c>
      <c r="R134" s="9" t="str">
        <f aca="false">IF(OR(NOT(ISNUMBER($O134)),NOT(ISNUMBER($N134)),NOT(ISNUMBER($Q134))),"",$O134*($N134/100)*$Q134*10)</f>
        <v/>
      </c>
      <c r="S134" s="11" t="str">
        <f aca="false">IF(AND($A134="",$B134="",$D134=""),"",IF(AND($A134&lt;&gt;"",COUNTIF('1. Plot &amp; Site Log'!$A$5:$A$64,$A134)=0),"Plot ID not in the Plot &amp; Site Log. ","")&amp;IF(AND(ISNUMBER($D134),ISNUMBER($E134),$E134&lt;=$D134),"Bottom depth is not below top depth. ","")&amp;IF($L134="Not confirmed","Bulk-density basis not confirmed with the lab — the coarse-fragment correction may be wrong or doubled. ","")&amp;IF(LAB_BULK_DENSITY_BASIS="Not confirmed","No lab bulk-density basis is on file in Settings (LAB_BULK_DENSITY_BASIS), so nothing checks this row. ","")&amp;IF(AND($L134&lt;&gt;"",LAB_BULK_DENSITY_BASIS&lt;&gt;"Not confirmed",$L134&lt;&gt;LAB_BULK_DENSITY_BASIS),"This row's bulk-density basis disagrees with the lab method on file. One of "&amp;"the two is wrong, and the coarse-fragment correction follows the row. ","")&amp;IF(AND(ISNUMBER($M134),OR($M134&lt;QC_BD_MIN,$M134&gt;QC_BD_MAX)),"Bulk density outside the plausible range for a mineral grassland soil. ","")&amp;IF(AND(ISNUMBER($N134),$N134&gt;QC_CARBON_PCT_MAX),"Organic carbon above the QC ceiling — check units, and whether this is an organic horizon. ","")&amp;IF(AND(ISNUMBER($J134),$J134&lt;QC_RECOVERY_MIN),"Recovered less than the QC minimum of the depth driven — the increments may not sit where you think. Do NOT stretch them back out. ","")&amp;IF(AND(ISNUMBER($K134),$K134&gt;0,$L134="Fine earth / total volume"),"Coarse fragments recorded and the lab basis already accounts for them — no further correction applied, which is correct. ",""))</f>
        <v/>
      </c>
      <c r="T134" s="6"/>
      <c r="U134" s="9" t="n">
        <f aca="false">IF($B134="",0,IF(COUNTIFS($B$5:$B134,$B134)=1,1,0))</f>
        <v>0</v>
      </c>
    </row>
    <row r="135" customFormat="false" ht="15" hidden="false" customHeight="false" outlineLevel="0" collapsed="false">
      <c r="A135" s="6"/>
      <c r="B135" s="6"/>
      <c r="C135" s="6"/>
      <c r="D135" s="6"/>
      <c r="E135" s="6"/>
      <c r="F135" s="9" t="str">
        <f aca="false">IF(OR($D135="",$E135=""),"",$E135-$D135)</f>
        <v/>
      </c>
      <c r="G135" s="6"/>
      <c r="H135" s="6"/>
      <c r="I135" s="6"/>
      <c r="J135" s="9" t="str">
        <f aca="false">IF(OR(NOT(ISNUMBER($H135)),NOT(ISNUMBER($I135)),$H135=0),"",$I135/$H135)</f>
        <v/>
      </c>
      <c r="K135" s="6"/>
      <c r="L135" s="8"/>
      <c r="M135" s="7"/>
      <c r="N135" s="7"/>
      <c r="O135" s="9" t="str">
        <f aca="false">IF(NOT(ISNUMBER($M135)),"",IF($L135="Fine earth / fine-earth volume",$M135*(1-IF(ISNUMBER($K135),$K135,0)/100),$M135))</f>
        <v/>
      </c>
      <c r="P135" s="9" t="str">
        <f aca="false">IF(OR(NOT(ISNUMBER($O135)),NOT(ISNUMBER($N135)),NOT(ISNUMBER($F135))),"",$O135*($N135/100)*$F135*10)</f>
        <v/>
      </c>
      <c r="Q135" s="9" t="str">
        <f aca="false">IF(OR(NOT(ISNUMBER($D135)),NOT(ISNUMBER($E135))),"",MAX(0,MIN($E135,SOIL_REPORTING_DEPTH_CM)-MIN($D135,SOIL_REPORTING_DEPTH_CM)))</f>
        <v/>
      </c>
      <c r="R135" s="9" t="str">
        <f aca="false">IF(OR(NOT(ISNUMBER($O135)),NOT(ISNUMBER($N135)),NOT(ISNUMBER($Q135))),"",$O135*($N135/100)*$Q135*10)</f>
        <v/>
      </c>
      <c r="S135" s="11" t="str">
        <f aca="false">IF(AND($A135="",$B135="",$D135=""),"",IF(AND($A135&lt;&gt;"",COUNTIF('1. Plot &amp; Site Log'!$A$5:$A$64,$A135)=0),"Plot ID not in the Plot &amp; Site Log. ","")&amp;IF(AND(ISNUMBER($D135),ISNUMBER($E135),$E135&lt;=$D135),"Bottom depth is not below top depth. ","")&amp;IF($L135="Not confirmed","Bulk-density basis not confirmed with the lab — the coarse-fragment correction may be wrong or doubled. ","")&amp;IF(LAB_BULK_DENSITY_BASIS="Not confirmed","No lab bulk-density basis is on file in Settings (LAB_BULK_DENSITY_BASIS), so nothing checks this row. ","")&amp;IF(AND($L135&lt;&gt;"",LAB_BULK_DENSITY_BASIS&lt;&gt;"Not confirmed",$L135&lt;&gt;LAB_BULK_DENSITY_BASIS),"This row's bulk-density basis disagrees with the lab method on file. One of "&amp;"the two is wrong, and the coarse-fragment correction follows the row. ","")&amp;IF(AND(ISNUMBER($M135),OR($M135&lt;QC_BD_MIN,$M135&gt;QC_BD_MAX)),"Bulk density outside the plausible range for a mineral grassland soil. ","")&amp;IF(AND(ISNUMBER($N135),$N135&gt;QC_CARBON_PCT_MAX),"Organic carbon above the QC ceiling — check units, and whether this is an organic horizon. ","")&amp;IF(AND(ISNUMBER($J135),$J135&lt;QC_RECOVERY_MIN),"Recovered less than the QC minimum of the depth driven — the increments may not sit where you think. Do NOT stretch them back out. ","")&amp;IF(AND(ISNUMBER($K135),$K135&gt;0,$L135="Fine earth / total volume"),"Coarse fragments recorded and the lab basis already accounts for them — no further correction applied, which is correct. ",""))</f>
        <v/>
      </c>
      <c r="T135" s="6"/>
      <c r="U135" s="9" t="n">
        <f aca="false">IF($B135="",0,IF(COUNTIFS($B$5:$B135,$B135)=1,1,0))</f>
        <v>0</v>
      </c>
    </row>
    <row r="136" customFormat="false" ht="15" hidden="false" customHeight="false" outlineLevel="0" collapsed="false">
      <c r="A136" s="6"/>
      <c r="B136" s="6"/>
      <c r="C136" s="6"/>
      <c r="D136" s="6"/>
      <c r="E136" s="6"/>
      <c r="F136" s="9" t="str">
        <f aca="false">IF(OR($D136="",$E136=""),"",$E136-$D136)</f>
        <v/>
      </c>
      <c r="G136" s="6"/>
      <c r="H136" s="6"/>
      <c r="I136" s="6"/>
      <c r="J136" s="9" t="str">
        <f aca="false">IF(OR(NOT(ISNUMBER($H136)),NOT(ISNUMBER($I136)),$H136=0),"",$I136/$H136)</f>
        <v/>
      </c>
      <c r="K136" s="6"/>
      <c r="L136" s="8"/>
      <c r="M136" s="7"/>
      <c r="N136" s="7"/>
      <c r="O136" s="9" t="str">
        <f aca="false">IF(NOT(ISNUMBER($M136)),"",IF($L136="Fine earth / fine-earth volume",$M136*(1-IF(ISNUMBER($K136),$K136,0)/100),$M136))</f>
        <v/>
      </c>
      <c r="P136" s="9" t="str">
        <f aca="false">IF(OR(NOT(ISNUMBER($O136)),NOT(ISNUMBER($N136)),NOT(ISNUMBER($F136))),"",$O136*($N136/100)*$F136*10)</f>
        <v/>
      </c>
      <c r="Q136" s="9" t="str">
        <f aca="false">IF(OR(NOT(ISNUMBER($D136)),NOT(ISNUMBER($E136))),"",MAX(0,MIN($E136,SOIL_REPORTING_DEPTH_CM)-MIN($D136,SOIL_REPORTING_DEPTH_CM)))</f>
        <v/>
      </c>
      <c r="R136" s="9" t="str">
        <f aca="false">IF(OR(NOT(ISNUMBER($O136)),NOT(ISNUMBER($N136)),NOT(ISNUMBER($Q136))),"",$O136*($N136/100)*$Q136*10)</f>
        <v/>
      </c>
      <c r="S136" s="11" t="str">
        <f aca="false">IF(AND($A136="",$B136="",$D136=""),"",IF(AND($A136&lt;&gt;"",COUNTIF('1. Plot &amp; Site Log'!$A$5:$A$64,$A136)=0),"Plot ID not in the Plot &amp; Site Log. ","")&amp;IF(AND(ISNUMBER($D136),ISNUMBER($E136),$E136&lt;=$D136),"Bottom depth is not below top depth. ","")&amp;IF($L136="Not confirmed","Bulk-density basis not confirmed with the lab — the coarse-fragment correction may be wrong or doubled. ","")&amp;IF(LAB_BULK_DENSITY_BASIS="Not confirmed","No lab bulk-density basis is on file in Settings (LAB_BULK_DENSITY_BASIS), so nothing checks this row. ","")&amp;IF(AND($L136&lt;&gt;"",LAB_BULK_DENSITY_BASIS&lt;&gt;"Not confirmed",$L136&lt;&gt;LAB_BULK_DENSITY_BASIS),"This row's bulk-density basis disagrees with the lab method on file. One of "&amp;"the two is wrong, and the coarse-fragment correction follows the row. ","")&amp;IF(AND(ISNUMBER($M136),OR($M136&lt;QC_BD_MIN,$M136&gt;QC_BD_MAX)),"Bulk density outside the plausible range for a mineral grassland soil. ","")&amp;IF(AND(ISNUMBER($N136),$N136&gt;QC_CARBON_PCT_MAX),"Organic carbon above the QC ceiling — check units, and whether this is an organic horizon. ","")&amp;IF(AND(ISNUMBER($J136),$J136&lt;QC_RECOVERY_MIN),"Recovered less than the QC minimum of the depth driven — the increments may not sit where you think. Do NOT stretch them back out. ","")&amp;IF(AND(ISNUMBER($K136),$K136&gt;0,$L136="Fine earth / total volume"),"Coarse fragments recorded and the lab basis already accounts for them — no further correction applied, which is correct. ",""))</f>
        <v/>
      </c>
      <c r="T136" s="6"/>
      <c r="U136" s="9" t="n">
        <f aca="false">IF($B136="",0,IF(COUNTIFS($B$5:$B136,$B136)=1,1,0))</f>
        <v>0</v>
      </c>
    </row>
    <row r="137" customFormat="false" ht="15" hidden="false" customHeight="false" outlineLevel="0" collapsed="false">
      <c r="A137" s="6"/>
      <c r="B137" s="6"/>
      <c r="C137" s="6"/>
      <c r="D137" s="6"/>
      <c r="E137" s="6"/>
      <c r="F137" s="9" t="str">
        <f aca="false">IF(OR($D137="",$E137=""),"",$E137-$D137)</f>
        <v/>
      </c>
      <c r="G137" s="6"/>
      <c r="H137" s="6"/>
      <c r="I137" s="6"/>
      <c r="J137" s="9" t="str">
        <f aca="false">IF(OR(NOT(ISNUMBER($H137)),NOT(ISNUMBER($I137)),$H137=0),"",$I137/$H137)</f>
        <v/>
      </c>
      <c r="K137" s="6"/>
      <c r="L137" s="8"/>
      <c r="M137" s="7"/>
      <c r="N137" s="7"/>
      <c r="O137" s="9" t="str">
        <f aca="false">IF(NOT(ISNUMBER($M137)),"",IF($L137="Fine earth / fine-earth volume",$M137*(1-IF(ISNUMBER($K137),$K137,0)/100),$M137))</f>
        <v/>
      </c>
      <c r="P137" s="9" t="str">
        <f aca="false">IF(OR(NOT(ISNUMBER($O137)),NOT(ISNUMBER($N137)),NOT(ISNUMBER($F137))),"",$O137*($N137/100)*$F137*10)</f>
        <v/>
      </c>
      <c r="Q137" s="9" t="str">
        <f aca="false">IF(OR(NOT(ISNUMBER($D137)),NOT(ISNUMBER($E137))),"",MAX(0,MIN($E137,SOIL_REPORTING_DEPTH_CM)-MIN($D137,SOIL_REPORTING_DEPTH_CM)))</f>
        <v/>
      </c>
      <c r="R137" s="9" t="str">
        <f aca="false">IF(OR(NOT(ISNUMBER($O137)),NOT(ISNUMBER($N137)),NOT(ISNUMBER($Q137))),"",$O137*($N137/100)*$Q137*10)</f>
        <v/>
      </c>
      <c r="S137" s="11" t="str">
        <f aca="false">IF(AND($A137="",$B137="",$D137=""),"",IF(AND($A137&lt;&gt;"",COUNTIF('1. Plot &amp; Site Log'!$A$5:$A$64,$A137)=0),"Plot ID not in the Plot &amp; Site Log. ","")&amp;IF(AND(ISNUMBER($D137),ISNUMBER($E137),$E137&lt;=$D137),"Bottom depth is not below top depth. ","")&amp;IF($L137="Not confirmed","Bulk-density basis not confirmed with the lab — the coarse-fragment correction may be wrong or doubled. ","")&amp;IF(LAB_BULK_DENSITY_BASIS="Not confirmed","No lab bulk-density basis is on file in Settings (LAB_BULK_DENSITY_BASIS), so nothing checks this row. ","")&amp;IF(AND($L137&lt;&gt;"",LAB_BULK_DENSITY_BASIS&lt;&gt;"Not confirmed",$L137&lt;&gt;LAB_BULK_DENSITY_BASIS),"This row's bulk-density basis disagrees with the lab method on file. One of "&amp;"the two is wrong, and the coarse-fragment correction follows the row. ","")&amp;IF(AND(ISNUMBER($M137),OR($M137&lt;QC_BD_MIN,$M137&gt;QC_BD_MAX)),"Bulk density outside the plausible range for a mineral grassland soil. ","")&amp;IF(AND(ISNUMBER($N137),$N137&gt;QC_CARBON_PCT_MAX),"Organic carbon above the QC ceiling — check units, and whether this is an organic horizon. ","")&amp;IF(AND(ISNUMBER($J137),$J137&lt;QC_RECOVERY_MIN),"Recovered less than the QC minimum of the depth driven — the increments may not sit where you think. Do NOT stretch them back out. ","")&amp;IF(AND(ISNUMBER($K137),$K137&gt;0,$L137="Fine earth / total volume"),"Coarse fragments recorded and the lab basis already accounts for them — no further correction applied, which is correct. ",""))</f>
        <v/>
      </c>
      <c r="T137" s="6"/>
      <c r="U137" s="9" t="n">
        <f aca="false">IF($B137="",0,IF(COUNTIFS($B$5:$B137,$B137)=1,1,0))</f>
        <v>0</v>
      </c>
    </row>
    <row r="138" customFormat="false" ht="15" hidden="false" customHeight="false" outlineLevel="0" collapsed="false">
      <c r="A138" s="6"/>
      <c r="B138" s="6"/>
      <c r="C138" s="6"/>
      <c r="D138" s="6"/>
      <c r="E138" s="6"/>
      <c r="F138" s="9" t="str">
        <f aca="false">IF(OR($D138="",$E138=""),"",$E138-$D138)</f>
        <v/>
      </c>
      <c r="G138" s="6"/>
      <c r="H138" s="6"/>
      <c r="I138" s="6"/>
      <c r="J138" s="9" t="str">
        <f aca="false">IF(OR(NOT(ISNUMBER($H138)),NOT(ISNUMBER($I138)),$H138=0),"",$I138/$H138)</f>
        <v/>
      </c>
      <c r="K138" s="6"/>
      <c r="L138" s="8"/>
      <c r="M138" s="7"/>
      <c r="N138" s="7"/>
      <c r="O138" s="9" t="str">
        <f aca="false">IF(NOT(ISNUMBER($M138)),"",IF($L138="Fine earth / fine-earth volume",$M138*(1-IF(ISNUMBER($K138),$K138,0)/100),$M138))</f>
        <v/>
      </c>
      <c r="P138" s="9" t="str">
        <f aca="false">IF(OR(NOT(ISNUMBER($O138)),NOT(ISNUMBER($N138)),NOT(ISNUMBER($F138))),"",$O138*($N138/100)*$F138*10)</f>
        <v/>
      </c>
      <c r="Q138" s="9" t="str">
        <f aca="false">IF(OR(NOT(ISNUMBER($D138)),NOT(ISNUMBER($E138))),"",MAX(0,MIN($E138,SOIL_REPORTING_DEPTH_CM)-MIN($D138,SOIL_REPORTING_DEPTH_CM)))</f>
        <v/>
      </c>
      <c r="R138" s="9" t="str">
        <f aca="false">IF(OR(NOT(ISNUMBER($O138)),NOT(ISNUMBER($N138)),NOT(ISNUMBER($Q138))),"",$O138*($N138/100)*$Q138*10)</f>
        <v/>
      </c>
      <c r="S138" s="11" t="str">
        <f aca="false">IF(AND($A138="",$B138="",$D138=""),"",IF(AND($A138&lt;&gt;"",COUNTIF('1. Plot &amp; Site Log'!$A$5:$A$64,$A138)=0),"Plot ID not in the Plot &amp; Site Log. ","")&amp;IF(AND(ISNUMBER($D138),ISNUMBER($E138),$E138&lt;=$D138),"Bottom depth is not below top depth. ","")&amp;IF($L138="Not confirmed","Bulk-density basis not confirmed with the lab — the coarse-fragment correction may be wrong or doubled. ","")&amp;IF(LAB_BULK_DENSITY_BASIS="Not confirmed","No lab bulk-density basis is on file in Settings (LAB_BULK_DENSITY_BASIS), so nothing checks this row. ","")&amp;IF(AND($L138&lt;&gt;"",LAB_BULK_DENSITY_BASIS&lt;&gt;"Not confirmed",$L138&lt;&gt;LAB_BULK_DENSITY_BASIS),"This row's bulk-density basis disagrees with the lab method on file. One of "&amp;"the two is wrong, and the coarse-fragment correction follows the row. ","")&amp;IF(AND(ISNUMBER($M138),OR($M138&lt;QC_BD_MIN,$M138&gt;QC_BD_MAX)),"Bulk density outside the plausible range for a mineral grassland soil. ","")&amp;IF(AND(ISNUMBER($N138),$N138&gt;QC_CARBON_PCT_MAX),"Organic carbon above the QC ceiling — check units, and whether this is an organic horizon. ","")&amp;IF(AND(ISNUMBER($J138),$J138&lt;QC_RECOVERY_MIN),"Recovered less than the QC minimum of the depth driven — the increments may not sit where you think. Do NOT stretch them back out. ","")&amp;IF(AND(ISNUMBER($K138),$K138&gt;0,$L138="Fine earth / total volume"),"Coarse fragments recorded and the lab basis already accounts for them — no further correction applied, which is correct. ",""))</f>
        <v/>
      </c>
      <c r="T138" s="6"/>
      <c r="U138" s="9" t="n">
        <f aca="false">IF($B138="",0,IF(COUNTIFS($B$5:$B138,$B138)=1,1,0))</f>
        <v>0</v>
      </c>
    </row>
    <row r="139" customFormat="false" ht="15" hidden="false" customHeight="false" outlineLevel="0" collapsed="false">
      <c r="A139" s="6"/>
      <c r="B139" s="6"/>
      <c r="C139" s="6"/>
      <c r="D139" s="6"/>
      <c r="E139" s="6"/>
      <c r="F139" s="9" t="str">
        <f aca="false">IF(OR($D139="",$E139=""),"",$E139-$D139)</f>
        <v/>
      </c>
      <c r="G139" s="6"/>
      <c r="H139" s="6"/>
      <c r="I139" s="6"/>
      <c r="J139" s="9" t="str">
        <f aca="false">IF(OR(NOT(ISNUMBER($H139)),NOT(ISNUMBER($I139)),$H139=0),"",$I139/$H139)</f>
        <v/>
      </c>
      <c r="K139" s="6"/>
      <c r="L139" s="8"/>
      <c r="M139" s="7"/>
      <c r="N139" s="7"/>
      <c r="O139" s="9" t="str">
        <f aca="false">IF(NOT(ISNUMBER($M139)),"",IF($L139="Fine earth / fine-earth volume",$M139*(1-IF(ISNUMBER($K139),$K139,0)/100),$M139))</f>
        <v/>
      </c>
      <c r="P139" s="9" t="str">
        <f aca="false">IF(OR(NOT(ISNUMBER($O139)),NOT(ISNUMBER($N139)),NOT(ISNUMBER($F139))),"",$O139*($N139/100)*$F139*10)</f>
        <v/>
      </c>
      <c r="Q139" s="9" t="str">
        <f aca="false">IF(OR(NOT(ISNUMBER($D139)),NOT(ISNUMBER($E139))),"",MAX(0,MIN($E139,SOIL_REPORTING_DEPTH_CM)-MIN($D139,SOIL_REPORTING_DEPTH_CM)))</f>
        <v/>
      </c>
      <c r="R139" s="9" t="str">
        <f aca="false">IF(OR(NOT(ISNUMBER($O139)),NOT(ISNUMBER($N139)),NOT(ISNUMBER($Q139))),"",$O139*($N139/100)*$Q139*10)</f>
        <v/>
      </c>
      <c r="S139" s="11" t="str">
        <f aca="false">IF(AND($A139="",$B139="",$D139=""),"",IF(AND($A139&lt;&gt;"",COUNTIF('1. Plot &amp; Site Log'!$A$5:$A$64,$A139)=0),"Plot ID not in the Plot &amp; Site Log. ","")&amp;IF(AND(ISNUMBER($D139),ISNUMBER($E139),$E139&lt;=$D139),"Bottom depth is not below top depth. ","")&amp;IF($L139="Not confirmed","Bulk-density basis not confirmed with the lab — the coarse-fragment correction may be wrong or doubled. ","")&amp;IF(LAB_BULK_DENSITY_BASIS="Not confirmed","No lab bulk-density basis is on file in Settings (LAB_BULK_DENSITY_BASIS), so nothing checks this row. ","")&amp;IF(AND($L139&lt;&gt;"",LAB_BULK_DENSITY_BASIS&lt;&gt;"Not confirmed",$L139&lt;&gt;LAB_BULK_DENSITY_BASIS),"This row's bulk-density basis disagrees with the lab method on file. One of "&amp;"the two is wrong, and the coarse-fragment correction follows the row. ","")&amp;IF(AND(ISNUMBER($M139),OR($M139&lt;QC_BD_MIN,$M139&gt;QC_BD_MAX)),"Bulk density outside the plausible range for a mineral grassland soil. ","")&amp;IF(AND(ISNUMBER($N139),$N139&gt;QC_CARBON_PCT_MAX),"Organic carbon above the QC ceiling — check units, and whether this is an organic horizon. ","")&amp;IF(AND(ISNUMBER($J139),$J139&lt;QC_RECOVERY_MIN),"Recovered less than the QC minimum of the depth driven — the increments may not sit where you think. Do NOT stretch them back out. ","")&amp;IF(AND(ISNUMBER($K139),$K139&gt;0,$L139="Fine earth / total volume"),"Coarse fragments recorded and the lab basis already accounts for them — no further correction applied, which is correct. ",""))</f>
        <v/>
      </c>
      <c r="T139" s="6"/>
      <c r="U139" s="9" t="n">
        <f aca="false">IF($B139="",0,IF(COUNTIFS($B$5:$B139,$B139)=1,1,0))</f>
        <v>0</v>
      </c>
    </row>
    <row r="140" customFormat="false" ht="15" hidden="false" customHeight="false" outlineLevel="0" collapsed="false">
      <c r="A140" s="6"/>
      <c r="B140" s="6"/>
      <c r="C140" s="6"/>
      <c r="D140" s="6"/>
      <c r="E140" s="6"/>
      <c r="F140" s="9" t="str">
        <f aca="false">IF(OR($D140="",$E140=""),"",$E140-$D140)</f>
        <v/>
      </c>
      <c r="G140" s="6"/>
      <c r="H140" s="6"/>
      <c r="I140" s="6"/>
      <c r="J140" s="9" t="str">
        <f aca="false">IF(OR(NOT(ISNUMBER($H140)),NOT(ISNUMBER($I140)),$H140=0),"",$I140/$H140)</f>
        <v/>
      </c>
      <c r="K140" s="6"/>
      <c r="L140" s="8"/>
      <c r="M140" s="7"/>
      <c r="N140" s="7"/>
      <c r="O140" s="9" t="str">
        <f aca="false">IF(NOT(ISNUMBER($M140)),"",IF($L140="Fine earth / fine-earth volume",$M140*(1-IF(ISNUMBER($K140),$K140,0)/100),$M140))</f>
        <v/>
      </c>
      <c r="P140" s="9" t="str">
        <f aca="false">IF(OR(NOT(ISNUMBER($O140)),NOT(ISNUMBER($N140)),NOT(ISNUMBER($F140))),"",$O140*($N140/100)*$F140*10)</f>
        <v/>
      </c>
      <c r="Q140" s="9" t="str">
        <f aca="false">IF(OR(NOT(ISNUMBER($D140)),NOT(ISNUMBER($E140))),"",MAX(0,MIN($E140,SOIL_REPORTING_DEPTH_CM)-MIN($D140,SOIL_REPORTING_DEPTH_CM)))</f>
        <v/>
      </c>
      <c r="R140" s="9" t="str">
        <f aca="false">IF(OR(NOT(ISNUMBER($O140)),NOT(ISNUMBER($N140)),NOT(ISNUMBER($Q140))),"",$O140*($N140/100)*$Q140*10)</f>
        <v/>
      </c>
      <c r="S140" s="11" t="str">
        <f aca="false">IF(AND($A140="",$B140="",$D140=""),"",IF(AND($A140&lt;&gt;"",COUNTIF('1. Plot &amp; Site Log'!$A$5:$A$64,$A140)=0),"Plot ID not in the Plot &amp; Site Log. ","")&amp;IF(AND(ISNUMBER($D140),ISNUMBER($E140),$E140&lt;=$D140),"Bottom depth is not below top depth. ","")&amp;IF($L140="Not confirmed","Bulk-density basis not confirmed with the lab — the coarse-fragment correction may be wrong or doubled. ","")&amp;IF(LAB_BULK_DENSITY_BASIS="Not confirmed","No lab bulk-density basis is on file in Settings (LAB_BULK_DENSITY_BASIS), so nothing checks this row. ","")&amp;IF(AND($L140&lt;&gt;"",LAB_BULK_DENSITY_BASIS&lt;&gt;"Not confirmed",$L140&lt;&gt;LAB_BULK_DENSITY_BASIS),"This row's bulk-density basis disagrees with the lab method on file. One of "&amp;"the two is wrong, and the coarse-fragment correction follows the row. ","")&amp;IF(AND(ISNUMBER($M140),OR($M140&lt;QC_BD_MIN,$M140&gt;QC_BD_MAX)),"Bulk density outside the plausible range for a mineral grassland soil. ","")&amp;IF(AND(ISNUMBER($N140),$N140&gt;QC_CARBON_PCT_MAX),"Organic carbon above the QC ceiling — check units, and whether this is an organic horizon. ","")&amp;IF(AND(ISNUMBER($J140),$J140&lt;QC_RECOVERY_MIN),"Recovered less than the QC minimum of the depth driven — the increments may not sit where you think. Do NOT stretch them back out. ","")&amp;IF(AND(ISNUMBER($K140),$K140&gt;0,$L140="Fine earth / total volume"),"Coarse fragments recorded and the lab basis already accounts for them — no further correction applied, which is correct. ",""))</f>
        <v/>
      </c>
      <c r="T140" s="6"/>
      <c r="U140" s="9" t="n">
        <f aca="false">IF($B140="",0,IF(COUNTIFS($B$5:$B140,$B140)=1,1,0))</f>
        <v>0</v>
      </c>
    </row>
    <row r="141" customFormat="false" ht="15" hidden="false" customHeight="false" outlineLevel="0" collapsed="false">
      <c r="A141" s="6"/>
      <c r="B141" s="6"/>
      <c r="C141" s="6"/>
      <c r="D141" s="6"/>
      <c r="E141" s="6"/>
      <c r="F141" s="9" t="str">
        <f aca="false">IF(OR($D141="",$E141=""),"",$E141-$D141)</f>
        <v/>
      </c>
      <c r="G141" s="6"/>
      <c r="H141" s="6"/>
      <c r="I141" s="6"/>
      <c r="J141" s="9" t="str">
        <f aca="false">IF(OR(NOT(ISNUMBER($H141)),NOT(ISNUMBER($I141)),$H141=0),"",$I141/$H141)</f>
        <v/>
      </c>
      <c r="K141" s="6"/>
      <c r="L141" s="8"/>
      <c r="M141" s="7"/>
      <c r="N141" s="7"/>
      <c r="O141" s="9" t="str">
        <f aca="false">IF(NOT(ISNUMBER($M141)),"",IF($L141="Fine earth / fine-earth volume",$M141*(1-IF(ISNUMBER($K141),$K141,0)/100),$M141))</f>
        <v/>
      </c>
      <c r="P141" s="9" t="str">
        <f aca="false">IF(OR(NOT(ISNUMBER($O141)),NOT(ISNUMBER($N141)),NOT(ISNUMBER($F141))),"",$O141*($N141/100)*$F141*10)</f>
        <v/>
      </c>
      <c r="Q141" s="9" t="str">
        <f aca="false">IF(OR(NOT(ISNUMBER($D141)),NOT(ISNUMBER($E141))),"",MAX(0,MIN($E141,SOIL_REPORTING_DEPTH_CM)-MIN($D141,SOIL_REPORTING_DEPTH_CM)))</f>
        <v/>
      </c>
      <c r="R141" s="9" t="str">
        <f aca="false">IF(OR(NOT(ISNUMBER($O141)),NOT(ISNUMBER($N141)),NOT(ISNUMBER($Q141))),"",$O141*($N141/100)*$Q141*10)</f>
        <v/>
      </c>
      <c r="S141" s="11" t="str">
        <f aca="false">IF(AND($A141="",$B141="",$D141=""),"",IF(AND($A141&lt;&gt;"",COUNTIF('1. Plot &amp; Site Log'!$A$5:$A$64,$A141)=0),"Plot ID not in the Plot &amp; Site Log. ","")&amp;IF(AND(ISNUMBER($D141),ISNUMBER($E141),$E141&lt;=$D141),"Bottom depth is not below top depth. ","")&amp;IF($L141="Not confirmed","Bulk-density basis not confirmed with the lab — the coarse-fragment correction may be wrong or doubled. ","")&amp;IF(LAB_BULK_DENSITY_BASIS="Not confirmed","No lab bulk-density basis is on file in Settings (LAB_BULK_DENSITY_BASIS), so nothing checks this row. ","")&amp;IF(AND($L141&lt;&gt;"",LAB_BULK_DENSITY_BASIS&lt;&gt;"Not confirmed",$L141&lt;&gt;LAB_BULK_DENSITY_BASIS),"This row's bulk-density basis disagrees with the lab method on file. One of "&amp;"the two is wrong, and the coarse-fragment correction follows the row. ","")&amp;IF(AND(ISNUMBER($M141),OR($M141&lt;QC_BD_MIN,$M141&gt;QC_BD_MAX)),"Bulk density outside the plausible range for a mineral grassland soil. ","")&amp;IF(AND(ISNUMBER($N141),$N141&gt;QC_CARBON_PCT_MAX),"Organic carbon above the QC ceiling — check units, and whether this is an organic horizon. ","")&amp;IF(AND(ISNUMBER($J141),$J141&lt;QC_RECOVERY_MIN),"Recovered less than the QC minimum of the depth driven — the increments may not sit where you think. Do NOT stretch them back out. ","")&amp;IF(AND(ISNUMBER($K141),$K141&gt;0,$L141="Fine earth / total volume"),"Coarse fragments recorded and the lab basis already accounts for them — no further correction applied, which is correct. ",""))</f>
        <v/>
      </c>
      <c r="T141" s="6"/>
      <c r="U141" s="9" t="n">
        <f aca="false">IF($B141="",0,IF(COUNTIFS($B$5:$B141,$B141)=1,1,0))</f>
        <v>0</v>
      </c>
    </row>
    <row r="142" customFormat="false" ht="15" hidden="false" customHeight="false" outlineLevel="0" collapsed="false">
      <c r="A142" s="6"/>
      <c r="B142" s="6"/>
      <c r="C142" s="6"/>
      <c r="D142" s="6"/>
      <c r="E142" s="6"/>
      <c r="F142" s="9" t="str">
        <f aca="false">IF(OR($D142="",$E142=""),"",$E142-$D142)</f>
        <v/>
      </c>
      <c r="G142" s="6"/>
      <c r="H142" s="6"/>
      <c r="I142" s="6"/>
      <c r="J142" s="9" t="str">
        <f aca="false">IF(OR(NOT(ISNUMBER($H142)),NOT(ISNUMBER($I142)),$H142=0),"",$I142/$H142)</f>
        <v/>
      </c>
      <c r="K142" s="6"/>
      <c r="L142" s="8"/>
      <c r="M142" s="7"/>
      <c r="N142" s="7"/>
      <c r="O142" s="9" t="str">
        <f aca="false">IF(NOT(ISNUMBER($M142)),"",IF($L142="Fine earth / fine-earth volume",$M142*(1-IF(ISNUMBER($K142),$K142,0)/100),$M142))</f>
        <v/>
      </c>
      <c r="P142" s="9" t="str">
        <f aca="false">IF(OR(NOT(ISNUMBER($O142)),NOT(ISNUMBER($N142)),NOT(ISNUMBER($F142))),"",$O142*($N142/100)*$F142*10)</f>
        <v/>
      </c>
      <c r="Q142" s="9" t="str">
        <f aca="false">IF(OR(NOT(ISNUMBER($D142)),NOT(ISNUMBER($E142))),"",MAX(0,MIN($E142,SOIL_REPORTING_DEPTH_CM)-MIN($D142,SOIL_REPORTING_DEPTH_CM)))</f>
        <v/>
      </c>
      <c r="R142" s="9" t="str">
        <f aca="false">IF(OR(NOT(ISNUMBER($O142)),NOT(ISNUMBER($N142)),NOT(ISNUMBER($Q142))),"",$O142*($N142/100)*$Q142*10)</f>
        <v/>
      </c>
      <c r="S142" s="11" t="str">
        <f aca="false">IF(AND($A142="",$B142="",$D142=""),"",IF(AND($A142&lt;&gt;"",COUNTIF('1. Plot &amp; Site Log'!$A$5:$A$64,$A142)=0),"Plot ID not in the Plot &amp; Site Log. ","")&amp;IF(AND(ISNUMBER($D142),ISNUMBER($E142),$E142&lt;=$D142),"Bottom depth is not below top depth. ","")&amp;IF($L142="Not confirmed","Bulk-density basis not confirmed with the lab — the coarse-fragment correction may be wrong or doubled. ","")&amp;IF(LAB_BULK_DENSITY_BASIS="Not confirmed","No lab bulk-density basis is on file in Settings (LAB_BULK_DENSITY_BASIS), so nothing checks this row. ","")&amp;IF(AND($L142&lt;&gt;"",LAB_BULK_DENSITY_BASIS&lt;&gt;"Not confirmed",$L142&lt;&gt;LAB_BULK_DENSITY_BASIS),"This row's bulk-density basis disagrees with the lab method on file. One of "&amp;"the two is wrong, and the coarse-fragment correction follows the row. ","")&amp;IF(AND(ISNUMBER($M142),OR($M142&lt;QC_BD_MIN,$M142&gt;QC_BD_MAX)),"Bulk density outside the plausible range for a mineral grassland soil. ","")&amp;IF(AND(ISNUMBER($N142),$N142&gt;QC_CARBON_PCT_MAX),"Organic carbon above the QC ceiling — check units, and whether this is an organic horizon. ","")&amp;IF(AND(ISNUMBER($J142),$J142&lt;QC_RECOVERY_MIN),"Recovered less than the QC minimum of the depth driven — the increments may not sit where you think. Do NOT stretch them back out. ","")&amp;IF(AND(ISNUMBER($K142),$K142&gt;0,$L142="Fine earth / total volume"),"Coarse fragments recorded and the lab basis already accounts for them — no further correction applied, which is correct. ",""))</f>
        <v/>
      </c>
      <c r="T142" s="6"/>
      <c r="U142" s="9" t="n">
        <f aca="false">IF($B142="",0,IF(COUNTIFS($B$5:$B142,$B142)=1,1,0))</f>
        <v>0</v>
      </c>
    </row>
    <row r="143" customFormat="false" ht="15" hidden="false" customHeight="false" outlineLevel="0" collapsed="false">
      <c r="A143" s="6"/>
      <c r="B143" s="6"/>
      <c r="C143" s="6"/>
      <c r="D143" s="6"/>
      <c r="E143" s="6"/>
      <c r="F143" s="9" t="str">
        <f aca="false">IF(OR($D143="",$E143=""),"",$E143-$D143)</f>
        <v/>
      </c>
      <c r="G143" s="6"/>
      <c r="H143" s="6"/>
      <c r="I143" s="6"/>
      <c r="J143" s="9" t="str">
        <f aca="false">IF(OR(NOT(ISNUMBER($H143)),NOT(ISNUMBER($I143)),$H143=0),"",$I143/$H143)</f>
        <v/>
      </c>
      <c r="K143" s="6"/>
      <c r="L143" s="8"/>
      <c r="M143" s="7"/>
      <c r="N143" s="7"/>
      <c r="O143" s="9" t="str">
        <f aca="false">IF(NOT(ISNUMBER($M143)),"",IF($L143="Fine earth / fine-earth volume",$M143*(1-IF(ISNUMBER($K143),$K143,0)/100),$M143))</f>
        <v/>
      </c>
      <c r="P143" s="9" t="str">
        <f aca="false">IF(OR(NOT(ISNUMBER($O143)),NOT(ISNUMBER($N143)),NOT(ISNUMBER($F143))),"",$O143*($N143/100)*$F143*10)</f>
        <v/>
      </c>
      <c r="Q143" s="9" t="str">
        <f aca="false">IF(OR(NOT(ISNUMBER($D143)),NOT(ISNUMBER($E143))),"",MAX(0,MIN($E143,SOIL_REPORTING_DEPTH_CM)-MIN($D143,SOIL_REPORTING_DEPTH_CM)))</f>
        <v/>
      </c>
      <c r="R143" s="9" t="str">
        <f aca="false">IF(OR(NOT(ISNUMBER($O143)),NOT(ISNUMBER($N143)),NOT(ISNUMBER($Q143))),"",$O143*($N143/100)*$Q143*10)</f>
        <v/>
      </c>
      <c r="S143" s="11" t="str">
        <f aca="false">IF(AND($A143="",$B143="",$D143=""),"",IF(AND($A143&lt;&gt;"",COUNTIF('1. Plot &amp; Site Log'!$A$5:$A$64,$A143)=0),"Plot ID not in the Plot &amp; Site Log. ","")&amp;IF(AND(ISNUMBER($D143),ISNUMBER($E143),$E143&lt;=$D143),"Bottom depth is not below top depth. ","")&amp;IF($L143="Not confirmed","Bulk-density basis not confirmed with the lab — the coarse-fragment correction may be wrong or doubled. ","")&amp;IF(LAB_BULK_DENSITY_BASIS="Not confirmed","No lab bulk-density basis is on file in Settings (LAB_BULK_DENSITY_BASIS), so nothing checks this row. ","")&amp;IF(AND($L143&lt;&gt;"",LAB_BULK_DENSITY_BASIS&lt;&gt;"Not confirmed",$L143&lt;&gt;LAB_BULK_DENSITY_BASIS),"This row's bulk-density basis disagrees with the lab method on file. One of "&amp;"the two is wrong, and the coarse-fragment correction follows the row. ","")&amp;IF(AND(ISNUMBER($M143),OR($M143&lt;QC_BD_MIN,$M143&gt;QC_BD_MAX)),"Bulk density outside the plausible range for a mineral grassland soil. ","")&amp;IF(AND(ISNUMBER($N143),$N143&gt;QC_CARBON_PCT_MAX),"Organic carbon above the QC ceiling — check units, and whether this is an organic horizon. ","")&amp;IF(AND(ISNUMBER($J143),$J143&lt;QC_RECOVERY_MIN),"Recovered less than the QC minimum of the depth driven — the increments may not sit where you think. Do NOT stretch them back out. ","")&amp;IF(AND(ISNUMBER($K143),$K143&gt;0,$L143="Fine earth / total volume"),"Coarse fragments recorded and the lab basis already accounts for them — no further correction applied, which is correct. ",""))</f>
        <v/>
      </c>
      <c r="T143" s="6"/>
      <c r="U143" s="9" t="n">
        <f aca="false">IF($B143="",0,IF(COUNTIFS($B$5:$B143,$B143)=1,1,0))</f>
        <v>0</v>
      </c>
    </row>
    <row r="144" customFormat="false" ht="15" hidden="false" customHeight="false" outlineLevel="0" collapsed="false">
      <c r="A144" s="6"/>
      <c r="B144" s="6"/>
      <c r="C144" s="6"/>
      <c r="D144" s="6"/>
      <c r="E144" s="6"/>
      <c r="F144" s="9" t="str">
        <f aca="false">IF(OR($D144="",$E144=""),"",$E144-$D144)</f>
        <v/>
      </c>
      <c r="G144" s="6"/>
      <c r="H144" s="6"/>
      <c r="I144" s="6"/>
      <c r="J144" s="9" t="str">
        <f aca="false">IF(OR(NOT(ISNUMBER($H144)),NOT(ISNUMBER($I144)),$H144=0),"",$I144/$H144)</f>
        <v/>
      </c>
      <c r="K144" s="6"/>
      <c r="L144" s="8"/>
      <c r="M144" s="7"/>
      <c r="N144" s="7"/>
      <c r="O144" s="9" t="str">
        <f aca="false">IF(NOT(ISNUMBER($M144)),"",IF($L144="Fine earth / fine-earth volume",$M144*(1-IF(ISNUMBER($K144),$K144,0)/100),$M144))</f>
        <v/>
      </c>
      <c r="P144" s="9" t="str">
        <f aca="false">IF(OR(NOT(ISNUMBER($O144)),NOT(ISNUMBER($N144)),NOT(ISNUMBER($F144))),"",$O144*($N144/100)*$F144*10)</f>
        <v/>
      </c>
      <c r="Q144" s="9" t="str">
        <f aca="false">IF(OR(NOT(ISNUMBER($D144)),NOT(ISNUMBER($E144))),"",MAX(0,MIN($E144,SOIL_REPORTING_DEPTH_CM)-MIN($D144,SOIL_REPORTING_DEPTH_CM)))</f>
        <v/>
      </c>
      <c r="R144" s="9" t="str">
        <f aca="false">IF(OR(NOT(ISNUMBER($O144)),NOT(ISNUMBER($N144)),NOT(ISNUMBER($Q144))),"",$O144*($N144/100)*$Q144*10)</f>
        <v/>
      </c>
      <c r="S144" s="11" t="str">
        <f aca="false">IF(AND($A144="",$B144="",$D144=""),"",IF(AND($A144&lt;&gt;"",COUNTIF('1. Plot &amp; Site Log'!$A$5:$A$64,$A144)=0),"Plot ID not in the Plot &amp; Site Log. ","")&amp;IF(AND(ISNUMBER($D144),ISNUMBER($E144),$E144&lt;=$D144),"Bottom depth is not below top depth. ","")&amp;IF($L144="Not confirmed","Bulk-density basis not confirmed with the lab — the coarse-fragment correction may be wrong or doubled. ","")&amp;IF(LAB_BULK_DENSITY_BASIS="Not confirmed","No lab bulk-density basis is on file in Settings (LAB_BULK_DENSITY_BASIS), so nothing checks this row. ","")&amp;IF(AND($L144&lt;&gt;"",LAB_BULK_DENSITY_BASIS&lt;&gt;"Not confirmed",$L144&lt;&gt;LAB_BULK_DENSITY_BASIS),"This row's bulk-density basis disagrees with the lab method on file. One of "&amp;"the two is wrong, and the coarse-fragment correction follows the row. ","")&amp;IF(AND(ISNUMBER($M144),OR($M144&lt;QC_BD_MIN,$M144&gt;QC_BD_MAX)),"Bulk density outside the plausible range for a mineral grassland soil. ","")&amp;IF(AND(ISNUMBER($N144),$N144&gt;QC_CARBON_PCT_MAX),"Organic carbon above the QC ceiling — check units, and whether this is an organic horizon. ","")&amp;IF(AND(ISNUMBER($J144),$J144&lt;QC_RECOVERY_MIN),"Recovered less than the QC minimum of the depth driven — the increments may not sit where you think. Do NOT stretch them back out. ","")&amp;IF(AND(ISNUMBER($K144),$K144&gt;0,$L144="Fine earth / total volume"),"Coarse fragments recorded and the lab basis already accounts for them — no further correction applied, which is correct. ",""))</f>
        <v/>
      </c>
      <c r="T144" s="6"/>
      <c r="U144" s="9" t="n">
        <f aca="false">IF($B144="",0,IF(COUNTIFS($B$5:$B144,$B144)=1,1,0))</f>
        <v>0</v>
      </c>
    </row>
    <row r="145" customFormat="false" ht="15" hidden="false" customHeight="false" outlineLevel="0" collapsed="false">
      <c r="A145" s="6"/>
      <c r="B145" s="6"/>
      <c r="C145" s="6"/>
      <c r="D145" s="6"/>
      <c r="E145" s="6"/>
      <c r="F145" s="9" t="str">
        <f aca="false">IF(OR($D145="",$E145=""),"",$E145-$D145)</f>
        <v/>
      </c>
      <c r="G145" s="6"/>
      <c r="H145" s="6"/>
      <c r="I145" s="6"/>
      <c r="J145" s="9" t="str">
        <f aca="false">IF(OR(NOT(ISNUMBER($H145)),NOT(ISNUMBER($I145)),$H145=0),"",$I145/$H145)</f>
        <v/>
      </c>
      <c r="K145" s="6"/>
      <c r="L145" s="8"/>
      <c r="M145" s="7"/>
      <c r="N145" s="7"/>
      <c r="O145" s="9" t="str">
        <f aca="false">IF(NOT(ISNUMBER($M145)),"",IF($L145="Fine earth / fine-earth volume",$M145*(1-IF(ISNUMBER($K145),$K145,0)/100),$M145))</f>
        <v/>
      </c>
      <c r="P145" s="9" t="str">
        <f aca="false">IF(OR(NOT(ISNUMBER($O145)),NOT(ISNUMBER($N145)),NOT(ISNUMBER($F145))),"",$O145*($N145/100)*$F145*10)</f>
        <v/>
      </c>
      <c r="Q145" s="9" t="str">
        <f aca="false">IF(OR(NOT(ISNUMBER($D145)),NOT(ISNUMBER($E145))),"",MAX(0,MIN($E145,SOIL_REPORTING_DEPTH_CM)-MIN($D145,SOIL_REPORTING_DEPTH_CM)))</f>
        <v/>
      </c>
      <c r="R145" s="9" t="str">
        <f aca="false">IF(OR(NOT(ISNUMBER($O145)),NOT(ISNUMBER($N145)),NOT(ISNUMBER($Q145))),"",$O145*($N145/100)*$Q145*10)</f>
        <v/>
      </c>
      <c r="S145" s="11" t="str">
        <f aca="false">IF(AND($A145="",$B145="",$D145=""),"",IF(AND($A145&lt;&gt;"",COUNTIF('1. Plot &amp; Site Log'!$A$5:$A$64,$A145)=0),"Plot ID not in the Plot &amp; Site Log. ","")&amp;IF(AND(ISNUMBER($D145),ISNUMBER($E145),$E145&lt;=$D145),"Bottom depth is not below top depth. ","")&amp;IF($L145="Not confirmed","Bulk-density basis not confirmed with the lab — the coarse-fragment correction may be wrong or doubled. ","")&amp;IF(LAB_BULK_DENSITY_BASIS="Not confirmed","No lab bulk-density basis is on file in Settings (LAB_BULK_DENSITY_BASIS), so nothing checks this row. ","")&amp;IF(AND($L145&lt;&gt;"",LAB_BULK_DENSITY_BASIS&lt;&gt;"Not confirmed",$L145&lt;&gt;LAB_BULK_DENSITY_BASIS),"This row's bulk-density basis disagrees with the lab method on file. One of "&amp;"the two is wrong, and the coarse-fragment correction follows the row. ","")&amp;IF(AND(ISNUMBER($M145),OR($M145&lt;QC_BD_MIN,$M145&gt;QC_BD_MAX)),"Bulk density outside the plausible range for a mineral grassland soil. ","")&amp;IF(AND(ISNUMBER($N145),$N145&gt;QC_CARBON_PCT_MAX),"Organic carbon above the QC ceiling — check units, and whether this is an organic horizon. ","")&amp;IF(AND(ISNUMBER($J145),$J145&lt;QC_RECOVERY_MIN),"Recovered less than the QC minimum of the depth driven — the increments may not sit where you think. Do NOT stretch them back out. ","")&amp;IF(AND(ISNUMBER($K145),$K145&gt;0,$L145="Fine earth / total volume"),"Coarse fragments recorded and the lab basis already accounts for them — no further correction applied, which is correct. ",""))</f>
        <v/>
      </c>
      <c r="T145" s="6"/>
      <c r="U145" s="9" t="n">
        <f aca="false">IF($B145="",0,IF(COUNTIFS($B$5:$B145,$B145)=1,1,0))</f>
        <v>0</v>
      </c>
    </row>
    <row r="146" customFormat="false" ht="15" hidden="false" customHeight="false" outlineLevel="0" collapsed="false">
      <c r="A146" s="6"/>
      <c r="B146" s="6"/>
      <c r="C146" s="6"/>
      <c r="D146" s="6"/>
      <c r="E146" s="6"/>
      <c r="F146" s="9" t="str">
        <f aca="false">IF(OR($D146="",$E146=""),"",$E146-$D146)</f>
        <v/>
      </c>
      <c r="G146" s="6"/>
      <c r="H146" s="6"/>
      <c r="I146" s="6"/>
      <c r="J146" s="9" t="str">
        <f aca="false">IF(OR(NOT(ISNUMBER($H146)),NOT(ISNUMBER($I146)),$H146=0),"",$I146/$H146)</f>
        <v/>
      </c>
      <c r="K146" s="6"/>
      <c r="L146" s="8"/>
      <c r="M146" s="7"/>
      <c r="N146" s="7"/>
      <c r="O146" s="9" t="str">
        <f aca="false">IF(NOT(ISNUMBER($M146)),"",IF($L146="Fine earth / fine-earth volume",$M146*(1-IF(ISNUMBER($K146),$K146,0)/100),$M146))</f>
        <v/>
      </c>
      <c r="P146" s="9" t="str">
        <f aca="false">IF(OR(NOT(ISNUMBER($O146)),NOT(ISNUMBER($N146)),NOT(ISNUMBER($F146))),"",$O146*($N146/100)*$F146*10)</f>
        <v/>
      </c>
      <c r="Q146" s="9" t="str">
        <f aca="false">IF(OR(NOT(ISNUMBER($D146)),NOT(ISNUMBER($E146))),"",MAX(0,MIN($E146,SOIL_REPORTING_DEPTH_CM)-MIN($D146,SOIL_REPORTING_DEPTH_CM)))</f>
        <v/>
      </c>
      <c r="R146" s="9" t="str">
        <f aca="false">IF(OR(NOT(ISNUMBER($O146)),NOT(ISNUMBER($N146)),NOT(ISNUMBER($Q146))),"",$O146*($N146/100)*$Q146*10)</f>
        <v/>
      </c>
      <c r="S146" s="11" t="str">
        <f aca="false">IF(AND($A146="",$B146="",$D146=""),"",IF(AND($A146&lt;&gt;"",COUNTIF('1. Plot &amp; Site Log'!$A$5:$A$64,$A146)=0),"Plot ID not in the Plot &amp; Site Log. ","")&amp;IF(AND(ISNUMBER($D146),ISNUMBER($E146),$E146&lt;=$D146),"Bottom depth is not below top depth. ","")&amp;IF($L146="Not confirmed","Bulk-density basis not confirmed with the lab — the coarse-fragment correction may be wrong or doubled. ","")&amp;IF(LAB_BULK_DENSITY_BASIS="Not confirmed","No lab bulk-density basis is on file in Settings (LAB_BULK_DENSITY_BASIS), so nothing checks this row. ","")&amp;IF(AND($L146&lt;&gt;"",LAB_BULK_DENSITY_BASIS&lt;&gt;"Not confirmed",$L146&lt;&gt;LAB_BULK_DENSITY_BASIS),"This row's bulk-density basis disagrees with the lab method on file. One of "&amp;"the two is wrong, and the coarse-fragment correction follows the row. ","")&amp;IF(AND(ISNUMBER($M146),OR($M146&lt;QC_BD_MIN,$M146&gt;QC_BD_MAX)),"Bulk density outside the plausible range for a mineral grassland soil. ","")&amp;IF(AND(ISNUMBER($N146),$N146&gt;QC_CARBON_PCT_MAX),"Organic carbon above the QC ceiling — check units, and whether this is an organic horizon. ","")&amp;IF(AND(ISNUMBER($J146),$J146&lt;QC_RECOVERY_MIN),"Recovered less than the QC minimum of the depth driven — the increments may not sit where you think. Do NOT stretch them back out. ","")&amp;IF(AND(ISNUMBER($K146),$K146&gt;0,$L146="Fine earth / total volume"),"Coarse fragments recorded and the lab basis already accounts for them — no further correction applied, which is correct. ",""))</f>
        <v/>
      </c>
      <c r="T146" s="6"/>
      <c r="U146" s="9" t="n">
        <f aca="false">IF($B146="",0,IF(COUNTIFS($B$5:$B146,$B146)=1,1,0))</f>
        <v>0</v>
      </c>
    </row>
    <row r="147" customFormat="false" ht="15" hidden="false" customHeight="false" outlineLevel="0" collapsed="false">
      <c r="A147" s="6"/>
      <c r="B147" s="6"/>
      <c r="C147" s="6"/>
      <c r="D147" s="6"/>
      <c r="E147" s="6"/>
      <c r="F147" s="9" t="str">
        <f aca="false">IF(OR($D147="",$E147=""),"",$E147-$D147)</f>
        <v/>
      </c>
      <c r="G147" s="6"/>
      <c r="H147" s="6"/>
      <c r="I147" s="6"/>
      <c r="J147" s="9" t="str">
        <f aca="false">IF(OR(NOT(ISNUMBER($H147)),NOT(ISNUMBER($I147)),$H147=0),"",$I147/$H147)</f>
        <v/>
      </c>
      <c r="K147" s="6"/>
      <c r="L147" s="8"/>
      <c r="M147" s="7"/>
      <c r="N147" s="7"/>
      <c r="O147" s="9" t="str">
        <f aca="false">IF(NOT(ISNUMBER($M147)),"",IF($L147="Fine earth / fine-earth volume",$M147*(1-IF(ISNUMBER($K147),$K147,0)/100),$M147))</f>
        <v/>
      </c>
      <c r="P147" s="9" t="str">
        <f aca="false">IF(OR(NOT(ISNUMBER($O147)),NOT(ISNUMBER($N147)),NOT(ISNUMBER($F147))),"",$O147*($N147/100)*$F147*10)</f>
        <v/>
      </c>
      <c r="Q147" s="9" t="str">
        <f aca="false">IF(OR(NOT(ISNUMBER($D147)),NOT(ISNUMBER($E147))),"",MAX(0,MIN($E147,SOIL_REPORTING_DEPTH_CM)-MIN($D147,SOIL_REPORTING_DEPTH_CM)))</f>
        <v/>
      </c>
      <c r="R147" s="9" t="str">
        <f aca="false">IF(OR(NOT(ISNUMBER($O147)),NOT(ISNUMBER($N147)),NOT(ISNUMBER($Q147))),"",$O147*($N147/100)*$Q147*10)</f>
        <v/>
      </c>
      <c r="S147" s="11" t="str">
        <f aca="false">IF(AND($A147="",$B147="",$D147=""),"",IF(AND($A147&lt;&gt;"",COUNTIF('1. Plot &amp; Site Log'!$A$5:$A$64,$A147)=0),"Plot ID not in the Plot &amp; Site Log. ","")&amp;IF(AND(ISNUMBER($D147),ISNUMBER($E147),$E147&lt;=$D147),"Bottom depth is not below top depth. ","")&amp;IF($L147="Not confirmed","Bulk-density basis not confirmed with the lab — the coarse-fragment correction may be wrong or doubled. ","")&amp;IF(LAB_BULK_DENSITY_BASIS="Not confirmed","No lab bulk-density basis is on file in Settings (LAB_BULK_DENSITY_BASIS), so nothing checks this row. ","")&amp;IF(AND($L147&lt;&gt;"",LAB_BULK_DENSITY_BASIS&lt;&gt;"Not confirmed",$L147&lt;&gt;LAB_BULK_DENSITY_BASIS),"This row's bulk-density basis disagrees with the lab method on file. One of "&amp;"the two is wrong, and the coarse-fragment correction follows the row. ","")&amp;IF(AND(ISNUMBER($M147),OR($M147&lt;QC_BD_MIN,$M147&gt;QC_BD_MAX)),"Bulk density outside the plausible range for a mineral grassland soil. ","")&amp;IF(AND(ISNUMBER($N147),$N147&gt;QC_CARBON_PCT_MAX),"Organic carbon above the QC ceiling — check units, and whether this is an organic horizon. ","")&amp;IF(AND(ISNUMBER($J147),$J147&lt;QC_RECOVERY_MIN),"Recovered less than the QC minimum of the depth driven — the increments may not sit where you think. Do NOT stretch them back out. ","")&amp;IF(AND(ISNUMBER($K147),$K147&gt;0,$L147="Fine earth / total volume"),"Coarse fragments recorded and the lab basis already accounts for them — no further correction applied, which is correct. ",""))</f>
        <v/>
      </c>
      <c r="T147" s="6"/>
      <c r="U147" s="9" t="n">
        <f aca="false">IF($B147="",0,IF(COUNTIFS($B$5:$B147,$B147)=1,1,0))</f>
        <v>0</v>
      </c>
    </row>
    <row r="148" customFormat="false" ht="15" hidden="false" customHeight="false" outlineLevel="0" collapsed="false">
      <c r="A148" s="6"/>
      <c r="B148" s="6"/>
      <c r="C148" s="6"/>
      <c r="D148" s="6"/>
      <c r="E148" s="6"/>
      <c r="F148" s="9" t="str">
        <f aca="false">IF(OR($D148="",$E148=""),"",$E148-$D148)</f>
        <v/>
      </c>
      <c r="G148" s="6"/>
      <c r="H148" s="6"/>
      <c r="I148" s="6"/>
      <c r="J148" s="9" t="str">
        <f aca="false">IF(OR(NOT(ISNUMBER($H148)),NOT(ISNUMBER($I148)),$H148=0),"",$I148/$H148)</f>
        <v/>
      </c>
      <c r="K148" s="6"/>
      <c r="L148" s="8"/>
      <c r="M148" s="7"/>
      <c r="N148" s="7"/>
      <c r="O148" s="9" t="str">
        <f aca="false">IF(NOT(ISNUMBER($M148)),"",IF($L148="Fine earth / fine-earth volume",$M148*(1-IF(ISNUMBER($K148),$K148,0)/100),$M148))</f>
        <v/>
      </c>
      <c r="P148" s="9" t="str">
        <f aca="false">IF(OR(NOT(ISNUMBER($O148)),NOT(ISNUMBER($N148)),NOT(ISNUMBER($F148))),"",$O148*($N148/100)*$F148*10)</f>
        <v/>
      </c>
      <c r="Q148" s="9" t="str">
        <f aca="false">IF(OR(NOT(ISNUMBER($D148)),NOT(ISNUMBER($E148))),"",MAX(0,MIN($E148,SOIL_REPORTING_DEPTH_CM)-MIN($D148,SOIL_REPORTING_DEPTH_CM)))</f>
        <v/>
      </c>
      <c r="R148" s="9" t="str">
        <f aca="false">IF(OR(NOT(ISNUMBER($O148)),NOT(ISNUMBER($N148)),NOT(ISNUMBER($Q148))),"",$O148*($N148/100)*$Q148*10)</f>
        <v/>
      </c>
      <c r="S148" s="11" t="str">
        <f aca="false">IF(AND($A148="",$B148="",$D148=""),"",IF(AND($A148&lt;&gt;"",COUNTIF('1. Plot &amp; Site Log'!$A$5:$A$64,$A148)=0),"Plot ID not in the Plot &amp; Site Log. ","")&amp;IF(AND(ISNUMBER($D148),ISNUMBER($E148),$E148&lt;=$D148),"Bottom depth is not below top depth. ","")&amp;IF($L148="Not confirmed","Bulk-density basis not confirmed with the lab — the coarse-fragment correction may be wrong or doubled. ","")&amp;IF(LAB_BULK_DENSITY_BASIS="Not confirmed","No lab bulk-density basis is on file in Settings (LAB_BULK_DENSITY_BASIS), so nothing checks this row. ","")&amp;IF(AND($L148&lt;&gt;"",LAB_BULK_DENSITY_BASIS&lt;&gt;"Not confirmed",$L148&lt;&gt;LAB_BULK_DENSITY_BASIS),"This row's bulk-density basis disagrees with the lab method on file. One of "&amp;"the two is wrong, and the coarse-fragment correction follows the row. ","")&amp;IF(AND(ISNUMBER($M148),OR($M148&lt;QC_BD_MIN,$M148&gt;QC_BD_MAX)),"Bulk density outside the plausible range for a mineral grassland soil. ","")&amp;IF(AND(ISNUMBER($N148),$N148&gt;QC_CARBON_PCT_MAX),"Organic carbon above the QC ceiling — check units, and whether this is an organic horizon. ","")&amp;IF(AND(ISNUMBER($J148),$J148&lt;QC_RECOVERY_MIN),"Recovered less than the QC minimum of the depth driven — the increments may not sit where you think. Do NOT stretch them back out. ","")&amp;IF(AND(ISNUMBER($K148),$K148&gt;0,$L148="Fine earth / total volume"),"Coarse fragments recorded and the lab basis already accounts for them — no further correction applied, which is correct. ",""))</f>
        <v/>
      </c>
      <c r="T148" s="6"/>
      <c r="U148" s="9" t="n">
        <f aca="false">IF($B148="",0,IF(COUNTIFS($B$5:$B148,$B148)=1,1,0))</f>
        <v>0</v>
      </c>
    </row>
    <row r="149" customFormat="false" ht="15" hidden="false" customHeight="false" outlineLevel="0" collapsed="false">
      <c r="A149" s="6"/>
      <c r="B149" s="6"/>
      <c r="C149" s="6"/>
      <c r="D149" s="6"/>
      <c r="E149" s="6"/>
      <c r="F149" s="9" t="str">
        <f aca="false">IF(OR($D149="",$E149=""),"",$E149-$D149)</f>
        <v/>
      </c>
      <c r="G149" s="6"/>
      <c r="H149" s="6"/>
      <c r="I149" s="6"/>
      <c r="J149" s="9" t="str">
        <f aca="false">IF(OR(NOT(ISNUMBER($H149)),NOT(ISNUMBER($I149)),$H149=0),"",$I149/$H149)</f>
        <v/>
      </c>
      <c r="K149" s="6"/>
      <c r="L149" s="8"/>
      <c r="M149" s="7"/>
      <c r="N149" s="7"/>
      <c r="O149" s="9" t="str">
        <f aca="false">IF(NOT(ISNUMBER($M149)),"",IF($L149="Fine earth / fine-earth volume",$M149*(1-IF(ISNUMBER($K149),$K149,0)/100),$M149))</f>
        <v/>
      </c>
      <c r="P149" s="9" t="str">
        <f aca="false">IF(OR(NOT(ISNUMBER($O149)),NOT(ISNUMBER($N149)),NOT(ISNUMBER($F149))),"",$O149*($N149/100)*$F149*10)</f>
        <v/>
      </c>
      <c r="Q149" s="9" t="str">
        <f aca="false">IF(OR(NOT(ISNUMBER($D149)),NOT(ISNUMBER($E149))),"",MAX(0,MIN($E149,SOIL_REPORTING_DEPTH_CM)-MIN($D149,SOIL_REPORTING_DEPTH_CM)))</f>
        <v/>
      </c>
      <c r="R149" s="9" t="str">
        <f aca="false">IF(OR(NOT(ISNUMBER($O149)),NOT(ISNUMBER($N149)),NOT(ISNUMBER($Q149))),"",$O149*($N149/100)*$Q149*10)</f>
        <v/>
      </c>
      <c r="S149" s="11" t="str">
        <f aca="false">IF(AND($A149="",$B149="",$D149=""),"",IF(AND($A149&lt;&gt;"",COUNTIF('1. Plot &amp; Site Log'!$A$5:$A$64,$A149)=0),"Plot ID not in the Plot &amp; Site Log. ","")&amp;IF(AND(ISNUMBER($D149),ISNUMBER($E149),$E149&lt;=$D149),"Bottom depth is not below top depth. ","")&amp;IF($L149="Not confirmed","Bulk-density basis not confirmed with the lab — the coarse-fragment correction may be wrong or doubled. ","")&amp;IF(LAB_BULK_DENSITY_BASIS="Not confirmed","No lab bulk-density basis is on file in Settings (LAB_BULK_DENSITY_BASIS), so nothing checks this row. ","")&amp;IF(AND($L149&lt;&gt;"",LAB_BULK_DENSITY_BASIS&lt;&gt;"Not confirmed",$L149&lt;&gt;LAB_BULK_DENSITY_BASIS),"This row's bulk-density basis disagrees with the lab method on file. One of "&amp;"the two is wrong, and the coarse-fragment correction follows the row. ","")&amp;IF(AND(ISNUMBER($M149),OR($M149&lt;QC_BD_MIN,$M149&gt;QC_BD_MAX)),"Bulk density outside the plausible range for a mineral grassland soil. ","")&amp;IF(AND(ISNUMBER($N149),$N149&gt;QC_CARBON_PCT_MAX),"Organic carbon above the QC ceiling — check units, and whether this is an organic horizon. ","")&amp;IF(AND(ISNUMBER($J149),$J149&lt;QC_RECOVERY_MIN),"Recovered less than the QC minimum of the depth driven — the increments may not sit where you think. Do NOT stretch them back out. ","")&amp;IF(AND(ISNUMBER($K149),$K149&gt;0,$L149="Fine earth / total volume"),"Coarse fragments recorded and the lab basis already accounts for them — no further correction applied, which is correct. ",""))</f>
        <v/>
      </c>
      <c r="T149" s="6"/>
      <c r="U149" s="9" t="n">
        <f aca="false">IF($B149="",0,IF(COUNTIFS($B$5:$B149,$B149)=1,1,0))</f>
        <v>0</v>
      </c>
    </row>
    <row r="150" customFormat="false" ht="15" hidden="false" customHeight="false" outlineLevel="0" collapsed="false">
      <c r="A150" s="6"/>
      <c r="B150" s="6"/>
      <c r="C150" s="6"/>
      <c r="D150" s="6"/>
      <c r="E150" s="6"/>
      <c r="F150" s="9" t="str">
        <f aca="false">IF(OR($D150="",$E150=""),"",$E150-$D150)</f>
        <v/>
      </c>
      <c r="G150" s="6"/>
      <c r="H150" s="6"/>
      <c r="I150" s="6"/>
      <c r="J150" s="9" t="str">
        <f aca="false">IF(OR(NOT(ISNUMBER($H150)),NOT(ISNUMBER($I150)),$H150=0),"",$I150/$H150)</f>
        <v/>
      </c>
      <c r="K150" s="6"/>
      <c r="L150" s="8"/>
      <c r="M150" s="7"/>
      <c r="N150" s="7"/>
      <c r="O150" s="9" t="str">
        <f aca="false">IF(NOT(ISNUMBER($M150)),"",IF($L150="Fine earth / fine-earth volume",$M150*(1-IF(ISNUMBER($K150),$K150,0)/100),$M150))</f>
        <v/>
      </c>
      <c r="P150" s="9" t="str">
        <f aca="false">IF(OR(NOT(ISNUMBER($O150)),NOT(ISNUMBER($N150)),NOT(ISNUMBER($F150))),"",$O150*($N150/100)*$F150*10)</f>
        <v/>
      </c>
      <c r="Q150" s="9" t="str">
        <f aca="false">IF(OR(NOT(ISNUMBER($D150)),NOT(ISNUMBER($E150))),"",MAX(0,MIN($E150,SOIL_REPORTING_DEPTH_CM)-MIN($D150,SOIL_REPORTING_DEPTH_CM)))</f>
        <v/>
      </c>
      <c r="R150" s="9" t="str">
        <f aca="false">IF(OR(NOT(ISNUMBER($O150)),NOT(ISNUMBER($N150)),NOT(ISNUMBER($Q150))),"",$O150*($N150/100)*$Q150*10)</f>
        <v/>
      </c>
      <c r="S150" s="11" t="str">
        <f aca="false">IF(AND($A150="",$B150="",$D150=""),"",IF(AND($A150&lt;&gt;"",COUNTIF('1. Plot &amp; Site Log'!$A$5:$A$64,$A150)=0),"Plot ID not in the Plot &amp; Site Log. ","")&amp;IF(AND(ISNUMBER($D150),ISNUMBER($E150),$E150&lt;=$D150),"Bottom depth is not below top depth. ","")&amp;IF($L150="Not confirmed","Bulk-density basis not confirmed with the lab — the coarse-fragment correction may be wrong or doubled. ","")&amp;IF(LAB_BULK_DENSITY_BASIS="Not confirmed","No lab bulk-density basis is on file in Settings (LAB_BULK_DENSITY_BASIS), so nothing checks this row. ","")&amp;IF(AND($L150&lt;&gt;"",LAB_BULK_DENSITY_BASIS&lt;&gt;"Not confirmed",$L150&lt;&gt;LAB_BULK_DENSITY_BASIS),"This row's bulk-density basis disagrees with the lab method on file. One of "&amp;"the two is wrong, and the coarse-fragment correction follows the row. ","")&amp;IF(AND(ISNUMBER($M150),OR($M150&lt;QC_BD_MIN,$M150&gt;QC_BD_MAX)),"Bulk density outside the plausible range for a mineral grassland soil. ","")&amp;IF(AND(ISNUMBER($N150),$N150&gt;QC_CARBON_PCT_MAX),"Organic carbon above the QC ceiling — check units, and whether this is an organic horizon. ","")&amp;IF(AND(ISNUMBER($J150),$J150&lt;QC_RECOVERY_MIN),"Recovered less than the QC minimum of the depth driven — the increments may not sit where you think. Do NOT stretch them back out. ","")&amp;IF(AND(ISNUMBER($K150),$K150&gt;0,$L150="Fine earth / total volume"),"Coarse fragments recorded and the lab basis already accounts for them — no further correction applied, which is correct. ",""))</f>
        <v/>
      </c>
      <c r="T150" s="6"/>
      <c r="U150" s="9" t="n">
        <f aca="false">IF($B150="",0,IF(COUNTIFS($B$5:$B150,$B150)=1,1,0))</f>
        <v>0</v>
      </c>
    </row>
    <row r="151" customFormat="false" ht="15" hidden="false" customHeight="false" outlineLevel="0" collapsed="false">
      <c r="A151" s="6"/>
      <c r="B151" s="6"/>
      <c r="C151" s="6"/>
      <c r="D151" s="6"/>
      <c r="E151" s="6"/>
      <c r="F151" s="9" t="str">
        <f aca="false">IF(OR($D151="",$E151=""),"",$E151-$D151)</f>
        <v/>
      </c>
      <c r="G151" s="6"/>
      <c r="H151" s="6"/>
      <c r="I151" s="6"/>
      <c r="J151" s="9" t="str">
        <f aca="false">IF(OR(NOT(ISNUMBER($H151)),NOT(ISNUMBER($I151)),$H151=0),"",$I151/$H151)</f>
        <v/>
      </c>
      <c r="K151" s="6"/>
      <c r="L151" s="8"/>
      <c r="M151" s="7"/>
      <c r="N151" s="7"/>
      <c r="O151" s="9" t="str">
        <f aca="false">IF(NOT(ISNUMBER($M151)),"",IF($L151="Fine earth / fine-earth volume",$M151*(1-IF(ISNUMBER($K151),$K151,0)/100),$M151))</f>
        <v/>
      </c>
      <c r="P151" s="9" t="str">
        <f aca="false">IF(OR(NOT(ISNUMBER($O151)),NOT(ISNUMBER($N151)),NOT(ISNUMBER($F151))),"",$O151*($N151/100)*$F151*10)</f>
        <v/>
      </c>
      <c r="Q151" s="9" t="str">
        <f aca="false">IF(OR(NOT(ISNUMBER($D151)),NOT(ISNUMBER($E151))),"",MAX(0,MIN($E151,SOIL_REPORTING_DEPTH_CM)-MIN($D151,SOIL_REPORTING_DEPTH_CM)))</f>
        <v/>
      </c>
      <c r="R151" s="9" t="str">
        <f aca="false">IF(OR(NOT(ISNUMBER($O151)),NOT(ISNUMBER($N151)),NOT(ISNUMBER($Q151))),"",$O151*($N151/100)*$Q151*10)</f>
        <v/>
      </c>
      <c r="S151" s="11" t="str">
        <f aca="false">IF(AND($A151="",$B151="",$D151=""),"",IF(AND($A151&lt;&gt;"",COUNTIF('1. Plot &amp; Site Log'!$A$5:$A$64,$A151)=0),"Plot ID not in the Plot &amp; Site Log. ","")&amp;IF(AND(ISNUMBER($D151),ISNUMBER($E151),$E151&lt;=$D151),"Bottom depth is not below top depth. ","")&amp;IF($L151="Not confirmed","Bulk-density basis not confirmed with the lab — the coarse-fragment correction may be wrong or doubled. ","")&amp;IF(LAB_BULK_DENSITY_BASIS="Not confirmed","No lab bulk-density basis is on file in Settings (LAB_BULK_DENSITY_BASIS), so nothing checks this row. ","")&amp;IF(AND($L151&lt;&gt;"",LAB_BULK_DENSITY_BASIS&lt;&gt;"Not confirmed",$L151&lt;&gt;LAB_BULK_DENSITY_BASIS),"This row's bulk-density basis disagrees with the lab method on file. One of "&amp;"the two is wrong, and the coarse-fragment correction follows the row. ","")&amp;IF(AND(ISNUMBER($M151),OR($M151&lt;QC_BD_MIN,$M151&gt;QC_BD_MAX)),"Bulk density outside the plausible range for a mineral grassland soil. ","")&amp;IF(AND(ISNUMBER($N151),$N151&gt;QC_CARBON_PCT_MAX),"Organic carbon above the QC ceiling — check units, and whether this is an organic horizon. ","")&amp;IF(AND(ISNUMBER($J151),$J151&lt;QC_RECOVERY_MIN),"Recovered less than the QC minimum of the depth driven — the increments may not sit where you think. Do NOT stretch them back out. ","")&amp;IF(AND(ISNUMBER($K151),$K151&gt;0,$L151="Fine earth / total volume"),"Coarse fragments recorded and the lab basis already accounts for them — no further correction applied, which is correct. ",""))</f>
        <v/>
      </c>
      <c r="T151" s="6"/>
      <c r="U151" s="9" t="n">
        <f aca="false">IF($B151="",0,IF(COUNTIFS($B$5:$B151,$B151)=1,1,0))</f>
        <v>0</v>
      </c>
    </row>
    <row r="152" customFormat="false" ht="15" hidden="false" customHeight="false" outlineLevel="0" collapsed="false">
      <c r="A152" s="6"/>
      <c r="B152" s="6"/>
      <c r="C152" s="6"/>
      <c r="D152" s="6"/>
      <c r="E152" s="6"/>
      <c r="F152" s="9" t="str">
        <f aca="false">IF(OR($D152="",$E152=""),"",$E152-$D152)</f>
        <v/>
      </c>
      <c r="G152" s="6"/>
      <c r="H152" s="6"/>
      <c r="I152" s="6"/>
      <c r="J152" s="9" t="str">
        <f aca="false">IF(OR(NOT(ISNUMBER($H152)),NOT(ISNUMBER($I152)),$H152=0),"",$I152/$H152)</f>
        <v/>
      </c>
      <c r="K152" s="6"/>
      <c r="L152" s="8"/>
      <c r="M152" s="7"/>
      <c r="N152" s="7"/>
      <c r="O152" s="9" t="str">
        <f aca="false">IF(NOT(ISNUMBER($M152)),"",IF($L152="Fine earth / fine-earth volume",$M152*(1-IF(ISNUMBER($K152),$K152,0)/100),$M152))</f>
        <v/>
      </c>
      <c r="P152" s="9" t="str">
        <f aca="false">IF(OR(NOT(ISNUMBER($O152)),NOT(ISNUMBER($N152)),NOT(ISNUMBER($F152))),"",$O152*($N152/100)*$F152*10)</f>
        <v/>
      </c>
      <c r="Q152" s="9" t="str">
        <f aca="false">IF(OR(NOT(ISNUMBER($D152)),NOT(ISNUMBER($E152))),"",MAX(0,MIN($E152,SOIL_REPORTING_DEPTH_CM)-MIN($D152,SOIL_REPORTING_DEPTH_CM)))</f>
        <v/>
      </c>
      <c r="R152" s="9" t="str">
        <f aca="false">IF(OR(NOT(ISNUMBER($O152)),NOT(ISNUMBER($N152)),NOT(ISNUMBER($Q152))),"",$O152*($N152/100)*$Q152*10)</f>
        <v/>
      </c>
      <c r="S152" s="11" t="str">
        <f aca="false">IF(AND($A152="",$B152="",$D152=""),"",IF(AND($A152&lt;&gt;"",COUNTIF('1. Plot &amp; Site Log'!$A$5:$A$64,$A152)=0),"Plot ID not in the Plot &amp; Site Log. ","")&amp;IF(AND(ISNUMBER($D152),ISNUMBER($E152),$E152&lt;=$D152),"Bottom depth is not below top depth. ","")&amp;IF($L152="Not confirmed","Bulk-density basis not confirmed with the lab — the coarse-fragment correction may be wrong or doubled. ","")&amp;IF(LAB_BULK_DENSITY_BASIS="Not confirmed","No lab bulk-density basis is on file in Settings (LAB_BULK_DENSITY_BASIS), so nothing checks this row. ","")&amp;IF(AND($L152&lt;&gt;"",LAB_BULK_DENSITY_BASIS&lt;&gt;"Not confirmed",$L152&lt;&gt;LAB_BULK_DENSITY_BASIS),"This row's bulk-density basis disagrees with the lab method on file. One of "&amp;"the two is wrong, and the coarse-fragment correction follows the row. ","")&amp;IF(AND(ISNUMBER($M152),OR($M152&lt;QC_BD_MIN,$M152&gt;QC_BD_MAX)),"Bulk density outside the plausible range for a mineral grassland soil. ","")&amp;IF(AND(ISNUMBER($N152),$N152&gt;QC_CARBON_PCT_MAX),"Organic carbon above the QC ceiling — check units, and whether this is an organic horizon. ","")&amp;IF(AND(ISNUMBER($J152),$J152&lt;QC_RECOVERY_MIN),"Recovered less than the QC minimum of the depth driven — the increments may not sit where you think. Do NOT stretch them back out. ","")&amp;IF(AND(ISNUMBER($K152),$K152&gt;0,$L152="Fine earth / total volume"),"Coarse fragments recorded and the lab basis already accounts for them — no further correction applied, which is correct. ",""))</f>
        <v/>
      </c>
      <c r="T152" s="6"/>
      <c r="U152" s="9" t="n">
        <f aca="false">IF($B152="",0,IF(COUNTIFS($B$5:$B152,$B152)=1,1,0))</f>
        <v>0</v>
      </c>
    </row>
    <row r="153" customFormat="false" ht="15" hidden="false" customHeight="false" outlineLevel="0" collapsed="false">
      <c r="A153" s="6"/>
      <c r="B153" s="6"/>
      <c r="C153" s="6"/>
      <c r="D153" s="6"/>
      <c r="E153" s="6"/>
      <c r="F153" s="9" t="str">
        <f aca="false">IF(OR($D153="",$E153=""),"",$E153-$D153)</f>
        <v/>
      </c>
      <c r="G153" s="6"/>
      <c r="H153" s="6"/>
      <c r="I153" s="6"/>
      <c r="J153" s="9" t="str">
        <f aca="false">IF(OR(NOT(ISNUMBER($H153)),NOT(ISNUMBER($I153)),$H153=0),"",$I153/$H153)</f>
        <v/>
      </c>
      <c r="K153" s="6"/>
      <c r="L153" s="8"/>
      <c r="M153" s="7"/>
      <c r="N153" s="7"/>
      <c r="O153" s="9" t="str">
        <f aca="false">IF(NOT(ISNUMBER($M153)),"",IF($L153="Fine earth / fine-earth volume",$M153*(1-IF(ISNUMBER($K153),$K153,0)/100),$M153))</f>
        <v/>
      </c>
      <c r="P153" s="9" t="str">
        <f aca="false">IF(OR(NOT(ISNUMBER($O153)),NOT(ISNUMBER($N153)),NOT(ISNUMBER($F153))),"",$O153*($N153/100)*$F153*10)</f>
        <v/>
      </c>
      <c r="Q153" s="9" t="str">
        <f aca="false">IF(OR(NOT(ISNUMBER($D153)),NOT(ISNUMBER($E153))),"",MAX(0,MIN($E153,SOIL_REPORTING_DEPTH_CM)-MIN($D153,SOIL_REPORTING_DEPTH_CM)))</f>
        <v/>
      </c>
      <c r="R153" s="9" t="str">
        <f aca="false">IF(OR(NOT(ISNUMBER($O153)),NOT(ISNUMBER($N153)),NOT(ISNUMBER($Q153))),"",$O153*($N153/100)*$Q153*10)</f>
        <v/>
      </c>
      <c r="S153" s="11" t="str">
        <f aca="false">IF(AND($A153="",$B153="",$D153=""),"",IF(AND($A153&lt;&gt;"",COUNTIF('1. Plot &amp; Site Log'!$A$5:$A$64,$A153)=0),"Plot ID not in the Plot &amp; Site Log. ","")&amp;IF(AND(ISNUMBER($D153),ISNUMBER($E153),$E153&lt;=$D153),"Bottom depth is not below top depth. ","")&amp;IF($L153="Not confirmed","Bulk-density basis not confirmed with the lab — the coarse-fragment correction may be wrong or doubled. ","")&amp;IF(LAB_BULK_DENSITY_BASIS="Not confirmed","No lab bulk-density basis is on file in Settings (LAB_BULK_DENSITY_BASIS), so nothing checks this row. ","")&amp;IF(AND($L153&lt;&gt;"",LAB_BULK_DENSITY_BASIS&lt;&gt;"Not confirmed",$L153&lt;&gt;LAB_BULK_DENSITY_BASIS),"This row's bulk-density basis disagrees with the lab method on file. One of "&amp;"the two is wrong, and the coarse-fragment correction follows the row. ","")&amp;IF(AND(ISNUMBER($M153),OR($M153&lt;QC_BD_MIN,$M153&gt;QC_BD_MAX)),"Bulk density outside the plausible range for a mineral grassland soil. ","")&amp;IF(AND(ISNUMBER($N153),$N153&gt;QC_CARBON_PCT_MAX),"Organic carbon above the QC ceiling — check units, and whether this is an organic horizon. ","")&amp;IF(AND(ISNUMBER($J153),$J153&lt;QC_RECOVERY_MIN),"Recovered less than the QC minimum of the depth driven — the increments may not sit where you think. Do NOT stretch them back out. ","")&amp;IF(AND(ISNUMBER($K153),$K153&gt;0,$L153="Fine earth / total volume"),"Coarse fragments recorded and the lab basis already accounts for them — no further correction applied, which is correct. ",""))</f>
        <v/>
      </c>
      <c r="T153" s="6"/>
      <c r="U153" s="9" t="n">
        <f aca="false">IF($B153="",0,IF(COUNTIFS($B$5:$B153,$B153)=1,1,0))</f>
        <v>0</v>
      </c>
    </row>
    <row r="154" customFormat="false" ht="15" hidden="false" customHeight="false" outlineLevel="0" collapsed="false">
      <c r="A154" s="6"/>
      <c r="B154" s="6"/>
      <c r="C154" s="6"/>
      <c r="D154" s="6"/>
      <c r="E154" s="6"/>
      <c r="F154" s="9" t="str">
        <f aca="false">IF(OR($D154="",$E154=""),"",$E154-$D154)</f>
        <v/>
      </c>
      <c r="G154" s="6"/>
      <c r="H154" s="6"/>
      <c r="I154" s="6"/>
      <c r="J154" s="9" t="str">
        <f aca="false">IF(OR(NOT(ISNUMBER($H154)),NOT(ISNUMBER($I154)),$H154=0),"",$I154/$H154)</f>
        <v/>
      </c>
      <c r="K154" s="6"/>
      <c r="L154" s="8"/>
      <c r="M154" s="7"/>
      <c r="N154" s="7"/>
      <c r="O154" s="9" t="str">
        <f aca="false">IF(NOT(ISNUMBER($M154)),"",IF($L154="Fine earth / fine-earth volume",$M154*(1-IF(ISNUMBER($K154),$K154,0)/100),$M154))</f>
        <v/>
      </c>
      <c r="P154" s="9" t="str">
        <f aca="false">IF(OR(NOT(ISNUMBER($O154)),NOT(ISNUMBER($N154)),NOT(ISNUMBER($F154))),"",$O154*($N154/100)*$F154*10)</f>
        <v/>
      </c>
      <c r="Q154" s="9" t="str">
        <f aca="false">IF(OR(NOT(ISNUMBER($D154)),NOT(ISNUMBER($E154))),"",MAX(0,MIN($E154,SOIL_REPORTING_DEPTH_CM)-MIN($D154,SOIL_REPORTING_DEPTH_CM)))</f>
        <v/>
      </c>
      <c r="R154" s="9" t="str">
        <f aca="false">IF(OR(NOT(ISNUMBER($O154)),NOT(ISNUMBER($N154)),NOT(ISNUMBER($Q154))),"",$O154*($N154/100)*$Q154*10)</f>
        <v/>
      </c>
      <c r="S154" s="11" t="str">
        <f aca="false">IF(AND($A154="",$B154="",$D154=""),"",IF(AND($A154&lt;&gt;"",COUNTIF('1. Plot &amp; Site Log'!$A$5:$A$64,$A154)=0),"Plot ID not in the Plot &amp; Site Log. ","")&amp;IF(AND(ISNUMBER($D154),ISNUMBER($E154),$E154&lt;=$D154),"Bottom depth is not below top depth. ","")&amp;IF($L154="Not confirmed","Bulk-density basis not confirmed with the lab — the coarse-fragment correction may be wrong or doubled. ","")&amp;IF(LAB_BULK_DENSITY_BASIS="Not confirmed","No lab bulk-density basis is on file in Settings (LAB_BULK_DENSITY_BASIS), so nothing checks this row. ","")&amp;IF(AND($L154&lt;&gt;"",LAB_BULK_DENSITY_BASIS&lt;&gt;"Not confirmed",$L154&lt;&gt;LAB_BULK_DENSITY_BASIS),"This row's bulk-density basis disagrees with the lab method on file. One of "&amp;"the two is wrong, and the coarse-fragment correction follows the row. ","")&amp;IF(AND(ISNUMBER($M154),OR($M154&lt;QC_BD_MIN,$M154&gt;QC_BD_MAX)),"Bulk density outside the plausible range for a mineral grassland soil. ","")&amp;IF(AND(ISNUMBER($N154),$N154&gt;QC_CARBON_PCT_MAX),"Organic carbon above the QC ceiling — check units, and whether this is an organic horizon. ","")&amp;IF(AND(ISNUMBER($J154),$J154&lt;QC_RECOVERY_MIN),"Recovered less than the QC minimum of the depth driven — the increments may not sit where you think. Do NOT stretch them back out. ","")&amp;IF(AND(ISNUMBER($K154),$K154&gt;0,$L154="Fine earth / total volume"),"Coarse fragments recorded and the lab basis already accounts for them — no further correction applied, which is correct. ",""))</f>
        <v/>
      </c>
      <c r="T154" s="6"/>
      <c r="U154" s="9" t="n">
        <f aca="false">IF($B154="",0,IF(COUNTIFS($B$5:$B154,$B154)=1,1,0))</f>
        <v>0</v>
      </c>
    </row>
    <row r="155" customFormat="false" ht="15" hidden="false" customHeight="false" outlineLevel="0" collapsed="false">
      <c r="A155" s="6"/>
      <c r="B155" s="6"/>
      <c r="C155" s="6"/>
      <c r="D155" s="6"/>
      <c r="E155" s="6"/>
      <c r="F155" s="9" t="str">
        <f aca="false">IF(OR($D155="",$E155=""),"",$E155-$D155)</f>
        <v/>
      </c>
      <c r="G155" s="6"/>
      <c r="H155" s="6"/>
      <c r="I155" s="6"/>
      <c r="J155" s="9" t="str">
        <f aca="false">IF(OR(NOT(ISNUMBER($H155)),NOT(ISNUMBER($I155)),$H155=0),"",$I155/$H155)</f>
        <v/>
      </c>
      <c r="K155" s="6"/>
      <c r="L155" s="8"/>
      <c r="M155" s="7"/>
      <c r="N155" s="7"/>
      <c r="O155" s="9" t="str">
        <f aca="false">IF(NOT(ISNUMBER($M155)),"",IF($L155="Fine earth / fine-earth volume",$M155*(1-IF(ISNUMBER($K155),$K155,0)/100),$M155))</f>
        <v/>
      </c>
      <c r="P155" s="9" t="str">
        <f aca="false">IF(OR(NOT(ISNUMBER($O155)),NOT(ISNUMBER($N155)),NOT(ISNUMBER($F155))),"",$O155*($N155/100)*$F155*10)</f>
        <v/>
      </c>
      <c r="Q155" s="9" t="str">
        <f aca="false">IF(OR(NOT(ISNUMBER($D155)),NOT(ISNUMBER($E155))),"",MAX(0,MIN($E155,SOIL_REPORTING_DEPTH_CM)-MIN($D155,SOIL_REPORTING_DEPTH_CM)))</f>
        <v/>
      </c>
      <c r="R155" s="9" t="str">
        <f aca="false">IF(OR(NOT(ISNUMBER($O155)),NOT(ISNUMBER($N155)),NOT(ISNUMBER($Q155))),"",$O155*($N155/100)*$Q155*10)</f>
        <v/>
      </c>
      <c r="S155" s="11" t="str">
        <f aca="false">IF(AND($A155="",$B155="",$D155=""),"",IF(AND($A155&lt;&gt;"",COUNTIF('1. Plot &amp; Site Log'!$A$5:$A$64,$A155)=0),"Plot ID not in the Plot &amp; Site Log. ","")&amp;IF(AND(ISNUMBER($D155),ISNUMBER($E155),$E155&lt;=$D155),"Bottom depth is not below top depth. ","")&amp;IF($L155="Not confirmed","Bulk-density basis not confirmed with the lab — the coarse-fragment correction may be wrong or doubled. ","")&amp;IF(LAB_BULK_DENSITY_BASIS="Not confirmed","No lab bulk-density basis is on file in Settings (LAB_BULK_DENSITY_BASIS), so nothing checks this row. ","")&amp;IF(AND($L155&lt;&gt;"",LAB_BULK_DENSITY_BASIS&lt;&gt;"Not confirmed",$L155&lt;&gt;LAB_BULK_DENSITY_BASIS),"This row's bulk-density basis disagrees with the lab method on file. One of "&amp;"the two is wrong, and the coarse-fragment correction follows the row. ","")&amp;IF(AND(ISNUMBER($M155),OR($M155&lt;QC_BD_MIN,$M155&gt;QC_BD_MAX)),"Bulk density outside the plausible range for a mineral grassland soil. ","")&amp;IF(AND(ISNUMBER($N155),$N155&gt;QC_CARBON_PCT_MAX),"Organic carbon above the QC ceiling — check units, and whether this is an organic horizon. ","")&amp;IF(AND(ISNUMBER($J155),$J155&lt;QC_RECOVERY_MIN),"Recovered less than the QC minimum of the depth driven — the increments may not sit where you think. Do NOT stretch them back out. ","")&amp;IF(AND(ISNUMBER($K155),$K155&gt;0,$L155="Fine earth / total volume"),"Coarse fragments recorded and the lab basis already accounts for them — no further correction applied, which is correct. ",""))</f>
        <v/>
      </c>
      <c r="T155" s="6"/>
      <c r="U155" s="9" t="n">
        <f aca="false">IF($B155="",0,IF(COUNTIFS($B$5:$B155,$B155)=1,1,0))</f>
        <v>0</v>
      </c>
    </row>
    <row r="156" customFormat="false" ht="15" hidden="false" customHeight="false" outlineLevel="0" collapsed="false">
      <c r="A156" s="6"/>
      <c r="B156" s="6"/>
      <c r="C156" s="6"/>
      <c r="D156" s="6"/>
      <c r="E156" s="6"/>
      <c r="F156" s="9" t="str">
        <f aca="false">IF(OR($D156="",$E156=""),"",$E156-$D156)</f>
        <v/>
      </c>
      <c r="G156" s="6"/>
      <c r="H156" s="6"/>
      <c r="I156" s="6"/>
      <c r="J156" s="9" t="str">
        <f aca="false">IF(OR(NOT(ISNUMBER($H156)),NOT(ISNUMBER($I156)),$H156=0),"",$I156/$H156)</f>
        <v/>
      </c>
      <c r="K156" s="6"/>
      <c r="L156" s="8"/>
      <c r="M156" s="7"/>
      <c r="N156" s="7"/>
      <c r="O156" s="9" t="str">
        <f aca="false">IF(NOT(ISNUMBER($M156)),"",IF($L156="Fine earth / fine-earth volume",$M156*(1-IF(ISNUMBER($K156),$K156,0)/100),$M156))</f>
        <v/>
      </c>
      <c r="P156" s="9" t="str">
        <f aca="false">IF(OR(NOT(ISNUMBER($O156)),NOT(ISNUMBER($N156)),NOT(ISNUMBER($F156))),"",$O156*($N156/100)*$F156*10)</f>
        <v/>
      </c>
      <c r="Q156" s="9" t="str">
        <f aca="false">IF(OR(NOT(ISNUMBER($D156)),NOT(ISNUMBER($E156))),"",MAX(0,MIN($E156,SOIL_REPORTING_DEPTH_CM)-MIN($D156,SOIL_REPORTING_DEPTH_CM)))</f>
        <v/>
      </c>
      <c r="R156" s="9" t="str">
        <f aca="false">IF(OR(NOT(ISNUMBER($O156)),NOT(ISNUMBER($N156)),NOT(ISNUMBER($Q156))),"",$O156*($N156/100)*$Q156*10)</f>
        <v/>
      </c>
      <c r="S156" s="11" t="str">
        <f aca="false">IF(AND($A156="",$B156="",$D156=""),"",IF(AND($A156&lt;&gt;"",COUNTIF('1. Plot &amp; Site Log'!$A$5:$A$64,$A156)=0),"Plot ID not in the Plot &amp; Site Log. ","")&amp;IF(AND(ISNUMBER($D156),ISNUMBER($E156),$E156&lt;=$D156),"Bottom depth is not below top depth. ","")&amp;IF($L156="Not confirmed","Bulk-density basis not confirmed with the lab — the coarse-fragment correction may be wrong or doubled. ","")&amp;IF(LAB_BULK_DENSITY_BASIS="Not confirmed","No lab bulk-density basis is on file in Settings (LAB_BULK_DENSITY_BASIS), so nothing checks this row. ","")&amp;IF(AND($L156&lt;&gt;"",LAB_BULK_DENSITY_BASIS&lt;&gt;"Not confirmed",$L156&lt;&gt;LAB_BULK_DENSITY_BASIS),"This row's bulk-density basis disagrees with the lab method on file. One of "&amp;"the two is wrong, and the coarse-fragment correction follows the row. ","")&amp;IF(AND(ISNUMBER($M156),OR($M156&lt;QC_BD_MIN,$M156&gt;QC_BD_MAX)),"Bulk density outside the plausible range for a mineral grassland soil. ","")&amp;IF(AND(ISNUMBER($N156),$N156&gt;QC_CARBON_PCT_MAX),"Organic carbon above the QC ceiling — check units, and whether this is an organic horizon. ","")&amp;IF(AND(ISNUMBER($J156),$J156&lt;QC_RECOVERY_MIN),"Recovered less than the QC minimum of the depth driven — the increments may not sit where you think. Do NOT stretch them back out. ","")&amp;IF(AND(ISNUMBER($K156),$K156&gt;0,$L156="Fine earth / total volume"),"Coarse fragments recorded and the lab basis already accounts for them — no further correction applied, which is correct. ",""))</f>
        <v/>
      </c>
      <c r="T156" s="6"/>
      <c r="U156" s="9" t="n">
        <f aca="false">IF($B156="",0,IF(COUNTIFS($B$5:$B156,$B156)=1,1,0))</f>
        <v>0</v>
      </c>
    </row>
    <row r="157" customFormat="false" ht="15" hidden="false" customHeight="false" outlineLevel="0" collapsed="false">
      <c r="A157" s="6"/>
      <c r="B157" s="6"/>
      <c r="C157" s="6"/>
      <c r="D157" s="6"/>
      <c r="E157" s="6"/>
      <c r="F157" s="9" t="str">
        <f aca="false">IF(OR($D157="",$E157=""),"",$E157-$D157)</f>
        <v/>
      </c>
      <c r="G157" s="6"/>
      <c r="H157" s="6"/>
      <c r="I157" s="6"/>
      <c r="J157" s="9" t="str">
        <f aca="false">IF(OR(NOT(ISNUMBER($H157)),NOT(ISNUMBER($I157)),$H157=0),"",$I157/$H157)</f>
        <v/>
      </c>
      <c r="K157" s="6"/>
      <c r="L157" s="8"/>
      <c r="M157" s="7"/>
      <c r="N157" s="7"/>
      <c r="O157" s="9" t="str">
        <f aca="false">IF(NOT(ISNUMBER($M157)),"",IF($L157="Fine earth / fine-earth volume",$M157*(1-IF(ISNUMBER($K157),$K157,0)/100),$M157))</f>
        <v/>
      </c>
      <c r="P157" s="9" t="str">
        <f aca="false">IF(OR(NOT(ISNUMBER($O157)),NOT(ISNUMBER($N157)),NOT(ISNUMBER($F157))),"",$O157*($N157/100)*$F157*10)</f>
        <v/>
      </c>
      <c r="Q157" s="9" t="str">
        <f aca="false">IF(OR(NOT(ISNUMBER($D157)),NOT(ISNUMBER($E157))),"",MAX(0,MIN($E157,SOIL_REPORTING_DEPTH_CM)-MIN($D157,SOIL_REPORTING_DEPTH_CM)))</f>
        <v/>
      </c>
      <c r="R157" s="9" t="str">
        <f aca="false">IF(OR(NOT(ISNUMBER($O157)),NOT(ISNUMBER($N157)),NOT(ISNUMBER($Q157))),"",$O157*($N157/100)*$Q157*10)</f>
        <v/>
      </c>
      <c r="S157" s="11" t="str">
        <f aca="false">IF(AND($A157="",$B157="",$D157=""),"",IF(AND($A157&lt;&gt;"",COUNTIF('1. Plot &amp; Site Log'!$A$5:$A$64,$A157)=0),"Plot ID not in the Plot &amp; Site Log. ","")&amp;IF(AND(ISNUMBER($D157),ISNUMBER($E157),$E157&lt;=$D157),"Bottom depth is not below top depth. ","")&amp;IF($L157="Not confirmed","Bulk-density basis not confirmed with the lab — the coarse-fragment correction may be wrong or doubled. ","")&amp;IF(LAB_BULK_DENSITY_BASIS="Not confirmed","No lab bulk-density basis is on file in Settings (LAB_BULK_DENSITY_BASIS), so nothing checks this row. ","")&amp;IF(AND($L157&lt;&gt;"",LAB_BULK_DENSITY_BASIS&lt;&gt;"Not confirmed",$L157&lt;&gt;LAB_BULK_DENSITY_BASIS),"This row's bulk-density basis disagrees with the lab method on file. One of "&amp;"the two is wrong, and the coarse-fragment correction follows the row. ","")&amp;IF(AND(ISNUMBER($M157),OR($M157&lt;QC_BD_MIN,$M157&gt;QC_BD_MAX)),"Bulk density outside the plausible range for a mineral grassland soil. ","")&amp;IF(AND(ISNUMBER($N157),$N157&gt;QC_CARBON_PCT_MAX),"Organic carbon above the QC ceiling — check units, and whether this is an organic horizon. ","")&amp;IF(AND(ISNUMBER($J157),$J157&lt;QC_RECOVERY_MIN),"Recovered less than the QC minimum of the depth driven — the increments may not sit where you think. Do NOT stretch them back out. ","")&amp;IF(AND(ISNUMBER($K157),$K157&gt;0,$L157="Fine earth / total volume"),"Coarse fragments recorded and the lab basis already accounts for them — no further correction applied, which is correct. ",""))</f>
        <v/>
      </c>
      <c r="T157" s="6"/>
      <c r="U157" s="9" t="n">
        <f aca="false">IF($B157="",0,IF(COUNTIFS($B$5:$B157,$B157)=1,1,0))</f>
        <v>0</v>
      </c>
    </row>
    <row r="158" customFormat="false" ht="15" hidden="false" customHeight="false" outlineLevel="0" collapsed="false">
      <c r="A158" s="6"/>
      <c r="B158" s="6"/>
      <c r="C158" s="6"/>
      <c r="D158" s="6"/>
      <c r="E158" s="6"/>
      <c r="F158" s="9" t="str">
        <f aca="false">IF(OR($D158="",$E158=""),"",$E158-$D158)</f>
        <v/>
      </c>
      <c r="G158" s="6"/>
      <c r="H158" s="6"/>
      <c r="I158" s="6"/>
      <c r="J158" s="9" t="str">
        <f aca="false">IF(OR(NOT(ISNUMBER($H158)),NOT(ISNUMBER($I158)),$H158=0),"",$I158/$H158)</f>
        <v/>
      </c>
      <c r="K158" s="6"/>
      <c r="L158" s="8"/>
      <c r="M158" s="7"/>
      <c r="N158" s="7"/>
      <c r="O158" s="9" t="str">
        <f aca="false">IF(NOT(ISNUMBER($M158)),"",IF($L158="Fine earth / fine-earth volume",$M158*(1-IF(ISNUMBER($K158),$K158,0)/100),$M158))</f>
        <v/>
      </c>
      <c r="P158" s="9" t="str">
        <f aca="false">IF(OR(NOT(ISNUMBER($O158)),NOT(ISNUMBER($N158)),NOT(ISNUMBER($F158))),"",$O158*($N158/100)*$F158*10)</f>
        <v/>
      </c>
      <c r="Q158" s="9" t="str">
        <f aca="false">IF(OR(NOT(ISNUMBER($D158)),NOT(ISNUMBER($E158))),"",MAX(0,MIN($E158,SOIL_REPORTING_DEPTH_CM)-MIN($D158,SOIL_REPORTING_DEPTH_CM)))</f>
        <v/>
      </c>
      <c r="R158" s="9" t="str">
        <f aca="false">IF(OR(NOT(ISNUMBER($O158)),NOT(ISNUMBER($N158)),NOT(ISNUMBER($Q158))),"",$O158*($N158/100)*$Q158*10)</f>
        <v/>
      </c>
      <c r="S158" s="11" t="str">
        <f aca="false">IF(AND($A158="",$B158="",$D158=""),"",IF(AND($A158&lt;&gt;"",COUNTIF('1. Plot &amp; Site Log'!$A$5:$A$64,$A158)=0),"Plot ID not in the Plot &amp; Site Log. ","")&amp;IF(AND(ISNUMBER($D158),ISNUMBER($E158),$E158&lt;=$D158),"Bottom depth is not below top depth. ","")&amp;IF($L158="Not confirmed","Bulk-density basis not confirmed with the lab — the coarse-fragment correction may be wrong or doubled. ","")&amp;IF(LAB_BULK_DENSITY_BASIS="Not confirmed","No lab bulk-density basis is on file in Settings (LAB_BULK_DENSITY_BASIS), so nothing checks this row. ","")&amp;IF(AND($L158&lt;&gt;"",LAB_BULK_DENSITY_BASIS&lt;&gt;"Not confirmed",$L158&lt;&gt;LAB_BULK_DENSITY_BASIS),"This row's bulk-density basis disagrees with the lab method on file. One of "&amp;"the two is wrong, and the coarse-fragment correction follows the row. ","")&amp;IF(AND(ISNUMBER($M158),OR($M158&lt;QC_BD_MIN,$M158&gt;QC_BD_MAX)),"Bulk density outside the plausible range for a mineral grassland soil. ","")&amp;IF(AND(ISNUMBER($N158),$N158&gt;QC_CARBON_PCT_MAX),"Organic carbon above the QC ceiling — check units, and whether this is an organic horizon. ","")&amp;IF(AND(ISNUMBER($J158),$J158&lt;QC_RECOVERY_MIN),"Recovered less than the QC minimum of the depth driven — the increments may not sit where you think. Do NOT stretch them back out. ","")&amp;IF(AND(ISNUMBER($K158),$K158&gt;0,$L158="Fine earth / total volume"),"Coarse fragments recorded and the lab basis already accounts for them — no further correction applied, which is correct. ",""))</f>
        <v/>
      </c>
      <c r="T158" s="6"/>
      <c r="U158" s="9" t="n">
        <f aca="false">IF($B158="",0,IF(COUNTIFS($B$5:$B158,$B158)=1,1,0))</f>
        <v>0</v>
      </c>
    </row>
    <row r="159" customFormat="false" ht="15" hidden="false" customHeight="false" outlineLevel="0" collapsed="false">
      <c r="A159" s="6"/>
      <c r="B159" s="6"/>
      <c r="C159" s="6"/>
      <c r="D159" s="6"/>
      <c r="E159" s="6"/>
      <c r="F159" s="9" t="str">
        <f aca="false">IF(OR($D159="",$E159=""),"",$E159-$D159)</f>
        <v/>
      </c>
      <c r="G159" s="6"/>
      <c r="H159" s="6"/>
      <c r="I159" s="6"/>
      <c r="J159" s="9" t="str">
        <f aca="false">IF(OR(NOT(ISNUMBER($H159)),NOT(ISNUMBER($I159)),$H159=0),"",$I159/$H159)</f>
        <v/>
      </c>
      <c r="K159" s="6"/>
      <c r="L159" s="8"/>
      <c r="M159" s="7"/>
      <c r="N159" s="7"/>
      <c r="O159" s="9" t="str">
        <f aca="false">IF(NOT(ISNUMBER($M159)),"",IF($L159="Fine earth / fine-earth volume",$M159*(1-IF(ISNUMBER($K159),$K159,0)/100),$M159))</f>
        <v/>
      </c>
      <c r="P159" s="9" t="str">
        <f aca="false">IF(OR(NOT(ISNUMBER($O159)),NOT(ISNUMBER($N159)),NOT(ISNUMBER($F159))),"",$O159*($N159/100)*$F159*10)</f>
        <v/>
      </c>
      <c r="Q159" s="9" t="str">
        <f aca="false">IF(OR(NOT(ISNUMBER($D159)),NOT(ISNUMBER($E159))),"",MAX(0,MIN($E159,SOIL_REPORTING_DEPTH_CM)-MIN($D159,SOIL_REPORTING_DEPTH_CM)))</f>
        <v/>
      </c>
      <c r="R159" s="9" t="str">
        <f aca="false">IF(OR(NOT(ISNUMBER($O159)),NOT(ISNUMBER($N159)),NOT(ISNUMBER($Q159))),"",$O159*($N159/100)*$Q159*10)</f>
        <v/>
      </c>
      <c r="S159" s="11" t="str">
        <f aca="false">IF(AND($A159="",$B159="",$D159=""),"",IF(AND($A159&lt;&gt;"",COUNTIF('1. Plot &amp; Site Log'!$A$5:$A$64,$A159)=0),"Plot ID not in the Plot &amp; Site Log. ","")&amp;IF(AND(ISNUMBER($D159),ISNUMBER($E159),$E159&lt;=$D159),"Bottom depth is not below top depth. ","")&amp;IF($L159="Not confirmed","Bulk-density basis not confirmed with the lab — the coarse-fragment correction may be wrong or doubled. ","")&amp;IF(LAB_BULK_DENSITY_BASIS="Not confirmed","No lab bulk-density basis is on file in Settings (LAB_BULK_DENSITY_BASIS), so nothing checks this row. ","")&amp;IF(AND($L159&lt;&gt;"",LAB_BULK_DENSITY_BASIS&lt;&gt;"Not confirmed",$L159&lt;&gt;LAB_BULK_DENSITY_BASIS),"This row's bulk-density basis disagrees with the lab method on file. One of "&amp;"the two is wrong, and the coarse-fragment correction follows the row. ","")&amp;IF(AND(ISNUMBER($M159),OR($M159&lt;QC_BD_MIN,$M159&gt;QC_BD_MAX)),"Bulk density outside the plausible range for a mineral grassland soil. ","")&amp;IF(AND(ISNUMBER($N159),$N159&gt;QC_CARBON_PCT_MAX),"Organic carbon above the QC ceiling — check units, and whether this is an organic horizon. ","")&amp;IF(AND(ISNUMBER($J159),$J159&lt;QC_RECOVERY_MIN),"Recovered less than the QC minimum of the depth driven — the increments may not sit where you think. Do NOT stretch them back out. ","")&amp;IF(AND(ISNUMBER($K159),$K159&gt;0,$L159="Fine earth / total volume"),"Coarse fragments recorded and the lab basis already accounts for them — no further correction applied, which is correct. ",""))</f>
        <v/>
      </c>
      <c r="T159" s="6"/>
      <c r="U159" s="9" t="n">
        <f aca="false">IF($B159="",0,IF(COUNTIFS($B$5:$B159,$B159)=1,1,0))</f>
        <v>0</v>
      </c>
    </row>
    <row r="160" customFormat="false" ht="15" hidden="false" customHeight="false" outlineLevel="0" collapsed="false">
      <c r="A160" s="6"/>
      <c r="B160" s="6"/>
      <c r="C160" s="6"/>
      <c r="D160" s="6"/>
      <c r="E160" s="6"/>
      <c r="F160" s="9" t="str">
        <f aca="false">IF(OR($D160="",$E160=""),"",$E160-$D160)</f>
        <v/>
      </c>
      <c r="G160" s="6"/>
      <c r="H160" s="6"/>
      <c r="I160" s="6"/>
      <c r="J160" s="9" t="str">
        <f aca="false">IF(OR(NOT(ISNUMBER($H160)),NOT(ISNUMBER($I160)),$H160=0),"",$I160/$H160)</f>
        <v/>
      </c>
      <c r="K160" s="6"/>
      <c r="L160" s="8"/>
      <c r="M160" s="7"/>
      <c r="N160" s="7"/>
      <c r="O160" s="9" t="str">
        <f aca="false">IF(NOT(ISNUMBER($M160)),"",IF($L160="Fine earth / fine-earth volume",$M160*(1-IF(ISNUMBER($K160),$K160,0)/100),$M160))</f>
        <v/>
      </c>
      <c r="P160" s="9" t="str">
        <f aca="false">IF(OR(NOT(ISNUMBER($O160)),NOT(ISNUMBER($N160)),NOT(ISNUMBER($F160))),"",$O160*($N160/100)*$F160*10)</f>
        <v/>
      </c>
      <c r="Q160" s="9" t="str">
        <f aca="false">IF(OR(NOT(ISNUMBER($D160)),NOT(ISNUMBER($E160))),"",MAX(0,MIN($E160,SOIL_REPORTING_DEPTH_CM)-MIN($D160,SOIL_REPORTING_DEPTH_CM)))</f>
        <v/>
      </c>
      <c r="R160" s="9" t="str">
        <f aca="false">IF(OR(NOT(ISNUMBER($O160)),NOT(ISNUMBER($N160)),NOT(ISNUMBER($Q160))),"",$O160*($N160/100)*$Q160*10)</f>
        <v/>
      </c>
      <c r="S160" s="11" t="str">
        <f aca="false">IF(AND($A160="",$B160="",$D160=""),"",IF(AND($A160&lt;&gt;"",COUNTIF('1. Plot &amp; Site Log'!$A$5:$A$64,$A160)=0),"Plot ID not in the Plot &amp; Site Log. ","")&amp;IF(AND(ISNUMBER($D160),ISNUMBER($E160),$E160&lt;=$D160),"Bottom depth is not below top depth. ","")&amp;IF($L160="Not confirmed","Bulk-density basis not confirmed with the lab — the coarse-fragment correction may be wrong or doubled. ","")&amp;IF(LAB_BULK_DENSITY_BASIS="Not confirmed","No lab bulk-density basis is on file in Settings (LAB_BULK_DENSITY_BASIS), so nothing checks this row. ","")&amp;IF(AND($L160&lt;&gt;"",LAB_BULK_DENSITY_BASIS&lt;&gt;"Not confirmed",$L160&lt;&gt;LAB_BULK_DENSITY_BASIS),"This row's bulk-density basis disagrees with the lab method on file. One of "&amp;"the two is wrong, and the coarse-fragment correction follows the row. ","")&amp;IF(AND(ISNUMBER($M160),OR($M160&lt;QC_BD_MIN,$M160&gt;QC_BD_MAX)),"Bulk density outside the plausible range for a mineral grassland soil. ","")&amp;IF(AND(ISNUMBER($N160),$N160&gt;QC_CARBON_PCT_MAX),"Organic carbon above the QC ceiling — check units, and whether this is an organic horizon. ","")&amp;IF(AND(ISNUMBER($J160),$J160&lt;QC_RECOVERY_MIN),"Recovered less than the QC minimum of the depth driven — the increments may not sit where you think. Do NOT stretch them back out. ","")&amp;IF(AND(ISNUMBER($K160),$K160&gt;0,$L160="Fine earth / total volume"),"Coarse fragments recorded and the lab basis already accounts for them — no further correction applied, which is correct. ",""))</f>
        <v/>
      </c>
      <c r="T160" s="6"/>
      <c r="U160" s="9" t="n">
        <f aca="false">IF($B160="",0,IF(COUNTIFS($B$5:$B160,$B160)=1,1,0))</f>
        <v>0</v>
      </c>
    </row>
    <row r="161" customFormat="false" ht="15" hidden="false" customHeight="false" outlineLevel="0" collapsed="false">
      <c r="A161" s="6"/>
      <c r="B161" s="6"/>
      <c r="C161" s="6"/>
      <c r="D161" s="6"/>
      <c r="E161" s="6"/>
      <c r="F161" s="9" t="str">
        <f aca="false">IF(OR($D161="",$E161=""),"",$E161-$D161)</f>
        <v/>
      </c>
      <c r="G161" s="6"/>
      <c r="H161" s="6"/>
      <c r="I161" s="6"/>
      <c r="J161" s="9" t="str">
        <f aca="false">IF(OR(NOT(ISNUMBER($H161)),NOT(ISNUMBER($I161)),$H161=0),"",$I161/$H161)</f>
        <v/>
      </c>
      <c r="K161" s="6"/>
      <c r="L161" s="8"/>
      <c r="M161" s="7"/>
      <c r="N161" s="7"/>
      <c r="O161" s="9" t="str">
        <f aca="false">IF(NOT(ISNUMBER($M161)),"",IF($L161="Fine earth / fine-earth volume",$M161*(1-IF(ISNUMBER($K161),$K161,0)/100),$M161))</f>
        <v/>
      </c>
      <c r="P161" s="9" t="str">
        <f aca="false">IF(OR(NOT(ISNUMBER($O161)),NOT(ISNUMBER($N161)),NOT(ISNUMBER($F161))),"",$O161*($N161/100)*$F161*10)</f>
        <v/>
      </c>
      <c r="Q161" s="9" t="str">
        <f aca="false">IF(OR(NOT(ISNUMBER($D161)),NOT(ISNUMBER($E161))),"",MAX(0,MIN($E161,SOIL_REPORTING_DEPTH_CM)-MIN($D161,SOIL_REPORTING_DEPTH_CM)))</f>
        <v/>
      </c>
      <c r="R161" s="9" t="str">
        <f aca="false">IF(OR(NOT(ISNUMBER($O161)),NOT(ISNUMBER($N161)),NOT(ISNUMBER($Q161))),"",$O161*($N161/100)*$Q161*10)</f>
        <v/>
      </c>
      <c r="S161" s="11" t="str">
        <f aca="false">IF(AND($A161="",$B161="",$D161=""),"",IF(AND($A161&lt;&gt;"",COUNTIF('1. Plot &amp; Site Log'!$A$5:$A$64,$A161)=0),"Plot ID not in the Plot &amp; Site Log. ","")&amp;IF(AND(ISNUMBER($D161),ISNUMBER($E161),$E161&lt;=$D161),"Bottom depth is not below top depth. ","")&amp;IF($L161="Not confirmed","Bulk-density basis not confirmed with the lab — the coarse-fragment correction may be wrong or doubled. ","")&amp;IF(LAB_BULK_DENSITY_BASIS="Not confirmed","No lab bulk-density basis is on file in Settings (LAB_BULK_DENSITY_BASIS), so nothing checks this row. ","")&amp;IF(AND($L161&lt;&gt;"",LAB_BULK_DENSITY_BASIS&lt;&gt;"Not confirmed",$L161&lt;&gt;LAB_BULK_DENSITY_BASIS),"This row's bulk-density basis disagrees with the lab method on file. One of "&amp;"the two is wrong, and the coarse-fragment correction follows the row. ","")&amp;IF(AND(ISNUMBER($M161),OR($M161&lt;QC_BD_MIN,$M161&gt;QC_BD_MAX)),"Bulk density outside the plausible range for a mineral grassland soil. ","")&amp;IF(AND(ISNUMBER($N161),$N161&gt;QC_CARBON_PCT_MAX),"Organic carbon above the QC ceiling — check units, and whether this is an organic horizon. ","")&amp;IF(AND(ISNUMBER($J161),$J161&lt;QC_RECOVERY_MIN),"Recovered less than the QC minimum of the depth driven — the increments may not sit where you think. Do NOT stretch them back out. ","")&amp;IF(AND(ISNUMBER($K161),$K161&gt;0,$L161="Fine earth / total volume"),"Coarse fragments recorded and the lab basis already accounts for them — no further correction applied, which is correct. ",""))</f>
        <v/>
      </c>
      <c r="T161" s="6"/>
      <c r="U161" s="9" t="n">
        <f aca="false">IF($B161="",0,IF(COUNTIFS($B$5:$B161,$B161)=1,1,0))</f>
        <v>0</v>
      </c>
    </row>
    <row r="162" customFormat="false" ht="15" hidden="false" customHeight="false" outlineLevel="0" collapsed="false">
      <c r="A162" s="6"/>
      <c r="B162" s="6"/>
      <c r="C162" s="6"/>
      <c r="D162" s="6"/>
      <c r="E162" s="6"/>
      <c r="F162" s="9" t="str">
        <f aca="false">IF(OR($D162="",$E162=""),"",$E162-$D162)</f>
        <v/>
      </c>
      <c r="G162" s="6"/>
      <c r="H162" s="6"/>
      <c r="I162" s="6"/>
      <c r="J162" s="9" t="str">
        <f aca="false">IF(OR(NOT(ISNUMBER($H162)),NOT(ISNUMBER($I162)),$H162=0),"",$I162/$H162)</f>
        <v/>
      </c>
      <c r="K162" s="6"/>
      <c r="L162" s="8"/>
      <c r="M162" s="7"/>
      <c r="N162" s="7"/>
      <c r="O162" s="9" t="str">
        <f aca="false">IF(NOT(ISNUMBER($M162)),"",IF($L162="Fine earth / fine-earth volume",$M162*(1-IF(ISNUMBER($K162),$K162,0)/100),$M162))</f>
        <v/>
      </c>
      <c r="P162" s="9" t="str">
        <f aca="false">IF(OR(NOT(ISNUMBER($O162)),NOT(ISNUMBER($N162)),NOT(ISNUMBER($F162))),"",$O162*($N162/100)*$F162*10)</f>
        <v/>
      </c>
      <c r="Q162" s="9" t="str">
        <f aca="false">IF(OR(NOT(ISNUMBER($D162)),NOT(ISNUMBER($E162))),"",MAX(0,MIN($E162,SOIL_REPORTING_DEPTH_CM)-MIN($D162,SOIL_REPORTING_DEPTH_CM)))</f>
        <v/>
      </c>
      <c r="R162" s="9" t="str">
        <f aca="false">IF(OR(NOT(ISNUMBER($O162)),NOT(ISNUMBER($N162)),NOT(ISNUMBER($Q162))),"",$O162*($N162/100)*$Q162*10)</f>
        <v/>
      </c>
      <c r="S162" s="11" t="str">
        <f aca="false">IF(AND($A162="",$B162="",$D162=""),"",IF(AND($A162&lt;&gt;"",COUNTIF('1. Plot &amp; Site Log'!$A$5:$A$64,$A162)=0),"Plot ID not in the Plot &amp; Site Log. ","")&amp;IF(AND(ISNUMBER($D162),ISNUMBER($E162),$E162&lt;=$D162),"Bottom depth is not below top depth. ","")&amp;IF($L162="Not confirmed","Bulk-density basis not confirmed with the lab — the coarse-fragment correction may be wrong or doubled. ","")&amp;IF(LAB_BULK_DENSITY_BASIS="Not confirmed","No lab bulk-density basis is on file in Settings (LAB_BULK_DENSITY_BASIS), so nothing checks this row. ","")&amp;IF(AND($L162&lt;&gt;"",LAB_BULK_DENSITY_BASIS&lt;&gt;"Not confirmed",$L162&lt;&gt;LAB_BULK_DENSITY_BASIS),"This row's bulk-density basis disagrees with the lab method on file. One of "&amp;"the two is wrong, and the coarse-fragment correction follows the row. ","")&amp;IF(AND(ISNUMBER($M162),OR($M162&lt;QC_BD_MIN,$M162&gt;QC_BD_MAX)),"Bulk density outside the plausible range for a mineral grassland soil. ","")&amp;IF(AND(ISNUMBER($N162),$N162&gt;QC_CARBON_PCT_MAX),"Organic carbon above the QC ceiling — check units, and whether this is an organic horizon. ","")&amp;IF(AND(ISNUMBER($J162),$J162&lt;QC_RECOVERY_MIN),"Recovered less than the QC minimum of the depth driven — the increments may not sit where you think. Do NOT stretch them back out. ","")&amp;IF(AND(ISNUMBER($K162),$K162&gt;0,$L162="Fine earth / total volume"),"Coarse fragments recorded and the lab basis already accounts for them — no further correction applied, which is correct. ",""))</f>
        <v/>
      </c>
      <c r="T162" s="6"/>
      <c r="U162" s="9" t="n">
        <f aca="false">IF($B162="",0,IF(COUNTIFS($B$5:$B162,$B162)=1,1,0))</f>
        <v>0</v>
      </c>
    </row>
    <row r="163" customFormat="false" ht="15" hidden="false" customHeight="false" outlineLevel="0" collapsed="false">
      <c r="A163" s="6"/>
      <c r="B163" s="6"/>
      <c r="C163" s="6"/>
      <c r="D163" s="6"/>
      <c r="E163" s="6"/>
      <c r="F163" s="9" t="str">
        <f aca="false">IF(OR($D163="",$E163=""),"",$E163-$D163)</f>
        <v/>
      </c>
      <c r="G163" s="6"/>
      <c r="H163" s="6"/>
      <c r="I163" s="6"/>
      <c r="J163" s="9" t="str">
        <f aca="false">IF(OR(NOT(ISNUMBER($H163)),NOT(ISNUMBER($I163)),$H163=0),"",$I163/$H163)</f>
        <v/>
      </c>
      <c r="K163" s="6"/>
      <c r="L163" s="8"/>
      <c r="M163" s="7"/>
      <c r="N163" s="7"/>
      <c r="O163" s="9" t="str">
        <f aca="false">IF(NOT(ISNUMBER($M163)),"",IF($L163="Fine earth / fine-earth volume",$M163*(1-IF(ISNUMBER($K163),$K163,0)/100),$M163))</f>
        <v/>
      </c>
      <c r="P163" s="9" t="str">
        <f aca="false">IF(OR(NOT(ISNUMBER($O163)),NOT(ISNUMBER($N163)),NOT(ISNUMBER($F163))),"",$O163*($N163/100)*$F163*10)</f>
        <v/>
      </c>
      <c r="Q163" s="9" t="str">
        <f aca="false">IF(OR(NOT(ISNUMBER($D163)),NOT(ISNUMBER($E163))),"",MAX(0,MIN($E163,SOIL_REPORTING_DEPTH_CM)-MIN($D163,SOIL_REPORTING_DEPTH_CM)))</f>
        <v/>
      </c>
      <c r="R163" s="9" t="str">
        <f aca="false">IF(OR(NOT(ISNUMBER($O163)),NOT(ISNUMBER($N163)),NOT(ISNUMBER($Q163))),"",$O163*($N163/100)*$Q163*10)</f>
        <v/>
      </c>
      <c r="S163" s="11" t="str">
        <f aca="false">IF(AND($A163="",$B163="",$D163=""),"",IF(AND($A163&lt;&gt;"",COUNTIF('1. Plot &amp; Site Log'!$A$5:$A$64,$A163)=0),"Plot ID not in the Plot &amp; Site Log. ","")&amp;IF(AND(ISNUMBER($D163),ISNUMBER($E163),$E163&lt;=$D163),"Bottom depth is not below top depth. ","")&amp;IF($L163="Not confirmed","Bulk-density basis not confirmed with the lab — the coarse-fragment correction may be wrong or doubled. ","")&amp;IF(LAB_BULK_DENSITY_BASIS="Not confirmed","No lab bulk-density basis is on file in Settings (LAB_BULK_DENSITY_BASIS), so nothing checks this row. ","")&amp;IF(AND($L163&lt;&gt;"",LAB_BULK_DENSITY_BASIS&lt;&gt;"Not confirmed",$L163&lt;&gt;LAB_BULK_DENSITY_BASIS),"This row's bulk-density basis disagrees with the lab method on file. One of "&amp;"the two is wrong, and the coarse-fragment correction follows the row. ","")&amp;IF(AND(ISNUMBER($M163),OR($M163&lt;QC_BD_MIN,$M163&gt;QC_BD_MAX)),"Bulk density outside the plausible range for a mineral grassland soil. ","")&amp;IF(AND(ISNUMBER($N163),$N163&gt;QC_CARBON_PCT_MAX),"Organic carbon above the QC ceiling — check units, and whether this is an organic horizon. ","")&amp;IF(AND(ISNUMBER($J163),$J163&lt;QC_RECOVERY_MIN),"Recovered less than the QC minimum of the depth driven — the increments may not sit where you think. Do NOT stretch them back out. ","")&amp;IF(AND(ISNUMBER($K163),$K163&gt;0,$L163="Fine earth / total volume"),"Coarse fragments recorded and the lab basis already accounts for them — no further correction applied, which is correct. ",""))</f>
        <v/>
      </c>
      <c r="T163" s="6"/>
      <c r="U163" s="9" t="n">
        <f aca="false">IF($B163="",0,IF(COUNTIFS($B$5:$B163,$B163)=1,1,0))</f>
        <v>0</v>
      </c>
    </row>
    <row r="164" customFormat="false" ht="15" hidden="false" customHeight="false" outlineLevel="0" collapsed="false">
      <c r="A164" s="6"/>
      <c r="B164" s="6"/>
      <c r="C164" s="6"/>
      <c r="D164" s="6"/>
      <c r="E164" s="6"/>
      <c r="F164" s="9" t="str">
        <f aca="false">IF(OR($D164="",$E164=""),"",$E164-$D164)</f>
        <v/>
      </c>
      <c r="G164" s="6"/>
      <c r="H164" s="6"/>
      <c r="I164" s="6"/>
      <c r="J164" s="9" t="str">
        <f aca="false">IF(OR(NOT(ISNUMBER($H164)),NOT(ISNUMBER($I164)),$H164=0),"",$I164/$H164)</f>
        <v/>
      </c>
      <c r="K164" s="6"/>
      <c r="L164" s="8"/>
      <c r="M164" s="7"/>
      <c r="N164" s="7"/>
      <c r="O164" s="9" t="str">
        <f aca="false">IF(NOT(ISNUMBER($M164)),"",IF($L164="Fine earth / fine-earth volume",$M164*(1-IF(ISNUMBER($K164),$K164,0)/100),$M164))</f>
        <v/>
      </c>
      <c r="P164" s="9" t="str">
        <f aca="false">IF(OR(NOT(ISNUMBER($O164)),NOT(ISNUMBER($N164)),NOT(ISNUMBER($F164))),"",$O164*($N164/100)*$F164*10)</f>
        <v/>
      </c>
      <c r="Q164" s="9" t="str">
        <f aca="false">IF(OR(NOT(ISNUMBER($D164)),NOT(ISNUMBER($E164))),"",MAX(0,MIN($E164,SOIL_REPORTING_DEPTH_CM)-MIN($D164,SOIL_REPORTING_DEPTH_CM)))</f>
        <v/>
      </c>
      <c r="R164" s="9" t="str">
        <f aca="false">IF(OR(NOT(ISNUMBER($O164)),NOT(ISNUMBER($N164)),NOT(ISNUMBER($Q164))),"",$O164*($N164/100)*$Q164*10)</f>
        <v/>
      </c>
      <c r="S164" s="11" t="str">
        <f aca="false">IF(AND($A164="",$B164="",$D164=""),"",IF(AND($A164&lt;&gt;"",COUNTIF('1. Plot &amp; Site Log'!$A$5:$A$64,$A164)=0),"Plot ID not in the Plot &amp; Site Log. ","")&amp;IF(AND(ISNUMBER($D164),ISNUMBER($E164),$E164&lt;=$D164),"Bottom depth is not below top depth. ","")&amp;IF($L164="Not confirmed","Bulk-density basis not confirmed with the lab — the coarse-fragment correction may be wrong or doubled. ","")&amp;IF(LAB_BULK_DENSITY_BASIS="Not confirmed","No lab bulk-density basis is on file in Settings (LAB_BULK_DENSITY_BASIS), so nothing checks this row. ","")&amp;IF(AND($L164&lt;&gt;"",LAB_BULK_DENSITY_BASIS&lt;&gt;"Not confirmed",$L164&lt;&gt;LAB_BULK_DENSITY_BASIS),"This row's bulk-density basis disagrees with the lab method on file. One of "&amp;"the two is wrong, and the coarse-fragment correction follows the row. ","")&amp;IF(AND(ISNUMBER($M164),OR($M164&lt;QC_BD_MIN,$M164&gt;QC_BD_MAX)),"Bulk density outside the plausible range for a mineral grassland soil. ","")&amp;IF(AND(ISNUMBER($N164),$N164&gt;QC_CARBON_PCT_MAX),"Organic carbon above the QC ceiling — check units, and whether this is an organic horizon. ","")&amp;IF(AND(ISNUMBER($J164),$J164&lt;QC_RECOVERY_MIN),"Recovered less than the QC minimum of the depth driven — the increments may not sit where you think. Do NOT stretch them back out. ","")&amp;IF(AND(ISNUMBER($K164),$K164&gt;0,$L164="Fine earth / total volume"),"Coarse fragments recorded and the lab basis already accounts for them — no further correction applied, which is correct. ",""))</f>
        <v/>
      </c>
      <c r="T164" s="6"/>
      <c r="U164" s="9" t="n">
        <f aca="false">IF($B164="",0,IF(COUNTIFS($B$5:$B164,$B164)=1,1,0))</f>
        <v>0</v>
      </c>
    </row>
    <row r="165" customFormat="false" ht="15" hidden="false" customHeight="false" outlineLevel="0" collapsed="false">
      <c r="A165" s="6"/>
      <c r="B165" s="6"/>
      <c r="C165" s="6"/>
      <c r="D165" s="6"/>
      <c r="E165" s="6"/>
      <c r="F165" s="9" t="str">
        <f aca="false">IF(OR($D165="",$E165=""),"",$E165-$D165)</f>
        <v/>
      </c>
      <c r="G165" s="6"/>
      <c r="H165" s="6"/>
      <c r="I165" s="6"/>
      <c r="J165" s="9" t="str">
        <f aca="false">IF(OR(NOT(ISNUMBER($H165)),NOT(ISNUMBER($I165)),$H165=0),"",$I165/$H165)</f>
        <v/>
      </c>
      <c r="K165" s="6"/>
      <c r="L165" s="8"/>
      <c r="M165" s="7"/>
      <c r="N165" s="7"/>
      <c r="O165" s="9" t="str">
        <f aca="false">IF(NOT(ISNUMBER($M165)),"",IF($L165="Fine earth / fine-earth volume",$M165*(1-IF(ISNUMBER($K165),$K165,0)/100),$M165))</f>
        <v/>
      </c>
      <c r="P165" s="9" t="str">
        <f aca="false">IF(OR(NOT(ISNUMBER($O165)),NOT(ISNUMBER($N165)),NOT(ISNUMBER($F165))),"",$O165*($N165/100)*$F165*10)</f>
        <v/>
      </c>
      <c r="Q165" s="9" t="str">
        <f aca="false">IF(OR(NOT(ISNUMBER($D165)),NOT(ISNUMBER($E165))),"",MAX(0,MIN($E165,SOIL_REPORTING_DEPTH_CM)-MIN($D165,SOIL_REPORTING_DEPTH_CM)))</f>
        <v/>
      </c>
      <c r="R165" s="9" t="str">
        <f aca="false">IF(OR(NOT(ISNUMBER($O165)),NOT(ISNUMBER($N165)),NOT(ISNUMBER($Q165))),"",$O165*($N165/100)*$Q165*10)</f>
        <v/>
      </c>
      <c r="S165" s="11" t="str">
        <f aca="false">IF(AND($A165="",$B165="",$D165=""),"",IF(AND($A165&lt;&gt;"",COUNTIF('1. Plot &amp; Site Log'!$A$5:$A$64,$A165)=0),"Plot ID not in the Plot &amp; Site Log. ","")&amp;IF(AND(ISNUMBER($D165),ISNUMBER($E165),$E165&lt;=$D165),"Bottom depth is not below top depth. ","")&amp;IF($L165="Not confirmed","Bulk-density basis not confirmed with the lab — the coarse-fragment correction may be wrong or doubled. ","")&amp;IF(LAB_BULK_DENSITY_BASIS="Not confirmed","No lab bulk-density basis is on file in Settings (LAB_BULK_DENSITY_BASIS), so nothing checks this row. ","")&amp;IF(AND($L165&lt;&gt;"",LAB_BULK_DENSITY_BASIS&lt;&gt;"Not confirmed",$L165&lt;&gt;LAB_BULK_DENSITY_BASIS),"This row's bulk-density basis disagrees with the lab method on file. One of "&amp;"the two is wrong, and the coarse-fragment correction follows the row. ","")&amp;IF(AND(ISNUMBER($M165),OR($M165&lt;QC_BD_MIN,$M165&gt;QC_BD_MAX)),"Bulk density outside the plausible range for a mineral grassland soil. ","")&amp;IF(AND(ISNUMBER($N165),$N165&gt;QC_CARBON_PCT_MAX),"Organic carbon above the QC ceiling — check units, and whether this is an organic horizon. ","")&amp;IF(AND(ISNUMBER($J165),$J165&lt;QC_RECOVERY_MIN),"Recovered less than the QC minimum of the depth driven — the increments may not sit where you think. Do NOT stretch them back out. ","")&amp;IF(AND(ISNUMBER($K165),$K165&gt;0,$L165="Fine earth / total volume"),"Coarse fragments recorded and the lab basis already accounts for them — no further correction applied, which is correct. ",""))</f>
        <v/>
      </c>
      <c r="T165" s="6"/>
      <c r="U165" s="9" t="n">
        <f aca="false">IF($B165="",0,IF(COUNTIFS($B$5:$B165,$B165)=1,1,0))</f>
        <v>0</v>
      </c>
    </row>
    <row r="166" customFormat="false" ht="15" hidden="false" customHeight="false" outlineLevel="0" collapsed="false">
      <c r="A166" s="6"/>
      <c r="B166" s="6"/>
      <c r="C166" s="6"/>
      <c r="D166" s="6"/>
      <c r="E166" s="6"/>
      <c r="F166" s="9" t="str">
        <f aca="false">IF(OR($D166="",$E166=""),"",$E166-$D166)</f>
        <v/>
      </c>
      <c r="G166" s="6"/>
      <c r="H166" s="6"/>
      <c r="I166" s="6"/>
      <c r="J166" s="9" t="str">
        <f aca="false">IF(OR(NOT(ISNUMBER($H166)),NOT(ISNUMBER($I166)),$H166=0),"",$I166/$H166)</f>
        <v/>
      </c>
      <c r="K166" s="6"/>
      <c r="L166" s="8"/>
      <c r="M166" s="7"/>
      <c r="N166" s="7"/>
      <c r="O166" s="9" t="str">
        <f aca="false">IF(NOT(ISNUMBER($M166)),"",IF($L166="Fine earth / fine-earth volume",$M166*(1-IF(ISNUMBER($K166),$K166,0)/100),$M166))</f>
        <v/>
      </c>
      <c r="P166" s="9" t="str">
        <f aca="false">IF(OR(NOT(ISNUMBER($O166)),NOT(ISNUMBER($N166)),NOT(ISNUMBER($F166))),"",$O166*($N166/100)*$F166*10)</f>
        <v/>
      </c>
      <c r="Q166" s="9" t="str">
        <f aca="false">IF(OR(NOT(ISNUMBER($D166)),NOT(ISNUMBER($E166))),"",MAX(0,MIN($E166,SOIL_REPORTING_DEPTH_CM)-MIN($D166,SOIL_REPORTING_DEPTH_CM)))</f>
        <v/>
      </c>
      <c r="R166" s="9" t="str">
        <f aca="false">IF(OR(NOT(ISNUMBER($O166)),NOT(ISNUMBER($N166)),NOT(ISNUMBER($Q166))),"",$O166*($N166/100)*$Q166*10)</f>
        <v/>
      </c>
      <c r="S166" s="11" t="str">
        <f aca="false">IF(AND($A166="",$B166="",$D166=""),"",IF(AND($A166&lt;&gt;"",COUNTIF('1. Plot &amp; Site Log'!$A$5:$A$64,$A166)=0),"Plot ID not in the Plot &amp; Site Log. ","")&amp;IF(AND(ISNUMBER($D166),ISNUMBER($E166),$E166&lt;=$D166),"Bottom depth is not below top depth. ","")&amp;IF($L166="Not confirmed","Bulk-density basis not confirmed with the lab — the coarse-fragment correction may be wrong or doubled. ","")&amp;IF(LAB_BULK_DENSITY_BASIS="Not confirmed","No lab bulk-density basis is on file in Settings (LAB_BULK_DENSITY_BASIS), so nothing checks this row. ","")&amp;IF(AND($L166&lt;&gt;"",LAB_BULK_DENSITY_BASIS&lt;&gt;"Not confirmed",$L166&lt;&gt;LAB_BULK_DENSITY_BASIS),"This row's bulk-density basis disagrees with the lab method on file. One of "&amp;"the two is wrong, and the coarse-fragment correction follows the row. ","")&amp;IF(AND(ISNUMBER($M166),OR($M166&lt;QC_BD_MIN,$M166&gt;QC_BD_MAX)),"Bulk density outside the plausible range for a mineral grassland soil. ","")&amp;IF(AND(ISNUMBER($N166),$N166&gt;QC_CARBON_PCT_MAX),"Organic carbon above the QC ceiling — check units, and whether this is an organic horizon. ","")&amp;IF(AND(ISNUMBER($J166),$J166&lt;QC_RECOVERY_MIN),"Recovered less than the QC minimum of the depth driven — the increments may not sit where you think. Do NOT stretch them back out. ","")&amp;IF(AND(ISNUMBER($K166),$K166&gt;0,$L166="Fine earth / total volume"),"Coarse fragments recorded and the lab basis already accounts for them — no further correction applied, which is correct. ",""))</f>
        <v/>
      </c>
      <c r="T166" s="6"/>
      <c r="U166" s="9" t="n">
        <f aca="false">IF($B166="",0,IF(COUNTIFS($B$5:$B166,$B166)=1,1,0))</f>
        <v>0</v>
      </c>
    </row>
    <row r="167" customFormat="false" ht="15" hidden="false" customHeight="false" outlineLevel="0" collapsed="false">
      <c r="A167" s="6"/>
      <c r="B167" s="6"/>
      <c r="C167" s="6"/>
      <c r="D167" s="6"/>
      <c r="E167" s="6"/>
      <c r="F167" s="9" t="str">
        <f aca="false">IF(OR($D167="",$E167=""),"",$E167-$D167)</f>
        <v/>
      </c>
      <c r="G167" s="6"/>
      <c r="H167" s="6"/>
      <c r="I167" s="6"/>
      <c r="J167" s="9" t="str">
        <f aca="false">IF(OR(NOT(ISNUMBER($H167)),NOT(ISNUMBER($I167)),$H167=0),"",$I167/$H167)</f>
        <v/>
      </c>
      <c r="K167" s="6"/>
      <c r="L167" s="8"/>
      <c r="M167" s="7"/>
      <c r="N167" s="7"/>
      <c r="O167" s="9" t="str">
        <f aca="false">IF(NOT(ISNUMBER($M167)),"",IF($L167="Fine earth / fine-earth volume",$M167*(1-IF(ISNUMBER($K167),$K167,0)/100),$M167))</f>
        <v/>
      </c>
      <c r="P167" s="9" t="str">
        <f aca="false">IF(OR(NOT(ISNUMBER($O167)),NOT(ISNUMBER($N167)),NOT(ISNUMBER($F167))),"",$O167*($N167/100)*$F167*10)</f>
        <v/>
      </c>
      <c r="Q167" s="9" t="str">
        <f aca="false">IF(OR(NOT(ISNUMBER($D167)),NOT(ISNUMBER($E167))),"",MAX(0,MIN($E167,SOIL_REPORTING_DEPTH_CM)-MIN($D167,SOIL_REPORTING_DEPTH_CM)))</f>
        <v/>
      </c>
      <c r="R167" s="9" t="str">
        <f aca="false">IF(OR(NOT(ISNUMBER($O167)),NOT(ISNUMBER($N167)),NOT(ISNUMBER($Q167))),"",$O167*($N167/100)*$Q167*10)</f>
        <v/>
      </c>
      <c r="S167" s="11" t="str">
        <f aca="false">IF(AND($A167="",$B167="",$D167=""),"",IF(AND($A167&lt;&gt;"",COUNTIF('1. Plot &amp; Site Log'!$A$5:$A$64,$A167)=0),"Plot ID not in the Plot &amp; Site Log. ","")&amp;IF(AND(ISNUMBER($D167),ISNUMBER($E167),$E167&lt;=$D167),"Bottom depth is not below top depth. ","")&amp;IF($L167="Not confirmed","Bulk-density basis not confirmed with the lab — the coarse-fragment correction may be wrong or doubled. ","")&amp;IF(LAB_BULK_DENSITY_BASIS="Not confirmed","No lab bulk-density basis is on file in Settings (LAB_BULK_DENSITY_BASIS), so nothing checks this row. ","")&amp;IF(AND($L167&lt;&gt;"",LAB_BULK_DENSITY_BASIS&lt;&gt;"Not confirmed",$L167&lt;&gt;LAB_BULK_DENSITY_BASIS),"This row's bulk-density basis disagrees with the lab method on file. One of "&amp;"the two is wrong, and the coarse-fragment correction follows the row. ","")&amp;IF(AND(ISNUMBER($M167),OR($M167&lt;QC_BD_MIN,$M167&gt;QC_BD_MAX)),"Bulk density outside the plausible range for a mineral grassland soil. ","")&amp;IF(AND(ISNUMBER($N167),$N167&gt;QC_CARBON_PCT_MAX),"Organic carbon above the QC ceiling — check units, and whether this is an organic horizon. ","")&amp;IF(AND(ISNUMBER($J167),$J167&lt;QC_RECOVERY_MIN),"Recovered less than the QC minimum of the depth driven — the increments may not sit where you think. Do NOT stretch them back out. ","")&amp;IF(AND(ISNUMBER($K167),$K167&gt;0,$L167="Fine earth / total volume"),"Coarse fragments recorded and the lab basis already accounts for them — no further correction applied, which is correct. ",""))</f>
        <v/>
      </c>
      <c r="T167" s="6"/>
      <c r="U167" s="9" t="n">
        <f aca="false">IF($B167="",0,IF(COUNTIFS($B$5:$B167,$B167)=1,1,0))</f>
        <v>0</v>
      </c>
    </row>
    <row r="168" customFormat="false" ht="15" hidden="false" customHeight="false" outlineLevel="0" collapsed="false">
      <c r="A168" s="6"/>
      <c r="B168" s="6"/>
      <c r="C168" s="6"/>
      <c r="D168" s="6"/>
      <c r="E168" s="6"/>
      <c r="F168" s="9" t="str">
        <f aca="false">IF(OR($D168="",$E168=""),"",$E168-$D168)</f>
        <v/>
      </c>
      <c r="G168" s="6"/>
      <c r="H168" s="6"/>
      <c r="I168" s="6"/>
      <c r="J168" s="9" t="str">
        <f aca="false">IF(OR(NOT(ISNUMBER($H168)),NOT(ISNUMBER($I168)),$H168=0),"",$I168/$H168)</f>
        <v/>
      </c>
      <c r="K168" s="6"/>
      <c r="L168" s="8"/>
      <c r="M168" s="7"/>
      <c r="N168" s="7"/>
      <c r="O168" s="9" t="str">
        <f aca="false">IF(NOT(ISNUMBER($M168)),"",IF($L168="Fine earth / fine-earth volume",$M168*(1-IF(ISNUMBER($K168),$K168,0)/100),$M168))</f>
        <v/>
      </c>
      <c r="P168" s="9" t="str">
        <f aca="false">IF(OR(NOT(ISNUMBER($O168)),NOT(ISNUMBER($N168)),NOT(ISNUMBER($F168))),"",$O168*($N168/100)*$F168*10)</f>
        <v/>
      </c>
      <c r="Q168" s="9" t="str">
        <f aca="false">IF(OR(NOT(ISNUMBER($D168)),NOT(ISNUMBER($E168))),"",MAX(0,MIN($E168,SOIL_REPORTING_DEPTH_CM)-MIN($D168,SOIL_REPORTING_DEPTH_CM)))</f>
        <v/>
      </c>
      <c r="R168" s="9" t="str">
        <f aca="false">IF(OR(NOT(ISNUMBER($O168)),NOT(ISNUMBER($N168)),NOT(ISNUMBER($Q168))),"",$O168*($N168/100)*$Q168*10)</f>
        <v/>
      </c>
      <c r="S168" s="11" t="str">
        <f aca="false">IF(AND($A168="",$B168="",$D168=""),"",IF(AND($A168&lt;&gt;"",COUNTIF('1. Plot &amp; Site Log'!$A$5:$A$64,$A168)=0),"Plot ID not in the Plot &amp; Site Log. ","")&amp;IF(AND(ISNUMBER($D168),ISNUMBER($E168),$E168&lt;=$D168),"Bottom depth is not below top depth. ","")&amp;IF($L168="Not confirmed","Bulk-density basis not confirmed with the lab — the coarse-fragment correction may be wrong or doubled. ","")&amp;IF(LAB_BULK_DENSITY_BASIS="Not confirmed","No lab bulk-density basis is on file in Settings (LAB_BULK_DENSITY_BASIS), so nothing checks this row. ","")&amp;IF(AND($L168&lt;&gt;"",LAB_BULK_DENSITY_BASIS&lt;&gt;"Not confirmed",$L168&lt;&gt;LAB_BULK_DENSITY_BASIS),"This row's bulk-density basis disagrees with the lab method on file. One of "&amp;"the two is wrong, and the coarse-fragment correction follows the row. ","")&amp;IF(AND(ISNUMBER($M168),OR($M168&lt;QC_BD_MIN,$M168&gt;QC_BD_MAX)),"Bulk density outside the plausible range for a mineral grassland soil. ","")&amp;IF(AND(ISNUMBER($N168),$N168&gt;QC_CARBON_PCT_MAX),"Organic carbon above the QC ceiling — check units, and whether this is an organic horizon. ","")&amp;IF(AND(ISNUMBER($J168),$J168&lt;QC_RECOVERY_MIN),"Recovered less than the QC minimum of the depth driven — the increments may not sit where you think. Do NOT stretch them back out. ","")&amp;IF(AND(ISNUMBER($K168),$K168&gt;0,$L168="Fine earth / total volume"),"Coarse fragments recorded and the lab basis already accounts for them — no further correction applied, which is correct. ",""))</f>
        <v/>
      </c>
      <c r="T168" s="6"/>
      <c r="U168" s="9" t="n">
        <f aca="false">IF($B168="",0,IF(COUNTIFS($B$5:$B168,$B168)=1,1,0))</f>
        <v>0</v>
      </c>
    </row>
    <row r="169" customFormat="false" ht="15" hidden="false" customHeight="false" outlineLevel="0" collapsed="false">
      <c r="A169" s="6"/>
      <c r="B169" s="6"/>
      <c r="C169" s="6"/>
      <c r="D169" s="6"/>
      <c r="E169" s="6"/>
      <c r="F169" s="9" t="str">
        <f aca="false">IF(OR($D169="",$E169=""),"",$E169-$D169)</f>
        <v/>
      </c>
      <c r="G169" s="6"/>
      <c r="H169" s="6"/>
      <c r="I169" s="6"/>
      <c r="J169" s="9" t="str">
        <f aca="false">IF(OR(NOT(ISNUMBER($H169)),NOT(ISNUMBER($I169)),$H169=0),"",$I169/$H169)</f>
        <v/>
      </c>
      <c r="K169" s="6"/>
      <c r="L169" s="8"/>
      <c r="M169" s="7"/>
      <c r="N169" s="7"/>
      <c r="O169" s="9" t="str">
        <f aca="false">IF(NOT(ISNUMBER($M169)),"",IF($L169="Fine earth / fine-earth volume",$M169*(1-IF(ISNUMBER($K169),$K169,0)/100),$M169))</f>
        <v/>
      </c>
      <c r="P169" s="9" t="str">
        <f aca="false">IF(OR(NOT(ISNUMBER($O169)),NOT(ISNUMBER($N169)),NOT(ISNUMBER($F169))),"",$O169*($N169/100)*$F169*10)</f>
        <v/>
      </c>
      <c r="Q169" s="9" t="str">
        <f aca="false">IF(OR(NOT(ISNUMBER($D169)),NOT(ISNUMBER($E169))),"",MAX(0,MIN($E169,SOIL_REPORTING_DEPTH_CM)-MIN($D169,SOIL_REPORTING_DEPTH_CM)))</f>
        <v/>
      </c>
      <c r="R169" s="9" t="str">
        <f aca="false">IF(OR(NOT(ISNUMBER($O169)),NOT(ISNUMBER($N169)),NOT(ISNUMBER($Q169))),"",$O169*($N169/100)*$Q169*10)</f>
        <v/>
      </c>
      <c r="S169" s="11" t="str">
        <f aca="false">IF(AND($A169="",$B169="",$D169=""),"",IF(AND($A169&lt;&gt;"",COUNTIF('1. Plot &amp; Site Log'!$A$5:$A$64,$A169)=0),"Plot ID not in the Plot &amp; Site Log. ","")&amp;IF(AND(ISNUMBER($D169),ISNUMBER($E169),$E169&lt;=$D169),"Bottom depth is not below top depth. ","")&amp;IF($L169="Not confirmed","Bulk-density basis not confirmed with the lab — the coarse-fragment correction may be wrong or doubled. ","")&amp;IF(LAB_BULK_DENSITY_BASIS="Not confirmed","No lab bulk-density basis is on file in Settings (LAB_BULK_DENSITY_BASIS), so nothing checks this row. ","")&amp;IF(AND($L169&lt;&gt;"",LAB_BULK_DENSITY_BASIS&lt;&gt;"Not confirmed",$L169&lt;&gt;LAB_BULK_DENSITY_BASIS),"This row's bulk-density basis disagrees with the lab method on file. One of "&amp;"the two is wrong, and the coarse-fragment correction follows the row. ","")&amp;IF(AND(ISNUMBER($M169),OR($M169&lt;QC_BD_MIN,$M169&gt;QC_BD_MAX)),"Bulk density outside the plausible range for a mineral grassland soil. ","")&amp;IF(AND(ISNUMBER($N169),$N169&gt;QC_CARBON_PCT_MAX),"Organic carbon above the QC ceiling — check units, and whether this is an organic horizon. ","")&amp;IF(AND(ISNUMBER($J169),$J169&lt;QC_RECOVERY_MIN),"Recovered less than the QC minimum of the depth driven — the increments may not sit where you think. Do NOT stretch them back out. ","")&amp;IF(AND(ISNUMBER($K169),$K169&gt;0,$L169="Fine earth / total volume"),"Coarse fragments recorded and the lab basis already accounts for them — no further correction applied, which is correct. ",""))</f>
        <v/>
      </c>
      <c r="T169" s="6"/>
      <c r="U169" s="9" t="n">
        <f aca="false">IF($B169="",0,IF(COUNTIFS($B$5:$B169,$B169)=1,1,0))</f>
        <v>0</v>
      </c>
    </row>
    <row r="170" customFormat="false" ht="15" hidden="false" customHeight="false" outlineLevel="0" collapsed="false">
      <c r="A170" s="6"/>
      <c r="B170" s="6"/>
      <c r="C170" s="6"/>
      <c r="D170" s="6"/>
      <c r="E170" s="6"/>
      <c r="F170" s="9" t="str">
        <f aca="false">IF(OR($D170="",$E170=""),"",$E170-$D170)</f>
        <v/>
      </c>
      <c r="G170" s="6"/>
      <c r="H170" s="6"/>
      <c r="I170" s="6"/>
      <c r="J170" s="9" t="str">
        <f aca="false">IF(OR(NOT(ISNUMBER($H170)),NOT(ISNUMBER($I170)),$H170=0),"",$I170/$H170)</f>
        <v/>
      </c>
      <c r="K170" s="6"/>
      <c r="L170" s="8"/>
      <c r="M170" s="7"/>
      <c r="N170" s="7"/>
      <c r="O170" s="9" t="str">
        <f aca="false">IF(NOT(ISNUMBER($M170)),"",IF($L170="Fine earth / fine-earth volume",$M170*(1-IF(ISNUMBER($K170),$K170,0)/100),$M170))</f>
        <v/>
      </c>
      <c r="P170" s="9" t="str">
        <f aca="false">IF(OR(NOT(ISNUMBER($O170)),NOT(ISNUMBER($N170)),NOT(ISNUMBER($F170))),"",$O170*($N170/100)*$F170*10)</f>
        <v/>
      </c>
      <c r="Q170" s="9" t="str">
        <f aca="false">IF(OR(NOT(ISNUMBER($D170)),NOT(ISNUMBER($E170))),"",MAX(0,MIN($E170,SOIL_REPORTING_DEPTH_CM)-MIN($D170,SOIL_REPORTING_DEPTH_CM)))</f>
        <v/>
      </c>
      <c r="R170" s="9" t="str">
        <f aca="false">IF(OR(NOT(ISNUMBER($O170)),NOT(ISNUMBER($N170)),NOT(ISNUMBER($Q170))),"",$O170*($N170/100)*$Q170*10)</f>
        <v/>
      </c>
      <c r="S170" s="11" t="str">
        <f aca="false">IF(AND($A170="",$B170="",$D170=""),"",IF(AND($A170&lt;&gt;"",COUNTIF('1. Plot &amp; Site Log'!$A$5:$A$64,$A170)=0),"Plot ID not in the Plot &amp; Site Log. ","")&amp;IF(AND(ISNUMBER($D170),ISNUMBER($E170),$E170&lt;=$D170),"Bottom depth is not below top depth. ","")&amp;IF($L170="Not confirmed","Bulk-density basis not confirmed with the lab — the coarse-fragment correction may be wrong or doubled. ","")&amp;IF(LAB_BULK_DENSITY_BASIS="Not confirmed","No lab bulk-density basis is on file in Settings (LAB_BULK_DENSITY_BASIS), so nothing checks this row. ","")&amp;IF(AND($L170&lt;&gt;"",LAB_BULK_DENSITY_BASIS&lt;&gt;"Not confirmed",$L170&lt;&gt;LAB_BULK_DENSITY_BASIS),"This row's bulk-density basis disagrees with the lab method on file. One of "&amp;"the two is wrong, and the coarse-fragment correction follows the row. ","")&amp;IF(AND(ISNUMBER($M170),OR($M170&lt;QC_BD_MIN,$M170&gt;QC_BD_MAX)),"Bulk density outside the plausible range for a mineral grassland soil. ","")&amp;IF(AND(ISNUMBER($N170),$N170&gt;QC_CARBON_PCT_MAX),"Organic carbon above the QC ceiling — check units, and whether this is an organic horizon. ","")&amp;IF(AND(ISNUMBER($J170),$J170&lt;QC_RECOVERY_MIN),"Recovered less than the QC minimum of the depth driven — the increments may not sit where you think. Do NOT stretch them back out. ","")&amp;IF(AND(ISNUMBER($K170),$K170&gt;0,$L170="Fine earth / total volume"),"Coarse fragments recorded and the lab basis already accounts for them — no further correction applied, which is correct. ",""))</f>
        <v/>
      </c>
      <c r="T170" s="6"/>
      <c r="U170" s="9" t="n">
        <f aca="false">IF($B170="",0,IF(COUNTIFS($B$5:$B170,$B170)=1,1,0))</f>
        <v>0</v>
      </c>
    </row>
    <row r="171" customFormat="false" ht="15" hidden="false" customHeight="false" outlineLevel="0" collapsed="false">
      <c r="A171" s="6"/>
      <c r="B171" s="6"/>
      <c r="C171" s="6"/>
      <c r="D171" s="6"/>
      <c r="E171" s="6"/>
      <c r="F171" s="9" t="str">
        <f aca="false">IF(OR($D171="",$E171=""),"",$E171-$D171)</f>
        <v/>
      </c>
      <c r="G171" s="6"/>
      <c r="H171" s="6"/>
      <c r="I171" s="6"/>
      <c r="J171" s="9" t="str">
        <f aca="false">IF(OR(NOT(ISNUMBER($H171)),NOT(ISNUMBER($I171)),$H171=0),"",$I171/$H171)</f>
        <v/>
      </c>
      <c r="K171" s="6"/>
      <c r="L171" s="8"/>
      <c r="M171" s="7"/>
      <c r="N171" s="7"/>
      <c r="O171" s="9" t="str">
        <f aca="false">IF(NOT(ISNUMBER($M171)),"",IF($L171="Fine earth / fine-earth volume",$M171*(1-IF(ISNUMBER($K171),$K171,0)/100),$M171))</f>
        <v/>
      </c>
      <c r="P171" s="9" t="str">
        <f aca="false">IF(OR(NOT(ISNUMBER($O171)),NOT(ISNUMBER($N171)),NOT(ISNUMBER($F171))),"",$O171*($N171/100)*$F171*10)</f>
        <v/>
      </c>
      <c r="Q171" s="9" t="str">
        <f aca="false">IF(OR(NOT(ISNUMBER($D171)),NOT(ISNUMBER($E171))),"",MAX(0,MIN($E171,SOIL_REPORTING_DEPTH_CM)-MIN($D171,SOIL_REPORTING_DEPTH_CM)))</f>
        <v/>
      </c>
      <c r="R171" s="9" t="str">
        <f aca="false">IF(OR(NOT(ISNUMBER($O171)),NOT(ISNUMBER($N171)),NOT(ISNUMBER($Q171))),"",$O171*($N171/100)*$Q171*10)</f>
        <v/>
      </c>
      <c r="S171" s="11" t="str">
        <f aca="false">IF(AND($A171="",$B171="",$D171=""),"",IF(AND($A171&lt;&gt;"",COUNTIF('1. Plot &amp; Site Log'!$A$5:$A$64,$A171)=0),"Plot ID not in the Plot &amp; Site Log. ","")&amp;IF(AND(ISNUMBER($D171),ISNUMBER($E171),$E171&lt;=$D171),"Bottom depth is not below top depth. ","")&amp;IF($L171="Not confirmed","Bulk-density basis not confirmed with the lab — the coarse-fragment correction may be wrong or doubled. ","")&amp;IF(LAB_BULK_DENSITY_BASIS="Not confirmed","No lab bulk-density basis is on file in Settings (LAB_BULK_DENSITY_BASIS), so nothing checks this row. ","")&amp;IF(AND($L171&lt;&gt;"",LAB_BULK_DENSITY_BASIS&lt;&gt;"Not confirmed",$L171&lt;&gt;LAB_BULK_DENSITY_BASIS),"This row's bulk-density basis disagrees with the lab method on file. One of "&amp;"the two is wrong, and the coarse-fragment correction follows the row. ","")&amp;IF(AND(ISNUMBER($M171),OR($M171&lt;QC_BD_MIN,$M171&gt;QC_BD_MAX)),"Bulk density outside the plausible range for a mineral grassland soil. ","")&amp;IF(AND(ISNUMBER($N171),$N171&gt;QC_CARBON_PCT_MAX),"Organic carbon above the QC ceiling — check units, and whether this is an organic horizon. ","")&amp;IF(AND(ISNUMBER($J171),$J171&lt;QC_RECOVERY_MIN),"Recovered less than the QC minimum of the depth driven — the increments may not sit where you think. Do NOT stretch them back out. ","")&amp;IF(AND(ISNUMBER($K171),$K171&gt;0,$L171="Fine earth / total volume"),"Coarse fragments recorded and the lab basis already accounts for them — no further correction applied, which is correct. ",""))</f>
        <v/>
      </c>
      <c r="T171" s="6"/>
      <c r="U171" s="9" t="n">
        <f aca="false">IF($B171="",0,IF(COUNTIFS($B$5:$B171,$B171)=1,1,0))</f>
        <v>0</v>
      </c>
    </row>
    <row r="172" customFormat="false" ht="15" hidden="false" customHeight="false" outlineLevel="0" collapsed="false">
      <c r="A172" s="6"/>
      <c r="B172" s="6"/>
      <c r="C172" s="6"/>
      <c r="D172" s="6"/>
      <c r="E172" s="6"/>
      <c r="F172" s="9" t="str">
        <f aca="false">IF(OR($D172="",$E172=""),"",$E172-$D172)</f>
        <v/>
      </c>
      <c r="G172" s="6"/>
      <c r="H172" s="6"/>
      <c r="I172" s="6"/>
      <c r="J172" s="9" t="str">
        <f aca="false">IF(OR(NOT(ISNUMBER($H172)),NOT(ISNUMBER($I172)),$H172=0),"",$I172/$H172)</f>
        <v/>
      </c>
      <c r="K172" s="6"/>
      <c r="L172" s="8"/>
      <c r="M172" s="7"/>
      <c r="N172" s="7"/>
      <c r="O172" s="9" t="str">
        <f aca="false">IF(NOT(ISNUMBER($M172)),"",IF($L172="Fine earth / fine-earth volume",$M172*(1-IF(ISNUMBER($K172),$K172,0)/100),$M172))</f>
        <v/>
      </c>
      <c r="P172" s="9" t="str">
        <f aca="false">IF(OR(NOT(ISNUMBER($O172)),NOT(ISNUMBER($N172)),NOT(ISNUMBER($F172))),"",$O172*($N172/100)*$F172*10)</f>
        <v/>
      </c>
      <c r="Q172" s="9" t="str">
        <f aca="false">IF(OR(NOT(ISNUMBER($D172)),NOT(ISNUMBER($E172))),"",MAX(0,MIN($E172,SOIL_REPORTING_DEPTH_CM)-MIN($D172,SOIL_REPORTING_DEPTH_CM)))</f>
        <v/>
      </c>
      <c r="R172" s="9" t="str">
        <f aca="false">IF(OR(NOT(ISNUMBER($O172)),NOT(ISNUMBER($N172)),NOT(ISNUMBER($Q172))),"",$O172*($N172/100)*$Q172*10)</f>
        <v/>
      </c>
      <c r="S172" s="11" t="str">
        <f aca="false">IF(AND($A172="",$B172="",$D172=""),"",IF(AND($A172&lt;&gt;"",COUNTIF('1. Plot &amp; Site Log'!$A$5:$A$64,$A172)=0),"Plot ID not in the Plot &amp; Site Log. ","")&amp;IF(AND(ISNUMBER($D172),ISNUMBER($E172),$E172&lt;=$D172),"Bottom depth is not below top depth. ","")&amp;IF($L172="Not confirmed","Bulk-density basis not confirmed with the lab — the coarse-fragment correction may be wrong or doubled. ","")&amp;IF(LAB_BULK_DENSITY_BASIS="Not confirmed","No lab bulk-density basis is on file in Settings (LAB_BULK_DENSITY_BASIS), so nothing checks this row. ","")&amp;IF(AND($L172&lt;&gt;"",LAB_BULK_DENSITY_BASIS&lt;&gt;"Not confirmed",$L172&lt;&gt;LAB_BULK_DENSITY_BASIS),"This row's bulk-density basis disagrees with the lab method on file. One of "&amp;"the two is wrong, and the coarse-fragment correction follows the row. ","")&amp;IF(AND(ISNUMBER($M172),OR($M172&lt;QC_BD_MIN,$M172&gt;QC_BD_MAX)),"Bulk density outside the plausible range for a mineral grassland soil. ","")&amp;IF(AND(ISNUMBER($N172),$N172&gt;QC_CARBON_PCT_MAX),"Organic carbon above the QC ceiling — check units, and whether this is an organic horizon. ","")&amp;IF(AND(ISNUMBER($J172),$J172&lt;QC_RECOVERY_MIN),"Recovered less than the QC minimum of the depth driven — the increments may not sit where you think. Do NOT stretch them back out. ","")&amp;IF(AND(ISNUMBER($K172),$K172&gt;0,$L172="Fine earth / total volume"),"Coarse fragments recorded and the lab basis already accounts for them — no further correction applied, which is correct. ",""))</f>
        <v/>
      </c>
      <c r="T172" s="6"/>
      <c r="U172" s="9" t="n">
        <f aca="false">IF($B172="",0,IF(COUNTIFS($B$5:$B172,$B172)=1,1,0))</f>
        <v>0</v>
      </c>
    </row>
    <row r="173" customFormat="false" ht="15" hidden="false" customHeight="false" outlineLevel="0" collapsed="false">
      <c r="A173" s="6"/>
      <c r="B173" s="6"/>
      <c r="C173" s="6"/>
      <c r="D173" s="6"/>
      <c r="E173" s="6"/>
      <c r="F173" s="9" t="str">
        <f aca="false">IF(OR($D173="",$E173=""),"",$E173-$D173)</f>
        <v/>
      </c>
      <c r="G173" s="6"/>
      <c r="H173" s="6"/>
      <c r="I173" s="6"/>
      <c r="J173" s="9" t="str">
        <f aca="false">IF(OR(NOT(ISNUMBER($H173)),NOT(ISNUMBER($I173)),$H173=0),"",$I173/$H173)</f>
        <v/>
      </c>
      <c r="K173" s="6"/>
      <c r="L173" s="8"/>
      <c r="M173" s="7"/>
      <c r="N173" s="7"/>
      <c r="O173" s="9" t="str">
        <f aca="false">IF(NOT(ISNUMBER($M173)),"",IF($L173="Fine earth / fine-earth volume",$M173*(1-IF(ISNUMBER($K173),$K173,0)/100),$M173))</f>
        <v/>
      </c>
      <c r="P173" s="9" t="str">
        <f aca="false">IF(OR(NOT(ISNUMBER($O173)),NOT(ISNUMBER($N173)),NOT(ISNUMBER($F173))),"",$O173*($N173/100)*$F173*10)</f>
        <v/>
      </c>
      <c r="Q173" s="9" t="str">
        <f aca="false">IF(OR(NOT(ISNUMBER($D173)),NOT(ISNUMBER($E173))),"",MAX(0,MIN($E173,SOIL_REPORTING_DEPTH_CM)-MIN($D173,SOIL_REPORTING_DEPTH_CM)))</f>
        <v/>
      </c>
      <c r="R173" s="9" t="str">
        <f aca="false">IF(OR(NOT(ISNUMBER($O173)),NOT(ISNUMBER($N173)),NOT(ISNUMBER($Q173))),"",$O173*($N173/100)*$Q173*10)</f>
        <v/>
      </c>
      <c r="S173" s="11" t="str">
        <f aca="false">IF(AND($A173="",$B173="",$D173=""),"",IF(AND($A173&lt;&gt;"",COUNTIF('1. Plot &amp; Site Log'!$A$5:$A$64,$A173)=0),"Plot ID not in the Plot &amp; Site Log. ","")&amp;IF(AND(ISNUMBER($D173),ISNUMBER($E173),$E173&lt;=$D173),"Bottom depth is not below top depth. ","")&amp;IF($L173="Not confirmed","Bulk-density basis not confirmed with the lab — the coarse-fragment correction may be wrong or doubled. ","")&amp;IF(LAB_BULK_DENSITY_BASIS="Not confirmed","No lab bulk-density basis is on file in Settings (LAB_BULK_DENSITY_BASIS), so nothing checks this row. ","")&amp;IF(AND($L173&lt;&gt;"",LAB_BULK_DENSITY_BASIS&lt;&gt;"Not confirmed",$L173&lt;&gt;LAB_BULK_DENSITY_BASIS),"This row's bulk-density basis disagrees with the lab method on file. One of "&amp;"the two is wrong, and the coarse-fragment correction follows the row. ","")&amp;IF(AND(ISNUMBER($M173),OR($M173&lt;QC_BD_MIN,$M173&gt;QC_BD_MAX)),"Bulk density outside the plausible range for a mineral grassland soil. ","")&amp;IF(AND(ISNUMBER($N173),$N173&gt;QC_CARBON_PCT_MAX),"Organic carbon above the QC ceiling — check units, and whether this is an organic horizon. ","")&amp;IF(AND(ISNUMBER($J173),$J173&lt;QC_RECOVERY_MIN),"Recovered less than the QC minimum of the depth driven — the increments may not sit where you think. Do NOT stretch them back out. ","")&amp;IF(AND(ISNUMBER($K173),$K173&gt;0,$L173="Fine earth / total volume"),"Coarse fragments recorded and the lab basis already accounts for them — no further correction applied, which is correct. ",""))</f>
        <v/>
      </c>
      <c r="T173" s="6"/>
      <c r="U173" s="9" t="n">
        <f aca="false">IF($B173="",0,IF(COUNTIFS($B$5:$B173,$B173)=1,1,0))</f>
        <v>0</v>
      </c>
    </row>
    <row r="174" customFormat="false" ht="15" hidden="false" customHeight="false" outlineLevel="0" collapsed="false">
      <c r="A174" s="6"/>
      <c r="B174" s="6"/>
      <c r="C174" s="6"/>
      <c r="D174" s="6"/>
      <c r="E174" s="6"/>
      <c r="F174" s="9" t="str">
        <f aca="false">IF(OR($D174="",$E174=""),"",$E174-$D174)</f>
        <v/>
      </c>
      <c r="G174" s="6"/>
      <c r="H174" s="6"/>
      <c r="I174" s="6"/>
      <c r="J174" s="9" t="str">
        <f aca="false">IF(OR(NOT(ISNUMBER($H174)),NOT(ISNUMBER($I174)),$H174=0),"",$I174/$H174)</f>
        <v/>
      </c>
      <c r="K174" s="6"/>
      <c r="L174" s="8"/>
      <c r="M174" s="7"/>
      <c r="N174" s="7"/>
      <c r="O174" s="9" t="str">
        <f aca="false">IF(NOT(ISNUMBER($M174)),"",IF($L174="Fine earth / fine-earth volume",$M174*(1-IF(ISNUMBER($K174),$K174,0)/100),$M174))</f>
        <v/>
      </c>
      <c r="P174" s="9" t="str">
        <f aca="false">IF(OR(NOT(ISNUMBER($O174)),NOT(ISNUMBER($N174)),NOT(ISNUMBER($F174))),"",$O174*($N174/100)*$F174*10)</f>
        <v/>
      </c>
      <c r="Q174" s="9" t="str">
        <f aca="false">IF(OR(NOT(ISNUMBER($D174)),NOT(ISNUMBER($E174))),"",MAX(0,MIN($E174,SOIL_REPORTING_DEPTH_CM)-MIN($D174,SOIL_REPORTING_DEPTH_CM)))</f>
        <v/>
      </c>
      <c r="R174" s="9" t="str">
        <f aca="false">IF(OR(NOT(ISNUMBER($O174)),NOT(ISNUMBER($N174)),NOT(ISNUMBER($Q174))),"",$O174*($N174/100)*$Q174*10)</f>
        <v/>
      </c>
      <c r="S174" s="11" t="str">
        <f aca="false">IF(AND($A174="",$B174="",$D174=""),"",IF(AND($A174&lt;&gt;"",COUNTIF('1. Plot &amp; Site Log'!$A$5:$A$64,$A174)=0),"Plot ID not in the Plot &amp; Site Log. ","")&amp;IF(AND(ISNUMBER($D174),ISNUMBER($E174),$E174&lt;=$D174),"Bottom depth is not below top depth. ","")&amp;IF($L174="Not confirmed","Bulk-density basis not confirmed with the lab — the coarse-fragment correction may be wrong or doubled. ","")&amp;IF(LAB_BULK_DENSITY_BASIS="Not confirmed","No lab bulk-density basis is on file in Settings (LAB_BULK_DENSITY_BASIS), so nothing checks this row. ","")&amp;IF(AND($L174&lt;&gt;"",LAB_BULK_DENSITY_BASIS&lt;&gt;"Not confirmed",$L174&lt;&gt;LAB_BULK_DENSITY_BASIS),"This row's bulk-density basis disagrees with the lab method on file. One of "&amp;"the two is wrong, and the coarse-fragment correction follows the row. ","")&amp;IF(AND(ISNUMBER($M174),OR($M174&lt;QC_BD_MIN,$M174&gt;QC_BD_MAX)),"Bulk density outside the plausible range for a mineral grassland soil. ","")&amp;IF(AND(ISNUMBER($N174),$N174&gt;QC_CARBON_PCT_MAX),"Organic carbon above the QC ceiling — check units, and whether this is an organic horizon. ","")&amp;IF(AND(ISNUMBER($J174),$J174&lt;QC_RECOVERY_MIN),"Recovered less than the QC minimum of the depth driven — the increments may not sit where you think. Do NOT stretch them back out. ","")&amp;IF(AND(ISNUMBER($K174),$K174&gt;0,$L174="Fine earth / total volume"),"Coarse fragments recorded and the lab basis already accounts for them — no further correction applied, which is correct. ",""))</f>
        <v/>
      </c>
      <c r="T174" s="6"/>
      <c r="U174" s="9" t="n">
        <f aca="false">IF($B174="",0,IF(COUNTIFS($B$5:$B174,$B174)=1,1,0))</f>
        <v>0</v>
      </c>
    </row>
    <row r="175" customFormat="false" ht="15" hidden="false" customHeight="false" outlineLevel="0" collapsed="false">
      <c r="A175" s="6"/>
      <c r="B175" s="6"/>
      <c r="C175" s="6"/>
      <c r="D175" s="6"/>
      <c r="E175" s="6"/>
      <c r="F175" s="9" t="str">
        <f aca="false">IF(OR($D175="",$E175=""),"",$E175-$D175)</f>
        <v/>
      </c>
      <c r="G175" s="6"/>
      <c r="H175" s="6"/>
      <c r="I175" s="6"/>
      <c r="J175" s="9" t="str">
        <f aca="false">IF(OR(NOT(ISNUMBER($H175)),NOT(ISNUMBER($I175)),$H175=0),"",$I175/$H175)</f>
        <v/>
      </c>
      <c r="K175" s="6"/>
      <c r="L175" s="8"/>
      <c r="M175" s="7"/>
      <c r="N175" s="7"/>
      <c r="O175" s="9" t="str">
        <f aca="false">IF(NOT(ISNUMBER($M175)),"",IF($L175="Fine earth / fine-earth volume",$M175*(1-IF(ISNUMBER($K175),$K175,0)/100),$M175))</f>
        <v/>
      </c>
      <c r="P175" s="9" t="str">
        <f aca="false">IF(OR(NOT(ISNUMBER($O175)),NOT(ISNUMBER($N175)),NOT(ISNUMBER($F175))),"",$O175*($N175/100)*$F175*10)</f>
        <v/>
      </c>
      <c r="Q175" s="9" t="str">
        <f aca="false">IF(OR(NOT(ISNUMBER($D175)),NOT(ISNUMBER($E175))),"",MAX(0,MIN($E175,SOIL_REPORTING_DEPTH_CM)-MIN($D175,SOIL_REPORTING_DEPTH_CM)))</f>
        <v/>
      </c>
      <c r="R175" s="9" t="str">
        <f aca="false">IF(OR(NOT(ISNUMBER($O175)),NOT(ISNUMBER($N175)),NOT(ISNUMBER($Q175))),"",$O175*($N175/100)*$Q175*10)</f>
        <v/>
      </c>
      <c r="S175" s="11" t="str">
        <f aca="false">IF(AND($A175="",$B175="",$D175=""),"",IF(AND($A175&lt;&gt;"",COUNTIF('1. Plot &amp; Site Log'!$A$5:$A$64,$A175)=0),"Plot ID not in the Plot &amp; Site Log. ","")&amp;IF(AND(ISNUMBER($D175),ISNUMBER($E175),$E175&lt;=$D175),"Bottom depth is not below top depth. ","")&amp;IF($L175="Not confirmed","Bulk-density basis not confirmed with the lab — the coarse-fragment correction may be wrong or doubled. ","")&amp;IF(LAB_BULK_DENSITY_BASIS="Not confirmed","No lab bulk-density basis is on file in Settings (LAB_BULK_DENSITY_BASIS), so nothing checks this row. ","")&amp;IF(AND($L175&lt;&gt;"",LAB_BULK_DENSITY_BASIS&lt;&gt;"Not confirmed",$L175&lt;&gt;LAB_BULK_DENSITY_BASIS),"This row's bulk-density basis disagrees with the lab method on file. One of "&amp;"the two is wrong, and the coarse-fragment correction follows the row. ","")&amp;IF(AND(ISNUMBER($M175),OR($M175&lt;QC_BD_MIN,$M175&gt;QC_BD_MAX)),"Bulk density outside the plausible range for a mineral grassland soil. ","")&amp;IF(AND(ISNUMBER($N175),$N175&gt;QC_CARBON_PCT_MAX),"Organic carbon above the QC ceiling — check units, and whether this is an organic horizon. ","")&amp;IF(AND(ISNUMBER($J175),$J175&lt;QC_RECOVERY_MIN),"Recovered less than the QC minimum of the depth driven — the increments may not sit where you think. Do NOT stretch them back out. ","")&amp;IF(AND(ISNUMBER($K175),$K175&gt;0,$L175="Fine earth / total volume"),"Coarse fragments recorded and the lab basis already accounts for them — no further correction applied, which is correct. ",""))</f>
        <v/>
      </c>
      <c r="T175" s="6"/>
      <c r="U175" s="9" t="n">
        <f aca="false">IF($B175="",0,IF(COUNTIFS($B$5:$B175,$B175)=1,1,0))</f>
        <v>0</v>
      </c>
    </row>
    <row r="176" customFormat="false" ht="15" hidden="false" customHeight="false" outlineLevel="0" collapsed="false">
      <c r="A176" s="6"/>
      <c r="B176" s="6"/>
      <c r="C176" s="6"/>
      <c r="D176" s="6"/>
      <c r="E176" s="6"/>
      <c r="F176" s="9" t="str">
        <f aca="false">IF(OR($D176="",$E176=""),"",$E176-$D176)</f>
        <v/>
      </c>
      <c r="G176" s="6"/>
      <c r="H176" s="6"/>
      <c r="I176" s="6"/>
      <c r="J176" s="9" t="str">
        <f aca="false">IF(OR(NOT(ISNUMBER($H176)),NOT(ISNUMBER($I176)),$H176=0),"",$I176/$H176)</f>
        <v/>
      </c>
      <c r="K176" s="6"/>
      <c r="L176" s="8"/>
      <c r="M176" s="7"/>
      <c r="N176" s="7"/>
      <c r="O176" s="9" t="str">
        <f aca="false">IF(NOT(ISNUMBER($M176)),"",IF($L176="Fine earth / fine-earth volume",$M176*(1-IF(ISNUMBER($K176),$K176,0)/100),$M176))</f>
        <v/>
      </c>
      <c r="P176" s="9" t="str">
        <f aca="false">IF(OR(NOT(ISNUMBER($O176)),NOT(ISNUMBER($N176)),NOT(ISNUMBER($F176))),"",$O176*($N176/100)*$F176*10)</f>
        <v/>
      </c>
      <c r="Q176" s="9" t="str">
        <f aca="false">IF(OR(NOT(ISNUMBER($D176)),NOT(ISNUMBER($E176))),"",MAX(0,MIN($E176,SOIL_REPORTING_DEPTH_CM)-MIN($D176,SOIL_REPORTING_DEPTH_CM)))</f>
        <v/>
      </c>
      <c r="R176" s="9" t="str">
        <f aca="false">IF(OR(NOT(ISNUMBER($O176)),NOT(ISNUMBER($N176)),NOT(ISNUMBER($Q176))),"",$O176*($N176/100)*$Q176*10)</f>
        <v/>
      </c>
      <c r="S176" s="11" t="str">
        <f aca="false">IF(AND($A176="",$B176="",$D176=""),"",IF(AND($A176&lt;&gt;"",COUNTIF('1. Plot &amp; Site Log'!$A$5:$A$64,$A176)=0),"Plot ID not in the Plot &amp; Site Log. ","")&amp;IF(AND(ISNUMBER($D176),ISNUMBER($E176),$E176&lt;=$D176),"Bottom depth is not below top depth. ","")&amp;IF($L176="Not confirmed","Bulk-density basis not confirmed with the lab — the coarse-fragment correction may be wrong or doubled. ","")&amp;IF(LAB_BULK_DENSITY_BASIS="Not confirmed","No lab bulk-density basis is on file in Settings (LAB_BULK_DENSITY_BASIS), so nothing checks this row. ","")&amp;IF(AND($L176&lt;&gt;"",LAB_BULK_DENSITY_BASIS&lt;&gt;"Not confirmed",$L176&lt;&gt;LAB_BULK_DENSITY_BASIS),"This row's bulk-density basis disagrees with the lab method on file. One of "&amp;"the two is wrong, and the coarse-fragment correction follows the row. ","")&amp;IF(AND(ISNUMBER($M176),OR($M176&lt;QC_BD_MIN,$M176&gt;QC_BD_MAX)),"Bulk density outside the plausible range for a mineral grassland soil. ","")&amp;IF(AND(ISNUMBER($N176),$N176&gt;QC_CARBON_PCT_MAX),"Organic carbon above the QC ceiling — check units, and whether this is an organic horizon. ","")&amp;IF(AND(ISNUMBER($J176),$J176&lt;QC_RECOVERY_MIN),"Recovered less than the QC minimum of the depth driven — the increments may not sit where you think. Do NOT stretch them back out. ","")&amp;IF(AND(ISNUMBER($K176),$K176&gt;0,$L176="Fine earth / total volume"),"Coarse fragments recorded and the lab basis already accounts for them — no further correction applied, which is correct. ",""))</f>
        <v/>
      </c>
      <c r="T176" s="6"/>
      <c r="U176" s="9" t="n">
        <f aca="false">IF($B176="",0,IF(COUNTIFS($B$5:$B176,$B176)=1,1,0))</f>
        <v>0</v>
      </c>
    </row>
    <row r="177" customFormat="false" ht="15" hidden="false" customHeight="false" outlineLevel="0" collapsed="false">
      <c r="A177" s="6"/>
      <c r="B177" s="6"/>
      <c r="C177" s="6"/>
      <c r="D177" s="6"/>
      <c r="E177" s="6"/>
      <c r="F177" s="9" t="str">
        <f aca="false">IF(OR($D177="",$E177=""),"",$E177-$D177)</f>
        <v/>
      </c>
      <c r="G177" s="6"/>
      <c r="H177" s="6"/>
      <c r="I177" s="6"/>
      <c r="J177" s="9" t="str">
        <f aca="false">IF(OR(NOT(ISNUMBER($H177)),NOT(ISNUMBER($I177)),$H177=0),"",$I177/$H177)</f>
        <v/>
      </c>
      <c r="K177" s="6"/>
      <c r="L177" s="8"/>
      <c r="M177" s="7"/>
      <c r="N177" s="7"/>
      <c r="O177" s="9" t="str">
        <f aca="false">IF(NOT(ISNUMBER($M177)),"",IF($L177="Fine earth / fine-earth volume",$M177*(1-IF(ISNUMBER($K177),$K177,0)/100),$M177))</f>
        <v/>
      </c>
      <c r="P177" s="9" t="str">
        <f aca="false">IF(OR(NOT(ISNUMBER($O177)),NOT(ISNUMBER($N177)),NOT(ISNUMBER($F177))),"",$O177*($N177/100)*$F177*10)</f>
        <v/>
      </c>
      <c r="Q177" s="9" t="str">
        <f aca="false">IF(OR(NOT(ISNUMBER($D177)),NOT(ISNUMBER($E177))),"",MAX(0,MIN($E177,SOIL_REPORTING_DEPTH_CM)-MIN($D177,SOIL_REPORTING_DEPTH_CM)))</f>
        <v/>
      </c>
      <c r="R177" s="9" t="str">
        <f aca="false">IF(OR(NOT(ISNUMBER($O177)),NOT(ISNUMBER($N177)),NOT(ISNUMBER($Q177))),"",$O177*($N177/100)*$Q177*10)</f>
        <v/>
      </c>
      <c r="S177" s="11" t="str">
        <f aca="false">IF(AND($A177="",$B177="",$D177=""),"",IF(AND($A177&lt;&gt;"",COUNTIF('1. Plot &amp; Site Log'!$A$5:$A$64,$A177)=0),"Plot ID not in the Plot &amp; Site Log. ","")&amp;IF(AND(ISNUMBER($D177),ISNUMBER($E177),$E177&lt;=$D177),"Bottom depth is not below top depth. ","")&amp;IF($L177="Not confirmed","Bulk-density basis not confirmed with the lab — the coarse-fragment correction may be wrong or doubled. ","")&amp;IF(LAB_BULK_DENSITY_BASIS="Not confirmed","No lab bulk-density basis is on file in Settings (LAB_BULK_DENSITY_BASIS), so nothing checks this row. ","")&amp;IF(AND($L177&lt;&gt;"",LAB_BULK_DENSITY_BASIS&lt;&gt;"Not confirmed",$L177&lt;&gt;LAB_BULK_DENSITY_BASIS),"This row's bulk-density basis disagrees with the lab method on file. One of "&amp;"the two is wrong, and the coarse-fragment correction follows the row. ","")&amp;IF(AND(ISNUMBER($M177),OR($M177&lt;QC_BD_MIN,$M177&gt;QC_BD_MAX)),"Bulk density outside the plausible range for a mineral grassland soil. ","")&amp;IF(AND(ISNUMBER($N177),$N177&gt;QC_CARBON_PCT_MAX),"Organic carbon above the QC ceiling — check units, and whether this is an organic horizon. ","")&amp;IF(AND(ISNUMBER($J177),$J177&lt;QC_RECOVERY_MIN),"Recovered less than the QC minimum of the depth driven — the increments may not sit where you think. Do NOT stretch them back out. ","")&amp;IF(AND(ISNUMBER($K177),$K177&gt;0,$L177="Fine earth / total volume"),"Coarse fragments recorded and the lab basis already accounts for them — no further correction applied, which is correct. ",""))</f>
        <v/>
      </c>
      <c r="T177" s="6"/>
      <c r="U177" s="9" t="n">
        <f aca="false">IF($B177="",0,IF(COUNTIFS($B$5:$B177,$B177)=1,1,0))</f>
        <v>0</v>
      </c>
    </row>
    <row r="178" customFormat="false" ht="15" hidden="false" customHeight="false" outlineLevel="0" collapsed="false">
      <c r="A178" s="6"/>
      <c r="B178" s="6"/>
      <c r="C178" s="6"/>
      <c r="D178" s="6"/>
      <c r="E178" s="6"/>
      <c r="F178" s="9" t="str">
        <f aca="false">IF(OR($D178="",$E178=""),"",$E178-$D178)</f>
        <v/>
      </c>
      <c r="G178" s="6"/>
      <c r="H178" s="6"/>
      <c r="I178" s="6"/>
      <c r="J178" s="9" t="str">
        <f aca="false">IF(OR(NOT(ISNUMBER($H178)),NOT(ISNUMBER($I178)),$H178=0),"",$I178/$H178)</f>
        <v/>
      </c>
      <c r="K178" s="6"/>
      <c r="L178" s="8"/>
      <c r="M178" s="7"/>
      <c r="N178" s="7"/>
      <c r="O178" s="9" t="str">
        <f aca="false">IF(NOT(ISNUMBER($M178)),"",IF($L178="Fine earth / fine-earth volume",$M178*(1-IF(ISNUMBER($K178),$K178,0)/100),$M178))</f>
        <v/>
      </c>
      <c r="P178" s="9" t="str">
        <f aca="false">IF(OR(NOT(ISNUMBER($O178)),NOT(ISNUMBER($N178)),NOT(ISNUMBER($F178))),"",$O178*($N178/100)*$F178*10)</f>
        <v/>
      </c>
      <c r="Q178" s="9" t="str">
        <f aca="false">IF(OR(NOT(ISNUMBER($D178)),NOT(ISNUMBER($E178))),"",MAX(0,MIN($E178,SOIL_REPORTING_DEPTH_CM)-MIN($D178,SOIL_REPORTING_DEPTH_CM)))</f>
        <v/>
      </c>
      <c r="R178" s="9" t="str">
        <f aca="false">IF(OR(NOT(ISNUMBER($O178)),NOT(ISNUMBER($N178)),NOT(ISNUMBER($Q178))),"",$O178*($N178/100)*$Q178*10)</f>
        <v/>
      </c>
      <c r="S178" s="11" t="str">
        <f aca="false">IF(AND($A178="",$B178="",$D178=""),"",IF(AND($A178&lt;&gt;"",COUNTIF('1. Plot &amp; Site Log'!$A$5:$A$64,$A178)=0),"Plot ID not in the Plot &amp; Site Log. ","")&amp;IF(AND(ISNUMBER($D178),ISNUMBER($E178),$E178&lt;=$D178),"Bottom depth is not below top depth. ","")&amp;IF($L178="Not confirmed","Bulk-density basis not confirmed with the lab — the coarse-fragment correction may be wrong or doubled. ","")&amp;IF(LAB_BULK_DENSITY_BASIS="Not confirmed","No lab bulk-density basis is on file in Settings (LAB_BULK_DENSITY_BASIS), so nothing checks this row. ","")&amp;IF(AND($L178&lt;&gt;"",LAB_BULK_DENSITY_BASIS&lt;&gt;"Not confirmed",$L178&lt;&gt;LAB_BULK_DENSITY_BASIS),"This row's bulk-density basis disagrees with the lab method on file. One of "&amp;"the two is wrong, and the coarse-fragment correction follows the row. ","")&amp;IF(AND(ISNUMBER($M178),OR($M178&lt;QC_BD_MIN,$M178&gt;QC_BD_MAX)),"Bulk density outside the plausible range for a mineral grassland soil. ","")&amp;IF(AND(ISNUMBER($N178),$N178&gt;QC_CARBON_PCT_MAX),"Organic carbon above the QC ceiling — check units, and whether this is an organic horizon. ","")&amp;IF(AND(ISNUMBER($J178),$J178&lt;QC_RECOVERY_MIN),"Recovered less than the QC minimum of the depth driven — the increments may not sit where you think. Do NOT stretch them back out. ","")&amp;IF(AND(ISNUMBER($K178),$K178&gt;0,$L178="Fine earth / total volume"),"Coarse fragments recorded and the lab basis already accounts for them — no further correction applied, which is correct. ",""))</f>
        <v/>
      </c>
      <c r="T178" s="6"/>
      <c r="U178" s="9" t="n">
        <f aca="false">IF($B178="",0,IF(COUNTIFS($B$5:$B178,$B178)=1,1,0))</f>
        <v>0</v>
      </c>
    </row>
    <row r="179" customFormat="false" ht="15" hidden="false" customHeight="false" outlineLevel="0" collapsed="false">
      <c r="A179" s="6"/>
      <c r="B179" s="6"/>
      <c r="C179" s="6"/>
      <c r="D179" s="6"/>
      <c r="E179" s="6"/>
      <c r="F179" s="9" t="str">
        <f aca="false">IF(OR($D179="",$E179=""),"",$E179-$D179)</f>
        <v/>
      </c>
      <c r="G179" s="6"/>
      <c r="H179" s="6"/>
      <c r="I179" s="6"/>
      <c r="J179" s="9" t="str">
        <f aca="false">IF(OR(NOT(ISNUMBER($H179)),NOT(ISNUMBER($I179)),$H179=0),"",$I179/$H179)</f>
        <v/>
      </c>
      <c r="K179" s="6"/>
      <c r="L179" s="8"/>
      <c r="M179" s="7"/>
      <c r="N179" s="7"/>
      <c r="O179" s="9" t="str">
        <f aca="false">IF(NOT(ISNUMBER($M179)),"",IF($L179="Fine earth / fine-earth volume",$M179*(1-IF(ISNUMBER($K179),$K179,0)/100),$M179))</f>
        <v/>
      </c>
      <c r="P179" s="9" t="str">
        <f aca="false">IF(OR(NOT(ISNUMBER($O179)),NOT(ISNUMBER($N179)),NOT(ISNUMBER($F179))),"",$O179*($N179/100)*$F179*10)</f>
        <v/>
      </c>
      <c r="Q179" s="9" t="str">
        <f aca="false">IF(OR(NOT(ISNUMBER($D179)),NOT(ISNUMBER($E179))),"",MAX(0,MIN($E179,SOIL_REPORTING_DEPTH_CM)-MIN($D179,SOIL_REPORTING_DEPTH_CM)))</f>
        <v/>
      </c>
      <c r="R179" s="9" t="str">
        <f aca="false">IF(OR(NOT(ISNUMBER($O179)),NOT(ISNUMBER($N179)),NOT(ISNUMBER($Q179))),"",$O179*($N179/100)*$Q179*10)</f>
        <v/>
      </c>
      <c r="S179" s="11" t="str">
        <f aca="false">IF(AND($A179="",$B179="",$D179=""),"",IF(AND($A179&lt;&gt;"",COUNTIF('1. Plot &amp; Site Log'!$A$5:$A$64,$A179)=0),"Plot ID not in the Plot &amp; Site Log. ","")&amp;IF(AND(ISNUMBER($D179),ISNUMBER($E179),$E179&lt;=$D179),"Bottom depth is not below top depth. ","")&amp;IF($L179="Not confirmed","Bulk-density basis not confirmed with the lab — the coarse-fragment correction may be wrong or doubled. ","")&amp;IF(LAB_BULK_DENSITY_BASIS="Not confirmed","No lab bulk-density basis is on file in Settings (LAB_BULK_DENSITY_BASIS), so nothing checks this row. ","")&amp;IF(AND($L179&lt;&gt;"",LAB_BULK_DENSITY_BASIS&lt;&gt;"Not confirmed",$L179&lt;&gt;LAB_BULK_DENSITY_BASIS),"This row's bulk-density basis disagrees with the lab method on file. One of "&amp;"the two is wrong, and the coarse-fragment correction follows the row. ","")&amp;IF(AND(ISNUMBER($M179),OR($M179&lt;QC_BD_MIN,$M179&gt;QC_BD_MAX)),"Bulk density outside the plausible range for a mineral grassland soil. ","")&amp;IF(AND(ISNUMBER($N179),$N179&gt;QC_CARBON_PCT_MAX),"Organic carbon above the QC ceiling — check units, and whether this is an organic horizon. ","")&amp;IF(AND(ISNUMBER($J179),$J179&lt;QC_RECOVERY_MIN),"Recovered less than the QC minimum of the depth driven — the increments may not sit where you think. Do NOT stretch them back out. ","")&amp;IF(AND(ISNUMBER($K179),$K179&gt;0,$L179="Fine earth / total volume"),"Coarse fragments recorded and the lab basis already accounts for them — no further correction applied, which is correct. ",""))</f>
        <v/>
      </c>
      <c r="T179" s="6"/>
      <c r="U179" s="9" t="n">
        <f aca="false">IF($B179="",0,IF(COUNTIFS($B$5:$B179,$B179)=1,1,0))</f>
        <v>0</v>
      </c>
    </row>
    <row r="180" customFormat="false" ht="15" hidden="false" customHeight="false" outlineLevel="0" collapsed="false">
      <c r="A180" s="6"/>
      <c r="B180" s="6"/>
      <c r="C180" s="6"/>
      <c r="D180" s="6"/>
      <c r="E180" s="6"/>
      <c r="F180" s="9" t="str">
        <f aca="false">IF(OR($D180="",$E180=""),"",$E180-$D180)</f>
        <v/>
      </c>
      <c r="G180" s="6"/>
      <c r="H180" s="6"/>
      <c r="I180" s="6"/>
      <c r="J180" s="9" t="str">
        <f aca="false">IF(OR(NOT(ISNUMBER($H180)),NOT(ISNUMBER($I180)),$H180=0),"",$I180/$H180)</f>
        <v/>
      </c>
      <c r="K180" s="6"/>
      <c r="L180" s="8"/>
      <c r="M180" s="7"/>
      <c r="N180" s="7"/>
      <c r="O180" s="9" t="str">
        <f aca="false">IF(NOT(ISNUMBER($M180)),"",IF($L180="Fine earth / fine-earth volume",$M180*(1-IF(ISNUMBER($K180),$K180,0)/100),$M180))</f>
        <v/>
      </c>
      <c r="P180" s="9" t="str">
        <f aca="false">IF(OR(NOT(ISNUMBER($O180)),NOT(ISNUMBER($N180)),NOT(ISNUMBER($F180))),"",$O180*($N180/100)*$F180*10)</f>
        <v/>
      </c>
      <c r="Q180" s="9" t="str">
        <f aca="false">IF(OR(NOT(ISNUMBER($D180)),NOT(ISNUMBER($E180))),"",MAX(0,MIN($E180,SOIL_REPORTING_DEPTH_CM)-MIN($D180,SOIL_REPORTING_DEPTH_CM)))</f>
        <v/>
      </c>
      <c r="R180" s="9" t="str">
        <f aca="false">IF(OR(NOT(ISNUMBER($O180)),NOT(ISNUMBER($N180)),NOT(ISNUMBER($Q180))),"",$O180*($N180/100)*$Q180*10)</f>
        <v/>
      </c>
      <c r="S180" s="11" t="str">
        <f aca="false">IF(AND($A180="",$B180="",$D180=""),"",IF(AND($A180&lt;&gt;"",COUNTIF('1. Plot &amp; Site Log'!$A$5:$A$64,$A180)=0),"Plot ID not in the Plot &amp; Site Log. ","")&amp;IF(AND(ISNUMBER($D180),ISNUMBER($E180),$E180&lt;=$D180),"Bottom depth is not below top depth. ","")&amp;IF($L180="Not confirmed","Bulk-density basis not confirmed with the lab — the coarse-fragment correction may be wrong or doubled. ","")&amp;IF(LAB_BULK_DENSITY_BASIS="Not confirmed","No lab bulk-density basis is on file in Settings (LAB_BULK_DENSITY_BASIS), so nothing checks this row. ","")&amp;IF(AND($L180&lt;&gt;"",LAB_BULK_DENSITY_BASIS&lt;&gt;"Not confirmed",$L180&lt;&gt;LAB_BULK_DENSITY_BASIS),"This row's bulk-density basis disagrees with the lab method on file. One of "&amp;"the two is wrong, and the coarse-fragment correction follows the row. ","")&amp;IF(AND(ISNUMBER($M180),OR($M180&lt;QC_BD_MIN,$M180&gt;QC_BD_MAX)),"Bulk density outside the plausible range for a mineral grassland soil. ","")&amp;IF(AND(ISNUMBER($N180),$N180&gt;QC_CARBON_PCT_MAX),"Organic carbon above the QC ceiling — check units, and whether this is an organic horizon. ","")&amp;IF(AND(ISNUMBER($J180),$J180&lt;QC_RECOVERY_MIN),"Recovered less than the QC minimum of the depth driven — the increments may not sit where you think. Do NOT stretch them back out. ","")&amp;IF(AND(ISNUMBER($K180),$K180&gt;0,$L180="Fine earth / total volume"),"Coarse fragments recorded and the lab basis already accounts for them — no further correction applied, which is correct. ",""))</f>
        <v/>
      </c>
      <c r="T180" s="6"/>
      <c r="U180" s="9" t="n">
        <f aca="false">IF($B180="",0,IF(COUNTIFS($B$5:$B180,$B180)=1,1,0))</f>
        <v>0</v>
      </c>
    </row>
    <row r="181" customFormat="false" ht="15" hidden="false" customHeight="false" outlineLevel="0" collapsed="false">
      <c r="A181" s="6"/>
      <c r="B181" s="6"/>
      <c r="C181" s="6"/>
      <c r="D181" s="6"/>
      <c r="E181" s="6"/>
      <c r="F181" s="9" t="str">
        <f aca="false">IF(OR($D181="",$E181=""),"",$E181-$D181)</f>
        <v/>
      </c>
      <c r="G181" s="6"/>
      <c r="H181" s="6"/>
      <c r="I181" s="6"/>
      <c r="J181" s="9" t="str">
        <f aca="false">IF(OR(NOT(ISNUMBER($H181)),NOT(ISNUMBER($I181)),$H181=0),"",$I181/$H181)</f>
        <v/>
      </c>
      <c r="K181" s="6"/>
      <c r="L181" s="8"/>
      <c r="M181" s="7"/>
      <c r="N181" s="7"/>
      <c r="O181" s="9" t="str">
        <f aca="false">IF(NOT(ISNUMBER($M181)),"",IF($L181="Fine earth / fine-earth volume",$M181*(1-IF(ISNUMBER($K181),$K181,0)/100),$M181))</f>
        <v/>
      </c>
      <c r="P181" s="9" t="str">
        <f aca="false">IF(OR(NOT(ISNUMBER($O181)),NOT(ISNUMBER($N181)),NOT(ISNUMBER($F181))),"",$O181*($N181/100)*$F181*10)</f>
        <v/>
      </c>
      <c r="Q181" s="9" t="str">
        <f aca="false">IF(OR(NOT(ISNUMBER($D181)),NOT(ISNUMBER($E181))),"",MAX(0,MIN($E181,SOIL_REPORTING_DEPTH_CM)-MIN($D181,SOIL_REPORTING_DEPTH_CM)))</f>
        <v/>
      </c>
      <c r="R181" s="9" t="str">
        <f aca="false">IF(OR(NOT(ISNUMBER($O181)),NOT(ISNUMBER($N181)),NOT(ISNUMBER($Q181))),"",$O181*($N181/100)*$Q181*10)</f>
        <v/>
      </c>
      <c r="S181" s="11" t="str">
        <f aca="false">IF(AND($A181="",$B181="",$D181=""),"",IF(AND($A181&lt;&gt;"",COUNTIF('1. Plot &amp; Site Log'!$A$5:$A$64,$A181)=0),"Plot ID not in the Plot &amp; Site Log. ","")&amp;IF(AND(ISNUMBER($D181),ISNUMBER($E181),$E181&lt;=$D181),"Bottom depth is not below top depth. ","")&amp;IF($L181="Not confirmed","Bulk-density basis not confirmed with the lab — the coarse-fragment correction may be wrong or doubled. ","")&amp;IF(LAB_BULK_DENSITY_BASIS="Not confirmed","No lab bulk-density basis is on file in Settings (LAB_BULK_DENSITY_BASIS), so nothing checks this row. ","")&amp;IF(AND($L181&lt;&gt;"",LAB_BULK_DENSITY_BASIS&lt;&gt;"Not confirmed",$L181&lt;&gt;LAB_BULK_DENSITY_BASIS),"This row's bulk-density basis disagrees with the lab method on file. One of "&amp;"the two is wrong, and the coarse-fragment correction follows the row. ","")&amp;IF(AND(ISNUMBER($M181),OR($M181&lt;QC_BD_MIN,$M181&gt;QC_BD_MAX)),"Bulk density outside the plausible range for a mineral grassland soil. ","")&amp;IF(AND(ISNUMBER($N181),$N181&gt;QC_CARBON_PCT_MAX),"Organic carbon above the QC ceiling — check units, and whether this is an organic horizon. ","")&amp;IF(AND(ISNUMBER($J181),$J181&lt;QC_RECOVERY_MIN),"Recovered less than the QC minimum of the depth driven — the increments may not sit where you think. Do NOT stretch them back out. ","")&amp;IF(AND(ISNUMBER($K181),$K181&gt;0,$L181="Fine earth / total volume"),"Coarse fragments recorded and the lab basis already accounts for them — no further correction applied, which is correct. ",""))</f>
        <v/>
      </c>
      <c r="T181" s="6"/>
      <c r="U181" s="9" t="n">
        <f aca="false">IF($B181="",0,IF(COUNTIFS($B$5:$B181,$B181)=1,1,0))</f>
        <v>0</v>
      </c>
    </row>
    <row r="182" customFormat="false" ht="15" hidden="false" customHeight="false" outlineLevel="0" collapsed="false">
      <c r="A182" s="6"/>
      <c r="B182" s="6"/>
      <c r="C182" s="6"/>
      <c r="D182" s="6"/>
      <c r="E182" s="6"/>
      <c r="F182" s="9" t="str">
        <f aca="false">IF(OR($D182="",$E182=""),"",$E182-$D182)</f>
        <v/>
      </c>
      <c r="G182" s="6"/>
      <c r="H182" s="6"/>
      <c r="I182" s="6"/>
      <c r="J182" s="9" t="str">
        <f aca="false">IF(OR(NOT(ISNUMBER($H182)),NOT(ISNUMBER($I182)),$H182=0),"",$I182/$H182)</f>
        <v/>
      </c>
      <c r="K182" s="6"/>
      <c r="L182" s="8"/>
      <c r="M182" s="7"/>
      <c r="N182" s="7"/>
      <c r="O182" s="9" t="str">
        <f aca="false">IF(NOT(ISNUMBER($M182)),"",IF($L182="Fine earth / fine-earth volume",$M182*(1-IF(ISNUMBER($K182),$K182,0)/100),$M182))</f>
        <v/>
      </c>
      <c r="P182" s="9" t="str">
        <f aca="false">IF(OR(NOT(ISNUMBER($O182)),NOT(ISNUMBER($N182)),NOT(ISNUMBER($F182))),"",$O182*($N182/100)*$F182*10)</f>
        <v/>
      </c>
      <c r="Q182" s="9" t="str">
        <f aca="false">IF(OR(NOT(ISNUMBER($D182)),NOT(ISNUMBER($E182))),"",MAX(0,MIN($E182,SOIL_REPORTING_DEPTH_CM)-MIN($D182,SOIL_REPORTING_DEPTH_CM)))</f>
        <v/>
      </c>
      <c r="R182" s="9" t="str">
        <f aca="false">IF(OR(NOT(ISNUMBER($O182)),NOT(ISNUMBER($N182)),NOT(ISNUMBER($Q182))),"",$O182*($N182/100)*$Q182*10)</f>
        <v/>
      </c>
      <c r="S182" s="11" t="str">
        <f aca="false">IF(AND($A182="",$B182="",$D182=""),"",IF(AND($A182&lt;&gt;"",COUNTIF('1. Plot &amp; Site Log'!$A$5:$A$64,$A182)=0),"Plot ID not in the Plot &amp; Site Log. ","")&amp;IF(AND(ISNUMBER($D182),ISNUMBER($E182),$E182&lt;=$D182),"Bottom depth is not below top depth. ","")&amp;IF($L182="Not confirmed","Bulk-density basis not confirmed with the lab — the coarse-fragment correction may be wrong or doubled. ","")&amp;IF(LAB_BULK_DENSITY_BASIS="Not confirmed","No lab bulk-density basis is on file in Settings (LAB_BULK_DENSITY_BASIS), so nothing checks this row. ","")&amp;IF(AND($L182&lt;&gt;"",LAB_BULK_DENSITY_BASIS&lt;&gt;"Not confirmed",$L182&lt;&gt;LAB_BULK_DENSITY_BASIS),"This row's bulk-density basis disagrees with the lab method on file. One of "&amp;"the two is wrong, and the coarse-fragment correction follows the row. ","")&amp;IF(AND(ISNUMBER($M182),OR($M182&lt;QC_BD_MIN,$M182&gt;QC_BD_MAX)),"Bulk density outside the plausible range for a mineral grassland soil. ","")&amp;IF(AND(ISNUMBER($N182),$N182&gt;QC_CARBON_PCT_MAX),"Organic carbon above the QC ceiling — check units, and whether this is an organic horizon. ","")&amp;IF(AND(ISNUMBER($J182),$J182&lt;QC_RECOVERY_MIN),"Recovered less than the QC minimum of the depth driven — the increments may not sit where you think. Do NOT stretch them back out. ","")&amp;IF(AND(ISNUMBER($K182),$K182&gt;0,$L182="Fine earth / total volume"),"Coarse fragments recorded and the lab basis already accounts for them — no further correction applied, which is correct. ",""))</f>
        <v/>
      </c>
      <c r="T182" s="6"/>
      <c r="U182" s="9" t="n">
        <f aca="false">IF($B182="",0,IF(COUNTIFS($B$5:$B182,$B182)=1,1,0))</f>
        <v>0</v>
      </c>
    </row>
    <row r="183" customFormat="false" ht="15" hidden="false" customHeight="false" outlineLevel="0" collapsed="false">
      <c r="A183" s="6"/>
      <c r="B183" s="6"/>
      <c r="C183" s="6"/>
      <c r="D183" s="6"/>
      <c r="E183" s="6"/>
      <c r="F183" s="9" t="str">
        <f aca="false">IF(OR($D183="",$E183=""),"",$E183-$D183)</f>
        <v/>
      </c>
      <c r="G183" s="6"/>
      <c r="H183" s="6"/>
      <c r="I183" s="6"/>
      <c r="J183" s="9" t="str">
        <f aca="false">IF(OR(NOT(ISNUMBER($H183)),NOT(ISNUMBER($I183)),$H183=0),"",$I183/$H183)</f>
        <v/>
      </c>
      <c r="K183" s="6"/>
      <c r="L183" s="8"/>
      <c r="M183" s="7"/>
      <c r="N183" s="7"/>
      <c r="O183" s="9" t="str">
        <f aca="false">IF(NOT(ISNUMBER($M183)),"",IF($L183="Fine earth / fine-earth volume",$M183*(1-IF(ISNUMBER($K183),$K183,0)/100),$M183))</f>
        <v/>
      </c>
      <c r="P183" s="9" t="str">
        <f aca="false">IF(OR(NOT(ISNUMBER($O183)),NOT(ISNUMBER($N183)),NOT(ISNUMBER($F183))),"",$O183*($N183/100)*$F183*10)</f>
        <v/>
      </c>
      <c r="Q183" s="9" t="str">
        <f aca="false">IF(OR(NOT(ISNUMBER($D183)),NOT(ISNUMBER($E183))),"",MAX(0,MIN($E183,SOIL_REPORTING_DEPTH_CM)-MIN($D183,SOIL_REPORTING_DEPTH_CM)))</f>
        <v/>
      </c>
      <c r="R183" s="9" t="str">
        <f aca="false">IF(OR(NOT(ISNUMBER($O183)),NOT(ISNUMBER($N183)),NOT(ISNUMBER($Q183))),"",$O183*($N183/100)*$Q183*10)</f>
        <v/>
      </c>
      <c r="S183" s="11" t="str">
        <f aca="false">IF(AND($A183="",$B183="",$D183=""),"",IF(AND($A183&lt;&gt;"",COUNTIF('1. Plot &amp; Site Log'!$A$5:$A$64,$A183)=0),"Plot ID not in the Plot &amp; Site Log. ","")&amp;IF(AND(ISNUMBER($D183),ISNUMBER($E183),$E183&lt;=$D183),"Bottom depth is not below top depth. ","")&amp;IF($L183="Not confirmed","Bulk-density basis not confirmed with the lab — the coarse-fragment correction may be wrong or doubled. ","")&amp;IF(LAB_BULK_DENSITY_BASIS="Not confirmed","No lab bulk-density basis is on file in Settings (LAB_BULK_DENSITY_BASIS), so nothing checks this row. ","")&amp;IF(AND($L183&lt;&gt;"",LAB_BULK_DENSITY_BASIS&lt;&gt;"Not confirmed",$L183&lt;&gt;LAB_BULK_DENSITY_BASIS),"This row's bulk-density basis disagrees with the lab method on file. One of "&amp;"the two is wrong, and the coarse-fragment correction follows the row. ","")&amp;IF(AND(ISNUMBER($M183),OR($M183&lt;QC_BD_MIN,$M183&gt;QC_BD_MAX)),"Bulk density outside the plausible range for a mineral grassland soil. ","")&amp;IF(AND(ISNUMBER($N183),$N183&gt;QC_CARBON_PCT_MAX),"Organic carbon above the QC ceiling — check units, and whether this is an organic horizon. ","")&amp;IF(AND(ISNUMBER($J183),$J183&lt;QC_RECOVERY_MIN),"Recovered less than the QC minimum of the depth driven — the increments may not sit where you think. Do NOT stretch them back out. ","")&amp;IF(AND(ISNUMBER($K183),$K183&gt;0,$L183="Fine earth / total volume"),"Coarse fragments recorded and the lab basis already accounts for them — no further correction applied, which is correct. ",""))</f>
        <v/>
      </c>
      <c r="T183" s="6"/>
      <c r="U183" s="9" t="n">
        <f aca="false">IF($B183="",0,IF(COUNTIFS($B$5:$B183,$B183)=1,1,0))</f>
        <v>0</v>
      </c>
    </row>
    <row r="184" customFormat="false" ht="15" hidden="false" customHeight="false" outlineLevel="0" collapsed="false">
      <c r="A184" s="6"/>
      <c r="B184" s="6"/>
      <c r="C184" s="6"/>
      <c r="D184" s="6"/>
      <c r="E184" s="6"/>
      <c r="F184" s="9" t="str">
        <f aca="false">IF(OR($D184="",$E184=""),"",$E184-$D184)</f>
        <v/>
      </c>
      <c r="G184" s="6"/>
      <c r="H184" s="6"/>
      <c r="I184" s="6"/>
      <c r="J184" s="9" t="str">
        <f aca="false">IF(OR(NOT(ISNUMBER($H184)),NOT(ISNUMBER($I184)),$H184=0),"",$I184/$H184)</f>
        <v/>
      </c>
      <c r="K184" s="6"/>
      <c r="L184" s="8"/>
      <c r="M184" s="7"/>
      <c r="N184" s="7"/>
      <c r="O184" s="9" t="str">
        <f aca="false">IF(NOT(ISNUMBER($M184)),"",IF($L184="Fine earth / fine-earth volume",$M184*(1-IF(ISNUMBER($K184),$K184,0)/100),$M184))</f>
        <v/>
      </c>
      <c r="P184" s="9" t="str">
        <f aca="false">IF(OR(NOT(ISNUMBER($O184)),NOT(ISNUMBER($N184)),NOT(ISNUMBER($F184))),"",$O184*($N184/100)*$F184*10)</f>
        <v/>
      </c>
      <c r="Q184" s="9" t="str">
        <f aca="false">IF(OR(NOT(ISNUMBER($D184)),NOT(ISNUMBER($E184))),"",MAX(0,MIN($E184,SOIL_REPORTING_DEPTH_CM)-MIN($D184,SOIL_REPORTING_DEPTH_CM)))</f>
        <v/>
      </c>
      <c r="R184" s="9" t="str">
        <f aca="false">IF(OR(NOT(ISNUMBER($O184)),NOT(ISNUMBER($N184)),NOT(ISNUMBER($Q184))),"",$O184*($N184/100)*$Q184*10)</f>
        <v/>
      </c>
      <c r="S184" s="11" t="str">
        <f aca="false">IF(AND($A184="",$B184="",$D184=""),"",IF(AND($A184&lt;&gt;"",COUNTIF('1. Plot &amp; Site Log'!$A$5:$A$64,$A184)=0),"Plot ID not in the Plot &amp; Site Log. ","")&amp;IF(AND(ISNUMBER($D184),ISNUMBER($E184),$E184&lt;=$D184),"Bottom depth is not below top depth. ","")&amp;IF($L184="Not confirmed","Bulk-density basis not confirmed with the lab — the coarse-fragment correction may be wrong or doubled. ","")&amp;IF(LAB_BULK_DENSITY_BASIS="Not confirmed","No lab bulk-density basis is on file in Settings (LAB_BULK_DENSITY_BASIS), so nothing checks this row. ","")&amp;IF(AND($L184&lt;&gt;"",LAB_BULK_DENSITY_BASIS&lt;&gt;"Not confirmed",$L184&lt;&gt;LAB_BULK_DENSITY_BASIS),"This row's bulk-density basis disagrees with the lab method on file. One of "&amp;"the two is wrong, and the coarse-fragment correction follows the row. ","")&amp;IF(AND(ISNUMBER($M184),OR($M184&lt;QC_BD_MIN,$M184&gt;QC_BD_MAX)),"Bulk density outside the plausible range for a mineral grassland soil. ","")&amp;IF(AND(ISNUMBER($N184),$N184&gt;QC_CARBON_PCT_MAX),"Organic carbon above the QC ceiling — check units, and whether this is an organic horizon. ","")&amp;IF(AND(ISNUMBER($J184),$J184&lt;QC_RECOVERY_MIN),"Recovered less than the QC minimum of the depth driven — the increments may not sit where you think. Do NOT stretch them back out. ","")&amp;IF(AND(ISNUMBER($K184),$K184&gt;0,$L184="Fine earth / total volume"),"Coarse fragments recorded and the lab basis already accounts for them — no further correction applied, which is correct. ",""))</f>
        <v/>
      </c>
      <c r="T184" s="6"/>
      <c r="U184" s="9" t="n">
        <f aca="false">IF($B184="",0,IF(COUNTIFS($B$5:$B184,$B184)=1,1,0))</f>
        <v>0</v>
      </c>
    </row>
    <row r="185" customFormat="false" ht="15" hidden="false" customHeight="false" outlineLevel="0" collapsed="false">
      <c r="A185" s="6"/>
      <c r="B185" s="6"/>
      <c r="C185" s="6"/>
      <c r="D185" s="6"/>
      <c r="E185" s="6"/>
      <c r="F185" s="9" t="str">
        <f aca="false">IF(OR($D185="",$E185=""),"",$E185-$D185)</f>
        <v/>
      </c>
      <c r="G185" s="6"/>
      <c r="H185" s="6"/>
      <c r="I185" s="6"/>
      <c r="J185" s="9" t="str">
        <f aca="false">IF(OR(NOT(ISNUMBER($H185)),NOT(ISNUMBER($I185)),$H185=0),"",$I185/$H185)</f>
        <v/>
      </c>
      <c r="K185" s="6"/>
      <c r="L185" s="8"/>
      <c r="M185" s="7"/>
      <c r="N185" s="7"/>
      <c r="O185" s="9" t="str">
        <f aca="false">IF(NOT(ISNUMBER($M185)),"",IF($L185="Fine earth / fine-earth volume",$M185*(1-IF(ISNUMBER($K185),$K185,0)/100),$M185))</f>
        <v/>
      </c>
      <c r="P185" s="9" t="str">
        <f aca="false">IF(OR(NOT(ISNUMBER($O185)),NOT(ISNUMBER($N185)),NOT(ISNUMBER($F185))),"",$O185*($N185/100)*$F185*10)</f>
        <v/>
      </c>
      <c r="Q185" s="9" t="str">
        <f aca="false">IF(OR(NOT(ISNUMBER($D185)),NOT(ISNUMBER($E185))),"",MAX(0,MIN($E185,SOIL_REPORTING_DEPTH_CM)-MIN($D185,SOIL_REPORTING_DEPTH_CM)))</f>
        <v/>
      </c>
      <c r="R185" s="9" t="str">
        <f aca="false">IF(OR(NOT(ISNUMBER($O185)),NOT(ISNUMBER($N185)),NOT(ISNUMBER($Q185))),"",$O185*($N185/100)*$Q185*10)</f>
        <v/>
      </c>
      <c r="S185" s="11" t="str">
        <f aca="false">IF(AND($A185="",$B185="",$D185=""),"",IF(AND($A185&lt;&gt;"",COUNTIF('1. Plot &amp; Site Log'!$A$5:$A$64,$A185)=0),"Plot ID not in the Plot &amp; Site Log. ","")&amp;IF(AND(ISNUMBER($D185),ISNUMBER($E185),$E185&lt;=$D185),"Bottom depth is not below top depth. ","")&amp;IF($L185="Not confirmed","Bulk-density basis not confirmed with the lab — the coarse-fragment correction may be wrong or doubled. ","")&amp;IF(LAB_BULK_DENSITY_BASIS="Not confirmed","No lab bulk-density basis is on file in Settings (LAB_BULK_DENSITY_BASIS), so nothing checks this row. ","")&amp;IF(AND($L185&lt;&gt;"",LAB_BULK_DENSITY_BASIS&lt;&gt;"Not confirmed",$L185&lt;&gt;LAB_BULK_DENSITY_BASIS),"This row's bulk-density basis disagrees with the lab method on file. One of "&amp;"the two is wrong, and the coarse-fragment correction follows the row. ","")&amp;IF(AND(ISNUMBER($M185),OR($M185&lt;QC_BD_MIN,$M185&gt;QC_BD_MAX)),"Bulk density outside the plausible range for a mineral grassland soil. ","")&amp;IF(AND(ISNUMBER($N185),$N185&gt;QC_CARBON_PCT_MAX),"Organic carbon above the QC ceiling — check units, and whether this is an organic horizon. ","")&amp;IF(AND(ISNUMBER($J185),$J185&lt;QC_RECOVERY_MIN),"Recovered less than the QC minimum of the depth driven — the increments may not sit where you think. Do NOT stretch them back out. ","")&amp;IF(AND(ISNUMBER($K185),$K185&gt;0,$L185="Fine earth / total volume"),"Coarse fragments recorded and the lab basis already accounts for them — no further correction applied, which is correct. ",""))</f>
        <v/>
      </c>
      <c r="T185" s="6"/>
      <c r="U185" s="9" t="n">
        <f aca="false">IF($B185="",0,IF(COUNTIFS($B$5:$B185,$B185)=1,1,0))</f>
        <v>0</v>
      </c>
    </row>
    <row r="186" customFormat="false" ht="15" hidden="false" customHeight="false" outlineLevel="0" collapsed="false">
      <c r="A186" s="6"/>
      <c r="B186" s="6"/>
      <c r="C186" s="6"/>
      <c r="D186" s="6"/>
      <c r="E186" s="6"/>
      <c r="F186" s="9" t="str">
        <f aca="false">IF(OR($D186="",$E186=""),"",$E186-$D186)</f>
        <v/>
      </c>
      <c r="G186" s="6"/>
      <c r="H186" s="6"/>
      <c r="I186" s="6"/>
      <c r="J186" s="9" t="str">
        <f aca="false">IF(OR(NOT(ISNUMBER($H186)),NOT(ISNUMBER($I186)),$H186=0),"",$I186/$H186)</f>
        <v/>
      </c>
      <c r="K186" s="6"/>
      <c r="L186" s="8"/>
      <c r="M186" s="7"/>
      <c r="N186" s="7"/>
      <c r="O186" s="9" t="str">
        <f aca="false">IF(NOT(ISNUMBER($M186)),"",IF($L186="Fine earth / fine-earth volume",$M186*(1-IF(ISNUMBER($K186),$K186,0)/100),$M186))</f>
        <v/>
      </c>
      <c r="P186" s="9" t="str">
        <f aca="false">IF(OR(NOT(ISNUMBER($O186)),NOT(ISNUMBER($N186)),NOT(ISNUMBER($F186))),"",$O186*($N186/100)*$F186*10)</f>
        <v/>
      </c>
      <c r="Q186" s="9" t="str">
        <f aca="false">IF(OR(NOT(ISNUMBER($D186)),NOT(ISNUMBER($E186))),"",MAX(0,MIN($E186,SOIL_REPORTING_DEPTH_CM)-MIN($D186,SOIL_REPORTING_DEPTH_CM)))</f>
        <v/>
      </c>
      <c r="R186" s="9" t="str">
        <f aca="false">IF(OR(NOT(ISNUMBER($O186)),NOT(ISNUMBER($N186)),NOT(ISNUMBER($Q186))),"",$O186*($N186/100)*$Q186*10)</f>
        <v/>
      </c>
      <c r="S186" s="11" t="str">
        <f aca="false">IF(AND($A186="",$B186="",$D186=""),"",IF(AND($A186&lt;&gt;"",COUNTIF('1. Plot &amp; Site Log'!$A$5:$A$64,$A186)=0),"Plot ID not in the Plot &amp; Site Log. ","")&amp;IF(AND(ISNUMBER($D186),ISNUMBER($E186),$E186&lt;=$D186),"Bottom depth is not below top depth. ","")&amp;IF($L186="Not confirmed","Bulk-density basis not confirmed with the lab — the coarse-fragment correction may be wrong or doubled. ","")&amp;IF(LAB_BULK_DENSITY_BASIS="Not confirmed","No lab bulk-density basis is on file in Settings (LAB_BULK_DENSITY_BASIS), so nothing checks this row. ","")&amp;IF(AND($L186&lt;&gt;"",LAB_BULK_DENSITY_BASIS&lt;&gt;"Not confirmed",$L186&lt;&gt;LAB_BULK_DENSITY_BASIS),"This row's bulk-density basis disagrees with the lab method on file. One of "&amp;"the two is wrong, and the coarse-fragment correction follows the row. ","")&amp;IF(AND(ISNUMBER($M186),OR($M186&lt;QC_BD_MIN,$M186&gt;QC_BD_MAX)),"Bulk density outside the plausible range for a mineral grassland soil. ","")&amp;IF(AND(ISNUMBER($N186),$N186&gt;QC_CARBON_PCT_MAX),"Organic carbon above the QC ceiling — check units, and whether this is an organic horizon. ","")&amp;IF(AND(ISNUMBER($J186),$J186&lt;QC_RECOVERY_MIN),"Recovered less than the QC minimum of the depth driven — the increments may not sit where you think. Do NOT stretch them back out. ","")&amp;IF(AND(ISNUMBER($K186),$K186&gt;0,$L186="Fine earth / total volume"),"Coarse fragments recorded and the lab basis already accounts for them — no further correction applied, which is correct. ",""))</f>
        <v/>
      </c>
      <c r="T186" s="6"/>
      <c r="U186" s="9" t="n">
        <f aca="false">IF($B186="",0,IF(COUNTIFS($B$5:$B186,$B186)=1,1,0))</f>
        <v>0</v>
      </c>
    </row>
    <row r="187" customFormat="false" ht="15" hidden="false" customHeight="false" outlineLevel="0" collapsed="false">
      <c r="A187" s="6"/>
      <c r="B187" s="6"/>
      <c r="C187" s="6"/>
      <c r="D187" s="6"/>
      <c r="E187" s="6"/>
      <c r="F187" s="9" t="str">
        <f aca="false">IF(OR($D187="",$E187=""),"",$E187-$D187)</f>
        <v/>
      </c>
      <c r="G187" s="6"/>
      <c r="H187" s="6"/>
      <c r="I187" s="6"/>
      <c r="J187" s="9" t="str">
        <f aca="false">IF(OR(NOT(ISNUMBER($H187)),NOT(ISNUMBER($I187)),$H187=0),"",$I187/$H187)</f>
        <v/>
      </c>
      <c r="K187" s="6"/>
      <c r="L187" s="8"/>
      <c r="M187" s="7"/>
      <c r="N187" s="7"/>
      <c r="O187" s="9" t="str">
        <f aca="false">IF(NOT(ISNUMBER($M187)),"",IF($L187="Fine earth / fine-earth volume",$M187*(1-IF(ISNUMBER($K187),$K187,0)/100),$M187))</f>
        <v/>
      </c>
      <c r="P187" s="9" t="str">
        <f aca="false">IF(OR(NOT(ISNUMBER($O187)),NOT(ISNUMBER($N187)),NOT(ISNUMBER($F187))),"",$O187*($N187/100)*$F187*10)</f>
        <v/>
      </c>
      <c r="Q187" s="9" t="str">
        <f aca="false">IF(OR(NOT(ISNUMBER($D187)),NOT(ISNUMBER($E187))),"",MAX(0,MIN($E187,SOIL_REPORTING_DEPTH_CM)-MIN($D187,SOIL_REPORTING_DEPTH_CM)))</f>
        <v/>
      </c>
      <c r="R187" s="9" t="str">
        <f aca="false">IF(OR(NOT(ISNUMBER($O187)),NOT(ISNUMBER($N187)),NOT(ISNUMBER($Q187))),"",$O187*($N187/100)*$Q187*10)</f>
        <v/>
      </c>
      <c r="S187" s="11" t="str">
        <f aca="false">IF(AND($A187="",$B187="",$D187=""),"",IF(AND($A187&lt;&gt;"",COUNTIF('1. Plot &amp; Site Log'!$A$5:$A$64,$A187)=0),"Plot ID not in the Plot &amp; Site Log. ","")&amp;IF(AND(ISNUMBER($D187),ISNUMBER($E187),$E187&lt;=$D187),"Bottom depth is not below top depth. ","")&amp;IF($L187="Not confirmed","Bulk-density basis not confirmed with the lab — the coarse-fragment correction may be wrong or doubled. ","")&amp;IF(LAB_BULK_DENSITY_BASIS="Not confirmed","No lab bulk-density basis is on file in Settings (LAB_BULK_DENSITY_BASIS), so nothing checks this row. ","")&amp;IF(AND($L187&lt;&gt;"",LAB_BULK_DENSITY_BASIS&lt;&gt;"Not confirmed",$L187&lt;&gt;LAB_BULK_DENSITY_BASIS),"This row's bulk-density basis disagrees with the lab method on file. One of "&amp;"the two is wrong, and the coarse-fragment correction follows the row. ","")&amp;IF(AND(ISNUMBER($M187),OR($M187&lt;QC_BD_MIN,$M187&gt;QC_BD_MAX)),"Bulk density outside the plausible range for a mineral grassland soil. ","")&amp;IF(AND(ISNUMBER($N187),$N187&gt;QC_CARBON_PCT_MAX),"Organic carbon above the QC ceiling — check units, and whether this is an organic horizon. ","")&amp;IF(AND(ISNUMBER($J187),$J187&lt;QC_RECOVERY_MIN),"Recovered less than the QC minimum of the depth driven — the increments may not sit where you think. Do NOT stretch them back out. ","")&amp;IF(AND(ISNUMBER($K187),$K187&gt;0,$L187="Fine earth / total volume"),"Coarse fragments recorded and the lab basis already accounts for them — no further correction applied, which is correct. ",""))</f>
        <v/>
      </c>
      <c r="T187" s="6"/>
      <c r="U187" s="9" t="n">
        <f aca="false">IF($B187="",0,IF(COUNTIFS($B$5:$B187,$B187)=1,1,0))</f>
        <v>0</v>
      </c>
    </row>
    <row r="188" customFormat="false" ht="15" hidden="false" customHeight="false" outlineLevel="0" collapsed="false">
      <c r="A188" s="6"/>
      <c r="B188" s="6"/>
      <c r="C188" s="6"/>
      <c r="D188" s="6"/>
      <c r="E188" s="6"/>
      <c r="F188" s="9" t="str">
        <f aca="false">IF(OR($D188="",$E188=""),"",$E188-$D188)</f>
        <v/>
      </c>
      <c r="G188" s="6"/>
      <c r="H188" s="6"/>
      <c r="I188" s="6"/>
      <c r="J188" s="9" t="str">
        <f aca="false">IF(OR(NOT(ISNUMBER($H188)),NOT(ISNUMBER($I188)),$H188=0),"",$I188/$H188)</f>
        <v/>
      </c>
      <c r="K188" s="6"/>
      <c r="L188" s="8"/>
      <c r="M188" s="7"/>
      <c r="N188" s="7"/>
      <c r="O188" s="9" t="str">
        <f aca="false">IF(NOT(ISNUMBER($M188)),"",IF($L188="Fine earth / fine-earth volume",$M188*(1-IF(ISNUMBER($K188),$K188,0)/100),$M188))</f>
        <v/>
      </c>
      <c r="P188" s="9" t="str">
        <f aca="false">IF(OR(NOT(ISNUMBER($O188)),NOT(ISNUMBER($N188)),NOT(ISNUMBER($F188))),"",$O188*($N188/100)*$F188*10)</f>
        <v/>
      </c>
      <c r="Q188" s="9" t="str">
        <f aca="false">IF(OR(NOT(ISNUMBER($D188)),NOT(ISNUMBER($E188))),"",MAX(0,MIN($E188,SOIL_REPORTING_DEPTH_CM)-MIN($D188,SOIL_REPORTING_DEPTH_CM)))</f>
        <v/>
      </c>
      <c r="R188" s="9" t="str">
        <f aca="false">IF(OR(NOT(ISNUMBER($O188)),NOT(ISNUMBER($N188)),NOT(ISNUMBER($Q188))),"",$O188*($N188/100)*$Q188*10)</f>
        <v/>
      </c>
      <c r="S188" s="11" t="str">
        <f aca="false">IF(AND($A188="",$B188="",$D188=""),"",IF(AND($A188&lt;&gt;"",COUNTIF('1. Plot &amp; Site Log'!$A$5:$A$64,$A188)=0),"Plot ID not in the Plot &amp; Site Log. ","")&amp;IF(AND(ISNUMBER($D188),ISNUMBER($E188),$E188&lt;=$D188),"Bottom depth is not below top depth. ","")&amp;IF($L188="Not confirmed","Bulk-density basis not confirmed with the lab — the coarse-fragment correction may be wrong or doubled. ","")&amp;IF(LAB_BULK_DENSITY_BASIS="Not confirmed","No lab bulk-density basis is on file in Settings (LAB_BULK_DENSITY_BASIS), so nothing checks this row. ","")&amp;IF(AND($L188&lt;&gt;"",LAB_BULK_DENSITY_BASIS&lt;&gt;"Not confirmed",$L188&lt;&gt;LAB_BULK_DENSITY_BASIS),"This row's bulk-density basis disagrees with the lab method on file. One of "&amp;"the two is wrong, and the coarse-fragment correction follows the row. ","")&amp;IF(AND(ISNUMBER($M188),OR($M188&lt;QC_BD_MIN,$M188&gt;QC_BD_MAX)),"Bulk density outside the plausible range for a mineral grassland soil. ","")&amp;IF(AND(ISNUMBER($N188),$N188&gt;QC_CARBON_PCT_MAX),"Organic carbon above the QC ceiling — check units, and whether this is an organic horizon. ","")&amp;IF(AND(ISNUMBER($J188),$J188&lt;QC_RECOVERY_MIN),"Recovered less than the QC minimum of the depth driven — the increments may not sit where you think. Do NOT stretch them back out. ","")&amp;IF(AND(ISNUMBER($K188),$K188&gt;0,$L188="Fine earth / total volume"),"Coarse fragments recorded and the lab basis already accounts for them — no further correction applied, which is correct. ",""))</f>
        <v/>
      </c>
      <c r="T188" s="6"/>
      <c r="U188" s="9" t="n">
        <f aca="false">IF($B188="",0,IF(COUNTIFS($B$5:$B188,$B188)=1,1,0))</f>
        <v>0</v>
      </c>
    </row>
    <row r="189" customFormat="false" ht="15" hidden="false" customHeight="false" outlineLevel="0" collapsed="false">
      <c r="A189" s="6"/>
      <c r="B189" s="6"/>
      <c r="C189" s="6"/>
      <c r="D189" s="6"/>
      <c r="E189" s="6"/>
      <c r="F189" s="9" t="str">
        <f aca="false">IF(OR($D189="",$E189=""),"",$E189-$D189)</f>
        <v/>
      </c>
      <c r="G189" s="6"/>
      <c r="H189" s="6"/>
      <c r="I189" s="6"/>
      <c r="J189" s="9" t="str">
        <f aca="false">IF(OR(NOT(ISNUMBER($H189)),NOT(ISNUMBER($I189)),$H189=0),"",$I189/$H189)</f>
        <v/>
      </c>
      <c r="K189" s="6"/>
      <c r="L189" s="8"/>
      <c r="M189" s="7"/>
      <c r="N189" s="7"/>
      <c r="O189" s="9" t="str">
        <f aca="false">IF(NOT(ISNUMBER($M189)),"",IF($L189="Fine earth / fine-earth volume",$M189*(1-IF(ISNUMBER($K189),$K189,0)/100),$M189))</f>
        <v/>
      </c>
      <c r="P189" s="9" t="str">
        <f aca="false">IF(OR(NOT(ISNUMBER($O189)),NOT(ISNUMBER($N189)),NOT(ISNUMBER($F189))),"",$O189*($N189/100)*$F189*10)</f>
        <v/>
      </c>
      <c r="Q189" s="9" t="str">
        <f aca="false">IF(OR(NOT(ISNUMBER($D189)),NOT(ISNUMBER($E189))),"",MAX(0,MIN($E189,SOIL_REPORTING_DEPTH_CM)-MIN($D189,SOIL_REPORTING_DEPTH_CM)))</f>
        <v/>
      </c>
      <c r="R189" s="9" t="str">
        <f aca="false">IF(OR(NOT(ISNUMBER($O189)),NOT(ISNUMBER($N189)),NOT(ISNUMBER($Q189))),"",$O189*($N189/100)*$Q189*10)</f>
        <v/>
      </c>
      <c r="S189" s="11" t="str">
        <f aca="false">IF(AND($A189="",$B189="",$D189=""),"",IF(AND($A189&lt;&gt;"",COUNTIF('1. Plot &amp; Site Log'!$A$5:$A$64,$A189)=0),"Plot ID not in the Plot &amp; Site Log. ","")&amp;IF(AND(ISNUMBER($D189),ISNUMBER($E189),$E189&lt;=$D189),"Bottom depth is not below top depth. ","")&amp;IF($L189="Not confirmed","Bulk-density basis not confirmed with the lab — the coarse-fragment correction may be wrong or doubled. ","")&amp;IF(LAB_BULK_DENSITY_BASIS="Not confirmed","No lab bulk-density basis is on file in Settings (LAB_BULK_DENSITY_BASIS), so nothing checks this row. ","")&amp;IF(AND($L189&lt;&gt;"",LAB_BULK_DENSITY_BASIS&lt;&gt;"Not confirmed",$L189&lt;&gt;LAB_BULK_DENSITY_BASIS),"This row's bulk-density basis disagrees with the lab method on file. One of "&amp;"the two is wrong, and the coarse-fragment correction follows the row. ","")&amp;IF(AND(ISNUMBER($M189),OR($M189&lt;QC_BD_MIN,$M189&gt;QC_BD_MAX)),"Bulk density outside the plausible range for a mineral grassland soil. ","")&amp;IF(AND(ISNUMBER($N189),$N189&gt;QC_CARBON_PCT_MAX),"Organic carbon above the QC ceiling — check units, and whether this is an organic horizon. ","")&amp;IF(AND(ISNUMBER($J189),$J189&lt;QC_RECOVERY_MIN),"Recovered less than the QC minimum of the depth driven — the increments may not sit where you think. Do NOT stretch them back out. ","")&amp;IF(AND(ISNUMBER($K189),$K189&gt;0,$L189="Fine earth / total volume"),"Coarse fragments recorded and the lab basis already accounts for them — no further correction applied, which is correct. ",""))</f>
        <v/>
      </c>
      <c r="T189" s="6"/>
      <c r="U189" s="9" t="n">
        <f aca="false">IF($B189="",0,IF(COUNTIFS($B$5:$B189,$B189)=1,1,0))</f>
        <v>0</v>
      </c>
    </row>
    <row r="190" customFormat="false" ht="15" hidden="false" customHeight="false" outlineLevel="0" collapsed="false">
      <c r="A190" s="6"/>
      <c r="B190" s="6"/>
      <c r="C190" s="6"/>
      <c r="D190" s="6"/>
      <c r="E190" s="6"/>
      <c r="F190" s="9" t="str">
        <f aca="false">IF(OR($D190="",$E190=""),"",$E190-$D190)</f>
        <v/>
      </c>
      <c r="G190" s="6"/>
      <c r="H190" s="6"/>
      <c r="I190" s="6"/>
      <c r="J190" s="9" t="str">
        <f aca="false">IF(OR(NOT(ISNUMBER($H190)),NOT(ISNUMBER($I190)),$H190=0),"",$I190/$H190)</f>
        <v/>
      </c>
      <c r="K190" s="6"/>
      <c r="L190" s="8"/>
      <c r="M190" s="7"/>
      <c r="N190" s="7"/>
      <c r="O190" s="9" t="str">
        <f aca="false">IF(NOT(ISNUMBER($M190)),"",IF($L190="Fine earth / fine-earth volume",$M190*(1-IF(ISNUMBER($K190),$K190,0)/100),$M190))</f>
        <v/>
      </c>
      <c r="P190" s="9" t="str">
        <f aca="false">IF(OR(NOT(ISNUMBER($O190)),NOT(ISNUMBER($N190)),NOT(ISNUMBER($F190))),"",$O190*($N190/100)*$F190*10)</f>
        <v/>
      </c>
      <c r="Q190" s="9" t="str">
        <f aca="false">IF(OR(NOT(ISNUMBER($D190)),NOT(ISNUMBER($E190))),"",MAX(0,MIN($E190,SOIL_REPORTING_DEPTH_CM)-MIN($D190,SOIL_REPORTING_DEPTH_CM)))</f>
        <v/>
      </c>
      <c r="R190" s="9" t="str">
        <f aca="false">IF(OR(NOT(ISNUMBER($O190)),NOT(ISNUMBER($N190)),NOT(ISNUMBER($Q190))),"",$O190*($N190/100)*$Q190*10)</f>
        <v/>
      </c>
      <c r="S190" s="11" t="str">
        <f aca="false">IF(AND($A190="",$B190="",$D190=""),"",IF(AND($A190&lt;&gt;"",COUNTIF('1. Plot &amp; Site Log'!$A$5:$A$64,$A190)=0),"Plot ID not in the Plot &amp; Site Log. ","")&amp;IF(AND(ISNUMBER($D190),ISNUMBER($E190),$E190&lt;=$D190),"Bottom depth is not below top depth. ","")&amp;IF($L190="Not confirmed","Bulk-density basis not confirmed with the lab — the coarse-fragment correction may be wrong or doubled. ","")&amp;IF(LAB_BULK_DENSITY_BASIS="Not confirmed","No lab bulk-density basis is on file in Settings (LAB_BULK_DENSITY_BASIS), so nothing checks this row. ","")&amp;IF(AND($L190&lt;&gt;"",LAB_BULK_DENSITY_BASIS&lt;&gt;"Not confirmed",$L190&lt;&gt;LAB_BULK_DENSITY_BASIS),"This row's bulk-density basis disagrees with the lab method on file. One of "&amp;"the two is wrong, and the coarse-fragment correction follows the row. ","")&amp;IF(AND(ISNUMBER($M190),OR($M190&lt;QC_BD_MIN,$M190&gt;QC_BD_MAX)),"Bulk density outside the plausible range for a mineral grassland soil. ","")&amp;IF(AND(ISNUMBER($N190),$N190&gt;QC_CARBON_PCT_MAX),"Organic carbon above the QC ceiling — check units, and whether this is an organic horizon. ","")&amp;IF(AND(ISNUMBER($J190),$J190&lt;QC_RECOVERY_MIN),"Recovered less than the QC minimum of the depth driven — the increments may not sit where you think. Do NOT stretch them back out. ","")&amp;IF(AND(ISNUMBER($K190),$K190&gt;0,$L190="Fine earth / total volume"),"Coarse fragments recorded and the lab basis already accounts for them — no further correction applied, which is correct. ",""))</f>
        <v/>
      </c>
      <c r="T190" s="6"/>
      <c r="U190" s="9" t="n">
        <f aca="false">IF($B190="",0,IF(COUNTIFS($B$5:$B190,$B190)=1,1,0))</f>
        <v>0</v>
      </c>
    </row>
    <row r="191" customFormat="false" ht="15" hidden="false" customHeight="false" outlineLevel="0" collapsed="false">
      <c r="A191" s="6"/>
      <c r="B191" s="6"/>
      <c r="C191" s="6"/>
      <c r="D191" s="6"/>
      <c r="E191" s="6"/>
      <c r="F191" s="9" t="str">
        <f aca="false">IF(OR($D191="",$E191=""),"",$E191-$D191)</f>
        <v/>
      </c>
      <c r="G191" s="6"/>
      <c r="H191" s="6"/>
      <c r="I191" s="6"/>
      <c r="J191" s="9" t="str">
        <f aca="false">IF(OR(NOT(ISNUMBER($H191)),NOT(ISNUMBER($I191)),$H191=0),"",$I191/$H191)</f>
        <v/>
      </c>
      <c r="K191" s="6"/>
      <c r="L191" s="8"/>
      <c r="M191" s="7"/>
      <c r="N191" s="7"/>
      <c r="O191" s="9" t="str">
        <f aca="false">IF(NOT(ISNUMBER($M191)),"",IF($L191="Fine earth / fine-earth volume",$M191*(1-IF(ISNUMBER($K191),$K191,0)/100),$M191))</f>
        <v/>
      </c>
      <c r="P191" s="9" t="str">
        <f aca="false">IF(OR(NOT(ISNUMBER($O191)),NOT(ISNUMBER($N191)),NOT(ISNUMBER($F191))),"",$O191*($N191/100)*$F191*10)</f>
        <v/>
      </c>
      <c r="Q191" s="9" t="str">
        <f aca="false">IF(OR(NOT(ISNUMBER($D191)),NOT(ISNUMBER($E191))),"",MAX(0,MIN($E191,SOIL_REPORTING_DEPTH_CM)-MIN($D191,SOIL_REPORTING_DEPTH_CM)))</f>
        <v/>
      </c>
      <c r="R191" s="9" t="str">
        <f aca="false">IF(OR(NOT(ISNUMBER($O191)),NOT(ISNUMBER($N191)),NOT(ISNUMBER($Q191))),"",$O191*($N191/100)*$Q191*10)</f>
        <v/>
      </c>
      <c r="S191" s="11" t="str">
        <f aca="false">IF(AND($A191="",$B191="",$D191=""),"",IF(AND($A191&lt;&gt;"",COUNTIF('1. Plot &amp; Site Log'!$A$5:$A$64,$A191)=0),"Plot ID not in the Plot &amp; Site Log. ","")&amp;IF(AND(ISNUMBER($D191),ISNUMBER($E191),$E191&lt;=$D191),"Bottom depth is not below top depth. ","")&amp;IF($L191="Not confirmed","Bulk-density basis not confirmed with the lab — the coarse-fragment correction may be wrong or doubled. ","")&amp;IF(LAB_BULK_DENSITY_BASIS="Not confirmed","No lab bulk-density basis is on file in Settings (LAB_BULK_DENSITY_BASIS), so nothing checks this row. ","")&amp;IF(AND($L191&lt;&gt;"",LAB_BULK_DENSITY_BASIS&lt;&gt;"Not confirmed",$L191&lt;&gt;LAB_BULK_DENSITY_BASIS),"This row's bulk-density basis disagrees with the lab method on file. One of "&amp;"the two is wrong, and the coarse-fragment correction follows the row. ","")&amp;IF(AND(ISNUMBER($M191),OR($M191&lt;QC_BD_MIN,$M191&gt;QC_BD_MAX)),"Bulk density outside the plausible range for a mineral grassland soil. ","")&amp;IF(AND(ISNUMBER($N191),$N191&gt;QC_CARBON_PCT_MAX),"Organic carbon above the QC ceiling — check units, and whether this is an organic horizon. ","")&amp;IF(AND(ISNUMBER($J191),$J191&lt;QC_RECOVERY_MIN),"Recovered less than the QC minimum of the depth driven — the increments may not sit where you think. Do NOT stretch them back out. ","")&amp;IF(AND(ISNUMBER($K191),$K191&gt;0,$L191="Fine earth / total volume"),"Coarse fragments recorded and the lab basis already accounts for them — no further correction applied, which is correct. ",""))</f>
        <v/>
      </c>
      <c r="T191" s="6"/>
      <c r="U191" s="9" t="n">
        <f aca="false">IF($B191="",0,IF(COUNTIFS($B$5:$B191,$B191)=1,1,0))</f>
        <v>0</v>
      </c>
    </row>
    <row r="192" customFormat="false" ht="15" hidden="false" customHeight="false" outlineLevel="0" collapsed="false">
      <c r="A192" s="6"/>
      <c r="B192" s="6"/>
      <c r="C192" s="6"/>
      <c r="D192" s="6"/>
      <c r="E192" s="6"/>
      <c r="F192" s="9" t="str">
        <f aca="false">IF(OR($D192="",$E192=""),"",$E192-$D192)</f>
        <v/>
      </c>
      <c r="G192" s="6"/>
      <c r="H192" s="6"/>
      <c r="I192" s="6"/>
      <c r="J192" s="9" t="str">
        <f aca="false">IF(OR(NOT(ISNUMBER($H192)),NOT(ISNUMBER($I192)),$H192=0),"",$I192/$H192)</f>
        <v/>
      </c>
      <c r="K192" s="6"/>
      <c r="L192" s="8"/>
      <c r="M192" s="7"/>
      <c r="N192" s="7"/>
      <c r="O192" s="9" t="str">
        <f aca="false">IF(NOT(ISNUMBER($M192)),"",IF($L192="Fine earth / fine-earth volume",$M192*(1-IF(ISNUMBER($K192),$K192,0)/100),$M192))</f>
        <v/>
      </c>
      <c r="P192" s="9" t="str">
        <f aca="false">IF(OR(NOT(ISNUMBER($O192)),NOT(ISNUMBER($N192)),NOT(ISNUMBER($F192))),"",$O192*($N192/100)*$F192*10)</f>
        <v/>
      </c>
      <c r="Q192" s="9" t="str">
        <f aca="false">IF(OR(NOT(ISNUMBER($D192)),NOT(ISNUMBER($E192))),"",MAX(0,MIN($E192,SOIL_REPORTING_DEPTH_CM)-MIN($D192,SOIL_REPORTING_DEPTH_CM)))</f>
        <v/>
      </c>
      <c r="R192" s="9" t="str">
        <f aca="false">IF(OR(NOT(ISNUMBER($O192)),NOT(ISNUMBER($N192)),NOT(ISNUMBER($Q192))),"",$O192*($N192/100)*$Q192*10)</f>
        <v/>
      </c>
      <c r="S192" s="11" t="str">
        <f aca="false">IF(AND($A192="",$B192="",$D192=""),"",IF(AND($A192&lt;&gt;"",COUNTIF('1. Plot &amp; Site Log'!$A$5:$A$64,$A192)=0),"Plot ID not in the Plot &amp; Site Log. ","")&amp;IF(AND(ISNUMBER($D192),ISNUMBER($E192),$E192&lt;=$D192),"Bottom depth is not below top depth. ","")&amp;IF($L192="Not confirmed","Bulk-density basis not confirmed with the lab — the coarse-fragment correction may be wrong or doubled. ","")&amp;IF(LAB_BULK_DENSITY_BASIS="Not confirmed","No lab bulk-density basis is on file in Settings (LAB_BULK_DENSITY_BASIS), so nothing checks this row. ","")&amp;IF(AND($L192&lt;&gt;"",LAB_BULK_DENSITY_BASIS&lt;&gt;"Not confirmed",$L192&lt;&gt;LAB_BULK_DENSITY_BASIS),"This row's bulk-density basis disagrees with the lab method on file. One of "&amp;"the two is wrong, and the coarse-fragment correction follows the row. ","")&amp;IF(AND(ISNUMBER($M192),OR($M192&lt;QC_BD_MIN,$M192&gt;QC_BD_MAX)),"Bulk density outside the plausible range for a mineral grassland soil. ","")&amp;IF(AND(ISNUMBER($N192),$N192&gt;QC_CARBON_PCT_MAX),"Organic carbon above the QC ceiling — check units, and whether this is an organic horizon. ","")&amp;IF(AND(ISNUMBER($J192),$J192&lt;QC_RECOVERY_MIN),"Recovered less than the QC minimum of the depth driven — the increments may not sit where you think. Do NOT stretch them back out. ","")&amp;IF(AND(ISNUMBER($K192),$K192&gt;0,$L192="Fine earth / total volume"),"Coarse fragments recorded and the lab basis already accounts for them — no further correction applied, which is correct. ",""))</f>
        <v/>
      </c>
      <c r="T192" s="6"/>
      <c r="U192" s="9" t="n">
        <f aca="false">IF($B192="",0,IF(COUNTIFS($B$5:$B192,$B192)=1,1,0))</f>
        <v>0</v>
      </c>
    </row>
    <row r="193" customFormat="false" ht="15" hidden="false" customHeight="false" outlineLevel="0" collapsed="false">
      <c r="A193" s="6"/>
      <c r="B193" s="6"/>
      <c r="C193" s="6"/>
      <c r="D193" s="6"/>
      <c r="E193" s="6"/>
      <c r="F193" s="9" t="str">
        <f aca="false">IF(OR($D193="",$E193=""),"",$E193-$D193)</f>
        <v/>
      </c>
      <c r="G193" s="6"/>
      <c r="H193" s="6"/>
      <c r="I193" s="6"/>
      <c r="J193" s="9" t="str">
        <f aca="false">IF(OR(NOT(ISNUMBER($H193)),NOT(ISNUMBER($I193)),$H193=0),"",$I193/$H193)</f>
        <v/>
      </c>
      <c r="K193" s="6"/>
      <c r="L193" s="8"/>
      <c r="M193" s="7"/>
      <c r="N193" s="7"/>
      <c r="O193" s="9" t="str">
        <f aca="false">IF(NOT(ISNUMBER($M193)),"",IF($L193="Fine earth / fine-earth volume",$M193*(1-IF(ISNUMBER($K193),$K193,0)/100),$M193))</f>
        <v/>
      </c>
      <c r="P193" s="9" t="str">
        <f aca="false">IF(OR(NOT(ISNUMBER($O193)),NOT(ISNUMBER($N193)),NOT(ISNUMBER($F193))),"",$O193*($N193/100)*$F193*10)</f>
        <v/>
      </c>
      <c r="Q193" s="9" t="str">
        <f aca="false">IF(OR(NOT(ISNUMBER($D193)),NOT(ISNUMBER($E193))),"",MAX(0,MIN($E193,SOIL_REPORTING_DEPTH_CM)-MIN($D193,SOIL_REPORTING_DEPTH_CM)))</f>
        <v/>
      </c>
      <c r="R193" s="9" t="str">
        <f aca="false">IF(OR(NOT(ISNUMBER($O193)),NOT(ISNUMBER($N193)),NOT(ISNUMBER($Q193))),"",$O193*($N193/100)*$Q193*10)</f>
        <v/>
      </c>
      <c r="S193" s="11" t="str">
        <f aca="false">IF(AND($A193="",$B193="",$D193=""),"",IF(AND($A193&lt;&gt;"",COUNTIF('1. Plot &amp; Site Log'!$A$5:$A$64,$A193)=0),"Plot ID not in the Plot &amp; Site Log. ","")&amp;IF(AND(ISNUMBER($D193),ISNUMBER($E193),$E193&lt;=$D193),"Bottom depth is not below top depth. ","")&amp;IF($L193="Not confirmed","Bulk-density basis not confirmed with the lab — the coarse-fragment correction may be wrong or doubled. ","")&amp;IF(LAB_BULK_DENSITY_BASIS="Not confirmed","No lab bulk-density basis is on file in Settings (LAB_BULK_DENSITY_BASIS), so nothing checks this row. ","")&amp;IF(AND($L193&lt;&gt;"",LAB_BULK_DENSITY_BASIS&lt;&gt;"Not confirmed",$L193&lt;&gt;LAB_BULK_DENSITY_BASIS),"This row's bulk-density basis disagrees with the lab method on file. One of "&amp;"the two is wrong, and the coarse-fragment correction follows the row. ","")&amp;IF(AND(ISNUMBER($M193),OR($M193&lt;QC_BD_MIN,$M193&gt;QC_BD_MAX)),"Bulk density outside the plausible range for a mineral grassland soil. ","")&amp;IF(AND(ISNUMBER($N193),$N193&gt;QC_CARBON_PCT_MAX),"Organic carbon above the QC ceiling — check units, and whether this is an organic horizon. ","")&amp;IF(AND(ISNUMBER($J193),$J193&lt;QC_RECOVERY_MIN),"Recovered less than the QC minimum of the depth driven — the increments may not sit where you think. Do NOT stretch them back out. ","")&amp;IF(AND(ISNUMBER($K193),$K193&gt;0,$L193="Fine earth / total volume"),"Coarse fragments recorded and the lab basis already accounts for them — no further correction applied, which is correct. ",""))</f>
        <v/>
      </c>
      <c r="T193" s="6"/>
      <c r="U193" s="9" t="n">
        <f aca="false">IF($B193="",0,IF(COUNTIFS($B$5:$B193,$B193)=1,1,0))</f>
        <v>0</v>
      </c>
    </row>
    <row r="194" customFormat="false" ht="15" hidden="false" customHeight="false" outlineLevel="0" collapsed="false">
      <c r="A194" s="6"/>
      <c r="B194" s="6"/>
      <c r="C194" s="6"/>
      <c r="D194" s="6"/>
      <c r="E194" s="6"/>
      <c r="F194" s="9" t="str">
        <f aca="false">IF(OR($D194="",$E194=""),"",$E194-$D194)</f>
        <v/>
      </c>
      <c r="G194" s="6"/>
      <c r="H194" s="6"/>
      <c r="I194" s="6"/>
      <c r="J194" s="9" t="str">
        <f aca="false">IF(OR(NOT(ISNUMBER($H194)),NOT(ISNUMBER($I194)),$H194=0),"",$I194/$H194)</f>
        <v/>
      </c>
      <c r="K194" s="6"/>
      <c r="L194" s="8"/>
      <c r="M194" s="7"/>
      <c r="N194" s="7"/>
      <c r="O194" s="9" t="str">
        <f aca="false">IF(NOT(ISNUMBER($M194)),"",IF($L194="Fine earth / fine-earth volume",$M194*(1-IF(ISNUMBER($K194),$K194,0)/100),$M194))</f>
        <v/>
      </c>
      <c r="P194" s="9" t="str">
        <f aca="false">IF(OR(NOT(ISNUMBER($O194)),NOT(ISNUMBER($N194)),NOT(ISNUMBER($F194))),"",$O194*($N194/100)*$F194*10)</f>
        <v/>
      </c>
      <c r="Q194" s="9" t="str">
        <f aca="false">IF(OR(NOT(ISNUMBER($D194)),NOT(ISNUMBER($E194))),"",MAX(0,MIN($E194,SOIL_REPORTING_DEPTH_CM)-MIN($D194,SOIL_REPORTING_DEPTH_CM)))</f>
        <v/>
      </c>
      <c r="R194" s="9" t="str">
        <f aca="false">IF(OR(NOT(ISNUMBER($O194)),NOT(ISNUMBER($N194)),NOT(ISNUMBER($Q194))),"",$O194*($N194/100)*$Q194*10)</f>
        <v/>
      </c>
      <c r="S194" s="11" t="str">
        <f aca="false">IF(AND($A194="",$B194="",$D194=""),"",IF(AND($A194&lt;&gt;"",COUNTIF('1. Plot &amp; Site Log'!$A$5:$A$64,$A194)=0),"Plot ID not in the Plot &amp; Site Log. ","")&amp;IF(AND(ISNUMBER($D194),ISNUMBER($E194),$E194&lt;=$D194),"Bottom depth is not below top depth. ","")&amp;IF($L194="Not confirmed","Bulk-density basis not confirmed with the lab — the coarse-fragment correction may be wrong or doubled. ","")&amp;IF(LAB_BULK_DENSITY_BASIS="Not confirmed","No lab bulk-density basis is on file in Settings (LAB_BULK_DENSITY_BASIS), so nothing checks this row. ","")&amp;IF(AND($L194&lt;&gt;"",LAB_BULK_DENSITY_BASIS&lt;&gt;"Not confirmed",$L194&lt;&gt;LAB_BULK_DENSITY_BASIS),"This row's bulk-density basis disagrees with the lab method on file. One of "&amp;"the two is wrong, and the coarse-fragment correction follows the row. ","")&amp;IF(AND(ISNUMBER($M194),OR($M194&lt;QC_BD_MIN,$M194&gt;QC_BD_MAX)),"Bulk density outside the plausible range for a mineral grassland soil. ","")&amp;IF(AND(ISNUMBER($N194),$N194&gt;QC_CARBON_PCT_MAX),"Organic carbon above the QC ceiling — check units, and whether this is an organic horizon. ","")&amp;IF(AND(ISNUMBER($J194),$J194&lt;QC_RECOVERY_MIN),"Recovered less than the QC minimum of the depth driven — the increments may not sit where you think. Do NOT stretch them back out. ","")&amp;IF(AND(ISNUMBER($K194),$K194&gt;0,$L194="Fine earth / total volume"),"Coarse fragments recorded and the lab basis already accounts for them — no further correction applied, which is correct. ",""))</f>
        <v/>
      </c>
      <c r="T194" s="6"/>
      <c r="U194" s="9" t="n">
        <f aca="false">IF($B194="",0,IF(COUNTIFS($B$5:$B194,$B194)=1,1,0))</f>
        <v>0</v>
      </c>
    </row>
    <row r="195" customFormat="false" ht="15" hidden="false" customHeight="false" outlineLevel="0" collapsed="false">
      <c r="A195" s="6"/>
      <c r="B195" s="6"/>
      <c r="C195" s="6"/>
      <c r="D195" s="6"/>
      <c r="E195" s="6"/>
      <c r="F195" s="9" t="str">
        <f aca="false">IF(OR($D195="",$E195=""),"",$E195-$D195)</f>
        <v/>
      </c>
      <c r="G195" s="6"/>
      <c r="H195" s="6"/>
      <c r="I195" s="6"/>
      <c r="J195" s="9" t="str">
        <f aca="false">IF(OR(NOT(ISNUMBER($H195)),NOT(ISNUMBER($I195)),$H195=0),"",$I195/$H195)</f>
        <v/>
      </c>
      <c r="K195" s="6"/>
      <c r="L195" s="8"/>
      <c r="M195" s="7"/>
      <c r="N195" s="7"/>
      <c r="O195" s="9" t="str">
        <f aca="false">IF(NOT(ISNUMBER($M195)),"",IF($L195="Fine earth / fine-earth volume",$M195*(1-IF(ISNUMBER($K195),$K195,0)/100),$M195))</f>
        <v/>
      </c>
      <c r="P195" s="9" t="str">
        <f aca="false">IF(OR(NOT(ISNUMBER($O195)),NOT(ISNUMBER($N195)),NOT(ISNUMBER($F195))),"",$O195*($N195/100)*$F195*10)</f>
        <v/>
      </c>
      <c r="Q195" s="9" t="str">
        <f aca="false">IF(OR(NOT(ISNUMBER($D195)),NOT(ISNUMBER($E195))),"",MAX(0,MIN($E195,SOIL_REPORTING_DEPTH_CM)-MIN($D195,SOIL_REPORTING_DEPTH_CM)))</f>
        <v/>
      </c>
      <c r="R195" s="9" t="str">
        <f aca="false">IF(OR(NOT(ISNUMBER($O195)),NOT(ISNUMBER($N195)),NOT(ISNUMBER($Q195))),"",$O195*($N195/100)*$Q195*10)</f>
        <v/>
      </c>
      <c r="S195" s="11" t="str">
        <f aca="false">IF(AND($A195="",$B195="",$D195=""),"",IF(AND($A195&lt;&gt;"",COUNTIF('1. Plot &amp; Site Log'!$A$5:$A$64,$A195)=0),"Plot ID not in the Plot &amp; Site Log. ","")&amp;IF(AND(ISNUMBER($D195),ISNUMBER($E195),$E195&lt;=$D195),"Bottom depth is not below top depth. ","")&amp;IF($L195="Not confirmed","Bulk-density basis not confirmed with the lab — the coarse-fragment correction may be wrong or doubled. ","")&amp;IF(LAB_BULK_DENSITY_BASIS="Not confirmed","No lab bulk-density basis is on file in Settings (LAB_BULK_DENSITY_BASIS), so nothing checks this row. ","")&amp;IF(AND($L195&lt;&gt;"",LAB_BULK_DENSITY_BASIS&lt;&gt;"Not confirmed",$L195&lt;&gt;LAB_BULK_DENSITY_BASIS),"This row's bulk-density basis disagrees with the lab method on file. One of "&amp;"the two is wrong, and the coarse-fragment correction follows the row. ","")&amp;IF(AND(ISNUMBER($M195),OR($M195&lt;QC_BD_MIN,$M195&gt;QC_BD_MAX)),"Bulk density outside the plausible range for a mineral grassland soil. ","")&amp;IF(AND(ISNUMBER($N195),$N195&gt;QC_CARBON_PCT_MAX),"Organic carbon above the QC ceiling — check units, and whether this is an organic horizon. ","")&amp;IF(AND(ISNUMBER($J195),$J195&lt;QC_RECOVERY_MIN),"Recovered less than the QC minimum of the depth driven — the increments may not sit where you think. Do NOT stretch them back out. ","")&amp;IF(AND(ISNUMBER($K195),$K195&gt;0,$L195="Fine earth / total volume"),"Coarse fragments recorded and the lab basis already accounts for them — no further correction applied, which is correct. ",""))</f>
        <v/>
      </c>
      <c r="T195" s="6"/>
      <c r="U195" s="9" t="n">
        <f aca="false">IF($B195="",0,IF(COUNTIFS($B$5:$B195,$B195)=1,1,0))</f>
        <v>0</v>
      </c>
    </row>
    <row r="196" customFormat="false" ht="15" hidden="false" customHeight="false" outlineLevel="0" collapsed="false">
      <c r="A196" s="6"/>
      <c r="B196" s="6"/>
      <c r="C196" s="6"/>
      <c r="D196" s="6"/>
      <c r="E196" s="6"/>
      <c r="F196" s="9" t="str">
        <f aca="false">IF(OR($D196="",$E196=""),"",$E196-$D196)</f>
        <v/>
      </c>
      <c r="G196" s="6"/>
      <c r="H196" s="6"/>
      <c r="I196" s="6"/>
      <c r="J196" s="9" t="str">
        <f aca="false">IF(OR(NOT(ISNUMBER($H196)),NOT(ISNUMBER($I196)),$H196=0),"",$I196/$H196)</f>
        <v/>
      </c>
      <c r="K196" s="6"/>
      <c r="L196" s="8"/>
      <c r="M196" s="7"/>
      <c r="N196" s="7"/>
      <c r="O196" s="9" t="str">
        <f aca="false">IF(NOT(ISNUMBER($M196)),"",IF($L196="Fine earth / fine-earth volume",$M196*(1-IF(ISNUMBER($K196),$K196,0)/100),$M196))</f>
        <v/>
      </c>
      <c r="P196" s="9" t="str">
        <f aca="false">IF(OR(NOT(ISNUMBER($O196)),NOT(ISNUMBER($N196)),NOT(ISNUMBER($F196))),"",$O196*($N196/100)*$F196*10)</f>
        <v/>
      </c>
      <c r="Q196" s="9" t="str">
        <f aca="false">IF(OR(NOT(ISNUMBER($D196)),NOT(ISNUMBER($E196))),"",MAX(0,MIN($E196,SOIL_REPORTING_DEPTH_CM)-MIN($D196,SOIL_REPORTING_DEPTH_CM)))</f>
        <v/>
      </c>
      <c r="R196" s="9" t="str">
        <f aca="false">IF(OR(NOT(ISNUMBER($O196)),NOT(ISNUMBER($N196)),NOT(ISNUMBER($Q196))),"",$O196*($N196/100)*$Q196*10)</f>
        <v/>
      </c>
      <c r="S196" s="11" t="str">
        <f aca="false">IF(AND($A196="",$B196="",$D196=""),"",IF(AND($A196&lt;&gt;"",COUNTIF('1. Plot &amp; Site Log'!$A$5:$A$64,$A196)=0),"Plot ID not in the Plot &amp; Site Log. ","")&amp;IF(AND(ISNUMBER($D196),ISNUMBER($E196),$E196&lt;=$D196),"Bottom depth is not below top depth. ","")&amp;IF($L196="Not confirmed","Bulk-density basis not confirmed with the lab — the coarse-fragment correction may be wrong or doubled. ","")&amp;IF(LAB_BULK_DENSITY_BASIS="Not confirmed","No lab bulk-density basis is on file in Settings (LAB_BULK_DENSITY_BASIS), so nothing checks this row. ","")&amp;IF(AND($L196&lt;&gt;"",LAB_BULK_DENSITY_BASIS&lt;&gt;"Not confirmed",$L196&lt;&gt;LAB_BULK_DENSITY_BASIS),"This row's bulk-density basis disagrees with the lab method on file. One of "&amp;"the two is wrong, and the coarse-fragment correction follows the row. ","")&amp;IF(AND(ISNUMBER($M196),OR($M196&lt;QC_BD_MIN,$M196&gt;QC_BD_MAX)),"Bulk density outside the plausible range for a mineral grassland soil. ","")&amp;IF(AND(ISNUMBER($N196),$N196&gt;QC_CARBON_PCT_MAX),"Organic carbon above the QC ceiling — check units, and whether this is an organic horizon. ","")&amp;IF(AND(ISNUMBER($J196),$J196&lt;QC_RECOVERY_MIN),"Recovered less than the QC minimum of the depth driven — the increments may not sit where you think. Do NOT stretch them back out. ","")&amp;IF(AND(ISNUMBER($K196),$K196&gt;0,$L196="Fine earth / total volume"),"Coarse fragments recorded and the lab basis already accounts for them — no further correction applied, which is correct. ",""))</f>
        <v/>
      </c>
      <c r="T196" s="6"/>
      <c r="U196" s="9" t="n">
        <f aca="false">IF($B196="",0,IF(COUNTIFS($B$5:$B196,$B196)=1,1,0))</f>
        <v>0</v>
      </c>
    </row>
    <row r="197" customFormat="false" ht="15" hidden="false" customHeight="false" outlineLevel="0" collapsed="false">
      <c r="A197" s="6"/>
      <c r="B197" s="6"/>
      <c r="C197" s="6"/>
      <c r="D197" s="6"/>
      <c r="E197" s="6"/>
      <c r="F197" s="9" t="str">
        <f aca="false">IF(OR($D197="",$E197=""),"",$E197-$D197)</f>
        <v/>
      </c>
      <c r="G197" s="6"/>
      <c r="H197" s="6"/>
      <c r="I197" s="6"/>
      <c r="J197" s="9" t="str">
        <f aca="false">IF(OR(NOT(ISNUMBER($H197)),NOT(ISNUMBER($I197)),$H197=0),"",$I197/$H197)</f>
        <v/>
      </c>
      <c r="K197" s="6"/>
      <c r="L197" s="8"/>
      <c r="M197" s="7"/>
      <c r="N197" s="7"/>
      <c r="O197" s="9" t="str">
        <f aca="false">IF(NOT(ISNUMBER($M197)),"",IF($L197="Fine earth / fine-earth volume",$M197*(1-IF(ISNUMBER($K197),$K197,0)/100),$M197))</f>
        <v/>
      </c>
      <c r="P197" s="9" t="str">
        <f aca="false">IF(OR(NOT(ISNUMBER($O197)),NOT(ISNUMBER($N197)),NOT(ISNUMBER($F197))),"",$O197*($N197/100)*$F197*10)</f>
        <v/>
      </c>
      <c r="Q197" s="9" t="str">
        <f aca="false">IF(OR(NOT(ISNUMBER($D197)),NOT(ISNUMBER($E197))),"",MAX(0,MIN($E197,SOIL_REPORTING_DEPTH_CM)-MIN($D197,SOIL_REPORTING_DEPTH_CM)))</f>
        <v/>
      </c>
      <c r="R197" s="9" t="str">
        <f aca="false">IF(OR(NOT(ISNUMBER($O197)),NOT(ISNUMBER($N197)),NOT(ISNUMBER($Q197))),"",$O197*($N197/100)*$Q197*10)</f>
        <v/>
      </c>
      <c r="S197" s="11" t="str">
        <f aca="false">IF(AND($A197="",$B197="",$D197=""),"",IF(AND($A197&lt;&gt;"",COUNTIF('1. Plot &amp; Site Log'!$A$5:$A$64,$A197)=0),"Plot ID not in the Plot &amp; Site Log. ","")&amp;IF(AND(ISNUMBER($D197),ISNUMBER($E197),$E197&lt;=$D197),"Bottom depth is not below top depth. ","")&amp;IF($L197="Not confirmed","Bulk-density basis not confirmed with the lab — the coarse-fragment correction may be wrong or doubled. ","")&amp;IF(LAB_BULK_DENSITY_BASIS="Not confirmed","No lab bulk-density basis is on file in Settings (LAB_BULK_DENSITY_BASIS), so nothing checks this row. ","")&amp;IF(AND($L197&lt;&gt;"",LAB_BULK_DENSITY_BASIS&lt;&gt;"Not confirmed",$L197&lt;&gt;LAB_BULK_DENSITY_BASIS),"This row's bulk-density basis disagrees with the lab method on file. One of "&amp;"the two is wrong, and the coarse-fragment correction follows the row. ","")&amp;IF(AND(ISNUMBER($M197),OR($M197&lt;QC_BD_MIN,$M197&gt;QC_BD_MAX)),"Bulk density outside the plausible range for a mineral grassland soil. ","")&amp;IF(AND(ISNUMBER($N197),$N197&gt;QC_CARBON_PCT_MAX),"Organic carbon above the QC ceiling — check units, and whether this is an organic horizon. ","")&amp;IF(AND(ISNUMBER($J197),$J197&lt;QC_RECOVERY_MIN),"Recovered less than the QC minimum of the depth driven — the increments may not sit where you think. Do NOT stretch them back out. ","")&amp;IF(AND(ISNUMBER($K197),$K197&gt;0,$L197="Fine earth / total volume"),"Coarse fragments recorded and the lab basis already accounts for them — no further correction applied, which is correct. ",""))</f>
        <v/>
      </c>
      <c r="T197" s="6"/>
      <c r="U197" s="9" t="n">
        <f aca="false">IF($B197="",0,IF(COUNTIFS($B$5:$B197,$B197)=1,1,0))</f>
        <v>0</v>
      </c>
    </row>
    <row r="198" customFormat="false" ht="15" hidden="false" customHeight="false" outlineLevel="0" collapsed="false">
      <c r="A198" s="6"/>
      <c r="B198" s="6"/>
      <c r="C198" s="6"/>
      <c r="D198" s="6"/>
      <c r="E198" s="6"/>
      <c r="F198" s="9" t="str">
        <f aca="false">IF(OR($D198="",$E198=""),"",$E198-$D198)</f>
        <v/>
      </c>
      <c r="G198" s="6"/>
      <c r="H198" s="6"/>
      <c r="I198" s="6"/>
      <c r="J198" s="9" t="str">
        <f aca="false">IF(OR(NOT(ISNUMBER($H198)),NOT(ISNUMBER($I198)),$H198=0),"",$I198/$H198)</f>
        <v/>
      </c>
      <c r="K198" s="6"/>
      <c r="L198" s="8"/>
      <c r="M198" s="7"/>
      <c r="N198" s="7"/>
      <c r="O198" s="9" t="str">
        <f aca="false">IF(NOT(ISNUMBER($M198)),"",IF($L198="Fine earth / fine-earth volume",$M198*(1-IF(ISNUMBER($K198),$K198,0)/100),$M198))</f>
        <v/>
      </c>
      <c r="P198" s="9" t="str">
        <f aca="false">IF(OR(NOT(ISNUMBER($O198)),NOT(ISNUMBER($N198)),NOT(ISNUMBER($F198))),"",$O198*($N198/100)*$F198*10)</f>
        <v/>
      </c>
      <c r="Q198" s="9" t="str">
        <f aca="false">IF(OR(NOT(ISNUMBER($D198)),NOT(ISNUMBER($E198))),"",MAX(0,MIN($E198,SOIL_REPORTING_DEPTH_CM)-MIN($D198,SOIL_REPORTING_DEPTH_CM)))</f>
        <v/>
      </c>
      <c r="R198" s="9" t="str">
        <f aca="false">IF(OR(NOT(ISNUMBER($O198)),NOT(ISNUMBER($N198)),NOT(ISNUMBER($Q198))),"",$O198*($N198/100)*$Q198*10)</f>
        <v/>
      </c>
      <c r="S198" s="11" t="str">
        <f aca="false">IF(AND($A198="",$B198="",$D198=""),"",IF(AND($A198&lt;&gt;"",COUNTIF('1. Plot &amp; Site Log'!$A$5:$A$64,$A198)=0),"Plot ID not in the Plot &amp; Site Log. ","")&amp;IF(AND(ISNUMBER($D198),ISNUMBER($E198),$E198&lt;=$D198),"Bottom depth is not below top depth. ","")&amp;IF($L198="Not confirmed","Bulk-density basis not confirmed with the lab — the coarse-fragment correction may be wrong or doubled. ","")&amp;IF(LAB_BULK_DENSITY_BASIS="Not confirmed","No lab bulk-density basis is on file in Settings (LAB_BULK_DENSITY_BASIS), so nothing checks this row. ","")&amp;IF(AND($L198&lt;&gt;"",LAB_BULK_DENSITY_BASIS&lt;&gt;"Not confirmed",$L198&lt;&gt;LAB_BULK_DENSITY_BASIS),"This row's bulk-density basis disagrees with the lab method on file. One of "&amp;"the two is wrong, and the coarse-fragment correction follows the row. ","")&amp;IF(AND(ISNUMBER($M198),OR($M198&lt;QC_BD_MIN,$M198&gt;QC_BD_MAX)),"Bulk density outside the plausible range for a mineral grassland soil. ","")&amp;IF(AND(ISNUMBER($N198),$N198&gt;QC_CARBON_PCT_MAX),"Organic carbon above the QC ceiling — check units, and whether this is an organic horizon. ","")&amp;IF(AND(ISNUMBER($J198),$J198&lt;QC_RECOVERY_MIN),"Recovered less than the QC minimum of the depth driven — the increments may not sit where you think. Do NOT stretch them back out. ","")&amp;IF(AND(ISNUMBER($K198),$K198&gt;0,$L198="Fine earth / total volume"),"Coarse fragments recorded and the lab basis already accounts for them — no further correction applied, which is correct. ",""))</f>
        <v/>
      </c>
      <c r="T198" s="6"/>
      <c r="U198" s="9" t="n">
        <f aca="false">IF($B198="",0,IF(COUNTIFS($B$5:$B198,$B198)=1,1,0))</f>
        <v>0</v>
      </c>
    </row>
    <row r="199" customFormat="false" ht="15" hidden="false" customHeight="false" outlineLevel="0" collapsed="false">
      <c r="A199" s="6"/>
      <c r="B199" s="6"/>
      <c r="C199" s="6"/>
      <c r="D199" s="6"/>
      <c r="E199" s="6"/>
      <c r="F199" s="9" t="str">
        <f aca="false">IF(OR($D199="",$E199=""),"",$E199-$D199)</f>
        <v/>
      </c>
      <c r="G199" s="6"/>
      <c r="H199" s="6"/>
      <c r="I199" s="6"/>
      <c r="J199" s="9" t="str">
        <f aca="false">IF(OR(NOT(ISNUMBER($H199)),NOT(ISNUMBER($I199)),$H199=0),"",$I199/$H199)</f>
        <v/>
      </c>
      <c r="K199" s="6"/>
      <c r="L199" s="8"/>
      <c r="M199" s="7"/>
      <c r="N199" s="7"/>
      <c r="O199" s="9" t="str">
        <f aca="false">IF(NOT(ISNUMBER($M199)),"",IF($L199="Fine earth / fine-earth volume",$M199*(1-IF(ISNUMBER($K199),$K199,0)/100),$M199))</f>
        <v/>
      </c>
      <c r="P199" s="9" t="str">
        <f aca="false">IF(OR(NOT(ISNUMBER($O199)),NOT(ISNUMBER($N199)),NOT(ISNUMBER($F199))),"",$O199*($N199/100)*$F199*10)</f>
        <v/>
      </c>
      <c r="Q199" s="9" t="str">
        <f aca="false">IF(OR(NOT(ISNUMBER($D199)),NOT(ISNUMBER($E199))),"",MAX(0,MIN($E199,SOIL_REPORTING_DEPTH_CM)-MIN($D199,SOIL_REPORTING_DEPTH_CM)))</f>
        <v/>
      </c>
      <c r="R199" s="9" t="str">
        <f aca="false">IF(OR(NOT(ISNUMBER($O199)),NOT(ISNUMBER($N199)),NOT(ISNUMBER($Q199))),"",$O199*($N199/100)*$Q199*10)</f>
        <v/>
      </c>
      <c r="S199" s="11" t="str">
        <f aca="false">IF(AND($A199="",$B199="",$D199=""),"",IF(AND($A199&lt;&gt;"",COUNTIF('1. Plot &amp; Site Log'!$A$5:$A$64,$A199)=0),"Plot ID not in the Plot &amp; Site Log. ","")&amp;IF(AND(ISNUMBER($D199),ISNUMBER($E199),$E199&lt;=$D199),"Bottom depth is not below top depth. ","")&amp;IF($L199="Not confirmed","Bulk-density basis not confirmed with the lab — the coarse-fragment correction may be wrong or doubled. ","")&amp;IF(LAB_BULK_DENSITY_BASIS="Not confirmed","No lab bulk-density basis is on file in Settings (LAB_BULK_DENSITY_BASIS), so nothing checks this row. ","")&amp;IF(AND($L199&lt;&gt;"",LAB_BULK_DENSITY_BASIS&lt;&gt;"Not confirmed",$L199&lt;&gt;LAB_BULK_DENSITY_BASIS),"This row's bulk-density basis disagrees with the lab method on file. One of "&amp;"the two is wrong, and the coarse-fragment correction follows the row. ","")&amp;IF(AND(ISNUMBER($M199),OR($M199&lt;QC_BD_MIN,$M199&gt;QC_BD_MAX)),"Bulk density outside the plausible range for a mineral grassland soil. ","")&amp;IF(AND(ISNUMBER($N199),$N199&gt;QC_CARBON_PCT_MAX),"Organic carbon above the QC ceiling — check units, and whether this is an organic horizon. ","")&amp;IF(AND(ISNUMBER($J199),$J199&lt;QC_RECOVERY_MIN),"Recovered less than the QC minimum of the depth driven — the increments may not sit where you think. Do NOT stretch them back out. ","")&amp;IF(AND(ISNUMBER($K199),$K199&gt;0,$L199="Fine earth / total volume"),"Coarse fragments recorded and the lab basis already accounts for them — no further correction applied, which is correct. ",""))</f>
        <v/>
      </c>
      <c r="T199" s="6"/>
      <c r="U199" s="9" t="n">
        <f aca="false">IF($B199="",0,IF(COUNTIFS($B$5:$B199,$B199)=1,1,0))</f>
        <v>0</v>
      </c>
    </row>
    <row r="200" customFormat="false" ht="15" hidden="false" customHeight="false" outlineLevel="0" collapsed="false">
      <c r="A200" s="6"/>
      <c r="B200" s="6"/>
      <c r="C200" s="6"/>
      <c r="D200" s="6"/>
      <c r="E200" s="6"/>
      <c r="F200" s="9" t="str">
        <f aca="false">IF(OR($D200="",$E200=""),"",$E200-$D200)</f>
        <v/>
      </c>
      <c r="G200" s="6"/>
      <c r="H200" s="6"/>
      <c r="I200" s="6"/>
      <c r="J200" s="9" t="str">
        <f aca="false">IF(OR(NOT(ISNUMBER($H200)),NOT(ISNUMBER($I200)),$H200=0),"",$I200/$H200)</f>
        <v/>
      </c>
      <c r="K200" s="6"/>
      <c r="L200" s="8"/>
      <c r="M200" s="7"/>
      <c r="N200" s="7"/>
      <c r="O200" s="9" t="str">
        <f aca="false">IF(NOT(ISNUMBER($M200)),"",IF($L200="Fine earth / fine-earth volume",$M200*(1-IF(ISNUMBER($K200),$K200,0)/100),$M200))</f>
        <v/>
      </c>
      <c r="P200" s="9" t="str">
        <f aca="false">IF(OR(NOT(ISNUMBER($O200)),NOT(ISNUMBER($N200)),NOT(ISNUMBER($F200))),"",$O200*($N200/100)*$F200*10)</f>
        <v/>
      </c>
      <c r="Q200" s="9" t="str">
        <f aca="false">IF(OR(NOT(ISNUMBER($D200)),NOT(ISNUMBER($E200))),"",MAX(0,MIN($E200,SOIL_REPORTING_DEPTH_CM)-MIN($D200,SOIL_REPORTING_DEPTH_CM)))</f>
        <v/>
      </c>
      <c r="R200" s="9" t="str">
        <f aca="false">IF(OR(NOT(ISNUMBER($O200)),NOT(ISNUMBER($N200)),NOT(ISNUMBER($Q200))),"",$O200*($N200/100)*$Q200*10)</f>
        <v/>
      </c>
      <c r="S200" s="11" t="str">
        <f aca="false">IF(AND($A200="",$B200="",$D200=""),"",IF(AND($A200&lt;&gt;"",COUNTIF('1. Plot &amp; Site Log'!$A$5:$A$64,$A200)=0),"Plot ID not in the Plot &amp; Site Log. ","")&amp;IF(AND(ISNUMBER($D200),ISNUMBER($E200),$E200&lt;=$D200),"Bottom depth is not below top depth. ","")&amp;IF($L200="Not confirmed","Bulk-density basis not confirmed with the lab — the coarse-fragment correction may be wrong or doubled. ","")&amp;IF(LAB_BULK_DENSITY_BASIS="Not confirmed","No lab bulk-density basis is on file in Settings (LAB_BULK_DENSITY_BASIS), so nothing checks this row. ","")&amp;IF(AND($L200&lt;&gt;"",LAB_BULK_DENSITY_BASIS&lt;&gt;"Not confirmed",$L200&lt;&gt;LAB_BULK_DENSITY_BASIS),"This row's bulk-density basis disagrees with the lab method on file. One of "&amp;"the two is wrong, and the coarse-fragment correction follows the row. ","")&amp;IF(AND(ISNUMBER($M200),OR($M200&lt;QC_BD_MIN,$M200&gt;QC_BD_MAX)),"Bulk density outside the plausible range for a mineral grassland soil. ","")&amp;IF(AND(ISNUMBER($N200),$N200&gt;QC_CARBON_PCT_MAX),"Organic carbon above the QC ceiling — check units, and whether this is an organic horizon. ","")&amp;IF(AND(ISNUMBER($J200),$J200&lt;QC_RECOVERY_MIN),"Recovered less than the QC minimum of the depth driven — the increments may not sit where you think. Do NOT stretch them back out. ","")&amp;IF(AND(ISNUMBER($K200),$K200&gt;0,$L200="Fine earth / total volume"),"Coarse fragments recorded and the lab basis already accounts for them — no further correction applied, which is correct. ",""))</f>
        <v/>
      </c>
      <c r="T200" s="6"/>
      <c r="U200" s="9" t="n">
        <f aca="false">IF($B200="",0,IF(COUNTIFS($B$5:$B200,$B200)=1,1,0))</f>
        <v>0</v>
      </c>
    </row>
    <row r="201" customFormat="false" ht="15" hidden="false" customHeight="false" outlineLevel="0" collapsed="false">
      <c r="A201" s="6"/>
      <c r="B201" s="6"/>
      <c r="C201" s="6"/>
      <c r="D201" s="6"/>
      <c r="E201" s="6"/>
      <c r="F201" s="9" t="str">
        <f aca="false">IF(OR($D201="",$E201=""),"",$E201-$D201)</f>
        <v/>
      </c>
      <c r="G201" s="6"/>
      <c r="H201" s="6"/>
      <c r="I201" s="6"/>
      <c r="J201" s="9" t="str">
        <f aca="false">IF(OR(NOT(ISNUMBER($H201)),NOT(ISNUMBER($I201)),$H201=0),"",$I201/$H201)</f>
        <v/>
      </c>
      <c r="K201" s="6"/>
      <c r="L201" s="8"/>
      <c r="M201" s="7"/>
      <c r="N201" s="7"/>
      <c r="O201" s="9" t="str">
        <f aca="false">IF(NOT(ISNUMBER($M201)),"",IF($L201="Fine earth / fine-earth volume",$M201*(1-IF(ISNUMBER($K201),$K201,0)/100),$M201))</f>
        <v/>
      </c>
      <c r="P201" s="9" t="str">
        <f aca="false">IF(OR(NOT(ISNUMBER($O201)),NOT(ISNUMBER($N201)),NOT(ISNUMBER($F201))),"",$O201*($N201/100)*$F201*10)</f>
        <v/>
      </c>
      <c r="Q201" s="9" t="str">
        <f aca="false">IF(OR(NOT(ISNUMBER($D201)),NOT(ISNUMBER($E201))),"",MAX(0,MIN($E201,SOIL_REPORTING_DEPTH_CM)-MIN($D201,SOIL_REPORTING_DEPTH_CM)))</f>
        <v/>
      </c>
      <c r="R201" s="9" t="str">
        <f aca="false">IF(OR(NOT(ISNUMBER($O201)),NOT(ISNUMBER($N201)),NOT(ISNUMBER($Q201))),"",$O201*($N201/100)*$Q201*10)</f>
        <v/>
      </c>
      <c r="S201" s="11" t="str">
        <f aca="false">IF(AND($A201="",$B201="",$D201=""),"",IF(AND($A201&lt;&gt;"",COUNTIF('1. Plot &amp; Site Log'!$A$5:$A$64,$A201)=0),"Plot ID not in the Plot &amp; Site Log. ","")&amp;IF(AND(ISNUMBER($D201),ISNUMBER($E201),$E201&lt;=$D201),"Bottom depth is not below top depth. ","")&amp;IF($L201="Not confirmed","Bulk-density basis not confirmed with the lab — the coarse-fragment correction may be wrong or doubled. ","")&amp;IF(LAB_BULK_DENSITY_BASIS="Not confirmed","No lab bulk-density basis is on file in Settings (LAB_BULK_DENSITY_BASIS), so nothing checks this row. ","")&amp;IF(AND($L201&lt;&gt;"",LAB_BULK_DENSITY_BASIS&lt;&gt;"Not confirmed",$L201&lt;&gt;LAB_BULK_DENSITY_BASIS),"This row's bulk-density basis disagrees with the lab method on file. One of "&amp;"the two is wrong, and the coarse-fragment correction follows the row. ","")&amp;IF(AND(ISNUMBER($M201),OR($M201&lt;QC_BD_MIN,$M201&gt;QC_BD_MAX)),"Bulk density outside the plausible range for a mineral grassland soil. ","")&amp;IF(AND(ISNUMBER($N201),$N201&gt;QC_CARBON_PCT_MAX),"Organic carbon above the QC ceiling — check units, and whether this is an organic horizon. ","")&amp;IF(AND(ISNUMBER($J201),$J201&lt;QC_RECOVERY_MIN),"Recovered less than the QC minimum of the depth driven — the increments may not sit where you think. Do NOT stretch them back out. ","")&amp;IF(AND(ISNUMBER($K201),$K201&gt;0,$L201="Fine earth / total volume"),"Coarse fragments recorded and the lab basis already accounts for them — no further correction applied, which is correct. ",""))</f>
        <v/>
      </c>
      <c r="T201" s="6"/>
      <c r="U201" s="9" t="n">
        <f aca="false">IF($B201="",0,IF(COUNTIFS($B$5:$B201,$B201)=1,1,0))</f>
        <v>0</v>
      </c>
    </row>
    <row r="202" customFormat="false" ht="15" hidden="false" customHeight="false" outlineLevel="0" collapsed="false">
      <c r="A202" s="6"/>
      <c r="B202" s="6"/>
      <c r="C202" s="6"/>
      <c r="D202" s="6"/>
      <c r="E202" s="6"/>
      <c r="F202" s="9" t="str">
        <f aca="false">IF(OR($D202="",$E202=""),"",$E202-$D202)</f>
        <v/>
      </c>
      <c r="G202" s="6"/>
      <c r="H202" s="6"/>
      <c r="I202" s="6"/>
      <c r="J202" s="9" t="str">
        <f aca="false">IF(OR(NOT(ISNUMBER($H202)),NOT(ISNUMBER($I202)),$H202=0),"",$I202/$H202)</f>
        <v/>
      </c>
      <c r="K202" s="6"/>
      <c r="L202" s="8"/>
      <c r="M202" s="7"/>
      <c r="N202" s="7"/>
      <c r="O202" s="9" t="str">
        <f aca="false">IF(NOT(ISNUMBER($M202)),"",IF($L202="Fine earth / fine-earth volume",$M202*(1-IF(ISNUMBER($K202),$K202,0)/100),$M202))</f>
        <v/>
      </c>
      <c r="P202" s="9" t="str">
        <f aca="false">IF(OR(NOT(ISNUMBER($O202)),NOT(ISNUMBER($N202)),NOT(ISNUMBER($F202))),"",$O202*($N202/100)*$F202*10)</f>
        <v/>
      </c>
      <c r="Q202" s="9" t="str">
        <f aca="false">IF(OR(NOT(ISNUMBER($D202)),NOT(ISNUMBER($E202))),"",MAX(0,MIN($E202,SOIL_REPORTING_DEPTH_CM)-MIN($D202,SOIL_REPORTING_DEPTH_CM)))</f>
        <v/>
      </c>
      <c r="R202" s="9" t="str">
        <f aca="false">IF(OR(NOT(ISNUMBER($O202)),NOT(ISNUMBER($N202)),NOT(ISNUMBER($Q202))),"",$O202*($N202/100)*$Q202*10)</f>
        <v/>
      </c>
      <c r="S202" s="11" t="str">
        <f aca="false">IF(AND($A202="",$B202="",$D202=""),"",IF(AND($A202&lt;&gt;"",COUNTIF('1. Plot &amp; Site Log'!$A$5:$A$64,$A202)=0),"Plot ID not in the Plot &amp; Site Log. ","")&amp;IF(AND(ISNUMBER($D202),ISNUMBER($E202),$E202&lt;=$D202),"Bottom depth is not below top depth. ","")&amp;IF($L202="Not confirmed","Bulk-density basis not confirmed with the lab — the coarse-fragment correction may be wrong or doubled. ","")&amp;IF(LAB_BULK_DENSITY_BASIS="Not confirmed","No lab bulk-density basis is on file in Settings (LAB_BULK_DENSITY_BASIS), so nothing checks this row. ","")&amp;IF(AND($L202&lt;&gt;"",LAB_BULK_DENSITY_BASIS&lt;&gt;"Not confirmed",$L202&lt;&gt;LAB_BULK_DENSITY_BASIS),"This row's bulk-density basis disagrees with the lab method on file. One of "&amp;"the two is wrong, and the coarse-fragment correction follows the row. ","")&amp;IF(AND(ISNUMBER($M202),OR($M202&lt;QC_BD_MIN,$M202&gt;QC_BD_MAX)),"Bulk density outside the plausible range for a mineral grassland soil. ","")&amp;IF(AND(ISNUMBER($N202),$N202&gt;QC_CARBON_PCT_MAX),"Organic carbon above the QC ceiling — check units, and whether this is an organic horizon. ","")&amp;IF(AND(ISNUMBER($J202),$J202&lt;QC_RECOVERY_MIN),"Recovered less than the QC minimum of the depth driven — the increments may not sit where you think. Do NOT stretch them back out. ","")&amp;IF(AND(ISNUMBER($K202),$K202&gt;0,$L202="Fine earth / total volume"),"Coarse fragments recorded and the lab basis already accounts for them — no further correction applied, which is correct. ",""))</f>
        <v/>
      </c>
      <c r="T202" s="6"/>
      <c r="U202" s="9" t="n">
        <f aca="false">IF($B202="",0,IF(COUNTIFS($B$5:$B202,$B202)=1,1,0))</f>
        <v>0</v>
      </c>
    </row>
    <row r="203" customFormat="false" ht="15" hidden="false" customHeight="false" outlineLevel="0" collapsed="false">
      <c r="A203" s="6"/>
      <c r="B203" s="6"/>
      <c r="C203" s="6"/>
      <c r="D203" s="6"/>
      <c r="E203" s="6"/>
      <c r="F203" s="9" t="str">
        <f aca="false">IF(OR($D203="",$E203=""),"",$E203-$D203)</f>
        <v/>
      </c>
      <c r="G203" s="6"/>
      <c r="H203" s="6"/>
      <c r="I203" s="6"/>
      <c r="J203" s="9" t="str">
        <f aca="false">IF(OR(NOT(ISNUMBER($H203)),NOT(ISNUMBER($I203)),$H203=0),"",$I203/$H203)</f>
        <v/>
      </c>
      <c r="K203" s="6"/>
      <c r="L203" s="8"/>
      <c r="M203" s="7"/>
      <c r="N203" s="7"/>
      <c r="O203" s="9" t="str">
        <f aca="false">IF(NOT(ISNUMBER($M203)),"",IF($L203="Fine earth / fine-earth volume",$M203*(1-IF(ISNUMBER($K203),$K203,0)/100),$M203))</f>
        <v/>
      </c>
      <c r="P203" s="9" t="str">
        <f aca="false">IF(OR(NOT(ISNUMBER($O203)),NOT(ISNUMBER($N203)),NOT(ISNUMBER($F203))),"",$O203*($N203/100)*$F203*10)</f>
        <v/>
      </c>
      <c r="Q203" s="9" t="str">
        <f aca="false">IF(OR(NOT(ISNUMBER($D203)),NOT(ISNUMBER($E203))),"",MAX(0,MIN($E203,SOIL_REPORTING_DEPTH_CM)-MIN($D203,SOIL_REPORTING_DEPTH_CM)))</f>
        <v/>
      </c>
      <c r="R203" s="9" t="str">
        <f aca="false">IF(OR(NOT(ISNUMBER($O203)),NOT(ISNUMBER($N203)),NOT(ISNUMBER($Q203))),"",$O203*($N203/100)*$Q203*10)</f>
        <v/>
      </c>
      <c r="S203" s="11" t="str">
        <f aca="false">IF(AND($A203="",$B203="",$D203=""),"",IF(AND($A203&lt;&gt;"",COUNTIF('1. Plot &amp; Site Log'!$A$5:$A$64,$A203)=0),"Plot ID not in the Plot &amp; Site Log. ","")&amp;IF(AND(ISNUMBER($D203),ISNUMBER($E203),$E203&lt;=$D203),"Bottom depth is not below top depth. ","")&amp;IF($L203="Not confirmed","Bulk-density basis not confirmed with the lab — the coarse-fragment correction may be wrong or doubled. ","")&amp;IF(LAB_BULK_DENSITY_BASIS="Not confirmed","No lab bulk-density basis is on file in Settings (LAB_BULK_DENSITY_BASIS), so nothing checks this row. ","")&amp;IF(AND($L203&lt;&gt;"",LAB_BULK_DENSITY_BASIS&lt;&gt;"Not confirmed",$L203&lt;&gt;LAB_BULK_DENSITY_BASIS),"This row's bulk-density basis disagrees with the lab method on file. One of "&amp;"the two is wrong, and the coarse-fragment correction follows the row. ","")&amp;IF(AND(ISNUMBER($M203),OR($M203&lt;QC_BD_MIN,$M203&gt;QC_BD_MAX)),"Bulk density outside the plausible range for a mineral grassland soil. ","")&amp;IF(AND(ISNUMBER($N203),$N203&gt;QC_CARBON_PCT_MAX),"Organic carbon above the QC ceiling — check units, and whether this is an organic horizon. ","")&amp;IF(AND(ISNUMBER($J203),$J203&lt;QC_RECOVERY_MIN),"Recovered less than the QC minimum of the depth driven — the increments may not sit where you think. Do NOT stretch them back out. ","")&amp;IF(AND(ISNUMBER($K203),$K203&gt;0,$L203="Fine earth / total volume"),"Coarse fragments recorded and the lab basis already accounts for them — no further correction applied, which is correct. ",""))</f>
        <v/>
      </c>
      <c r="T203" s="6"/>
      <c r="U203" s="9" t="n">
        <f aca="false">IF($B203="",0,IF(COUNTIFS($B$5:$B203,$B203)=1,1,0))</f>
        <v>0</v>
      </c>
    </row>
    <row r="204" customFormat="false" ht="15" hidden="false" customHeight="false" outlineLevel="0" collapsed="false">
      <c r="A204" s="6"/>
      <c r="B204" s="6"/>
      <c r="C204" s="6"/>
      <c r="D204" s="6"/>
      <c r="E204" s="6"/>
      <c r="F204" s="9" t="str">
        <f aca="false">IF(OR($D204="",$E204=""),"",$E204-$D204)</f>
        <v/>
      </c>
      <c r="G204" s="6"/>
      <c r="H204" s="6"/>
      <c r="I204" s="6"/>
      <c r="J204" s="9" t="str">
        <f aca="false">IF(OR(NOT(ISNUMBER($H204)),NOT(ISNUMBER($I204)),$H204=0),"",$I204/$H204)</f>
        <v/>
      </c>
      <c r="K204" s="6"/>
      <c r="L204" s="8"/>
      <c r="M204" s="7"/>
      <c r="N204" s="7"/>
      <c r="O204" s="9" t="str">
        <f aca="false">IF(NOT(ISNUMBER($M204)),"",IF($L204="Fine earth / fine-earth volume",$M204*(1-IF(ISNUMBER($K204),$K204,0)/100),$M204))</f>
        <v/>
      </c>
      <c r="P204" s="9" t="str">
        <f aca="false">IF(OR(NOT(ISNUMBER($O204)),NOT(ISNUMBER($N204)),NOT(ISNUMBER($F204))),"",$O204*($N204/100)*$F204*10)</f>
        <v/>
      </c>
      <c r="Q204" s="9" t="str">
        <f aca="false">IF(OR(NOT(ISNUMBER($D204)),NOT(ISNUMBER($E204))),"",MAX(0,MIN($E204,SOIL_REPORTING_DEPTH_CM)-MIN($D204,SOIL_REPORTING_DEPTH_CM)))</f>
        <v/>
      </c>
      <c r="R204" s="9" t="str">
        <f aca="false">IF(OR(NOT(ISNUMBER($O204)),NOT(ISNUMBER($N204)),NOT(ISNUMBER($Q204))),"",$O204*($N204/100)*$Q204*10)</f>
        <v/>
      </c>
      <c r="S204" s="11" t="str">
        <f aca="false">IF(AND($A204="",$B204="",$D204=""),"",IF(AND($A204&lt;&gt;"",COUNTIF('1. Plot &amp; Site Log'!$A$5:$A$64,$A204)=0),"Plot ID not in the Plot &amp; Site Log. ","")&amp;IF(AND(ISNUMBER($D204),ISNUMBER($E204),$E204&lt;=$D204),"Bottom depth is not below top depth. ","")&amp;IF($L204="Not confirmed","Bulk-density basis not confirmed with the lab — the coarse-fragment correction may be wrong or doubled. ","")&amp;IF(LAB_BULK_DENSITY_BASIS="Not confirmed","No lab bulk-density basis is on file in Settings (LAB_BULK_DENSITY_BASIS), so nothing checks this row. ","")&amp;IF(AND($L204&lt;&gt;"",LAB_BULK_DENSITY_BASIS&lt;&gt;"Not confirmed",$L204&lt;&gt;LAB_BULK_DENSITY_BASIS),"This row's bulk-density basis disagrees with the lab method on file. One of "&amp;"the two is wrong, and the coarse-fragment correction follows the row. ","")&amp;IF(AND(ISNUMBER($M204),OR($M204&lt;QC_BD_MIN,$M204&gt;QC_BD_MAX)),"Bulk density outside the plausible range for a mineral grassland soil. ","")&amp;IF(AND(ISNUMBER($N204),$N204&gt;QC_CARBON_PCT_MAX),"Organic carbon above the QC ceiling — check units, and whether this is an organic horizon. ","")&amp;IF(AND(ISNUMBER($J204),$J204&lt;QC_RECOVERY_MIN),"Recovered less than the QC minimum of the depth driven — the increments may not sit where you think. Do NOT stretch them back out. ","")&amp;IF(AND(ISNUMBER($K204),$K204&gt;0,$L204="Fine earth / total volume"),"Coarse fragments recorded and the lab basis already accounts for them — no further correction applied, which is correct. ",""))</f>
        <v/>
      </c>
      <c r="T204" s="6"/>
      <c r="U204" s="9" t="n">
        <f aca="false">IF($B204="",0,IF(COUNTIFS($B$5:$B204,$B204)=1,1,0))</f>
        <v>0</v>
      </c>
    </row>
    <row r="205" customFormat="false" ht="15" hidden="false" customHeight="false" outlineLevel="0" collapsed="false">
      <c r="A205" s="6"/>
      <c r="B205" s="6"/>
      <c r="C205" s="6"/>
      <c r="D205" s="6"/>
      <c r="E205" s="6"/>
      <c r="F205" s="9" t="str">
        <f aca="false">IF(OR($D205="",$E205=""),"",$E205-$D205)</f>
        <v/>
      </c>
      <c r="G205" s="6"/>
      <c r="H205" s="6"/>
      <c r="I205" s="6"/>
      <c r="J205" s="9" t="str">
        <f aca="false">IF(OR(NOT(ISNUMBER($H205)),NOT(ISNUMBER($I205)),$H205=0),"",$I205/$H205)</f>
        <v/>
      </c>
      <c r="K205" s="6"/>
      <c r="L205" s="8"/>
      <c r="M205" s="7"/>
      <c r="N205" s="7"/>
      <c r="O205" s="9" t="str">
        <f aca="false">IF(NOT(ISNUMBER($M205)),"",IF($L205="Fine earth / fine-earth volume",$M205*(1-IF(ISNUMBER($K205),$K205,0)/100),$M205))</f>
        <v/>
      </c>
      <c r="P205" s="9" t="str">
        <f aca="false">IF(OR(NOT(ISNUMBER($O205)),NOT(ISNUMBER($N205)),NOT(ISNUMBER($F205))),"",$O205*($N205/100)*$F205*10)</f>
        <v/>
      </c>
      <c r="Q205" s="9" t="str">
        <f aca="false">IF(OR(NOT(ISNUMBER($D205)),NOT(ISNUMBER($E205))),"",MAX(0,MIN($E205,SOIL_REPORTING_DEPTH_CM)-MIN($D205,SOIL_REPORTING_DEPTH_CM)))</f>
        <v/>
      </c>
      <c r="R205" s="9" t="str">
        <f aca="false">IF(OR(NOT(ISNUMBER($O205)),NOT(ISNUMBER($N205)),NOT(ISNUMBER($Q205))),"",$O205*($N205/100)*$Q205*10)</f>
        <v/>
      </c>
      <c r="S205" s="11" t="str">
        <f aca="false">IF(AND($A205="",$B205="",$D205=""),"",IF(AND($A205&lt;&gt;"",COUNTIF('1. Plot &amp; Site Log'!$A$5:$A$64,$A205)=0),"Plot ID not in the Plot &amp; Site Log. ","")&amp;IF(AND(ISNUMBER($D205),ISNUMBER($E205),$E205&lt;=$D205),"Bottom depth is not below top depth. ","")&amp;IF($L205="Not confirmed","Bulk-density basis not confirmed with the lab — the coarse-fragment correction may be wrong or doubled. ","")&amp;IF(LAB_BULK_DENSITY_BASIS="Not confirmed","No lab bulk-density basis is on file in Settings (LAB_BULK_DENSITY_BASIS), so nothing checks this row. ","")&amp;IF(AND($L205&lt;&gt;"",LAB_BULK_DENSITY_BASIS&lt;&gt;"Not confirmed",$L205&lt;&gt;LAB_BULK_DENSITY_BASIS),"This row's bulk-density basis disagrees with the lab method on file. One of "&amp;"the two is wrong, and the coarse-fragment correction follows the row. ","")&amp;IF(AND(ISNUMBER($M205),OR($M205&lt;QC_BD_MIN,$M205&gt;QC_BD_MAX)),"Bulk density outside the plausible range for a mineral grassland soil. ","")&amp;IF(AND(ISNUMBER($N205),$N205&gt;QC_CARBON_PCT_MAX),"Organic carbon above the QC ceiling — check units, and whether this is an organic horizon. ","")&amp;IF(AND(ISNUMBER($J205),$J205&lt;QC_RECOVERY_MIN),"Recovered less than the QC minimum of the depth driven — the increments may not sit where you think. Do NOT stretch them back out. ","")&amp;IF(AND(ISNUMBER($K205),$K205&gt;0,$L205="Fine earth / total volume"),"Coarse fragments recorded and the lab basis already accounts for them — no further correction applied, which is correct. ",""))</f>
        <v/>
      </c>
      <c r="T205" s="6"/>
      <c r="U205" s="9" t="n">
        <f aca="false">IF($B205="",0,IF(COUNTIFS($B$5:$B205,$B205)=1,1,0))</f>
        <v>0</v>
      </c>
    </row>
    <row r="206" customFormat="false" ht="15" hidden="false" customHeight="false" outlineLevel="0" collapsed="false">
      <c r="A206" s="6"/>
      <c r="B206" s="6"/>
      <c r="C206" s="6"/>
      <c r="D206" s="6"/>
      <c r="E206" s="6"/>
      <c r="F206" s="9" t="str">
        <f aca="false">IF(OR($D206="",$E206=""),"",$E206-$D206)</f>
        <v/>
      </c>
      <c r="G206" s="6"/>
      <c r="H206" s="6"/>
      <c r="I206" s="6"/>
      <c r="J206" s="9" t="str">
        <f aca="false">IF(OR(NOT(ISNUMBER($H206)),NOT(ISNUMBER($I206)),$H206=0),"",$I206/$H206)</f>
        <v/>
      </c>
      <c r="K206" s="6"/>
      <c r="L206" s="8"/>
      <c r="M206" s="7"/>
      <c r="N206" s="7"/>
      <c r="O206" s="9" t="str">
        <f aca="false">IF(NOT(ISNUMBER($M206)),"",IF($L206="Fine earth / fine-earth volume",$M206*(1-IF(ISNUMBER($K206),$K206,0)/100),$M206))</f>
        <v/>
      </c>
      <c r="P206" s="9" t="str">
        <f aca="false">IF(OR(NOT(ISNUMBER($O206)),NOT(ISNUMBER($N206)),NOT(ISNUMBER($F206))),"",$O206*($N206/100)*$F206*10)</f>
        <v/>
      </c>
      <c r="Q206" s="9" t="str">
        <f aca="false">IF(OR(NOT(ISNUMBER($D206)),NOT(ISNUMBER($E206))),"",MAX(0,MIN($E206,SOIL_REPORTING_DEPTH_CM)-MIN($D206,SOIL_REPORTING_DEPTH_CM)))</f>
        <v/>
      </c>
      <c r="R206" s="9" t="str">
        <f aca="false">IF(OR(NOT(ISNUMBER($O206)),NOT(ISNUMBER($N206)),NOT(ISNUMBER($Q206))),"",$O206*($N206/100)*$Q206*10)</f>
        <v/>
      </c>
      <c r="S206" s="11" t="str">
        <f aca="false">IF(AND($A206="",$B206="",$D206=""),"",IF(AND($A206&lt;&gt;"",COUNTIF('1. Plot &amp; Site Log'!$A$5:$A$64,$A206)=0),"Plot ID not in the Plot &amp; Site Log. ","")&amp;IF(AND(ISNUMBER($D206),ISNUMBER($E206),$E206&lt;=$D206),"Bottom depth is not below top depth. ","")&amp;IF($L206="Not confirmed","Bulk-density basis not confirmed with the lab — the coarse-fragment correction may be wrong or doubled. ","")&amp;IF(LAB_BULK_DENSITY_BASIS="Not confirmed","No lab bulk-density basis is on file in Settings (LAB_BULK_DENSITY_BASIS), so nothing checks this row. ","")&amp;IF(AND($L206&lt;&gt;"",LAB_BULK_DENSITY_BASIS&lt;&gt;"Not confirmed",$L206&lt;&gt;LAB_BULK_DENSITY_BASIS),"This row's bulk-density basis disagrees with the lab method on file. One of "&amp;"the two is wrong, and the coarse-fragment correction follows the row. ","")&amp;IF(AND(ISNUMBER($M206),OR($M206&lt;QC_BD_MIN,$M206&gt;QC_BD_MAX)),"Bulk density outside the plausible range for a mineral grassland soil. ","")&amp;IF(AND(ISNUMBER($N206),$N206&gt;QC_CARBON_PCT_MAX),"Organic carbon above the QC ceiling — check units, and whether this is an organic horizon. ","")&amp;IF(AND(ISNUMBER($J206),$J206&lt;QC_RECOVERY_MIN),"Recovered less than the QC minimum of the depth driven — the increments may not sit where you think. Do NOT stretch them back out. ","")&amp;IF(AND(ISNUMBER($K206),$K206&gt;0,$L206="Fine earth / total volume"),"Coarse fragments recorded and the lab basis already accounts for them — no further correction applied, which is correct. ",""))</f>
        <v/>
      </c>
      <c r="T206" s="6"/>
      <c r="U206" s="9" t="n">
        <f aca="false">IF($B206="",0,IF(COUNTIFS($B$5:$B206,$B206)=1,1,0))</f>
        <v>0</v>
      </c>
    </row>
    <row r="207" customFormat="false" ht="15" hidden="false" customHeight="false" outlineLevel="0" collapsed="false">
      <c r="A207" s="6"/>
      <c r="B207" s="6"/>
      <c r="C207" s="6"/>
      <c r="D207" s="6"/>
      <c r="E207" s="6"/>
      <c r="F207" s="9" t="str">
        <f aca="false">IF(OR($D207="",$E207=""),"",$E207-$D207)</f>
        <v/>
      </c>
      <c r="G207" s="6"/>
      <c r="H207" s="6"/>
      <c r="I207" s="6"/>
      <c r="J207" s="9" t="str">
        <f aca="false">IF(OR(NOT(ISNUMBER($H207)),NOT(ISNUMBER($I207)),$H207=0),"",$I207/$H207)</f>
        <v/>
      </c>
      <c r="K207" s="6"/>
      <c r="L207" s="8"/>
      <c r="M207" s="7"/>
      <c r="N207" s="7"/>
      <c r="O207" s="9" t="str">
        <f aca="false">IF(NOT(ISNUMBER($M207)),"",IF($L207="Fine earth / fine-earth volume",$M207*(1-IF(ISNUMBER($K207),$K207,0)/100),$M207))</f>
        <v/>
      </c>
      <c r="P207" s="9" t="str">
        <f aca="false">IF(OR(NOT(ISNUMBER($O207)),NOT(ISNUMBER($N207)),NOT(ISNUMBER($F207))),"",$O207*($N207/100)*$F207*10)</f>
        <v/>
      </c>
      <c r="Q207" s="9" t="str">
        <f aca="false">IF(OR(NOT(ISNUMBER($D207)),NOT(ISNUMBER($E207))),"",MAX(0,MIN($E207,SOIL_REPORTING_DEPTH_CM)-MIN($D207,SOIL_REPORTING_DEPTH_CM)))</f>
        <v/>
      </c>
      <c r="R207" s="9" t="str">
        <f aca="false">IF(OR(NOT(ISNUMBER($O207)),NOT(ISNUMBER($N207)),NOT(ISNUMBER($Q207))),"",$O207*($N207/100)*$Q207*10)</f>
        <v/>
      </c>
      <c r="S207" s="11" t="str">
        <f aca="false">IF(AND($A207="",$B207="",$D207=""),"",IF(AND($A207&lt;&gt;"",COUNTIF('1. Plot &amp; Site Log'!$A$5:$A$64,$A207)=0),"Plot ID not in the Plot &amp; Site Log. ","")&amp;IF(AND(ISNUMBER($D207),ISNUMBER($E207),$E207&lt;=$D207),"Bottom depth is not below top depth. ","")&amp;IF($L207="Not confirmed","Bulk-density basis not confirmed with the lab — the coarse-fragment correction may be wrong or doubled. ","")&amp;IF(LAB_BULK_DENSITY_BASIS="Not confirmed","No lab bulk-density basis is on file in Settings (LAB_BULK_DENSITY_BASIS), so nothing checks this row. ","")&amp;IF(AND($L207&lt;&gt;"",LAB_BULK_DENSITY_BASIS&lt;&gt;"Not confirmed",$L207&lt;&gt;LAB_BULK_DENSITY_BASIS),"This row's bulk-density basis disagrees with the lab method on file. One of "&amp;"the two is wrong, and the coarse-fragment correction follows the row. ","")&amp;IF(AND(ISNUMBER($M207),OR($M207&lt;QC_BD_MIN,$M207&gt;QC_BD_MAX)),"Bulk density outside the plausible range for a mineral grassland soil. ","")&amp;IF(AND(ISNUMBER($N207),$N207&gt;QC_CARBON_PCT_MAX),"Organic carbon above the QC ceiling — check units, and whether this is an organic horizon. ","")&amp;IF(AND(ISNUMBER($J207),$J207&lt;QC_RECOVERY_MIN),"Recovered less than the QC minimum of the depth driven — the increments may not sit where you think. Do NOT stretch them back out. ","")&amp;IF(AND(ISNUMBER($K207),$K207&gt;0,$L207="Fine earth / total volume"),"Coarse fragments recorded and the lab basis already accounts for them — no further correction applied, which is correct. ",""))</f>
        <v/>
      </c>
      <c r="T207" s="6"/>
      <c r="U207" s="9" t="n">
        <f aca="false">IF($B207="",0,IF(COUNTIFS($B$5:$B207,$B207)=1,1,0))</f>
        <v>0</v>
      </c>
    </row>
    <row r="208" customFormat="false" ht="15" hidden="false" customHeight="false" outlineLevel="0" collapsed="false">
      <c r="A208" s="6"/>
      <c r="B208" s="6"/>
      <c r="C208" s="6"/>
      <c r="D208" s="6"/>
      <c r="E208" s="6"/>
      <c r="F208" s="9" t="str">
        <f aca="false">IF(OR($D208="",$E208=""),"",$E208-$D208)</f>
        <v/>
      </c>
      <c r="G208" s="6"/>
      <c r="H208" s="6"/>
      <c r="I208" s="6"/>
      <c r="J208" s="9" t="str">
        <f aca="false">IF(OR(NOT(ISNUMBER($H208)),NOT(ISNUMBER($I208)),$H208=0),"",$I208/$H208)</f>
        <v/>
      </c>
      <c r="K208" s="6"/>
      <c r="L208" s="8"/>
      <c r="M208" s="7"/>
      <c r="N208" s="7"/>
      <c r="O208" s="9" t="str">
        <f aca="false">IF(NOT(ISNUMBER($M208)),"",IF($L208="Fine earth / fine-earth volume",$M208*(1-IF(ISNUMBER($K208),$K208,0)/100),$M208))</f>
        <v/>
      </c>
      <c r="P208" s="9" t="str">
        <f aca="false">IF(OR(NOT(ISNUMBER($O208)),NOT(ISNUMBER($N208)),NOT(ISNUMBER($F208))),"",$O208*($N208/100)*$F208*10)</f>
        <v/>
      </c>
      <c r="Q208" s="9" t="str">
        <f aca="false">IF(OR(NOT(ISNUMBER($D208)),NOT(ISNUMBER($E208))),"",MAX(0,MIN($E208,SOIL_REPORTING_DEPTH_CM)-MIN($D208,SOIL_REPORTING_DEPTH_CM)))</f>
        <v/>
      </c>
      <c r="R208" s="9" t="str">
        <f aca="false">IF(OR(NOT(ISNUMBER($O208)),NOT(ISNUMBER($N208)),NOT(ISNUMBER($Q208))),"",$O208*($N208/100)*$Q208*10)</f>
        <v/>
      </c>
      <c r="S208" s="11" t="str">
        <f aca="false">IF(AND($A208="",$B208="",$D208=""),"",IF(AND($A208&lt;&gt;"",COUNTIF('1. Plot &amp; Site Log'!$A$5:$A$64,$A208)=0),"Plot ID not in the Plot &amp; Site Log. ","")&amp;IF(AND(ISNUMBER($D208),ISNUMBER($E208),$E208&lt;=$D208),"Bottom depth is not below top depth. ","")&amp;IF($L208="Not confirmed","Bulk-density basis not confirmed with the lab — the coarse-fragment correction may be wrong or doubled. ","")&amp;IF(LAB_BULK_DENSITY_BASIS="Not confirmed","No lab bulk-density basis is on file in Settings (LAB_BULK_DENSITY_BASIS), so nothing checks this row. ","")&amp;IF(AND($L208&lt;&gt;"",LAB_BULK_DENSITY_BASIS&lt;&gt;"Not confirmed",$L208&lt;&gt;LAB_BULK_DENSITY_BASIS),"This row's bulk-density basis disagrees with the lab method on file. One of "&amp;"the two is wrong, and the coarse-fragment correction follows the row. ","")&amp;IF(AND(ISNUMBER($M208),OR($M208&lt;QC_BD_MIN,$M208&gt;QC_BD_MAX)),"Bulk density outside the plausible range for a mineral grassland soil. ","")&amp;IF(AND(ISNUMBER($N208),$N208&gt;QC_CARBON_PCT_MAX),"Organic carbon above the QC ceiling — check units, and whether this is an organic horizon. ","")&amp;IF(AND(ISNUMBER($J208),$J208&lt;QC_RECOVERY_MIN),"Recovered less than the QC minimum of the depth driven — the increments may not sit where you think. Do NOT stretch them back out. ","")&amp;IF(AND(ISNUMBER($K208),$K208&gt;0,$L208="Fine earth / total volume"),"Coarse fragments recorded and the lab basis already accounts for them — no further correction applied, which is correct. ",""))</f>
        <v/>
      </c>
      <c r="T208" s="6"/>
      <c r="U208" s="9" t="n">
        <f aca="false">IF($B208="",0,IF(COUNTIFS($B$5:$B208,$B208)=1,1,0))</f>
        <v>0</v>
      </c>
    </row>
    <row r="209" customFormat="false" ht="15" hidden="false" customHeight="false" outlineLevel="0" collapsed="false">
      <c r="A209" s="6"/>
      <c r="B209" s="6"/>
      <c r="C209" s="6"/>
      <c r="D209" s="6"/>
      <c r="E209" s="6"/>
      <c r="F209" s="9" t="str">
        <f aca="false">IF(OR($D209="",$E209=""),"",$E209-$D209)</f>
        <v/>
      </c>
      <c r="G209" s="6"/>
      <c r="H209" s="6"/>
      <c r="I209" s="6"/>
      <c r="J209" s="9" t="str">
        <f aca="false">IF(OR(NOT(ISNUMBER($H209)),NOT(ISNUMBER($I209)),$H209=0),"",$I209/$H209)</f>
        <v/>
      </c>
      <c r="K209" s="6"/>
      <c r="L209" s="8"/>
      <c r="M209" s="7"/>
      <c r="N209" s="7"/>
      <c r="O209" s="9" t="str">
        <f aca="false">IF(NOT(ISNUMBER($M209)),"",IF($L209="Fine earth / fine-earth volume",$M209*(1-IF(ISNUMBER($K209),$K209,0)/100),$M209))</f>
        <v/>
      </c>
      <c r="P209" s="9" t="str">
        <f aca="false">IF(OR(NOT(ISNUMBER($O209)),NOT(ISNUMBER($N209)),NOT(ISNUMBER($F209))),"",$O209*($N209/100)*$F209*10)</f>
        <v/>
      </c>
      <c r="Q209" s="9" t="str">
        <f aca="false">IF(OR(NOT(ISNUMBER($D209)),NOT(ISNUMBER($E209))),"",MAX(0,MIN($E209,SOIL_REPORTING_DEPTH_CM)-MIN($D209,SOIL_REPORTING_DEPTH_CM)))</f>
        <v/>
      </c>
      <c r="R209" s="9" t="str">
        <f aca="false">IF(OR(NOT(ISNUMBER($O209)),NOT(ISNUMBER($N209)),NOT(ISNUMBER($Q209))),"",$O209*($N209/100)*$Q209*10)</f>
        <v/>
      </c>
      <c r="S209" s="11" t="str">
        <f aca="false">IF(AND($A209="",$B209="",$D209=""),"",IF(AND($A209&lt;&gt;"",COUNTIF('1. Plot &amp; Site Log'!$A$5:$A$64,$A209)=0),"Plot ID not in the Plot &amp; Site Log. ","")&amp;IF(AND(ISNUMBER($D209),ISNUMBER($E209),$E209&lt;=$D209),"Bottom depth is not below top depth. ","")&amp;IF($L209="Not confirmed","Bulk-density basis not confirmed with the lab — the coarse-fragment correction may be wrong or doubled. ","")&amp;IF(LAB_BULK_DENSITY_BASIS="Not confirmed","No lab bulk-density basis is on file in Settings (LAB_BULK_DENSITY_BASIS), so nothing checks this row. ","")&amp;IF(AND($L209&lt;&gt;"",LAB_BULK_DENSITY_BASIS&lt;&gt;"Not confirmed",$L209&lt;&gt;LAB_BULK_DENSITY_BASIS),"This row's bulk-density basis disagrees with the lab method on file. One of "&amp;"the two is wrong, and the coarse-fragment correction follows the row. ","")&amp;IF(AND(ISNUMBER($M209),OR($M209&lt;QC_BD_MIN,$M209&gt;QC_BD_MAX)),"Bulk density outside the plausible range for a mineral grassland soil. ","")&amp;IF(AND(ISNUMBER($N209),$N209&gt;QC_CARBON_PCT_MAX),"Organic carbon above the QC ceiling — check units, and whether this is an organic horizon. ","")&amp;IF(AND(ISNUMBER($J209),$J209&lt;QC_RECOVERY_MIN),"Recovered less than the QC minimum of the depth driven — the increments may not sit where you think. Do NOT stretch them back out. ","")&amp;IF(AND(ISNUMBER($K209),$K209&gt;0,$L209="Fine earth / total volume"),"Coarse fragments recorded and the lab basis already accounts for them — no further correction applied, which is correct. ",""))</f>
        <v/>
      </c>
      <c r="T209" s="6"/>
      <c r="U209" s="9" t="n">
        <f aca="false">IF($B209="",0,IF(COUNTIFS($B$5:$B209,$B209)=1,1,0))</f>
        <v>0</v>
      </c>
    </row>
    <row r="210" customFormat="false" ht="15" hidden="false" customHeight="false" outlineLevel="0" collapsed="false">
      <c r="A210" s="6"/>
      <c r="B210" s="6"/>
      <c r="C210" s="6"/>
      <c r="D210" s="6"/>
      <c r="E210" s="6"/>
      <c r="F210" s="9" t="str">
        <f aca="false">IF(OR($D210="",$E210=""),"",$E210-$D210)</f>
        <v/>
      </c>
      <c r="G210" s="6"/>
      <c r="H210" s="6"/>
      <c r="I210" s="6"/>
      <c r="J210" s="9" t="str">
        <f aca="false">IF(OR(NOT(ISNUMBER($H210)),NOT(ISNUMBER($I210)),$H210=0),"",$I210/$H210)</f>
        <v/>
      </c>
      <c r="K210" s="6"/>
      <c r="L210" s="8"/>
      <c r="M210" s="7"/>
      <c r="N210" s="7"/>
      <c r="O210" s="9" t="str">
        <f aca="false">IF(NOT(ISNUMBER($M210)),"",IF($L210="Fine earth / fine-earth volume",$M210*(1-IF(ISNUMBER($K210),$K210,0)/100),$M210))</f>
        <v/>
      </c>
      <c r="P210" s="9" t="str">
        <f aca="false">IF(OR(NOT(ISNUMBER($O210)),NOT(ISNUMBER($N210)),NOT(ISNUMBER($F210))),"",$O210*($N210/100)*$F210*10)</f>
        <v/>
      </c>
      <c r="Q210" s="9" t="str">
        <f aca="false">IF(OR(NOT(ISNUMBER($D210)),NOT(ISNUMBER($E210))),"",MAX(0,MIN($E210,SOIL_REPORTING_DEPTH_CM)-MIN($D210,SOIL_REPORTING_DEPTH_CM)))</f>
        <v/>
      </c>
      <c r="R210" s="9" t="str">
        <f aca="false">IF(OR(NOT(ISNUMBER($O210)),NOT(ISNUMBER($N210)),NOT(ISNUMBER($Q210))),"",$O210*($N210/100)*$Q210*10)</f>
        <v/>
      </c>
      <c r="S210" s="11" t="str">
        <f aca="false">IF(AND($A210="",$B210="",$D210=""),"",IF(AND($A210&lt;&gt;"",COUNTIF('1. Plot &amp; Site Log'!$A$5:$A$64,$A210)=0),"Plot ID not in the Plot &amp; Site Log. ","")&amp;IF(AND(ISNUMBER($D210),ISNUMBER($E210),$E210&lt;=$D210),"Bottom depth is not below top depth. ","")&amp;IF($L210="Not confirmed","Bulk-density basis not confirmed with the lab — the coarse-fragment correction may be wrong or doubled. ","")&amp;IF(LAB_BULK_DENSITY_BASIS="Not confirmed","No lab bulk-density basis is on file in Settings (LAB_BULK_DENSITY_BASIS), so nothing checks this row. ","")&amp;IF(AND($L210&lt;&gt;"",LAB_BULK_DENSITY_BASIS&lt;&gt;"Not confirmed",$L210&lt;&gt;LAB_BULK_DENSITY_BASIS),"This row's bulk-density basis disagrees with the lab method on file. One of "&amp;"the two is wrong, and the coarse-fragment correction follows the row. ","")&amp;IF(AND(ISNUMBER($M210),OR($M210&lt;QC_BD_MIN,$M210&gt;QC_BD_MAX)),"Bulk density outside the plausible range for a mineral grassland soil. ","")&amp;IF(AND(ISNUMBER($N210),$N210&gt;QC_CARBON_PCT_MAX),"Organic carbon above the QC ceiling — check units, and whether this is an organic horizon. ","")&amp;IF(AND(ISNUMBER($J210),$J210&lt;QC_RECOVERY_MIN),"Recovered less than the QC minimum of the depth driven — the increments may not sit where you think. Do NOT stretch them back out. ","")&amp;IF(AND(ISNUMBER($K210),$K210&gt;0,$L210="Fine earth / total volume"),"Coarse fragments recorded and the lab basis already accounts for them — no further correction applied, which is correct. ",""))</f>
        <v/>
      </c>
      <c r="T210" s="6"/>
      <c r="U210" s="9" t="n">
        <f aca="false">IF($B210="",0,IF(COUNTIFS($B$5:$B210,$B210)=1,1,0))</f>
        <v>0</v>
      </c>
    </row>
    <row r="211" customFormat="false" ht="15" hidden="false" customHeight="false" outlineLevel="0" collapsed="false">
      <c r="A211" s="6"/>
      <c r="B211" s="6"/>
      <c r="C211" s="6"/>
      <c r="D211" s="6"/>
      <c r="E211" s="6"/>
      <c r="F211" s="9" t="str">
        <f aca="false">IF(OR($D211="",$E211=""),"",$E211-$D211)</f>
        <v/>
      </c>
      <c r="G211" s="6"/>
      <c r="H211" s="6"/>
      <c r="I211" s="6"/>
      <c r="J211" s="9" t="str">
        <f aca="false">IF(OR(NOT(ISNUMBER($H211)),NOT(ISNUMBER($I211)),$H211=0),"",$I211/$H211)</f>
        <v/>
      </c>
      <c r="K211" s="6"/>
      <c r="L211" s="8"/>
      <c r="M211" s="7"/>
      <c r="N211" s="7"/>
      <c r="O211" s="9" t="str">
        <f aca="false">IF(NOT(ISNUMBER($M211)),"",IF($L211="Fine earth / fine-earth volume",$M211*(1-IF(ISNUMBER($K211),$K211,0)/100),$M211))</f>
        <v/>
      </c>
      <c r="P211" s="9" t="str">
        <f aca="false">IF(OR(NOT(ISNUMBER($O211)),NOT(ISNUMBER($N211)),NOT(ISNUMBER($F211))),"",$O211*($N211/100)*$F211*10)</f>
        <v/>
      </c>
      <c r="Q211" s="9" t="str">
        <f aca="false">IF(OR(NOT(ISNUMBER($D211)),NOT(ISNUMBER($E211))),"",MAX(0,MIN($E211,SOIL_REPORTING_DEPTH_CM)-MIN($D211,SOIL_REPORTING_DEPTH_CM)))</f>
        <v/>
      </c>
      <c r="R211" s="9" t="str">
        <f aca="false">IF(OR(NOT(ISNUMBER($O211)),NOT(ISNUMBER($N211)),NOT(ISNUMBER($Q211))),"",$O211*($N211/100)*$Q211*10)</f>
        <v/>
      </c>
      <c r="S211" s="11" t="str">
        <f aca="false">IF(AND($A211="",$B211="",$D211=""),"",IF(AND($A211&lt;&gt;"",COUNTIF('1. Plot &amp; Site Log'!$A$5:$A$64,$A211)=0),"Plot ID not in the Plot &amp; Site Log. ","")&amp;IF(AND(ISNUMBER($D211),ISNUMBER($E211),$E211&lt;=$D211),"Bottom depth is not below top depth. ","")&amp;IF($L211="Not confirmed","Bulk-density basis not confirmed with the lab — the coarse-fragment correction may be wrong or doubled. ","")&amp;IF(LAB_BULK_DENSITY_BASIS="Not confirmed","No lab bulk-density basis is on file in Settings (LAB_BULK_DENSITY_BASIS), so nothing checks this row. ","")&amp;IF(AND($L211&lt;&gt;"",LAB_BULK_DENSITY_BASIS&lt;&gt;"Not confirmed",$L211&lt;&gt;LAB_BULK_DENSITY_BASIS),"This row's bulk-density basis disagrees with the lab method on file. One of "&amp;"the two is wrong, and the coarse-fragment correction follows the row. ","")&amp;IF(AND(ISNUMBER($M211),OR($M211&lt;QC_BD_MIN,$M211&gt;QC_BD_MAX)),"Bulk density outside the plausible range for a mineral grassland soil. ","")&amp;IF(AND(ISNUMBER($N211),$N211&gt;QC_CARBON_PCT_MAX),"Organic carbon above the QC ceiling — check units, and whether this is an organic horizon. ","")&amp;IF(AND(ISNUMBER($J211),$J211&lt;QC_RECOVERY_MIN),"Recovered less than the QC minimum of the depth driven — the increments may not sit where you think. Do NOT stretch them back out. ","")&amp;IF(AND(ISNUMBER($K211),$K211&gt;0,$L211="Fine earth / total volume"),"Coarse fragments recorded and the lab basis already accounts for them — no further correction applied, which is correct. ",""))</f>
        <v/>
      </c>
      <c r="T211" s="6"/>
      <c r="U211" s="9" t="n">
        <f aca="false">IF($B211="",0,IF(COUNTIFS($B$5:$B211,$B211)=1,1,0))</f>
        <v>0</v>
      </c>
    </row>
    <row r="212" customFormat="false" ht="15" hidden="false" customHeight="false" outlineLevel="0" collapsed="false">
      <c r="A212" s="6"/>
      <c r="B212" s="6"/>
      <c r="C212" s="6"/>
      <c r="D212" s="6"/>
      <c r="E212" s="6"/>
      <c r="F212" s="9" t="str">
        <f aca="false">IF(OR($D212="",$E212=""),"",$E212-$D212)</f>
        <v/>
      </c>
      <c r="G212" s="6"/>
      <c r="H212" s="6"/>
      <c r="I212" s="6"/>
      <c r="J212" s="9" t="str">
        <f aca="false">IF(OR(NOT(ISNUMBER($H212)),NOT(ISNUMBER($I212)),$H212=0),"",$I212/$H212)</f>
        <v/>
      </c>
      <c r="K212" s="6"/>
      <c r="L212" s="8"/>
      <c r="M212" s="7"/>
      <c r="N212" s="7"/>
      <c r="O212" s="9" t="str">
        <f aca="false">IF(NOT(ISNUMBER($M212)),"",IF($L212="Fine earth / fine-earth volume",$M212*(1-IF(ISNUMBER($K212),$K212,0)/100),$M212))</f>
        <v/>
      </c>
      <c r="P212" s="9" t="str">
        <f aca="false">IF(OR(NOT(ISNUMBER($O212)),NOT(ISNUMBER($N212)),NOT(ISNUMBER($F212))),"",$O212*($N212/100)*$F212*10)</f>
        <v/>
      </c>
      <c r="Q212" s="9" t="str">
        <f aca="false">IF(OR(NOT(ISNUMBER($D212)),NOT(ISNUMBER($E212))),"",MAX(0,MIN($E212,SOIL_REPORTING_DEPTH_CM)-MIN($D212,SOIL_REPORTING_DEPTH_CM)))</f>
        <v/>
      </c>
      <c r="R212" s="9" t="str">
        <f aca="false">IF(OR(NOT(ISNUMBER($O212)),NOT(ISNUMBER($N212)),NOT(ISNUMBER($Q212))),"",$O212*($N212/100)*$Q212*10)</f>
        <v/>
      </c>
      <c r="S212" s="11" t="str">
        <f aca="false">IF(AND($A212="",$B212="",$D212=""),"",IF(AND($A212&lt;&gt;"",COUNTIF('1. Plot &amp; Site Log'!$A$5:$A$64,$A212)=0),"Plot ID not in the Plot &amp; Site Log. ","")&amp;IF(AND(ISNUMBER($D212),ISNUMBER($E212),$E212&lt;=$D212),"Bottom depth is not below top depth. ","")&amp;IF($L212="Not confirmed","Bulk-density basis not confirmed with the lab — the coarse-fragment correction may be wrong or doubled. ","")&amp;IF(LAB_BULK_DENSITY_BASIS="Not confirmed","No lab bulk-density basis is on file in Settings (LAB_BULK_DENSITY_BASIS), so nothing checks this row. ","")&amp;IF(AND($L212&lt;&gt;"",LAB_BULK_DENSITY_BASIS&lt;&gt;"Not confirmed",$L212&lt;&gt;LAB_BULK_DENSITY_BASIS),"This row's bulk-density basis disagrees with the lab method on file. One of "&amp;"the two is wrong, and the coarse-fragment correction follows the row. ","")&amp;IF(AND(ISNUMBER($M212),OR($M212&lt;QC_BD_MIN,$M212&gt;QC_BD_MAX)),"Bulk density outside the plausible range for a mineral grassland soil. ","")&amp;IF(AND(ISNUMBER($N212),$N212&gt;QC_CARBON_PCT_MAX),"Organic carbon above the QC ceiling — check units, and whether this is an organic horizon. ","")&amp;IF(AND(ISNUMBER($J212),$J212&lt;QC_RECOVERY_MIN),"Recovered less than the QC minimum of the depth driven — the increments may not sit where you think. Do NOT stretch them back out. ","")&amp;IF(AND(ISNUMBER($K212),$K212&gt;0,$L212="Fine earth / total volume"),"Coarse fragments recorded and the lab basis already accounts for them — no further correction applied, which is correct. ",""))</f>
        <v/>
      </c>
      <c r="T212" s="6"/>
      <c r="U212" s="9" t="n">
        <f aca="false">IF($B212="",0,IF(COUNTIFS($B$5:$B212,$B212)=1,1,0))</f>
        <v>0</v>
      </c>
    </row>
    <row r="213" customFormat="false" ht="15" hidden="false" customHeight="false" outlineLevel="0" collapsed="false">
      <c r="A213" s="6"/>
      <c r="B213" s="6"/>
      <c r="C213" s="6"/>
      <c r="D213" s="6"/>
      <c r="E213" s="6"/>
      <c r="F213" s="9" t="str">
        <f aca="false">IF(OR($D213="",$E213=""),"",$E213-$D213)</f>
        <v/>
      </c>
      <c r="G213" s="6"/>
      <c r="H213" s="6"/>
      <c r="I213" s="6"/>
      <c r="J213" s="9" t="str">
        <f aca="false">IF(OR(NOT(ISNUMBER($H213)),NOT(ISNUMBER($I213)),$H213=0),"",$I213/$H213)</f>
        <v/>
      </c>
      <c r="K213" s="6"/>
      <c r="L213" s="8"/>
      <c r="M213" s="7"/>
      <c r="N213" s="7"/>
      <c r="O213" s="9" t="str">
        <f aca="false">IF(NOT(ISNUMBER($M213)),"",IF($L213="Fine earth / fine-earth volume",$M213*(1-IF(ISNUMBER($K213),$K213,0)/100),$M213))</f>
        <v/>
      </c>
      <c r="P213" s="9" t="str">
        <f aca="false">IF(OR(NOT(ISNUMBER($O213)),NOT(ISNUMBER($N213)),NOT(ISNUMBER($F213))),"",$O213*($N213/100)*$F213*10)</f>
        <v/>
      </c>
      <c r="Q213" s="9" t="str">
        <f aca="false">IF(OR(NOT(ISNUMBER($D213)),NOT(ISNUMBER($E213))),"",MAX(0,MIN($E213,SOIL_REPORTING_DEPTH_CM)-MIN($D213,SOIL_REPORTING_DEPTH_CM)))</f>
        <v/>
      </c>
      <c r="R213" s="9" t="str">
        <f aca="false">IF(OR(NOT(ISNUMBER($O213)),NOT(ISNUMBER($N213)),NOT(ISNUMBER($Q213))),"",$O213*($N213/100)*$Q213*10)</f>
        <v/>
      </c>
      <c r="S213" s="11" t="str">
        <f aca="false">IF(AND($A213="",$B213="",$D213=""),"",IF(AND($A213&lt;&gt;"",COUNTIF('1. Plot &amp; Site Log'!$A$5:$A$64,$A213)=0),"Plot ID not in the Plot &amp; Site Log. ","")&amp;IF(AND(ISNUMBER($D213),ISNUMBER($E213),$E213&lt;=$D213),"Bottom depth is not below top depth. ","")&amp;IF($L213="Not confirmed","Bulk-density basis not confirmed with the lab — the coarse-fragment correction may be wrong or doubled. ","")&amp;IF(LAB_BULK_DENSITY_BASIS="Not confirmed","No lab bulk-density basis is on file in Settings (LAB_BULK_DENSITY_BASIS), so nothing checks this row. ","")&amp;IF(AND($L213&lt;&gt;"",LAB_BULK_DENSITY_BASIS&lt;&gt;"Not confirmed",$L213&lt;&gt;LAB_BULK_DENSITY_BASIS),"This row's bulk-density basis disagrees with the lab method on file. One of "&amp;"the two is wrong, and the coarse-fragment correction follows the row. ","")&amp;IF(AND(ISNUMBER($M213),OR($M213&lt;QC_BD_MIN,$M213&gt;QC_BD_MAX)),"Bulk density outside the plausible range for a mineral grassland soil. ","")&amp;IF(AND(ISNUMBER($N213),$N213&gt;QC_CARBON_PCT_MAX),"Organic carbon above the QC ceiling — check units, and whether this is an organic horizon. ","")&amp;IF(AND(ISNUMBER($J213),$J213&lt;QC_RECOVERY_MIN),"Recovered less than the QC minimum of the depth driven — the increments may not sit where you think. Do NOT stretch them back out. ","")&amp;IF(AND(ISNUMBER($K213),$K213&gt;0,$L213="Fine earth / total volume"),"Coarse fragments recorded and the lab basis already accounts for them — no further correction applied, which is correct. ",""))</f>
        <v/>
      </c>
      <c r="T213" s="6"/>
      <c r="U213" s="9" t="n">
        <f aca="false">IF($B213="",0,IF(COUNTIFS($B$5:$B213,$B213)=1,1,0))</f>
        <v>0</v>
      </c>
    </row>
    <row r="214" customFormat="false" ht="15" hidden="false" customHeight="false" outlineLevel="0" collapsed="false">
      <c r="A214" s="6"/>
      <c r="B214" s="6"/>
      <c r="C214" s="6"/>
      <c r="D214" s="6"/>
      <c r="E214" s="6"/>
      <c r="F214" s="9" t="str">
        <f aca="false">IF(OR($D214="",$E214=""),"",$E214-$D214)</f>
        <v/>
      </c>
      <c r="G214" s="6"/>
      <c r="H214" s="6"/>
      <c r="I214" s="6"/>
      <c r="J214" s="9" t="str">
        <f aca="false">IF(OR(NOT(ISNUMBER($H214)),NOT(ISNUMBER($I214)),$H214=0),"",$I214/$H214)</f>
        <v/>
      </c>
      <c r="K214" s="6"/>
      <c r="L214" s="8"/>
      <c r="M214" s="7"/>
      <c r="N214" s="7"/>
      <c r="O214" s="9" t="str">
        <f aca="false">IF(NOT(ISNUMBER($M214)),"",IF($L214="Fine earth / fine-earth volume",$M214*(1-IF(ISNUMBER($K214),$K214,0)/100),$M214))</f>
        <v/>
      </c>
      <c r="P214" s="9" t="str">
        <f aca="false">IF(OR(NOT(ISNUMBER($O214)),NOT(ISNUMBER($N214)),NOT(ISNUMBER($F214))),"",$O214*($N214/100)*$F214*10)</f>
        <v/>
      </c>
      <c r="Q214" s="9" t="str">
        <f aca="false">IF(OR(NOT(ISNUMBER($D214)),NOT(ISNUMBER($E214))),"",MAX(0,MIN($E214,SOIL_REPORTING_DEPTH_CM)-MIN($D214,SOIL_REPORTING_DEPTH_CM)))</f>
        <v/>
      </c>
      <c r="R214" s="9" t="str">
        <f aca="false">IF(OR(NOT(ISNUMBER($O214)),NOT(ISNUMBER($N214)),NOT(ISNUMBER($Q214))),"",$O214*($N214/100)*$Q214*10)</f>
        <v/>
      </c>
      <c r="S214" s="11" t="str">
        <f aca="false">IF(AND($A214="",$B214="",$D214=""),"",IF(AND($A214&lt;&gt;"",COUNTIF('1. Plot &amp; Site Log'!$A$5:$A$64,$A214)=0),"Plot ID not in the Plot &amp; Site Log. ","")&amp;IF(AND(ISNUMBER($D214),ISNUMBER($E214),$E214&lt;=$D214),"Bottom depth is not below top depth. ","")&amp;IF($L214="Not confirmed","Bulk-density basis not confirmed with the lab — the coarse-fragment correction may be wrong or doubled. ","")&amp;IF(LAB_BULK_DENSITY_BASIS="Not confirmed","No lab bulk-density basis is on file in Settings (LAB_BULK_DENSITY_BASIS), so nothing checks this row. ","")&amp;IF(AND($L214&lt;&gt;"",LAB_BULK_DENSITY_BASIS&lt;&gt;"Not confirmed",$L214&lt;&gt;LAB_BULK_DENSITY_BASIS),"This row's bulk-density basis disagrees with the lab method on file. One of "&amp;"the two is wrong, and the coarse-fragment correction follows the row. ","")&amp;IF(AND(ISNUMBER($M214),OR($M214&lt;QC_BD_MIN,$M214&gt;QC_BD_MAX)),"Bulk density outside the plausible range for a mineral grassland soil. ","")&amp;IF(AND(ISNUMBER($N214),$N214&gt;QC_CARBON_PCT_MAX),"Organic carbon above the QC ceiling — check units, and whether this is an organic horizon. ","")&amp;IF(AND(ISNUMBER($J214),$J214&lt;QC_RECOVERY_MIN),"Recovered less than the QC minimum of the depth driven — the increments may not sit where you think. Do NOT stretch them back out. ","")&amp;IF(AND(ISNUMBER($K214),$K214&gt;0,$L214="Fine earth / total volume"),"Coarse fragments recorded and the lab basis already accounts for them — no further correction applied, which is correct. ",""))</f>
        <v/>
      </c>
      <c r="T214" s="6"/>
      <c r="U214" s="9" t="n">
        <f aca="false">IF($B214="",0,IF(COUNTIFS($B$5:$B214,$B214)=1,1,0))</f>
        <v>0</v>
      </c>
    </row>
    <row r="215" customFormat="false" ht="15" hidden="false" customHeight="false" outlineLevel="0" collapsed="false">
      <c r="A215" s="6"/>
      <c r="B215" s="6"/>
      <c r="C215" s="6"/>
      <c r="D215" s="6"/>
      <c r="E215" s="6"/>
      <c r="F215" s="9" t="str">
        <f aca="false">IF(OR($D215="",$E215=""),"",$E215-$D215)</f>
        <v/>
      </c>
      <c r="G215" s="6"/>
      <c r="H215" s="6"/>
      <c r="I215" s="6"/>
      <c r="J215" s="9" t="str">
        <f aca="false">IF(OR(NOT(ISNUMBER($H215)),NOT(ISNUMBER($I215)),$H215=0),"",$I215/$H215)</f>
        <v/>
      </c>
      <c r="K215" s="6"/>
      <c r="L215" s="8"/>
      <c r="M215" s="7"/>
      <c r="N215" s="7"/>
      <c r="O215" s="9" t="str">
        <f aca="false">IF(NOT(ISNUMBER($M215)),"",IF($L215="Fine earth / fine-earth volume",$M215*(1-IF(ISNUMBER($K215),$K215,0)/100),$M215))</f>
        <v/>
      </c>
      <c r="P215" s="9" t="str">
        <f aca="false">IF(OR(NOT(ISNUMBER($O215)),NOT(ISNUMBER($N215)),NOT(ISNUMBER($F215))),"",$O215*($N215/100)*$F215*10)</f>
        <v/>
      </c>
      <c r="Q215" s="9" t="str">
        <f aca="false">IF(OR(NOT(ISNUMBER($D215)),NOT(ISNUMBER($E215))),"",MAX(0,MIN($E215,SOIL_REPORTING_DEPTH_CM)-MIN($D215,SOIL_REPORTING_DEPTH_CM)))</f>
        <v/>
      </c>
      <c r="R215" s="9" t="str">
        <f aca="false">IF(OR(NOT(ISNUMBER($O215)),NOT(ISNUMBER($N215)),NOT(ISNUMBER($Q215))),"",$O215*($N215/100)*$Q215*10)</f>
        <v/>
      </c>
      <c r="S215" s="11" t="str">
        <f aca="false">IF(AND($A215="",$B215="",$D215=""),"",IF(AND($A215&lt;&gt;"",COUNTIF('1. Plot &amp; Site Log'!$A$5:$A$64,$A215)=0),"Plot ID not in the Plot &amp; Site Log. ","")&amp;IF(AND(ISNUMBER($D215),ISNUMBER($E215),$E215&lt;=$D215),"Bottom depth is not below top depth. ","")&amp;IF($L215="Not confirmed","Bulk-density basis not confirmed with the lab — the coarse-fragment correction may be wrong or doubled. ","")&amp;IF(LAB_BULK_DENSITY_BASIS="Not confirmed","No lab bulk-density basis is on file in Settings (LAB_BULK_DENSITY_BASIS), so nothing checks this row. ","")&amp;IF(AND($L215&lt;&gt;"",LAB_BULK_DENSITY_BASIS&lt;&gt;"Not confirmed",$L215&lt;&gt;LAB_BULK_DENSITY_BASIS),"This row's bulk-density basis disagrees with the lab method on file. One of "&amp;"the two is wrong, and the coarse-fragment correction follows the row. ","")&amp;IF(AND(ISNUMBER($M215),OR($M215&lt;QC_BD_MIN,$M215&gt;QC_BD_MAX)),"Bulk density outside the plausible range for a mineral grassland soil. ","")&amp;IF(AND(ISNUMBER($N215),$N215&gt;QC_CARBON_PCT_MAX),"Organic carbon above the QC ceiling — check units, and whether this is an organic horizon. ","")&amp;IF(AND(ISNUMBER($J215),$J215&lt;QC_RECOVERY_MIN),"Recovered less than the QC minimum of the depth driven — the increments may not sit where you think. Do NOT stretch them back out. ","")&amp;IF(AND(ISNUMBER($K215),$K215&gt;0,$L215="Fine earth / total volume"),"Coarse fragments recorded and the lab basis already accounts for them — no further correction applied, which is correct. ",""))</f>
        <v/>
      </c>
      <c r="T215" s="6"/>
      <c r="U215" s="9" t="n">
        <f aca="false">IF($B215="",0,IF(COUNTIFS($B$5:$B215,$B215)=1,1,0))</f>
        <v>0</v>
      </c>
    </row>
    <row r="216" customFormat="false" ht="15" hidden="false" customHeight="false" outlineLevel="0" collapsed="false">
      <c r="A216" s="6"/>
      <c r="B216" s="6"/>
      <c r="C216" s="6"/>
      <c r="D216" s="6"/>
      <c r="E216" s="6"/>
      <c r="F216" s="9" t="str">
        <f aca="false">IF(OR($D216="",$E216=""),"",$E216-$D216)</f>
        <v/>
      </c>
      <c r="G216" s="6"/>
      <c r="H216" s="6"/>
      <c r="I216" s="6"/>
      <c r="J216" s="9" t="str">
        <f aca="false">IF(OR(NOT(ISNUMBER($H216)),NOT(ISNUMBER($I216)),$H216=0),"",$I216/$H216)</f>
        <v/>
      </c>
      <c r="K216" s="6"/>
      <c r="L216" s="8"/>
      <c r="M216" s="7"/>
      <c r="N216" s="7"/>
      <c r="O216" s="9" t="str">
        <f aca="false">IF(NOT(ISNUMBER($M216)),"",IF($L216="Fine earth / fine-earth volume",$M216*(1-IF(ISNUMBER($K216),$K216,0)/100),$M216))</f>
        <v/>
      </c>
      <c r="P216" s="9" t="str">
        <f aca="false">IF(OR(NOT(ISNUMBER($O216)),NOT(ISNUMBER($N216)),NOT(ISNUMBER($F216))),"",$O216*($N216/100)*$F216*10)</f>
        <v/>
      </c>
      <c r="Q216" s="9" t="str">
        <f aca="false">IF(OR(NOT(ISNUMBER($D216)),NOT(ISNUMBER($E216))),"",MAX(0,MIN($E216,SOIL_REPORTING_DEPTH_CM)-MIN($D216,SOIL_REPORTING_DEPTH_CM)))</f>
        <v/>
      </c>
      <c r="R216" s="9" t="str">
        <f aca="false">IF(OR(NOT(ISNUMBER($O216)),NOT(ISNUMBER($N216)),NOT(ISNUMBER($Q216))),"",$O216*($N216/100)*$Q216*10)</f>
        <v/>
      </c>
      <c r="S216" s="11" t="str">
        <f aca="false">IF(AND($A216="",$B216="",$D216=""),"",IF(AND($A216&lt;&gt;"",COUNTIF('1. Plot &amp; Site Log'!$A$5:$A$64,$A216)=0),"Plot ID not in the Plot &amp; Site Log. ","")&amp;IF(AND(ISNUMBER($D216),ISNUMBER($E216),$E216&lt;=$D216),"Bottom depth is not below top depth. ","")&amp;IF($L216="Not confirmed","Bulk-density basis not confirmed with the lab — the coarse-fragment correction may be wrong or doubled. ","")&amp;IF(LAB_BULK_DENSITY_BASIS="Not confirmed","No lab bulk-density basis is on file in Settings (LAB_BULK_DENSITY_BASIS), so nothing checks this row. ","")&amp;IF(AND($L216&lt;&gt;"",LAB_BULK_DENSITY_BASIS&lt;&gt;"Not confirmed",$L216&lt;&gt;LAB_BULK_DENSITY_BASIS),"This row's bulk-density basis disagrees with the lab method on file. One of "&amp;"the two is wrong, and the coarse-fragment correction follows the row. ","")&amp;IF(AND(ISNUMBER($M216),OR($M216&lt;QC_BD_MIN,$M216&gt;QC_BD_MAX)),"Bulk density outside the plausible range for a mineral grassland soil. ","")&amp;IF(AND(ISNUMBER($N216),$N216&gt;QC_CARBON_PCT_MAX),"Organic carbon above the QC ceiling — check units, and whether this is an organic horizon. ","")&amp;IF(AND(ISNUMBER($J216),$J216&lt;QC_RECOVERY_MIN),"Recovered less than the QC minimum of the depth driven — the increments may not sit where you think. Do NOT stretch them back out. ","")&amp;IF(AND(ISNUMBER($K216),$K216&gt;0,$L216="Fine earth / total volume"),"Coarse fragments recorded and the lab basis already accounts for them — no further correction applied, which is correct. ",""))</f>
        <v/>
      </c>
      <c r="T216" s="6"/>
      <c r="U216" s="9" t="n">
        <f aca="false">IF($B216="",0,IF(COUNTIFS($B$5:$B216,$B216)=1,1,0))</f>
        <v>0</v>
      </c>
    </row>
    <row r="217" customFormat="false" ht="15" hidden="false" customHeight="false" outlineLevel="0" collapsed="false">
      <c r="A217" s="6"/>
      <c r="B217" s="6"/>
      <c r="C217" s="6"/>
      <c r="D217" s="6"/>
      <c r="E217" s="6"/>
      <c r="F217" s="9" t="str">
        <f aca="false">IF(OR($D217="",$E217=""),"",$E217-$D217)</f>
        <v/>
      </c>
      <c r="G217" s="6"/>
      <c r="H217" s="6"/>
      <c r="I217" s="6"/>
      <c r="J217" s="9" t="str">
        <f aca="false">IF(OR(NOT(ISNUMBER($H217)),NOT(ISNUMBER($I217)),$H217=0),"",$I217/$H217)</f>
        <v/>
      </c>
      <c r="K217" s="6"/>
      <c r="L217" s="8"/>
      <c r="M217" s="7"/>
      <c r="N217" s="7"/>
      <c r="O217" s="9" t="str">
        <f aca="false">IF(NOT(ISNUMBER($M217)),"",IF($L217="Fine earth / fine-earth volume",$M217*(1-IF(ISNUMBER($K217),$K217,0)/100),$M217))</f>
        <v/>
      </c>
      <c r="P217" s="9" t="str">
        <f aca="false">IF(OR(NOT(ISNUMBER($O217)),NOT(ISNUMBER($N217)),NOT(ISNUMBER($F217))),"",$O217*($N217/100)*$F217*10)</f>
        <v/>
      </c>
      <c r="Q217" s="9" t="str">
        <f aca="false">IF(OR(NOT(ISNUMBER($D217)),NOT(ISNUMBER($E217))),"",MAX(0,MIN($E217,SOIL_REPORTING_DEPTH_CM)-MIN($D217,SOIL_REPORTING_DEPTH_CM)))</f>
        <v/>
      </c>
      <c r="R217" s="9" t="str">
        <f aca="false">IF(OR(NOT(ISNUMBER($O217)),NOT(ISNUMBER($N217)),NOT(ISNUMBER($Q217))),"",$O217*($N217/100)*$Q217*10)</f>
        <v/>
      </c>
      <c r="S217" s="11" t="str">
        <f aca="false">IF(AND($A217="",$B217="",$D217=""),"",IF(AND($A217&lt;&gt;"",COUNTIF('1. Plot &amp; Site Log'!$A$5:$A$64,$A217)=0),"Plot ID not in the Plot &amp; Site Log. ","")&amp;IF(AND(ISNUMBER($D217),ISNUMBER($E217),$E217&lt;=$D217),"Bottom depth is not below top depth. ","")&amp;IF($L217="Not confirmed","Bulk-density basis not confirmed with the lab — the coarse-fragment correction may be wrong or doubled. ","")&amp;IF(LAB_BULK_DENSITY_BASIS="Not confirmed","No lab bulk-density basis is on file in Settings (LAB_BULK_DENSITY_BASIS), so nothing checks this row. ","")&amp;IF(AND($L217&lt;&gt;"",LAB_BULK_DENSITY_BASIS&lt;&gt;"Not confirmed",$L217&lt;&gt;LAB_BULK_DENSITY_BASIS),"This row's bulk-density basis disagrees with the lab method on file. One of "&amp;"the two is wrong, and the coarse-fragment correction follows the row. ","")&amp;IF(AND(ISNUMBER($M217),OR($M217&lt;QC_BD_MIN,$M217&gt;QC_BD_MAX)),"Bulk density outside the plausible range for a mineral grassland soil. ","")&amp;IF(AND(ISNUMBER($N217),$N217&gt;QC_CARBON_PCT_MAX),"Organic carbon above the QC ceiling — check units, and whether this is an organic horizon. ","")&amp;IF(AND(ISNUMBER($J217),$J217&lt;QC_RECOVERY_MIN),"Recovered less than the QC minimum of the depth driven — the increments may not sit where you think. Do NOT stretch them back out. ","")&amp;IF(AND(ISNUMBER($K217),$K217&gt;0,$L217="Fine earth / total volume"),"Coarse fragments recorded and the lab basis already accounts for them — no further correction applied, which is correct. ",""))</f>
        <v/>
      </c>
      <c r="T217" s="6"/>
      <c r="U217" s="9" t="n">
        <f aca="false">IF($B217="",0,IF(COUNTIFS($B$5:$B217,$B217)=1,1,0))</f>
        <v>0</v>
      </c>
    </row>
    <row r="218" customFormat="false" ht="15" hidden="false" customHeight="false" outlineLevel="0" collapsed="false">
      <c r="A218" s="6"/>
      <c r="B218" s="6"/>
      <c r="C218" s="6"/>
      <c r="D218" s="6"/>
      <c r="E218" s="6"/>
      <c r="F218" s="9" t="str">
        <f aca="false">IF(OR($D218="",$E218=""),"",$E218-$D218)</f>
        <v/>
      </c>
      <c r="G218" s="6"/>
      <c r="H218" s="6"/>
      <c r="I218" s="6"/>
      <c r="J218" s="9" t="str">
        <f aca="false">IF(OR(NOT(ISNUMBER($H218)),NOT(ISNUMBER($I218)),$H218=0),"",$I218/$H218)</f>
        <v/>
      </c>
      <c r="K218" s="6"/>
      <c r="L218" s="8"/>
      <c r="M218" s="7"/>
      <c r="N218" s="7"/>
      <c r="O218" s="9" t="str">
        <f aca="false">IF(NOT(ISNUMBER($M218)),"",IF($L218="Fine earth / fine-earth volume",$M218*(1-IF(ISNUMBER($K218),$K218,0)/100),$M218))</f>
        <v/>
      </c>
      <c r="P218" s="9" t="str">
        <f aca="false">IF(OR(NOT(ISNUMBER($O218)),NOT(ISNUMBER($N218)),NOT(ISNUMBER($F218))),"",$O218*($N218/100)*$F218*10)</f>
        <v/>
      </c>
      <c r="Q218" s="9" t="str">
        <f aca="false">IF(OR(NOT(ISNUMBER($D218)),NOT(ISNUMBER($E218))),"",MAX(0,MIN($E218,SOIL_REPORTING_DEPTH_CM)-MIN($D218,SOIL_REPORTING_DEPTH_CM)))</f>
        <v/>
      </c>
      <c r="R218" s="9" t="str">
        <f aca="false">IF(OR(NOT(ISNUMBER($O218)),NOT(ISNUMBER($N218)),NOT(ISNUMBER($Q218))),"",$O218*($N218/100)*$Q218*10)</f>
        <v/>
      </c>
      <c r="S218" s="11" t="str">
        <f aca="false">IF(AND($A218="",$B218="",$D218=""),"",IF(AND($A218&lt;&gt;"",COUNTIF('1. Plot &amp; Site Log'!$A$5:$A$64,$A218)=0),"Plot ID not in the Plot &amp; Site Log. ","")&amp;IF(AND(ISNUMBER($D218),ISNUMBER($E218),$E218&lt;=$D218),"Bottom depth is not below top depth. ","")&amp;IF($L218="Not confirmed","Bulk-density basis not confirmed with the lab — the coarse-fragment correction may be wrong or doubled. ","")&amp;IF(LAB_BULK_DENSITY_BASIS="Not confirmed","No lab bulk-density basis is on file in Settings (LAB_BULK_DENSITY_BASIS), so nothing checks this row. ","")&amp;IF(AND($L218&lt;&gt;"",LAB_BULK_DENSITY_BASIS&lt;&gt;"Not confirmed",$L218&lt;&gt;LAB_BULK_DENSITY_BASIS),"This row's bulk-density basis disagrees with the lab method on file. One of "&amp;"the two is wrong, and the coarse-fragment correction follows the row. ","")&amp;IF(AND(ISNUMBER($M218),OR($M218&lt;QC_BD_MIN,$M218&gt;QC_BD_MAX)),"Bulk density outside the plausible range for a mineral grassland soil. ","")&amp;IF(AND(ISNUMBER($N218),$N218&gt;QC_CARBON_PCT_MAX),"Organic carbon above the QC ceiling — check units, and whether this is an organic horizon. ","")&amp;IF(AND(ISNUMBER($J218),$J218&lt;QC_RECOVERY_MIN),"Recovered less than the QC minimum of the depth driven — the increments may not sit where you think. Do NOT stretch them back out. ","")&amp;IF(AND(ISNUMBER($K218),$K218&gt;0,$L218="Fine earth / total volume"),"Coarse fragments recorded and the lab basis already accounts for them — no further correction applied, which is correct. ",""))</f>
        <v/>
      </c>
      <c r="T218" s="6"/>
      <c r="U218" s="9" t="n">
        <f aca="false">IF($B218="",0,IF(COUNTIFS($B$5:$B218,$B218)=1,1,0))</f>
        <v>0</v>
      </c>
    </row>
    <row r="219" customFormat="false" ht="15" hidden="false" customHeight="false" outlineLevel="0" collapsed="false">
      <c r="A219" s="6"/>
      <c r="B219" s="6"/>
      <c r="C219" s="6"/>
      <c r="D219" s="6"/>
      <c r="E219" s="6"/>
      <c r="F219" s="9" t="str">
        <f aca="false">IF(OR($D219="",$E219=""),"",$E219-$D219)</f>
        <v/>
      </c>
      <c r="G219" s="6"/>
      <c r="H219" s="6"/>
      <c r="I219" s="6"/>
      <c r="J219" s="9" t="str">
        <f aca="false">IF(OR(NOT(ISNUMBER($H219)),NOT(ISNUMBER($I219)),$H219=0),"",$I219/$H219)</f>
        <v/>
      </c>
      <c r="K219" s="6"/>
      <c r="L219" s="8"/>
      <c r="M219" s="7"/>
      <c r="N219" s="7"/>
      <c r="O219" s="9" t="str">
        <f aca="false">IF(NOT(ISNUMBER($M219)),"",IF($L219="Fine earth / fine-earth volume",$M219*(1-IF(ISNUMBER($K219),$K219,0)/100),$M219))</f>
        <v/>
      </c>
      <c r="P219" s="9" t="str">
        <f aca="false">IF(OR(NOT(ISNUMBER($O219)),NOT(ISNUMBER($N219)),NOT(ISNUMBER($F219))),"",$O219*($N219/100)*$F219*10)</f>
        <v/>
      </c>
      <c r="Q219" s="9" t="str">
        <f aca="false">IF(OR(NOT(ISNUMBER($D219)),NOT(ISNUMBER($E219))),"",MAX(0,MIN($E219,SOIL_REPORTING_DEPTH_CM)-MIN($D219,SOIL_REPORTING_DEPTH_CM)))</f>
        <v/>
      </c>
      <c r="R219" s="9" t="str">
        <f aca="false">IF(OR(NOT(ISNUMBER($O219)),NOT(ISNUMBER($N219)),NOT(ISNUMBER($Q219))),"",$O219*($N219/100)*$Q219*10)</f>
        <v/>
      </c>
      <c r="S219" s="11" t="str">
        <f aca="false">IF(AND($A219="",$B219="",$D219=""),"",IF(AND($A219&lt;&gt;"",COUNTIF('1. Plot &amp; Site Log'!$A$5:$A$64,$A219)=0),"Plot ID not in the Plot &amp; Site Log. ","")&amp;IF(AND(ISNUMBER($D219),ISNUMBER($E219),$E219&lt;=$D219),"Bottom depth is not below top depth. ","")&amp;IF($L219="Not confirmed","Bulk-density basis not confirmed with the lab — the coarse-fragment correction may be wrong or doubled. ","")&amp;IF(LAB_BULK_DENSITY_BASIS="Not confirmed","No lab bulk-density basis is on file in Settings (LAB_BULK_DENSITY_BASIS), so nothing checks this row. ","")&amp;IF(AND($L219&lt;&gt;"",LAB_BULK_DENSITY_BASIS&lt;&gt;"Not confirmed",$L219&lt;&gt;LAB_BULK_DENSITY_BASIS),"This row's bulk-density basis disagrees with the lab method on file. One of "&amp;"the two is wrong, and the coarse-fragment correction follows the row. ","")&amp;IF(AND(ISNUMBER($M219),OR($M219&lt;QC_BD_MIN,$M219&gt;QC_BD_MAX)),"Bulk density outside the plausible range for a mineral grassland soil. ","")&amp;IF(AND(ISNUMBER($N219),$N219&gt;QC_CARBON_PCT_MAX),"Organic carbon above the QC ceiling — check units, and whether this is an organic horizon. ","")&amp;IF(AND(ISNUMBER($J219),$J219&lt;QC_RECOVERY_MIN),"Recovered less than the QC minimum of the depth driven — the increments may not sit where you think. Do NOT stretch them back out. ","")&amp;IF(AND(ISNUMBER($K219),$K219&gt;0,$L219="Fine earth / total volume"),"Coarse fragments recorded and the lab basis already accounts for them — no further correction applied, which is correct. ",""))</f>
        <v/>
      </c>
      <c r="T219" s="6"/>
      <c r="U219" s="9" t="n">
        <f aca="false">IF($B219="",0,IF(COUNTIFS($B$5:$B219,$B219)=1,1,0))</f>
        <v>0</v>
      </c>
    </row>
    <row r="220" customFormat="false" ht="15" hidden="false" customHeight="false" outlineLevel="0" collapsed="false">
      <c r="A220" s="6"/>
      <c r="B220" s="6"/>
      <c r="C220" s="6"/>
      <c r="D220" s="6"/>
      <c r="E220" s="6"/>
      <c r="F220" s="9" t="str">
        <f aca="false">IF(OR($D220="",$E220=""),"",$E220-$D220)</f>
        <v/>
      </c>
      <c r="G220" s="6"/>
      <c r="H220" s="6"/>
      <c r="I220" s="6"/>
      <c r="J220" s="9" t="str">
        <f aca="false">IF(OR(NOT(ISNUMBER($H220)),NOT(ISNUMBER($I220)),$H220=0),"",$I220/$H220)</f>
        <v/>
      </c>
      <c r="K220" s="6"/>
      <c r="L220" s="8"/>
      <c r="M220" s="7"/>
      <c r="N220" s="7"/>
      <c r="O220" s="9" t="str">
        <f aca="false">IF(NOT(ISNUMBER($M220)),"",IF($L220="Fine earth / fine-earth volume",$M220*(1-IF(ISNUMBER($K220),$K220,0)/100),$M220))</f>
        <v/>
      </c>
      <c r="P220" s="9" t="str">
        <f aca="false">IF(OR(NOT(ISNUMBER($O220)),NOT(ISNUMBER($N220)),NOT(ISNUMBER($F220))),"",$O220*($N220/100)*$F220*10)</f>
        <v/>
      </c>
      <c r="Q220" s="9" t="str">
        <f aca="false">IF(OR(NOT(ISNUMBER($D220)),NOT(ISNUMBER($E220))),"",MAX(0,MIN($E220,SOIL_REPORTING_DEPTH_CM)-MIN($D220,SOIL_REPORTING_DEPTH_CM)))</f>
        <v/>
      </c>
      <c r="R220" s="9" t="str">
        <f aca="false">IF(OR(NOT(ISNUMBER($O220)),NOT(ISNUMBER($N220)),NOT(ISNUMBER($Q220))),"",$O220*($N220/100)*$Q220*10)</f>
        <v/>
      </c>
      <c r="S220" s="11" t="str">
        <f aca="false">IF(AND($A220="",$B220="",$D220=""),"",IF(AND($A220&lt;&gt;"",COUNTIF('1. Plot &amp; Site Log'!$A$5:$A$64,$A220)=0),"Plot ID not in the Plot &amp; Site Log. ","")&amp;IF(AND(ISNUMBER($D220),ISNUMBER($E220),$E220&lt;=$D220),"Bottom depth is not below top depth. ","")&amp;IF($L220="Not confirmed","Bulk-density basis not confirmed with the lab — the coarse-fragment correction may be wrong or doubled. ","")&amp;IF(LAB_BULK_DENSITY_BASIS="Not confirmed","No lab bulk-density basis is on file in Settings (LAB_BULK_DENSITY_BASIS), so nothing checks this row. ","")&amp;IF(AND($L220&lt;&gt;"",LAB_BULK_DENSITY_BASIS&lt;&gt;"Not confirmed",$L220&lt;&gt;LAB_BULK_DENSITY_BASIS),"This row's bulk-density basis disagrees with the lab method on file. One of "&amp;"the two is wrong, and the coarse-fragment correction follows the row. ","")&amp;IF(AND(ISNUMBER($M220),OR($M220&lt;QC_BD_MIN,$M220&gt;QC_BD_MAX)),"Bulk density outside the plausible range for a mineral grassland soil. ","")&amp;IF(AND(ISNUMBER($N220),$N220&gt;QC_CARBON_PCT_MAX),"Organic carbon above the QC ceiling — check units, and whether this is an organic horizon. ","")&amp;IF(AND(ISNUMBER($J220),$J220&lt;QC_RECOVERY_MIN),"Recovered less than the QC minimum of the depth driven — the increments may not sit where you think. Do NOT stretch them back out. ","")&amp;IF(AND(ISNUMBER($K220),$K220&gt;0,$L220="Fine earth / total volume"),"Coarse fragments recorded and the lab basis already accounts for them — no further correction applied, which is correct. ",""))</f>
        <v/>
      </c>
      <c r="T220" s="6"/>
      <c r="U220" s="9" t="n">
        <f aca="false">IF($B220="",0,IF(COUNTIFS($B$5:$B220,$B220)=1,1,0))</f>
        <v>0</v>
      </c>
    </row>
    <row r="221" customFormat="false" ht="15" hidden="false" customHeight="false" outlineLevel="0" collapsed="false">
      <c r="A221" s="6"/>
      <c r="B221" s="6"/>
      <c r="C221" s="6"/>
      <c r="D221" s="6"/>
      <c r="E221" s="6"/>
      <c r="F221" s="9" t="str">
        <f aca="false">IF(OR($D221="",$E221=""),"",$E221-$D221)</f>
        <v/>
      </c>
      <c r="G221" s="6"/>
      <c r="H221" s="6"/>
      <c r="I221" s="6"/>
      <c r="J221" s="9" t="str">
        <f aca="false">IF(OR(NOT(ISNUMBER($H221)),NOT(ISNUMBER($I221)),$H221=0),"",$I221/$H221)</f>
        <v/>
      </c>
      <c r="K221" s="6"/>
      <c r="L221" s="8"/>
      <c r="M221" s="7"/>
      <c r="N221" s="7"/>
      <c r="O221" s="9" t="str">
        <f aca="false">IF(NOT(ISNUMBER($M221)),"",IF($L221="Fine earth / fine-earth volume",$M221*(1-IF(ISNUMBER($K221),$K221,0)/100),$M221))</f>
        <v/>
      </c>
      <c r="P221" s="9" t="str">
        <f aca="false">IF(OR(NOT(ISNUMBER($O221)),NOT(ISNUMBER($N221)),NOT(ISNUMBER($F221))),"",$O221*($N221/100)*$F221*10)</f>
        <v/>
      </c>
      <c r="Q221" s="9" t="str">
        <f aca="false">IF(OR(NOT(ISNUMBER($D221)),NOT(ISNUMBER($E221))),"",MAX(0,MIN($E221,SOIL_REPORTING_DEPTH_CM)-MIN($D221,SOIL_REPORTING_DEPTH_CM)))</f>
        <v/>
      </c>
      <c r="R221" s="9" t="str">
        <f aca="false">IF(OR(NOT(ISNUMBER($O221)),NOT(ISNUMBER($N221)),NOT(ISNUMBER($Q221))),"",$O221*($N221/100)*$Q221*10)</f>
        <v/>
      </c>
      <c r="S221" s="11" t="str">
        <f aca="false">IF(AND($A221="",$B221="",$D221=""),"",IF(AND($A221&lt;&gt;"",COUNTIF('1. Plot &amp; Site Log'!$A$5:$A$64,$A221)=0),"Plot ID not in the Plot &amp; Site Log. ","")&amp;IF(AND(ISNUMBER($D221),ISNUMBER($E221),$E221&lt;=$D221),"Bottom depth is not below top depth. ","")&amp;IF($L221="Not confirmed","Bulk-density basis not confirmed with the lab — the coarse-fragment correction may be wrong or doubled. ","")&amp;IF(LAB_BULK_DENSITY_BASIS="Not confirmed","No lab bulk-density basis is on file in Settings (LAB_BULK_DENSITY_BASIS), so nothing checks this row. ","")&amp;IF(AND($L221&lt;&gt;"",LAB_BULK_DENSITY_BASIS&lt;&gt;"Not confirmed",$L221&lt;&gt;LAB_BULK_DENSITY_BASIS),"This row's bulk-density basis disagrees with the lab method on file. One of "&amp;"the two is wrong, and the coarse-fragment correction follows the row. ","")&amp;IF(AND(ISNUMBER($M221),OR($M221&lt;QC_BD_MIN,$M221&gt;QC_BD_MAX)),"Bulk density outside the plausible range for a mineral grassland soil. ","")&amp;IF(AND(ISNUMBER($N221),$N221&gt;QC_CARBON_PCT_MAX),"Organic carbon above the QC ceiling — check units, and whether this is an organic horizon. ","")&amp;IF(AND(ISNUMBER($J221),$J221&lt;QC_RECOVERY_MIN),"Recovered less than the QC minimum of the depth driven — the increments may not sit where you think. Do NOT stretch them back out. ","")&amp;IF(AND(ISNUMBER($K221),$K221&gt;0,$L221="Fine earth / total volume"),"Coarse fragments recorded and the lab basis already accounts for them — no further correction applied, which is correct. ",""))</f>
        <v/>
      </c>
      <c r="T221" s="6"/>
      <c r="U221" s="9" t="n">
        <f aca="false">IF($B221="",0,IF(COUNTIFS($B$5:$B221,$B221)=1,1,0))</f>
        <v>0</v>
      </c>
    </row>
    <row r="222" customFormat="false" ht="15" hidden="false" customHeight="false" outlineLevel="0" collapsed="false">
      <c r="A222" s="6"/>
      <c r="B222" s="6"/>
      <c r="C222" s="6"/>
      <c r="D222" s="6"/>
      <c r="E222" s="6"/>
      <c r="F222" s="9" t="str">
        <f aca="false">IF(OR($D222="",$E222=""),"",$E222-$D222)</f>
        <v/>
      </c>
      <c r="G222" s="6"/>
      <c r="H222" s="6"/>
      <c r="I222" s="6"/>
      <c r="J222" s="9" t="str">
        <f aca="false">IF(OR(NOT(ISNUMBER($H222)),NOT(ISNUMBER($I222)),$H222=0),"",$I222/$H222)</f>
        <v/>
      </c>
      <c r="K222" s="6"/>
      <c r="L222" s="8"/>
      <c r="M222" s="7"/>
      <c r="N222" s="7"/>
      <c r="O222" s="9" t="str">
        <f aca="false">IF(NOT(ISNUMBER($M222)),"",IF($L222="Fine earth / fine-earth volume",$M222*(1-IF(ISNUMBER($K222),$K222,0)/100),$M222))</f>
        <v/>
      </c>
      <c r="P222" s="9" t="str">
        <f aca="false">IF(OR(NOT(ISNUMBER($O222)),NOT(ISNUMBER($N222)),NOT(ISNUMBER($F222))),"",$O222*($N222/100)*$F222*10)</f>
        <v/>
      </c>
      <c r="Q222" s="9" t="str">
        <f aca="false">IF(OR(NOT(ISNUMBER($D222)),NOT(ISNUMBER($E222))),"",MAX(0,MIN($E222,SOIL_REPORTING_DEPTH_CM)-MIN($D222,SOIL_REPORTING_DEPTH_CM)))</f>
        <v/>
      </c>
      <c r="R222" s="9" t="str">
        <f aca="false">IF(OR(NOT(ISNUMBER($O222)),NOT(ISNUMBER($N222)),NOT(ISNUMBER($Q222))),"",$O222*($N222/100)*$Q222*10)</f>
        <v/>
      </c>
      <c r="S222" s="11" t="str">
        <f aca="false">IF(AND($A222="",$B222="",$D222=""),"",IF(AND($A222&lt;&gt;"",COUNTIF('1. Plot &amp; Site Log'!$A$5:$A$64,$A222)=0),"Plot ID not in the Plot &amp; Site Log. ","")&amp;IF(AND(ISNUMBER($D222),ISNUMBER($E222),$E222&lt;=$D222),"Bottom depth is not below top depth. ","")&amp;IF($L222="Not confirmed","Bulk-density basis not confirmed with the lab — the coarse-fragment correction may be wrong or doubled. ","")&amp;IF(LAB_BULK_DENSITY_BASIS="Not confirmed","No lab bulk-density basis is on file in Settings (LAB_BULK_DENSITY_BASIS), so nothing checks this row. ","")&amp;IF(AND($L222&lt;&gt;"",LAB_BULK_DENSITY_BASIS&lt;&gt;"Not confirmed",$L222&lt;&gt;LAB_BULK_DENSITY_BASIS),"This row's bulk-density basis disagrees with the lab method on file. One of "&amp;"the two is wrong, and the coarse-fragment correction follows the row. ","")&amp;IF(AND(ISNUMBER($M222),OR($M222&lt;QC_BD_MIN,$M222&gt;QC_BD_MAX)),"Bulk density outside the plausible range for a mineral grassland soil. ","")&amp;IF(AND(ISNUMBER($N222),$N222&gt;QC_CARBON_PCT_MAX),"Organic carbon above the QC ceiling — check units, and whether this is an organic horizon. ","")&amp;IF(AND(ISNUMBER($J222),$J222&lt;QC_RECOVERY_MIN),"Recovered less than the QC minimum of the depth driven — the increments may not sit where you think. Do NOT stretch them back out. ","")&amp;IF(AND(ISNUMBER($K222),$K222&gt;0,$L222="Fine earth / total volume"),"Coarse fragments recorded and the lab basis already accounts for them — no further correction applied, which is correct. ",""))</f>
        <v/>
      </c>
      <c r="T222" s="6"/>
      <c r="U222" s="9" t="n">
        <f aca="false">IF($B222="",0,IF(COUNTIFS($B$5:$B222,$B222)=1,1,0))</f>
        <v>0</v>
      </c>
    </row>
    <row r="223" customFormat="false" ht="15" hidden="false" customHeight="false" outlineLevel="0" collapsed="false">
      <c r="A223" s="6"/>
      <c r="B223" s="6"/>
      <c r="C223" s="6"/>
      <c r="D223" s="6"/>
      <c r="E223" s="6"/>
      <c r="F223" s="9" t="str">
        <f aca="false">IF(OR($D223="",$E223=""),"",$E223-$D223)</f>
        <v/>
      </c>
      <c r="G223" s="6"/>
      <c r="H223" s="6"/>
      <c r="I223" s="6"/>
      <c r="J223" s="9" t="str">
        <f aca="false">IF(OR(NOT(ISNUMBER($H223)),NOT(ISNUMBER($I223)),$H223=0),"",$I223/$H223)</f>
        <v/>
      </c>
      <c r="K223" s="6"/>
      <c r="L223" s="8"/>
      <c r="M223" s="7"/>
      <c r="N223" s="7"/>
      <c r="O223" s="9" t="str">
        <f aca="false">IF(NOT(ISNUMBER($M223)),"",IF($L223="Fine earth / fine-earth volume",$M223*(1-IF(ISNUMBER($K223),$K223,0)/100),$M223))</f>
        <v/>
      </c>
      <c r="P223" s="9" t="str">
        <f aca="false">IF(OR(NOT(ISNUMBER($O223)),NOT(ISNUMBER($N223)),NOT(ISNUMBER($F223))),"",$O223*($N223/100)*$F223*10)</f>
        <v/>
      </c>
      <c r="Q223" s="9" t="str">
        <f aca="false">IF(OR(NOT(ISNUMBER($D223)),NOT(ISNUMBER($E223))),"",MAX(0,MIN($E223,SOIL_REPORTING_DEPTH_CM)-MIN($D223,SOIL_REPORTING_DEPTH_CM)))</f>
        <v/>
      </c>
      <c r="R223" s="9" t="str">
        <f aca="false">IF(OR(NOT(ISNUMBER($O223)),NOT(ISNUMBER($N223)),NOT(ISNUMBER($Q223))),"",$O223*($N223/100)*$Q223*10)</f>
        <v/>
      </c>
      <c r="S223" s="11" t="str">
        <f aca="false">IF(AND($A223="",$B223="",$D223=""),"",IF(AND($A223&lt;&gt;"",COUNTIF('1. Plot &amp; Site Log'!$A$5:$A$64,$A223)=0),"Plot ID not in the Plot &amp; Site Log. ","")&amp;IF(AND(ISNUMBER($D223),ISNUMBER($E223),$E223&lt;=$D223),"Bottom depth is not below top depth. ","")&amp;IF($L223="Not confirmed","Bulk-density basis not confirmed with the lab — the coarse-fragment correction may be wrong or doubled. ","")&amp;IF(LAB_BULK_DENSITY_BASIS="Not confirmed","No lab bulk-density basis is on file in Settings (LAB_BULK_DENSITY_BASIS), so nothing checks this row. ","")&amp;IF(AND($L223&lt;&gt;"",LAB_BULK_DENSITY_BASIS&lt;&gt;"Not confirmed",$L223&lt;&gt;LAB_BULK_DENSITY_BASIS),"This row's bulk-density basis disagrees with the lab method on file. One of "&amp;"the two is wrong, and the coarse-fragment correction follows the row. ","")&amp;IF(AND(ISNUMBER($M223),OR($M223&lt;QC_BD_MIN,$M223&gt;QC_BD_MAX)),"Bulk density outside the plausible range for a mineral grassland soil. ","")&amp;IF(AND(ISNUMBER($N223),$N223&gt;QC_CARBON_PCT_MAX),"Organic carbon above the QC ceiling — check units, and whether this is an organic horizon. ","")&amp;IF(AND(ISNUMBER($J223),$J223&lt;QC_RECOVERY_MIN),"Recovered less than the QC minimum of the depth driven — the increments may not sit where you think. Do NOT stretch them back out. ","")&amp;IF(AND(ISNUMBER($K223),$K223&gt;0,$L223="Fine earth / total volume"),"Coarse fragments recorded and the lab basis already accounts for them — no further correction applied, which is correct. ",""))</f>
        <v/>
      </c>
      <c r="T223" s="6"/>
      <c r="U223" s="9" t="n">
        <f aca="false">IF($B223="",0,IF(COUNTIFS($B$5:$B223,$B223)=1,1,0))</f>
        <v>0</v>
      </c>
    </row>
    <row r="224" customFormat="false" ht="15" hidden="false" customHeight="false" outlineLevel="0" collapsed="false">
      <c r="A224" s="6"/>
      <c r="B224" s="6"/>
      <c r="C224" s="6"/>
      <c r="D224" s="6"/>
      <c r="E224" s="6"/>
      <c r="F224" s="9" t="str">
        <f aca="false">IF(OR($D224="",$E224=""),"",$E224-$D224)</f>
        <v/>
      </c>
      <c r="G224" s="6"/>
      <c r="H224" s="6"/>
      <c r="I224" s="6"/>
      <c r="J224" s="9" t="str">
        <f aca="false">IF(OR(NOT(ISNUMBER($H224)),NOT(ISNUMBER($I224)),$H224=0),"",$I224/$H224)</f>
        <v/>
      </c>
      <c r="K224" s="6"/>
      <c r="L224" s="8"/>
      <c r="M224" s="7"/>
      <c r="N224" s="7"/>
      <c r="O224" s="9" t="str">
        <f aca="false">IF(NOT(ISNUMBER($M224)),"",IF($L224="Fine earth / fine-earth volume",$M224*(1-IF(ISNUMBER($K224),$K224,0)/100),$M224))</f>
        <v/>
      </c>
      <c r="P224" s="9" t="str">
        <f aca="false">IF(OR(NOT(ISNUMBER($O224)),NOT(ISNUMBER($N224)),NOT(ISNUMBER($F224))),"",$O224*($N224/100)*$F224*10)</f>
        <v/>
      </c>
      <c r="Q224" s="9" t="str">
        <f aca="false">IF(OR(NOT(ISNUMBER($D224)),NOT(ISNUMBER($E224))),"",MAX(0,MIN($E224,SOIL_REPORTING_DEPTH_CM)-MIN($D224,SOIL_REPORTING_DEPTH_CM)))</f>
        <v/>
      </c>
      <c r="R224" s="9" t="str">
        <f aca="false">IF(OR(NOT(ISNUMBER($O224)),NOT(ISNUMBER($N224)),NOT(ISNUMBER($Q224))),"",$O224*($N224/100)*$Q224*10)</f>
        <v/>
      </c>
      <c r="S224" s="11" t="str">
        <f aca="false">IF(AND($A224="",$B224="",$D224=""),"",IF(AND($A224&lt;&gt;"",COUNTIF('1. Plot &amp; Site Log'!$A$5:$A$64,$A224)=0),"Plot ID not in the Plot &amp; Site Log. ","")&amp;IF(AND(ISNUMBER($D224),ISNUMBER($E224),$E224&lt;=$D224),"Bottom depth is not below top depth. ","")&amp;IF($L224="Not confirmed","Bulk-density basis not confirmed with the lab — the coarse-fragment correction may be wrong or doubled. ","")&amp;IF(LAB_BULK_DENSITY_BASIS="Not confirmed","No lab bulk-density basis is on file in Settings (LAB_BULK_DENSITY_BASIS), so nothing checks this row. ","")&amp;IF(AND($L224&lt;&gt;"",LAB_BULK_DENSITY_BASIS&lt;&gt;"Not confirmed",$L224&lt;&gt;LAB_BULK_DENSITY_BASIS),"This row's bulk-density basis disagrees with the lab method on file. One of "&amp;"the two is wrong, and the coarse-fragment correction follows the row. ","")&amp;IF(AND(ISNUMBER($M224),OR($M224&lt;QC_BD_MIN,$M224&gt;QC_BD_MAX)),"Bulk density outside the plausible range for a mineral grassland soil. ","")&amp;IF(AND(ISNUMBER($N224),$N224&gt;QC_CARBON_PCT_MAX),"Organic carbon above the QC ceiling — check units, and whether this is an organic horizon. ","")&amp;IF(AND(ISNUMBER($J224),$J224&lt;QC_RECOVERY_MIN),"Recovered less than the QC minimum of the depth driven — the increments may not sit where you think. Do NOT stretch them back out. ","")&amp;IF(AND(ISNUMBER($K224),$K224&gt;0,$L224="Fine earth / total volume"),"Coarse fragments recorded and the lab basis already accounts for them — no further correction applied, which is correct. ",""))</f>
        <v/>
      </c>
      <c r="T224" s="6"/>
      <c r="U224" s="9" t="n">
        <f aca="false">IF($B224="",0,IF(COUNTIFS($B$5:$B224,$B224)=1,1,0))</f>
        <v>0</v>
      </c>
    </row>
    <row r="225" customFormat="false" ht="15" hidden="false" customHeight="false" outlineLevel="0" collapsed="false">
      <c r="A225" s="6"/>
      <c r="B225" s="6"/>
      <c r="C225" s="6"/>
      <c r="D225" s="6"/>
      <c r="E225" s="6"/>
      <c r="F225" s="9" t="str">
        <f aca="false">IF(OR($D225="",$E225=""),"",$E225-$D225)</f>
        <v/>
      </c>
      <c r="G225" s="6"/>
      <c r="H225" s="6"/>
      <c r="I225" s="6"/>
      <c r="J225" s="9" t="str">
        <f aca="false">IF(OR(NOT(ISNUMBER($H225)),NOT(ISNUMBER($I225)),$H225=0),"",$I225/$H225)</f>
        <v/>
      </c>
      <c r="K225" s="6"/>
      <c r="L225" s="8"/>
      <c r="M225" s="7"/>
      <c r="N225" s="7"/>
      <c r="O225" s="9" t="str">
        <f aca="false">IF(NOT(ISNUMBER($M225)),"",IF($L225="Fine earth / fine-earth volume",$M225*(1-IF(ISNUMBER($K225),$K225,0)/100),$M225))</f>
        <v/>
      </c>
      <c r="P225" s="9" t="str">
        <f aca="false">IF(OR(NOT(ISNUMBER($O225)),NOT(ISNUMBER($N225)),NOT(ISNUMBER($F225))),"",$O225*($N225/100)*$F225*10)</f>
        <v/>
      </c>
      <c r="Q225" s="9" t="str">
        <f aca="false">IF(OR(NOT(ISNUMBER($D225)),NOT(ISNUMBER($E225))),"",MAX(0,MIN($E225,SOIL_REPORTING_DEPTH_CM)-MIN($D225,SOIL_REPORTING_DEPTH_CM)))</f>
        <v/>
      </c>
      <c r="R225" s="9" t="str">
        <f aca="false">IF(OR(NOT(ISNUMBER($O225)),NOT(ISNUMBER($N225)),NOT(ISNUMBER($Q225))),"",$O225*($N225/100)*$Q225*10)</f>
        <v/>
      </c>
      <c r="S225" s="11" t="str">
        <f aca="false">IF(AND($A225="",$B225="",$D225=""),"",IF(AND($A225&lt;&gt;"",COUNTIF('1. Plot &amp; Site Log'!$A$5:$A$64,$A225)=0),"Plot ID not in the Plot &amp; Site Log. ","")&amp;IF(AND(ISNUMBER($D225),ISNUMBER($E225),$E225&lt;=$D225),"Bottom depth is not below top depth. ","")&amp;IF($L225="Not confirmed","Bulk-density basis not confirmed with the lab — the coarse-fragment correction may be wrong or doubled. ","")&amp;IF(LAB_BULK_DENSITY_BASIS="Not confirmed","No lab bulk-density basis is on file in Settings (LAB_BULK_DENSITY_BASIS), so nothing checks this row. ","")&amp;IF(AND($L225&lt;&gt;"",LAB_BULK_DENSITY_BASIS&lt;&gt;"Not confirmed",$L225&lt;&gt;LAB_BULK_DENSITY_BASIS),"This row's bulk-density basis disagrees with the lab method on file. One of "&amp;"the two is wrong, and the coarse-fragment correction follows the row. ","")&amp;IF(AND(ISNUMBER($M225),OR($M225&lt;QC_BD_MIN,$M225&gt;QC_BD_MAX)),"Bulk density outside the plausible range for a mineral grassland soil. ","")&amp;IF(AND(ISNUMBER($N225),$N225&gt;QC_CARBON_PCT_MAX),"Organic carbon above the QC ceiling — check units, and whether this is an organic horizon. ","")&amp;IF(AND(ISNUMBER($J225),$J225&lt;QC_RECOVERY_MIN),"Recovered less than the QC minimum of the depth driven — the increments may not sit where you think. Do NOT stretch them back out. ","")&amp;IF(AND(ISNUMBER($K225),$K225&gt;0,$L225="Fine earth / total volume"),"Coarse fragments recorded and the lab basis already accounts for them — no further correction applied, which is correct. ",""))</f>
        <v/>
      </c>
      <c r="T225" s="6"/>
      <c r="U225" s="9" t="n">
        <f aca="false">IF($B225="",0,IF(COUNTIFS($B$5:$B225,$B225)=1,1,0))</f>
        <v>0</v>
      </c>
    </row>
    <row r="226" customFormat="false" ht="15" hidden="false" customHeight="false" outlineLevel="0" collapsed="false">
      <c r="A226" s="6"/>
      <c r="B226" s="6"/>
      <c r="C226" s="6"/>
      <c r="D226" s="6"/>
      <c r="E226" s="6"/>
      <c r="F226" s="9" t="str">
        <f aca="false">IF(OR($D226="",$E226=""),"",$E226-$D226)</f>
        <v/>
      </c>
      <c r="G226" s="6"/>
      <c r="H226" s="6"/>
      <c r="I226" s="6"/>
      <c r="J226" s="9" t="str">
        <f aca="false">IF(OR(NOT(ISNUMBER($H226)),NOT(ISNUMBER($I226)),$H226=0),"",$I226/$H226)</f>
        <v/>
      </c>
      <c r="K226" s="6"/>
      <c r="L226" s="8"/>
      <c r="M226" s="7"/>
      <c r="N226" s="7"/>
      <c r="O226" s="9" t="str">
        <f aca="false">IF(NOT(ISNUMBER($M226)),"",IF($L226="Fine earth / fine-earth volume",$M226*(1-IF(ISNUMBER($K226),$K226,0)/100),$M226))</f>
        <v/>
      </c>
      <c r="P226" s="9" t="str">
        <f aca="false">IF(OR(NOT(ISNUMBER($O226)),NOT(ISNUMBER($N226)),NOT(ISNUMBER($F226))),"",$O226*($N226/100)*$F226*10)</f>
        <v/>
      </c>
      <c r="Q226" s="9" t="str">
        <f aca="false">IF(OR(NOT(ISNUMBER($D226)),NOT(ISNUMBER($E226))),"",MAX(0,MIN($E226,SOIL_REPORTING_DEPTH_CM)-MIN($D226,SOIL_REPORTING_DEPTH_CM)))</f>
        <v/>
      </c>
      <c r="R226" s="9" t="str">
        <f aca="false">IF(OR(NOT(ISNUMBER($O226)),NOT(ISNUMBER($N226)),NOT(ISNUMBER($Q226))),"",$O226*($N226/100)*$Q226*10)</f>
        <v/>
      </c>
      <c r="S226" s="11" t="str">
        <f aca="false">IF(AND($A226="",$B226="",$D226=""),"",IF(AND($A226&lt;&gt;"",COUNTIF('1. Plot &amp; Site Log'!$A$5:$A$64,$A226)=0),"Plot ID not in the Plot &amp; Site Log. ","")&amp;IF(AND(ISNUMBER($D226),ISNUMBER($E226),$E226&lt;=$D226),"Bottom depth is not below top depth. ","")&amp;IF($L226="Not confirmed","Bulk-density basis not confirmed with the lab — the coarse-fragment correction may be wrong or doubled. ","")&amp;IF(LAB_BULK_DENSITY_BASIS="Not confirmed","No lab bulk-density basis is on file in Settings (LAB_BULK_DENSITY_BASIS), so nothing checks this row. ","")&amp;IF(AND($L226&lt;&gt;"",LAB_BULK_DENSITY_BASIS&lt;&gt;"Not confirmed",$L226&lt;&gt;LAB_BULK_DENSITY_BASIS),"This row's bulk-density basis disagrees with the lab method on file. One of "&amp;"the two is wrong, and the coarse-fragment correction follows the row. ","")&amp;IF(AND(ISNUMBER($M226),OR($M226&lt;QC_BD_MIN,$M226&gt;QC_BD_MAX)),"Bulk density outside the plausible range for a mineral grassland soil. ","")&amp;IF(AND(ISNUMBER($N226),$N226&gt;QC_CARBON_PCT_MAX),"Organic carbon above the QC ceiling — check units, and whether this is an organic horizon. ","")&amp;IF(AND(ISNUMBER($J226),$J226&lt;QC_RECOVERY_MIN),"Recovered less than the QC minimum of the depth driven — the increments may not sit where you think. Do NOT stretch them back out. ","")&amp;IF(AND(ISNUMBER($K226),$K226&gt;0,$L226="Fine earth / total volume"),"Coarse fragments recorded and the lab basis already accounts for them — no further correction applied, which is correct. ",""))</f>
        <v/>
      </c>
      <c r="T226" s="6"/>
      <c r="U226" s="9" t="n">
        <f aca="false">IF($B226="",0,IF(COUNTIFS($B$5:$B226,$B226)=1,1,0))</f>
        <v>0</v>
      </c>
    </row>
    <row r="227" customFormat="false" ht="15" hidden="false" customHeight="false" outlineLevel="0" collapsed="false">
      <c r="A227" s="6"/>
      <c r="B227" s="6"/>
      <c r="C227" s="6"/>
      <c r="D227" s="6"/>
      <c r="E227" s="6"/>
      <c r="F227" s="9" t="str">
        <f aca="false">IF(OR($D227="",$E227=""),"",$E227-$D227)</f>
        <v/>
      </c>
      <c r="G227" s="6"/>
      <c r="H227" s="6"/>
      <c r="I227" s="6"/>
      <c r="J227" s="9" t="str">
        <f aca="false">IF(OR(NOT(ISNUMBER($H227)),NOT(ISNUMBER($I227)),$H227=0),"",$I227/$H227)</f>
        <v/>
      </c>
      <c r="K227" s="6"/>
      <c r="L227" s="8"/>
      <c r="M227" s="7"/>
      <c r="N227" s="7"/>
      <c r="O227" s="9" t="str">
        <f aca="false">IF(NOT(ISNUMBER($M227)),"",IF($L227="Fine earth / fine-earth volume",$M227*(1-IF(ISNUMBER($K227),$K227,0)/100),$M227))</f>
        <v/>
      </c>
      <c r="P227" s="9" t="str">
        <f aca="false">IF(OR(NOT(ISNUMBER($O227)),NOT(ISNUMBER($N227)),NOT(ISNUMBER($F227))),"",$O227*($N227/100)*$F227*10)</f>
        <v/>
      </c>
      <c r="Q227" s="9" t="str">
        <f aca="false">IF(OR(NOT(ISNUMBER($D227)),NOT(ISNUMBER($E227))),"",MAX(0,MIN($E227,SOIL_REPORTING_DEPTH_CM)-MIN($D227,SOIL_REPORTING_DEPTH_CM)))</f>
        <v/>
      </c>
      <c r="R227" s="9" t="str">
        <f aca="false">IF(OR(NOT(ISNUMBER($O227)),NOT(ISNUMBER($N227)),NOT(ISNUMBER($Q227))),"",$O227*($N227/100)*$Q227*10)</f>
        <v/>
      </c>
      <c r="S227" s="11" t="str">
        <f aca="false">IF(AND($A227="",$B227="",$D227=""),"",IF(AND($A227&lt;&gt;"",COUNTIF('1. Plot &amp; Site Log'!$A$5:$A$64,$A227)=0),"Plot ID not in the Plot &amp; Site Log. ","")&amp;IF(AND(ISNUMBER($D227),ISNUMBER($E227),$E227&lt;=$D227),"Bottom depth is not below top depth. ","")&amp;IF($L227="Not confirmed","Bulk-density basis not confirmed with the lab — the coarse-fragment correction may be wrong or doubled. ","")&amp;IF(LAB_BULK_DENSITY_BASIS="Not confirmed","No lab bulk-density basis is on file in Settings (LAB_BULK_DENSITY_BASIS), so nothing checks this row. ","")&amp;IF(AND($L227&lt;&gt;"",LAB_BULK_DENSITY_BASIS&lt;&gt;"Not confirmed",$L227&lt;&gt;LAB_BULK_DENSITY_BASIS),"This row's bulk-density basis disagrees with the lab method on file. One of "&amp;"the two is wrong, and the coarse-fragment correction follows the row. ","")&amp;IF(AND(ISNUMBER($M227),OR($M227&lt;QC_BD_MIN,$M227&gt;QC_BD_MAX)),"Bulk density outside the plausible range for a mineral grassland soil. ","")&amp;IF(AND(ISNUMBER($N227),$N227&gt;QC_CARBON_PCT_MAX),"Organic carbon above the QC ceiling — check units, and whether this is an organic horizon. ","")&amp;IF(AND(ISNUMBER($J227),$J227&lt;QC_RECOVERY_MIN),"Recovered less than the QC minimum of the depth driven — the increments may not sit where you think. Do NOT stretch them back out. ","")&amp;IF(AND(ISNUMBER($K227),$K227&gt;0,$L227="Fine earth / total volume"),"Coarse fragments recorded and the lab basis already accounts for them — no further correction applied, which is correct. ",""))</f>
        <v/>
      </c>
      <c r="T227" s="6"/>
      <c r="U227" s="9" t="n">
        <f aca="false">IF($B227="",0,IF(COUNTIFS($B$5:$B227,$B227)=1,1,0))</f>
        <v>0</v>
      </c>
    </row>
    <row r="228" customFormat="false" ht="15" hidden="false" customHeight="false" outlineLevel="0" collapsed="false">
      <c r="A228" s="6"/>
      <c r="B228" s="6"/>
      <c r="C228" s="6"/>
      <c r="D228" s="6"/>
      <c r="E228" s="6"/>
      <c r="F228" s="9" t="str">
        <f aca="false">IF(OR($D228="",$E228=""),"",$E228-$D228)</f>
        <v/>
      </c>
      <c r="G228" s="6"/>
      <c r="H228" s="6"/>
      <c r="I228" s="6"/>
      <c r="J228" s="9" t="str">
        <f aca="false">IF(OR(NOT(ISNUMBER($H228)),NOT(ISNUMBER($I228)),$H228=0),"",$I228/$H228)</f>
        <v/>
      </c>
      <c r="K228" s="6"/>
      <c r="L228" s="8"/>
      <c r="M228" s="7"/>
      <c r="N228" s="7"/>
      <c r="O228" s="9" t="str">
        <f aca="false">IF(NOT(ISNUMBER($M228)),"",IF($L228="Fine earth / fine-earth volume",$M228*(1-IF(ISNUMBER($K228),$K228,0)/100),$M228))</f>
        <v/>
      </c>
      <c r="P228" s="9" t="str">
        <f aca="false">IF(OR(NOT(ISNUMBER($O228)),NOT(ISNUMBER($N228)),NOT(ISNUMBER($F228))),"",$O228*($N228/100)*$F228*10)</f>
        <v/>
      </c>
      <c r="Q228" s="9" t="str">
        <f aca="false">IF(OR(NOT(ISNUMBER($D228)),NOT(ISNUMBER($E228))),"",MAX(0,MIN($E228,SOIL_REPORTING_DEPTH_CM)-MIN($D228,SOIL_REPORTING_DEPTH_CM)))</f>
        <v/>
      </c>
      <c r="R228" s="9" t="str">
        <f aca="false">IF(OR(NOT(ISNUMBER($O228)),NOT(ISNUMBER($N228)),NOT(ISNUMBER($Q228))),"",$O228*($N228/100)*$Q228*10)</f>
        <v/>
      </c>
      <c r="S228" s="11" t="str">
        <f aca="false">IF(AND($A228="",$B228="",$D228=""),"",IF(AND($A228&lt;&gt;"",COUNTIF('1. Plot &amp; Site Log'!$A$5:$A$64,$A228)=0),"Plot ID not in the Plot &amp; Site Log. ","")&amp;IF(AND(ISNUMBER($D228),ISNUMBER($E228),$E228&lt;=$D228),"Bottom depth is not below top depth. ","")&amp;IF($L228="Not confirmed","Bulk-density basis not confirmed with the lab — the coarse-fragment correction may be wrong or doubled. ","")&amp;IF(LAB_BULK_DENSITY_BASIS="Not confirmed","No lab bulk-density basis is on file in Settings (LAB_BULK_DENSITY_BASIS), so nothing checks this row. ","")&amp;IF(AND($L228&lt;&gt;"",LAB_BULK_DENSITY_BASIS&lt;&gt;"Not confirmed",$L228&lt;&gt;LAB_BULK_DENSITY_BASIS),"This row's bulk-density basis disagrees with the lab method on file. One of "&amp;"the two is wrong, and the coarse-fragment correction follows the row. ","")&amp;IF(AND(ISNUMBER($M228),OR($M228&lt;QC_BD_MIN,$M228&gt;QC_BD_MAX)),"Bulk density outside the plausible range for a mineral grassland soil. ","")&amp;IF(AND(ISNUMBER($N228),$N228&gt;QC_CARBON_PCT_MAX),"Organic carbon above the QC ceiling — check units, and whether this is an organic horizon. ","")&amp;IF(AND(ISNUMBER($J228),$J228&lt;QC_RECOVERY_MIN),"Recovered less than the QC minimum of the depth driven — the increments may not sit where you think. Do NOT stretch them back out. ","")&amp;IF(AND(ISNUMBER($K228),$K228&gt;0,$L228="Fine earth / total volume"),"Coarse fragments recorded and the lab basis already accounts for them — no further correction applied, which is correct. ",""))</f>
        <v/>
      </c>
      <c r="T228" s="6"/>
      <c r="U228" s="9" t="n">
        <f aca="false">IF($B228="",0,IF(COUNTIFS($B$5:$B228,$B228)=1,1,0))</f>
        <v>0</v>
      </c>
    </row>
    <row r="229" customFormat="false" ht="15" hidden="false" customHeight="false" outlineLevel="0" collapsed="false">
      <c r="A229" s="6"/>
      <c r="B229" s="6"/>
      <c r="C229" s="6"/>
      <c r="D229" s="6"/>
      <c r="E229" s="6"/>
      <c r="F229" s="9" t="str">
        <f aca="false">IF(OR($D229="",$E229=""),"",$E229-$D229)</f>
        <v/>
      </c>
      <c r="G229" s="6"/>
      <c r="H229" s="6"/>
      <c r="I229" s="6"/>
      <c r="J229" s="9" t="str">
        <f aca="false">IF(OR(NOT(ISNUMBER($H229)),NOT(ISNUMBER($I229)),$H229=0),"",$I229/$H229)</f>
        <v/>
      </c>
      <c r="K229" s="6"/>
      <c r="L229" s="8"/>
      <c r="M229" s="7"/>
      <c r="N229" s="7"/>
      <c r="O229" s="9" t="str">
        <f aca="false">IF(NOT(ISNUMBER($M229)),"",IF($L229="Fine earth / fine-earth volume",$M229*(1-IF(ISNUMBER($K229),$K229,0)/100),$M229))</f>
        <v/>
      </c>
      <c r="P229" s="9" t="str">
        <f aca="false">IF(OR(NOT(ISNUMBER($O229)),NOT(ISNUMBER($N229)),NOT(ISNUMBER($F229))),"",$O229*($N229/100)*$F229*10)</f>
        <v/>
      </c>
      <c r="Q229" s="9" t="str">
        <f aca="false">IF(OR(NOT(ISNUMBER($D229)),NOT(ISNUMBER($E229))),"",MAX(0,MIN($E229,SOIL_REPORTING_DEPTH_CM)-MIN($D229,SOIL_REPORTING_DEPTH_CM)))</f>
        <v/>
      </c>
      <c r="R229" s="9" t="str">
        <f aca="false">IF(OR(NOT(ISNUMBER($O229)),NOT(ISNUMBER($N229)),NOT(ISNUMBER($Q229))),"",$O229*($N229/100)*$Q229*10)</f>
        <v/>
      </c>
      <c r="S229" s="11" t="str">
        <f aca="false">IF(AND($A229="",$B229="",$D229=""),"",IF(AND($A229&lt;&gt;"",COUNTIF('1. Plot &amp; Site Log'!$A$5:$A$64,$A229)=0),"Plot ID not in the Plot &amp; Site Log. ","")&amp;IF(AND(ISNUMBER($D229),ISNUMBER($E229),$E229&lt;=$D229),"Bottom depth is not below top depth. ","")&amp;IF($L229="Not confirmed","Bulk-density basis not confirmed with the lab — the coarse-fragment correction may be wrong or doubled. ","")&amp;IF(LAB_BULK_DENSITY_BASIS="Not confirmed","No lab bulk-density basis is on file in Settings (LAB_BULK_DENSITY_BASIS), so nothing checks this row. ","")&amp;IF(AND($L229&lt;&gt;"",LAB_BULK_DENSITY_BASIS&lt;&gt;"Not confirmed",$L229&lt;&gt;LAB_BULK_DENSITY_BASIS),"This row's bulk-density basis disagrees with the lab method on file. One of "&amp;"the two is wrong, and the coarse-fragment correction follows the row. ","")&amp;IF(AND(ISNUMBER($M229),OR($M229&lt;QC_BD_MIN,$M229&gt;QC_BD_MAX)),"Bulk density outside the plausible range for a mineral grassland soil. ","")&amp;IF(AND(ISNUMBER($N229),$N229&gt;QC_CARBON_PCT_MAX),"Organic carbon above the QC ceiling — check units, and whether this is an organic horizon. ","")&amp;IF(AND(ISNUMBER($J229),$J229&lt;QC_RECOVERY_MIN),"Recovered less than the QC minimum of the depth driven — the increments may not sit where you think. Do NOT stretch them back out. ","")&amp;IF(AND(ISNUMBER($K229),$K229&gt;0,$L229="Fine earth / total volume"),"Coarse fragments recorded and the lab basis already accounts for them — no further correction applied, which is correct. ",""))</f>
        <v/>
      </c>
      <c r="T229" s="6"/>
      <c r="U229" s="9" t="n">
        <f aca="false">IF($B229="",0,IF(COUNTIFS($B$5:$B229,$B229)=1,1,0))</f>
        <v>0</v>
      </c>
    </row>
    <row r="230" customFormat="false" ht="15" hidden="false" customHeight="false" outlineLevel="0" collapsed="false">
      <c r="A230" s="6"/>
      <c r="B230" s="6"/>
      <c r="C230" s="6"/>
      <c r="D230" s="6"/>
      <c r="E230" s="6"/>
      <c r="F230" s="9" t="str">
        <f aca="false">IF(OR($D230="",$E230=""),"",$E230-$D230)</f>
        <v/>
      </c>
      <c r="G230" s="6"/>
      <c r="H230" s="6"/>
      <c r="I230" s="6"/>
      <c r="J230" s="9" t="str">
        <f aca="false">IF(OR(NOT(ISNUMBER($H230)),NOT(ISNUMBER($I230)),$H230=0),"",$I230/$H230)</f>
        <v/>
      </c>
      <c r="K230" s="6"/>
      <c r="L230" s="8"/>
      <c r="M230" s="7"/>
      <c r="N230" s="7"/>
      <c r="O230" s="9" t="str">
        <f aca="false">IF(NOT(ISNUMBER($M230)),"",IF($L230="Fine earth / fine-earth volume",$M230*(1-IF(ISNUMBER($K230),$K230,0)/100),$M230))</f>
        <v/>
      </c>
      <c r="P230" s="9" t="str">
        <f aca="false">IF(OR(NOT(ISNUMBER($O230)),NOT(ISNUMBER($N230)),NOT(ISNUMBER($F230))),"",$O230*($N230/100)*$F230*10)</f>
        <v/>
      </c>
      <c r="Q230" s="9" t="str">
        <f aca="false">IF(OR(NOT(ISNUMBER($D230)),NOT(ISNUMBER($E230))),"",MAX(0,MIN($E230,SOIL_REPORTING_DEPTH_CM)-MIN($D230,SOIL_REPORTING_DEPTH_CM)))</f>
        <v/>
      </c>
      <c r="R230" s="9" t="str">
        <f aca="false">IF(OR(NOT(ISNUMBER($O230)),NOT(ISNUMBER($N230)),NOT(ISNUMBER($Q230))),"",$O230*($N230/100)*$Q230*10)</f>
        <v/>
      </c>
      <c r="S230" s="11" t="str">
        <f aca="false">IF(AND($A230="",$B230="",$D230=""),"",IF(AND($A230&lt;&gt;"",COUNTIF('1. Plot &amp; Site Log'!$A$5:$A$64,$A230)=0),"Plot ID not in the Plot &amp; Site Log. ","")&amp;IF(AND(ISNUMBER($D230),ISNUMBER($E230),$E230&lt;=$D230),"Bottom depth is not below top depth. ","")&amp;IF($L230="Not confirmed","Bulk-density basis not confirmed with the lab — the coarse-fragment correction may be wrong or doubled. ","")&amp;IF(LAB_BULK_DENSITY_BASIS="Not confirmed","No lab bulk-density basis is on file in Settings (LAB_BULK_DENSITY_BASIS), so nothing checks this row. ","")&amp;IF(AND($L230&lt;&gt;"",LAB_BULK_DENSITY_BASIS&lt;&gt;"Not confirmed",$L230&lt;&gt;LAB_BULK_DENSITY_BASIS),"This row's bulk-density basis disagrees with the lab method on file. One of "&amp;"the two is wrong, and the coarse-fragment correction follows the row. ","")&amp;IF(AND(ISNUMBER($M230),OR($M230&lt;QC_BD_MIN,$M230&gt;QC_BD_MAX)),"Bulk density outside the plausible range for a mineral grassland soil. ","")&amp;IF(AND(ISNUMBER($N230),$N230&gt;QC_CARBON_PCT_MAX),"Organic carbon above the QC ceiling — check units, and whether this is an organic horizon. ","")&amp;IF(AND(ISNUMBER($J230),$J230&lt;QC_RECOVERY_MIN),"Recovered less than the QC minimum of the depth driven — the increments may not sit where you think. Do NOT stretch them back out. ","")&amp;IF(AND(ISNUMBER($K230),$K230&gt;0,$L230="Fine earth / total volume"),"Coarse fragments recorded and the lab basis already accounts for them — no further correction applied, which is correct. ",""))</f>
        <v/>
      </c>
      <c r="T230" s="6"/>
      <c r="U230" s="9" t="n">
        <f aca="false">IF($B230="",0,IF(COUNTIFS($B$5:$B230,$B230)=1,1,0))</f>
        <v>0</v>
      </c>
    </row>
    <row r="231" customFormat="false" ht="15" hidden="false" customHeight="false" outlineLevel="0" collapsed="false">
      <c r="A231" s="6"/>
      <c r="B231" s="6"/>
      <c r="C231" s="6"/>
      <c r="D231" s="6"/>
      <c r="E231" s="6"/>
      <c r="F231" s="9" t="str">
        <f aca="false">IF(OR($D231="",$E231=""),"",$E231-$D231)</f>
        <v/>
      </c>
      <c r="G231" s="6"/>
      <c r="H231" s="6"/>
      <c r="I231" s="6"/>
      <c r="J231" s="9" t="str">
        <f aca="false">IF(OR(NOT(ISNUMBER($H231)),NOT(ISNUMBER($I231)),$H231=0),"",$I231/$H231)</f>
        <v/>
      </c>
      <c r="K231" s="6"/>
      <c r="L231" s="8"/>
      <c r="M231" s="7"/>
      <c r="N231" s="7"/>
      <c r="O231" s="9" t="str">
        <f aca="false">IF(NOT(ISNUMBER($M231)),"",IF($L231="Fine earth / fine-earth volume",$M231*(1-IF(ISNUMBER($K231),$K231,0)/100),$M231))</f>
        <v/>
      </c>
      <c r="P231" s="9" t="str">
        <f aca="false">IF(OR(NOT(ISNUMBER($O231)),NOT(ISNUMBER($N231)),NOT(ISNUMBER($F231))),"",$O231*($N231/100)*$F231*10)</f>
        <v/>
      </c>
      <c r="Q231" s="9" t="str">
        <f aca="false">IF(OR(NOT(ISNUMBER($D231)),NOT(ISNUMBER($E231))),"",MAX(0,MIN($E231,SOIL_REPORTING_DEPTH_CM)-MIN($D231,SOIL_REPORTING_DEPTH_CM)))</f>
        <v/>
      </c>
      <c r="R231" s="9" t="str">
        <f aca="false">IF(OR(NOT(ISNUMBER($O231)),NOT(ISNUMBER($N231)),NOT(ISNUMBER($Q231))),"",$O231*($N231/100)*$Q231*10)</f>
        <v/>
      </c>
      <c r="S231" s="11" t="str">
        <f aca="false">IF(AND($A231="",$B231="",$D231=""),"",IF(AND($A231&lt;&gt;"",COUNTIF('1. Plot &amp; Site Log'!$A$5:$A$64,$A231)=0),"Plot ID not in the Plot &amp; Site Log. ","")&amp;IF(AND(ISNUMBER($D231),ISNUMBER($E231),$E231&lt;=$D231),"Bottom depth is not below top depth. ","")&amp;IF($L231="Not confirmed","Bulk-density basis not confirmed with the lab — the coarse-fragment correction may be wrong or doubled. ","")&amp;IF(LAB_BULK_DENSITY_BASIS="Not confirmed","No lab bulk-density basis is on file in Settings (LAB_BULK_DENSITY_BASIS), so nothing checks this row. ","")&amp;IF(AND($L231&lt;&gt;"",LAB_BULK_DENSITY_BASIS&lt;&gt;"Not confirmed",$L231&lt;&gt;LAB_BULK_DENSITY_BASIS),"This row's bulk-density basis disagrees with the lab method on file. One of "&amp;"the two is wrong, and the coarse-fragment correction follows the row. ","")&amp;IF(AND(ISNUMBER($M231),OR($M231&lt;QC_BD_MIN,$M231&gt;QC_BD_MAX)),"Bulk density outside the plausible range for a mineral grassland soil. ","")&amp;IF(AND(ISNUMBER($N231),$N231&gt;QC_CARBON_PCT_MAX),"Organic carbon above the QC ceiling — check units, and whether this is an organic horizon. ","")&amp;IF(AND(ISNUMBER($J231),$J231&lt;QC_RECOVERY_MIN),"Recovered less than the QC minimum of the depth driven — the increments may not sit where you think. Do NOT stretch them back out. ","")&amp;IF(AND(ISNUMBER($K231),$K231&gt;0,$L231="Fine earth / total volume"),"Coarse fragments recorded and the lab basis already accounts for them — no further correction applied, which is correct. ",""))</f>
        <v/>
      </c>
      <c r="T231" s="6"/>
      <c r="U231" s="9" t="n">
        <f aca="false">IF($B231="",0,IF(COUNTIFS($B$5:$B231,$B231)=1,1,0))</f>
        <v>0</v>
      </c>
    </row>
    <row r="232" customFormat="false" ht="15" hidden="false" customHeight="false" outlineLevel="0" collapsed="false">
      <c r="A232" s="6"/>
      <c r="B232" s="6"/>
      <c r="C232" s="6"/>
      <c r="D232" s="6"/>
      <c r="E232" s="6"/>
      <c r="F232" s="9" t="str">
        <f aca="false">IF(OR($D232="",$E232=""),"",$E232-$D232)</f>
        <v/>
      </c>
      <c r="G232" s="6"/>
      <c r="H232" s="6"/>
      <c r="I232" s="6"/>
      <c r="J232" s="9" t="str">
        <f aca="false">IF(OR(NOT(ISNUMBER($H232)),NOT(ISNUMBER($I232)),$H232=0),"",$I232/$H232)</f>
        <v/>
      </c>
      <c r="K232" s="6"/>
      <c r="L232" s="8"/>
      <c r="M232" s="7"/>
      <c r="N232" s="7"/>
      <c r="O232" s="9" t="str">
        <f aca="false">IF(NOT(ISNUMBER($M232)),"",IF($L232="Fine earth / fine-earth volume",$M232*(1-IF(ISNUMBER($K232),$K232,0)/100),$M232))</f>
        <v/>
      </c>
      <c r="P232" s="9" t="str">
        <f aca="false">IF(OR(NOT(ISNUMBER($O232)),NOT(ISNUMBER($N232)),NOT(ISNUMBER($F232))),"",$O232*($N232/100)*$F232*10)</f>
        <v/>
      </c>
      <c r="Q232" s="9" t="str">
        <f aca="false">IF(OR(NOT(ISNUMBER($D232)),NOT(ISNUMBER($E232))),"",MAX(0,MIN($E232,SOIL_REPORTING_DEPTH_CM)-MIN($D232,SOIL_REPORTING_DEPTH_CM)))</f>
        <v/>
      </c>
      <c r="R232" s="9" t="str">
        <f aca="false">IF(OR(NOT(ISNUMBER($O232)),NOT(ISNUMBER($N232)),NOT(ISNUMBER($Q232))),"",$O232*($N232/100)*$Q232*10)</f>
        <v/>
      </c>
      <c r="S232" s="11" t="str">
        <f aca="false">IF(AND($A232="",$B232="",$D232=""),"",IF(AND($A232&lt;&gt;"",COUNTIF('1. Plot &amp; Site Log'!$A$5:$A$64,$A232)=0),"Plot ID not in the Plot &amp; Site Log. ","")&amp;IF(AND(ISNUMBER($D232),ISNUMBER($E232),$E232&lt;=$D232),"Bottom depth is not below top depth. ","")&amp;IF($L232="Not confirmed","Bulk-density basis not confirmed with the lab — the coarse-fragment correction may be wrong or doubled. ","")&amp;IF(LAB_BULK_DENSITY_BASIS="Not confirmed","No lab bulk-density basis is on file in Settings (LAB_BULK_DENSITY_BASIS), so nothing checks this row. ","")&amp;IF(AND($L232&lt;&gt;"",LAB_BULK_DENSITY_BASIS&lt;&gt;"Not confirmed",$L232&lt;&gt;LAB_BULK_DENSITY_BASIS),"This row's bulk-density basis disagrees with the lab method on file. One of "&amp;"the two is wrong, and the coarse-fragment correction follows the row. ","")&amp;IF(AND(ISNUMBER($M232),OR($M232&lt;QC_BD_MIN,$M232&gt;QC_BD_MAX)),"Bulk density outside the plausible range for a mineral grassland soil. ","")&amp;IF(AND(ISNUMBER($N232),$N232&gt;QC_CARBON_PCT_MAX),"Organic carbon above the QC ceiling — check units, and whether this is an organic horizon. ","")&amp;IF(AND(ISNUMBER($J232),$J232&lt;QC_RECOVERY_MIN),"Recovered less than the QC minimum of the depth driven — the increments may not sit where you think. Do NOT stretch them back out. ","")&amp;IF(AND(ISNUMBER($K232),$K232&gt;0,$L232="Fine earth / total volume"),"Coarse fragments recorded and the lab basis already accounts for them — no further correction applied, which is correct. ",""))</f>
        <v/>
      </c>
      <c r="T232" s="6"/>
      <c r="U232" s="9" t="n">
        <f aca="false">IF($B232="",0,IF(COUNTIFS($B$5:$B232,$B232)=1,1,0))</f>
        <v>0</v>
      </c>
    </row>
    <row r="233" customFormat="false" ht="15" hidden="false" customHeight="false" outlineLevel="0" collapsed="false">
      <c r="A233" s="6"/>
      <c r="B233" s="6"/>
      <c r="C233" s="6"/>
      <c r="D233" s="6"/>
      <c r="E233" s="6"/>
      <c r="F233" s="9" t="str">
        <f aca="false">IF(OR($D233="",$E233=""),"",$E233-$D233)</f>
        <v/>
      </c>
      <c r="G233" s="6"/>
      <c r="H233" s="6"/>
      <c r="I233" s="6"/>
      <c r="J233" s="9" t="str">
        <f aca="false">IF(OR(NOT(ISNUMBER($H233)),NOT(ISNUMBER($I233)),$H233=0),"",$I233/$H233)</f>
        <v/>
      </c>
      <c r="K233" s="6"/>
      <c r="L233" s="8"/>
      <c r="M233" s="7"/>
      <c r="N233" s="7"/>
      <c r="O233" s="9" t="str">
        <f aca="false">IF(NOT(ISNUMBER($M233)),"",IF($L233="Fine earth / fine-earth volume",$M233*(1-IF(ISNUMBER($K233),$K233,0)/100),$M233))</f>
        <v/>
      </c>
      <c r="P233" s="9" t="str">
        <f aca="false">IF(OR(NOT(ISNUMBER($O233)),NOT(ISNUMBER($N233)),NOT(ISNUMBER($F233))),"",$O233*($N233/100)*$F233*10)</f>
        <v/>
      </c>
      <c r="Q233" s="9" t="str">
        <f aca="false">IF(OR(NOT(ISNUMBER($D233)),NOT(ISNUMBER($E233))),"",MAX(0,MIN($E233,SOIL_REPORTING_DEPTH_CM)-MIN($D233,SOIL_REPORTING_DEPTH_CM)))</f>
        <v/>
      </c>
      <c r="R233" s="9" t="str">
        <f aca="false">IF(OR(NOT(ISNUMBER($O233)),NOT(ISNUMBER($N233)),NOT(ISNUMBER($Q233))),"",$O233*($N233/100)*$Q233*10)</f>
        <v/>
      </c>
      <c r="S233" s="11" t="str">
        <f aca="false">IF(AND($A233="",$B233="",$D233=""),"",IF(AND($A233&lt;&gt;"",COUNTIF('1. Plot &amp; Site Log'!$A$5:$A$64,$A233)=0),"Plot ID not in the Plot &amp; Site Log. ","")&amp;IF(AND(ISNUMBER($D233),ISNUMBER($E233),$E233&lt;=$D233),"Bottom depth is not below top depth. ","")&amp;IF($L233="Not confirmed","Bulk-density basis not confirmed with the lab — the coarse-fragment correction may be wrong or doubled. ","")&amp;IF(LAB_BULK_DENSITY_BASIS="Not confirmed","No lab bulk-density basis is on file in Settings (LAB_BULK_DENSITY_BASIS), so nothing checks this row. ","")&amp;IF(AND($L233&lt;&gt;"",LAB_BULK_DENSITY_BASIS&lt;&gt;"Not confirmed",$L233&lt;&gt;LAB_BULK_DENSITY_BASIS),"This row's bulk-density basis disagrees with the lab method on file. One of "&amp;"the two is wrong, and the coarse-fragment correction follows the row. ","")&amp;IF(AND(ISNUMBER($M233),OR($M233&lt;QC_BD_MIN,$M233&gt;QC_BD_MAX)),"Bulk density outside the plausible range for a mineral grassland soil. ","")&amp;IF(AND(ISNUMBER($N233),$N233&gt;QC_CARBON_PCT_MAX),"Organic carbon above the QC ceiling — check units, and whether this is an organic horizon. ","")&amp;IF(AND(ISNUMBER($J233),$J233&lt;QC_RECOVERY_MIN),"Recovered less than the QC minimum of the depth driven — the increments may not sit where you think. Do NOT stretch them back out. ","")&amp;IF(AND(ISNUMBER($K233),$K233&gt;0,$L233="Fine earth / total volume"),"Coarse fragments recorded and the lab basis already accounts for them — no further correction applied, which is correct. ",""))</f>
        <v/>
      </c>
      <c r="T233" s="6"/>
      <c r="U233" s="9" t="n">
        <f aca="false">IF($B233="",0,IF(COUNTIFS($B$5:$B233,$B233)=1,1,0))</f>
        <v>0</v>
      </c>
    </row>
    <row r="234" customFormat="false" ht="15" hidden="false" customHeight="false" outlineLevel="0" collapsed="false">
      <c r="A234" s="6"/>
      <c r="B234" s="6"/>
      <c r="C234" s="6"/>
      <c r="D234" s="6"/>
      <c r="E234" s="6"/>
      <c r="F234" s="9" t="str">
        <f aca="false">IF(OR($D234="",$E234=""),"",$E234-$D234)</f>
        <v/>
      </c>
      <c r="G234" s="6"/>
      <c r="H234" s="6"/>
      <c r="I234" s="6"/>
      <c r="J234" s="9" t="str">
        <f aca="false">IF(OR(NOT(ISNUMBER($H234)),NOT(ISNUMBER($I234)),$H234=0),"",$I234/$H234)</f>
        <v/>
      </c>
      <c r="K234" s="6"/>
      <c r="L234" s="8"/>
      <c r="M234" s="7"/>
      <c r="N234" s="7"/>
      <c r="O234" s="9" t="str">
        <f aca="false">IF(NOT(ISNUMBER($M234)),"",IF($L234="Fine earth / fine-earth volume",$M234*(1-IF(ISNUMBER($K234),$K234,0)/100),$M234))</f>
        <v/>
      </c>
      <c r="P234" s="9" t="str">
        <f aca="false">IF(OR(NOT(ISNUMBER($O234)),NOT(ISNUMBER($N234)),NOT(ISNUMBER($F234))),"",$O234*($N234/100)*$F234*10)</f>
        <v/>
      </c>
      <c r="Q234" s="9" t="str">
        <f aca="false">IF(OR(NOT(ISNUMBER($D234)),NOT(ISNUMBER($E234))),"",MAX(0,MIN($E234,SOIL_REPORTING_DEPTH_CM)-MIN($D234,SOIL_REPORTING_DEPTH_CM)))</f>
        <v/>
      </c>
      <c r="R234" s="9" t="str">
        <f aca="false">IF(OR(NOT(ISNUMBER($O234)),NOT(ISNUMBER($N234)),NOT(ISNUMBER($Q234))),"",$O234*($N234/100)*$Q234*10)</f>
        <v/>
      </c>
      <c r="S234" s="11" t="str">
        <f aca="false">IF(AND($A234="",$B234="",$D234=""),"",IF(AND($A234&lt;&gt;"",COUNTIF('1. Plot &amp; Site Log'!$A$5:$A$64,$A234)=0),"Plot ID not in the Plot &amp; Site Log. ","")&amp;IF(AND(ISNUMBER($D234),ISNUMBER($E234),$E234&lt;=$D234),"Bottom depth is not below top depth. ","")&amp;IF($L234="Not confirmed","Bulk-density basis not confirmed with the lab — the coarse-fragment correction may be wrong or doubled. ","")&amp;IF(LAB_BULK_DENSITY_BASIS="Not confirmed","No lab bulk-density basis is on file in Settings (LAB_BULK_DENSITY_BASIS), so nothing checks this row. ","")&amp;IF(AND($L234&lt;&gt;"",LAB_BULK_DENSITY_BASIS&lt;&gt;"Not confirmed",$L234&lt;&gt;LAB_BULK_DENSITY_BASIS),"This row's bulk-density basis disagrees with the lab method on file. One of "&amp;"the two is wrong, and the coarse-fragment correction follows the row. ","")&amp;IF(AND(ISNUMBER($M234),OR($M234&lt;QC_BD_MIN,$M234&gt;QC_BD_MAX)),"Bulk density outside the plausible range for a mineral grassland soil. ","")&amp;IF(AND(ISNUMBER($N234),$N234&gt;QC_CARBON_PCT_MAX),"Organic carbon above the QC ceiling — check units, and whether this is an organic horizon. ","")&amp;IF(AND(ISNUMBER($J234),$J234&lt;QC_RECOVERY_MIN),"Recovered less than the QC minimum of the depth driven — the increments may not sit where you think. Do NOT stretch them back out. ","")&amp;IF(AND(ISNUMBER($K234),$K234&gt;0,$L234="Fine earth / total volume"),"Coarse fragments recorded and the lab basis already accounts for them — no further correction applied, which is correct. ",""))</f>
        <v/>
      </c>
      <c r="T234" s="6"/>
      <c r="U234" s="9" t="n">
        <f aca="false">IF($B234="",0,IF(COUNTIFS($B$5:$B234,$B234)=1,1,0))</f>
        <v>0</v>
      </c>
    </row>
    <row r="235" customFormat="false" ht="15" hidden="false" customHeight="false" outlineLevel="0" collapsed="false">
      <c r="A235" s="6"/>
      <c r="B235" s="6"/>
      <c r="C235" s="6"/>
      <c r="D235" s="6"/>
      <c r="E235" s="6"/>
      <c r="F235" s="9" t="str">
        <f aca="false">IF(OR($D235="",$E235=""),"",$E235-$D235)</f>
        <v/>
      </c>
      <c r="G235" s="6"/>
      <c r="H235" s="6"/>
      <c r="I235" s="6"/>
      <c r="J235" s="9" t="str">
        <f aca="false">IF(OR(NOT(ISNUMBER($H235)),NOT(ISNUMBER($I235)),$H235=0),"",$I235/$H235)</f>
        <v/>
      </c>
      <c r="K235" s="6"/>
      <c r="L235" s="8"/>
      <c r="M235" s="7"/>
      <c r="N235" s="7"/>
      <c r="O235" s="9" t="str">
        <f aca="false">IF(NOT(ISNUMBER($M235)),"",IF($L235="Fine earth / fine-earth volume",$M235*(1-IF(ISNUMBER($K235),$K235,0)/100),$M235))</f>
        <v/>
      </c>
      <c r="P235" s="9" t="str">
        <f aca="false">IF(OR(NOT(ISNUMBER($O235)),NOT(ISNUMBER($N235)),NOT(ISNUMBER($F235))),"",$O235*($N235/100)*$F235*10)</f>
        <v/>
      </c>
      <c r="Q235" s="9" t="str">
        <f aca="false">IF(OR(NOT(ISNUMBER($D235)),NOT(ISNUMBER($E235))),"",MAX(0,MIN($E235,SOIL_REPORTING_DEPTH_CM)-MIN($D235,SOIL_REPORTING_DEPTH_CM)))</f>
        <v/>
      </c>
      <c r="R235" s="9" t="str">
        <f aca="false">IF(OR(NOT(ISNUMBER($O235)),NOT(ISNUMBER($N235)),NOT(ISNUMBER($Q235))),"",$O235*($N235/100)*$Q235*10)</f>
        <v/>
      </c>
      <c r="S235" s="11" t="str">
        <f aca="false">IF(AND($A235="",$B235="",$D235=""),"",IF(AND($A235&lt;&gt;"",COUNTIF('1. Plot &amp; Site Log'!$A$5:$A$64,$A235)=0),"Plot ID not in the Plot &amp; Site Log. ","")&amp;IF(AND(ISNUMBER($D235),ISNUMBER($E235),$E235&lt;=$D235),"Bottom depth is not below top depth. ","")&amp;IF($L235="Not confirmed","Bulk-density basis not confirmed with the lab — the coarse-fragment correction may be wrong or doubled. ","")&amp;IF(LAB_BULK_DENSITY_BASIS="Not confirmed","No lab bulk-density basis is on file in Settings (LAB_BULK_DENSITY_BASIS), so nothing checks this row. ","")&amp;IF(AND($L235&lt;&gt;"",LAB_BULK_DENSITY_BASIS&lt;&gt;"Not confirmed",$L235&lt;&gt;LAB_BULK_DENSITY_BASIS),"This row's bulk-density basis disagrees with the lab method on file. One of "&amp;"the two is wrong, and the coarse-fragment correction follows the row. ","")&amp;IF(AND(ISNUMBER($M235),OR($M235&lt;QC_BD_MIN,$M235&gt;QC_BD_MAX)),"Bulk density outside the plausible range for a mineral grassland soil. ","")&amp;IF(AND(ISNUMBER($N235),$N235&gt;QC_CARBON_PCT_MAX),"Organic carbon above the QC ceiling — check units, and whether this is an organic horizon. ","")&amp;IF(AND(ISNUMBER($J235),$J235&lt;QC_RECOVERY_MIN),"Recovered less than the QC minimum of the depth driven — the increments may not sit where you think. Do NOT stretch them back out. ","")&amp;IF(AND(ISNUMBER($K235),$K235&gt;0,$L235="Fine earth / total volume"),"Coarse fragments recorded and the lab basis already accounts for them — no further correction applied, which is correct. ",""))</f>
        <v/>
      </c>
      <c r="T235" s="6"/>
      <c r="U235" s="9" t="n">
        <f aca="false">IF($B235="",0,IF(COUNTIFS($B$5:$B235,$B235)=1,1,0))</f>
        <v>0</v>
      </c>
    </row>
    <row r="236" customFormat="false" ht="15" hidden="false" customHeight="false" outlineLevel="0" collapsed="false">
      <c r="A236" s="6"/>
      <c r="B236" s="6"/>
      <c r="C236" s="6"/>
      <c r="D236" s="6"/>
      <c r="E236" s="6"/>
      <c r="F236" s="9" t="str">
        <f aca="false">IF(OR($D236="",$E236=""),"",$E236-$D236)</f>
        <v/>
      </c>
      <c r="G236" s="6"/>
      <c r="H236" s="6"/>
      <c r="I236" s="6"/>
      <c r="J236" s="9" t="str">
        <f aca="false">IF(OR(NOT(ISNUMBER($H236)),NOT(ISNUMBER($I236)),$H236=0),"",$I236/$H236)</f>
        <v/>
      </c>
      <c r="K236" s="6"/>
      <c r="L236" s="8"/>
      <c r="M236" s="7"/>
      <c r="N236" s="7"/>
      <c r="O236" s="9" t="str">
        <f aca="false">IF(NOT(ISNUMBER($M236)),"",IF($L236="Fine earth / fine-earth volume",$M236*(1-IF(ISNUMBER($K236),$K236,0)/100),$M236))</f>
        <v/>
      </c>
      <c r="P236" s="9" t="str">
        <f aca="false">IF(OR(NOT(ISNUMBER($O236)),NOT(ISNUMBER($N236)),NOT(ISNUMBER($F236))),"",$O236*($N236/100)*$F236*10)</f>
        <v/>
      </c>
      <c r="Q236" s="9" t="str">
        <f aca="false">IF(OR(NOT(ISNUMBER($D236)),NOT(ISNUMBER($E236))),"",MAX(0,MIN($E236,SOIL_REPORTING_DEPTH_CM)-MIN($D236,SOIL_REPORTING_DEPTH_CM)))</f>
        <v/>
      </c>
      <c r="R236" s="9" t="str">
        <f aca="false">IF(OR(NOT(ISNUMBER($O236)),NOT(ISNUMBER($N236)),NOT(ISNUMBER($Q236))),"",$O236*($N236/100)*$Q236*10)</f>
        <v/>
      </c>
      <c r="S236" s="11" t="str">
        <f aca="false">IF(AND($A236="",$B236="",$D236=""),"",IF(AND($A236&lt;&gt;"",COUNTIF('1. Plot &amp; Site Log'!$A$5:$A$64,$A236)=0),"Plot ID not in the Plot &amp; Site Log. ","")&amp;IF(AND(ISNUMBER($D236),ISNUMBER($E236),$E236&lt;=$D236),"Bottom depth is not below top depth. ","")&amp;IF($L236="Not confirmed","Bulk-density basis not confirmed with the lab — the coarse-fragment correction may be wrong or doubled. ","")&amp;IF(LAB_BULK_DENSITY_BASIS="Not confirmed","No lab bulk-density basis is on file in Settings (LAB_BULK_DENSITY_BASIS), so nothing checks this row. ","")&amp;IF(AND($L236&lt;&gt;"",LAB_BULK_DENSITY_BASIS&lt;&gt;"Not confirmed",$L236&lt;&gt;LAB_BULK_DENSITY_BASIS),"This row's bulk-density basis disagrees with the lab method on file. One of "&amp;"the two is wrong, and the coarse-fragment correction follows the row. ","")&amp;IF(AND(ISNUMBER($M236),OR($M236&lt;QC_BD_MIN,$M236&gt;QC_BD_MAX)),"Bulk density outside the plausible range for a mineral grassland soil. ","")&amp;IF(AND(ISNUMBER($N236),$N236&gt;QC_CARBON_PCT_MAX),"Organic carbon above the QC ceiling — check units, and whether this is an organic horizon. ","")&amp;IF(AND(ISNUMBER($J236),$J236&lt;QC_RECOVERY_MIN),"Recovered less than the QC minimum of the depth driven — the increments may not sit where you think. Do NOT stretch them back out. ","")&amp;IF(AND(ISNUMBER($K236),$K236&gt;0,$L236="Fine earth / total volume"),"Coarse fragments recorded and the lab basis already accounts for them — no further correction applied, which is correct. ",""))</f>
        <v/>
      </c>
      <c r="T236" s="6"/>
      <c r="U236" s="9" t="n">
        <f aca="false">IF($B236="",0,IF(COUNTIFS($B$5:$B236,$B236)=1,1,0))</f>
        <v>0</v>
      </c>
    </row>
    <row r="237" customFormat="false" ht="15" hidden="false" customHeight="false" outlineLevel="0" collapsed="false">
      <c r="A237" s="6"/>
      <c r="B237" s="6"/>
      <c r="C237" s="6"/>
      <c r="D237" s="6"/>
      <c r="E237" s="6"/>
      <c r="F237" s="9" t="str">
        <f aca="false">IF(OR($D237="",$E237=""),"",$E237-$D237)</f>
        <v/>
      </c>
      <c r="G237" s="6"/>
      <c r="H237" s="6"/>
      <c r="I237" s="6"/>
      <c r="J237" s="9" t="str">
        <f aca="false">IF(OR(NOT(ISNUMBER($H237)),NOT(ISNUMBER($I237)),$H237=0),"",$I237/$H237)</f>
        <v/>
      </c>
      <c r="K237" s="6"/>
      <c r="L237" s="8"/>
      <c r="M237" s="7"/>
      <c r="N237" s="7"/>
      <c r="O237" s="9" t="str">
        <f aca="false">IF(NOT(ISNUMBER($M237)),"",IF($L237="Fine earth / fine-earth volume",$M237*(1-IF(ISNUMBER($K237),$K237,0)/100),$M237))</f>
        <v/>
      </c>
      <c r="P237" s="9" t="str">
        <f aca="false">IF(OR(NOT(ISNUMBER($O237)),NOT(ISNUMBER($N237)),NOT(ISNUMBER($F237))),"",$O237*($N237/100)*$F237*10)</f>
        <v/>
      </c>
      <c r="Q237" s="9" t="str">
        <f aca="false">IF(OR(NOT(ISNUMBER($D237)),NOT(ISNUMBER($E237))),"",MAX(0,MIN($E237,SOIL_REPORTING_DEPTH_CM)-MIN($D237,SOIL_REPORTING_DEPTH_CM)))</f>
        <v/>
      </c>
      <c r="R237" s="9" t="str">
        <f aca="false">IF(OR(NOT(ISNUMBER($O237)),NOT(ISNUMBER($N237)),NOT(ISNUMBER($Q237))),"",$O237*($N237/100)*$Q237*10)</f>
        <v/>
      </c>
      <c r="S237" s="11" t="str">
        <f aca="false">IF(AND($A237="",$B237="",$D237=""),"",IF(AND($A237&lt;&gt;"",COUNTIF('1. Plot &amp; Site Log'!$A$5:$A$64,$A237)=0),"Plot ID not in the Plot &amp; Site Log. ","")&amp;IF(AND(ISNUMBER($D237),ISNUMBER($E237),$E237&lt;=$D237),"Bottom depth is not below top depth. ","")&amp;IF($L237="Not confirmed","Bulk-density basis not confirmed with the lab — the coarse-fragment correction may be wrong or doubled. ","")&amp;IF(LAB_BULK_DENSITY_BASIS="Not confirmed","No lab bulk-density basis is on file in Settings (LAB_BULK_DENSITY_BASIS), so nothing checks this row. ","")&amp;IF(AND($L237&lt;&gt;"",LAB_BULK_DENSITY_BASIS&lt;&gt;"Not confirmed",$L237&lt;&gt;LAB_BULK_DENSITY_BASIS),"This row's bulk-density basis disagrees with the lab method on file. One of "&amp;"the two is wrong, and the coarse-fragment correction follows the row. ","")&amp;IF(AND(ISNUMBER($M237),OR($M237&lt;QC_BD_MIN,$M237&gt;QC_BD_MAX)),"Bulk density outside the plausible range for a mineral grassland soil. ","")&amp;IF(AND(ISNUMBER($N237),$N237&gt;QC_CARBON_PCT_MAX),"Organic carbon above the QC ceiling — check units, and whether this is an organic horizon. ","")&amp;IF(AND(ISNUMBER($J237),$J237&lt;QC_RECOVERY_MIN),"Recovered less than the QC minimum of the depth driven — the increments may not sit where you think. Do NOT stretch them back out. ","")&amp;IF(AND(ISNUMBER($K237),$K237&gt;0,$L237="Fine earth / total volume"),"Coarse fragments recorded and the lab basis already accounts for them — no further correction applied, which is correct. ",""))</f>
        <v/>
      </c>
      <c r="T237" s="6"/>
      <c r="U237" s="9" t="n">
        <f aca="false">IF($B237="",0,IF(COUNTIFS($B$5:$B237,$B237)=1,1,0))</f>
        <v>0</v>
      </c>
    </row>
    <row r="238" customFormat="false" ht="15" hidden="false" customHeight="false" outlineLevel="0" collapsed="false">
      <c r="A238" s="6"/>
      <c r="B238" s="6"/>
      <c r="C238" s="6"/>
      <c r="D238" s="6"/>
      <c r="E238" s="6"/>
      <c r="F238" s="9" t="str">
        <f aca="false">IF(OR($D238="",$E238=""),"",$E238-$D238)</f>
        <v/>
      </c>
      <c r="G238" s="6"/>
      <c r="H238" s="6"/>
      <c r="I238" s="6"/>
      <c r="J238" s="9" t="str">
        <f aca="false">IF(OR(NOT(ISNUMBER($H238)),NOT(ISNUMBER($I238)),$H238=0),"",$I238/$H238)</f>
        <v/>
      </c>
      <c r="K238" s="6"/>
      <c r="L238" s="8"/>
      <c r="M238" s="7"/>
      <c r="N238" s="7"/>
      <c r="O238" s="9" t="str">
        <f aca="false">IF(NOT(ISNUMBER($M238)),"",IF($L238="Fine earth / fine-earth volume",$M238*(1-IF(ISNUMBER($K238),$K238,0)/100),$M238))</f>
        <v/>
      </c>
      <c r="P238" s="9" t="str">
        <f aca="false">IF(OR(NOT(ISNUMBER($O238)),NOT(ISNUMBER($N238)),NOT(ISNUMBER($F238))),"",$O238*($N238/100)*$F238*10)</f>
        <v/>
      </c>
      <c r="Q238" s="9" t="str">
        <f aca="false">IF(OR(NOT(ISNUMBER($D238)),NOT(ISNUMBER($E238))),"",MAX(0,MIN($E238,SOIL_REPORTING_DEPTH_CM)-MIN($D238,SOIL_REPORTING_DEPTH_CM)))</f>
        <v/>
      </c>
      <c r="R238" s="9" t="str">
        <f aca="false">IF(OR(NOT(ISNUMBER($O238)),NOT(ISNUMBER($N238)),NOT(ISNUMBER($Q238))),"",$O238*($N238/100)*$Q238*10)</f>
        <v/>
      </c>
      <c r="S238" s="11" t="str">
        <f aca="false">IF(AND($A238="",$B238="",$D238=""),"",IF(AND($A238&lt;&gt;"",COUNTIF('1. Plot &amp; Site Log'!$A$5:$A$64,$A238)=0),"Plot ID not in the Plot &amp; Site Log. ","")&amp;IF(AND(ISNUMBER($D238),ISNUMBER($E238),$E238&lt;=$D238),"Bottom depth is not below top depth. ","")&amp;IF($L238="Not confirmed","Bulk-density basis not confirmed with the lab — the coarse-fragment correction may be wrong or doubled. ","")&amp;IF(LAB_BULK_DENSITY_BASIS="Not confirmed","No lab bulk-density basis is on file in Settings (LAB_BULK_DENSITY_BASIS), so nothing checks this row. ","")&amp;IF(AND($L238&lt;&gt;"",LAB_BULK_DENSITY_BASIS&lt;&gt;"Not confirmed",$L238&lt;&gt;LAB_BULK_DENSITY_BASIS),"This row's bulk-density basis disagrees with the lab method on file. One of "&amp;"the two is wrong, and the coarse-fragment correction follows the row. ","")&amp;IF(AND(ISNUMBER($M238),OR($M238&lt;QC_BD_MIN,$M238&gt;QC_BD_MAX)),"Bulk density outside the plausible range for a mineral grassland soil. ","")&amp;IF(AND(ISNUMBER($N238),$N238&gt;QC_CARBON_PCT_MAX),"Organic carbon above the QC ceiling — check units, and whether this is an organic horizon. ","")&amp;IF(AND(ISNUMBER($J238),$J238&lt;QC_RECOVERY_MIN),"Recovered less than the QC minimum of the depth driven — the increments may not sit where you think. Do NOT stretch them back out. ","")&amp;IF(AND(ISNUMBER($K238),$K238&gt;0,$L238="Fine earth / total volume"),"Coarse fragments recorded and the lab basis already accounts for them — no further correction applied, which is correct. ",""))</f>
        <v/>
      </c>
      <c r="T238" s="6"/>
      <c r="U238" s="9" t="n">
        <f aca="false">IF($B238="",0,IF(COUNTIFS($B$5:$B238,$B238)=1,1,0))</f>
        <v>0</v>
      </c>
    </row>
    <row r="239" customFormat="false" ht="15" hidden="false" customHeight="false" outlineLevel="0" collapsed="false">
      <c r="A239" s="6"/>
      <c r="B239" s="6"/>
      <c r="C239" s="6"/>
      <c r="D239" s="6"/>
      <c r="E239" s="6"/>
      <c r="F239" s="9" t="str">
        <f aca="false">IF(OR($D239="",$E239=""),"",$E239-$D239)</f>
        <v/>
      </c>
      <c r="G239" s="6"/>
      <c r="H239" s="6"/>
      <c r="I239" s="6"/>
      <c r="J239" s="9" t="str">
        <f aca="false">IF(OR(NOT(ISNUMBER($H239)),NOT(ISNUMBER($I239)),$H239=0),"",$I239/$H239)</f>
        <v/>
      </c>
      <c r="K239" s="6"/>
      <c r="L239" s="8"/>
      <c r="M239" s="7"/>
      <c r="N239" s="7"/>
      <c r="O239" s="9" t="str">
        <f aca="false">IF(NOT(ISNUMBER($M239)),"",IF($L239="Fine earth / fine-earth volume",$M239*(1-IF(ISNUMBER($K239),$K239,0)/100),$M239))</f>
        <v/>
      </c>
      <c r="P239" s="9" t="str">
        <f aca="false">IF(OR(NOT(ISNUMBER($O239)),NOT(ISNUMBER($N239)),NOT(ISNUMBER($F239))),"",$O239*($N239/100)*$F239*10)</f>
        <v/>
      </c>
      <c r="Q239" s="9" t="str">
        <f aca="false">IF(OR(NOT(ISNUMBER($D239)),NOT(ISNUMBER($E239))),"",MAX(0,MIN($E239,SOIL_REPORTING_DEPTH_CM)-MIN($D239,SOIL_REPORTING_DEPTH_CM)))</f>
        <v/>
      </c>
      <c r="R239" s="9" t="str">
        <f aca="false">IF(OR(NOT(ISNUMBER($O239)),NOT(ISNUMBER($N239)),NOT(ISNUMBER($Q239))),"",$O239*($N239/100)*$Q239*10)</f>
        <v/>
      </c>
      <c r="S239" s="11" t="str">
        <f aca="false">IF(AND($A239="",$B239="",$D239=""),"",IF(AND($A239&lt;&gt;"",COUNTIF('1. Plot &amp; Site Log'!$A$5:$A$64,$A239)=0),"Plot ID not in the Plot &amp; Site Log. ","")&amp;IF(AND(ISNUMBER($D239),ISNUMBER($E239),$E239&lt;=$D239),"Bottom depth is not below top depth. ","")&amp;IF($L239="Not confirmed","Bulk-density basis not confirmed with the lab — the coarse-fragment correction may be wrong or doubled. ","")&amp;IF(LAB_BULK_DENSITY_BASIS="Not confirmed","No lab bulk-density basis is on file in Settings (LAB_BULK_DENSITY_BASIS), so nothing checks this row. ","")&amp;IF(AND($L239&lt;&gt;"",LAB_BULK_DENSITY_BASIS&lt;&gt;"Not confirmed",$L239&lt;&gt;LAB_BULK_DENSITY_BASIS),"This row's bulk-density basis disagrees with the lab method on file. One of "&amp;"the two is wrong, and the coarse-fragment correction follows the row. ","")&amp;IF(AND(ISNUMBER($M239),OR($M239&lt;QC_BD_MIN,$M239&gt;QC_BD_MAX)),"Bulk density outside the plausible range for a mineral grassland soil. ","")&amp;IF(AND(ISNUMBER($N239),$N239&gt;QC_CARBON_PCT_MAX),"Organic carbon above the QC ceiling — check units, and whether this is an organic horizon. ","")&amp;IF(AND(ISNUMBER($J239),$J239&lt;QC_RECOVERY_MIN),"Recovered less than the QC minimum of the depth driven — the increments may not sit where you think. Do NOT stretch them back out. ","")&amp;IF(AND(ISNUMBER($K239),$K239&gt;0,$L239="Fine earth / total volume"),"Coarse fragments recorded and the lab basis already accounts for them — no further correction applied, which is correct. ",""))</f>
        <v/>
      </c>
      <c r="T239" s="6"/>
      <c r="U239" s="9" t="n">
        <f aca="false">IF($B239="",0,IF(COUNTIFS($B$5:$B239,$B239)=1,1,0))</f>
        <v>0</v>
      </c>
    </row>
    <row r="240" customFormat="false" ht="15" hidden="false" customHeight="false" outlineLevel="0" collapsed="false">
      <c r="A240" s="6"/>
      <c r="B240" s="6"/>
      <c r="C240" s="6"/>
      <c r="D240" s="6"/>
      <c r="E240" s="6"/>
      <c r="F240" s="9" t="str">
        <f aca="false">IF(OR($D240="",$E240=""),"",$E240-$D240)</f>
        <v/>
      </c>
      <c r="G240" s="6"/>
      <c r="H240" s="6"/>
      <c r="I240" s="6"/>
      <c r="J240" s="9" t="str">
        <f aca="false">IF(OR(NOT(ISNUMBER($H240)),NOT(ISNUMBER($I240)),$H240=0),"",$I240/$H240)</f>
        <v/>
      </c>
      <c r="K240" s="6"/>
      <c r="L240" s="8"/>
      <c r="M240" s="7"/>
      <c r="N240" s="7"/>
      <c r="O240" s="9" t="str">
        <f aca="false">IF(NOT(ISNUMBER($M240)),"",IF($L240="Fine earth / fine-earth volume",$M240*(1-IF(ISNUMBER($K240),$K240,0)/100),$M240))</f>
        <v/>
      </c>
      <c r="P240" s="9" t="str">
        <f aca="false">IF(OR(NOT(ISNUMBER($O240)),NOT(ISNUMBER($N240)),NOT(ISNUMBER($F240))),"",$O240*($N240/100)*$F240*10)</f>
        <v/>
      </c>
      <c r="Q240" s="9" t="str">
        <f aca="false">IF(OR(NOT(ISNUMBER($D240)),NOT(ISNUMBER($E240))),"",MAX(0,MIN($E240,SOIL_REPORTING_DEPTH_CM)-MIN($D240,SOIL_REPORTING_DEPTH_CM)))</f>
        <v/>
      </c>
      <c r="R240" s="9" t="str">
        <f aca="false">IF(OR(NOT(ISNUMBER($O240)),NOT(ISNUMBER($N240)),NOT(ISNUMBER($Q240))),"",$O240*($N240/100)*$Q240*10)</f>
        <v/>
      </c>
      <c r="S240" s="11" t="str">
        <f aca="false">IF(AND($A240="",$B240="",$D240=""),"",IF(AND($A240&lt;&gt;"",COUNTIF('1. Plot &amp; Site Log'!$A$5:$A$64,$A240)=0),"Plot ID not in the Plot &amp; Site Log. ","")&amp;IF(AND(ISNUMBER($D240),ISNUMBER($E240),$E240&lt;=$D240),"Bottom depth is not below top depth. ","")&amp;IF($L240="Not confirmed","Bulk-density basis not confirmed with the lab — the coarse-fragment correction may be wrong or doubled. ","")&amp;IF(LAB_BULK_DENSITY_BASIS="Not confirmed","No lab bulk-density basis is on file in Settings (LAB_BULK_DENSITY_BASIS), so nothing checks this row. ","")&amp;IF(AND($L240&lt;&gt;"",LAB_BULK_DENSITY_BASIS&lt;&gt;"Not confirmed",$L240&lt;&gt;LAB_BULK_DENSITY_BASIS),"This row's bulk-density basis disagrees with the lab method on file. One of "&amp;"the two is wrong, and the coarse-fragment correction follows the row. ","")&amp;IF(AND(ISNUMBER($M240),OR($M240&lt;QC_BD_MIN,$M240&gt;QC_BD_MAX)),"Bulk density outside the plausible range for a mineral grassland soil. ","")&amp;IF(AND(ISNUMBER($N240),$N240&gt;QC_CARBON_PCT_MAX),"Organic carbon above the QC ceiling — check units, and whether this is an organic horizon. ","")&amp;IF(AND(ISNUMBER($J240),$J240&lt;QC_RECOVERY_MIN),"Recovered less than the QC minimum of the depth driven — the increments may not sit where you think. Do NOT stretch them back out. ","")&amp;IF(AND(ISNUMBER($K240),$K240&gt;0,$L240="Fine earth / total volume"),"Coarse fragments recorded and the lab basis already accounts for them — no further correction applied, which is correct. ",""))</f>
        <v/>
      </c>
      <c r="T240" s="6"/>
      <c r="U240" s="9" t="n">
        <f aca="false">IF($B240="",0,IF(COUNTIFS($B$5:$B240,$B240)=1,1,0))</f>
        <v>0</v>
      </c>
    </row>
    <row r="241" customFormat="false" ht="15" hidden="false" customHeight="false" outlineLevel="0" collapsed="false">
      <c r="A241" s="6"/>
      <c r="B241" s="6"/>
      <c r="C241" s="6"/>
      <c r="D241" s="6"/>
      <c r="E241" s="6"/>
      <c r="F241" s="9" t="str">
        <f aca="false">IF(OR($D241="",$E241=""),"",$E241-$D241)</f>
        <v/>
      </c>
      <c r="G241" s="6"/>
      <c r="H241" s="6"/>
      <c r="I241" s="6"/>
      <c r="J241" s="9" t="str">
        <f aca="false">IF(OR(NOT(ISNUMBER($H241)),NOT(ISNUMBER($I241)),$H241=0),"",$I241/$H241)</f>
        <v/>
      </c>
      <c r="K241" s="6"/>
      <c r="L241" s="8"/>
      <c r="M241" s="7"/>
      <c r="N241" s="7"/>
      <c r="O241" s="9" t="str">
        <f aca="false">IF(NOT(ISNUMBER($M241)),"",IF($L241="Fine earth / fine-earth volume",$M241*(1-IF(ISNUMBER($K241),$K241,0)/100),$M241))</f>
        <v/>
      </c>
      <c r="P241" s="9" t="str">
        <f aca="false">IF(OR(NOT(ISNUMBER($O241)),NOT(ISNUMBER($N241)),NOT(ISNUMBER($F241))),"",$O241*($N241/100)*$F241*10)</f>
        <v/>
      </c>
      <c r="Q241" s="9" t="str">
        <f aca="false">IF(OR(NOT(ISNUMBER($D241)),NOT(ISNUMBER($E241))),"",MAX(0,MIN($E241,SOIL_REPORTING_DEPTH_CM)-MIN($D241,SOIL_REPORTING_DEPTH_CM)))</f>
        <v/>
      </c>
      <c r="R241" s="9" t="str">
        <f aca="false">IF(OR(NOT(ISNUMBER($O241)),NOT(ISNUMBER($N241)),NOT(ISNUMBER($Q241))),"",$O241*($N241/100)*$Q241*10)</f>
        <v/>
      </c>
      <c r="S241" s="11" t="str">
        <f aca="false">IF(AND($A241="",$B241="",$D241=""),"",IF(AND($A241&lt;&gt;"",COUNTIF('1. Plot &amp; Site Log'!$A$5:$A$64,$A241)=0),"Plot ID not in the Plot &amp; Site Log. ","")&amp;IF(AND(ISNUMBER($D241),ISNUMBER($E241),$E241&lt;=$D241),"Bottom depth is not below top depth. ","")&amp;IF($L241="Not confirmed","Bulk-density basis not confirmed with the lab — the coarse-fragment correction may be wrong or doubled. ","")&amp;IF(LAB_BULK_DENSITY_BASIS="Not confirmed","No lab bulk-density basis is on file in Settings (LAB_BULK_DENSITY_BASIS), so nothing checks this row. ","")&amp;IF(AND($L241&lt;&gt;"",LAB_BULK_DENSITY_BASIS&lt;&gt;"Not confirmed",$L241&lt;&gt;LAB_BULK_DENSITY_BASIS),"This row's bulk-density basis disagrees with the lab method on file. One of "&amp;"the two is wrong, and the coarse-fragment correction follows the row. ","")&amp;IF(AND(ISNUMBER($M241),OR($M241&lt;QC_BD_MIN,$M241&gt;QC_BD_MAX)),"Bulk density outside the plausible range for a mineral grassland soil. ","")&amp;IF(AND(ISNUMBER($N241),$N241&gt;QC_CARBON_PCT_MAX),"Organic carbon above the QC ceiling — check units, and whether this is an organic horizon. ","")&amp;IF(AND(ISNUMBER($J241),$J241&lt;QC_RECOVERY_MIN),"Recovered less than the QC minimum of the depth driven — the increments may not sit where you think. Do NOT stretch them back out. ","")&amp;IF(AND(ISNUMBER($K241),$K241&gt;0,$L241="Fine earth / total volume"),"Coarse fragments recorded and the lab basis already accounts for them — no further correction applied, which is correct. ",""))</f>
        <v/>
      </c>
      <c r="T241" s="6"/>
      <c r="U241" s="9" t="n">
        <f aca="false">IF($B241="",0,IF(COUNTIFS($B$5:$B241,$B241)=1,1,0))</f>
        <v>0</v>
      </c>
    </row>
    <row r="242" customFormat="false" ht="15" hidden="false" customHeight="false" outlineLevel="0" collapsed="false">
      <c r="A242" s="6"/>
      <c r="B242" s="6"/>
      <c r="C242" s="6"/>
      <c r="D242" s="6"/>
      <c r="E242" s="6"/>
      <c r="F242" s="9" t="str">
        <f aca="false">IF(OR($D242="",$E242=""),"",$E242-$D242)</f>
        <v/>
      </c>
      <c r="G242" s="6"/>
      <c r="H242" s="6"/>
      <c r="I242" s="6"/>
      <c r="J242" s="9" t="str">
        <f aca="false">IF(OR(NOT(ISNUMBER($H242)),NOT(ISNUMBER($I242)),$H242=0),"",$I242/$H242)</f>
        <v/>
      </c>
      <c r="K242" s="6"/>
      <c r="L242" s="8"/>
      <c r="M242" s="7"/>
      <c r="N242" s="7"/>
      <c r="O242" s="9" t="str">
        <f aca="false">IF(NOT(ISNUMBER($M242)),"",IF($L242="Fine earth / fine-earth volume",$M242*(1-IF(ISNUMBER($K242),$K242,0)/100),$M242))</f>
        <v/>
      </c>
      <c r="P242" s="9" t="str">
        <f aca="false">IF(OR(NOT(ISNUMBER($O242)),NOT(ISNUMBER($N242)),NOT(ISNUMBER($F242))),"",$O242*($N242/100)*$F242*10)</f>
        <v/>
      </c>
      <c r="Q242" s="9" t="str">
        <f aca="false">IF(OR(NOT(ISNUMBER($D242)),NOT(ISNUMBER($E242))),"",MAX(0,MIN($E242,SOIL_REPORTING_DEPTH_CM)-MIN($D242,SOIL_REPORTING_DEPTH_CM)))</f>
        <v/>
      </c>
      <c r="R242" s="9" t="str">
        <f aca="false">IF(OR(NOT(ISNUMBER($O242)),NOT(ISNUMBER($N242)),NOT(ISNUMBER($Q242))),"",$O242*($N242/100)*$Q242*10)</f>
        <v/>
      </c>
      <c r="S242" s="11" t="str">
        <f aca="false">IF(AND($A242="",$B242="",$D242=""),"",IF(AND($A242&lt;&gt;"",COUNTIF('1. Plot &amp; Site Log'!$A$5:$A$64,$A242)=0),"Plot ID not in the Plot &amp; Site Log. ","")&amp;IF(AND(ISNUMBER($D242),ISNUMBER($E242),$E242&lt;=$D242),"Bottom depth is not below top depth. ","")&amp;IF($L242="Not confirmed","Bulk-density basis not confirmed with the lab — the coarse-fragment correction may be wrong or doubled. ","")&amp;IF(LAB_BULK_DENSITY_BASIS="Not confirmed","No lab bulk-density basis is on file in Settings (LAB_BULK_DENSITY_BASIS), so nothing checks this row. ","")&amp;IF(AND($L242&lt;&gt;"",LAB_BULK_DENSITY_BASIS&lt;&gt;"Not confirmed",$L242&lt;&gt;LAB_BULK_DENSITY_BASIS),"This row's bulk-density basis disagrees with the lab method on file. One of "&amp;"the two is wrong, and the coarse-fragment correction follows the row. ","")&amp;IF(AND(ISNUMBER($M242),OR($M242&lt;QC_BD_MIN,$M242&gt;QC_BD_MAX)),"Bulk density outside the plausible range for a mineral grassland soil. ","")&amp;IF(AND(ISNUMBER($N242),$N242&gt;QC_CARBON_PCT_MAX),"Organic carbon above the QC ceiling — check units, and whether this is an organic horizon. ","")&amp;IF(AND(ISNUMBER($J242),$J242&lt;QC_RECOVERY_MIN),"Recovered less than the QC minimum of the depth driven — the increments may not sit where you think. Do NOT stretch them back out. ","")&amp;IF(AND(ISNUMBER($K242),$K242&gt;0,$L242="Fine earth / total volume"),"Coarse fragments recorded and the lab basis already accounts for them — no further correction applied, which is correct. ",""))</f>
        <v/>
      </c>
      <c r="T242" s="6"/>
      <c r="U242" s="9" t="n">
        <f aca="false">IF($B242="",0,IF(COUNTIFS($B$5:$B242,$B242)=1,1,0))</f>
        <v>0</v>
      </c>
    </row>
    <row r="243" customFormat="false" ht="15" hidden="false" customHeight="false" outlineLevel="0" collapsed="false">
      <c r="A243" s="6"/>
      <c r="B243" s="6"/>
      <c r="C243" s="6"/>
      <c r="D243" s="6"/>
      <c r="E243" s="6"/>
      <c r="F243" s="9" t="str">
        <f aca="false">IF(OR($D243="",$E243=""),"",$E243-$D243)</f>
        <v/>
      </c>
      <c r="G243" s="6"/>
      <c r="H243" s="6"/>
      <c r="I243" s="6"/>
      <c r="J243" s="9" t="str">
        <f aca="false">IF(OR(NOT(ISNUMBER($H243)),NOT(ISNUMBER($I243)),$H243=0),"",$I243/$H243)</f>
        <v/>
      </c>
      <c r="K243" s="6"/>
      <c r="L243" s="8"/>
      <c r="M243" s="7"/>
      <c r="N243" s="7"/>
      <c r="O243" s="9" t="str">
        <f aca="false">IF(NOT(ISNUMBER($M243)),"",IF($L243="Fine earth / fine-earth volume",$M243*(1-IF(ISNUMBER($K243),$K243,0)/100),$M243))</f>
        <v/>
      </c>
      <c r="P243" s="9" t="str">
        <f aca="false">IF(OR(NOT(ISNUMBER($O243)),NOT(ISNUMBER($N243)),NOT(ISNUMBER($F243))),"",$O243*($N243/100)*$F243*10)</f>
        <v/>
      </c>
      <c r="Q243" s="9" t="str">
        <f aca="false">IF(OR(NOT(ISNUMBER($D243)),NOT(ISNUMBER($E243))),"",MAX(0,MIN($E243,SOIL_REPORTING_DEPTH_CM)-MIN($D243,SOIL_REPORTING_DEPTH_CM)))</f>
        <v/>
      </c>
      <c r="R243" s="9" t="str">
        <f aca="false">IF(OR(NOT(ISNUMBER($O243)),NOT(ISNUMBER($N243)),NOT(ISNUMBER($Q243))),"",$O243*($N243/100)*$Q243*10)</f>
        <v/>
      </c>
      <c r="S243" s="11" t="str">
        <f aca="false">IF(AND($A243="",$B243="",$D243=""),"",IF(AND($A243&lt;&gt;"",COUNTIF('1. Plot &amp; Site Log'!$A$5:$A$64,$A243)=0),"Plot ID not in the Plot &amp; Site Log. ","")&amp;IF(AND(ISNUMBER($D243),ISNUMBER($E243),$E243&lt;=$D243),"Bottom depth is not below top depth. ","")&amp;IF($L243="Not confirmed","Bulk-density basis not confirmed with the lab — the coarse-fragment correction may be wrong or doubled. ","")&amp;IF(LAB_BULK_DENSITY_BASIS="Not confirmed","No lab bulk-density basis is on file in Settings (LAB_BULK_DENSITY_BASIS), so nothing checks this row. ","")&amp;IF(AND($L243&lt;&gt;"",LAB_BULK_DENSITY_BASIS&lt;&gt;"Not confirmed",$L243&lt;&gt;LAB_BULK_DENSITY_BASIS),"This row's bulk-density basis disagrees with the lab method on file. One of "&amp;"the two is wrong, and the coarse-fragment correction follows the row. ","")&amp;IF(AND(ISNUMBER($M243),OR($M243&lt;QC_BD_MIN,$M243&gt;QC_BD_MAX)),"Bulk density outside the plausible range for a mineral grassland soil. ","")&amp;IF(AND(ISNUMBER($N243),$N243&gt;QC_CARBON_PCT_MAX),"Organic carbon above the QC ceiling — check units, and whether this is an organic horizon. ","")&amp;IF(AND(ISNUMBER($J243),$J243&lt;QC_RECOVERY_MIN),"Recovered less than the QC minimum of the depth driven — the increments may not sit where you think. Do NOT stretch them back out. ","")&amp;IF(AND(ISNUMBER($K243),$K243&gt;0,$L243="Fine earth / total volume"),"Coarse fragments recorded and the lab basis already accounts for them — no further correction applied, which is correct. ",""))</f>
        <v/>
      </c>
      <c r="T243" s="6"/>
      <c r="U243" s="9" t="n">
        <f aca="false">IF($B243="",0,IF(COUNTIFS($B$5:$B243,$B243)=1,1,0))</f>
        <v>0</v>
      </c>
    </row>
    <row r="244" customFormat="false" ht="15" hidden="false" customHeight="false" outlineLevel="0" collapsed="false">
      <c r="A244" s="6"/>
      <c r="B244" s="6"/>
      <c r="C244" s="6"/>
      <c r="D244" s="6"/>
      <c r="E244" s="6"/>
      <c r="F244" s="9" t="str">
        <f aca="false">IF(OR($D244="",$E244=""),"",$E244-$D244)</f>
        <v/>
      </c>
      <c r="G244" s="6"/>
      <c r="H244" s="6"/>
      <c r="I244" s="6"/>
      <c r="J244" s="9" t="str">
        <f aca="false">IF(OR(NOT(ISNUMBER($H244)),NOT(ISNUMBER($I244)),$H244=0),"",$I244/$H244)</f>
        <v/>
      </c>
      <c r="K244" s="6"/>
      <c r="L244" s="8"/>
      <c r="M244" s="7"/>
      <c r="N244" s="7"/>
      <c r="O244" s="9" t="str">
        <f aca="false">IF(NOT(ISNUMBER($M244)),"",IF($L244="Fine earth / fine-earth volume",$M244*(1-IF(ISNUMBER($K244),$K244,0)/100),$M244))</f>
        <v/>
      </c>
      <c r="P244" s="9" t="str">
        <f aca="false">IF(OR(NOT(ISNUMBER($O244)),NOT(ISNUMBER($N244)),NOT(ISNUMBER($F244))),"",$O244*($N244/100)*$F244*10)</f>
        <v/>
      </c>
      <c r="Q244" s="9" t="str">
        <f aca="false">IF(OR(NOT(ISNUMBER($D244)),NOT(ISNUMBER($E244))),"",MAX(0,MIN($E244,SOIL_REPORTING_DEPTH_CM)-MIN($D244,SOIL_REPORTING_DEPTH_CM)))</f>
        <v/>
      </c>
      <c r="R244" s="9" t="str">
        <f aca="false">IF(OR(NOT(ISNUMBER($O244)),NOT(ISNUMBER($N244)),NOT(ISNUMBER($Q244))),"",$O244*($N244/100)*$Q244*10)</f>
        <v/>
      </c>
      <c r="S244" s="11" t="str">
        <f aca="false">IF(AND($A244="",$B244="",$D244=""),"",IF(AND($A244&lt;&gt;"",COUNTIF('1. Plot &amp; Site Log'!$A$5:$A$64,$A244)=0),"Plot ID not in the Plot &amp; Site Log. ","")&amp;IF(AND(ISNUMBER($D244),ISNUMBER($E244),$E244&lt;=$D244),"Bottom depth is not below top depth. ","")&amp;IF($L244="Not confirmed","Bulk-density basis not confirmed with the lab — the coarse-fragment correction may be wrong or doubled. ","")&amp;IF(LAB_BULK_DENSITY_BASIS="Not confirmed","No lab bulk-density basis is on file in Settings (LAB_BULK_DENSITY_BASIS), so nothing checks this row. ","")&amp;IF(AND($L244&lt;&gt;"",LAB_BULK_DENSITY_BASIS&lt;&gt;"Not confirmed",$L244&lt;&gt;LAB_BULK_DENSITY_BASIS),"This row's bulk-density basis disagrees with the lab method on file. One of "&amp;"the two is wrong, and the coarse-fragment correction follows the row. ","")&amp;IF(AND(ISNUMBER($M244),OR($M244&lt;QC_BD_MIN,$M244&gt;QC_BD_MAX)),"Bulk density outside the plausible range for a mineral grassland soil. ","")&amp;IF(AND(ISNUMBER($N244),$N244&gt;QC_CARBON_PCT_MAX),"Organic carbon above the QC ceiling — check units, and whether this is an organic horizon. ","")&amp;IF(AND(ISNUMBER($J244),$J244&lt;QC_RECOVERY_MIN),"Recovered less than the QC minimum of the depth driven — the increments may not sit where you think. Do NOT stretch them back out. ","")&amp;IF(AND(ISNUMBER($K244),$K244&gt;0,$L244="Fine earth / total volume"),"Coarse fragments recorded and the lab basis already accounts for them — no further correction applied, which is correct. ",""))</f>
        <v/>
      </c>
      <c r="T244" s="6"/>
      <c r="U244" s="9" t="n">
        <f aca="false">IF($B244="",0,IF(COUNTIFS($B$5:$B244,$B244)=1,1,0))</f>
        <v>0</v>
      </c>
    </row>
    <row r="245" customFormat="false" ht="15" hidden="false" customHeight="false" outlineLevel="0" collapsed="false">
      <c r="A245" s="6"/>
      <c r="B245" s="6"/>
      <c r="C245" s="6"/>
      <c r="D245" s="6"/>
      <c r="E245" s="6"/>
      <c r="F245" s="9" t="str">
        <f aca="false">IF(OR($D245="",$E245=""),"",$E245-$D245)</f>
        <v/>
      </c>
      <c r="G245" s="6"/>
      <c r="H245" s="6"/>
      <c r="I245" s="6"/>
      <c r="J245" s="9" t="str">
        <f aca="false">IF(OR(NOT(ISNUMBER($H245)),NOT(ISNUMBER($I245)),$H245=0),"",$I245/$H245)</f>
        <v/>
      </c>
      <c r="K245" s="6"/>
      <c r="L245" s="8"/>
      <c r="M245" s="7"/>
      <c r="N245" s="7"/>
      <c r="O245" s="9" t="str">
        <f aca="false">IF(NOT(ISNUMBER($M245)),"",IF($L245="Fine earth / fine-earth volume",$M245*(1-IF(ISNUMBER($K245),$K245,0)/100),$M245))</f>
        <v/>
      </c>
      <c r="P245" s="9" t="str">
        <f aca="false">IF(OR(NOT(ISNUMBER($O245)),NOT(ISNUMBER($N245)),NOT(ISNUMBER($F245))),"",$O245*($N245/100)*$F245*10)</f>
        <v/>
      </c>
      <c r="Q245" s="9" t="str">
        <f aca="false">IF(OR(NOT(ISNUMBER($D245)),NOT(ISNUMBER($E245))),"",MAX(0,MIN($E245,SOIL_REPORTING_DEPTH_CM)-MIN($D245,SOIL_REPORTING_DEPTH_CM)))</f>
        <v/>
      </c>
      <c r="R245" s="9" t="str">
        <f aca="false">IF(OR(NOT(ISNUMBER($O245)),NOT(ISNUMBER($N245)),NOT(ISNUMBER($Q245))),"",$O245*($N245/100)*$Q245*10)</f>
        <v/>
      </c>
      <c r="S245" s="11" t="str">
        <f aca="false">IF(AND($A245="",$B245="",$D245=""),"",IF(AND($A245&lt;&gt;"",COUNTIF('1. Plot &amp; Site Log'!$A$5:$A$64,$A245)=0),"Plot ID not in the Plot &amp; Site Log. ","")&amp;IF(AND(ISNUMBER($D245),ISNUMBER($E245),$E245&lt;=$D245),"Bottom depth is not below top depth. ","")&amp;IF($L245="Not confirmed","Bulk-density basis not confirmed with the lab — the coarse-fragment correction may be wrong or doubled. ","")&amp;IF(LAB_BULK_DENSITY_BASIS="Not confirmed","No lab bulk-density basis is on file in Settings (LAB_BULK_DENSITY_BASIS), so nothing checks this row. ","")&amp;IF(AND($L245&lt;&gt;"",LAB_BULK_DENSITY_BASIS&lt;&gt;"Not confirmed",$L245&lt;&gt;LAB_BULK_DENSITY_BASIS),"This row's bulk-density basis disagrees with the lab method on file. One of "&amp;"the two is wrong, and the coarse-fragment correction follows the row. ","")&amp;IF(AND(ISNUMBER($M245),OR($M245&lt;QC_BD_MIN,$M245&gt;QC_BD_MAX)),"Bulk density outside the plausible range for a mineral grassland soil. ","")&amp;IF(AND(ISNUMBER($N245),$N245&gt;QC_CARBON_PCT_MAX),"Organic carbon above the QC ceiling — check units, and whether this is an organic horizon. ","")&amp;IF(AND(ISNUMBER($J245),$J245&lt;QC_RECOVERY_MIN),"Recovered less than the QC minimum of the depth driven — the increments may not sit where you think. Do NOT stretch them back out. ","")&amp;IF(AND(ISNUMBER($K245),$K245&gt;0,$L245="Fine earth / total volume"),"Coarse fragments recorded and the lab basis already accounts for them — no further correction applied, which is correct. ",""))</f>
        <v/>
      </c>
      <c r="T245" s="6"/>
      <c r="U245" s="9" t="n">
        <f aca="false">IF($B245="",0,IF(COUNTIFS($B$5:$B245,$B245)=1,1,0))</f>
        <v>0</v>
      </c>
    </row>
    <row r="246" customFormat="false" ht="15" hidden="false" customHeight="false" outlineLevel="0" collapsed="false">
      <c r="A246" s="6"/>
      <c r="B246" s="6"/>
      <c r="C246" s="6"/>
      <c r="D246" s="6"/>
      <c r="E246" s="6"/>
      <c r="F246" s="9" t="str">
        <f aca="false">IF(OR($D246="",$E246=""),"",$E246-$D246)</f>
        <v/>
      </c>
      <c r="G246" s="6"/>
      <c r="H246" s="6"/>
      <c r="I246" s="6"/>
      <c r="J246" s="9" t="str">
        <f aca="false">IF(OR(NOT(ISNUMBER($H246)),NOT(ISNUMBER($I246)),$H246=0),"",$I246/$H246)</f>
        <v/>
      </c>
      <c r="K246" s="6"/>
      <c r="L246" s="8"/>
      <c r="M246" s="7"/>
      <c r="N246" s="7"/>
      <c r="O246" s="9" t="str">
        <f aca="false">IF(NOT(ISNUMBER($M246)),"",IF($L246="Fine earth / fine-earth volume",$M246*(1-IF(ISNUMBER($K246),$K246,0)/100),$M246))</f>
        <v/>
      </c>
      <c r="P246" s="9" t="str">
        <f aca="false">IF(OR(NOT(ISNUMBER($O246)),NOT(ISNUMBER($N246)),NOT(ISNUMBER($F246))),"",$O246*($N246/100)*$F246*10)</f>
        <v/>
      </c>
      <c r="Q246" s="9" t="str">
        <f aca="false">IF(OR(NOT(ISNUMBER($D246)),NOT(ISNUMBER($E246))),"",MAX(0,MIN($E246,SOIL_REPORTING_DEPTH_CM)-MIN($D246,SOIL_REPORTING_DEPTH_CM)))</f>
        <v/>
      </c>
      <c r="R246" s="9" t="str">
        <f aca="false">IF(OR(NOT(ISNUMBER($O246)),NOT(ISNUMBER($N246)),NOT(ISNUMBER($Q246))),"",$O246*($N246/100)*$Q246*10)</f>
        <v/>
      </c>
      <c r="S246" s="11" t="str">
        <f aca="false">IF(AND($A246="",$B246="",$D246=""),"",IF(AND($A246&lt;&gt;"",COUNTIF('1. Plot &amp; Site Log'!$A$5:$A$64,$A246)=0),"Plot ID not in the Plot &amp; Site Log. ","")&amp;IF(AND(ISNUMBER($D246),ISNUMBER($E246),$E246&lt;=$D246),"Bottom depth is not below top depth. ","")&amp;IF($L246="Not confirmed","Bulk-density basis not confirmed with the lab — the coarse-fragment correction may be wrong or doubled. ","")&amp;IF(LAB_BULK_DENSITY_BASIS="Not confirmed","No lab bulk-density basis is on file in Settings (LAB_BULK_DENSITY_BASIS), so nothing checks this row. ","")&amp;IF(AND($L246&lt;&gt;"",LAB_BULK_DENSITY_BASIS&lt;&gt;"Not confirmed",$L246&lt;&gt;LAB_BULK_DENSITY_BASIS),"This row's bulk-density basis disagrees with the lab method on file. One of "&amp;"the two is wrong, and the coarse-fragment correction follows the row. ","")&amp;IF(AND(ISNUMBER($M246),OR($M246&lt;QC_BD_MIN,$M246&gt;QC_BD_MAX)),"Bulk density outside the plausible range for a mineral grassland soil. ","")&amp;IF(AND(ISNUMBER($N246),$N246&gt;QC_CARBON_PCT_MAX),"Organic carbon above the QC ceiling — check units, and whether this is an organic horizon. ","")&amp;IF(AND(ISNUMBER($J246),$J246&lt;QC_RECOVERY_MIN),"Recovered less than the QC minimum of the depth driven — the increments may not sit where you think. Do NOT stretch them back out. ","")&amp;IF(AND(ISNUMBER($K246),$K246&gt;0,$L246="Fine earth / total volume"),"Coarse fragments recorded and the lab basis already accounts for them — no further correction applied, which is correct. ",""))</f>
        <v/>
      </c>
      <c r="T246" s="6"/>
      <c r="U246" s="9" t="n">
        <f aca="false">IF($B246="",0,IF(COUNTIFS($B$5:$B246,$B246)=1,1,0))</f>
        <v>0</v>
      </c>
    </row>
    <row r="247" customFormat="false" ht="15" hidden="false" customHeight="false" outlineLevel="0" collapsed="false">
      <c r="A247" s="6"/>
      <c r="B247" s="6"/>
      <c r="C247" s="6"/>
      <c r="D247" s="6"/>
      <c r="E247" s="6"/>
      <c r="F247" s="9" t="str">
        <f aca="false">IF(OR($D247="",$E247=""),"",$E247-$D247)</f>
        <v/>
      </c>
      <c r="G247" s="6"/>
      <c r="H247" s="6"/>
      <c r="I247" s="6"/>
      <c r="J247" s="9" t="str">
        <f aca="false">IF(OR(NOT(ISNUMBER($H247)),NOT(ISNUMBER($I247)),$H247=0),"",$I247/$H247)</f>
        <v/>
      </c>
      <c r="K247" s="6"/>
      <c r="L247" s="8"/>
      <c r="M247" s="7"/>
      <c r="N247" s="7"/>
      <c r="O247" s="9" t="str">
        <f aca="false">IF(NOT(ISNUMBER($M247)),"",IF($L247="Fine earth / fine-earth volume",$M247*(1-IF(ISNUMBER($K247),$K247,0)/100),$M247))</f>
        <v/>
      </c>
      <c r="P247" s="9" t="str">
        <f aca="false">IF(OR(NOT(ISNUMBER($O247)),NOT(ISNUMBER($N247)),NOT(ISNUMBER($F247))),"",$O247*($N247/100)*$F247*10)</f>
        <v/>
      </c>
      <c r="Q247" s="9" t="str">
        <f aca="false">IF(OR(NOT(ISNUMBER($D247)),NOT(ISNUMBER($E247))),"",MAX(0,MIN($E247,SOIL_REPORTING_DEPTH_CM)-MIN($D247,SOIL_REPORTING_DEPTH_CM)))</f>
        <v/>
      </c>
      <c r="R247" s="9" t="str">
        <f aca="false">IF(OR(NOT(ISNUMBER($O247)),NOT(ISNUMBER($N247)),NOT(ISNUMBER($Q247))),"",$O247*($N247/100)*$Q247*10)</f>
        <v/>
      </c>
      <c r="S247" s="11" t="str">
        <f aca="false">IF(AND($A247="",$B247="",$D247=""),"",IF(AND($A247&lt;&gt;"",COUNTIF('1. Plot &amp; Site Log'!$A$5:$A$64,$A247)=0),"Plot ID not in the Plot &amp; Site Log. ","")&amp;IF(AND(ISNUMBER($D247),ISNUMBER($E247),$E247&lt;=$D247),"Bottom depth is not below top depth. ","")&amp;IF($L247="Not confirmed","Bulk-density basis not confirmed with the lab — the coarse-fragment correction may be wrong or doubled. ","")&amp;IF(LAB_BULK_DENSITY_BASIS="Not confirmed","No lab bulk-density basis is on file in Settings (LAB_BULK_DENSITY_BASIS), so nothing checks this row. ","")&amp;IF(AND($L247&lt;&gt;"",LAB_BULK_DENSITY_BASIS&lt;&gt;"Not confirmed",$L247&lt;&gt;LAB_BULK_DENSITY_BASIS),"This row's bulk-density basis disagrees with the lab method on file. One of "&amp;"the two is wrong, and the coarse-fragment correction follows the row. ","")&amp;IF(AND(ISNUMBER($M247),OR($M247&lt;QC_BD_MIN,$M247&gt;QC_BD_MAX)),"Bulk density outside the plausible range for a mineral grassland soil. ","")&amp;IF(AND(ISNUMBER($N247),$N247&gt;QC_CARBON_PCT_MAX),"Organic carbon above the QC ceiling — check units, and whether this is an organic horizon. ","")&amp;IF(AND(ISNUMBER($J247),$J247&lt;QC_RECOVERY_MIN),"Recovered less than the QC minimum of the depth driven — the increments may not sit where you think. Do NOT stretch them back out. ","")&amp;IF(AND(ISNUMBER($K247),$K247&gt;0,$L247="Fine earth / total volume"),"Coarse fragments recorded and the lab basis already accounts for them — no further correction applied, which is correct. ",""))</f>
        <v/>
      </c>
      <c r="T247" s="6"/>
      <c r="U247" s="9" t="n">
        <f aca="false">IF($B247="",0,IF(COUNTIFS($B$5:$B247,$B247)=1,1,0))</f>
        <v>0</v>
      </c>
    </row>
    <row r="248" customFormat="false" ht="15" hidden="false" customHeight="false" outlineLevel="0" collapsed="false">
      <c r="A248" s="6"/>
      <c r="B248" s="6"/>
      <c r="C248" s="6"/>
      <c r="D248" s="6"/>
      <c r="E248" s="6"/>
      <c r="F248" s="9" t="str">
        <f aca="false">IF(OR($D248="",$E248=""),"",$E248-$D248)</f>
        <v/>
      </c>
      <c r="G248" s="6"/>
      <c r="H248" s="6"/>
      <c r="I248" s="6"/>
      <c r="J248" s="9" t="str">
        <f aca="false">IF(OR(NOT(ISNUMBER($H248)),NOT(ISNUMBER($I248)),$H248=0),"",$I248/$H248)</f>
        <v/>
      </c>
      <c r="K248" s="6"/>
      <c r="L248" s="8"/>
      <c r="M248" s="7"/>
      <c r="N248" s="7"/>
      <c r="O248" s="9" t="str">
        <f aca="false">IF(NOT(ISNUMBER($M248)),"",IF($L248="Fine earth / fine-earth volume",$M248*(1-IF(ISNUMBER($K248),$K248,0)/100),$M248))</f>
        <v/>
      </c>
      <c r="P248" s="9" t="str">
        <f aca="false">IF(OR(NOT(ISNUMBER($O248)),NOT(ISNUMBER($N248)),NOT(ISNUMBER($F248))),"",$O248*($N248/100)*$F248*10)</f>
        <v/>
      </c>
      <c r="Q248" s="9" t="str">
        <f aca="false">IF(OR(NOT(ISNUMBER($D248)),NOT(ISNUMBER($E248))),"",MAX(0,MIN($E248,SOIL_REPORTING_DEPTH_CM)-MIN($D248,SOIL_REPORTING_DEPTH_CM)))</f>
        <v/>
      </c>
      <c r="R248" s="9" t="str">
        <f aca="false">IF(OR(NOT(ISNUMBER($O248)),NOT(ISNUMBER($N248)),NOT(ISNUMBER($Q248))),"",$O248*($N248/100)*$Q248*10)</f>
        <v/>
      </c>
      <c r="S248" s="11" t="str">
        <f aca="false">IF(AND($A248="",$B248="",$D248=""),"",IF(AND($A248&lt;&gt;"",COUNTIF('1. Plot &amp; Site Log'!$A$5:$A$64,$A248)=0),"Plot ID not in the Plot &amp; Site Log. ","")&amp;IF(AND(ISNUMBER($D248),ISNUMBER($E248),$E248&lt;=$D248),"Bottom depth is not below top depth. ","")&amp;IF($L248="Not confirmed","Bulk-density basis not confirmed with the lab — the coarse-fragment correction may be wrong or doubled. ","")&amp;IF(LAB_BULK_DENSITY_BASIS="Not confirmed","No lab bulk-density basis is on file in Settings (LAB_BULK_DENSITY_BASIS), so nothing checks this row. ","")&amp;IF(AND($L248&lt;&gt;"",LAB_BULK_DENSITY_BASIS&lt;&gt;"Not confirmed",$L248&lt;&gt;LAB_BULK_DENSITY_BASIS),"This row's bulk-density basis disagrees with the lab method on file. One of "&amp;"the two is wrong, and the coarse-fragment correction follows the row. ","")&amp;IF(AND(ISNUMBER($M248),OR($M248&lt;QC_BD_MIN,$M248&gt;QC_BD_MAX)),"Bulk density outside the plausible range for a mineral grassland soil. ","")&amp;IF(AND(ISNUMBER($N248),$N248&gt;QC_CARBON_PCT_MAX),"Organic carbon above the QC ceiling — check units, and whether this is an organic horizon. ","")&amp;IF(AND(ISNUMBER($J248),$J248&lt;QC_RECOVERY_MIN),"Recovered less than the QC minimum of the depth driven — the increments may not sit where you think. Do NOT stretch them back out. ","")&amp;IF(AND(ISNUMBER($K248),$K248&gt;0,$L248="Fine earth / total volume"),"Coarse fragments recorded and the lab basis already accounts for them — no further correction applied, which is correct. ",""))</f>
        <v/>
      </c>
      <c r="T248" s="6"/>
      <c r="U248" s="9" t="n">
        <f aca="false">IF($B248="",0,IF(COUNTIFS($B$5:$B248,$B248)=1,1,0))</f>
        <v>0</v>
      </c>
    </row>
    <row r="249" customFormat="false" ht="15" hidden="false" customHeight="false" outlineLevel="0" collapsed="false">
      <c r="A249" s="6"/>
      <c r="B249" s="6"/>
      <c r="C249" s="6"/>
      <c r="D249" s="6"/>
      <c r="E249" s="6"/>
      <c r="F249" s="9" t="str">
        <f aca="false">IF(OR($D249="",$E249=""),"",$E249-$D249)</f>
        <v/>
      </c>
      <c r="G249" s="6"/>
      <c r="H249" s="6"/>
      <c r="I249" s="6"/>
      <c r="J249" s="9" t="str">
        <f aca="false">IF(OR(NOT(ISNUMBER($H249)),NOT(ISNUMBER($I249)),$H249=0),"",$I249/$H249)</f>
        <v/>
      </c>
      <c r="K249" s="6"/>
      <c r="L249" s="8"/>
      <c r="M249" s="7"/>
      <c r="N249" s="7"/>
      <c r="O249" s="9" t="str">
        <f aca="false">IF(NOT(ISNUMBER($M249)),"",IF($L249="Fine earth / fine-earth volume",$M249*(1-IF(ISNUMBER($K249),$K249,0)/100),$M249))</f>
        <v/>
      </c>
      <c r="P249" s="9" t="str">
        <f aca="false">IF(OR(NOT(ISNUMBER($O249)),NOT(ISNUMBER($N249)),NOT(ISNUMBER($F249))),"",$O249*($N249/100)*$F249*10)</f>
        <v/>
      </c>
      <c r="Q249" s="9" t="str">
        <f aca="false">IF(OR(NOT(ISNUMBER($D249)),NOT(ISNUMBER($E249))),"",MAX(0,MIN($E249,SOIL_REPORTING_DEPTH_CM)-MIN($D249,SOIL_REPORTING_DEPTH_CM)))</f>
        <v/>
      </c>
      <c r="R249" s="9" t="str">
        <f aca="false">IF(OR(NOT(ISNUMBER($O249)),NOT(ISNUMBER($N249)),NOT(ISNUMBER($Q249))),"",$O249*($N249/100)*$Q249*10)</f>
        <v/>
      </c>
      <c r="S249" s="11" t="str">
        <f aca="false">IF(AND($A249="",$B249="",$D249=""),"",IF(AND($A249&lt;&gt;"",COUNTIF('1. Plot &amp; Site Log'!$A$5:$A$64,$A249)=0),"Plot ID not in the Plot &amp; Site Log. ","")&amp;IF(AND(ISNUMBER($D249),ISNUMBER($E249),$E249&lt;=$D249),"Bottom depth is not below top depth. ","")&amp;IF($L249="Not confirmed","Bulk-density basis not confirmed with the lab — the coarse-fragment correction may be wrong or doubled. ","")&amp;IF(LAB_BULK_DENSITY_BASIS="Not confirmed","No lab bulk-density basis is on file in Settings (LAB_BULK_DENSITY_BASIS), so nothing checks this row. ","")&amp;IF(AND($L249&lt;&gt;"",LAB_BULK_DENSITY_BASIS&lt;&gt;"Not confirmed",$L249&lt;&gt;LAB_BULK_DENSITY_BASIS),"This row's bulk-density basis disagrees with the lab method on file. One of "&amp;"the two is wrong, and the coarse-fragment correction follows the row. ","")&amp;IF(AND(ISNUMBER($M249),OR($M249&lt;QC_BD_MIN,$M249&gt;QC_BD_MAX)),"Bulk density outside the plausible range for a mineral grassland soil. ","")&amp;IF(AND(ISNUMBER($N249),$N249&gt;QC_CARBON_PCT_MAX),"Organic carbon above the QC ceiling — check units, and whether this is an organic horizon. ","")&amp;IF(AND(ISNUMBER($J249),$J249&lt;QC_RECOVERY_MIN),"Recovered less than the QC minimum of the depth driven — the increments may not sit where you think. Do NOT stretch them back out. ","")&amp;IF(AND(ISNUMBER($K249),$K249&gt;0,$L249="Fine earth / total volume"),"Coarse fragments recorded and the lab basis already accounts for them — no further correction applied, which is correct. ",""))</f>
        <v/>
      </c>
      <c r="T249" s="6"/>
      <c r="U249" s="9" t="n">
        <f aca="false">IF($B249="",0,IF(COUNTIFS($B$5:$B249,$B249)=1,1,0))</f>
        <v>0</v>
      </c>
    </row>
    <row r="250" customFormat="false" ht="15" hidden="false" customHeight="false" outlineLevel="0" collapsed="false">
      <c r="A250" s="6"/>
      <c r="B250" s="6"/>
      <c r="C250" s="6"/>
      <c r="D250" s="6"/>
      <c r="E250" s="6"/>
      <c r="F250" s="9" t="str">
        <f aca="false">IF(OR($D250="",$E250=""),"",$E250-$D250)</f>
        <v/>
      </c>
      <c r="G250" s="6"/>
      <c r="H250" s="6"/>
      <c r="I250" s="6"/>
      <c r="J250" s="9" t="str">
        <f aca="false">IF(OR(NOT(ISNUMBER($H250)),NOT(ISNUMBER($I250)),$H250=0),"",$I250/$H250)</f>
        <v/>
      </c>
      <c r="K250" s="6"/>
      <c r="L250" s="8"/>
      <c r="M250" s="7"/>
      <c r="N250" s="7"/>
      <c r="O250" s="9" t="str">
        <f aca="false">IF(NOT(ISNUMBER($M250)),"",IF($L250="Fine earth / fine-earth volume",$M250*(1-IF(ISNUMBER($K250),$K250,0)/100),$M250))</f>
        <v/>
      </c>
      <c r="P250" s="9" t="str">
        <f aca="false">IF(OR(NOT(ISNUMBER($O250)),NOT(ISNUMBER($N250)),NOT(ISNUMBER($F250))),"",$O250*($N250/100)*$F250*10)</f>
        <v/>
      </c>
      <c r="Q250" s="9" t="str">
        <f aca="false">IF(OR(NOT(ISNUMBER($D250)),NOT(ISNUMBER($E250))),"",MAX(0,MIN($E250,SOIL_REPORTING_DEPTH_CM)-MIN($D250,SOIL_REPORTING_DEPTH_CM)))</f>
        <v/>
      </c>
      <c r="R250" s="9" t="str">
        <f aca="false">IF(OR(NOT(ISNUMBER($O250)),NOT(ISNUMBER($N250)),NOT(ISNUMBER($Q250))),"",$O250*($N250/100)*$Q250*10)</f>
        <v/>
      </c>
      <c r="S250" s="11" t="str">
        <f aca="false">IF(AND($A250="",$B250="",$D250=""),"",IF(AND($A250&lt;&gt;"",COUNTIF('1. Plot &amp; Site Log'!$A$5:$A$64,$A250)=0),"Plot ID not in the Plot &amp; Site Log. ","")&amp;IF(AND(ISNUMBER($D250),ISNUMBER($E250),$E250&lt;=$D250),"Bottom depth is not below top depth. ","")&amp;IF($L250="Not confirmed","Bulk-density basis not confirmed with the lab — the coarse-fragment correction may be wrong or doubled. ","")&amp;IF(LAB_BULK_DENSITY_BASIS="Not confirmed","No lab bulk-density basis is on file in Settings (LAB_BULK_DENSITY_BASIS), so nothing checks this row. ","")&amp;IF(AND($L250&lt;&gt;"",LAB_BULK_DENSITY_BASIS&lt;&gt;"Not confirmed",$L250&lt;&gt;LAB_BULK_DENSITY_BASIS),"This row's bulk-density basis disagrees with the lab method on file. One of "&amp;"the two is wrong, and the coarse-fragment correction follows the row. ","")&amp;IF(AND(ISNUMBER($M250),OR($M250&lt;QC_BD_MIN,$M250&gt;QC_BD_MAX)),"Bulk density outside the plausible range for a mineral grassland soil. ","")&amp;IF(AND(ISNUMBER($N250),$N250&gt;QC_CARBON_PCT_MAX),"Organic carbon above the QC ceiling — check units, and whether this is an organic horizon. ","")&amp;IF(AND(ISNUMBER($J250),$J250&lt;QC_RECOVERY_MIN),"Recovered less than the QC minimum of the depth driven — the increments may not sit where you think. Do NOT stretch them back out. ","")&amp;IF(AND(ISNUMBER($K250),$K250&gt;0,$L250="Fine earth / total volume"),"Coarse fragments recorded and the lab basis already accounts for them — no further correction applied, which is correct. ",""))</f>
        <v/>
      </c>
      <c r="T250" s="6"/>
      <c r="U250" s="9" t="n">
        <f aca="false">IF($B250="",0,IF(COUNTIFS($B$5:$B250,$B250)=1,1,0))</f>
        <v>0</v>
      </c>
    </row>
    <row r="251" customFormat="false" ht="15" hidden="false" customHeight="false" outlineLevel="0" collapsed="false">
      <c r="A251" s="6"/>
      <c r="B251" s="6"/>
      <c r="C251" s="6"/>
      <c r="D251" s="6"/>
      <c r="E251" s="6"/>
      <c r="F251" s="9" t="str">
        <f aca="false">IF(OR($D251="",$E251=""),"",$E251-$D251)</f>
        <v/>
      </c>
      <c r="G251" s="6"/>
      <c r="H251" s="6"/>
      <c r="I251" s="6"/>
      <c r="J251" s="9" t="str">
        <f aca="false">IF(OR(NOT(ISNUMBER($H251)),NOT(ISNUMBER($I251)),$H251=0),"",$I251/$H251)</f>
        <v/>
      </c>
      <c r="K251" s="6"/>
      <c r="L251" s="8"/>
      <c r="M251" s="7"/>
      <c r="N251" s="7"/>
      <c r="O251" s="9" t="str">
        <f aca="false">IF(NOT(ISNUMBER($M251)),"",IF($L251="Fine earth / fine-earth volume",$M251*(1-IF(ISNUMBER($K251),$K251,0)/100),$M251))</f>
        <v/>
      </c>
      <c r="P251" s="9" t="str">
        <f aca="false">IF(OR(NOT(ISNUMBER($O251)),NOT(ISNUMBER($N251)),NOT(ISNUMBER($F251))),"",$O251*($N251/100)*$F251*10)</f>
        <v/>
      </c>
      <c r="Q251" s="9" t="str">
        <f aca="false">IF(OR(NOT(ISNUMBER($D251)),NOT(ISNUMBER($E251))),"",MAX(0,MIN($E251,SOIL_REPORTING_DEPTH_CM)-MIN($D251,SOIL_REPORTING_DEPTH_CM)))</f>
        <v/>
      </c>
      <c r="R251" s="9" t="str">
        <f aca="false">IF(OR(NOT(ISNUMBER($O251)),NOT(ISNUMBER($N251)),NOT(ISNUMBER($Q251))),"",$O251*($N251/100)*$Q251*10)</f>
        <v/>
      </c>
      <c r="S251" s="11" t="str">
        <f aca="false">IF(AND($A251="",$B251="",$D251=""),"",IF(AND($A251&lt;&gt;"",COUNTIF('1. Plot &amp; Site Log'!$A$5:$A$64,$A251)=0),"Plot ID not in the Plot &amp; Site Log. ","")&amp;IF(AND(ISNUMBER($D251),ISNUMBER($E251),$E251&lt;=$D251),"Bottom depth is not below top depth. ","")&amp;IF($L251="Not confirmed","Bulk-density basis not confirmed with the lab — the coarse-fragment correction may be wrong or doubled. ","")&amp;IF(LAB_BULK_DENSITY_BASIS="Not confirmed","No lab bulk-density basis is on file in Settings (LAB_BULK_DENSITY_BASIS), so nothing checks this row. ","")&amp;IF(AND($L251&lt;&gt;"",LAB_BULK_DENSITY_BASIS&lt;&gt;"Not confirmed",$L251&lt;&gt;LAB_BULK_DENSITY_BASIS),"This row's bulk-density basis disagrees with the lab method on file. One of "&amp;"the two is wrong, and the coarse-fragment correction follows the row. ","")&amp;IF(AND(ISNUMBER($M251),OR($M251&lt;QC_BD_MIN,$M251&gt;QC_BD_MAX)),"Bulk density outside the plausible range for a mineral grassland soil. ","")&amp;IF(AND(ISNUMBER($N251),$N251&gt;QC_CARBON_PCT_MAX),"Organic carbon above the QC ceiling — check units, and whether this is an organic horizon. ","")&amp;IF(AND(ISNUMBER($J251),$J251&lt;QC_RECOVERY_MIN),"Recovered less than the QC minimum of the depth driven — the increments may not sit where you think. Do NOT stretch them back out. ","")&amp;IF(AND(ISNUMBER($K251),$K251&gt;0,$L251="Fine earth / total volume"),"Coarse fragments recorded and the lab basis already accounts for them — no further correction applied, which is correct. ",""))</f>
        <v/>
      </c>
      <c r="T251" s="6"/>
      <c r="U251" s="9" t="n">
        <f aca="false">IF($B251="",0,IF(COUNTIFS($B$5:$B251,$B251)=1,1,0))</f>
        <v>0</v>
      </c>
    </row>
    <row r="252" customFormat="false" ht="15" hidden="false" customHeight="false" outlineLevel="0" collapsed="false">
      <c r="A252" s="6"/>
      <c r="B252" s="6"/>
      <c r="C252" s="6"/>
      <c r="D252" s="6"/>
      <c r="E252" s="6"/>
      <c r="F252" s="9" t="str">
        <f aca="false">IF(OR($D252="",$E252=""),"",$E252-$D252)</f>
        <v/>
      </c>
      <c r="G252" s="6"/>
      <c r="H252" s="6"/>
      <c r="I252" s="6"/>
      <c r="J252" s="9" t="str">
        <f aca="false">IF(OR(NOT(ISNUMBER($H252)),NOT(ISNUMBER($I252)),$H252=0),"",$I252/$H252)</f>
        <v/>
      </c>
      <c r="K252" s="6"/>
      <c r="L252" s="8"/>
      <c r="M252" s="7"/>
      <c r="N252" s="7"/>
      <c r="O252" s="9" t="str">
        <f aca="false">IF(NOT(ISNUMBER($M252)),"",IF($L252="Fine earth / fine-earth volume",$M252*(1-IF(ISNUMBER($K252),$K252,0)/100),$M252))</f>
        <v/>
      </c>
      <c r="P252" s="9" t="str">
        <f aca="false">IF(OR(NOT(ISNUMBER($O252)),NOT(ISNUMBER($N252)),NOT(ISNUMBER($F252))),"",$O252*($N252/100)*$F252*10)</f>
        <v/>
      </c>
      <c r="Q252" s="9" t="str">
        <f aca="false">IF(OR(NOT(ISNUMBER($D252)),NOT(ISNUMBER($E252))),"",MAX(0,MIN($E252,SOIL_REPORTING_DEPTH_CM)-MIN($D252,SOIL_REPORTING_DEPTH_CM)))</f>
        <v/>
      </c>
      <c r="R252" s="9" t="str">
        <f aca="false">IF(OR(NOT(ISNUMBER($O252)),NOT(ISNUMBER($N252)),NOT(ISNUMBER($Q252))),"",$O252*($N252/100)*$Q252*10)</f>
        <v/>
      </c>
      <c r="S252" s="11" t="str">
        <f aca="false">IF(AND($A252="",$B252="",$D252=""),"",IF(AND($A252&lt;&gt;"",COUNTIF('1. Plot &amp; Site Log'!$A$5:$A$64,$A252)=0),"Plot ID not in the Plot &amp; Site Log. ","")&amp;IF(AND(ISNUMBER($D252),ISNUMBER($E252),$E252&lt;=$D252),"Bottom depth is not below top depth. ","")&amp;IF($L252="Not confirmed","Bulk-density basis not confirmed with the lab — the coarse-fragment correction may be wrong or doubled. ","")&amp;IF(LAB_BULK_DENSITY_BASIS="Not confirmed","No lab bulk-density basis is on file in Settings (LAB_BULK_DENSITY_BASIS), so nothing checks this row. ","")&amp;IF(AND($L252&lt;&gt;"",LAB_BULK_DENSITY_BASIS&lt;&gt;"Not confirmed",$L252&lt;&gt;LAB_BULK_DENSITY_BASIS),"This row's bulk-density basis disagrees with the lab method on file. One of "&amp;"the two is wrong, and the coarse-fragment correction follows the row. ","")&amp;IF(AND(ISNUMBER($M252),OR($M252&lt;QC_BD_MIN,$M252&gt;QC_BD_MAX)),"Bulk density outside the plausible range for a mineral grassland soil. ","")&amp;IF(AND(ISNUMBER($N252),$N252&gt;QC_CARBON_PCT_MAX),"Organic carbon above the QC ceiling — check units, and whether this is an organic horizon. ","")&amp;IF(AND(ISNUMBER($J252),$J252&lt;QC_RECOVERY_MIN),"Recovered less than the QC minimum of the depth driven — the increments may not sit where you think. Do NOT stretch them back out. ","")&amp;IF(AND(ISNUMBER($K252),$K252&gt;0,$L252="Fine earth / total volume"),"Coarse fragments recorded and the lab basis already accounts for them — no further correction applied, which is correct. ",""))</f>
        <v/>
      </c>
      <c r="T252" s="6"/>
      <c r="U252" s="9" t="n">
        <f aca="false">IF($B252="",0,IF(COUNTIFS($B$5:$B252,$B252)=1,1,0))</f>
        <v>0</v>
      </c>
    </row>
    <row r="253" customFormat="false" ht="15" hidden="false" customHeight="false" outlineLevel="0" collapsed="false">
      <c r="A253" s="6"/>
      <c r="B253" s="6"/>
      <c r="C253" s="6"/>
      <c r="D253" s="6"/>
      <c r="E253" s="6"/>
      <c r="F253" s="9" t="str">
        <f aca="false">IF(OR($D253="",$E253=""),"",$E253-$D253)</f>
        <v/>
      </c>
      <c r="G253" s="6"/>
      <c r="H253" s="6"/>
      <c r="I253" s="6"/>
      <c r="J253" s="9" t="str">
        <f aca="false">IF(OR(NOT(ISNUMBER($H253)),NOT(ISNUMBER($I253)),$H253=0),"",$I253/$H253)</f>
        <v/>
      </c>
      <c r="K253" s="6"/>
      <c r="L253" s="8"/>
      <c r="M253" s="7"/>
      <c r="N253" s="7"/>
      <c r="O253" s="9" t="str">
        <f aca="false">IF(NOT(ISNUMBER($M253)),"",IF($L253="Fine earth / fine-earth volume",$M253*(1-IF(ISNUMBER($K253),$K253,0)/100),$M253))</f>
        <v/>
      </c>
      <c r="P253" s="9" t="str">
        <f aca="false">IF(OR(NOT(ISNUMBER($O253)),NOT(ISNUMBER($N253)),NOT(ISNUMBER($F253))),"",$O253*($N253/100)*$F253*10)</f>
        <v/>
      </c>
      <c r="Q253" s="9" t="str">
        <f aca="false">IF(OR(NOT(ISNUMBER($D253)),NOT(ISNUMBER($E253))),"",MAX(0,MIN($E253,SOIL_REPORTING_DEPTH_CM)-MIN($D253,SOIL_REPORTING_DEPTH_CM)))</f>
        <v/>
      </c>
      <c r="R253" s="9" t="str">
        <f aca="false">IF(OR(NOT(ISNUMBER($O253)),NOT(ISNUMBER($N253)),NOT(ISNUMBER($Q253))),"",$O253*($N253/100)*$Q253*10)</f>
        <v/>
      </c>
      <c r="S253" s="11" t="str">
        <f aca="false">IF(AND($A253="",$B253="",$D253=""),"",IF(AND($A253&lt;&gt;"",COUNTIF('1. Plot &amp; Site Log'!$A$5:$A$64,$A253)=0),"Plot ID not in the Plot &amp; Site Log. ","")&amp;IF(AND(ISNUMBER($D253),ISNUMBER($E253),$E253&lt;=$D253),"Bottom depth is not below top depth. ","")&amp;IF($L253="Not confirmed","Bulk-density basis not confirmed with the lab — the coarse-fragment correction may be wrong or doubled. ","")&amp;IF(LAB_BULK_DENSITY_BASIS="Not confirmed","No lab bulk-density basis is on file in Settings (LAB_BULK_DENSITY_BASIS), so nothing checks this row. ","")&amp;IF(AND($L253&lt;&gt;"",LAB_BULK_DENSITY_BASIS&lt;&gt;"Not confirmed",$L253&lt;&gt;LAB_BULK_DENSITY_BASIS),"This row's bulk-density basis disagrees with the lab method on file. One of "&amp;"the two is wrong, and the coarse-fragment correction follows the row. ","")&amp;IF(AND(ISNUMBER($M253),OR($M253&lt;QC_BD_MIN,$M253&gt;QC_BD_MAX)),"Bulk density outside the plausible range for a mineral grassland soil. ","")&amp;IF(AND(ISNUMBER($N253),$N253&gt;QC_CARBON_PCT_MAX),"Organic carbon above the QC ceiling — check units, and whether this is an organic horizon. ","")&amp;IF(AND(ISNUMBER($J253),$J253&lt;QC_RECOVERY_MIN),"Recovered less than the QC minimum of the depth driven — the increments may not sit where you think. Do NOT stretch them back out. ","")&amp;IF(AND(ISNUMBER($K253),$K253&gt;0,$L253="Fine earth / total volume"),"Coarse fragments recorded and the lab basis already accounts for them — no further correction applied, which is correct. ",""))</f>
        <v/>
      </c>
      <c r="T253" s="6"/>
      <c r="U253" s="9" t="n">
        <f aca="false">IF($B253="",0,IF(COUNTIFS($B$5:$B253,$B253)=1,1,0))</f>
        <v>0</v>
      </c>
    </row>
    <row r="254" customFormat="false" ht="15" hidden="false" customHeight="false" outlineLevel="0" collapsed="false">
      <c r="A254" s="6"/>
      <c r="B254" s="6"/>
      <c r="C254" s="6"/>
      <c r="D254" s="6"/>
      <c r="E254" s="6"/>
      <c r="F254" s="9" t="str">
        <f aca="false">IF(OR($D254="",$E254=""),"",$E254-$D254)</f>
        <v/>
      </c>
      <c r="G254" s="6"/>
      <c r="H254" s="6"/>
      <c r="I254" s="6"/>
      <c r="J254" s="9" t="str">
        <f aca="false">IF(OR(NOT(ISNUMBER($H254)),NOT(ISNUMBER($I254)),$H254=0),"",$I254/$H254)</f>
        <v/>
      </c>
      <c r="K254" s="6"/>
      <c r="L254" s="8"/>
      <c r="M254" s="7"/>
      <c r="N254" s="7"/>
      <c r="O254" s="9" t="str">
        <f aca="false">IF(NOT(ISNUMBER($M254)),"",IF($L254="Fine earth / fine-earth volume",$M254*(1-IF(ISNUMBER($K254),$K254,0)/100),$M254))</f>
        <v/>
      </c>
      <c r="P254" s="9" t="str">
        <f aca="false">IF(OR(NOT(ISNUMBER($O254)),NOT(ISNUMBER($N254)),NOT(ISNUMBER($F254))),"",$O254*($N254/100)*$F254*10)</f>
        <v/>
      </c>
      <c r="Q254" s="9" t="str">
        <f aca="false">IF(OR(NOT(ISNUMBER($D254)),NOT(ISNUMBER($E254))),"",MAX(0,MIN($E254,SOIL_REPORTING_DEPTH_CM)-MIN($D254,SOIL_REPORTING_DEPTH_CM)))</f>
        <v/>
      </c>
      <c r="R254" s="9" t="str">
        <f aca="false">IF(OR(NOT(ISNUMBER($O254)),NOT(ISNUMBER($N254)),NOT(ISNUMBER($Q254))),"",$O254*($N254/100)*$Q254*10)</f>
        <v/>
      </c>
      <c r="S254" s="11" t="str">
        <f aca="false">IF(AND($A254="",$B254="",$D254=""),"",IF(AND($A254&lt;&gt;"",COUNTIF('1. Plot &amp; Site Log'!$A$5:$A$64,$A254)=0),"Plot ID not in the Plot &amp; Site Log. ","")&amp;IF(AND(ISNUMBER($D254),ISNUMBER($E254),$E254&lt;=$D254),"Bottom depth is not below top depth. ","")&amp;IF($L254="Not confirmed","Bulk-density basis not confirmed with the lab — the coarse-fragment correction may be wrong or doubled. ","")&amp;IF(LAB_BULK_DENSITY_BASIS="Not confirmed","No lab bulk-density basis is on file in Settings (LAB_BULK_DENSITY_BASIS), so nothing checks this row. ","")&amp;IF(AND($L254&lt;&gt;"",LAB_BULK_DENSITY_BASIS&lt;&gt;"Not confirmed",$L254&lt;&gt;LAB_BULK_DENSITY_BASIS),"This row's bulk-density basis disagrees with the lab method on file. One of "&amp;"the two is wrong, and the coarse-fragment correction follows the row. ","")&amp;IF(AND(ISNUMBER($M254),OR($M254&lt;QC_BD_MIN,$M254&gt;QC_BD_MAX)),"Bulk density outside the plausible range for a mineral grassland soil. ","")&amp;IF(AND(ISNUMBER($N254),$N254&gt;QC_CARBON_PCT_MAX),"Organic carbon above the QC ceiling — check units, and whether this is an organic horizon. ","")&amp;IF(AND(ISNUMBER($J254),$J254&lt;QC_RECOVERY_MIN),"Recovered less than the QC minimum of the depth driven — the increments may not sit where you think. Do NOT stretch them back out. ","")&amp;IF(AND(ISNUMBER($K254),$K254&gt;0,$L254="Fine earth / total volume"),"Coarse fragments recorded and the lab basis already accounts for them — no further correction applied, which is correct. ",""))</f>
        <v/>
      </c>
      <c r="T254" s="6"/>
      <c r="U254" s="9" t="n">
        <f aca="false">IF($B254="",0,IF(COUNTIFS($B$5:$B254,$B254)=1,1,0))</f>
        <v>0</v>
      </c>
    </row>
    <row r="255" customFormat="false" ht="15" hidden="false" customHeight="false" outlineLevel="0" collapsed="false">
      <c r="A255" s="6"/>
      <c r="B255" s="6"/>
      <c r="C255" s="6"/>
      <c r="D255" s="6"/>
      <c r="E255" s="6"/>
      <c r="F255" s="9" t="str">
        <f aca="false">IF(OR($D255="",$E255=""),"",$E255-$D255)</f>
        <v/>
      </c>
      <c r="G255" s="6"/>
      <c r="H255" s="6"/>
      <c r="I255" s="6"/>
      <c r="J255" s="9" t="str">
        <f aca="false">IF(OR(NOT(ISNUMBER($H255)),NOT(ISNUMBER($I255)),$H255=0),"",$I255/$H255)</f>
        <v/>
      </c>
      <c r="K255" s="6"/>
      <c r="L255" s="8"/>
      <c r="M255" s="7"/>
      <c r="N255" s="7"/>
      <c r="O255" s="9" t="str">
        <f aca="false">IF(NOT(ISNUMBER($M255)),"",IF($L255="Fine earth / fine-earth volume",$M255*(1-IF(ISNUMBER($K255),$K255,0)/100),$M255))</f>
        <v/>
      </c>
      <c r="P255" s="9" t="str">
        <f aca="false">IF(OR(NOT(ISNUMBER($O255)),NOT(ISNUMBER($N255)),NOT(ISNUMBER($F255))),"",$O255*($N255/100)*$F255*10)</f>
        <v/>
      </c>
      <c r="Q255" s="9" t="str">
        <f aca="false">IF(OR(NOT(ISNUMBER($D255)),NOT(ISNUMBER($E255))),"",MAX(0,MIN($E255,SOIL_REPORTING_DEPTH_CM)-MIN($D255,SOIL_REPORTING_DEPTH_CM)))</f>
        <v/>
      </c>
      <c r="R255" s="9" t="str">
        <f aca="false">IF(OR(NOT(ISNUMBER($O255)),NOT(ISNUMBER($N255)),NOT(ISNUMBER($Q255))),"",$O255*($N255/100)*$Q255*10)</f>
        <v/>
      </c>
      <c r="S255" s="11" t="str">
        <f aca="false">IF(AND($A255="",$B255="",$D255=""),"",IF(AND($A255&lt;&gt;"",COUNTIF('1. Plot &amp; Site Log'!$A$5:$A$64,$A255)=0),"Plot ID not in the Plot &amp; Site Log. ","")&amp;IF(AND(ISNUMBER($D255),ISNUMBER($E255),$E255&lt;=$D255),"Bottom depth is not below top depth. ","")&amp;IF($L255="Not confirmed","Bulk-density basis not confirmed with the lab — the coarse-fragment correction may be wrong or doubled. ","")&amp;IF(LAB_BULK_DENSITY_BASIS="Not confirmed","No lab bulk-density basis is on file in Settings (LAB_BULK_DENSITY_BASIS), so nothing checks this row. ","")&amp;IF(AND($L255&lt;&gt;"",LAB_BULK_DENSITY_BASIS&lt;&gt;"Not confirmed",$L255&lt;&gt;LAB_BULK_DENSITY_BASIS),"This row's bulk-density basis disagrees with the lab method on file. One of "&amp;"the two is wrong, and the coarse-fragment correction follows the row. ","")&amp;IF(AND(ISNUMBER($M255),OR($M255&lt;QC_BD_MIN,$M255&gt;QC_BD_MAX)),"Bulk density outside the plausible range for a mineral grassland soil. ","")&amp;IF(AND(ISNUMBER($N255),$N255&gt;QC_CARBON_PCT_MAX),"Organic carbon above the QC ceiling — check units, and whether this is an organic horizon. ","")&amp;IF(AND(ISNUMBER($J255),$J255&lt;QC_RECOVERY_MIN),"Recovered less than the QC minimum of the depth driven — the increments may not sit where you think. Do NOT stretch them back out. ","")&amp;IF(AND(ISNUMBER($K255),$K255&gt;0,$L255="Fine earth / total volume"),"Coarse fragments recorded and the lab basis already accounts for them — no further correction applied, which is correct. ",""))</f>
        <v/>
      </c>
      <c r="T255" s="6"/>
      <c r="U255" s="9" t="n">
        <f aca="false">IF($B255="",0,IF(COUNTIFS($B$5:$B255,$B255)=1,1,0))</f>
        <v>0</v>
      </c>
    </row>
    <row r="256" customFormat="false" ht="15" hidden="false" customHeight="false" outlineLevel="0" collapsed="false">
      <c r="A256" s="6"/>
      <c r="B256" s="6"/>
      <c r="C256" s="6"/>
      <c r="D256" s="6"/>
      <c r="E256" s="6"/>
      <c r="F256" s="9" t="str">
        <f aca="false">IF(OR($D256="",$E256=""),"",$E256-$D256)</f>
        <v/>
      </c>
      <c r="G256" s="6"/>
      <c r="H256" s="6"/>
      <c r="I256" s="6"/>
      <c r="J256" s="9" t="str">
        <f aca="false">IF(OR(NOT(ISNUMBER($H256)),NOT(ISNUMBER($I256)),$H256=0),"",$I256/$H256)</f>
        <v/>
      </c>
      <c r="K256" s="6"/>
      <c r="L256" s="8"/>
      <c r="M256" s="7"/>
      <c r="N256" s="7"/>
      <c r="O256" s="9" t="str">
        <f aca="false">IF(NOT(ISNUMBER($M256)),"",IF($L256="Fine earth / fine-earth volume",$M256*(1-IF(ISNUMBER($K256),$K256,0)/100),$M256))</f>
        <v/>
      </c>
      <c r="P256" s="9" t="str">
        <f aca="false">IF(OR(NOT(ISNUMBER($O256)),NOT(ISNUMBER($N256)),NOT(ISNUMBER($F256))),"",$O256*($N256/100)*$F256*10)</f>
        <v/>
      </c>
      <c r="Q256" s="9" t="str">
        <f aca="false">IF(OR(NOT(ISNUMBER($D256)),NOT(ISNUMBER($E256))),"",MAX(0,MIN($E256,SOIL_REPORTING_DEPTH_CM)-MIN($D256,SOIL_REPORTING_DEPTH_CM)))</f>
        <v/>
      </c>
      <c r="R256" s="9" t="str">
        <f aca="false">IF(OR(NOT(ISNUMBER($O256)),NOT(ISNUMBER($N256)),NOT(ISNUMBER($Q256))),"",$O256*($N256/100)*$Q256*10)</f>
        <v/>
      </c>
      <c r="S256" s="11" t="str">
        <f aca="false">IF(AND($A256="",$B256="",$D256=""),"",IF(AND($A256&lt;&gt;"",COUNTIF('1. Plot &amp; Site Log'!$A$5:$A$64,$A256)=0),"Plot ID not in the Plot &amp; Site Log. ","")&amp;IF(AND(ISNUMBER($D256),ISNUMBER($E256),$E256&lt;=$D256),"Bottom depth is not below top depth. ","")&amp;IF($L256="Not confirmed","Bulk-density basis not confirmed with the lab — the coarse-fragment correction may be wrong or doubled. ","")&amp;IF(LAB_BULK_DENSITY_BASIS="Not confirmed","No lab bulk-density basis is on file in Settings (LAB_BULK_DENSITY_BASIS), so nothing checks this row. ","")&amp;IF(AND($L256&lt;&gt;"",LAB_BULK_DENSITY_BASIS&lt;&gt;"Not confirmed",$L256&lt;&gt;LAB_BULK_DENSITY_BASIS),"This row's bulk-density basis disagrees with the lab method on file. One of "&amp;"the two is wrong, and the coarse-fragment correction follows the row. ","")&amp;IF(AND(ISNUMBER($M256),OR($M256&lt;QC_BD_MIN,$M256&gt;QC_BD_MAX)),"Bulk density outside the plausible range for a mineral grassland soil. ","")&amp;IF(AND(ISNUMBER($N256),$N256&gt;QC_CARBON_PCT_MAX),"Organic carbon above the QC ceiling — check units, and whether this is an organic horizon. ","")&amp;IF(AND(ISNUMBER($J256),$J256&lt;QC_RECOVERY_MIN),"Recovered less than the QC minimum of the depth driven — the increments may not sit where you think. Do NOT stretch them back out. ","")&amp;IF(AND(ISNUMBER($K256),$K256&gt;0,$L256="Fine earth / total volume"),"Coarse fragments recorded and the lab basis already accounts for them — no further correction applied, which is correct. ",""))</f>
        <v/>
      </c>
      <c r="T256" s="6"/>
      <c r="U256" s="9" t="n">
        <f aca="false">IF($B256="",0,IF(COUNTIFS($B$5:$B256,$B256)=1,1,0))</f>
        <v>0</v>
      </c>
    </row>
    <row r="257" customFormat="false" ht="15" hidden="false" customHeight="false" outlineLevel="0" collapsed="false">
      <c r="A257" s="6"/>
      <c r="B257" s="6"/>
      <c r="C257" s="6"/>
      <c r="D257" s="6"/>
      <c r="E257" s="6"/>
      <c r="F257" s="9" t="str">
        <f aca="false">IF(OR($D257="",$E257=""),"",$E257-$D257)</f>
        <v/>
      </c>
      <c r="G257" s="6"/>
      <c r="H257" s="6"/>
      <c r="I257" s="6"/>
      <c r="J257" s="9" t="str">
        <f aca="false">IF(OR(NOT(ISNUMBER($H257)),NOT(ISNUMBER($I257)),$H257=0),"",$I257/$H257)</f>
        <v/>
      </c>
      <c r="K257" s="6"/>
      <c r="L257" s="8"/>
      <c r="M257" s="7"/>
      <c r="N257" s="7"/>
      <c r="O257" s="9" t="str">
        <f aca="false">IF(NOT(ISNUMBER($M257)),"",IF($L257="Fine earth / fine-earth volume",$M257*(1-IF(ISNUMBER($K257),$K257,0)/100),$M257))</f>
        <v/>
      </c>
      <c r="P257" s="9" t="str">
        <f aca="false">IF(OR(NOT(ISNUMBER($O257)),NOT(ISNUMBER($N257)),NOT(ISNUMBER($F257))),"",$O257*($N257/100)*$F257*10)</f>
        <v/>
      </c>
      <c r="Q257" s="9" t="str">
        <f aca="false">IF(OR(NOT(ISNUMBER($D257)),NOT(ISNUMBER($E257))),"",MAX(0,MIN($E257,SOIL_REPORTING_DEPTH_CM)-MIN($D257,SOIL_REPORTING_DEPTH_CM)))</f>
        <v/>
      </c>
      <c r="R257" s="9" t="str">
        <f aca="false">IF(OR(NOT(ISNUMBER($O257)),NOT(ISNUMBER($N257)),NOT(ISNUMBER($Q257))),"",$O257*($N257/100)*$Q257*10)</f>
        <v/>
      </c>
      <c r="S257" s="11" t="str">
        <f aca="false">IF(AND($A257="",$B257="",$D257=""),"",IF(AND($A257&lt;&gt;"",COUNTIF('1. Plot &amp; Site Log'!$A$5:$A$64,$A257)=0),"Plot ID not in the Plot &amp; Site Log. ","")&amp;IF(AND(ISNUMBER($D257),ISNUMBER($E257),$E257&lt;=$D257),"Bottom depth is not below top depth. ","")&amp;IF($L257="Not confirmed","Bulk-density basis not confirmed with the lab — the coarse-fragment correction may be wrong or doubled. ","")&amp;IF(LAB_BULK_DENSITY_BASIS="Not confirmed","No lab bulk-density basis is on file in Settings (LAB_BULK_DENSITY_BASIS), so nothing checks this row. ","")&amp;IF(AND($L257&lt;&gt;"",LAB_BULK_DENSITY_BASIS&lt;&gt;"Not confirmed",$L257&lt;&gt;LAB_BULK_DENSITY_BASIS),"This row's bulk-density basis disagrees with the lab method on file. One of "&amp;"the two is wrong, and the coarse-fragment correction follows the row. ","")&amp;IF(AND(ISNUMBER($M257),OR($M257&lt;QC_BD_MIN,$M257&gt;QC_BD_MAX)),"Bulk density outside the plausible range for a mineral grassland soil. ","")&amp;IF(AND(ISNUMBER($N257),$N257&gt;QC_CARBON_PCT_MAX),"Organic carbon above the QC ceiling — check units, and whether this is an organic horizon. ","")&amp;IF(AND(ISNUMBER($J257),$J257&lt;QC_RECOVERY_MIN),"Recovered less than the QC minimum of the depth driven — the increments may not sit where you think. Do NOT stretch them back out. ","")&amp;IF(AND(ISNUMBER($K257),$K257&gt;0,$L257="Fine earth / total volume"),"Coarse fragments recorded and the lab basis already accounts for them — no further correction applied, which is correct. ",""))</f>
        <v/>
      </c>
      <c r="T257" s="6"/>
      <c r="U257" s="9" t="n">
        <f aca="false">IF($B257="",0,IF(COUNTIFS($B$5:$B257,$B257)=1,1,0))</f>
        <v>0</v>
      </c>
    </row>
    <row r="258" customFormat="false" ht="15" hidden="false" customHeight="false" outlineLevel="0" collapsed="false">
      <c r="A258" s="6"/>
      <c r="B258" s="6"/>
      <c r="C258" s="6"/>
      <c r="D258" s="6"/>
      <c r="E258" s="6"/>
      <c r="F258" s="9" t="str">
        <f aca="false">IF(OR($D258="",$E258=""),"",$E258-$D258)</f>
        <v/>
      </c>
      <c r="G258" s="6"/>
      <c r="H258" s="6"/>
      <c r="I258" s="6"/>
      <c r="J258" s="9" t="str">
        <f aca="false">IF(OR(NOT(ISNUMBER($H258)),NOT(ISNUMBER($I258)),$H258=0),"",$I258/$H258)</f>
        <v/>
      </c>
      <c r="K258" s="6"/>
      <c r="L258" s="8"/>
      <c r="M258" s="7"/>
      <c r="N258" s="7"/>
      <c r="O258" s="9" t="str">
        <f aca="false">IF(NOT(ISNUMBER($M258)),"",IF($L258="Fine earth / fine-earth volume",$M258*(1-IF(ISNUMBER($K258),$K258,0)/100),$M258))</f>
        <v/>
      </c>
      <c r="P258" s="9" t="str">
        <f aca="false">IF(OR(NOT(ISNUMBER($O258)),NOT(ISNUMBER($N258)),NOT(ISNUMBER($F258))),"",$O258*($N258/100)*$F258*10)</f>
        <v/>
      </c>
      <c r="Q258" s="9" t="str">
        <f aca="false">IF(OR(NOT(ISNUMBER($D258)),NOT(ISNUMBER($E258))),"",MAX(0,MIN($E258,SOIL_REPORTING_DEPTH_CM)-MIN($D258,SOIL_REPORTING_DEPTH_CM)))</f>
        <v/>
      </c>
      <c r="R258" s="9" t="str">
        <f aca="false">IF(OR(NOT(ISNUMBER($O258)),NOT(ISNUMBER($N258)),NOT(ISNUMBER($Q258))),"",$O258*($N258/100)*$Q258*10)</f>
        <v/>
      </c>
      <c r="S258" s="11" t="str">
        <f aca="false">IF(AND($A258="",$B258="",$D258=""),"",IF(AND($A258&lt;&gt;"",COUNTIF('1. Plot &amp; Site Log'!$A$5:$A$64,$A258)=0),"Plot ID not in the Plot &amp; Site Log. ","")&amp;IF(AND(ISNUMBER($D258),ISNUMBER($E258),$E258&lt;=$D258),"Bottom depth is not below top depth. ","")&amp;IF($L258="Not confirmed","Bulk-density basis not confirmed with the lab — the coarse-fragment correction may be wrong or doubled. ","")&amp;IF(LAB_BULK_DENSITY_BASIS="Not confirmed","No lab bulk-density basis is on file in Settings (LAB_BULK_DENSITY_BASIS), so nothing checks this row. ","")&amp;IF(AND($L258&lt;&gt;"",LAB_BULK_DENSITY_BASIS&lt;&gt;"Not confirmed",$L258&lt;&gt;LAB_BULK_DENSITY_BASIS),"This row's bulk-density basis disagrees with the lab method on file. One of "&amp;"the two is wrong, and the coarse-fragment correction follows the row. ","")&amp;IF(AND(ISNUMBER($M258),OR($M258&lt;QC_BD_MIN,$M258&gt;QC_BD_MAX)),"Bulk density outside the plausible range for a mineral grassland soil. ","")&amp;IF(AND(ISNUMBER($N258),$N258&gt;QC_CARBON_PCT_MAX),"Organic carbon above the QC ceiling — check units, and whether this is an organic horizon. ","")&amp;IF(AND(ISNUMBER($J258),$J258&lt;QC_RECOVERY_MIN),"Recovered less than the QC minimum of the depth driven — the increments may not sit where you think. Do NOT stretch them back out. ","")&amp;IF(AND(ISNUMBER($K258),$K258&gt;0,$L258="Fine earth / total volume"),"Coarse fragments recorded and the lab basis already accounts for them — no further correction applied, which is correct. ",""))</f>
        <v/>
      </c>
      <c r="T258" s="6"/>
      <c r="U258" s="9" t="n">
        <f aca="false">IF($B258="",0,IF(COUNTIFS($B$5:$B258,$B258)=1,1,0))</f>
        <v>0</v>
      </c>
    </row>
    <row r="259" customFormat="false" ht="15" hidden="false" customHeight="false" outlineLevel="0" collapsed="false">
      <c r="A259" s="6"/>
      <c r="B259" s="6"/>
      <c r="C259" s="6"/>
      <c r="D259" s="6"/>
      <c r="E259" s="6"/>
      <c r="F259" s="9" t="str">
        <f aca="false">IF(OR($D259="",$E259=""),"",$E259-$D259)</f>
        <v/>
      </c>
      <c r="G259" s="6"/>
      <c r="H259" s="6"/>
      <c r="I259" s="6"/>
      <c r="J259" s="9" t="str">
        <f aca="false">IF(OR(NOT(ISNUMBER($H259)),NOT(ISNUMBER($I259)),$H259=0),"",$I259/$H259)</f>
        <v/>
      </c>
      <c r="K259" s="6"/>
      <c r="L259" s="8"/>
      <c r="M259" s="7"/>
      <c r="N259" s="7"/>
      <c r="O259" s="9" t="str">
        <f aca="false">IF(NOT(ISNUMBER($M259)),"",IF($L259="Fine earth / fine-earth volume",$M259*(1-IF(ISNUMBER($K259),$K259,0)/100),$M259))</f>
        <v/>
      </c>
      <c r="P259" s="9" t="str">
        <f aca="false">IF(OR(NOT(ISNUMBER($O259)),NOT(ISNUMBER($N259)),NOT(ISNUMBER($F259))),"",$O259*($N259/100)*$F259*10)</f>
        <v/>
      </c>
      <c r="Q259" s="9" t="str">
        <f aca="false">IF(OR(NOT(ISNUMBER($D259)),NOT(ISNUMBER($E259))),"",MAX(0,MIN($E259,SOIL_REPORTING_DEPTH_CM)-MIN($D259,SOIL_REPORTING_DEPTH_CM)))</f>
        <v/>
      </c>
      <c r="R259" s="9" t="str">
        <f aca="false">IF(OR(NOT(ISNUMBER($O259)),NOT(ISNUMBER($N259)),NOT(ISNUMBER($Q259))),"",$O259*($N259/100)*$Q259*10)</f>
        <v/>
      </c>
      <c r="S259" s="11" t="str">
        <f aca="false">IF(AND($A259="",$B259="",$D259=""),"",IF(AND($A259&lt;&gt;"",COUNTIF('1. Plot &amp; Site Log'!$A$5:$A$64,$A259)=0),"Plot ID not in the Plot &amp; Site Log. ","")&amp;IF(AND(ISNUMBER($D259),ISNUMBER($E259),$E259&lt;=$D259),"Bottom depth is not below top depth. ","")&amp;IF($L259="Not confirmed","Bulk-density basis not confirmed with the lab — the coarse-fragment correction may be wrong or doubled. ","")&amp;IF(LAB_BULK_DENSITY_BASIS="Not confirmed","No lab bulk-density basis is on file in Settings (LAB_BULK_DENSITY_BASIS), so nothing checks this row. ","")&amp;IF(AND($L259&lt;&gt;"",LAB_BULK_DENSITY_BASIS&lt;&gt;"Not confirmed",$L259&lt;&gt;LAB_BULK_DENSITY_BASIS),"This row's bulk-density basis disagrees with the lab method on file. One of "&amp;"the two is wrong, and the coarse-fragment correction follows the row. ","")&amp;IF(AND(ISNUMBER($M259),OR($M259&lt;QC_BD_MIN,$M259&gt;QC_BD_MAX)),"Bulk density outside the plausible range for a mineral grassland soil. ","")&amp;IF(AND(ISNUMBER($N259),$N259&gt;QC_CARBON_PCT_MAX),"Organic carbon above the QC ceiling — check units, and whether this is an organic horizon. ","")&amp;IF(AND(ISNUMBER($J259),$J259&lt;QC_RECOVERY_MIN),"Recovered less than the QC minimum of the depth driven — the increments may not sit where you think. Do NOT stretch them back out. ","")&amp;IF(AND(ISNUMBER($K259),$K259&gt;0,$L259="Fine earth / total volume"),"Coarse fragments recorded and the lab basis already accounts for them — no further correction applied, which is correct. ",""))</f>
        <v/>
      </c>
      <c r="T259" s="6"/>
      <c r="U259" s="9" t="n">
        <f aca="false">IF($B259="",0,IF(COUNTIFS($B$5:$B259,$B259)=1,1,0))</f>
        <v>0</v>
      </c>
    </row>
    <row r="260" customFormat="false" ht="15" hidden="false" customHeight="false" outlineLevel="0" collapsed="false">
      <c r="A260" s="6"/>
      <c r="B260" s="6"/>
      <c r="C260" s="6"/>
      <c r="D260" s="6"/>
      <c r="E260" s="6"/>
      <c r="F260" s="9" t="str">
        <f aca="false">IF(OR($D260="",$E260=""),"",$E260-$D260)</f>
        <v/>
      </c>
      <c r="G260" s="6"/>
      <c r="H260" s="6"/>
      <c r="I260" s="6"/>
      <c r="J260" s="9" t="str">
        <f aca="false">IF(OR(NOT(ISNUMBER($H260)),NOT(ISNUMBER($I260)),$H260=0),"",$I260/$H260)</f>
        <v/>
      </c>
      <c r="K260" s="6"/>
      <c r="L260" s="8"/>
      <c r="M260" s="7"/>
      <c r="N260" s="7"/>
      <c r="O260" s="9" t="str">
        <f aca="false">IF(NOT(ISNUMBER($M260)),"",IF($L260="Fine earth / fine-earth volume",$M260*(1-IF(ISNUMBER($K260),$K260,0)/100),$M260))</f>
        <v/>
      </c>
      <c r="P260" s="9" t="str">
        <f aca="false">IF(OR(NOT(ISNUMBER($O260)),NOT(ISNUMBER($N260)),NOT(ISNUMBER($F260))),"",$O260*($N260/100)*$F260*10)</f>
        <v/>
      </c>
      <c r="Q260" s="9" t="str">
        <f aca="false">IF(OR(NOT(ISNUMBER($D260)),NOT(ISNUMBER($E260))),"",MAX(0,MIN($E260,SOIL_REPORTING_DEPTH_CM)-MIN($D260,SOIL_REPORTING_DEPTH_CM)))</f>
        <v/>
      </c>
      <c r="R260" s="9" t="str">
        <f aca="false">IF(OR(NOT(ISNUMBER($O260)),NOT(ISNUMBER($N260)),NOT(ISNUMBER($Q260))),"",$O260*($N260/100)*$Q260*10)</f>
        <v/>
      </c>
      <c r="S260" s="11" t="str">
        <f aca="false">IF(AND($A260="",$B260="",$D260=""),"",IF(AND($A260&lt;&gt;"",COUNTIF('1. Plot &amp; Site Log'!$A$5:$A$64,$A260)=0),"Plot ID not in the Plot &amp; Site Log. ","")&amp;IF(AND(ISNUMBER($D260),ISNUMBER($E260),$E260&lt;=$D260),"Bottom depth is not below top depth. ","")&amp;IF($L260="Not confirmed","Bulk-density basis not confirmed with the lab — the coarse-fragment correction may be wrong or doubled. ","")&amp;IF(LAB_BULK_DENSITY_BASIS="Not confirmed","No lab bulk-density basis is on file in Settings (LAB_BULK_DENSITY_BASIS), so nothing checks this row. ","")&amp;IF(AND($L260&lt;&gt;"",LAB_BULK_DENSITY_BASIS&lt;&gt;"Not confirmed",$L260&lt;&gt;LAB_BULK_DENSITY_BASIS),"This row's bulk-density basis disagrees with the lab method on file. One of "&amp;"the two is wrong, and the coarse-fragment correction follows the row. ","")&amp;IF(AND(ISNUMBER($M260),OR($M260&lt;QC_BD_MIN,$M260&gt;QC_BD_MAX)),"Bulk density outside the plausible range for a mineral grassland soil. ","")&amp;IF(AND(ISNUMBER($N260),$N260&gt;QC_CARBON_PCT_MAX),"Organic carbon above the QC ceiling — check units, and whether this is an organic horizon. ","")&amp;IF(AND(ISNUMBER($J260),$J260&lt;QC_RECOVERY_MIN),"Recovered less than the QC minimum of the depth driven — the increments may not sit where you think. Do NOT stretch them back out. ","")&amp;IF(AND(ISNUMBER($K260),$K260&gt;0,$L260="Fine earth / total volume"),"Coarse fragments recorded and the lab basis already accounts for them — no further correction applied, which is correct. ",""))</f>
        <v/>
      </c>
      <c r="T260" s="6"/>
      <c r="U260" s="9" t="n">
        <f aca="false">IF($B260="",0,IF(COUNTIFS($B$5:$B260,$B260)=1,1,0))</f>
        <v>0</v>
      </c>
    </row>
    <row r="261" customFormat="false" ht="15" hidden="false" customHeight="false" outlineLevel="0" collapsed="false">
      <c r="A261" s="6"/>
      <c r="B261" s="6"/>
      <c r="C261" s="6"/>
      <c r="D261" s="6"/>
      <c r="E261" s="6"/>
      <c r="F261" s="9" t="str">
        <f aca="false">IF(OR($D261="",$E261=""),"",$E261-$D261)</f>
        <v/>
      </c>
      <c r="G261" s="6"/>
      <c r="H261" s="6"/>
      <c r="I261" s="6"/>
      <c r="J261" s="9" t="str">
        <f aca="false">IF(OR(NOT(ISNUMBER($H261)),NOT(ISNUMBER($I261)),$H261=0),"",$I261/$H261)</f>
        <v/>
      </c>
      <c r="K261" s="6"/>
      <c r="L261" s="8"/>
      <c r="M261" s="7"/>
      <c r="N261" s="7"/>
      <c r="O261" s="9" t="str">
        <f aca="false">IF(NOT(ISNUMBER($M261)),"",IF($L261="Fine earth / fine-earth volume",$M261*(1-IF(ISNUMBER($K261),$K261,0)/100),$M261))</f>
        <v/>
      </c>
      <c r="P261" s="9" t="str">
        <f aca="false">IF(OR(NOT(ISNUMBER($O261)),NOT(ISNUMBER($N261)),NOT(ISNUMBER($F261))),"",$O261*($N261/100)*$F261*10)</f>
        <v/>
      </c>
      <c r="Q261" s="9" t="str">
        <f aca="false">IF(OR(NOT(ISNUMBER($D261)),NOT(ISNUMBER($E261))),"",MAX(0,MIN($E261,SOIL_REPORTING_DEPTH_CM)-MIN($D261,SOIL_REPORTING_DEPTH_CM)))</f>
        <v/>
      </c>
      <c r="R261" s="9" t="str">
        <f aca="false">IF(OR(NOT(ISNUMBER($O261)),NOT(ISNUMBER($N261)),NOT(ISNUMBER($Q261))),"",$O261*($N261/100)*$Q261*10)</f>
        <v/>
      </c>
      <c r="S261" s="11" t="str">
        <f aca="false">IF(AND($A261="",$B261="",$D261=""),"",IF(AND($A261&lt;&gt;"",COUNTIF('1. Plot &amp; Site Log'!$A$5:$A$64,$A261)=0),"Plot ID not in the Plot &amp; Site Log. ","")&amp;IF(AND(ISNUMBER($D261),ISNUMBER($E261),$E261&lt;=$D261),"Bottom depth is not below top depth. ","")&amp;IF($L261="Not confirmed","Bulk-density basis not confirmed with the lab — the coarse-fragment correction may be wrong or doubled. ","")&amp;IF(LAB_BULK_DENSITY_BASIS="Not confirmed","No lab bulk-density basis is on file in Settings (LAB_BULK_DENSITY_BASIS), so nothing checks this row. ","")&amp;IF(AND($L261&lt;&gt;"",LAB_BULK_DENSITY_BASIS&lt;&gt;"Not confirmed",$L261&lt;&gt;LAB_BULK_DENSITY_BASIS),"This row's bulk-density basis disagrees with the lab method on file. One of "&amp;"the two is wrong, and the coarse-fragment correction follows the row. ","")&amp;IF(AND(ISNUMBER($M261),OR($M261&lt;QC_BD_MIN,$M261&gt;QC_BD_MAX)),"Bulk density outside the plausible range for a mineral grassland soil. ","")&amp;IF(AND(ISNUMBER($N261),$N261&gt;QC_CARBON_PCT_MAX),"Organic carbon above the QC ceiling — check units, and whether this is an organic horizon. ","")&amp;IF(AND(ISNUMBER($J261),$J261&lt;QC_RECOVERY_MIN),"Recovered less than the QC minimum of the depth driven — the increments may not sit where you think. Do NOT stretch them back out. ","")&amp;IF(AND(ISNUMBER($K261),$K261&gt;0,$L261="Fine earth / total volume"),"Coarse fragments recorded and the lab basis already accounts for them — no further correction applied, which is correct. ",""))</f>
        <v/>
      </c>
      <c r="T261" s="6"/>
      <c r="U261" s="9" t="n">
        <f aca="false">IF($B261="",0,IF(COUNTIFS($B$5:$B261,$B261)=1,1,0))</f>
        <v>0</v>
      </c>
    </row>
    <row r="262" customFormat="false" ht="15" hidden="false" customHeight="false" outlineLevel="0" collapsed="false">
      <c r="A262" s="6"/>
      <c r="B262" s="6"/>
      <c r="C262" s="6"/>
      <c r="D262" s="6"/>
      <c r="E262" s="6"/>
      <c r="F262" s="9" t="str">
        <f aca="false">IF(OR($D262="",$E262=""),"",$E262-$D262)</f>
        <v/>
      </c>
      <c r="G262" s="6"/>
      <c r="H262" s="6"/>
      <c r="I262" s="6"/>
      <c r="J262" s="9" t="str">
        <f aca="false">IF(OR(NOT(ISNUMBER($H262)),NOT(ISNUMBER($I262)),$H262=0),"",$I262/$H262)</f>
        <v/>
      </c>
      <c r="K262" s="6"/>
      <c r="L262" s="8"/>
      <c r="M262" s="7"/>
      <c r="N262" s="7"/>
      <c r="O262" s="9" t="str">
        <f aca="false">IF(NOT(ISNUMBER($M262)),"",IF($L262="Fine earth / fine-earth volume",$M262*(1-IF(ISNUMBER($K262),$K262,0)/100),$M262))</f>
        <v/>
      </c>
      <c r="P262" s="9" t="str">
        <f aca="false">IF(OR(NOT(ISNUMBER($O262)),NOT(ISNUMBER($N262)),NOT(ISNUMBER($F262))),"",$O262*($N262/100)*$F262*10)</f>
        <v/>
      </c>
      <c r="Q262" s="9" t="str">
        <f aca="false">IF(OR(NOT(ISNUMBER($D262)),NOT(ISNUMBER($E262))),"",MAX(0,MIN($E262,SOIL_REPORTING_DEPTH_CM)-MIN($D262,SOIL_REPORTING_DEPTH_CM)))</f>
        <v/>
      </c>
      <c r="R262" s="9" t="str">
        <f aca="false">IF(OR(NOT(ISNUMBER($O262)),NOT(ISNUMBER($N262)),NOT(ISNUMBER($Q262))),"",$O262*($N262/100)*$Q262*10)</f>
        <v/>
      </c>
      <c r="S262" s="11" t="str">
        <f aca="false">IF(AND($A262="",$B262="",$D262=""),"",IF(AND($A262&lt;&gt;"",COUNTIF('1. Plot &amp; Site Log'!$A$5:$A$64,$A262)=0),"Plot ID not in the Plot &amp; Site Log. ","")&amp;IF(AND(ISNUMBER($D262),ISNUMBER($E262),$E262&lt;=$D262),"Bottom depth is not below top depth. ","")&amp;IF($L262="Not confirmed","Bulk-density basis not confirmed with the lab — the coarse-fragment correction may be wrong or doubled. ","")&amp;IF(LAB_BULK_DENSITY_BASIS="Not confirmed","No lab bulk-density basis is on file in Settings (LAB_BULK_DENSITY_BASIS), so nothing checks this row. ","")&amp;IF(AND($L262&lt;&gt;"",LAB_BULK_DENSITY_BASIS&lt;&gt;"Not confirmed",$L262&lt;&gt;LAB_BULK_DENSITY_BASIS),"This row's bulk-density basis disagrees with the lab method on file. One of "&amp;"the two is wrong, and the coarse-fragment correction follows the row. ","")&amp;IF(AND(ISNUMBER($M262),OR($M262&lt;QC_BD_MIN,$M262&gt;QC_BD_MAX)),"Bulk density outside the plausible range for a mineral grassland soil. ","")&amp;IF(AND(ISNUMBER($N262),$N262&gt;QC_CARBON_PCT_MAX),"Organic carbon above the QC ceiling — check units, and whether this is an organic horizon. ","")&amp;IF(AND(ISNUMBER($J262),$J262&lt;QC_RECOVERY_MIN),"Recovered less than the QC minimum of the depth driven — the increments may not sit where you think. Do NOT stretch them back out. ","")&amp;IF(AND(ISNUMBER($K262),$K262&gt;0,$L262="Fine earth / total volume"),"Coarse fragments recorded and the lab basis already accounts for them — no further correction applied, which is correct. ",""))</f>
        <v/>
      </c>
      <c r="T262" s="6"/>
      <c r="U262" s="9" t="n">
        <f aca="false">IF($B262="",0,IF(COUNTIFS($B$5:$B262,$B262)=1,1,0))</f>
        <v>0</v>
      </c>
    </row>
    <row r="263" customFormat="false" ht="15" hidden="false" customHeight="false" outlineLevel="0" collapsed="false">
      <c r="A263" s="6"/>
      <c r="B263" s="6"/>
      <c r="C263" s="6"/>
      <c r="D263" s="6"/>
      <c r="E263" s="6"/>
      <c r="F263" s="9" t="str">
        <f aca="false">IF(OR($D263="",$E263=""),"",$E263-$D263)</f>
        <v/>
      </c>
      <c r="G263" s="6"/>
      <c r="H263" s="6"/>
      <c r="I263" s="6"/>
      <c r="J263" s="9" t="str">
        <f aca="false">IF(OR(NOT(ISNUMBER($H263)),NOT(ISNUMBER($I263)),$H263=0),"",$I263/$H263)</f>
        <v/>
      </c>
      <c r="K263" s="6"/>
      <c r="L263" s="8"/>
      <c r="M263" s="7"/>
      <c r="N263" s="7"/>
      <c r="O263" s="9" t="str">
        <f aca="false">IF(NOT(ISNUMBER($M263)),"",IF($L263="Fine earth / fine-earth volume",$M263*(1-IF(ISNUMBER($K263),$K263,0)/100),$M263))</f>
        <v/>
      </c>
      <c r="P263" s="9" t="str">
        <f aca="false">IF(OR(NOT(ISNUMBER($O263)),NOT(ISNUMBER($N263)),NOT(ISNUMBER($F263))),"",$O263*($N263/100)*$F263*10)</f>
        <v/>
      </c>
      <c r="Q263" s="9" t="str">
        <f aca="false">IF(OR(NOT(ISNUMBER($D263)),NOT(ISNUMBER($E263))),"",MAX(0,MIN($E263,SOIL_REPORTING_DEPTH_CM)-MIN($D263,SOIL_REPORTING_DEPTH_CM)))</f>
        <v/>
      </c>
      <c r="R263" s="9" t="str">
        <f aca="false">IF(OR(NOT(ISNUMBER($O263)),NOT(ISNUMBER($N263)),NOT(ISNUMBER($Q263))),"",$O263*($N263/100)*$Q263*10)</f>
        <v/>
      </c>
      <c r="S263" s="11" t="str">
        <f aca="false">IF(AND($A263="",$B263="",$D263=""),"",IF(AND($A263&lt;&gt;"",COUNTIF('1. Plot &amp; Site Log'!$A$5:$A$64,$A263)=0),"Plot ID not in the Plot &amp; Site Log. ","")&amp;IF(AND(ISNUMBER($D263),ISNUMBER($E263),$E263&lt;=$D263),"Bottom depth is not below top depth. ","")&amp;IF($L263="Not confirmed","Bulk-density basis not confirmed with the lab — the coarse-fragment correction may be wrong or doubled. ","")&amp;IF(LAB_BULK_DENSITY_BASIS="Not confirmed","No lab bulk-density basis is on file in Settings (LAB_BULK_DENSITY_BASIS), so nothing checks this row. ","")&amp;IF(AND($L263&lt;&gt;"",LAB_BULK_DENSITY_BASIS&lt;&gt;"Not confirmed",$L263&lt;&gt;LAB_BULK_DENSITY_BASIS),"This row's bulk-density basis disagrees with the lab method on file. One of "&amp;"the two is wrong, and the coarse-fragment correction follows the row. ","")&amp;IF(AND(ISNUMBER($M263),OR($M263&lt;QC_BD_MIN,$M263&gt;QC_BD_MAX)),"Bulk density outside the plausible range for a mineral grassland soil. ","")&amp;IF(AND(ISNUMBER($N263),$N263&gt;QC_CARBON_PCT_MAX),"Organic carbon above the QC ceiling — check units, and whether this is an organic horizon. ","")&amp;IF(AND(ISNUMBER($J263),$J263&lt;QC_RECOVERY_MIN),"Recovered less than the QC minimum of the depth driven — the increments may not sit where you think. Do NOT stretch them back out. ","")&amp;IF(AND(ISNUMBER($K263),$K263&gt;0,$L263="Fine earth / total volume"),"Coarse fragments recorded and the lab basis already accounts for them — no further correction applied, which is correct. ",""))</f>
        <v/>
      </c>
      <c r="T263" s="6"/>
      <c r="U263" s="9" t="n">
        <f aca="false">IF($B263="",0,IF(COUNTIFS($B$5:$B263,$B263)=1,1,0))</f>
        <v>0</v>
      </c>
    </row>
    <row r="264" customFormat="false" ht="15" hidden="false" customHeight="false" outlineLevel="0" collapsed="false">
      <c r="A264" s="6"/>
      <c r="B264" s="6"/>
      <c r="C264" s="6"/>
      <c r="D264" s="6"/>
      <c r="E264" s="6"/>
      <c r="F264" s="9" t="str">
        <f aca="false">IF(OR($D264="",$E264=""),"",$E264-$D264)</f>
        <v/>
      </c>
      <c r="G264" s="6"/>
      <c r="H264" s="6"/>
      <c r="I264" s="6"/>
      <c r="J264" s="9" t="str">
        <f aca="false">IF(OR(NOT(ISNUMBER($H264)),NOT(ISNUMBER($I264)),$H264=0),"",$I264/$H264)</f>
        <v/>
      </c>
      <c r="K264" s="6"/>
      <c r="L264" s="8"/>
      <c r="M264" s="7"/>
      <c r="N264" s="7"/>
      <c r="O264" s="9" t="str">
        <f aca="false">IF(NOT(ISNUMBER($M264)),"",IF($L264="Fine earth / fine-earth volume",$M264*(1-IF(ISNUMBER($K264),$K264,0)/100),$M264))</f>
        <v/>
      </c>
      <c r="P264" s="9" t="str">
        <f aca="false">IF(OR(NOT(ISNUMBER($O264)),NOT(ISNUMBER($N264)),NOT(ISNUMBER($F264))),"",$O264*($N264/100)*$F264*10)</f>
        <v/>
      </c>
      <c r="Q264" s="9" t="str">
        <f aca="false">IF(OR(NOT(ISNUMBER($D264)),NOT(ISNUMBER($E264))),"",MAX(0,MIN($E264,SOIL_REPORTING_DEPTH_CM)-MIN($D264,SOIL_REPORTING_DEPTH_CM)))</f>
        <v/>
      </c>
      <c r="R264" s="9" t="str">
        <f aca="false">IF(OR(NOT(ISNUMBER($O264)),NOT(ISNUMBER($N264)),NOT(ISNUMBER($Q264))),"",$O264*($N264/100)*$Q264*10)</f>
        <v/>
      </c>
      <c r="S264" s="11" t="str">
        <f aca="false">IF(AND($A264="",$B264="",$D264=""),"",IF(AND($A264&lt;&gt;"",COUNTIF('1. Plot &amp; Site Log'!$A$5:$A$64,$A264)=0),"Plot ID not in the Plot &amp; Site Log. ","")&amp;IF(AND(ISNUMBER($D264),ISNUMBER($E264),$E264&lt;=$D264),"Bottom depth is not below top depth. ","")&amp;IF($L264="Not confirmed","Bulk-density basis not confirmed with the lab — the coarse-fragment correction may be wrong or doubled. ","")&amp;IF(LAB_BULK_DENSITY_BASIS="Not confirmed","No lab bulk-density basis is on file in Settings (LAB_BULK_DENSITY_BASIS), so nothing checks this row. ","")&amp;IF(AND($L264&lt;&gt;"",LAB_BULK_DENSITY_BASIS&lt;&gt;"Not confirmed",$L264&lt;&gt;LAB_BULK_DENSITY_BASIS),"This row's bulk-density basis disagrees with the lab method on file. One of "&amp;"the two is wrong, and the coarse-fragment correction follows the row. ","")&amp;IF(AND(ISNUMBER($M264),OR($M264&lt;QC_BD_MIN,$M264&gt;QC_BD_MAX)),"Bulk density outside the plausible range for a mineral grassland soil. ","")&amp;IF(AND(ISNUMBER($N264),$N264&gt;QC_CARBON_PCT_MAX),"Organic carbon above the QC ceiling — check units, and whether this is an organic horizon. ","")&amp;IF(AND(ISNUMBER($J264),$J264&lt;QC_RECOVERY_MIN),"Recovered less than the QC minimum of the depth driven — the increments may not sit where you think. Do NOT stretch them back out. ","")&amp;IF(AND(ISNUMBER($K264),$K264&gt;0,$L264="Fine earth / total volume"),"Coarse fragments recorded and the lab basis already accounts for them — no further correction applied, which is correct. ",""))</f>
        <v/>
      </c>
      <c r="T264" s="6"/>
      <c r="U264" s="9" t="n">
        <f aca="false">IF($B264="",0,IF(COUNTIFS($B$5:$B264,$B264)=1,1,0))</f>
        <v>0</v>
      </c>
    </row>
    <row r="265" customFormat="false" ht="15" hidden="false" customHeight="false" outlineLevel="0" collapsed="false">
      <c r="A265" s="6"/>
      <c r="B265" s="6"/>
      <c r="C265" s="6"/>
      <c r="D265" s="6"/>
      <c r="E265" s="6"/>
      <c r="F265" s="9" t="str">
        <f aca="false">IF(OR($D265="",$E265=""),"",$E265-$D265)</f>
        <v/>
      </c>
      <c r="G265" s="6"/>
      <c r="H265" s="6"/>
      <c r="I265" s="6"/>
      <c r="J265" s="9" t="str">
        <f aca="false">IF(OR(NOT(ISNUMBER($H265)),NOT(ISNUMBER($I265)),$H265=0),"",$I265/$H265)</f>
        <v/>
      </c>
      <c r="K265" s="6"/>
      <c r="L265" s="8"/>
      <c r="M265" s="7"/>
      <c r="N265" s="7"/>
      <c r="O265" s="9" t="str">
        <f aca="false">IF(NOT(ISNUMBER($M265)),"",IF($L265="Fine earth / fine-earth volume",$M265*(1-IF(ISNUMBER($K265),$K265,0)/100),$M265))</f>
        <v/>
      </c>
      <c r="P265" s="9" t="str">
        <f aca="false">IF(OR(NOT(ISNUMBER($O265)),NOT(ISNUMBER($N265)),NOT(ISNUMBER($F265))),"",$O265*($N265/100)*$F265*10)</f>
        <v/>
      </c>
      <c r="Q265" s="9" t="str">
        <f aca="false">IF(OR(NOT(ISNUMBER($D265)),NOT(ISNUMBER($E265))),"",MAX(0,MIN($E265,SOIL_REPORTING_DEPTH_CM)-MIN($D265,SOIL_REPORTING_DEPTH_CM)))</f>
        <v/>
      </c>
      <c r="R265" s="9" t="str">
        <f aca="false">IF(OR(NOT(ISNUMBER($O265)),NOT(ISNUMBER($N265)),NOT(ISNUMBER($Q265))),"",$O265*($N265/100)*$Q265*10)</f>
        <v/>
      </c>
      <c r="S265" s="11" t="str">
        <f aca="false">IF(AND($A265="",$B265="",$D265=""),"",IF(AND($A265&lt;&gt;"",COUNTIF('1. Plot &amp; Site Log'!$A$5:$A$64,$A265)=0),"Plot ID not in the Plot &amp; Site Log. ","")&amp;IF(AND(ISNUMBER($D265),ISNUMBER($E265),$E265&lt;=$D265),"Bottom depth is not below top depth. ","")&amp;IF($L265="Not confirmed","Bulk-density basis not confirmed with the lab — the coarse-fragment correction may be wrong or doubled. ","")&amp;IF(LAB_BULK_DENSITY_BASIS="Not confirmed","No lab bulk-density basis is on file in Settings (LAB_BULK_DENSITY_BASIS), so nothing checks this row. ","")&amp;IF(AND($L265&lt;&gt;"",LAB_BULK_DENSITY_BASIS&lt;&gt;"Not confirmed",$L265&lt;&gt;LAB_BULK_DENSITY_BASIS),"This row's bulk-density basis disagrees with the lab method on file. One of "&amp;"the two is wrong, and the coarse-fragment correction follows the row. ","")&amp;IF(AND(ISNUMBER($M265),OR($M265&lt;QC_BD_MIN,$M265&gt;QC_BD_MAX)),"Bulk density outside the plausible range for a mineral grassland soil. ","")&amp;IF(AND(ISNUMBER($N265),$N265&gt;QC_CARBON_PCT_MAX),"Organic carbon above the QC ceiling — check units, and whether this is an organic horizon. ","")&amp;IF(AND(ISNUMBER($J265),$J265&lt;QC_RECOVERY_MIN),"Recovered less than the QC minimum of the depth driven — the increments may not sit where you think. Do NOT stretch them back out. ","")&amp;IF(AND(ISNUMBER($K265),$K265&gt;0,$L265="Fine earth / total volume"),"Coarse fragments recorded and the lab basis already accounts for them — no further correction applied, which is correct. ",""))</f>
        <v/>
      </c>
      <c r="T265" s="6"/>
      <c r="U265" s="9" t="n">
        <f aca="false">IF($B265="",0,IF(COUNTIFS($B$5:$B265,$B265)=1,1,0))</f>
        <v>0</v>
      </c>
    </row>
    <row r="266" customFormat="false" ht="15" hidden="false" customHeight="false" outlineLevel="0" collapsed="false">
      <c r="A266" s="6"/>
      <c r="B266" s="6"/>
      <c r="C266" s="6"/>
      <c r="D266" s="6"/>
      <c r="E266" s="6"/>
      <c r="F266" s="9" t="str">
        <f aca="false">IF(OR($D266="",$E266=""),"",$E266-$D266)</f>
        <v/>
      </c>
      <c r="G266" s="6"/>
      <c r="H266" s="6"/>
      <c r="I266" s="6"/>
      <c r="J266" s="9" t="str">
        <f aca="false">IF(OR(NOT(ISNUMBER($H266)),NOT(ISNUMBER($I266)),$H266=0),"",$I266/$H266)</f>
        <v/>
      </c>
      <c r="K266" s="6"/>
      <c r="L266" s="8"/>
      <c r="M266" s="7"/>
      <c r="N266" s="7"/>
      <c r="O266" s="9" t="str">
        <f aca="false">IF(NOT(ISNUMBER($M266)),"",IF($L266="Fine earth / fine-earth volume",$M266*(1-IF(ISNUMBER($K266),$K266,0)/100),$M266))</f>
        <v/>
      </c>
      <c r="P266" s="9" t="str">
        <f aca="false">IF(OR(NOT(ISNUMBER($O266)),NOT(ISNUMBER($N266)),NOT(ISNUMBER($F266))),"",$O266*($N266/100)*$F266*10)</f>
        <v/>
      </c>
      <c r="Q266" s="9" t="str">
        <f aca="false">IF(OR(NOT(ISNUMBER($D266)),NOT(ISNUMBER($E266))),"",MAX(0,MIN($E266,SOIL_REPORTING_DEPTH_CM)-MIN($D266,SOIL_REPORTING_DEPTH_CM)))</f>
        <v/>
      </c>
      <c r="R266" s="9" t="str">
        <f aca="false">IF(OR(NOT(ISNUMBER($O266)),NOT(ISNUMBER($N266)),NOT(ISNUMBER($Q266))),"",$O266*($N266/100)*$Q266*10)</f>
        <v/>
      </c>
      <c r="S266" s="11" t="str">
        <f aca="false">IF(AND($A266="",$B266="",$D266=""),"",IF(AND($A266&lt;&gt;"",COUNTIF('1. Plot &amp; Site Log'!$A$5:$A$64,$A266)=0),"Plot ID not in the Plot &amp; Site Log. ","")&amp;IF(AND(ISNUMBER($D266),ISNUMBER($E266),$E266&lt;=$D266),"Bottom depth is not below top depth. ","")&amp;IF($L266="Not confirmed","Bulk-density basis not confirmed with the lab — the coarse-fragment correction may be wrong or doubled. ","")&amp;IF(LAB_BULK_DENSITY_BASIS="Not confirmed","No lab bulk-density basis is on file in Settings (LAB_BULK_DENSITY_BASIS), so nothing checks this row. ","")&amp;IF(AND($L266&lt;&gt;"",LAB_BULK_DENSITY_BASIS&lt;&gt;"Not confirmed",$L266&lt;&gt;LAB_BULK_DENSITY_BASIS),"This row's bulk-density basis disagrees with the lab method on file. One of "&amp;"the two is wrong, and the coarse-fragment correction follows the row. ","")&amp;IF(AND(ISNUMBER($M266),OR($M266&lt;QC_BD_MIN,$M266&gt;QC_BD_MAX)),"Bulk density outside the plausible range for a mineral grassland soil. ","")&amp;IF(AND(ISNUMBER($N266),$N266&gt;QC_CARBON_PCT_MAX),"Organic carbon above the QC ceiling — check units, and whether this is an organic horizon. ","")&amp;IF(AND(ISNUMBER($J266),$J266&lt;QC_RECOVERY_MIN),"Recovered less than the QC minimum of the depth driven — the increments may not sit where you think. Do NOT stretch them back out. ","")&amp;IF(AND(ISNUMBER($K266),$K266&gt;0,$L266="Fine earth / total volume"),"Coarse fragments recorded and the lab basis already accounts for them — no further correction applied, which is correct. ",""))</f>
        <v/>
      </c>
      <c r="T266" s="6"/>
      <c r="U266" s="9" t="n">
        <f aca="false">IF($B266="",0,IF(COUNTIFS($B$5:$B266,$B266)=1,1,0))</f>
        <v>0</v>
      </c>
    </row>
    <row r="267" customFormat="false" ht="15" hidden="false" customHeight="false" outlineLevel="0" collapsed="false">
      <c r="A267" s="6"/>
      <c r="B267" s="6"/>
      <c r="C267" s="6"/>
      <c r="D267" s="6"/>
      <c r="E267" s="6"/>
      <c r="F267" s="9" t="str">
        <f aca="false">IF(OR($D267="",$E267=""),"",$E267-$D267)</f>
        <v/>
      </c>
      <c r="G267" s="6"/>
      <c r="H267" s="6"/>
      <c r="I267" s="6"/>
      <c r="J267" s="9" t="str">
        <f aca="false">IF(OR(NOT(ISNUMBER($H267)),NOT(ISNUMBER($I267)),$H267=0),"",$I267/$H267)</f>
        <v/>
      </c>
      <c r="K267" s="6"/>
      <c r="L267" s="8"/>
      <c r="M267" s="7"/>
      <c r="N267" s="7"/>
      <c r="O267" s="9" t="str">
        <f aca="false">IF(NOT(ISNUMBER($M267)),"",IF($L267="Fine earth / fine-earth volume",$M267*(1-IF(ISNUMBER($K267),$K267,0)/100),$M267))</f>
        <v/>
      </c>
      <c r="P267" s="9" t="str">
        <f aca="false">IF(OR(NOT(ISNUMBER($O267)),NOT(ISNUMBER($N267)),NOT(ISNUMBER($F267))),"",$O267*($N267/100)*$F267*10)</f>
        <v/>
      </c>
      <c r="Q267" s="9" t="str">
        <f aca="false">IF(OR(NOT(ISNUMBER($D267)),NOT(ISNUMBER($E267))),"",MAX(0,MIN($E267,SOIL_REPORTING_DEPTH_CM)-MIN($D267,SOIL_REPORTING_DEPTH_CM)))</f>
        <v/>
      </c>
      <c r="R267" s="9" t="str">
        <f aca="false">IF(OR(NOT(ISNUMBER($O267)),NOT(ISNUMBER($N267)),NOT(ISNUMBER($Q267))),"",$O267*($N267/100)*$Q267*10)</f>
        <v/>
      </c>
      <c r="S267" s="11" t="str">
        <f aca="false">IF(AND($A267="",$B267="",$D267=""),"",IF(AND($A267&lt;&gt;"",COUNTIF('1. Plot &amp; Site Log'!$A$5:$A$64,$A267)=0),"Plot ID not in the Plot &amp; Site Log. ","")&amp;IF(AND(ISNUMBER($D267),ISNUMBER($E267),$E267&lt;=$D267),"Bottom depth is not below top depth. ","")&amp;IF($L267="Not confirmed","Bulk-density basis not confirmed with the lab — the coarse-fragment correction may be wrong or doubled. ","")&amp;IF(LAB_BULK_DENSITY_BASIS="Not confirmed","No lab bulk-density basis is on file in Settings (LAB_BULK_DENSITY_BASIS), so nothing checks this row. ","")&amp;IF(AND($L267&lt;&gt;"",LAB_BULK_DENSITY_BASIS&lt;&gt;"Not confirmed",$L267&lt;&gt;LAB_BULK_DENSITY_BASIS),"This row's bulk-density basis disagrees with the lab method on file. One of "&amp;"the two is wrong, and the coarse-fragment correction follows the row. ","")&amp;IF(AND(ISNUMBER($M267),OR($M267&lt;QC_BD_MIN,$M267&gt;QC_BD_MAX)),"Bulk density outside the plausible range for a mineral grassland soil. ","")&amp;IF(AND(ISNUMBER($N267),$N267&gt;QC_CARBON_PCT_MAX),"Organic carbon above the QC ceiling — check units, and whether this is an organic horizon. ","")&amp;IF(AND(ISNUMBER($J267),$J267&lt;QC_RECOVERY_MIN),"Recovered less than the QC minimum of the depth driven — the increments may not sit where you think. Do NOT stretch them back out. ","")&amp;IF(AND(ISNUMBER($K267),$K267&gt;0,$L267="Fine earth / total volume"),"Coarse fragments recorded and the lab basis already accounts for them — no further correction applied, which is correct. ",""))</f>
        <v/>
      </c>
      <c r="T267" s="6"/>
      <c r="U267" s="9" t="n">
        <f aca="false">IF($B267="",0,IF(COUNTIFS($B$5:$B267,$B267)=1,1,0))</f>
        <v>0</v>
      </c>
    </row>
    <row r="268" customFormat="false" ht="15" hidden="false" customHeight="false" outlineLevel="0" collapsed="false">
      <c r="A268" s="6"/>
      <c r="B268" s="6"/>
      <c r="C268" s="6"/>
      <c r="D268" s="6"/>
      <c r="E268" s="6"/>
      <c r="F268" s="9" t="str">
        <f aca="false">IF(OR($D268="",$E268=""),"",$E268-$D268)</f>
        <v/>
      </c>
      <c r="G268" s="6"/>
      <c r="H268" s="6"/>
      <c r="I268" s="6"/>
      <c r="J268" s="9" t="str">
        <f aca="false">IF(OR(NOT(ISNUMBER($H268)),NOT(ISNUMBER($I268)),$H268=0),"",$I268/$H268)</f>
        <v/>
      </c>
      <c r="K268" s="6"/>
      <c r="L268" s="8"/>
      <c r="M268" s="7"/>
      <c r="N268" s="7"/>
      <c r="O268" s="9" t="str">
        <f aca="false">IF(NOT(ISNUMBER($M268)),"",IF($L268="Fine earth / fine-earth volume",$M268*(1-IF(ISNUMBER($K268),$K268,0)/100),$M268))</f>
        <v/>
      </c>
      <c r="P268" s="9" t="str">
        <f aca="false">IF(OR(NOT(ISNUMBER($O268)),NOT(ISNUMBER($N268)),NOT(ISNUMBER($F268))),"",$O268*($N268/100)*$F268*10)</f>
        <v/>
      </c>
      <c r="Q268" s="9" t="str">
        <f aca="false">IF(OR(NOT(ISNUMBER($D268)),NOT(ISNUMBER($E268))),"",MAX(0,MIN($E268,SOIL_REPORTING_DEPTH_CM)-MIN($D268,SOIL_REPORTING_DEPTH_CM)))</f>
        <v/>
      </c>
      <c r="R268" s="9" t="str">
        <f aca="false">IF(OR(NOT(ISNUMBER($O268)),NOT(ISNUMBER($N268)),NOT(ISNUMBER($Q268))),"",$O268*($N268/100)*$Q268*10)</f>
        <v/>
      </c>
      <c r="S268" s="11" t="str">
        <f aca="false">IF(AND($A268="",$B268="",$D268=""),"",IF(AND($A268&lt;&gt;"",COUNTIF('1. Plot &amp; Site Log'!$A$5:$A$64,$A268)=0),"Plot ID not in the Plot &amp; Site Log. ","")&amp;IF(AND(ISNUMBER($D268),ISNUMBER($E268),$E268&lt;=$D268),"Bottom depth is not below top depth. ","")&amp;IF($L268="Not confirmed","Bulk-density basis not confirmed with the lab — the coarse-fragment correction may be wrong or doubled. ","")&amp;IF(LAB_BULK_DENSITY_BASIS="Not confirmed","No lab bulk-density basis is on file in Settings (LAB_BULK_DENSITY_BASIS), so nothing checks this row. ","")&amp;IF(AND($L268&lt;&gt;"",LAB_BULK_DENSITY_BASIS&lt;&gt;"Not confirmed",$L268&lt;&gt;LAB_BULK_DENSITY_BASIS),"This row's bulk-density basis disagrees with the lab method on file. One of "&amp;"the two is wrong, and the coarse-fragment correction follows the row. ","")&amp;IF(AND(ISNUMBER($M268),OR($M268&lt;QC_BD_MIN,$M268&gt;QC_BD_MAX)),"Bulk density outside the plausible range for a mineral grassland soil. ","")&amp;IF(AND(ISNUMBER($N268),$N268&gt;QC_CARBON_PCT_MAX),"Organic carbon above the QC ceiling — check units, and whether this is an organic horizon. ","")&amp;IF(AND(ISNUMBER($J268),$J268&lt;QC_RECOVERY_MIN),"Recovered less than the QC minimum of the depth driven — the increments may not sit where you think. Do NOT stretch them back out. ","")&amp;IF(AND(ISNUMBER($K268),$K268&gt;0,$L268="Fine earth / total volume"),"Coarse fragments recorded and the lab basis already accounts for them — no further correction applied, which is correct. ",""))</f>
        <v/>
      </c>
      <c r="T268" s="6"/>
      <c r="U268" s="9" t="n">
        <f aca="false">IF($B268="",0,IF(COUNTIFS($B$5:$B268,$B268)=1,1,0))</f>
        <v>0</v>
      </c>
    </row>
    <row r="269" customFormat="false" ht="15" hidden="false" customHeight="false" outlineLevel="0" collapsed="false">
      <c r="A269" s="6"/>
      <c r="B269" s="6"/>
      <c r="C269" s="6"/>
      <c r="D269" s="6"/>
      <c r="E269" s="6"/>
      <c r="F269" s="9" t="str">
        <f aca="false">IF(OR($D269="",$E269=""),"",$E269-$D269)</f>
        <v/>
      </c>
      <c r="G269" s="6"/>
      <c r="H269" s="6"/>
      <c r="I269" s="6"/>
      <c r="J269" s="9" t="str">
        <f aca="false">IF(OR(NOT(ISNUMBER($H269)),NOT(ISNUMBER($I269)),$H269=0),"",$I269/$H269)</f>
        <v/>
      </c>
      <c r="K269" s="6"/>
      <c r="L269" s="8"/>
      <c r="M269" s="7"/>
      <c r="N269" s="7"/>
      <c r="O269" s="9" t="str">
        <f aca="false">IF(NOT(ISNUMBER($M269)),"",IF($L269="Fine earth / fine-earth volume",$M269*(1-IF(ISNUMBER($K269),$K269,0)/100),$M269))</f>
        <v/>
      </c>
      <c r="P269" s="9" t="str">
        <f aca="false">IF(OR(NOT(ISNUMBER($O269)),NOT(ISNUMBER($N269)),NOT(ISNUMBER($F269))),"",$O269*($N269/100)*$F269*10)</f>
        <v/>
      </c>
      <c r="Q269" s="9" t="str">
        <f aca="false">IF(OR(NOT(ISNUMBER($D269)),NOT(ISNUMBER($E269))),"",MAX(0,MIN($E269,SOIL_REPORTING_DEPTH_CM)-MIN($D269,SOIL_REPORTING_DEPTH_CM)))</f>
        <v/>
      </c>
      <c r="R269" s="9" t="str">
        <f aca="false">IF(OR(NOT(ISNUMBER($O269)),NOT(ISNUMBER($N269)),NOT(ISNUMBER($Q269))),"",$O269*($N269/100)*$Q269*10)</f>
        <v/>
      </c>
      <c r="S269" s="11" t="str">
        <f aca="false">IF(AND($A269="",$B269="",$D269=""),"",IF(AND($A269&lt;&gt;"",COUNTIF('1. Plot &amp; Site Log'!$A$5:$A$64,$A269)=0),"Plot ID not in the Plot &amp; Site Log. ","")&amp;IF(AND(ISNUMBER($D269),ISNUMBER($E269),$E269&lt;=$D269),"Bottom depth is not below top depth. ","")&amp;IF($L269="Not confirmed","Bulk-density basis not confirmed with the lab — the coarse-fragment correction may be wrong or doubled. ","")&amp;IF(LAB_BULK_DENSITY_BASIS="Not confirmed","No lab bulk-density basis is on file in Settings (LAB_BULK_DENSITY_BASIS), so nothing checks this row. ","")&amp;IF(AND($L269&lt;&gt;"",LAB_BULK_DENSITY_BASIS&lt;&gt;"Not confirmed",$L269&lt;&gt;LAB_BULK_DENSITY_BASIS),"This row's bulk-density basis disagrees with the lab method on file. One of "&amp;"the two is wrong, and the coarse-fragment correction follows the row. ","")&amp;IF(AND(ISNUMBER($M269),OR($M269&lt;QC_BD_MIN,$M269&gt;QC_BD_MAX)),"Bulk density outside the plausible range for a mineral grassland soil. ","")&amp;IF(AND(ISNUMBER($N269),$N269&gt;QC_CARBON_PCT_MAX),"Organic carbon above the QC ceiling — check units, and whether this is an organic horizon. ","")&amp;IF(AND(ISNUMBER($J269),$J269&lt;QC_RECOVERY_MIN),"Recovered less than the QC minimum of the depth driven — the increments may not sit where you think. Do NOT stretch them back out. ","")&amp;IF(AND(ISNUMBER($K269),$K269&gt;0,$L269="Fine earth / total volume"),"Coarse fragments recorded and the lab basis already accounts for them — no further correction applied, which is correct. ",""))</f>
        <v/>
      </c>
      <c r="T269" s="6"/>
      <c r="U269" s="9" t="n">
        <f aca="false">IF($B269="",0,IF(COUNTIFS($B$5:$B269,$B269)=1,1,0))</f>
        <v>0</v>
      </c>
    </row>
    <row r="270" customFormat="false" ht="15" hidden="false" customHeight="false" outlineLevel="0" collapsed="false">
      <c r="A270" s="6"/>
      <c r="B270" s="6"/>
      <c r="C270" s="6"/>
      <c r="D270" s="6"/>
      <c r="E270" s="6"/>
      <c r="F270" s="9" t="str">
        <f aca="false">IF(OR($D270="",$E270=""),"",$E270-$D270)</f>
        <v/>
      </c>
      <c r="G270" s="6"/>
      <c r="H270" s="6"/>
      <c r="I270" s="6"/>
      <c r="J270" s="9" t="str">
        <f aca="false">IF(OR(NOT(ISNUMBER($H270)),NOT(ISNUMBER($I270)),$H270=0),"",$I270/$H270)</f>
        <v/>
      </c>
      <c r="K270" s="6"/>
      <c r="L270" s="8"/>
      <c r="M270" s="7"/>
      <c r="N270" s="7"/>
      <c r="O270" s="9" t="str">
        <f aca="false">IF(NOT(ISNUMBER($M270)),"",IF($L270="Fine earth / fine-earth volume",$M270*(1-IF(ISNUMBER($K270),$K270,0)/100),$M270))</f>
        <v/>
      </c>
      <c r="P270" s="9" t="str">
        <f aca="false">IF(OR(NOT(ISNUMBER($O270)),NOT(ISNUMBER($N270)),NOT(ISNUMBER($F270))),"",$O270*($N270/100)*$F270*10)</f>
        <v/>
      </c>
      <c r="Q270" s="9" t="str">
        <f aca="false">IF(OR(NOT(ISNUMBER($D270)),NOT(ISNUMBER($E270))),"",MAX(0,MIN($E270,SOIL_REPORTING_DEPTH_CM)-MIN($D270,SOIL_REPORTING_DEPTH_CM)))</f>
        <v/>
      </c>
      <c r="R270" s="9" t="str">
        <f aca="false">IF(OR(NOT(ISNUMBER($O270)),NOT(ISNUMBER($N270)),NOT(ISNUMBER($Q270))),"",$O270*($N270/100)*$Q270*10)</f>
        <v/>
      </c>
      <c r="S270" s="11" t="str">
        <f aca="false">IF(AND($A270="",$B270="",$D270=""),"",IF(AND($A270&lt;&gt;"",COUNTIF('1. Plot &amp; Site Log'!$A$5:$A$64,$A270)=0),"Plot ID not in the Plot &amp; Site Log. ","")&amp;IF(AND(ISNUMBER($D270),ISNUMBER($E270),$E270&lt;=$D270),"Bottom depth is not below top depth. ","")&amp;IF($L270="Not confirmed","Bulk-density basis not confirmed with the lab — the coarse-fragment correction may be wrong or doubled. ","")&amp;IF(LAB_BULK_DENSITY_BASIS="Not confirmed","No lab bulk-density basis is on file in Settings (LAB_BULK_DENSITY_BASIS), so nothing checks this row. ","")&amp;IF(AND($L270&lt;&gt;"",LAB_BULK_DENSITY_BASIS&lt;&gt;"Not confirmed",$L270&lt;&gt;LAB_BULK_DENSITY_BASIS),"This row's bulk-density basis disagrees with the lab method on file. One of "&amp;"the two is wrong, and the coarse-fragment correction follows the row. ","")&amp;IF(AND(ISNUMBER($M270),OR($M270&lt;QC_BD_MIN,$M270&gt;QC_BD_MAX)),"Bulk density outside the plausible range for a mineral grassland soil. ","")&amp;IF(AND(ISNUMBER($N270),$N270&gt;QC_CARBON_PCT_MAX),"Organic carbon above the QC ceiling — check units, and whether this is an organic horizon. ","")&amp;IF(AND(ISNUMBER($J270),$J270&lt;QC_RECOVERY_MIN),"Recovered less than the QC minimum of the depth driven — the increments may not sit where you think. Do NOT stretch them back out. ","")&amp;IF(AND(ISNUMBER($K270),$K270&gt;0,$L270="Fine earth / total volume"),"Coarse fragments recorded and the lab basis already accounts for them — no further correction applied, which is correct. ",""))</f>
        <v/>
      </c>
      <c r="T270" s="6"/>
      <c r="U270" s="9" t="n">
        <f aca="false">IF($B270="",0,IF(COUNTIFS($B$5:$B270,$B270)=1,1,0))</f>
        <v>0</v>
      </c>
    </row>
    <row r="271" customFormat="false" ht="15" hidden="false" customHeight="false" outlineLevel="0" collapsed="false">
      <c r="A271" s="6"/>
      <c r="B271" s="6"/>
      <c r="C271" s="6"/>
      <c r="D271" s="6"/>
      <c r="E271" s="6"/>
      <c r="F271" s="9" t="str">
        <f aca="false">IF(OR($D271="",$E271=""),"",$E271-$D271)</f>
        <v/>
      </c>
      <c r="G271" s="6"/>
      <c r="H271" s="6"/>
      <c r="I271" s="6"/>
      <c r="J271" s="9" t="str">
        <f aca="false">IF(OR(NOT(ISNUMBER($H271)),NOT(ISNUMBER($I271)),$H271=0),"",$I271/$H271)</f>
        <v/>
      </c>
      <c r="K271" s="6"/>
      <c r="L271" s="8"/>
      <c r="M271" s="7"/>
      <c r="N271" s="7"/>
      <c r="O271" s="9" t="str">
        <f aca="false">IF(NOT(ISNUMBER($M271)),"",IF($L271="Fine earth / fine-earth volume",$M271*(1-IF(ISNUMBER($K271),$K271,0)/100),$M271))</f>
        <v/>
      </c>
      <c r="P271" s="9" t="str">
        <f aca="false">IF(OR(NOT(ISNUMBER($O271)),NOT(ISNUMBER($N271)),NOT(ISNUMBER($F271))),"",$O271*($N271/100)*$F271*10)</f>
        <v/>
      </c>
      <c r="Q271" s="9" t="str">
        <f aca="false">IF(OR(NOT(ISNUMBER($D271)),NOT(ISNUMBER($E271))),"",MAX(0,MIN($E271,SOIL_REPORTING_DEPTH_CM)-MIN($D271,SOIL_REPORTING_DEPTH_CM)))</f>
        <v/>
      </c>
      <c r="R271" s="9" t="str">
        <f aca="false">IF(OR(NOT(ISNUMBER($O271)),NOT(ISNUMBER($N271)),NOT(ISNUMBER($Q271))),"",$O271*($N271/100)*$Q271*10)</f>
        <v/>
      </c>
      <c r="S271" s="11" t="str">
        <f aca="false">IF(AND($A271="",$B271="",$D271=""),"",IF(AND($A271&lt;&gt;"",COUNTIF('1. Plot &amp; Site Log'!$A$5:$A$64,$A271)=0),"Plot ID not in the Plot &amp; Site Log. ","")&amp;IF(AND(ISNUMBER($D271),ISNUMBER($E271),$E271&lt;=$D271),"Bottom depth is not below top depth. ","")&amp;IF($L271="Not confirmed","Bulk-density basis not confirmed with the lab — the coarse-fragment correction may be wrong or doubled. ","")&amp;IF(LAB_BULK_DENSITY_BASIS="Not confirmed","No lab bulk-density basis is on file in Settings (LAB_BULK_DENSITY_BASIS), so nothing checks this row. ","")&amp;IF(AND($L271&lt;&gt;"",LAB_BULK_DENSITY_BASIS&lt;&gt;"Not confirmed",$L271&lt;&gt;LAB_BULK_DENSITY_BASIS),"This row's bulk-density basis disagrees with the lab method on file. One of "&amp;"the two is wrong, and the coarse-fragment correction follows the row. ","")&amp;IF(AND(ISNUMBER($M271),OR($M271&lt;QC_BD_MIN,$M271&gt;QC_BD_MAX)),"Bulk density outside the plausible range for a mineral grassland soil. ","")&amp;IF(AND(ISNUMBER($N271),$N271&gt;QC_CARBON_PCT_MAX),"Organic carbon above the QC ceiling — check units, and whether this is an organic horizon. ","")&amp;IF(AND(ISNUMBER($J271),$J271&lt;QC_RECOVERY_MIN),"Recovered less than the QC minimum of the depth driven — the increments may not sit where you think. Do NOT stretch them back out. ","")&amp;IF(AND(ISNUMBER($K271),$K271&gt;0,$L271="Fine earth / total volume"),"Coarse fragments recorded and the lab basis already accounts for them — no further correction applied, which is correct. ",""))</f>
        <v/>
      </c>
      <c r="T271" s="6"/>
      <c r="U271" s="9" t="n">
        <f aca="false">IF($B271="",0,IF(COUNTIFS($B$5:$B271,$B271)=1,1,0))</f>
        <v>0</v>
      </c>
    </row>
    <row r="272" customFormat="false" ht="15" hidden="false" customHeight="false" outlineLevel="0" collapsed="false">
      <c r="A272" s="6"/>
      <c r="B272" s="6"/>
      <c r="C272" s="6"/>
      <c r="D272" s="6"/>
      <c r="E272" s="6"/>
      <c r="F272" s="9" t="str">
        <f aca="false">IF(OR($D272="",$E272=""),"",$E272-$D272)</f>
        <v/>
      </c>
      <c r="G272" s="6"/>
      <c r="H272" s="6"/>
      <c r="I272" s="6"/>
      <c r="J272" s="9" t="str">
        <f aca="false">IF(OR(NOT(ISNUMBER($H272)),NOT(ISNUMBER($I272)),$H272=0),"",$I272/$H272)</f>
        <v/>
      </c>
      <c r="K272" s="6"/>
      <c r="L272" s="8"/>
      <c r="M272" s="7"/>
      <c r="N272" s="7"/>
      <c r="O272" s="9" t="str">
        <f aca="false">IF(NOT(ISNUMBER($M272)),"",IF($L272="Fine earth / fine-earth volume",$M272*(1-IF(ISNUMBER($K272),$K272,0)/100),$M272))</f>
        <v/>
      </c>
      <c r="P272" s="9" t="str">
        <f aca="false">IF(OR(NOT(ISNUMBER($O272)),NOT(ISNUMBER($N272)),NOT(ISNUMBER($F272))),"",$O272*($N272/100)*$F272*10)</f>
        <v/>
      </c>
      <c r="Q272" s="9" t="str">
        <f aca="false">IF(OR(NOT(ISNUMBER($D272)),NOT(ISNUMBER($E272))),"",MAX(0,MIN($E272,SOIL_REPORTING_DEPTH_CM)-MIN($D272,SOIL_REPORTING_DEPTH_CM)))</f>
        <v/>
      </c>
      <c r="R272" s="9" t="str">
        <f aca="false">IF(OR(NOT(ISNUMBER($O272)),NOT(ISNUMBER($N272)),NOT(ISNUMBER($Q272))),"",$O272*($N272/100)*$Q272*10)</f>
        <v/>
      </c>
      <c r="S272" s="11" t="str">
        <f aca="false">IF(AND($A272="",$B272="",$D272=""),"",IF(AND($A272&lt;&gt;"",COUNTIF('1. Plot &amp; Site Log'!$A$5:$A$64,$A272)=0),"Plot ID not in the Plot &amp; Site Log. ","")&amp;IF(AND(ISNUMBER($D272),ISNUMBER($E272),$E272&lt;=$D272),"Bottom depth is not below top depth. ","")&amp;IF($L272="Not confirmed","Bulk-density basis not confirmed with the lab — the coarse-fragment correction may be wrong or doubled. ","")&amp;IF(LAB_BULK_DENSITY_BASIS="Not confirmed","No lab bulk-density basis is on file in Settings (LAB_BULK_DENSITY_BASIS), so nothing checks this row. ","")&amp;IF(AND($L272&lt;&gt;"",LAB_BULK_DENSITY_BASIS&lt;&gt;"Not confirmed",$L272&lt;&gt;LAB_BULK_DENSITY_BASIS),"This row's bulk-density basis disagrees with the lab method on file. One of "&amp;"the two is wrong, and the coarse-fragment correction follows the row. ","")&amp;IF(AND(ISNUMBER($M272),OR($M272&lt;QC_BD_MIN,$M272&gt;QC_BD_MAX)),"Bulk density outside the plausible range for a mineral grassland soil. ","")&amp;IF(AND(ISNUMBER($N272),$N272&gt;QC_CARBON_PCT_MAX),"Organic carbon above the QC ceiling — check units, and whether this is an organic horizon. ","")&amp;IF(AND(ISNUMBER($J272),$J272&lt;QC_RECOVERY_MIN),"Recovered less than the QC minimum of the depth driven — the increments may not sit where you think. Do NOT stretch them back out. ","")&amp;IF(AND(ISNUMBER($K272),$K272&gt;0,$L272="Fine earth / total volume"),"Coarse fragments recorded and the lab basis already accounts for them — no further correction applied, which is correct. ",""))</f>
        <v/>
      </c>
      <c r="T272" s="6"/>
      <c r="U272" s="9" t="n">
        <f aca="false">IF($B272="",0,IF(COUNTIFS($B$5:$B272,$B272)=1,1,0))</f>
        <v>0</v>
      </c>
    </row>
    <row r="273" customFormat="false" ht="15" hidden="false" customHeight="false" outlineLevel="0" collapsed="false">
      <c r="A273" s="6"/>
      <c r="B273" s="6"/>
      <c r="C273" s="6"/>
      <c r="D273" s="6"/>
      <c r="E273" s="6"/>
      <c r="F273" s="9" t="str">
        <f aca="false">IF(OR($D273="",$E273=""),"",$E273-$D273)</f>
        <v/>
      </c>
      <c r="G273" s="6"/>
      <c r="H273" s="6"/>
      <c r="I273" s="6"/>
      <c r="J273" s="9" t="str">
        <f aca="false">IF(OR(NOT(ISNUMBER($H273)),NOT(ISNUMBER($I273)),$H273=0),"",$I273/$H273)</f>
        <v/>
      </c>
      <c r="K273" s="6"/>
      <c r="L273" s="8"/>
      <c r="M273" s="7"/>
      <c r="N273" s="7"/>
      <c r="O273" s="9" t="str">
        <f aca="false">IF(NOT(ISNUMBER($M273)),"",IF($L273="Fine earth / fine-earth volume",$M273*(1-IF(ISNUMBER($K273),$K273,0)/100),$M273))</f>
        <v/>
      </c>
      <c r="P273" s="9" t="str">
        <f aca="false">IF(OR(NOT(ISNUMBER($O273)),NOT(ISNUMBER($N273)),NOT(ISNUMBER($F273))),"",$O273*($N273/100)*$F273*10)</f>
        <v/>
      </c>
      <c r="Q273" s="9" t="str">
        <f aca="false">IF(OR(NOT(ISNUMBER($D273)),NOT(ISNUMBER($E273))),"",MAX(0,MIN($E273,SOIL_REPORTING_DEPTH_CM)-MIN($D273,SOIL_REPORTING_DEPTH_CM)))</f>
        <v/>
      </c>
      <c r="R273" s="9" t="str">
        <f aca="false">IF(OR(NOT(ISNUMBER($O273)),NOT(ISNUMBER($N273)),NOT(ISNUMBER($Q273))),"",$O273*($N273/100)*$Q273*10)</f>
        <v/>
      </c>
      <c r="S273" s="11" t="str">
        <f aca="false">IF(AND($A273="",$B273="",$D273=""),"",IF(AND($A273&lt;&gt;"",COUNTIF('1. Plot &amp; Site Log'!$A$5:$A$64,$A273)=0),"Plot ID not in the Plot &amp; Site Log. ","")&amp;IF(AND(ISNUMBER($D273),ISNUMBER($E273),$E273&lt;=$D273),"Bottom depth is not below top depth. ","")&amp;IF($L273="Not confirmed","Bulk-density basis not confirmed with the lab — the coarse-fragment correction may be wrong or doubled. ","")&amp;IF(LAB_BULK_DENSITY_BASIS="Not confirmed","No lab bulk-density basis is on file in Settings (LAB_BULK_DENSITY_BASIS), so nothing checks this row. ","")&amp;IF(AND($L273&lt;&gt;"",LAB_BULK_DENSITY_BASIS&lt;&gt;"Not confirmed",$L273&lt;&gt;LAB_BULK_DENSITY_BASIS),"This row's bulk-density basis disagrees with the lab method on file. One of "&amp;"the two is wrong, and the coarse-fragment correction follows the row. ","")&amp;IF(AND(ISNUMBER($M273),OR($M273&lt;QC_BD_MIN,$M273&gt;QC_BD_MAX)),"Bulk density outside the plausible range for a mineral grassland soil. ","")&amp;IF(AND(ISNUMBER($N273),$N273&gt;QC_CARBON_PCT_MAX),"Organic carbon above the QC ceiling — check units, and whether this is an organic horizon. ","")&amp;IF(AND(ISNUMBER($J273),$J273&lt;QC_RECOVERY_MIN),"Recovered less than the QC minimum of the depth driven — the increments may not sit where you think. Do NOT stretch them back out. ","")&amp;IF(AND(ISNUMBER($K273),$K273&gt;0,$L273="Fine earth / total volume"),"Coarse fragments recorded and the lab basis already accounts for them — no further correction applied, which is correct. ",""))</f>
        <v/>
      </c>
      <c r="T273" s="6"/>
      <c r="U273" s="9" t="n">
        <f aca="false">IF($B273="",0,IF(COUNTIFS($B$5:$B273,$B273)=1,1,0))</f>
        <v>0</v>
      </c>
    </row>
    <row r="274" customFormat="false" ht="15" hidden="false" customHeight="false" outlineLevel="0" collapsed="false">
      <c r="A274" s="6"/>
      <c r="B274" s="6"/>
      <c r="C274" s="6"/>
      <c r="D274" s="6"/>
      <c r="E274" s="6"/>
      <c r="F274" s="9" t="str">
        <f aca="false">IF(OR($D274="",$E274=""),"",$E274-$D274)</f>
        <v/>
      </c>
      <c r="G274" s="6"/>
      <c r="H274" s="6"/>
      <c r="I274" s="6"/>
      <c r="J274" s="9" t="str">
        <f aca="false">IF(OR(NOT(ISNUMBER($H274)),NOT(ISNUMBER($I274)),$H274=0),"",$I274/$H274)</f>
        <v/>
      </c>
      <c r="K274" s="6"/>
      <c r="L274" s="8"/>
      <c r="M274" s="7"/>
      <c r="N274" s="7"/>
      <c r="O274" s="9" t="str">
        <f aca="false">IF(NOT(ISNUMBER($M274)),"",IF($L274="Fine earth / fine-earth volume",$M274*(1-IF(ISNUMBER($K274),$K274,0)/100),$M274))</f>
        <v/>
      </c>
      <c r="P274" s="9" t="str">
        <f aca="false">IF(OR(NOT(ISNUMBER($O274)),NOT(ISNUMBER($N274)),NOT(ISNUMBER($F274))),"",$O274*($N274/100)*$F274*10)</f>
        <v/>
      </c>
      <c r="Q274" s="9" t="str">
        <f aca="false">IF(OR(NOT(ISNUMBER($D274)),NOT(ISNUMBER($E274))),"",MAX(0,MIN($E274,SOIL_REPORTING_DEPTH_CM)-MIN($D274,SOIL_REPORTING_DEPTH_CM)))</f>
        <v/>
      </c>
      <c r="R274" s="9" t="str">
        <f aca="false">IF(OR(NOT(ISNUMBER($O274)),NOT(ISNUMBER($N274)),NOT(ISNUMBER($Q274))),"",$O274*($N274/100)*$Q274*10)</f>
        <v/>
      </c>
      <c r="S274" s="11" t="str">
        <f aca="false">IF(AND($A274="",$B274="",$D274=""),"",IF(AND($A274&lt;&gt;"",COUNTIF('1. Plot &amp; Site Log'!$A$5:$A$64,$A274)=0),"Plot ID not in the Plot &amp; Site Log. ","")&amp;IF(AND(ISNUMBER($D274),ISNUMBER($E274),$E274&lt;=$D274),"Bottom depth is not below top depth. ","")&amp;IF($L274="Not confirmed","Bulk-density basis not confirmed with the lab — the coarse-fragment correction may be wrong or doubled. ","")&amp;IF(LAB_BULK_DENSITY_BASIS="Not confirmed","No lab bulk-density basis is on file in Settings (LAB_BULK_DENSITY_BASIS), so nothing checks this row. ","")&amp;IF(AND($L274&lt;&gt;"",LAB_BULK_DENSITY_BASIS&lt;&gt;"Not confirmed",$L274&lt;&gt;LAB_BULK_DENSITY_BASIS),"This row's bulk-density basis disagrees with the lab method on file. One of "&amp;"the two is wrong, and the coarse-fragment correction follows the row. ","")&amp;IF(AND(ISNUMBER($M274),OR($M274&lt;QC_BD_MIN,$M274&gt;QC_BD_MAX)),"Bulk density outside the plausible range for a mineral grassland soil. ","")&amp;IF(AND(ISNUMBER($N274),$N274&gt;QC_CARBON_PCT_MAX),"Organic carbon above the QC ceiling — check units, and whether this is an organic horizon. ","")&amp;IF(AND(ISNUMBER($J274),$J274&lt;QC_RECOVERY_MIN),"Recovered less than the QC minimum of the depth driven — the increments may not sit where you think. Do NOT stretch them back out. ","")&amp;IF(AND(ISNUMBER($K274),$K274&gt;0,$L274="Fine earth / total volume"),"Coarse fragments recorded and the lab basis already accounts for them — no further correction applied, which is correct. ",""))</f>
        <v/>
      </c>
      <c r="T274" s="6"/>
      <c r="U274" s="9" t="n">
        <f aca="false">IF($B274="",0,IF(COUNTIFS($B$5:$B274,$B274)=1,1,0))</f>
        <v>0</v>
      </c>
    </row>
    <row r="275" customFormat="false" ht="15" hidden="false" customHeight="false" outlineLevel="0" collapsed="false">
      <c r="A275" s="6"/>
      <c r="B275" s="6"/>
      <c r="C275" s="6"/>
      <c r="D275" s="6"/>
      <c r="E275" s="6"/>
      <c r="F275" s="9" t="str">
        <f aca="false">IF(OR($D275="",$E275=""),"",$E275-$D275)</f>
        <v/>
      </c>
      <c r="G275" s="6"/>
      <c r="H275" s="6"/>
      <c r="I275" s="6"/>
      <c r="J275" s="9" t="str">
        <f aca="false">IF(OR(NOT(ISNUMBER($H275)),NOT(ISNUMBER($I275)),$H275=0),"",$I275/$H275)</f>
        <v/>
      </c>
      <c r="K275" s="6"/>
      <c r="L275" s="8"/>
      <c r="M275" s="7"/>
      <c r="N275" s="7"/>
      <c r="O275" s="9" t="str">
        <f aca="false">IF(NOT(ISNUMBER($M275)),"",IF($L275="Fine earth / fine-earth volume",$M275*(1-IF(ISNUMBER($K275),$K275,0)/100),$M275))</f>
        <v/>
      </c>
      <c r="P275" s="9" t="str">
        <f aca="false">IF(OR(NOT(ISNUMBER($O275)),NOT(ISNUMBER($N275)),NOT(ISNUMBER($F275))),"",$O275*($N275/100)*$F275*10)</f>
        <v/>
      </c>
      <c r="Q275" s="9" t="str">
        <f aca="false">IF(OR(NOT(ISNUMBER($D275)),NOT(ISNUMBER($E275))),"",MAX(0,MIN($E275,SOIL_REPORTING_DEPTH_CM)-MIN($D275,SOIL_REPORTING_DEPTH_CM)))</f>
        <v/>
      </c>
      <c r="R275" s="9" t="str">
        <f aca="false">IF(OR(NOT(ISNUMBER($O275)),NOT(ISNUMBER($N275)),NOT(ISNUMBER($Q275))),"",$O275*($N275/100)*$Q275*10)</f>
        <v/>
      </c>
      <c r="S275" s="11" t="str">
        <f aca="false">IF(AND($A275="",$B275="",$D275=""),"",IF(AND($A275&lt;&gt;"",COUNTIF('1. Plot &amp; Site Log'!$A$5:$A$64,$A275)=0),"Plot ID not in the Plot &amp; Site Log. ","")&amp;IF(AND(ISNUMBER($D275),ISNUMBER($E275),$E275&lt;=$D275),"Bottom depth is not below top depth. ","")&amp;IF($L275="Not confirmed","Bulk-density basis not confirmed with the lab — the coarse-fragment correction may be wrong or doubled. ","")&amp;IF(LAB_BULK_DENSITY_BASIS="Not confirmed","No lab bulk-density basis is on file in Settings (LAB_BULK_DENSITY_BASIS), so nothing checks this row. ","")&amp;IF(AND($L275&lt;&gt;"",LAB_BULK_DENSITY_BASIS&lt;&gt;"Not confirmed",$L275&lt;&gt;LAB_BULK_DENSITY_BASIS),"This row's bulk-density basis disagrees with the lab method on file. One of "&amp;"the two is wrong, and the coarse-fragment correction follows the row. ","")&amp;IF(AND(ISNUMBER($M275),OR($M275&lt;QC_BD_MIN,$M275&gt;QC_BD_MAX)),"Bulk density outside the plausible range for a mineral grassland soil. ","")&amp;IF(AND(ISNUMBER($N275),$N275&gt;QC_CARBON_PCT_MAX),"Organic carbon above the QC ceiling — check units, and whether this is an organic horizon. ","")&amp;IF(AND(ISNUMBER($J275),$J275&lt;QC_RECOVERY_MIN),"Recovered less than the QC minimum of the depth driven — the increments may not sit where you think. Do NOT stretch them back out. ","")&amp;IF(AND(ISNUMBER($K275),$K275&gt;0,$L275="Fine earth / total volume"),"Coarse fragments recorded and the lab basis already accounts for them — no further correction applied, which is correct. ",""))</f>
        <v/>
      </c>
      <c r="T275" s="6"/>
      <c r="U275" s="9" t="n">
        <f aca="false">IF($B275="",0,IF(COUNTIFS($B$5:$B275,$B275)=1,1,0))</f>
        <v>0</v>
      </c>
    </row>
    <row r="276" customFormat="false" ht="15" hidden="false" customHeight="false" outlineLevel="0" collapsed="false">
      <c r="A276" s="6"/>
      <c r="B276" s="6"/>
      <c r="C276" s="6"/>
      <c r="D276" s="6"/>
      <c r="E276" s="6"/>
      <c r="F276" s="9" t="str">
        <f aca="false">IF(OR($D276="",$E276=""),"",$E276-$D276)</f>
        <v/>
      </c>
      <c r="G276" s="6"/>
      <c r="H276" s="6"/>
      <c r="I276" s="6"/>
      <c r="J276" s="9" t="str">
        <f aca="false">IF(OR(NOT(ISNUMBER($H276)),NOT(ISNUMBER($I276)),$H276=0),"",$I276/$H276)</f>
        <v/>
      </c>
      <c r="K276" s="6"/>
      <c r="L276" s="8"/>
      <c r="M276" s="7"/>
      <c r="N276" s="7"/>
      <c r="O276" s="9" t="str">
        <f aca="false">IF(NOT(ISNUMBER($M276)),"",IF($L276="Fine earth / fine-earth volume",$M276*(1-IF(ISNUMBER($K276),$K276,0)/100),$M276))</f>
        <v/>
      </c>
      <c r="P276" s="9" t="str">
        <f aca="false">IF(OR(NOT(ISNUMBER($O276)),NOT(ISNUMBER($N276)),NOT(ISNUMBER($F276))),"",$O276*($N276/100)*$F276*10)</f>
        <v/>
      </c>
      <c r="Q276" s="9" t="str">
        <f aca="false">IF(OR(NOT(ISNUMBER($D276)),NOT(ISNUMBER($E276))),"",MAX(0,MIN($E276,SOIL_REPORTING_DEPTH_CM)-MIN($D276,SOIL_REPORTING_DEPTH_CM)))</f>
        <v/>
      </c>
      <c r="R276" s="9" t="str">
        <f aca="false">IF(OR(NOT(ISNUMBER($O276)),NOT(ISNUMBER($N276)),NOT(ISNUMBER($Q276))),"",$O276*($N276/100)*$Q276*10)</f>
        <v/>
      </c>
      <c r="S276" s="11" t="str">
        <f aca="false">IF(AND($A276="",$B276="",$D276=""),"",IF(AND($A276&lt;&gt;"",COUNTIF('1. Plot &amp; Site Log'!$A$5:$A$64,$A276)=0),"Plot ID not in the Plot &amp; Site Log. ","")&amp;IF(AND(ISNUMBER($D276),ISNUMBER($E276),$E276&lt;=$D276),"Bottom depth is not below top depth. ","")&amp;IF($L276="Not confirmed","Bulk-density basis not confirmed with the lab — the coarse-fragment correction may be wrong or doubled. ","")&amp;IF(LAB_BULK_DENSITY_BASIS="Not confirmed","No lab bulk-density basis is on file in Settings (LAB_BULK_DENSITY_BASIS), so nothing checks this row. ","")&amp;IF(AND($L276&lt;&gt;"",LAB_BULK_DENSITY_BASIS&lt;&gt;"Not confirmed",$L276&lt;&gt;LAB_BULK_DENSITY_BASIS),"This row's bulk-density basis disagrees with the lab method on file. One of "&amp;"the two is wrong, and the coarse-fragment correction follows the row. ","")&amp;IF(AND(ISNUMBER($M276),OR($M276&lt;QC_BD_MIN,$M276&gt;QC_BD_MAX)),"Bulk density outside the plausible range for a mineral grassland soil. ","")&amp;IF(AND(ISNUMBER($N276),$N276&gt;QC_CARBON_PCT_MAX),"Organic carbon above the QC ceiling — check units, and whether this is an organic horizon. ","")&amp;IF(AND(ISNUMBER($J276),$J276&lt;QC_RECOVERY_MIN),"Recovered less than the QC minimum of the depth driven — the increments may not sit where you think. Do NOT stretch them back out. ","")&amp;IF(AND(ISNUMBER($K276),$K276&gt;0,$L276="Fine earth / total volume"),"Coarse fragments recorded and the lab basis already accounts for them — no further correction applied, which is correct. ",""))</f>
        <v/>
      </c>
      <c r="T276" s="6"/>
      <c r="U276" s="9" t="n">
        <f aca="false">IF($B276="",0,IF(COUNTIFS($B$5:$B276,$B276)=1,1,0))</f>
        <v>0</v>
      </c>
    </row>
    <row r="277" customFormat="false" ht="15" hidden="false" customHeight="false" outlineLevel="0" collapsed="false">
      <c r="A277" s="6"/>
      <c r="B277" s="6"/>
      <c r="C277" s="6"/>
      <c r="D277" s="6"/>
      <c r="E277" s="6"/>
      <c r="F277" s="9" t="str">
        <f aca="false">IF(OR($D277="",$E277=""),"",$E277-$D277)</f>
        <v/>
      </c>
      <c r="G277" s="6"/>
      <c r="H277" s="6"/>
      <c r="I277" s="6"/>
      <c r="J277" s="9" t="str">
        <f aca="false">IF(OR(NOT(ISNUMBER($H277)),NOT(ISNUMBER($I277)),$H277=0),"",$I277/$H277)</f>
        <v/>
      </c>
      <c r="K277" s="6"/>
      <c r="L277" s="8"/>
      <c r="M277" s="7"/>
      <c r="N277" s="7"/>
      <c r="O277" s="9" t="str">
        <f aca="false">IF(NOT(ISNUMBER($M277)),"",IF($L277="Fine earth / fine-earth volume",$M277*(1-IF(ISNUMBER($K277),$K277,0)/100),$M277))</f>
        <v/>
      </c>
      <c r="P277" s="9" t="str">
        <f aca="false">IF(OR(NOT(ISNUMBER($O277)),NOT(ISNUMBER($N277)),NOT(ISNUMBER($F277))),"",$O277*($N277/100)*$F277*10)</f>
        <v/>
      </c>
      <c r="Q277" s="9" t="str">
        <f aca="false">IF(OR(NOT(ISNUMBER($D277)),NOT(ISNUMBER($E277))),"",MAX(0,MIN($E277,SOIL_REPORTING_DEPTH_CM)-MIN($D277,SOIL_REPORTING_DEPTH_CM)))</f>
        <v/>
      </c>
      <c r="R277" s="9" t="str">
        <f aca="false">IF(OR(NOT(ISNUMBER($O277)),NOT(ISNUMBER($N277)),NOT(ISNUMBER($Q277))),"",$O277*($N277/100)*$Q277*10)</f>
        <v/>
      </c>
      <c r="S277" s="11" t="str">
        <f aca="false">IF(AND($A277="",$B277="",$D277=""),"",IF(AND($A277&lt;&gt;"",COUNTIF('1. Plot &amp; Site Log'!$A$5:$A$64,$A277)=0),"Plot ID not in the Plot &amp; Site Log. ","")&amp;IF(AND(ISNUMBER($D277),ISNUMBER($E277),$E277&lt;=$D277),"Bottom depth is not below top depth. ","")&amp;IF($L277="Not confirmed","Bulk-density basis not confirmed with the lab — the coarse-fragment correction may be wrong or doubled. ","")&amp;IF(LAB_BULK_DENSITY_BASIS="Not confirmed","No lab bulk-density basis is on file in Settings (LAB_BULK_DENSITY_BASIS), so nothing checks this row. ","")&amp;IF(AND($L277&lt;&gt;"",LAB_BULK_DENSITY_BASIS&lt;&gt;"Not confirmed",$L277&lt;&gt;LAB_BULK_DENSITY_BASIS),"This row's bulk-density basis disagrees with the lab method on file. One of "&amp;"the two is wrong, and the coarse-fragment correction follows the row. ","")&amp;IF(AND(ISNUMBER($M277),OR($M277&lt;QC_BD_MIN,$M277&gt;QC_BD_MAX)),"Bulk density outside the plausible range for a mineral grassland soil. ","")&amp;IF(AND(ISNUMBER($N277),$N277&gt;QC_CARBON_PCT_MAX),"Organic carbon above the QC ceiling — check units, and whether this is an organic horizon. ","")&amp;IF(AND(ISNUMBER($J277),$J277&lt;QC_RECOVERY_MIN),"Recovered less than the QC minimum of the depth driven — the increments may not sit where you think. Do NOT stretch them back out. ","")&amp;IF(AND(ISNUMBER($K277),$K277&gt;0,$L277="Fine earth / total volume"),"Coarse fragments recorded and the lab basis already accounts for them — no further correction applied, which is correct. ",""))</f>
        <v/>
      </c>
      <c r="T277" s="6"/>
      <c r="U277" s="9" t="n">
        <f aca="false">IF($B277="",0,IF(COUNTIFS($B$5:$B277,$B277)=1,1,0))</f>
        <v>0</v>
      </c>
    </row>
    <row r="278" customFormat="false" ht="15" hidden="false" customHeight="false" outlineLevel="0" collapsed="false">
      <c r="A278" s="6"/>
      <c r="B278" s="6"/>
      <c r="C278" s="6"/>
      <c r="D278" s="6"/>
      <c r="E278" s="6"/>
      <c r="F278" s="9" t="str">
        <f aca="false">IF(OR($D278="",$E278=""),"",$E278-$D278)</f>
        <v/>
      </c>
      <c r="G278" s="6"/>
      <c r="H278" s="6"/>
      <c r="I278" s="6"/>
      <c r="J278" s="9" t="str">
        <f aca="false">IF(OR(NOT(ISNUMBER($H278)),NOT(ISNUMBER($I278)),$H278=0),"",$I278/$H278)</f>
        <v/>
      </c>
      <c r="K278" s="6"/>
      <c r="L278" s="8"/>
      <c r="M278" s="7"/>
      <c r="N278" s="7"/>
      <c r="O278" s="9" t="str">
        <f aca="false">IF(NOT(ISNUMBER($M278)),"",IF($L278="Fine earth / fine-earth volume",$M278*(1-IF(ISNUMBER($K278),$K278,0)/100),$M278))</f>
        <v/>
      </c>
      <c r="P278" s="9" t="str">
        <f aca="false">IF(OR(NOT(ISNUMBER($O278)),NOT(ISNUMBER($N278)),NOT(ISNUMBER($F278))),"",$O278*($N278/100)*$F278*10)</f>
        <v/>
      </c>
      <c r="Q278" s="9" t="str">
        <f aca="false">IF(OR(NOT(ISNUMBER($D278)),NOT(ISNUMBER($E278))),"",MAX(0,MIN($E278,SOIL_REPORTING_DEPTH_CM)-MIN($D278,SOIL_REPORTING_DEPTH_CM)))</f>
        <v/>
      </c>
      <c r="R278" s="9" t="str">
        <f aca="false">IF(OR(NOT(ISNUMBER($O278)),NOT(ISNUMBER($N278)),NOT(ISNUMBER($Q278))),"",$O278*($N278/100)*$Q278*10)</f>
        <v/>
      </c>
      <c r="S278" s="11" t="str">
        <f aca="false">IF(AND($A278="",$B278="",$D278=""),"",IF(AND($A278&lt;&gt;"",COUNTIF('1. Plot &amp; Site Log'!$A$5:$A$64,$A278)=0),"Plot ID not in the Plot &amp; Site Log. ","")&amp;IF(AND(ISNUMBER($D278),ISNUMBER($E278),$E278&lt;=$D278),"Bottom depth is not below top depth. ","")&amp;IF($L278="Not confirmed","Bulk-density basis not confirmed with the lab — the coarse-fragment correction may be wrong or doubled. ","")&amp;IF(LAB_BULK_DENSITY_BASIS="Not confirmed","No lab bulk-density basis is on file in Settings (LAB_BULK_DENSITY_BASIS), so nothing checks this row. ","")&amp;IF(AND($L278&lt;&gt;"",LAB_BULK_DENSITY_BASIS&lt;&gt;"Not confirmed",$L278&lt;&gt;LAB_BULK_DENSITY_BASIS),"This row's bulk-density basis disagrees with the lab method on file. One of "&amp;"the two is wrong, and the coarse-fragment correction follows the row. ","")&amp;IF(AND(ISNUMBER($M278),OR($M278&lt;QC_BD_MIN,$M278&gt;QC_BD_MAX)),"Bulk density outside the plausible range for a mineral grassland soil. ","")&amp;IF(AND(ISNUMBER($N278),$N278&gt;QC_CARBON_PCT_MAX),"Organic carbon above the QC ceiling — check units, and whether this is an organic horizon. ","")&amp;IF(AND(ISNUMBER($J278),$J278&lt;QC_RECOVERY_MIN),"Recovered less than the QC minimum of the depth driven — the increments may not sit where you think. Do NOT stretch them back out. ","")&amp;IF(AND(ISNUMBER($K278),$K278&gt;0,$L278="Fine earth / total volume"),"Coarse fragments recorded and the lab basis already accounts for them — no further correction applied, which is correct. ",""))</f>
        <v/>
      </c>
      <c r="T278" s="6"/>
      <c r="U278" s="9" t="n">
        <f aca="false">IF($B278="",0,IF(COUNTIFS($B$5:$B278,$B278)=1,1,0))</f>
        <v>0</v>
      </c>
    </row>
    <row r="279" customFormat="false" ht="15" hidden="false" customHeight="false" outlineLevel="0" collapsed="false">
      <c r="A279" s="6"/>
      <c r="B279" s="6"/>
      <c r="C279" s="6"/>
      <c r="D279" s="6"/>
      <c r="E279" s="6"/>
      <c r="F279" s="9" t="str">
        <f aca="false">IF(OR($D279="",$E279=""),"",$E279-$D279)</f>
        <v/>
      </c>
      <c r="G279" s="6"/>
      <c r="H279" s="6"/>
      <c r="I279" s="6"/>
      <c r="J279" s="9" t="str">
        <f aca="false">IF(OR(NOT(ISNUMBER($H279)),NOT(ISNUMBER($I279)),$H279=0),"",$I279/$H279)</f>
        <v/>
      </c>
      <c r="K279" s="6"/>
      <c r="L279" s="8"/>
      <c r="M279" s="7"/>
      <c r="N279" s="7"/>
      <c r="O279" s="9" t="str">
        <f aca="false">IF(NOT(ISNUMBER($M279)),"",IF($L279="Fine earth / fine-earth volume",$M279*(1-IF(ISNUMBER($K279),$K279,0)/100),$M279))</f>
        <v/>
      </c>
      <c r="P279" s="9" t="str">
        <f aca="false">IF(OR(NOT(ISNUMBER($O279)),NOT(ISNUMBER($N279)),NOT(ISNUMBER($F279))),"",$O279*($N279/100)*$F279*10)</f>
        <v/>
      </c>
      <c r="Q279" s="9" t="str">
        <f aca="false">IF(OR(NOT(ISNUMBER($D279)),NOT(ISNUMBER($E279))),"",MAX(0,MIN($E279,SOIL_REPORTING_DEPTH_CM)-MIN($D279,SOIL_REPORTING_DEPTH_CM)))</f>
        <v/>
      </c>
      <c r="R279" s="9" t="str">
        <f aca="false">IF(OR(NOT(ISNUMBER($O279)),NOT(ISNUMBER($N279)),NOT(ISNUMBER($Q279))),"",$O279*($N279/100)*$Q279*10)</f>
        <v/>
      </c>
      <c r="S279" s="11" t="str">
        <f aca="false">IF(AND($A279="",$B279="",$D279=""),"",IF(AND($A279&lt;&gt;"",COUNTIF('1. Plot &amp; Site Log'!$A$5:$A$64,$A279)=0),"Plot ID not in the Plot &amp; Site Log. ","")&amp;IF(AND(ISNUMBER($D279),ISNUMBER($E279),$E279&lt;=$D279),"Bottom depth is not below top depth. ","")&amp;IF($L279="Not confirmed","Bulk-density basis not confirmed with the lab — the coarse-fragment correction may be wrong or doubled. ","")&amp;IF(LAB_BULK_DENSITY_BASIS="Not confirmed","No lab bulk-density basis is on file in Settings (LAB_BULK_DENSITY_BASIS), so nothing checks this row. ","")&amp;IF(AND($L279&lt;&gt;"",LAB_BULK_DENSITY_BASIS&lt;&gt;"Not confirmed",$L279&lt;&gt;LAB_BULK_DENSITY_BASIS),"This row's bulk-density basis disagrees with the lab method on file. One of "&amp;"the two is wrong, and the coarse-fragment correction follows the row. ","")&amp;IF(AND(ISNUMBER($M279),OR($M279&lt;QC_BD_MIN,$M279&gt;QC_BD_MAX)),"Bulk density outside the plausible range for a mineral grassland soil. ","")&amp;IF(AND(ISNUMBER($N279),$N279&gt;QC_CARBON_PCT_MAX),"Organic carbon above the QC ceiling — check units, and whether this is an organic horizon. ","")&amp;IF(AND(ISNUMBER($J279),$J279&lt;QC_RECOVERY_MIN),"Recovered less than the QC minimum of the depth driven — the increments may not sit where you think. Do NOT stretch them back out. ","")&amp;IF(AND(ISNUMBER($K279),$K279&gt;0,$L279="Fine earth / total volume"),"Coarse fragments recorded and the lab basis already accounts for them — no further correction applied, which is correct. ",""))</f>
        <v/>
      </c>
      <c r="T279" s="6"/>
      <c r="U279" s="9" t="n">
        <f aca="false">IF($B279="",0,IF(COUNTIFS($B$5:$B279,$B279)=1,1,0))</f>
        <v>0</v>
      </c>
    </row>
    <row r="280" customFormat="false" ht="15" hidden="false" customHeight="false" outlineLevel="0" collapsed="false">
      <c r="A280" s="6"/>
      <c r="B280" s="6"/>
      <c r="C280" s="6"/>
      <c r="D280" s="6"/>
      <c r="E280" s="6"/>
      <c r="F280" s="9" t="str">
        <f aca="false">IF(OR($D280="",$E280=""),"",$E280-$D280)</f>
        <v/>
      </c>
      <c r="G280" s="6"/>
      <c r="H280" s="6"/>
      <c r="I280" s="6"/>
      <c r="J280" s="9" t="str">
        <f aca="false">IF(OR(NOT(ISNUMBER($H280)),NOT(ISNUMBER($I280)),$H280=0),"",$I280/$H280)</f>
        <v/>
      </c>
      <c r="K280" s="6"/>
      <c r="L280" s="8"/>
      <c r="M280" s="7"/>
      <c r="N280" s="7"/>
      <c r="O280" s="9" t="str">
        <f aca="false">IF(NOT(ISNUMBER($M280)),"",IF($L280="Fine earth / fine-earth volume",$M280*(1-IF(ISNUMBER($K280),$K280,0)/100),$M280))</f>
        <v/>
      </c>
      <c r="P280" s="9" t="str">
        <f aca="false">IF(OR(NOT(ISNUMBER($O280)),NOT(ISNUMBER($N280)),NOT(ISNUMBER($F280))),"",$O280*($N280/100)*$F280*10)</f>
        <v/>
      </c>
      <c r="Q280" s="9" t="str">
        <f aca="false">IF(OR(NOT(ISNUMBER($D280)),NOT(ISNUMBER($E280))),"",MAX(0,MIN($E280,SOIL_REPORTING_DEPTH_CM)-MIN($D280,SOIL_REPORTING_DEPTH_CM)))</f>
        <v/>
      </c>
      <c r="R280" s="9" t="str">
        <f aca="false">IF(OR(NOT(ISNUMBER($O280)),NOT(ISNUMBER($N280)),NOT(ISNUMBER($Q280))),"",$O280*($N280/100)*$Q280*10)</f>
        <v/>
      </c>
      <c r="S280" s="11" t="str">
        <f aca="false">IF(AND($A280="",$B280="",$D280=""),"",IF(AND($A280&lt;&gt;"",COUNTIF('1. Plot &amp; Site Log'!$A$5:$A$64,$A280)=0),"Plot ID not in the Plot &amp; Site Log. ","")&amp;IF(AND(ISNUMBER($D280),ISNUMBER($E280),$E280&lt;=$D280),"Bottom depth is not below top depth. ","")&amp;IF($L280="Not confirmed","Bulk-density basis not confirmed with the lab — the coarse-fragment correction may be wrong or doubled. ","")&amp;IF(LAB_BULK_DENSITY_BASIS="Not confirmed","No lab bulk-density basis is on file in Settings (LAB_BULK_DENSITY_BASIS), so nothing checks this row. ","")&amp;IF(AND($L280&lt;&gt;"",LAB_BULK_DENSITY_BASIS&lt;&gt;"Not confirmed",$L280&lt;&gt;LAB_BULK_DENSITY_BASIS),"This row's bulk-density basis disagrees with the lab method on file. One of "&amp;"the two is wrong, and the coarse-fragment correction follows the row. ","")&amp;IF(AND(ISNUMBER($M280),OR($M280&lt;QC_BD_MIN,$M280&gt;QC_BD_MAX)),"Bulk density outside the plausible range for a mineral grassland soil. ","")&amp;IF(AND(ISNUMBER($N280),$N280&gt;QC_CARBON_PCT_MAX),"Organic carbon above the QC ceiling — check units, and whether this is an organic horizon. ","")&amp;IF(AND(ISNUMBER($J280),$J280&lt;QC_RECOVERY_MIN),"Recovered less than the QC minimum of the depth driven — the increments may not sit where you think. Do NOT stretch them back out. ","")&amp;IF(AND(ISNUMBER($K280),$K280&gt;0,$L280="Fine earth / total volume"),"Coarse fragments recorded and the lab basis already accounts for them — no further correction applied, which is correct. ",""))</f>
        <v/>
      </c>
      <c r="T280" s="6"/>
      <c r="U280" s="9" t="n">
        <f aca="false">IF($B280="",0,IF(COUNTIFS($B$5:$B280,$B280)=1,1,0))</f>
        <v>0</v>
      </c>
    </row>
    <row r="281" customFormat="false" ht="15" hidden="false" customHeight="false" outlineLevel="0" collapsed="false">
      <c r="A281" s="6"/>
      <c r="B281" s="6"/>
      <c r="C281" s="6"/>
      <c r="D281" s="6"/>
      <c r="E281" s="6"/>
      <c r="F281" s="9" t="str">
        <f aca="false">IF(OR($D281="",$E281=""),"",$E281-$D281)</f>
        <v/>
      </c>
      <c r="G281" s="6"/>
      <c r="H281" s="6"/>
      <c r="I281" s="6"/>
      <c r="J281" s="9" t="str">
        <f aca="false">IF(OR(NOT(ISNUMBER($H281)),NOT(ISNUMBER($I281)),$H281=0),"",$I281/$H281)</f>
        <v/>
      </c>
      <c r="K281" s="6"/>
      <c r="L281" s="8"/>
      <c r="M281" s="7"/>
      <c r="N281" s="7"/>
      <c r="O281" s="9" t="str">
        <f aca="false">IF(NOT(ISNUMBER($M281)),"",IF($L281="Fine earth / fine-earth volume",$M281*(1-IF(ISNUMBER($K281),$K281,0)/100),$M281))</f>
        <v/>
      </c>
      <c r="P281" s="9" t="str">
        <f aca="false">IF(OR(NOT(ISNUMBER($O281)),NOT(ISNUMBER($N281)),NOT(ISNUMBER($F281))),"",$O281*($N281/100)*$F281*10)</f>
        <v/>
      </c>
      <c r="Q281" s="9" t="str">
        <f aca="false">IF(OR(NOT(ISNUMBER($D281)),NOT(ISNUMBER($E281))),"",MAX(0,MIN($E281,SOIL_REPORTING_DEPTH_CM)-MIN($D281,SOIL_REPORTING_DEPTH_CM)))</f>
        <v/>
      </c>
      <c r="R281" s="9" t="str">
        <f aca="false">IF(OR(NOT(ISNUMBER($O281)),NOT(ISNUMBER($N281)),NOT(ISNUMBER($Q281))),"",$O281*($N281/100)*$Q281*10)</f>
        <v/>
      </c>
      <c r="S281" s="11" t="str">
        <f aca="false">IF(AND($A281="",$B281="",$D281=""),"",IF(AND($A281&lt;&gt;"",COUNTIF('1. Plot &amp; Site Log'!$A$5:$A$64,$A281)=0),"Plot ID not in the Plot &amp; Site Log. ","")&amp;IF(AND(ISNUMBER($D281),ISNUMBER($E281),$E281&lt;=$D281),"Bottom depth is not below top depth. ","")&amp;IF($L281="Not confirmed","Bulk-density basis not confirmed with the lab — the coarse-fragment correction may be wrong or doubled. ","")&amp;IF(LAB_BULK_DENSITY_BASIS="Not confirmed","No lab bulk-density basis is on file in Settings (LAB_BULK_DENSITY_BASIS), so nothing checks this row. ","")&amp;IF(AND($L281&lt;&gt;"",LAB_BULK_DENSITY_BASIS&lt;&gt;"Not confirmed",$L281&lt;&gt;LAB_BULK_DENSITY_BASIS),"This row's bulk-density basis disagrees with the lab method on file. One of "&amp;"the two is wrong, and the coarse-fragment correction follows the row. ","")&amp;IF(AND(ISNUMBER($M281),OR($M281&lt;QC_BD_MIN,$M281&gt;QC_BD_MAX)),"Bulk density outside the plausible range for a mineral grassland soil. ","")&amp;IF(AND(ISNUMBER($N281),$N281&gt;QC_CARBON_PCT_MAX),"Organic carbon above the QC ceiling — check units, and whether this is an organic horizon. ","")&amp;IF(AND(ISNUMBER($J281),$J281&lt;QC_RECOVERY_MIN),"Recovered less than the QC minimum of the depth driven — the increments may not sit where you think. Do NOT stretch them back out. ","")&amp;IF(AND(ISNUMBER($K281),$K281&gt;0,$L281="Fine earth / total volume"),"Coarse fragments recorded and the lab basis already accounts for them — no further correction applied, which is correct. ",""))</f>
        <v/>
      </c>
      <c r="T281" s="6"/>
      <c r="U281" s="9" t="n">
        <f aca="false">IF($B281="",0,IF(COUNTIFS($B$5:$B281,$B281)=1,1,0))</f>
        <v>0</v>
      </c>
    </row>
    <row r="282" customFormat="false" ht="15" hidden="false" customHeight="false" outlineLevel="0" collapsed="false">
      <c r="A282" s="6"/>
      <c r="B282" s="6"/>
      <c r="C282" s="6"/>
      <c r="D282" s="6"/>
      <c r="E282" s="6"/>
      <c r="F282" s="9" t="str">
        <f aca="false">IF(OR($D282="",$E282=""),"",$E282-$D282)</f>
        <v/>
      </c>
      <c r="G282" s="6"/>
      <c r="H282" s="6"/>
      <c r="I282" s="6"/>
      <c r="J282" s="9" t="str">
        <f aca="false">IF(OR(NOT(ISNUMBER($H282)),NOT(ISNUMBER($I282)),$H282=0),"",$I282/$H282)</f>
        <v/>
      </c>
      <c r="K282" s="6"/>
      <c r="L282" s="8"/>
      <c r="M282" s="7"/>
      <c r="N282" s="7"/>
      <c r="O282" s="9" t="str">
        <f aca="false">IF(NOT(ISNUMBER($M282)),"",IF($L282="Fine earth / fine-earth volume",$M282*(1-IF(ISNUMBER($K282),$K282,0)/100),$M282))</f>
        <v/>
      </c>
      <c r="P282" s="9" t="str">
        <f aca="false">IF(OR(NOT(ISNUMBER($O282)),NOT(ISNUMBER($N282)),NOT(ISNUMBER($F282))),"",$O282*($N282/100)*$F282*10)</f>
        <v/>
      </c>
      <c r="Q282" s="9" t="str">
        <f aca="false">IF(OR(NOT(ISNUMBER($D282)),NOT(ISNUMBER($E282))),"",MAX(0,MIN($E282,SOIL_REPORTING_DEPTH_CM)-MIN($D282,SOIL_REPORTING_DEPTH_CM)))</f>
        <v/>
      </c>
      <c r="R282" s="9" t="str">
        <f aca="false">IF(OR(NOT(ISNUMBER($O282)),NOT(ISNUMBER($N282)),NOT(ISNUMBER($Q282))),"",$O282*($N282/100)*$Q282*10)</f>
        <v/>
      </c>
      <c r="S282" s="11" t="str">
        <f aca="false">IF(AND($A282="",$B282="",$D282=""),"",IF(AND($A282&lt;&gt;"",COUNTIF('1. Plot &amp; Site Log'!$A$5:$A$64,$A282)=0),"Plot ID not in the Plot &amp; Site Log. ","")&amp;IF(AND(ISNUMBER($D282),ISNUMBER($E282),$E282&lt;=$D282),"Bottom depth is not below top depth. ","")&amp;IF($L282="Not confirmed","Bulk-density basis not confirmed with the lab — the coarse-fragment correction may be wrong or doubled. ","")&amp;IF(LAB_BULK_DENSITY_BASIS="Not confirmed","No lab bulk-density basis is on file in Settings (LAB_BULK_DENSITY_BASIS), so nothing checks this row. ","")&amp;IF(AND($L282&lt;&gt;"",LAB_BULK_DENSITY_BASIS&lt;&gt;"Not confirmed",$L282&lt;&gt;LAB_BULK_DENSITY_BASIS),"This row's bulk-density basis disagrees with the lab method on file. One of "&amp;"the two is wrong, and the coarse-fragment correction follows the row. ","")&amp;IF(AND(ISNUMBER($M282),OR($M282&lt;QC_BD_MIN,$M282&gt;QC_BD_MAX)),"Bulk density outside the plausible range for a mineral grassland soil. ","")&amp;IF(AND(ISNUMBER($N282),$N282&gt;QC_CARBON_PCT_MAX),"Organic carbon above the QC ceiling — check units, and whether this is an organic horizon. ","")&amp;IF(AND(ISNUMBER($J282),$J282&lt;QC_RECOVERY_MIN),"Recovered less than the QC minimum of the depth driven — the increments may not sit where you think. Do NOT stretch them back out. ","")&amp;IF(AND(ISNUMBER($K282),$K282&gt;0,$L282="Fine earth / total volume"),"Coarse fragments recorded and the lab basis already accounts for them — no further correction applied, which is correct. ",""))</f>
        <v/>
      </c>
      <c r="T282" s="6"/>
      <c r="U282" s="9" t="n">
        <f aca="false">IF($B282="",0,IF(COUNTIFS($B$5:$B282,$B282)=1,1,0))</f>
        <v>0</v>
      </c>
    </row>
    <row r="283" customFormat="false" ht="15" hidden="false" customHeight="false" outlineLevel="0" collapsed="false">
      <c r="A283" s="6"/>
      <c r="B283" s="6"/>
      <c r="C283" s="6"/>
      <c r="D283" s="6"/>
      <c r="E283" s="6"/>
      <c r="F283" s="9" t="str">
        <f aca="false">IF(OR($D283="",$E283=""),"",$E283-$D283)</f>
        <v/>
      </c>
      <c r="G283" s="6"/>
      <c r="H283" s="6"/>
      <c r="I283" s="6"/>
      <c r="J283" s="9" t="str">
        <f aca="false">IF(OR(NOT(ISNUMBER($H283)),NOT(ISNUMBER($I283)),$H283=0),"",$I283/$H283)</f>
        <v/>
      </c>
      <c r="K283" s="6"/>
      <c r="L283" s="8"/>
      <c r="M283" s="7"/>
      <c r="N283" s="7"/>
      <c r="O283" s="9" t="str">
        <f aca="false">IF(NOT(ISNUMBER($M283)),"",IF($L283="Fine earth / fine-earth volume",$M283*(1-IF(ISNUMBER($K283),$K283,0)/100),$M283))</f>
        <v/>
      </c>
      <c r="P283" s="9" t="str">
        <f aca="false">IF(OR(NOT(ISNUMBER($O283)),NOT(ISNUMBER($N283)),NOT(ISNUMBER($F283))),"",$O283*($N283/100)*$F283*10)</f>
        <v/>
      </c>
      <c r="Q283" s="9" t="str">
        <f aca="false">IF(OR(NOT(ISNUMBER($D283)),NOT(ISNUMBER($E283))),"",MAX(0,MIN($E283,SOIL_REPORTING_DEPTH_CM)-MIN($D283,SOIL_REPORTING_DEPTH_CM)))</f>
        <v/>
      </c>
      <c r="R283" s="9" t="str">
        <f aca="false">IF(OR(NOT(ISNUMBER($O283)),NOT(ISNUMBER($N283)),NOT(ISNUMBER($Q283))),"",$O283*($N283/100)*$Q283*10)</f>
        <v/>
      </c>
      <c r="S283" s="11" t="str">
        <f aca="false">IF(AND($A283="",$B283="",$D283=""),"",IF(AND($A283&lt;&gt;"",COUNTIF('1. Plot &amp; Site Log'!$A$5:$A$64,$A283)=0),"Plot ID not in the Plot &amp; Site Log. ","")&amp;IF(AND(ISNUMBER($D283),ISNUMBER($E283),$E283&lt;=$D283),"Bottom depth is not below top depth. ","")&amp;IF($L283="Not confirmed","Bulk-density basis not confirmed with the lab — the coarse-fragment correction may be wrong or doubled. ","")&amp;IF(LAB_BULK_DENSITY_BASIS="Not confirmed","No lab bulk-density basis is on file in Settings (LAB_BULK_DENSITY_BASIS), so nothing checks this row. ","")&amp;IF(AND($L283&lt;&gt;"",LAB_BULK_DENSITY_BASIS&lt;&gt;"Not confirmed",$L283&lt;&gt;LAB_BULK_DENSITY_BASIS),"This row's bulk-density basis disagrees with the lab method on file. One of "&amp;"the two is wrong, and the coarse-fragment correction follows the row. ","")&amp;IF(AND(ISNUMBER($M283),OR($M283&lt;QC_BD_MIN,$M283&gt;QC_BD_MAX)),"Bulk density outside the plausible range for a mineral grassland soil. ","")&amp;IF(AND(ISNUMBER($N283),$N283&gt;QC_CARBON_PCT_MAX),"Organic carbon above the QC ceiling — check units, and whether this is an organic horizon. ","")&amp;IF(AND(ISNUMBER($J283),$J283&lt;QC_RECOVERY_MIN),"Recovered less than the QC minimum of the depth driven — the increments may not sit where you think. Do NOT stretch them back out. ","")&amp;IF(AND(ISNUMBER($K283),$K283&gt;0,$L283="Fine earth / total volume"),"Coarse fragments recorded and the lab basis already accounts for them — no further correction applied, which is correct. ",""))</f>
        <v/>
      </c>
      <c r="T283" s="6"/>
      <c r="U283" s="9" t="n">
        <f aca="false">IF($B283="",0,IF(COUNTIFS($B$5:$B283,$B283)=1,1,0))</f>
        <v>0</v>
      </c>
    </row>
    <row r="284" customFormat="false" ht="15" hidden="false" customHeight="false" outlineLevel="0" collapsed="false">
      <c r="A284" s="6"/>
      <c r="B284" s="6"/>
      <c r="C284" s="6"/>
      <c r="D284" s="6"/>
      <c r="E284" s="6"/>
      <c r="F284" s="9" t="str">
        <f aca="false">IF(OR($D284="",$E284=""),"",$E284-$D284)</f>
        <v/>
      </c>
      <c r="G284" s="6"/>
      <c r="H284" s="6"/>
      <c r="I284" s="6"/>
      <c r="J284" s="9" t="str">
        <f aca="false">IF(OR(NOT(ISNUMBER($H284)),NOT(ISNUMBER($I284)),$H284=0),"",$I284/$H284)</f>
        <v/>
      </c>
      <c r="K284" s="6"/>
      <c r="L284" s="8"/>
      <c r="M284" s="7"/>
      <c r="N284" s="7"/>
      <c r="O284" s="9" t="str">
        <f aca="false">IF(NOT(ISNUMBER($M284)),"",IF($L284="Fine earth / fine-earth volume",$M284*(1-IF(ISNUMBER($K284),$K284,0)/100),$M284))</f>
        <v/>
      </c>
      <c r="P284" s="9" t="str">
        <f aca="false">IF(OR(NOT(ISNUMBER($O284)),NOT(ISNUMBER($N284)),NOT(ISNUMBER($F284))),"",$O284*($N284/100)*$F284*10)</f>
        <v/>
      </c>
      <c r="Q284" s="9" t="str">
        <f aca="false">IF(OR(NOT(ISNUMBER($D284)),NOT(ISNUMBER($E284))),"",MAX(0,MIN($E284,SOIL_REPORTING_DEPTH_CM)-MIN($D284,SOIL_REPORTING_DEPTH_CM)))</f>
        <v/>
      </c>
      <c r="R284" s="9" t="str">
        <f aca="false">IF(OR(NOT(ISNUMBER($O284)),NOT(ISNUMBER($N284)),NOT(ISNUMBER($Q284))),"",$O284*($N284/100)*$Q284*10)</f>
        <v/>
      </c>
      <c r="S284" s="11" t="str">
        <f aca="false">IF(AND($A284="",$B284="",$D284=""),"",IF(AND($A284&lt;&gt;"",COUNTIF('1. Plot &amp; Site Log'!$A$5:$A$64,$A284)=0),"Plot ID not in the Plot &amp; Site Log. ","")&amp;IF(AND(ISNUMBER($D284),ISNUMBER($E284),$E284&lt;=$D284),"Bottom depth is not below top depth. ","")&amp;IF($L284="Not confirmed","Bulk-density basis not confirmed with the lab — the coarse-fragment correction may be wrong or doubled. ","")&amp;IF(LAB_BULK_DENSITY_BASIS="Not confirmed","No lab bulk-density basis is on file in Settings (LAB_BULK_DENSITY_BASIS), so nothing checks this row. ","")&amp;IF(AND($L284&lt;&gt;"",LAB_BULK_DENSITY_BASIS&lt;&gt;"Not confirmed",$L284&lt;&gt;LAB_BULK_DENSITY_BASIS),"This row's bulk-density basis disagrees with the lab method on file. One of "&amp;"the two is wrong, and the coarse-fragment correction follows the row. ","")&amp;IF(AND(ISNUMBER($M284),OR($M284&lt;QC_BD_MIN,$M284&gt;QC_BD_MAX)),"Bulk density outside the plausible range for a mineral grassland soil. ","")&amp;IF(AND(ISNUMBER($N284),$N284&gt;QC_CARBON_PCT_MAX),"Organic carbon above the QC ceiling — check units, and whether this is an organic horizon. ","")&amp;IF(AND(ISNUMBER($J284),$J284&lt;QC_RECOVERY_MIN),"Recovered less than the QC minimum of the depth driven — the increments may not sit where you think. Do NOT stretch them back out. ","")&amp;IF(AND(ISNUMBER($K284),$K284&gt;0,$L284="Fine earth / total volume"),"Coarse fragments recorded and the lab basis already accounts for them — no further correction applied, which is correct. ",""))</f>
        <v/>
      </c>
      <c r="T284" s="6"/>
      <c r="U284" s="9" t="n">
        <f aca="false">IF($B284="",0,IF(COUNTIFS($B$5:$B284,$B284)=1,1,0))</f>
        <v>0</v>
      </c>
    </row>
    <row r="285" customFormat="false" ht="15" hidden="false" customHeight="false" outlineLevel="0" collapsed="false">
      <c r="A285" s="6"/>
      <c r="B285" s="6"/>
      <c r="C285" s="6"/>
      <c r="D285" s="6"/>
      <c r="E285" s="6"/>
      <c r="F285" s="9" t="str">
        <f aca="false">IF(OR($D285="",$E285=""),"",$E285-$D285)</f>
        <v/>
      </c>
      <c r="G285" s="6"/>
      <c r="H285" s="6"/>
      <c r="I285" s="6"/>
      <c r="J285" s="9" t="str">
        <f aca="false">IF(OR(NOT(ISNUMBER($H285)),NOT(ISNUMBER($I285)),$H285=0),"",$I285/$H285)</f>
        <v/>
      </c>
      <c r="K285" s="6"/>
      <c r="L285" s="8"/>
      <c r="M285" s="7"/>
      <c r="N285" s="7"/>
      <c r="O285" s="9" t="str">
        <f aca="false">IF(NOT(ISNUMBER($M285)),"",IF($L285="Fine earth / fine-earth volume",$M285*(1-IF(ISNUMBER($K285),$K285,0)/100),$M285))</f>
        <v/>
      </c>
      <c r="P285" s="9" t="str">
        <f aca="false">IF(OR(NOT(ISNUMBER($O285)),NOT(ISNUMBER($N285)),NOT(ISNUMBER($F285))),"",$O285*($N285/100)*$F285*10)</f>
        <v/>
      </c>
      <c r="Q285" s="9" t="str">
        <f aca="false">IF(OR(NOT(ISNUMBER($D285)),NOT(ISNUMBER($E285))),"",MAX(0,MIN($E285,SOIL_REPORTING_DEPTH_CM)-MIN($D285,SOIL_REPORTING_DEPTH_CM)))</f>
        <v/>
      </c>
      <c r="R285" s="9" t="str">
        <f aca="false">IF(OR(NOT(ISNUMBER($O285)),NOT(ISNUMBER($N285)),NOT(ISNUMBER($Q285))),"",$O285*($N285/100)*$Q285*10)</f>
        <v/>
      </c>
      <c r="S285" s="11" t="str">
        <f aca="false">IF(AND($A285="",$B285="",$D285=""),"",IF(AND($A285&lt;&gt;"",COUNTIF('1. Plot &amp; Site Log'!$A$5:$A$64,$A285)=0),"Plot ID not in the Plot &amp; Site Log. ","")&amp;IF(AND(ISNUMBER($D285),ISNUMBER($E285),$E285&lt;=$D285),"Bottom depth is not below top depth. ","")&amp;IF($L285="Not confirmed","Bulk-density basis not confirmed with the lab — the coarse-fragment correction may be wrong or doubled. ","")&amp;IF(LAB_BULK_DENSITY_BASIS="Not confirmed","No lab bulk-density basis is on file in Settings (LAB_BULK_DENSITY_BASIS), so nothing checks this row. ","")&amp;IF(AND($L285&lt;&gt;"",LAB_BULK_DENSITY_BASIS&lt;&gt;"Not confirmed",$L285&lt;&gt;LAB_BULK_DENSITY_BASIS),"This row's bulk-density basis disagrees with the lab method on file. One of "&amp;"the two is wrong, and the coarse-fragment correction follows the row. ","")&amp;IF(AND(ISNUMBER($M285),OR($M285&lt;QC_BD_MIN,$M285&gt;QC_BD_MAX)),"Bulk density outside the plausible range for a mineral grassland soil. ","")&amp;IF(AND(ISNUMBER($N285),$N285&gt;QC_CARBON_PCT_MAX),"Organic carbon above the QC ceiling — check units, and whether this is an organic horizon. ","")&amp;IF(AND(ISNUMBER($J285),$J285&lt;QC_RECOVERY_MIN),"Recovered less than the QC minimum of the depth driven — the increments may not sit where you think. Do NOT stretch them back out. ","")&amp;IF(AND(ISNUMBER($K285),$K285&gt;0,$L285="Fine earth / total volume"),"Coarse fragments recorded and the lab basis already accounts for them — no further correction applied, which is correct. ",""))</f>
        <v/>
      </c>
      <c r="T285" s="6"/>
      <c r="U285" s="9" t="n">
        <f aca="false">IF($B285="",0,IF(COUNTIFS($B$5:$B285,$B285)=1,1,0))</f>
        <v>0</v>
      </c>
    </row>
    <row r="286" customFormat="false" ht="15" hidden="false" customHeight="false" outlineLevel="0" collapsed="false">
      <c r="A286" s="6"/>
      <c r="B286" s="6"/>
      <c r="C286" s="6"/>
      <c r="D286" s="6"/>
      <c r="E286" s="6"/>
      <c r="F286" s="9" t="str">
        <f aca="false">IF(OR($D286="",$E286=""),"",$E286-$D286)</f>
        <v/>
      </c>
      <c r="G286" s="6"/>
      <c r="H286" s="6"/>
      <c r="I286" s="6"/>
      <c r="J286" s="9" t="str">
        <f aca="false">IF(OR(NOT(ISNUMBER($H286)),NOT(ISNUMBER($I286)),$H286=0),"",$I286/$H286)</f>
        <v/>
      </c>
      <c r="K286" s="6"/>
      <c r="L286" s="8"/>
      <c r="M286" s="7"/>
      <c r="N286" s="7"/>
      <c r="O286" s="9" t="str">
        <f aca="false">IF(NOT(ISNUMBER($M286)),"",IF($L286="Fine earth / fine-earth volume",$M286*(1-IF(ISNUMBER($K286),$K286,0)/100),$M286))</f>
        <v/>
      </c>
      <c r="P286" s="9" t="str">
        <f aca="false">IF(OR(NOT(ISNUMBER($O286)),NOT(ISNUMBER($N286)),NOT(ISNUMBER($F286))),"",$O286*($N286/100)*$F286*10)</f>
        <v/>
      </c>
      <c r="Q286" s="9" t="str">
        <f aca="false">IF(OR(NOT(ISNUMBER($D286)),NOT(ISNUMBER($E286))),"",MAX(0,MIN($E286,SOIL_REPORTING_DEPTH_CM)-MIN($D286,SOIL_REPORTING_DEPTH_CM)))</f>
        <v/>
      </c>
      <c r="R286" s="9" t="str">
        <f aca="false">IF(OR(NOT(ISNUMBER($O286)),NOT(ISNUMBER($N286)),NOT(ISNUMBER($Q286))),"",$O286*($N286/100)*$Q286*10)</f>
        <v/>
      </c>
      <c r="S286" s="11" t="str">
        <f aca="false">IF(AND($A286="",$B286="",$D286=""),"",IF(AND($A286&lt;&gt;"",COUNTIF('1. Plot &amp; Site Log'!$A$5:$A$64,$A286)=0),"Plot ID not in the Plot &amp; Site Log. ","")&amp;IF(AND(ISNUMBER($D286),ISNUMBER($E286),$E286&lt;=$D286),"Bottom depth is not below top depth. ","")&amp;IF($L286="Not confirmed","Bulk-density basis not confirmed with the lab — the coarse-fragment correction may be wrong or doubled. ","")&amp;IF(LAB_BULK_DENSITY_BASIS="Not confirmed","No lab bulk-density basis is on file in Settings (LAB_BULK_DENSITY_BASIS), so nothing checks this row. ","")&amp;IF(AND($L286&lt;&gt;"",LAB_BULK_DENSITY_BASIS&lt;&gt;"Not confirmed",$L286&lt;&gt;LAB_BULK_DENSITY_BASIS),"This row's bulk-density basis disagrees with the lab method on file. One of "&amp;"the two is wrong, and the coarse-fragment correction follows the row. ","")&amp;IF(AND(ISNUMBER($M286),OR($M286&lt;QC_BD_MIN,$M286&gt;QC_BD_MAX)),"Bulk density outside the plausible range for a mineral grassland soil. ","")&amp;IF(AND(ISNUMBER($N286),$N286&gt;QC_CARBON_PCT_MAX),"Organic carbon above the QC ceiling — check units, and whether this is an organic horizon. ","")&amp;IF(AND(ISNUMBER($J286),$J286&lt;QC_RECOVERY_MIN),"Recovered less than the QC minimum of the depth driven — the increments may not sit where you think. Do NOT stretch them back out. ","")&amp;IF(AND(ISNUMBER($K286),$K286&gt;0,$L286="Fine earth / total volume"),"Coarse fragments recorded and the lab basis already accounts for them — no further correction applied, which is correct. ",""))</f>
        <v/>
      </c>
      <c r="T286" s="6"/>
      <c r="U286" s="9" t="n">
        <f aca="false">IF($B286="",0,IF(COUNTIFS($B$5:$B286,$B286)=1,1,0))</f>
        <v>0</v>
      </c>
    </row>
    <row r="287" customFormat="false" ht="15" hidden="false" customHeight="false" outlineLevel="0" collapsed="false">
      <c r="A287" s="6"/>
      <c r="B287" s="6"/>
      <c r="C287" s="6"/>
      <c r="D287" s="6"/>
      <c r="E287" s="6"/>
      <c r="F287" s="9" t="str">
        <f aca="false">IF(OR($D287="",$E287=""),"",$E287-$D287)</f>
        <v/>
      </c>
      <c r="G287" s="6"/>
      <c r="H287" s="6"/>
      <c r="I287" s="6"/>
      <c r="J287" s="9" t="str">
        <f aca="false">IF(OR(NOT(ISNUMBER($H287)),NOT(ISNUMBER($I287)),$H287=0),"",$I287/$H287)</f>
        <v/>
      </c>
      <c r="K287" s="6"/>
      <c r="L287" s="8"/>
      <c r="M287" s="7"/>
      <c r="N287" s="7"/>
      <c r="O287" s="9" t="str">
        <f aca="false">IF(NOT(ISNUMBER($M287)),"",IF($L287="Fine earth / fine-earth volume",$M287*(1-IF(ISNUMBER($K287),$K287,0)/100),$M287))</f>
        <v/>
      </c>
      <c r="P287" s="9" t="str">
        <f aca="false">IF(OR(NOT(ISNUMBER($O287)),NOT(ISNUMBER($N287)),NOT(ISNUMBER($F287))),"",$O287*($N287/100)*$F287*10)</f>
        <v/>
      </c>
      <c r="Q287" s="9" t="str">
        <f aca="false">IF(OR(NOT(ISNUMBER($D287)),NOT(ISNUMBER($E287))),"",MAX(0,MIN($E287,SOIL_REPORTING_DEPTH_CM)-MIN($D287,SOIL_REPORTING_DEPTH_CM)))</f>
        <v/>
      </c>
      <c r="R287" s="9" t="str">
        <f aca="false">IF(OR(NOT(ISNUMBER($O287)),NOT(ISNUMBER($N287)),NOT(ISNUMBER($Q287))),"",$O287*($N287/100)*$Q287*10)</f>
        <v/>
      </c>
      <c r="S287" s="11" t="str">
        <f aca="false">IF(AND($A287="",$B287="",$D287=""),"",IF(AND($A287&lt;&gt;"",COUNTIF('1. Plot &amp; Site Log'!$A$5:$A$64,$A287)=0),"Plot ID not in the Plot &amp; Site Log. ","")&amp;IF(AND(ISNUMBER($D287),ISNUMBER($E287),$E287&lt;=$D287),"Bottom depth is not below top depth. ","")&amp;IF($L287="Not confirmed","Bulk-density basis not confirmed with the lab — the coarse-fragment correction may be wrong or doubled. ","")&amp;IF(LAB_BULK_DENSITY_BASIS="Not confirmed","No lab bulk-density basis is on file in Settings (LAB_BULK_DENSITY_BASIS), so nothing checks this row. ","")&amp;IF(AND($L287&lt;&gt;"",LAB_BULK_DENSITY_BASIS&lt;&gt;"Not confirmed",$L287&lt;&gt;LAB_BULK_DENSITY_BASIS),"This row's bulk-density basis disagrees with the lab method on file. One of "&amp;"the two is wrong, and the coarse-fragment correction follows the row. ","")&amp;IF(AND(ISNUMBER($M287),OR($M287&lt;QC_BD_MIN,$M287&gt;QC_BD_MAX)),"Bulk density outside the plausible range for a mineral grassland soil. ","")&amp;IF(AND(ISNUMBER($N287),$N287&gt;QC_CARBON_PCT_MAX),"Organic carbon above the QC ceiling — check units, and whether this is an organic horizon. ","")&amp;IF(AND(ISNUMBER($J287),$J287&lt;QC_RECOVERY_MIN),"Recovered less than the QC minimum of the depth driven — the increments may not sit where you think. Do NOT stretch them back out. ","")&amp;IF(AND(ISNUMBER($K287),$K287&gt;0,$L287="Fine earth / total volume"),"Coarse fragments recorded and the lab basis already accounts for them — no further correction applied, which is correct. ",""))</f>
        <v/>
      </c>
      <c r="T287" s="6"/>
      <c r="U287" s="9" t="n">
        <f aca="false">IF($B287="",0,IF(COUNTIFS($B$5:$B287,$B287)=1,1,0))</f>
        <v>0</v>
      </c>
    </row>
    <row r="288" customFormat="false" ht="15" hidden="false" customHeight="false" outlineLevel="0" collapsed="false">
      <c r="A288" s="6"/>
      <c r="B288" s="6"/>
      <c r="C288" s="6"/>
      <c r="D288" s="6"/>
      <c r="E288" s="6"/>
      <c r="F288" s="9" t="str">
        <f aca="false">IF(OR($D288="",$E288=""),"",$E288-$D288)</f>
        <v/>
      </c>
      <c r="G288" s="6"/>
      <c r="H288" s="6"/>
      <c r="I288" s="6"/>
      <c r="J288" s="9" t="str">
        <f aca="false">IF(OR(NOT(ISNUMBER($H288)),NOT(ISNUMBER($I288)),$H288=0),"",$I288/$H288)</f>
        <v/>
      </c>
      <c r="K288" s="6"/>
      <c r="L288" s="8"/>
      <c r="M288" s="7"/>
      <c r="N288" s="7"/>
      <c r="O288" s="9" t="str">
        <f aca="false">IF(NOT(ISNUMBER($M288)),"",IF($L288="Fine earth / fine-earth volume",$M288*(1-IF(ISNUMBER($K288),$K288,0)/100),$M288))</f>
        <v/>
      </c>
      <c r="P288" s="9" t="str">
        <f aca="false">IF(OR(NOT(ISNUMBER($O288)),NOT(ISNUMBER($N288)),NOT(ISNUMBER($F288))),"",$O288*($N288/100)*$F288*10)</f>
        <v/>
      </c>
      <c r="Q288" s="9" t="str">
        <f aca="false">IF(OR(NOT(ISNUMBER($D288)),NOT(ISNUMBER($E288))),"",MAX(0,MIN($E288,SOIL_REPORTING_DEPTH_CM)-MIN($D288,SOIL_REPORTING_DEPTH_CM)))</f>
        <v/>
      </c>
      <c r="R288" s="9" t="str">
        <f aca="false">IF(OR(NOT(ISNUMBER($O288)),NOT(ISNUMBER($N288)),NOT(ISNUMBER($Q288))),"",$O288*($N288/100)*$Q288*10)</f>
        <v/>
      </c>
      <c r="S288" s="11" t="str">
        <f aca="false">IF(AND($A288="",$B288="",$D288=""),"",IF(AND($A288&lt;&gt;"",COUNTIF('1. Plot &amp; Site Log'!$A$5:$A$64,$A288)=0),"Plot ID not in the Plot &amp; Site Log. ","")&amp;IF(AND(ISNUMBER($D288),ISNUMBER($E288),$E288&lt;=$D288),"Bottom depth is not below top depth. ","")&amp;IF($L288="Not confirmed","Bulk-density basis not confirmed with the lab — the coarse-fragment correction may be wrong or doubled. ","")&amp;IF(LAB_BULK_DENSITY_BASIS="Not confirmed","No lab bulk-density basis is on file in Settings (LAB_BULK_DENSITY_BASIS), so nothing checks this row. ","")&amp;IF(AND($L288&lt;&gt;"",LAB_BULK_DENSITY_BASIS&lt;&gt;"Not confirmed",$L288&lt;&gt;LAB_BULK_DENSITY_BASIS),"This row's bulk-density basis disagrees with the lab method on file. One of "&amp;"the two is wrong, and the coarse-fragment correction follows the row. ","")&amp;IF(AND(ISNUMBER($M288),OR($M288&lt;QC_BD_MIN,$M288&gt;QC_BD_MAX)),"Bulk density outside the plausible range for a mineral grassland soil. ","")&amp;IF(AND(ISNUMBER($N288),$N288&gt;QC_CARBON_PCT_MAX),"Organic carbon above the QC ceiling — check units, and whether this is an organic horizon. ","")&amp;IF(AND(ISNUMBER($J288),$J288&lt;QC_RECOVERY_MIN),"Recovered less than the QC minimum of the depth driven — the increments may not sit where you think. Do NOT stretch them back out. ","")&amp;IF(AND(ISNUMBER($K288),$K288&gt;0,$L288="Fine earth / total volume"),"Coarse fragments recorded and the lab basis already accounts for them — no further correction applied, which is correct. ",""))</f>
        <v/>
      </c>
      <c r="T288" s="6"/>
      <c r="U288" s="9" t="n">
        <f aca="false">IF($B288="",0,IF(COUNTIFS($B$5:$B288,$B288)=1,1,0))</f>
        <v>0</v>
      </c>
    </row>
    <row r="289" customFormat="false" ht="15" hidden="false" customHeight="false" outlineLevel="0" collapsed="false">
      <c r="A289" s="6"/>
      <c r="B289" s="6"/>
      <c r="C289" s="6"/>
      <c r="D289" s="6"/>
      <c r="E289" s="6"/>
      <c r="F289" s="9" t="str">
        <f aca="false">IF(OR($D289="",$E289=""),"",$E289-$D289)</f>
        <v/>
      </c>
      <c r="G289" s="6"/>
      <c r="H289" s="6"/>
      <c r="I289" s="6"/>
      <c r="J289" s="9" t="str">
        <f aca="false">IF(OR(NOT(ISNUMBER($H289)),NOT(ISNUMBER($I289)),$H289=0),"",$I289/$H289)</f>
        <v/>
      </c>
      <c r="K289" s="6"/>
      <c r="L289" s="8"/>
      <c r="M289" s="7"/>
      <c r="N289" s="7"/>
      <c r="O289" s="9" t="str">
        <f aca="false">IF(NOT(ISNUMBER($M289)),"",IF($L289="Fine earth / fine-earth volume",$M289*(1-IF(ISNUMBER($K289),$K289,0)/100),$M289))</f>
        <v/>
      </c>
      <c r="P289" s="9" t="str">
        <f aca="false">IF(OR(NOT(ISNUMBER($O289)),NOT(ISNUMBER($N289)),NOT(ISNUMBER($F289))),"",$O289*($N289/100)*$F289*10)</f>
        <v/>
      </c>
      <c r="Q289" s="9" t="str">
        <f aca="false">IF(OR(NOT(ISNUMBER($D289)),NOT(ISNUMBER($E289))),"",MAX(0,MIN($E289,SOIL_REPORTING_DEPTH_CM)-MIN($D289,SOIL_REPORTING_DEPTH_CM)))</f>
        <v/>
      </c>
      <c r="R289" s="9" t="str">
        <f aca="false">IF(OR(NOT(ISNUMBER($O289)),NOT(ISNUMBER($N289)),NOT(ISNUMBER($Q289))),"",$O289*($N289/100)*$Q289*10)</f>
        <v/>
      </c>
      <c r="S289" s="11" t="str">
        <f aca="false">IF(AND($A289="",$B289="",$D289=""),"",IF(AND($A289&lt;&gt;"",COUNTIF('1. Plot &amp; Site Log'!$A$5:$A$64,$A289)=0),"Plot ID not in the Plot &amp; Site Log. ","")&amp;IF(AND(ISNUMBER($D289),ISNUMBER($E289),$E289&lt;=$D289),"Bottom depth is not below top depth. ","")&amp;IF($L289="Not confirmed","Bulk-density basis not confirmed with the lab — the coarse-fragment correction may be wrong or doubled. ","")&amp;IF(LAB_BULK_DENSITY_BASIS="Not confirmed","No lab bulk-density basis is on file in Settings (LAB_BULK_DENSITY_BASIS), so nothing checks this row. ","")&amp;IF(AND($L289&lt;&gt;"",LAB_BULK_DENSITY_BASIS&lt;&gt;"Not confirmed",$L289&lt;&gt;LAB_BULK_DENSITY_BASIS),"This row's bulk-density basis disagrees with the lab method on file. One of "&amp;"the two is wrong, and the coarse-fragment correction follows the row. ","")&amp;IF(AND(ISNUMBER($M289),OR($M289&lt;QC_BD_MIN,$M289&gt;QC_BD_MAX)),"Bulk density outside the plausible range for a mineral grassland soil. ","")&amp;IF(AND(ISNUMBER($N289),$N289&gt;QC_CARBON_PCT_MAX),"Organic carbon above the QC ceiling — check units, and whether this is an organic horizon. ","")&amp;IF(AND(ISNUMBER($J289),$J289&lt;QC_RECOVERY_MIN),"Recovered less than the QC minimum of the depth driven — the increments may not sit where you think. Do NOT stretch them back out. ","")&amp;IF(AND(ISNUMBER($K289),$K289&gt;0,$L289="Fine earth / total volume"),"Coarse fragments recorded and the lab basis already accounts for them — no further correction applied, which is correct. ",""))</f>
        <v/>
      </c>
      <c r="T289" s="6"/>
      <c r="U289" s="9" t="n">
        <f aca="false">IF($B289="",0,IF(COUNTIFS($B$5:$B289,$B289)=1,1,0))</f>
        <v>0</v>
      </c>
    </row>
    <row r="290" customFormat="false" ht="15" hidden="false" customHeight="false" outlineLevel="0" collapsed="false">
      <c r="A290" s="6"/>
      <c r="B290" s="6"/>
      <c r="C290" s="6"/>
      <c r="D290" s="6"/>
      <c r="E290" s="6"/>
      <c r="F290" s="9" t="str">
        <f aca="false">IF(OR($D290="",$E290=""),"",$E290-$D290)</f>
        <v/>
      </c>
      <c r="G290" s="6"/>
      <c r="H290" s="6"/>
      <c r="I290" s="6"/>
      <c r="J290" s="9" t="str">
        <f aca="false">IF(OR(NOT(ISNUMBER($H290)),NOT(ISNUMBER($I290)),$H290=0),"",$I290/$H290)</f>
        <v/>
      </c>
      <c r="K290" s="6"/>
      <c r="L290" s="8"/>
      <c r="M290" s="7"/>
      <c r="N290" s="7"/>
      <c r="O290" s="9" t="str">
        <f aca="false">IF(NOT(ISNUMBER($M290)),"",IF($L290="Fine earth / fine-earth volume",$M290*(1-IF(ISNUMBER($K290),$K290,0)/100),$M290))</f>
        <v/>
      </c>
      <c r="P290" s="9" t="str">
        <f aca="false">IF(OR(NOT(ISNUMBER($O290)),NOT(ISNUMBER($N290)),NOT(ISNUMBER($F290))),"",$O290*($N290/100)*$F290*10)</f>
        <v/>
      </c>
      <c r="Q290" s="9" t="str">
        <f aca="false">IF(OR(NOT(ISNUMBER($D290)),NOT(ISNUMBER($E290))),"",MAX(0,MIN($E290,SOIL_REPORTING_DEPTH_CM)-MIN($D290,SOIL_REPORTING_DEPTH_CM)))</f>
        <v/>
      </c>
      <c r="R290" s="9" t="str">
        <f aca="false">IF(OR(NOT(ISNUMBER($O290)),NOT(ISNUMBER($N290)),NOT(ISNUMBER($Q290))),"",$O290*($N290/100)*$Q290*10)</f>
        <v/>
      </c>
      <c r="S290" s="11" t="str">
        <f aca="false">IF(AND($A290="",$B290="",$D290=""),"",IF(AND($A290&lt;&gt;"",COUNTIF('1. Plot &amp; Site Log'!$A$5:$A$64,$A290)=0),"Plot ID not in the Plot &amp; Site Log. ","")&amp;IF(AND(ISNUMBER($D290),ISNUMBER($E290),$E290&lt;=$D290),"Bottom depth is not below top depth. ","")&amp;IF($L290="Not confirmed","Bulk-density basis not confirmed with the lab — the coarse-fragment correction may be wrong or doubled. ","")&amp;IF(LAB_BULK_DENSITY_BASIS="Not confirmed","No lab bulk-density basis is on file in Settings (LAB_BULK_DENSITY_BASIS), so nothing checks this row. ","")&amp;IF(AND($L290&lt;&gt;"",LAB_BULK_DENSITY_BASIS&lt;&gt;"Not confirmed",$L290&lt;&gt;LAB_BULK_DENSITY_BASIS),"This row's bulk-density basis disagrees with the lab method on file. One of "&amp;"the two is wrong, and the coarse-fragment correction follows the row. ","")&amp;IF(AND(ISNUMBER($M290),OR($M290&lt;QC_BD_MIN,$M290&gt;QC_BD_MAX)),"Bulk density outside the plausible range for a mineral grassland soil. ","")&amp;IF(AND(ISNUMBER($N290),$N290&gt;QC_CARBON_PCT_MAX),"Organic carbon above the QC ceiling — check units, and whether this is an organic horizon. ","")&amp;IF(AND(ISNUMBER($J290),$J290&lt;QC_RECOVERY_MIN),"Recovered less than the QC minimum of the depth driven — the increments may not sit where you think. Do NOT stretch them back out. ","")&amp;IF(AND(ISNUMBER($K290),$K290&gt;0,$L290="Fine earth / total volume"),"Coarse fragments recorded and the lab basis already accounts for them — no further correction applied, which is correct. ",""))</f>
        <v/>
      </c>
      <c r="T290" s="6"/>
      <c r="U290" s="9" t="n">
        <f aca="false">IF($B290="",0,IF(COUNTIFS($B$5:$B290,$B290)=1,1,0))</f>
        <v>0</v>
      </c>
    </row>
    <row r="291" customFormat="false" ht="15" hidden="false" customHeight="false" outlineLevel="0" collapsed="false">
      <c r="A291" s="6"/>
      <c r="B291" s="6"/>
      <c r="C291" s="6"/>
      <c r="D291" s="6"/>
      <c r="E291" s="6"/>
      <c r="F291" s="9" t="str">
        <f aca="false">IF(OR($D291="",$E291=""),"",$E291-$D291)</f>
        <v/>
      </c>
      <c r="G291" s="6"/>
      <c r="H291" s="6"/>
      <c r="I291" s="6"/>
      <c r="J291" s="9" t="str">
        <f aca="false">IF(OR(NOT(ISNUMBER($H291)),NOT(ISNUMBER($I291)),$H291=0),"",$I291/$H291)</f>
        <v/>
      </c>
      <c r="K291" s="6"/>
      <c r="L291" s="8"/>
      <c r="M291" s="7"/>
      <c r="N291" s="7"/>
      <c r="O291" s="9" t="str">
        <f aca="false">IF(NOT(ISNUMBER($M291)),"",IF($L291="Fine earth / fine-earth volume",$M291*(1-IF(ISNUMBER($K291),$K291,0)/100),$M291))</f>
        <v/>
      </c>
      <c r="P291" s="9" t="str">
        <f aca="false">IF(OR(NOT(ISNUMBER($O291)),NOT(ISNUMBER($N291)),NOT(ISNUMBER($F291))),"",$O291*($N291/100)*$F291*10)</f>
        <v/>
      </c>
      <c r="Q291" s="9" t="str">
        <f aca="false">IF(OR(NOT(ISNUMBER($D291)),NOT(ISNUMBER($E291))),"",MAX(0,MIN($E291,SOIL_REPORTING_DEPTH_CM)-MIN($D291,SOIL_REPORTING_DEPTH_CM)))</f>
        <v/>
      </c>
      <c r="R291" s="9" t="str">
        <f aca="false">IF(OR(NOT(ISNUMBER($O291)),NOT(ISNUMBER($N291)),NOT(ISNUMBER($Q291))),"",$O291*($N291/100)*$Q291*10)</f>
        <v/>
      </c>
      <c r="S291" s="11" t="str">
        <f aca="false">IF(AND($A291="",$B291="",$D291=""),"",IF(AND($A291&lt;&gt;"",COUNTIF('1. Plot &amp; Site Log'!$A$5:$A$64,$A291)=0),"Plot ID not in the Plot &amp; Site Log. ","")&amp;IF(AND(ISNUMBER($D291),ISNUMBER($E291),$E291&lt;=$D291),"Bottom depth is not below top depth. ","")&amp;IF($L291="Not confirmed","Bulk-density basis not confirmed with the lab — the coarse-fragment correction may be wrong or doubled. ","")&amp;IF(LAB_BULK_DENSITY_BASIS="Not confirmed","No lab bulk-density basis is on file in Settings (LAB_BULK_DENSITY_BASIS), so nothing checks this row. ","")&amp;IF(AND($L291&lt;&gt;"",LAB_BULK_DENSITY_BASIS&lt;&gt;"Not confirmed",$L291&lt;&gt;LAB_BULK_DENSITY_BASIS),"This row's bulk-density basis disagrees with the lab method on file. One of "&amp;"the two is wrong, and the coarse-fragment correction follows the row. ","")&amp;IF(AND(ISNUMBER($M291),OR($M291&lt;QC_BD_MIN,$M291&gt;QC_BD_MAX)),"Bulk density outside the plausible range for a mineral grassland soil. ","")&amp;IF(AND(ISNUMBER($N291),$N291&gt;QC_CARBON_PCT_MAX),"Organic carbon above the QC ceiling — check units, and whether this is an organic horizon. ","")&amp;IF(AND(ISNUMBER($J291),$J291&lt;QC_RECOVERY_MIN),"Recovered less than the QC minimum of the depth driven — the increments may not sit where you think. Do NOT stretch them back out. ","")&amp;IF(AND(ISNUMBER($K291),$K291&gt;0,$L291="Fine earth / total volume"),"Coarse fragments recorded and the lab basis already accounts for them — no further correction applied, which is correct. ",""))</f>
        <v/>
      </c>
      <c r="T291" s="6"/>
      <c r="U291" s="9" t="n">
        <f aca="false">IF($B291="",0,IF(COUNTIFS($B$5:$B291,$B291)=1,1,0))</f>
        <v>0</v>
      </c>
    </row>
    <row r="292" customFormat="false" ht="15" hidden="false" customHeight="false" outlineLevel="0" collapsed="false">
      <c r="A292" s="6"/>
      <c r="B292" s="6"/>
      <c r="C292" s="6"/>
      <c r="D292" s="6"/>
      <c r="E292" s="6"/>
      <c r="F292" s="9" t="str">
        <f aca="false">IF(OR($D292="",$E292=""),"",$E292-$D292)</f>
        <v/>
      </c>
      <c r="G292" s="6"/>
      <c r="H292" s="6"/>
      <c r="I292" s="6"/>
      <c r="J292" s="9" t="str">
        <f aca="false">IF(OR(NOT(ISNUMBER($H292)),NOT(ISNUMBER($I292)),$H292=0),"",$I292/$H292)</f>
        <v/>
      </c>
      <c r="K292" s="6"/>
      <c r="L292" s="8"/>
      <c r="M292" s="7"/>
      <c r="N292" s="7"/>
      <c r="O292" s="9" t="str">
        <f aca="false">IF(NOT(ISNUMBER($M292)),"",IF($L292="Fine earth / fine-earth volume",$M292*(1-IF(ISNUMBER($K292),$K292,0)/100),$M292))</f>
        <v/>
      </c>
      <c r="P292" s="9" t="str">
        <f aca="false">IF(OR(NOT(ISNUMBER($O292)),NOT(ISNUMBER($N292)),NOT(ISNUMBER($F292))),"",$O292*($N292/100)*$F292*10)</f>
        <v/>
      </c>
      <c r="Q292" s="9" t="str">
        <f aca="false">IF(OR(NOT(ISNUMBER($D292)),NOT(ISNUMBER($E292))),"",MAX(0,MIN($E292,SOIL_REPORTING_DEPTH_CM)-MIN($D292,SOIL_REPORTING_DEPTH_CM)))</f>
        <v/>
      </c>
      <c r="R292" s="9" t="str">
        <f aca="false">IF(OR(NOT(ISNUMBER($O292)),NOT(ISNUMBER($N292)),NOT(ISNUMBER($Q292))),"",$O292*($N292/100)*$Q292*10)</f>
        <v/>
      </c>
      <c r="S292" s="11" t="str">
        <f aca="false">IF(AND($A292="",$B292="",$D292=""),"",IF(AND($A292&lt;&gt;"",COUNTIF('1. Plot &amp; Site Log'!$A$5:$A$64,$A292)=0),"Plot ID not in the Plot &amp; Site Log. ","")&amp;IF(AND(ISNUMBER($D292),ISNUMBER($E292),$E292&lt;=$D292),"Bottom depth is not below top depth. ","")&amp;IF($L292="Not confirmed","Bulk-density basis not confirmed with the lab — the coarse-fragment correction may be wrong or doubled. ","")&amp;IF(LAB_BULK_DENSITY_BASIS="Not confirmed","No lab bulk-density basis is on file in Settings (LAB_BULK_DENSITY_BASIS), so nothing checks this row. ","")&amp;IF(AND($L292&lt;&gt;"",LAB_BULK_DENSITY_BASIS&lt;&gt;"Not confirmed",$L292&lt;&gt;LAB_BULK_DENSITY_BASIS),"This row's bulk-density basis disagrees with the lab method on file. One of "&amp;"the two is wrong, and the coarse-fragment correction follows the row. ","")&amp;IF(AND(ISNUMBER($M292),OR($M292&lt;QC_BD_MIN,$M292&gt;QC_BD_MAX)),"Bulk density outside the plausible range for a mineral grassland soil. ","")&amp;IF(AND(ISNUMBER($N292),$N292&gt;QC_CARBON_PCT_MAX),"Organic carbon above the QC ceiling — check units, and whether this is an organic horizon. ","")&amp;IF(AND(ISNUMBER($J292),$J292&lt;QC_RECOVERY_MIN),"Recovered less than the QC minimum of the depth driven — the increments may not sit where you think. Do NOT stretch them back out. ","")&amp;IF(AND(ISNUMBER($K292),$K292&gt;0,$L292="Fine earth / total volume"),"Coarse fragments recorded and the lab basis already accounts for them — no further correction applied, which is correct. ",""))</f>
        <v/>
      </c>
      <c r="T292" s="6"/>
      <c r="U292" s="9" t="n">
        <f aca="false">IF($B292="",0,IF(COUNTIFS($B$5:$B292,$B292)=1,1,0))</f>
        <v>0</v>
      </c>
    </row>
    <row r="293" customFormat="false" ht="15" hidden="false" customHeight="false" outlineLevel="0" collapsed="false">
      <c r="A293" s="6"/>
      <c r="B293" s="6"/>
      <c r="C293" s="6"/>
      <c r="D293" s="6"/>
      <c r="E293" s="6"/>
      <c r="F293" s="9" t="str">
        <f aca="false">IF(OR($D293="",$E293=""),"",$E293-$D293)</f>
        <v/>
      </c>
      <c r="G293" s="6"/>
      <c r="H293" s="6"/>
      <c r="I293" s="6"/>
      <c r="J293" s="9" t="str">
        <f aca="false">IF(OR(NOT(ISNUMBER($H293)),NOT(ISNUMBER($I293)),$H293=0),"",$I293/$H293)</f>
        <v/>
      </c>
      <c r="K293" s="6"/>
      <c r="L293" s="8"/>
      <c r="M293" s="7"/>
      <c r="N293" s="7"/>
      <c r="O293" s="9" t="str">
        <f aca="false">IF(NOT(ISNUMBER($M293)),"",IF($L293="Fine earth / fine-earth volume",$M293*(1-IF(ISNUMBER($K293),$K293,0)/100),$M293))</f>
        <v/>
      </c>
      <c r="P293" s="9" t="str">
        <f aca="false">IF(OR(NOT(ISNUMBER($O293)),NOT(ISNUMBER($N293)),NOT(ISNUMBER($F293))),"",$O293*($N293/100)*$F293*10)</f>
        <v/>
      </c>
      <c r="Q293" s="9" t="str">
        <f aca="false">IF(OR(NOT(ISNUMBER($D293)),NOT(ISNUMBER($E293))),"",MAX(0,MIN($E293,SOIL_REPORTING_DEPTH_CM)-MIN($D293,SOIL_REPORTING_DEPTH_CM)))</f>
        <v/>
      </c>
      <c r="R293" s="9" t="str">
        <f aca="false">IF(OR(NOT(ISNUMBER($O293)),NOT(ISNUMBER($N293)),NOT(ISNUMBER($Q293))),"",$O293*($N293/100)*$Q293*10)</f>
        <v/>
      </c>
      <c r="S293" s="11" t="str">
        <f aca="false">IF(AND($A293="",$B293="",$D293=""),"",IF(AND($A293&lt;&gt;"",COUNTIF('1. Plot &amp; Site Log'!$A$5:$A$64,$A293)=0),"Plot ID not in the Plot &amp; Site Log. ","")&amp;IF(AND(ISNUMBER($D293),ISNUMBER($E293),$E293&lt;=$D293),"Bottom depth is not below top depth. ","")&amp;IF($L293="Not confirmed","Bulk-density basis not confirmed with the lab — the coarse-fragment correction may be wrong or doubled. ","")&amp;IF(LAB_BULK_DENSITY_BASIS="Not confirmed","No lab bulk-density basis is on file in Settings (LAB_BULK_DENSITY_BASIS), so nothing checks this row. ","")&amp;IF(AND($L293&lt;&gt;"",LAB_BULK_DENSITY_BASIS&lt;&gt;"Not confirmed",$L293&lt;&gt;LAB_BULK_DENSITY_BASIS),"This row's bulk-density basis disagrees with the lab method on file. One of "&amp;"the two is wrong, and the coarse-fragment correction follows the row. ","")&amp;IF(AND(ISNUMBER($M293),OR($M293&lt;QC_BD_MIN,$M293&gt;QC_BD_MAX)),"Bulk density outside the plausible range for a mineral grassland soil. ","")&amp;IF(AND(ISNUMBER($N293),$N293&gt;QC_CARBON_PCT_MAX),"Organic carbon above the QC ceiling — check units, and whether this is an organic horizon. ","")&amp;IF(AND(ISNUMBER($J293),$J293&lt;QC_RECOVERY_MIN),"Recovered less than the QC minimum of the depth driven — the increments may not sit where you think. Do NOT stretch them back out. ","")&amp;IF(AND(ISNUMBER($K293),$K293&gt;0,$L293="Fine earth / total volume"),"Coarse fragments recorded and the lab basis already accounts for them — no further correction applied, which is correct. ",""))</f>
        <v/>
      </c>
      <c r="T293" s="6"/>
      <c r="U293" s="9" t="n">
        <f aca="false">IF($B293="",0,IF(COUNTIFS($B$5:$B293,$B293)=1,1,0))</f>
        <v>0</v>
      </c>
    </row>
    <row r="294" customFormat="false" ht="15" hidden="false" customHeight="false" outlineLevel="0" collapsed="false">
      <c r="A294" s="6"/>
      <c r="B294" s="6"/>
      <c r="C294" s="6"/>
      <c r="D294" s="6"/>
      <c r="E294" s="6"/>
      <c r="F294" s="9" t="str">
        <f aca="false">IF(OR($D294="",$E294=""),"",$E294-$D294)</f>
        <v/>
      </c>
      <c r="G294" s="6"/>
      <c r="H294" s="6"/>
      <c r="I294" s="6"/>
      <c r="J294" s="9" t="str">
        <f aca="false">IF(OR(NOT(ISNUMBER($H294)),NOT(ISNUMBER($I294)),$H294=0),"",$I294/$H294)</f>
        <v/>
      </c>
      <c r="K294" s="6"/>
      <c r="L294" s="8"/>
      <c r="M294" s="7"/>
      <c r="N294" s="7"/>
      <c r="O294" s="9" t="str">
        <f aca="false">IF(NOT(ISNUMBER($M294)),"",IF($L294="Fine earth / fine-earth volume",$M294*(1-IF(ISNUMBER($K294),$K294,0)/100),$M294))</f>
        <v/>
      </c>
      <c r="P294" s="9" t="str">
        <f aca="false">IF(OR(NOT(ISNUMBER($O294)),NOT(ISNUMBER($N294)),NOT(ISNUMBER($F294))),"",$O294*($N294/100)*$F294*10)</f>
        <v/>
      </c>
      <c r="Q294" s="9" t="str">
        <f aca="false">IF(OR(NOT(ISNUMBER($D294)),NOT(ISNUMBER($E294))),"",MAX(0,MIN($E294,SOIL_REPORTING_DEPTH_CM)-MIN($D294,SOIL_REPORTING_DEPTH_CM)))</f>
        <v/>
      </c>
      <c r="R294" s="9" t="str">
        <f aca="false">IF(OR(NOT(ISNUMBER($O294)),NOT(ISNUMBER($N294)),NOT(ISNUMBER($Q294))),"",$O294*($N294/100)*$Q294*10)</f>
        <v/>
      </c>
      <c r="S294" s="11" t="str">
        <f aca="false">IF(AND($A294="",$B294="",$D294=""),"",IF(AND($A294&lt;&gt;"",COUNTIF('1. Plot &amp; Site Log'!$A$5:$A$64,$A294)=0),"Plot ID not in the Plot &amp; Site Log. ","")&amp;IF(AND(ISNUMBER($D294),ISNUMBER($E294),$E294&lt;=$D294),"Bottom depth is not below top depth. ","")&amp;IF($L294="Not confirmed","Bulk-density basis not confirmed with the lab — the coarse-fragment correction may be wrong or doubled. ","")&amp;IF(LAB_BULK_DENSITY_BASIS="Not confirmed","No lab bulk-density basis is on file in Settings (LAB_BULK_DENSITY_BASIS), so nothing checks this row. ","")&amp;IF(AND($L294&lt;&gt;"",LAB_BULK_DENSITY_BASIS&lt;&gt;"Not confirmed",$L294&lt;&gt;LAB_BULK_DENSITY_BASIS),"This row's bulk-density basis disagrees with the lab method on file. One of "&amp;"the two is wrong, and the coarse-fragment correction follows the row. ","")&amp;IF(AND(ISNUMBER($M294),OR($M294&lt;QC_BD_MIN,$M294&gt;QC_BD_MAX)),"Bulk density outside the plausible range for a mineral grassland soil. ","")&amp;IF(AND(ISNUMBER($N294),$N294&gt;QC_CARBON_PCT_MAX),"Organic carbon above the QC ceiling — check units, and whether this is an organic horizon. ","")&amp;IF(AND(ISNUMBER($J294),$J294&lt;QC_RECOVERY_MIN),"Recovered less than the QC minimum of the depth driven — the increments may not sit where you think. Do NOT stretch them back out. ","")&amp;IF(AND(ISNUMBER($K294),$K294&gt;0,$L294="Fine earth / total volume"),"Coarse fragments recorded and the lab basis already accounts for them — no further correction applied, which is correct. ",""))</f>
        <v/>
      </c>
      <c r="T294" s="6"/>
      <c r="U294" s="9" t="n">
        <f aca="false">IF($B294="",0,IF(COUNTIFS($B$5:$B294,$B294)=1,1,0))</f>
        <v>0</v>
      </c>
    </row>
    <row r="295" customFormat="false" ht="15" hidden="false" customHeight="false" outlineLevel="0" collapsed="false">
      <c r="A295" s="6"/>
      <c r="B295" s="6"/>
      <c r="C295" s="6"/>
      <c r="D295" s="6"/>
      <c r="E295" s="6"/>
      <c r="F295" s="9" t="str">
        <f aca="false">IF(OR($D295="",$E295=""),"",$E295-$D295)</f>
        <v/>
      </c>
      <c r="G295" s="6"/>
      <c r="H295" s="6"/>
      <c r="I295" s="6"/>
      <c r="J295" s="9" t="str">
        <f aca="false">IF(OR(NOT(ISNUMBER($H295)),NOT(ISNUMBER($I295)),$H295=0),"",$I295/$H295)</f>
        <v/>
      </c>
      <c r="K295" s="6"/>
      <c r="L295" s="8"/>
      <c r="M295" s="7"/>
      <c r="N295" s="7"/>
      <c r="O295" s="9" t="str">
        <f aca="false">IF(NOT(ISNUMBER($M295)),"",IF($L295="Fine earth / fine-earth volume",$M295*(1-IF(ISNUMBER($K295),$K295,0)/100),$M295))</f>
        <v/>
      </c>
      <c r="P295" s="9" t="str">
        <f aca="false">IF(OR(NOT(ISNUMBER($O295)),NOT(ISNUMBER($N295)),NOT(ISNUMBER($F295))),"",$O295*($N295/100)*$F295*10)</f>
        <v/>
      </c>
      <c r="Q295" s="9" t="str">
        <f aca="false">IF(OR(NOT(ISNUMBER($D295)),NOT(ISNUMBER($E295))),"",MAX(0,MIN($E295,SOIL_REPORTING_DEPTH_CM)-MIN($D295,SOIL_REPORTING_DEPTH_CM)))</f>
        <v/>
      </c>
      <c r="R295" s="9" t="str">
        <f aca="false">IF(OR(NOT(ISNUMBER($O295)),NOT(ISNUMBER($N295)),NOT(ISNUMBER($Q295))),"",$O295*($N295/100)*$Q295*10)</f>
        <v/>
      </c>
      <c r="S295" s="11" t="str">
        <f aca="false">IF(AND($A295="",$B295="",$D295=""),"",IF(AND($A295&lt;&gt;"",COUNTIF('1. Plot &amp; Site Log'!$A$5:$A$64,$A295)=0),"Plot ID not in the Plot &amp; Site Log. ","")&amp;IF(AND(ISNUMBER($D295),ISNUMBER($E295),$E295&lt;=$D295),"Bottom depth is not below top depth. ","")&amp;IF($L295="Not confirmed","Bulk-density basis not confirmed with the lab — the coarse-fragment correction may be wrong or doubled. ","")&amp;IF(LAB_BULK_DENSITY_BASIS="Not confirmed","No lab bulk-density basis is on file in Settings (LAB_BULK_DENSITY_BASIS), so nothing checks this row. ","")&amp;IF(AND($L295&lt;&gt;"",LAB_BULK_DENSITY_BASIS&lt;&gt;"Not confirmed",$L295&lt;&gt;LAB_BULK_DENSITY_BASIS),"This row's bulk-density basis disagrees with the lab method on file. One of "&amp;"the two is wrong, and the coarse-fragment correction follows the row. ","")&amp;IF(AND(ISNUMBER($M295),OR($M295&lt;QC_BD_MIN,$M295&gt;QC_BD_MAX)),"Bulk density outside the plausible range for a mineral grassland soil. ","")&amp;IF(AND(ISNUMBER($N295),$N295&gt;QC_CARBON_PCT_MAX),"Organic carbon above the QC ceiling — check units, and whether this is an organic horizon. ","")&amp;IF(AND(ISNUMBER($J295),$J295&lt;QC_RECOVERY_MIN),"Recovered less than the QC minimum of the depth driven — the increments may not sit where you think. Do NOT stretch them back out. ","")&amp;IF(AND(ISNUMBER($K295),$K295&gt;0,$L295="Fine earth / total volume"),"Coarse fragments recorded and the lab basis already accounts for them — no further correction applied, which is correct. ",""))</f>
        <v/>
      </c>
      <c r="T295" s="6"/>
      <c r="U295" s="9" t="n">
        <f aca="false">IF($B295="",0,IF(COUNTIFS($B$5:$B295,$B295)=1,1,0))</f>
        <v>0</v>
      </c>
    </row>
    <row r="296" customFormat="false" ht="15" hidden="false" customHeight="false" outlineLevel="0" collapsed="false">
      <c r="A296" s="6"/>
      <c r="B296" s="6"/>
      <c r="C296" s="6"/>
      <c r="D296" s="6"/>
      <c r="E296" s="6"/>
      <c r="F296" s="9" t="str">
        <f aca="false">IF(OR($D296="",$E296=""),"",$E296-$D296)</f>
        <v/>
      </c>
      <c r="G296" s="6"/>
      <c r="H296" s="6"/>
      <c r="I296" s="6"/>
      <c r="J296" s="9" t="str">
        <f aca="false">IF(OR(NOT(ISNUMBER($H296)),NOT(ISNUMBER($I296)),$H296=0),"",$I296/$H296)</f>
        <v/>
      </c>
      <c r="K296" s="6"/>
      <c r="L296" s="8"/>
      <c r="M296" s="7"/>
      <c r="N296" s="7"/>
      <c r="O296" s="9" t="str">
        <f aca="false">IF(NOT(ISNUMBER($M296)),"",IF($L296="Fine earth / fine-earth volume",$M296*(1-IF(ISNUMBER($K296),$K296,0)/100),$M296))</f>
        <v/>
      </c>
      <c r="P296" s="9" t="str">
        <f aca="false">IF(OR(NOT(ISNUMBER($O296)),NOT(ISNUMBER($N296)),NOT(ISNUMBER($F296))),"",$O296*($N296/100)*$F296*10)</f>
        <v/>
      </c>
      <c r="Q296" s="9" t="str">
        <f aca="false">IF(OR(NOT(ISNUMBER($D296)),NOT(ISNUMBER($E296))),"",MAX(0,MIN($E296,SOIL_REPORTING_DEPTH_CM)-MIN($D296,SOIL_REPORTING_DEPTH_CM)))</f>
        <v/>
      </c>
      <c r="R296" s="9" t="str">
        <f aca="false">IF(OR(NOT(ISNUMBER($O296)),NOT(ISNUMBER($N296)),NOT(ISNUMBER($Q296))),"",$O296*($N296/100)*$Q296*10)</f>
        <v/>
      </c>
      <c r="S296" s="11" t="str">
        <f aca="false">IF(AND($A296="",$B296="",$D296=""),"",IF(AND($A296&lt;&gt;"",COUNTIF('1. Plot &amp; Site Log'!$A$5:$A$64,$A296)=0),"Plot ID not in the Plot &amp; Site Log. ","")&amp;IF(AND(ISNUMBER($D296),ISNUMBER($E296),$E296&lt;=$D296),"Bottom depth is not below top depth. ","")&amp;IF($L296="Not confirmed","Bulk-density basis not confirmed with the lab — the coarse-fragment correction may be wrong or doubled. ","")&amp;IF(LAB_BULK_DENSITY_BASIS="Not confirmed","No lab bulk-density basis is on file in Settings (LAB_BULK_DENSITY_BASIS), so nothing checks this row. ","")&amp;IF(AND($L296&lt;&gt;"",LAB_BULK_DENSITY_BASIS&lt;&gt;"Not confirmed",$L296&lt;&gt;LAB_BULK_DENSITY_BASIS),"This row's bulk-density basis disagrees with the lab method on file. One of "&amp;"the two is wrong, and the coarse-fragment correction follows the row. ","")&amp;IF(AND(ISNUMBER($M296),OR($M296&lt;QC_BD_MIN,$M296&gt;QC_BD_MAX)),"Bulk density outside the plausible range for a mineral grassland soil. ","")&amp;IF(AND(ISNUMBER($N296),$N296&gt;QC_CARBON_PCT_MAX),"Organic carbon above the QC ceiling — check units, and whether this is an organic horizon. ","")&amp;IF(AND(ISNUMBER($J296),$J296&lt;QC_RECOVERY_MIN),"Recovered less than the QC minimum of the depth driven — the increments may not sit where you think. Do NOT stretch them back out. ","")&amp;IF(AND(ISNUMBER($K296),$K296&gt;0,$L296="Fine earth / total volume"),"Coarse fragments recorded and the lab basis already accounts for them — no further correction applied, which is correct. ",""))</f>
        <v/>
      </c>
      <c r="T296" s="6"/>
      <c r="U296" s="9" t="n">
        <f aca="false">IF($B296="",0,IF(COUNTIFS($B$5:$B296,$B296)=1,1,0))</f>
        <v>0</v>
      </c>
    </row>
    <row r="297" customFormat="false" ht="15" hidden="false" customHeight="false" outlineLevel="0" collapsed="false">
      <c r="A297" s="6"/>
      <c r="B297" s="6"/>
      <c r="C297" s="6"/>
      <c r="D297" s="6"/>
      <c r="E297" s="6"/>
      <c r="F297" s="9" t="str">
        <f aca="false">IF(OR($D297="",$E297=""),"",$E297-$D297)</f>
        <v/>
      </c>
      <c r="G297" s="6"/>
      <c r="H297" s="6"/>
      <c r="I297" s="6"/>
      <c r="J297" s="9" t="str">
        <f aca="false">IF(OR(NOT(ISNUMBER($H297)),NOT(ISNUMBER($I297)),$H297=0),"",$I297/$H297)</f>
        <v/>
      </c>
      <c r="K297" s="6"/>
      <c r="L297" s="8"/>
      <c r="M297" s="7"/>
      <c r="N297" s="7"/>
      <c r="O297" s="9" t="str">
        <f aca="false">IF(NOT(ISNUMBER($M297)),"",IF($L297="Fine earth / fine-earth volume",$M297*(1-IF(ISNUMBER($K297),$K297,0)/100),$M297))</f>
        <v/>
      </c>
      <c r="P297" s="9" t="str">
        <f aca="false">IF(OR(NOT(ISNUMBER($O297)),NOT(ISNUMBER($N297)),NOT(ISNUMBER($F297))),"",$O297*($N297/100)*$F297*10)</f>
        <v/>
      </c>
      <c r="Q297" s="9" t="str">
        <f aca="false">IF(OR(NOT(ISNUMBER($D297)),NOT(ISNUMBER($E297))),"",MAX(0,MIN($E297,SOIL_REPORTING_DEPTH_CM)-MIN($D297,SOIL_REPORTING_DEPTH_CM)))</f>
        <v/>
      </c>
      <c r="R297" s="9" t="str">
        <f aca="false">IF(OR(NOT(ISNUMBER($O297)),NOT(ISNUMBER($N297)),NOT(ISNUMBER($Q297))),"",$O297*($N297/100)*$Q297*10)</f>
        <v/>
      </c>
      <c r="S297" s="11" t="str">
        <f aca="false">IF(AND($A297="",$B297="",$D297=""),"",IF(AND($A297&lt;&gt;"",COUNTIF('1. Plot &amp; Site Log'!$A$5:$A$64,$A297)=0),"Plot ID not in the Plot &amp; Site Log. ","")&amp;IF(AND(ISNUMBER($D297),ISNUMBER($E297),$E297&lt;=$D297),"Bottom depth is not below top depth. ","")&amp;IF($L297="Not confirmed","Bulk-density basis not confirmed with the lab — the coarse-fragment correction may be wrong or doubled. ","")&amp;IF(LAB_BULK_DENSITY_BASIS="Not confirmed","No lab bulk-density basis is on file in Settings (LAB_BULK_DENSITY_BASIS), so nothing checks this row. ","")&amp;IF(AND($L297&lt;&gt;"",LAB_BULK_DENSITY_BASIS&lt;&gt;"Not confirmed",$L297&lt;&gt;LAB_BULK_DENSITY_BASIS),"This row's bulk-density basis disagrees with the lab method on file. One of "&amp;"the two is wrong, and the coarse-fragment correction follows the row. ","")&amp;IF(AND(ISNUMBER($M297),OR($M297&lt;QC_BD_MIN,$M297&gt;QC_BD_MAX)),"Bulk density outside the plausible range for a mineral grassland soil. ","")&amp;IF(AND(ISNUMBER($N297),$N297&gt;QC_CARBON_PCT_MAX),"Organic carbon above the QC ceiling — check units, and whether this is an organic horizon. ","")&amp;IF(AND(ISNUMBER($J297),$J297&lt;QC_RECOVERY_MIN),"Recovered less than the QC minimum of the depth driven — the increments may not sit where you think. Do NOT stretch them back out. ","")&amp;IF(AND(ISNUMBER($K297),$K297&gt;0,$L297="Fine earth / total volume"),"Coarse fragments recorded and the lab basis already accounts for them — no further correction applied, which is correct. ",""))</f>
        <v/>
      </c>
      <c r="T297" s="6"/>
      <c r="U297" s="9" t="n">
        <f aca="false">IF($B297="",0,IF(COUNTIFS($B$5:$B297,$B297)=1,1,0))</f>
        <v>0</v>
      </c>
    </row>
    <row r="298" customFormat="false" ht="15" hidden="false" customHeight="false" outlineLevel="0" collapsed="false">
      <c r="A298" s="6"/>
      <c r="B298" s="6"/>
      <c r="C298" s="6"/>
      <c r="D298" s="6"/>
      <c r="E298" s="6"/>
      <c r="F298" s="9" t="str">
        <f aca="false">IF(OR($D298="",$E298=""),"",$E298-$D298)</f>
        <v/>
      </c>
      <c r="G298" s="6"/>
      <c r="H298" s="6"/>
      <c r="I298" s="6"/>
      <c r="J298" s="9" t="str">
        <f aca="false">IF(OR(NOT(ISNUMBER($H298)),NOT(ISNUMBER($I298)),$H298=0),"",$I298/$H298)</f>
        <v/>
      </c>
      <c r="K298" s="6"/>
      <c r="L298" s="8"/>
      <c r="M298" s="7"/>
      <c r="N298" s="7"/>
      <c r="O298" s="9" t="str">
        <f aca="false">IF(NOT(ISNUMBER($M298)),"",IF($L298="Fine earth / fine-earth volume",$M298*(1-IF(ISNUMBER($K298),$K298,0)/100),$M298))</f>
        <v/>
      </c>
      <c r="P298" s="9" t="str">
        <f aca="false">IF(OR(NOT(ISNUMBER($O298)),NOT(ISNUMBER($N298)),NOT(ISNUMBER($F298))),"",$O298*($N298/100)*$F298*10)</f>
        <v/>
      </c>
      <c r="Q298" s="9" t="str">
        <f aca="false">IF(OR(NOT(ISNUMBER($D298)),NOT(ISNUMBER($E298))),"",MAX(0,MIN($E298,SOIL_REPORTING_DEPTH_CM)-MIN($D298,SOIL_REPORTING_DEPTH_CM)))</f>
        <v/>
      </c>
      <c r="R298" s="9" t="str">
        <f aca="false">IF(OR(NOT(ISNUMBER($O298)),NOT(ISNUMBER($N298)),NOT(ISNUMBER($Q298))),"",$O298*($N298/100)*$Q298*10)</f>
        <v/>
      </c>
      <c r="S298" s="11" t="str">
        <f aca="false">IF(AND($A298="",$B298="",$D298=""),"",IF(AND($A298&lt;&gt;"",COUNTIF('1. Plot &amp; Site Log'!$A$5:$A$64,$A298)=0),"Plot ID not in the Plot &amp; Site Log. ","")&amp;IF(AND(ISNUMBER($D298),ISNUMBER($E298),$E298&lt;=$D298),"Bottom depth is not below top depth. ","")&amp;IF($L298="Not confirmed","Bulk-density basis not confirmed with the lab — the coarse-fragment correction may be wrong or doubled. ","")&amp;IF(LAB_BULK_DENSITY_BASIS="Not confirmed","No lab bulk-density basis is on file in Settings (LAB_BULK_DENSITY_BASIS), so nothing checks this row. ","")&amp;IF(AND($L298&lt;&gt;"",LAB_BULK_DENSITY_BASIS&lt;&gt;"Not confirmed",$L298&lt;&gt;LAB_BULK_DENSITY_BASIS),"This row's bulk-density basis disagrees with the lab method on file. One of "&amp;"the two is wrong, and the coarse-fragment correction follows the row. ","")&amp;IF(AND(ISNUMBER($M298),OR($M298&lt;QC_BD_MIN,$M298&gt;QC_BD_MAX)),"Bulk density outside the plausible range for a mineral grassland soil. ","")&amp;IF(AND(ISNUMBER($N298),$N298&gt;QC_CARBON_PCT_MAX),"Organic carbon above the QC ceiling — check units, and whether this is an organic horizon. ","")&amp;IF(AND(ISNUMBER($J298),$J298&lt;QC_RECOVERY_MIN),"Recovered less than the QC minimum of the depth driven — the increments may not sit where you think. Do NOT stretch them back out. ","")&amp;IF(AND(ISNUMBER($K298),$K298&gt;0,$L298="Fine earth / total volume"),"Coarse fragments recorded and the lab basis already accounts for them — no further correction applied, which is correct. ",""))</f>
        <v/>
      </c>
      <c r="T298" s="6"/>
      <c r="U298" s="9" t="n">
        <f aca="false">IF($B298="",0,IF(COUNTIFS($B$5:$B298,$B298)=1,1,0))</f>
        <v>0</v>
      </c>
    </row>
    <row r="299" customFormat="false" ht="15" hidden="false" customHeight="false" outlineLevel="0" collapsed="false">
      <c r="A299" s="6"/>
      <c r="B299" s="6"/>
      <c r="C299" s="6"/>
      <c r="D299" s="6"/>
      <c r="E299" s="6"/>
      <c r="F299" s="9" t="str">
        <f aca="false">IF(OR($D299="",$E299=""),"",$E299-$D299)</f>
        <v/>
      </c>
      <c r="G299" s="6"/>
      <c r="H299" s="6"/>
      <c r="I299" s="6"/>
      <c r="J299" s="9" t="str">
        <f aca="false">IF(OR(NOT(ISNUMBER($H299)),NOT(ISNUMBER($I299)),$H299=0),"",$I299/$H299)</f>
        <v/>
      </c>
      <c r="K299" s="6"/>
      <c r="L299" s="8"/>
      <c r="M299" s="7"/>
      <c r="N299" s="7"/>
      <c r="O299" s="9" t="str">
        <f aca="false">IF(NOT(ISNUMBER($M299)),"",IF($L299="Fine earth / fine-earth volume",$M299*(1-IF(ISNUMBER($K299),$K299,0)/100),$M299))</f>
        <v/>
      </c>
      <c r="P299" s="9" t="str">
        <f aca="false">IF(OR(NOT(ISNUMBER($O299)),NOT(ISNUMBER($N299)),NOT(ISNUMBER($F299))),"",$O299*($N299/100)*$F299*10)</f>
        <v/>
      </c>
      <c r="Q299" s="9" t="str">
        <f aca="false">IF(OR(NOT(ISNUMBER($D299)),NOT(ISNUMBER($E299))),"",MAX(0,MIN($E299,SOIL_REPORTING_DEPTH_CM)-MIN($D299,SOIL_REPORTING_DEPTH_CM)))</f>
        <v/>
      </c>
      <c r="R299" s="9" t="str">
        <f aca="false">IF(OR(NOT(ISNUMBER($O299)),NOT(ISNUMBER($N299)),NOT(ISNUMBER($Q299))),"",$O299*($N299/100)*$Q299*10)</f>
        <v/>
      </c>
      <c r="S299" s="11" t="str">
        <f aca="false">IF(AND($A299="",$B299="",$D299=""),"",IF(AND($A299&lt;&gt;"",COUNTIF('1. Plot &amp; Site Log'!$A$5:$A$64,$A299)=0),"Plot ID not in the Plot &amp; Site Log. ","")&amp;IF(AND(ISNUMBER($D299),ISNUMBER($E299),$E299&lt;=$D299),"Bottom depth is not below top depth. ","")&amp;IF($L299="Not confirmed","Bulk-density basis not confirmed with the lab — the coarse-fragment correction may be wrong or doubled. ","")&amp;IF(LAB_BULK_DENSITY_BASIS="Not confirmed","No lab bulk-density basis is on file in Settings (LAB_BULK_DENSITY_BASIS), so nothing checks this row. ","")&amp;IF(AND($L299&lt;&gt;"",LAB_BULK_DENSITY_BASIS&lt;&gt;"Not confirmed",$L299&lt;&gt;LAB_BULK_DENSITY_BASIS),"This row's bulk-density basis disagrees with the lab method on file. One of "&amp;"the two is wrong, and the coarse-fragment correction follows the row. ","")&amp;IF(AND(ISNUMBER($M299),OR($M299&lt;QC_BD_MIN,$M299&gt;QC_BD_MAX)),"Bulk density outside the plausible range for a mineral grassland soil. ","")&amp;IF(AND(ISNUMBER($N299),$N299&gt;QC_CARBON_PCT_MAX),"Organic carbon above the QC ceiling — check units, and whether this is an organic horizon. ","")&amp;IF(AND(ISNUMBER($J299),$J299&lt;QC_RECOVERY_MIN),"Recovered less than the QC minimum of the depth driven — the increments may not sit where you think. Do NOT stretch them back out. ","")&amp;IF(AND(ISNUMBER($K299),$K299&gt;0,$L299="Fine earth / total volume"),"Coarse fragments recorded and the lab basis already accounts for them — no further correction applied, which is correct. ",""))</f>
        <v/>
      </c>
      <c r="T299" s="6"/>
      <c r="U299" s="9" t="n">
        <f aca="false">IF($B299="",0,IF(COUNTIFS($B$5:$B299,$B299)=1,1,0))</f>
        <v>0</v>
      </c>
    </row>
    <row r="300" customFormat="false" ht="15" hidden="false" customHeight="false" outlineLevel="0" collapsed="false">
      <c r="A300" s="6"/>
      <c r="B300" s="6"/>
      <c r="C300" s="6"/>
      <c r="D300" s="6"/>
      <c r="E300" s="6"/>
      <c r="F300" s="9" t="str">
        <f aca="false">IF(OR($D300="",$E300=""),"",$E300-$D300)</f>
        <v/>
      </c>
      <c r="G300" s="6"/>
      <c r="H300" s="6"/>
      <c r="I300" s="6"/>
      <c r="J300" s="9" t="str">
        <f aca="false">IF(OR(NOT(ISNUMBER($H300)),NOT(ISNUMBER($I300)),$H300=0),"",$I300/$H300)</f>
        <v/>
      </c>
      <c r="K300" s="6"/>
      <c r="L300" s="8"/>
      <c r="M300" s="7"/>
      <c r="N300" s="7"/>
      <c r="O300" s="9" t="str">
        <f aca="false">IF(NOT(ISNUMBER($M300)),"",IF($L300="Fine earth / fine-earth volume",$M300*(1-IF(ISNUMBER($K300),$K300,0)/100),$M300))</f>
        <v/>
      </c>
      <c r="P300" s="9" t="str">
        <f aca="false">IF(OR(NOT(ISNUMBER($O300)),NOT(ISNUMBER($N300)),NOT(ISNUMBER($F300))),"",$O300*($N300/100)*$F300*10)</f>
        <v/>
      </c>
      <c r="Q300" s="9" t="str">
        <f aca="false">IF(OR(NOT(ISNUMBER($D300)),NOT(ISNUMBER($E300))),"",MAX(0,MIN($E300,SOIL_REPORTING_DEPTH_CM)-MIN($D300,SOIL_REPORTING_DEPTH_CM)))</f>
        <v/>
      </c>
      <c r="R300" s="9" t="str">
        <f aca="false">IF(OR(NOT(ISNUMBER($O300)),NOT(ISNUMBER($N300)),NOT(ISNUMBER($Q300))),"",$O300*($N300/100)*$Q300*10)</f>
        <v/>
      </c>
      <c r="S300" s="11" t="str">
        <f aca="false">IF(AND($A300="",$B300="",$D300=""),"",IF(AND($A300&lt;&gt;"",COUNTIF('1. Plot &amp; Site Log'!$A$5:$A$64,$A300)=0),"Plot ID not in the Plot &amp; Site Log. ","")&amp;IF(AND(ISNUMBER($D300),ISNUMBER($E300),$E300&lt;=$D300),"Bottom depth is not below top depth. ","")&amp;IF($L300="Not confirmed","Bulk-density basis not confirmed with the lab — the coarse-fragment correction may be wrong or doubled. ","")&amp;IF(LAB_BULK_DENSITY_BASIS="Not confirmed","No lab bulk-density basis is on file in Settings (LAB_BULK_DENSITY_BASIS), so nothing checks this row. ","")&amp;IF(AND($L300&lt;&gt;"",LAB_BULK_DENSITY_BASIS&lt;&gt;"Not confirmed",$L300&lt;&gt;LAB_BULK_DENSITY_BASIS),"This row's bulk-density basis disagrees with the lab method on file. One of "&amp;"the two is wrong, and the coarse-fragment correction follows the row. ","")&amp;IF(AND(ISNUMBER($M300),OR($M300&lt;QC_BD_MIN,$M300&gt;QC_BD_MAX)),"Bulk density outside the plausible range for a mineral grassland soil. ","")&amp;IF(AND(ISNUMBER($N300),$N300&gt;QC_CARBON_PCT_MAX),"Organic carbon above the QC ceiling — check units, and whether this is an organic horizon. ","")&amp;IF(AND(ISNUMBER($J300),$J300&lt;QC_RECOVERY_MIN),"Recovered less than the QC minimum of the depth driven — the increments may not sit where you think. Do NOT stretch them back out. ","")&amp;IF(AND(ISNUMBER($K300),$K300&gt;0,$L300="Fine earth / total volume"),"Coarse fragments recorded and the lab basis already accounts for them — no further correction applied, which is correct. ",""))</f>
        <v/>
      </c>
      <c r="T300" s="6"/>
      <c r="U300" s="9" t="n">
        <f aca="false">IF($B300="",0,IF(COUNTIFS($B$5:$B300,$B300)=1,1,0))</f>
        <v>0</v>
      </c>
    </row>
    <row r="301" customFormat="false" ht="15" hidden="false" customHeight="false" outlineLevel="0" collapsed="false">
      <c r="A301" s="6"/>
      <c r="B301" s="6"/>
      <c r="C301" s="6"/>
      <c r="D301" s="6"/>
      <c r="E301" s="6"/>
      <c r="F301" s="9" t="str">
        <f aca="false">IF(OR($D301="",$E301=""),"",$E301-$D301)</f>
        <v/>
      </c>
      <c r="G301" s="6"/>
      <c r="H301" s="6"/>
      <c r="I301" s="6"/>
      <c r="J301" s="9" t="str">
        <f aca="false">IF(OR(NOT(ISNUMBER($H301)),NOT(ISNUMBER($I301)),$H301=0),"",$I301/$H301)</f>
        <v/>
      </c>
      <c r="K301" s="6"/>
      <c r="L301" s="8"/>
      <c r="M301" s="7"/>
      <c r="N301" s="7"/>
      <c r="O301" s="9" t="str">
        <f aca="false">IF(NOT(ISNUMBER($M301)),"",IF($L301="Fine earth / fine-earth volume",$M301*(1-IF(ISNUMBER($K301),$K301,0)/100),$M301))</f>
        <v/>
      </c>
      <c r="P301" s="9" t="str">
        <f aca="false">IF(OR(NOT(ISNUMBER($O301)),NOT(ISNUMBER($N301)),NOT(ISNUMBER($F301))),"",$O301*($N301/100)*$F301*10)</f>
        <v/>
      </c>
      <c r="Q301" s="9" t="str">
        <f aca="false">IF(OR(NOT(ISNUMBER($D301)),NOT(ISNUMBER($E301))),"",MAX(0,MIN($E301,SOIL_REPORTING_DEPTH_CM)-MIN($D301,SOIL_REPORTING_DEPTH_CM)))</f>
        <v/>
      </c>
      <c r="R301" s="9" t="str">
        <f aca="false">IF(OR(NOT(ISNUMBER($O301)),NOT(ISNUMBER($N301)),NOT(ISNUMBER($Q301))),"",$O301*($N301/100)*$Q301*10)</f>
        <v/>
      </c>
      <c r="S301" s="11" t="str">
        <f aca="false">IF(AND($A301="",$B301="",$D301=""),"",IF(AND($A301&lt;&gt;"",COUNTIF('1. Plot &amp; Site Log'!$A$5:$A$64,$A301)=0),"Plot ID not in the Plot &amp; Site Log. ","")&amp;IF(AND(ISNUMBER($D301),ISNUMBER($E301),$E301&lt;=$D301),"Bottom depth is not below top depth. ","")&amp;IF($L301="Not confirmed","Bulk-density basis not confirmed with the lab — the coarse-fragment correction may be wrong or doubled. ","")&amp;IF(LAB_BULK_DENSITY_BASIS="Not confirmed","No lab bulk-density basis is on file in Settings (LAB_BULK_DENSITY_BASIS), so nothing checks this row. ","")&amp;IF(AND($L301&lt;&gt;"",LAB_BULK_DENSITY_BASIS&lt;&gt;"Not confirmed",$L301&lt;&gt;LAB_BULK_DENSITY_BASIS),"This row's bulk-density basis disagrees with the lab method on file. One of "&amp;"the two is wrong, and the coarse-fragment correction follows the row. ","")&amp;IF(AND(ISNUMBER($M301),OR($M301&lt;QC_BD_MIN,$M301&gt;QC_BD_MAX)),"Bulk density outside the plausible range for a mineral grassland soil. ","")&amp;IF(AND(ISNUMBER($N301),$N301&gt;QC_CARBON_PCT_MAX),"Organic carbon above the QC ceiling — check units, and whether this is an organic horizon. ","")&amp;IF(AND(ISNUMBER($J301),$J301&lt;QC_RECOVERY_MIN),"Recovered less than the QC minimum of the depth driven — the increments may not sit where you think. Do NOT stretch them back out. ","")&amp;IF(AND(ISNUMBER($K301),$K301&gt;0,$L301="Fine earth / total volume"),"Coarse fragments recorded and the lab basis already accounts for them — no further correction applied, which is correct. ",""))</f>
        <v/>
      </c>
      <c r="T301" s="6"/>
      <c r="U301" s="9" t="n">
        <f aca="false">IF($B301="",0,IF(COUNTIFS($B$5:$B301,$B301)=1,1,0))</f>
        <v>0</v>
      </c>
    </row>
    <row r="302" customFormat="false" ht="15" hidden="false" customHeight="false" outlineLevel="0" collapsed="false">
      <c r="A302" s="6"/>
      <c r="B302" s="6"/>
      <c r="C302" s="6"/>
      <c r="D302" s="6"/>
      <c r="E302" s="6"/>
      <c r="F302" s="9" t="str">
        <f aca="false">IF(OR($D302="",$E302=""),"",$E302-$D302)</f>
        <v/>
      </c>
      <c r="G302" s="6"/>
      <c r="H302" s="6"/>
      <c r="I302" s="6"/>
      <c r="J302" s="9" t="str">
        <f aca="false">IF(OR(NOT(ISNUMBER($H302)),NOT(ISNUMBER($I302)),$H302=0),"",$I302/$H302)</f>
        <v/>
      </c>
      <c r="K302" s="6"/>
      <c r="L302" s="8"/>
      <c r="M302" s="7"/>
      <c r="N302" s="7"/>
      <c r="O302" s="9" t="str">
        <f aca="false">IF(NOT(ISNUMBER($M302)),"",IF($L302="Fine earth / fine-earth volume",$M302*(1-IF(ISNUMBER($K302),$K302,0)/100),$M302))</f>
        <v/>
      </c>
      <c r="P302" s="9" t="str">
        <f aca="false">IF(OR(NOT(ISNUMBER($O302)),NOT(ISNUMBER($N302)),NOT(ISNUMBER($F302))),"",$O302*($N302/100)*$F302*10)</f>
        <v/>
      </c>
      <c r="Q302" s="9" t="str">
        <f aca="false">IF(OR(NOT(ISNUMBER($D302)),NOT(ISNUMBER($E302))),"",MAX(0,MIN($E302,SOIL_REPORTING_DEPTH_CM)-MIN($D302,SOIL_REPORTING_DEPTH_CM)))</f>
        <v/>
      </c>
      <c r="R302" s="9" t="str">
        <f aca="false">IF(OR(NOT(ISNUMBER($O302)),NOT(ISNUMBER($N302)),NOT(ISNUMBER($Q302))),"",$O302*($N302/100)*$Q302*10)</f>
        <v/>
      </c>
      <c r="S302" s="11" t="str">
        <f aca="false">IF(AND($A302="",$B302="",$D302=""),"",IF(AND($A302&lt;&gt;"",COUNTIF('1. Plot &amp; Site Log'!$A$5:$A$64,$A302)=0),"Plot ID not in the Plot &amp; Site Log. ","")&amp;IF(AND(ISNUMBER($D302),ISNUMBER($E302),$E302&lt;=$D302),"Bottom depth is not below top depth. ","")&amp;IF($L302="Not confirmed","Bulk-density basis not confirmed with the lab — the coarse-fragment correction may be wrong or doubled. ","")&amp;IF(LAB_BULK_DENSITY_BASIS="Not confirmed","No lab bulk-density basis is on file in Settings (LAB_BULK_DENSITY_BASIS), so nothing checks this row. ","")&amp;IF(AND($L302&lt;&gt;"",LAB_BULK_DENSITY_BASIS&lt;&gt;"Not confirmed",$L302&lt;&gt;LAB_BULK_DENSITY_BASIS),"This row's bulk-density basis disagrees with the lab method on file. One of "&amp;"the two is wrong, and the coarse-fragment correction follows the row. ","")&amp;IF(AND(ISNUMBER($M302),OR($M302&lt;QC_BD_MIN,$M302&gt;QC_BD_MAX)),"Bulk density outside the plausible range for a mineral grassland soil. ","")&amp;IF(AND(ISNUMBER($N302),$N302&gt;QC_CARBON_PCT_MAX),"Organic carbon above the QC ceiling — check units, and whether this is an organic horizon. ","")&amp;IF(AND(ISNUMBER($J302),$J302&lt;QC_RECOVERY_MIN),"Recovered less than the QC minimum of the depth driven — the increments may not sit where you think. Do NOT stretch them back out. ","")&amp;IF(AND(ISNUMBER($K302),$K302&gt;0,$L302="Fine earth / total volume"),"Coarse fragments recorded and the lab basis already accounts for them — no further correction applied, which is correct. ",""))</f>
        <v/>
      </c>
      <c r="T302" s="6"/>
      <c r="U302" s="9" t="n">
        <f aca="false">IF($B302="",0,IF(COUNTIFS($B$5:$B302,$B302)=1,1,0))</f>
        <v>0</v>
      </c>
    </row>
    <row r="303" customFormat="false" ht="15" hidden="false" customHeight="false" outlineLevel="0" collapsed="false">
      <c r="A303" s="6"/>
      <c r="B303" s="6"/>
      <c r="C303" s="6"/>
      <c r="D303" s="6"/>
      <c r="E303" s="6"/>
      <c r="F303" s="9" t="str">
        <f aca="false">IF(OR($D303="",$E303=""),"",$E303-$D303)</f>
        <v/>
      </c>
      <c r="G303" s="6"/>
      <c r="H303" s="6"/>
      <c r="I303" s="6"/>
      <c r="J303" s="9" t="str">
        <f aca="false">IF(OR(NOT(ISNUMBER($H303)),NOT(ISNUMBER($I303)),$H303=0),"",$I303/$H303)</f>
        <v/>
      </c>
      <c r="K303" s="6"/>
      <c r="L303" s="8"/>
      <c r="M303" s="7"/>
      <c r="N303" s="7"/>
      <c r="O303" s="9" t="str">
        <f aca="false">IF(NOT(ISNUMBER($M303)),"",IF($L303="Fine earth / fine-earth volume",$M303*(1-IF(ISNUMBER($K303),$K303,0)/100),$M303))</f>
        <v/>
      </c>
      <c r="P303" s="9" t="str">
        <f aca="false">IF(OR(NOT(ISNUMBER($O303)),NOT(ISNUMBER($N303)),NOT(ISNUMBER($F303))),"",$O303*($N303/100)*$F303*10)</f>
        <v/>
      </c>
      <c r="Q303" s="9" t="str">
        <f aca="false">IF(OR(NOT(ISNUMBER($D303)),NOT(ISNUMBER($E303))),"",MAX(0,MIN($E303,SOIL_REPORTING_DEPTH_CM)-MIN($D303,SOIL_REPORTING_DEPTH_CM)))</f>
        <v/>
      </c>
      <c r="R303" s="9" t="str">
        <f aca="false">IF(OR(NOT(ISNUMBER($O303)),NOT(ISNUMBER($N303)),NOT(ISNUMBER($Q303))),"",$O303*($N303/100)*$Q303*10)</f>
        <v/>
      </c>
      <c r="S303" s="11" t="str">
        <f aca="false">IF(AND($A303="",$B303="",$D303=""),"",IF(AND($A303&lt;&gt;"",COUNTIF('1. Plot &amp; Site Log'!$A$5:$A$64,$A303)=0),"Plot ID not in the Plot &amp; Site Log. ","")&amp;IF(AND(ISNUMBER($D303),ISNUMBER($E303),$E303&lt;=$D303),"Bottom depth is not below top depth. ","")&amp;IF($L303="Not confirmed","Bulk-density basis not confirmed with the lab — the coarse-fragment correction may be wrong or doubled. ","")&amp;IF(LAB_BULK_DENSITY_BASIS="Not confirmed","No lab bulk-density basis is on file in Settings (LAB_BULK_DENSITY_BASIS), so nothing checks this row. ","")&amp;IF(AND($L303&lt;&gt;"",LAB_BULK_DENSITY_BASIS&lt;&gt;"Not confirmed",$L303&lt;&gt;LAB_BULK_DENSITY_BASIS),"This row's bulk-density basis disagrees with the lab method on file. One of "&amp;"the two is wrong, and the coarse-fragment correction follows the row. ","")&amp;IF(AND(ISNUMBER($M303),OR($M303&lt;QC_BD_MIN,$M303&gt;QC_BD_MAX)),"Bulk density outside the plausible range for a mineral grassland soil. ","")&amp;IF(AND(ISNUMBER($N303),$N303&gt;QC_CARBON_PCT_MAX),"Organic carbon above the QC ceiling — check units, and whether this is an organic horizon. ","")&amp;IF(AND(ISNUMBER($J303),$J303&lt;QC_RECOVERY_MIN),"Recovered less than the QC minimum of the depth driven — the increments may not sit where you think. Do NOT stretch them back out. ","")&amp;IF(AND(ISNUMBER($K303),$K303&gt;0,$L303="Fine earth / total volume"),"Coarse fragments recorded and the lab basis already accounts for them — no further correction applied, which is correct. ",""))</f>
        <v/>
      </c>
      <c r="T303" s="6"/>
      <c r="U303" s="9" t="n">
        <f aca="false">IF($B303="",0,IF(COUNTIFS($B$5:$B303,$B303)=1,1,0))</f>
        <v>0</v>
      </c>
    </row>
    <row r="304" customFormat="false" ht="15" hidden="false" customHeight="false" outlineLevel="0" collapsed="false">
      <c r="A304" s="6"/>
      <c r="B304" s="6"/>
      <c r="C304" s="6"/>
      <c r="D304" s="6"/>
      <c r="E304" s="6"/>
      <c r="F304" s="9" t="str">
        <f aca="false">IF(OR($D304="",$E304=""),"",$E304-$D304)</f>
        <v/>
      </c>
      <c r="G304" s="6"/>
      <c r="H304" s="6"/>
      <c r="I304" s="6"/>
      <c r="J304" s="9" t="str">
        <f aca="false">IF(OR(NOT(ISNUMBER($H304)),NOT(ISNUMBER($I304)),$H304=0),"",$I304/$H304)</f>
        <v/>
      </c>
      <c r="K304" s="6"/>
      <c r="L304" s="8"/>
      <c r="M304" s="7"/>
      <c r="N304" s="7"/>
      <c r="O304" s="9" t="str">
        <f aca="false">IF(NOT(ISNUMBER($M304)),"",IF($L304="Fine earth / fine-earth volume",$M304*(1-IF(ISNUMBER($K304),$K304,0)/100),$M304))</f>
        <v/>
      </c>
      <c r="P304" s="9" t="str">
        <f aca="false">IF(OR(NOT(ISNUMBER($O304)),NOT(ISNUMBER($N304)),NOT(ISNUMBER($F304))),"",$O304*($N304/100)*$F304*10)</f>
        <v/>
      </c>
      <c r="Q304" s="9" t="str">
        <f aca="false">IF(OR(NOT(ISNUMBER($D304)),NOT(ISNUMBER($E304))),"",MAX(0,MIN($E304,SOIL_REPORTING_DEPTH_CM)-MIN($D304,SOIL_REPORTING_DEPTH_CM)))</f>
        <v/>
      </c>
      <c r="R304" s="9" t="str">
        <f aca="false">IF(OR(NOT(ISNUMBER($O304)),NOT(ISNUMBER($N304)),NOT(ISNUMBER($Q304))),"",$O304*($N304/100)*$Q304*10)</f>
        <v/>
      </c>
      <c r="S304" s="11" t="str">
        <f aca="false">IF(AND($A304="",$B304="",$D304=""),"",IF(AND($A304&lt;&gt;"",COUNTIF('1. Plot &amp; Site Log'!$A$5:$A$64,$A304)=0),"Plot ID not in the Plot &amp; Site Log. ","")&amp;IF(AND(ISNUMBER($D304),ISNUMBER($E304),$E304&lt;=$D304),"Bottom depth is not below top depth. ","")&amp;IF($L304="Not confirmed","Bulk-density basis not confirmed with the lab — the coarse-fragment correction may be wrong or doubled. ","")&amp;IF(LAB_BULK_DENSITY_BASIS="Not confirmed","No lab bulk-density basis is on file in Settings (LAB_BULK_DENSITY_BASIS), so nothing checks this row. ","")&amp;IF(AND($L304&lt;&gt;"",LAB_BULK_DENSITY_BASIS&lt;&gt;"Not confirmed",$L304&lt;&gt;LAB_BULK_DENSITY_BASIS),"This row's bulk-density basis disagrees with the lab method on file. One of "&amp;"the two is wrong, and the coarse-fragment correction follows the row. ","")&amp;IF(AND(ISNUMBER($M304),OR($M304&lt;QC_BD_MIN,$M304&gt;QC_BD_MAX)),"Bulk density outside the plausible range for a mineral grassland soil. ","")&amp;IF(AND(ISNUMBER($N304),$N304&gt;QC_CARBON_PCT_MAX),"Organic carbon above the QC ceiling — check units, and whether this is an organic horizon. ","")&amp;IF(AND(ISNUMBER($J304),$J304&lt;QC_RECOVERY_MIN),"Recovered less than the QC minimum of the depth driven — the increments may not sit where you think. Do NOT stretch them back out. ","")&amp;IF(AND(ISNUMBER($K304),$K304&gt;0,$L304="Fine earth / total volume"),"Coarse fragments recorded and the lab basis already accounts for them — no further correction applied, which is correct. ",""))</f>
        <v/>
      </c>
      <c r="T304" s="6"/>
      <c r="U304" s="9" t="n">
        <f aca="false">IF($B304="",0,IF(COUNTIFS($B$5:$B304,$B304)=1,1,0))</f>
        <v>0</v>
      </c>
    </row>
    <row r="305" customFormat="false" ht="15" hidden="false" customHeight="false" outlineLevel="0" collapsed="false">
      <c r="A305" s="6"/>
      <c r="B305" s="6"/>
      <c r="C305" s="6"/>
      <c r="D305" s="6"/>
      <c r="E305" s="6"/>
      <c r="F305" s="9" t="str">
        <f aca="false">IF(OR($D305="",$E305=""),"",$E305-$D305)</f>
        <v/>
      </c>
      <c r="G305" s="6"/>
      <c r="H305" s="6"/>
      <c r="I305" s="6"/>
      <c r="J305" s="9" t="str">
        <f aca="false">IF(OR(NOT(ISNUMBER($H305)),NOT(ISNUMBER($I305)),$H305=0),"",$I305/$H305)</f>
        <v/>
      </c>
      <c r="K305" s="6"/>
      <c r="L305" s="8"/>
      <c r="M305" s="7"/>
      <c r="N305" s="7"/>
      <c r="O305" s="9" t="str">
        <f aca="false">IF(NOT(ISNUMBER($M305)),"",IF($L305="Fine earth / fine-earth volume",$M305*(1-IF(ISNUMBER($K305),$K305,0)/100),$M305))</f>
        <v/>
      </c>
      <c r="P305" s="9" t="str">
        <f aca="false">IF(OR(NOT(ISNUMBER($O305)),NOT(ISNUMBER($N305)),NOT(ISNUMBER($F305))),"",$O305*($N305/100)*$F305*10)</f>
        <v/>
      </c>
      <c r="Q305" s="9" t="str">
        <f aca="false">IF(OR(NOT(ISNUMBER($D305)),NOT(ISNUMBER($E305))),"",MAX(0,MIN($E305,SOIL_REPORTING_DEPTH_CM)-MIN($D305,SOIL_REPORTING_DEPTH_CM)))</f>
        <v/>
      </c>
      <c r="R305" s="9" t="str">
        <f aca="false">IF(OR(NOT(ISNUMBER($O305)),NOT(ISNUMBER($N305)),NOT(ISNUMBER($Q305))),"",$O305*($N305/100)*$Q305*10)</f>
        <v/>
      </c>
      <c r="S305" s="11" t="str">
        <f aca="false">IF(AND($A305="",$B305="",$D305=""),"",IF(AND($A305&lt;&gt;"",COUNTIF('1. Plot &amp; Site Log'!$A$5:$A$64,$A305)=0),"Plot ID not in the Plot &amp; Site Log. ","")&amp;IF(AND(ISNUMBER($D305),ISNUMBER($E305),$E305&lt;=$D305),"Bottom depth is not below top depth. ","")&amp;IF($L305="Not confirmed","Bulk-density basis not confirmed with the lab — the coarse-fragment correction may be wrong or doubled. ","")&amp;IF(LAB_BULK_DENSITY_BASIS="Not confirmed","No lab bulk-density basis is on file in Settings (LAB_BULK_DENSITY_BASIS), so nothing checks this row. ","")&amp;IF(AND($L305&lt;&gt;"",LAB_BULK_DENSITY_BASIS&lt;&gt;"Not confirmed",$L305&lt;&gt;LAB_BULK_DENSITY_BASIS),"This row's bulk-density basis disagrees with the lab method on file. One of "&amp;"the two is wrong, and the coarse-fragment correction follows the row. ","")&amp;IF(AND(ISNUMBER($M305),OR($M305&lt;QC_BD_MIN,$M305&gt;QC_BD_MAX)),"Bulk density outside the plausible range for a mineral grassland soil. ","")&amp;IF(AND(ISNUMBER($N305),$N305&gt;QC_CARBON_PCT_MAX),"Organic carbon above the QC ceiling — check units, and whether this is an organic horizon. ","")&amp;IF(AND(ISNUMBER($J305),$J305&lt;QC_RECOVERY_MIN),"Recovered less than the QC minimum of the depth driven — the increments may not sit where you think. Do NOT stretch them back out. ","")&amp;IF(AND(ISNUMBER($K305),$K305&gt;0,$L305="Fine earth / total volume"),"Coarse fragments recorded and the lab basis already accounts for them — no further correction applied, which is correct. ",""))</f>
        <v/>
      </c>
      <c r="T305" s="6"/>
      <c r="U305" s="9" t="n">
        <f aca="false">IF($B305="",0,IF(COUNTIFS($B$5:$B305,$B305)=1,1,0))</f>
        <v>0</v>
      </c>
    </row>
    <row r="306" customFormat="false" ht="15" hidden="false" customHeight="false" outlineLevel="0" collapsed="false">
      <c r="A306" s="6"/>
      <c r="B306" s="6"/>
      <c r="C306" s="6"/>
      <c r="D306" s="6"/>
      <c r="E306" s="6"/>
      <c r="F306" s="9" t="str">
        <f aca="false">IF(OR($D306="",$E306=""),"",$E306-$D306)</f>
        <v/>
      </c>
      <c r="G306" s="6"/>
      <c r="H306" s="6"/>
      <c r="I306" s="6"/>
      <c r="J306" s="9" t="str">
        <f aca="false">IF(OR(NOT(ISNUMBER($H306)),NOT(ISNUMBER($I306)),$H306=0),"",$I306/$H306)</f>
        <v/>
      </c>
      <c r="K306" s="6"/>
      <c r="L306" s="8"/>
      <c r="M306" s="7"/>
      <c r="N306" s="7"/>
      <c r="O306" s="9" t="str">
        <f aca="false">IF(NOT(ISNUMBER($M306)),"",IF($L306="Fine earth / fine-earth volume",$M306*(1-IF(ISNUMBER($K306),$K306,0)/100),$M306))</f>
        <v/>
      </c>
      <c r="P306" s="9" t="str">
        <f aca="false">IF(OR(NOT(ISNUMBER($O306)),NOT(ISNUMBER($N306)),NOT(ISNUMBER($F306))),"",$O306*($N306/100)*$F306*10)</f>
        <v/>
      </c>
      <c r="Q306" s="9" t="str">
        <f aca="false">IF(OR(NOT(ISNUMBER($D306)),NOT(ISNUMBER($E306))),"",MAX(0,MIN($E306,SOIL_REPORTING_DEPTH_CM)-MIN($D306,SOIL_REPORTING_DEPTH_CM)))</f>
        <v/>
      </c>
      <c r="R306" s="9" t="str">
        <f aca="false">IF(OR(NOT(ISNUMBER($O306)),NOT(ISNUMBER($N306)),NOT(ISNUMBER($Q306))),"",$O306*($N306/100)*$Q306*10)</f>
        <v/>
      </c>
      <c r="S306" s="11" t="str">
        <f aca="false">IF(AND($A306="",$B306="",$D306=""),"",IF(AND($A306&lt;&gt;"",COUNTIF('1. Plot &amp; Site Log'!$A$5:$A$64,$A306)=0),"Plot ID not in the Plot &amp; Site Log. ","")&amp;IF(AND(ISNUMBER($D306),ISNUMBER($E306),$E306&lt;=$D306),"Bottom depth is not below top depth. ","")&amp;IF($L306="Not confirmed","Bulk-density basis not confirmed with the lab — the coarse-fragment correction may be wrong or doubled. ","")&amp;IF(LAB_BULK_DENSITY_BASIS="Not confirmed","No lab bulk-density basis is on file in Settings (LAB_BULK_DENSITY_BASIS), so nothing checks this row. ","")&amp;IF(AND($L306&lt;&gt;"",LAB_BULK_DENSITY_BASIS&lt;&gt;"Not confirmed",$L306&lt;&gt;LAB_BULK_DENSITY_BASIS),"This row's bulk-density basis disagrees with the lab method on file. One of "&amp;"the two is wrong, and the coarse-fragment correction follows the row. ","")&amp;IF(AND(ISNUMBER($M306),OR($M306&lt;QC_BD_MIN,$M306&gt;QC_BD_MAX)),"Bulk density outside the plausible range for a mineral grassland soil. ","")&amp;IF(AND(ISNUMBER($N306),$N306&gt;QC_CARBON_PCT_MAX),"Organic carbon above the QC ceiling — check units, and whether this is an organic horizon. ","")&amp;IF(AND(ISNUMBER($J306),$J306&lt;QC_RECOVERY_MIN),"Recovered less than the QC minimum of the depth driven — the increments may not sit where you think. Do NOT stretch them back out. ","")&amp;IF(AND(ISNUMBER($K306),$K306&gt;0,$L306="Fine earth / total volume"),"Coarse fragments recorded and the lab basis already accounts for them — no further correction applied, which is correct. ",""))</f>
        <v/>
      </c>
      <c r="T306" s="6"/>
      <c r="U306" s="9" t="n">
        <f aca="false">IF($B306="",0,IF(COUNTIFS($B$5:$B306,$B306)=1,1,0))</f>
        <v>0</v>
      </c>
    </row>
    <row r="307" customFormat="false" ht="15" hidden="false" customHeight="false" outlineLevel="0" collapsed="false">
      <c r="A307" s="6"/>
      <c r="B307" s="6"/>
      <c r="C307" s="6"/>
      <c r="D307" s="6"/>
      <c r="E307" s="6"/>
      <c r="F307" s="9" t="str">
        <f aca="false">IF(OR($D307="",$E307=""),"",$E307-$D307)</f>
        <v/>
      </c>
      <c r="G307" s="6"/>
      <c r="H307" s="6"/>
      <c r="I307" s="6"/>
      <c r="J307" s="9" t="str">
        <f aca="false">IF(OR(NOT(ISNUMBER($H307)),NOT(ISNUMBER($I307)),$H307=0),"",$I307/$H307)</f>
        <v/>
      </c>
      <c r="K307" s="6"/>
      <c r="L307" s="8"/>
      <c r="M307" s="7"/>
      <c r="N307" s="7"/>
      <c r="O307" s="9" t="str">
        <f aca="false">IF(NOT(ISNUMBER($M307)),"",IF($L307="Fine earth / fine-earth volume",$M307*(1-IF(ISNUMBER($K307),$K307,0)/100),$M307))</f>
        <v/>
      </c>
      <c r="P307" s="9" t="str">
        <f aca="false">IF(OR(NOT(ISNUMBER($O307)),NOT(ISNUMBER($N307)),NOT(ISNUMBER($F307))),"",$O307*($N307/100)*$F307*10)</f>
        <v/>
      </c>
      <c r="Q307" s="9" t="str">
        <f aca="false">IF(OR(NOT(ISNUMBER($D307)),NOT(ISNUMBER($E307))),"",MAX(0,MIN($E307,SOIL_REPORTING_DEPTH_CM)-MIN($D307,SOIL_REPORTING_DEPTH_CM)))</f>
        <v/>
      </c>
      <c r="R307" s="9" t="str">
        <f aca="false">IF(OR(NOT(ISNUMBER($O307)),NOT(ISNUMBER($N307)),NOT(ISNUMBER($Q307))),"",$O307*($N307/100)*$Q307*10)</f>
        <v/>
      </c>
      <c r="S307" s="11" t="str">
        <f aca="false">IF(AND($A307="",$B307="",$D307=""),"",IF(AND($A307&lt;&gt;"",COUNTIF('1. Plot &amp; Site Log'!$A$5:$A$64,$A307)=0),"Plot ID not in the Plot &amp; Site Log. ","")&amp;IF(AND(ISNUMBER($D307),ISNUMBER($E307),$E307&lt;=$D307),"Bottom depth is not below top depth. ","")&amp;IF($L307="Not confirmed","Bulk-density basis not confirmed with the lab — the coarse-fragment correction may be wrong or doubled. ","")&amp;IF(LAB_BULK_DENSITY_BASIS="Not confirmed","No lab bulk-density basis is on file in Settings (LAB_BULK_DENSITY_BASIS), so nothing checks this row. ","")&amp;IF(AND($L307&lt;&gt;"",LAB_BULK_DENSITY_BASIS&lt;&gt;"Not confirmed",$L307&lt;&gt;LAB_BULK_DENSITY_BASIS),"This row's bulk-density basis disagrees with the lab method on file. One of "&amp;"the two is wrong, and the coarse-fragment correction follows the row. ","")&amp;IF(AND(ISNUMBER($M307),OR($M307&lt;QC_BD_MIN,$M307&gt;QC_BD_MAX)),"Bulk density outside the plausible range for a mineral grassland soil. ","")&amp;IF(AND(ISNUMBER($N307),$N307&gt;QC_CARBON_PCT_MAX),"Organic carbon above the QC ceiling — check units, and whether this is an organic horizon. ","")&amp;IF(AND(ISNUMBER($J307),$J307&lt;QC_RECOVERY_MIN),"Recovered less than the QC minimum of the depth driven — the increments may not sit where you think. Do NOT stretch them back out. ","")&amp;IF(AND(ISNUMBER($K307),$K307&gt;0,$L307="Fine earth / total volume"),"Coarse fragments recorded and the lab basis already accounts for them — no further correction applied, which is correct. ",""))</f>
        <v/>
      </c>
      <c r="T307" s="6"/>
      <c r="U307" s="9" t="n">
        <f aca="false">IF($B307="",0,IF(COUNTIFS($B$5:$B307,$B307)=1,1,0))</f>
        <v>0</v>
      </c>
    </row>
    <row r="308" customFormat="false" ht="15" hidden="false" customHeight="false" outlineLevel="0" collapsed="false">
      <c r="A308" s="6"/>
      <c r="B308" s="6"/>
      <c r="C308" s="6"/>
      <c r="D308" s="6"/>
      <c r="E308" s="6"/>
      <c r="F308" s="9" t="str">
        <f aca="false">IF(OR($D308="",$E308=""),"",$E308-$D308)</f>
        <v/>
      </c>
      <c r="G308" s="6"/>
      <c r="H308" s="6"/>
      <c r="I308" s="6"/>
      <c r="J308" s="9" t="str">
        <f aca="false">IF(OR(NOT(ISNUMBER($H308)),NOT(ISNUMBER($I308)),$H308=0),"",$I308/$H308)</f>
        <v/>
      </c>
      <c r="K308" s="6"/>
      <c r="L308" s="8"/>
      <c r="M308" s="7"/>
      <c r="N308" s="7"/>
      <c r="O308" s="9" t="str">
        <f aca="false">IF(NOT(ISNUMBER($M308)),"",IF($L308="Fine earth / fine-earth volume",$M308*(1-IF(ISNUMBER($K308),$K308,0)/100),$M308))</f>
        <v/>
      </c>
      <c r="P308" s="9" t="str">
        <f aca="false">IF(OR(NOT(ISNUMBER($O308)),NOT(ISNUMBER($N308)),NOT(ISNUMBER($F308))),"",$O308*($N308/100)*$F308*10)</f>
        <v/>
      </c>
      <c r="Q308" s="9" t="str">
        <f aca="false">IF(OR(NOT(ISNUMBER($D308)),NOT(ISNUMBER($E308))),"",MAX(0,MIN($E308,SOIL_REPORTING_DEPTH_CM)-MIN($D308,SOIL_REPORTING_DEPTH_CM)))</f>
        <v/>
      </c>
      <c r="R308" s="9" t="str">
        <f aca="false">IF(OR(NOT(ISNUMBER($O308)),NOT(ISNUMBER($N308)),NOT(ISNUMBER($Q308))),"",$O308*($N308/100)*$Q308*10)</f>
        <v/>
      </c>
      <c r="S308" s="11" t="str">
        <f aca="false">IF(AND($A308="",$B308="",$D308=""),"",IF(AND($A308&lt;&gt;"",COUNTIF('1. Plot &amp; Site Log'!$A$5:$A$64,$A308)=0),"Plot ID not in the Plot &amp; Site Log. ","")&amp;IF(AND(ISNUMBER($D308),ISNUMBER($E308),$E308&lt;=$D308),"Bottom depth is not below top depth. ","")&amp;IF($L308="Not confirmed","Bulk-density basis not confirmed with the lab — the coarse-fragment correction may be wrong or doubled. ","")&amp;IF(LAB_BULK_DENSITY_BASIS="Not confirmed","No lab bulk-density basis is on file in Settings (LAB_BULK_DENSITY_BASIS), so nothing checks this row. ","")&amp;IF(AND($L308&lt;&gt;"",LAB_BULK_DENSITY_BASIS&lt;&gt;"Not confirmed",$L308&lt;&gt;LAB_BULK_DENSITY_BASIS),"This row's bulk-density basis disagrees with the lab method on file. One of "&amp;"the two is wrong, and the coarse-fragment correction follows the row. ","")&amp;IF(AND(ISNUMBER($M308),OR($M308&lt;QC_BD_MIN,$M308&gt;QC_BD_MAX)),"Bulk density outside the plausible range for a mineral grassland soil. ","")&amp;IF(AND(ISNUMBER($N308),$N308&gt;QC_CARBON_PCT_MAX),"Organic carbon above the QC ceiling — check units, and whether this is an organic horizon. ","")&amp;IF(AND(ISNUMBER($J308),$J308&lt;QC_RECOVERY_MIN),"Recovered less than the QC minimum of the depth driven — the increments may not sit where you think. Do NOT stretch them back out. ","")&amp;IF(AND(ISNUMBER($K308),$K308&gt;0,$L308="Fine earth / total volume"),"Coarse fragments recorded and the lab basis already accounts for them — no further correction applied, which is correct. ",""))</f>
        <v/>
      </c>
      <c r="T308" s="6"/>
      <c r="U308" s="9" t="n">
        <f aca="false">IF($B308="",0,IF(COUNTIFS($B$5:$B308,$B308)=1,1,0))</f>
        <v>0</v>
      </c>
    </row>
    <row r="309" customFormat="false" ht="15" hidden="false" customHeight="false" outlineLevel="0" collapsed="false">
      <c r="A309" s="6"/>
      <c r="B309" s="6"/>
      <c r="C309" s="6"/>
      <c r="D309" s="6"/>
      <c r="E309" s="6"/>
      <c r="F309" s="9" t="str">
        <f aca="false">IF(OR($D309="",$E309=""),"",$E309-$D309)</f>
        <v/>
      </c>
      <c r="G309" s="6"/>
      <c r="H309" s="6"/>
      <c r="I309" s="6"/>
      <c r="J309" s="9" t="str">
        <f aca="false">IF(OR(NOT(ISNUMBER($H309)),NOT(ISNUMBER($I309)),$H309=0),"",$I309/$H309)</f>
        <v/>
      </c>
      <c r="K309" s="6"/>
      <c r="L309" s="8"/>
      <c r="M309" s="7"/>
      <c r="N309" s="7"/>
      <c r="O309" s="9" t="str">
        <f aca="false">IF(NOT(ISNUMBER($M309)),"",IF($L309="Fine earth / fine-earth volume",$M309*(1-IF(ISNUMBER($K309),$K309,0)/100),$M309))</f>
        <v/>
      </c>
      <c r="P309" s="9" t="str">
        <f aca="false">IF(OR(NOT(ISNUMBER($O309)),NOT(ISNUMBER($N309)),NOT(ISNUMBER($F309))),"",$O309*($N309/100)*$F309*10)</f>
        <v/>
      </c>
      <c r="Q309" s="9" t="str">
        <f aca="false">IF(OR(NOT(ISNUMBER($D309)),NOT(ISNUMBER($E309))),"",MAX(0,MIN($E309,SOIL_REPORTING_DEPTH_CM)-MIN($D309,SOIL_REPORTING_DEPTH_CM)))</f>
        <v/>
      </c>
      <c r="R309" s="9" t="str">
        <f aca="false">IF(OR(NOT(ISNUMBER($O309)),NOT(ISNUMBER($N309)),NOT(ISNUMBER($Q309))),"",$O309*($N309/100)*$Q309*10)</f>
        <v/>
      </c>
      <c r="S309" s="11" t="str">
        <f aca="false">IF(AND($A309="",$B309="",$D309=""),"",IF(AND($A309&lt;&gt;"",COUNTIF('1. Plot &amp; Site Log'!$A$5:$A$64,$A309)=0),"Plot ID not in the Plot &amp; Site Log. ","")&amp;IF(AND(ISNUMBER($D309),ISNUMBER($E309),$E309&lt;=$D309),"Bottom depth is not below top depth. ","")&amp;IF($L309="Not confirmed","Bulk-density basis not confirmed with the lab — the coarse-fragment correction may be wrong or doubled. ","")&amp;IF(LAB_BULK_DENSITY_BASIS="Not confirmed","No lab bulk-density basis is on file in Settings (LAB_BULK_DENSITY_BASIS), so nothing checks this row. ","")&amp;IF(AND($L309&lt;&gt;"",LAB_BULK_DENSITY_BASIS&lt;&gt;"Not confirmed",$L309&lt;&gt;LAB_BULK_DENSITY_BASIS),"This row's bulk-density basis disagrees with the lab method on file. One of "&amp;"the two is wrong, and the coarse-fragment correction follows the row. ","")&amp;IF(AND(ISNUMBER($M309),OR($M309&lt;QC_BD_MIN,$M309&gt;QC_BD_MAX)),"Bulk density outside the plausible range for a mineral grassland soil. ","")&amp;IF(AND(ISNUMBER($N309),$N309&gt;QC_CARBON_PCT_MAX),"Organic carbon above the QC ceiling — check units, and whether this is an organic horizon. ","")&amp;IF(AND(ISNUMBER($J309),$J309&lt;QC_RECOVERY_MIN),"Recovered less than the QC minimum of the depth driven — the increments may not sit where you think. Do NOT stretch them back out. ","")&amp;IF(AND(ISNUMBER($K309),$K309&gt;0,$L309="Fine earth / total volume"),"Coarse fragments recorded and the lab basis already accounts for them — no further correction applied, which is correct. ",""))</f>
        <v/>
      </c>
      <c r="T309" s="6"/>
      <c r="U309" s="9" t="n">
        <f aca="false">IF($B309="",0,IF(COUNTIFS($B$5:$B309,$B309)=1,1,0))</f>
        <v>0</v>
      </c>
    </row>
    <row r="310" customFormat="false" ht="15" hidden="false" customHeight="false" outlineLevel="0" collapsed="false">
      <c r="A310" s="6"/>
      <c r="B310" s="6"/>
      <c r="C310" s="6"/>
      <c r="D310" s="6"/>
      <c r="E310" s="6"/>
      <c r="F310" s="9" t="str">
        <f aca="false">IF(OR($D310="",$E310=""),"",$E310-$D310)</f>
        <v/>
      </c>
      <c r="G310" s="6"/>
      <c r="H310" s="6"/>
      <c r="I310" s="6"/>
      <c r="J310" s="9" t="str">
        <f aca="false">IF(OR(NOT(ISNUMBER($H310)),NOT(ISNUMBER($I310)),$H310=0),"",$I310/$H310)</f>
        <v/>
      </c>
      <c r="K310" s="6"/>
      <c r="L310" s="8"/>
      <c r="M310" s="7"/>
      <c r="N310" s="7"/>
      <c r="O310" s="9" t="str">
        <f aca="false">IF(NOT(ISNUMBER($M310)),"",IF($L310="Fine earth / fine-earth volume",$M310*(1-IF(ISNUMBER($K310),$K310,0)/100),$M310))</f>
        <v/>
      </c>
      <c r="P310" s="9" t="str">
        <f aca="false">IF(OR(NOT(ISNUMBER($O310)),NOT(ISNUMBER($N310)),NOT(ISNUMBER($F310))),"",$O310*($N310/100)*$F310*10)</f>
        <v/>
      </c>
      <c r="Q310" s="9" t="str">
        <f aca="false">IF(OR(NOT(ISNUMBER($D310)),NOT(ISNUMBER($E310))),"",MAX(0,MIN($E310,SOIL_REPORTING_DEPTH_CM)-MIN($D310,SOIL_REPORTING_DEPTH_CM)))</f>
        <v/>
      </c>
      <c r="R310" s="9" t="str">
        <f aca="false">IF(OR(NOT(ISNUMBER($O310)),NOT(ISNUMBER($N310)),NOT(ISNUMBER($Q310))),"",$O310*($N310/100)*$Q310*10)</f>
        <v/>
      </c>
      <c r="S310" s="11" t="str">
        <f aca="false">IF(AND($A310="",$B310="",$D310=""),"",IF(AND($A310&lt;&gt;"",COUNTIF('1. Plot &amp; Site Log'!$A$5:$A$64,$A310)=0),"Plot ID not in the Plot &amp; Site Log. ","")&amp;IF(AND(ISNUMBER($D310),ISNUMBER($E310),$E310&lt;=$D310),"Bottom depth is not below top depth. ","")&amp;IF($L310="Not confirmed","Bulk-density basis not confirmed with the lab — the coarse-fragment correction may be wrong or doubled. ","")&amp;IF(LAB_BULK_DENSITY_BASIS="Not confirmed","No lab bulk-density basis is on file in Settings (LAB_BULK_DENSITY_BASIS), so nothing checks this row. ","")&amp;IF(AND($L310&lt;&gt;"",LAB_BULK_DENSITY_BASIS&lt;&gt;"Not confirmed",$L310&lt;&gt;LAB_BULK_DENSITY_BASIS),"This row's bulk-density basis disagrees with the lab method on file. One of "&amp;"the two is wrong, and the coarse-fragment correction follows the row. ","")&amp;IF(AND(ISNUMBER($M310),OR($M310&lt;QC_BD_MIN,$M310&gt;QC_BD_MAX)),"Bulk density outside the plausible range for a mineral grassland soil. ","")&amp;IF(AND(ISNUMBER($N310),$N310&gt;QC_CARBON_PCT_MAX),"Organic carbon above the QC ceiling — check units, and whether this is an organic horizon. ","")&amp;IF(AND(ISNUMBER($J310),$J310&lt;QC_RECOVERY_MIN),"Recovered less than the QC minimum of the depth driven — the increments may not sit where you think. Do NOT stretch them back out. ","")&amp;IF(AND(ISNUMBER($K310),$K310&gt;0,$L310="Fine earth / total volume"),"Coarse fragments recorded and the lab basis already accounts for them — no further correction applied, which is correct. ",""))</f>
        <v/>
      </c>
      <c r="T310" s="6"/>
      <c r="U310" s="9" t="n">
        <f aca="false">IF($B310="",0,IF(COUNTIFS($B$5:$B310,$B310)=1,1,0))</f>
        <v>0</v>
      </c>
    </row>
    <row r="311" customFormat="false" ht="15" hidden="false" customHeight="false" outlineLevel="0" collapsed="false">
      <c r="A311" s="6"/>
      <c r="B311" s="6"/>
      <c r="C311" s="6"/>
      <c r="D311" s="6"/>
      <c r="E311" s="6"/>
      <c r="F311" s="9" t="str">
        <f aca="false">IF(OR($D311="",$E311=""),"",$E311-$D311)</f>
        <v/>
      </c>
      <c r="G311" s="6"/>
      <c r="H311" s="6"/>
      <c r="I311" s="6"/>
      <c r="J311" s="9" t="str">
        <f aca="false">IF(OR(NOT(ISNUMBER($H311)),NOT(ISNUMBER($I311)),$H311=0),"",$I311/$H311)</f>
        <v/>
      </c>
      <c r="K311" s="6"/>
      <c r="L311" s="8"/>
      <c r="M311" s="7"/>
      <c r="N311" s="7"/>
      <c r="O311" s="9" t="str">
        <f aca="false">IF(NOT(ISNUMBER($M311)),"",IF($L311="Fine earth / fine-earth volume",$M311*(1-IF(ISNUMBER($K311),$K311,0)/100),$M311))</f>
        <v/>
      </c>
      <c r="P311" s="9" t="str">
        <f aca="false">IF(OR(NOT(ISNUMBER($O311)),NOT(ISNUMBER($N311)),NOT(ISNUMBER($F311))),"",$O311*($N311/100)*$F311*10)</f>
        <v/>
      </c>
      <c r="Q311" s="9" t="str">
        <f aca="false">IF(OR(NOT(ISNUMBER($D311)),NOT(ISNUMBER($E311))),"",MAX(0,MIN($E311,SOIL_REPORTING_DEPTH_CM)-MIN($D311,SOIL_REPORTING_DEPTH_CM)))</f>
        <v/>
      </c>
      <c r="R311" s="9" t="str">
        <f aca="false">IF(OR(NOT(ISNUMBER($O311)),NOT(ISNUMBER($N311)),NOT(ISNUMBER($Q311))),"",$O311*($N311/100)*$Q311*10)</f>
        <v/>
      </c>
      <c r="S311" s="11" t="str">
        <f aca="false">IF(AND($A311="",$B311="",$D311=""),"",IF(AND($A311&lt;&gt;"",COUNTIF('1. Plot &amp; Site Log'!$A$5:$A$64,$A311)=0),"Plot ID not in the Plot &amp; Site Log. ","")&amp;IF(AND(ISNUMBER($D311),ISNUMBER($E311),$E311&lt;=$D311),"Bottom depth is not below top depth. ","")&amp;IF($L311="Not confirmed","Bulk-density basis not confirmed with the lab — the coarse-fragment correction may be wrong or doubled. ","")&amp;IF(LAB_BULK_DENSITY_BASIS="Not confirmed","No lab bulk-density basis is on file in Settings (LAB_BULK_DENSITY_BASIS), so nothing checks this row. ","")&amp;IF(AND($L311&lt;&gt;"",LAB_BULK_DENSITY_BASIS&lt;&gt;"Not confirmed",$L311&lt;&gt;LAB_BULK_DENSITY_BASIS),"This row's bulk-density basis disagrees with the lab method on file. One of "&amp;"the two is wrong, and the coarse-fragment correction follows the row. ","")&amp;IF(AND(ISNUMBER($M311),OR($M311&lt;QC_BD_MIN,$M311&gt;QC_BD_MAX)),"Bulk density outside the plausible range for a mineral grassland soil. ","")&amp;IF(AND(ISNUMBER($N311),$N311&gt;QC_CARBON_PCT_MAX),"Organic carbon above the QC ceiling — check units, and whether this is an organic horizon. ","")&amp;IF(AND(ISNUMBER($J311),$J311&lt;QC_RECOVERY_MIN),"Recovered less than the QC minimum of the depth driven — the increments may not sit where you think. Do NOT stretch them back out. ","")&amp;IF(AND(ISNUMBER($K311),$K311&gt;0,$L311="Fine earth / total volume"),"Coarse fragments recorded and the lab basis already accounts for them — no further correction applied, which is correct. ",""))</f>
        <v/>
      </c>
      <c r="T311" s="6"/>
      <c r="U311" s="9" t="n">
        <f aca="false">IF($B311="",0,IF(COUNTIFS($B$5:$B311,$B311)=1,1,0))</f>
        <v>0</v>
      </c>
    </row>
    <row r="312" customFormat="false" ht="15" hidden="false" customHeight="false" outlineLevel="0" collapsed="false">
      <c r="A312" s="6"/>
      <c r="B312" s="6"/>
      <c r="C312" s="6"/>
      <c r="D312" s="6"/>
      <c r="E312" s="6"/>
      <c r="F312" s="9" t="str">
        <f aca="false">IF(OR($D312="",$E312=""),"",$E312-$D312)</f>
        <v/>
      </c>
      <c r="G312" s="6"/>
      <c r="H312" s="6"/>
      <c r="I312" s="6"/>
      <c r="J312" s="9" t="str">
        <f aca="false">IF(OR(NOT(ISNUMBER($H312)),NOT(ISNUMBER($I312)),$H312=0),"",$I312/$H312)</f>
        <v/>
      </c>
      <c r="K312" s="6"/>
      <c r="L312" s="8"/>
      <c r="M312" s="7"/>
      <c r="N312" s="7"/>
      <c r="O312" s="9" t="str">
        <f aca="false">IF(NOT(ISNUMBER($M312)),"",IF($L312="Fine earth / fine-earth volume",$M312*(1-IF(ISNUMBER($K312),$K312,0)/100),$M312))</f>
        <v/>
      </c>
      <c r="P312" s="9" t="str">
        <f aca="false">IF(OR(NOT(ISNUMBER($O312)),NOT(ISNUMBER($N312)),NOT(ISNUMBER($F312))),"",$O312*($N312/100)*$F312*10)</f>
        <v/>
      </c>
      <c r="Q312" s="9" t="str">
        <f aca="false">IF(OR(NOT(ISNUMBER($D312)),NOT(ISNUMBER($E312))),"",MAX(0,MIN($E312,SOIL_REPORTING_DEPTH_CM)-MIN($D312,SOIL_REPORTING_DEPTH_CM)))</f>
        <v/>
      </c>
      <c r="R312" s="9" t="str">
        <f aca="false">IF(OR(NOT(ISNUMBER($O312)),NOT(ISNUMBER($N312)),NOT(ISNUMBER($Q312))),"",$O312*($N312/100)*$Q312*10)</f>
        <v/>
      </c>
      <c r="S312" s="11" t="str">
        <f aca="false">IF(AND($A312="",$B312="",$D312=""),"",IF(AND($A312&lt;&gt;"",COUNTIF('1. Plot &amp; Site Log'!$A$5:$A$64,$A312)=0),"Plot ID not in the Plot &amp; Site Log. ","")&amp;IF(AND(ISNUMBER($D312),ISNUMBER($E312),$E312&lt;=$D312),"Bottom depth is not below top depth. ","")&amp;IF($L312="Not confirmed","Bulk-density basis not confirmed with the lab — the coarse-fragment correction may be wrong or doubled. ","")&amp;IF(LAB_BULK_DENSITY_BASIS="Not confirmed","No lab bulk-density basis is on file in Settings (LAB_BULK_DENSITY_BASIS), so nothing checks this row. ","")&amp;IF(AND($L312&lt;&gt;"",LAB_BULK_DENSITY_BASIS&lt;&gt;"Not confirmed",$L312&lt;&gt;LAB_BULK_DENSITY_BASIS),"This row's bulk-density basis disagrees with the lab method on file. One of "&amp;"the two is wrong, and the coarse-fragment correction follows the row. ","")&amp;IF(AND(ISNUMBER($M312),OR($M312&lt;QC_BD_MIN,$M312&gt;QC_BD_MAX)),"Bulk density outside the plausible range for a mineral grassland soil. ","")&amp;IF(AND(ISNUMBER($N312),$N312&gt;QC_CARBON_PCT_MAX),"Organic carbon above the QC ceiling — check units, and whether this is an organic horizon. ","")&amp;IF(AND(ISNUMBER($J312),$J312&lt;QC_RECOVERY_MIN),"Recovered less than the QC minimum of the depth driven — the increments may not sit where you think. Do NOT stretch them back out. ","")&amp;IF(AND(ISNUMBER($K312),$K312&gt;0,$L312="Fine earth / total volume"),"Coarse fragments recorded and the lab basis already accounts for them — no further correction applied, which is correct. ",""))</f>
        <v/>
      </c>
      <c r="T312" s="6"/>
      <c r="U312" s="9" t="n">
        <f aca="false">IF($B312="",0,IF(COUNTIFS($B$5:$B312,$B312)=1,1,0))</f>
        <v>0</v>
      </c>
    </row>
    <row r="313" customFormat="false" ht="15" hidden="false" customHeight="false" outlineLevel="0" collapsed="false">
      <c r="A313" s="6"/>
      <c r="B313" s="6"/>
      <c r="C313" s="6"/>
      <c r="D313" s="6"/>
      <c r="E313" s="6"/>
      <c r="F313" s="9" t="str">
        <f aca="false">IF(OR($D313="",$E313=""),"",$E313-$D313)</f>
        <v/>
      </c>
      <c r="G313" s="6"/>
      <c r="H313" s="6"/>
      <c r="I313" s="6"/>
      <c r="J313" s="9" t="str">
        <f aca="false">IF(OR(NOT(ISNUMBER($H313)),NOT(ISNUMBER($I313)),$H313=0),"",$I313/$H313)</f>
        <v/>
      </c>
      <c r="K313" s="6"/>
      <c r="L313" s="8"/>
      <c r="M313" s="7"/>
      <c r="N313" s="7"/>
      <c r="O313" s="9" t="str">
        <f aca="false">IF(NOT(ISNUMBER($M313)),"",IF($L313="Fine earth / fine-earth volume",$M313*(1-IF(ISNUMBER($K313),$K313,0)/100),$M313))</f>
        <v/>
      </c>
      <c r="P313" s="9" t="str">
        <f aca="false">IF(OR(NOT(ISNUMBER($O313)),NOT(ISNUMBER($N313)),NOT(ISNUMBER($F313))),"",$O313*($N313/100)*$F313*10)</f>
        <v/>
      </c>
      <c r="Q313" s="9" t="str">
        <f aca="false">IF(OR(NOT(ISNUMBER($D313)),NOT(ISNUMBER($E313))),"",MAX(0,MIN($E313,SOIL_REPORTING_DEPTH_CM)-MIN($D313,SOIL_REPORTING_DEPTH_CM)))</f>
        <v/>
      </c>
      <c r="R313" s="9" t="str">
        <f aca="false">IF(OR(NOT(ISNUMBER($O313)),NOT(ISNUMBER($N313)),NOT(ISNUMBER($Q313))),"",$O313*($N313/100)*$Q313*10)</f>
        <v/>
      </c>
      <c r="S313" s="11" t="str">
        <f aca="false">IF(AND($A313="",$B313="",$D313=""),"",IF(AND($A313&lt;&gt;"",COUNTIF('1. Plot &amp; Site Log'!$A$5:$A$64,$A313)=0),"Plot ID not in the Plot &amp; Site Log. ","")&amp;IF(AND(ISNUMBER($D313),ISNUMBER($E313),$E313&lt;=$D313),"Bottom depth is not below top depth. ","")&amp;IF($L313="Not confirmed","Bulk-density basis not confirmed with the lab — the coarse-fragment correction may be wrong or doubled. ","")&amp;IF(LAB_BULK_DENSITY_BASIS="Not confirmed","No lab bulk-density basis is on file in Settings (LAB_BULK_DENSITY_BASIS), so nothing checks this row. ","")&amp;IF(AND($L313&lt;&gt;"",LAB_BULK_DENSITY_BASIS&lt;&gt;"Not confirmed",$L313&lt;&gt;LAB_BULK_DENSITY_BASIS),"This row's bulk-density basis disagrees with the lab method on file. One of "&amp;"the two is wrong, and the coarse-fragment correction follows the row. ","")&amp;IF(AND(ISNUMBER($M313),OR($M313&lt;QC_BD_MIN,$M313&gt;QC_BD_MAX)),"Bulk density outside the plausible range for a mineral grassland soil. ","")&amp;IF(AND(ISNUMBER($N313),$N313&gt;QC_CARBON_PCT_MAX),"Organic carbon above the QC ceiling — check units, and whether this is an organic horizon. ","")&amp;IF(AND(ISNUMBER($J313),$J313&lt;QC_RECOVERY_MIN),"Recovered less than the QC minimum of the depth driven — the increments may not sit where you think. Do NOT stretch them back out. ","")&amp;IF(AND(ISNUMBER($K313),$K313&gt;0,$L313="Fine earth / total volume"),"Coarse fragments recorded and the lab basis already accounts for them — no further correction applied, which is correct. ",""))</f>
        <v/>
      </c>
      <c r="T313" s="6"/>
      <c r="U313" s="9" t="n">
        <f aca="false">IF($B313="",0,IF(COUNTIFS($B$5:$B313,$B313)=1,1,0))</f>
        <v>0</v>
      </c>
    </row>
    <row r="314" customFormat="false" ht="15" hidden="false" customHeight="false" outlineLevel="0" collapsed="false">
      <c r="A314" s="6"/>
      <c r="B314" s="6"/>
      <c r="C314" s="6"/>
      <c r="D314" s="6"/>
      <c r="E314" s="6"/>
      <c r="F314" s="9" t="str">
        <f aca="false">IF(OR($D314="",$E314=""),"",$E314-$D314)</f>
        <v/>
      </c>
      <c r="G314" s="6"/>
      <c r="H314" s="6"/>
      <c r="I314" s="6"/>
      <c r="J314" s="9" t="str">
        <f aca="false">IF(OR(NOT(ISNUMBER($H314)),NOT(ISNUMBER($I314)),$H314=0),"",$I314/$H314)</f>
        <v/>
      </c>
      <c r="K314" s="6"/>
      <c r="L314" s="8"/>
      <c r="M314" s="7"/>
      <c r="N314" s="7"/>
      <c r="O314" s="9" t="str">
        <f aca="false">IF(NOT(ISNUMBER($M314)),"",IF($L314="Fine earth / fine-earth volume",$M314*(1-IF(ISNUMBER($K314),$K314,0)/100),$M314))</f>
        <v/>
      </c>
      <c r="P314" s="9" t="str">
        <f aca="false">IF(OR(NOT(ISNUMBER($O314)),NOT(ISNUMBER($N314)),NOT(ISNUMBER($F314))),"",$O314*($N314/100)*$F314*10)</f>
        <v/>
      </c>
      <c r="Q314" s="9" t="str">
        <f aca="false">IF(OR(NOT(ISNUMBER($D314)),NOT(ISNUMBER($E314))),"",MAX(0,MIN($E314,SOIL_REPORTING_DEPTH_CM)-MIN($D314,SOIL_REPORTING_DEPTH_CM)))</f>
        <v/>
      </c>
      <c r="R314" s="9" t="str">
        <f aca="false">IF(OR(NOT(ISNUMBER($O314)),NOT(ISNUMBER($N314)),NOT(ISNUMBER($Q314))),"",$O314*($N314/100)*$Q314*10)</f>
        <v/>
      </c>
      <c r="S314" s="11" t="str">
        <f aca="false">IF(AND($A314="",$B314="",$D314=""),"",IF(AND($A314&lt;&gt;"",COUNTIF('1. Plot &amp; Site Log'!$A$5:$A$64,$A314)=0),"Plot ID not in the Plot &amp; Site Log. ","")&amp;IF(AND(ISNUMBER($D314),ISNUMBER($E314),$E314&lt;=$D314),"Bottom depth is not below top depth. ","")&amp;IF($L314="Not confirmed","Bulk-density basis not confirmed with the lab — the coarse-fragment correction may be wrong or doubled. ","")&amp;IF(LAB_BULK_DENSITY_BASIS="Not confirmed","No lab bulk-density basis is on file in Settings (LAB_BULK_DENSITY_BASIS), so nothing checks this row. ","")&amp;IF(AND($L314&lt;&gt;"",LAB_BULK_DENSITY_BASIS&lt;&gt;"Not confirmed",$L314&lt;&gt;LAB_BULK_DENSITY_BASIS),"This row's bulk-density basis disagrees with the lab method on file. One of "&amp;"the two is wrong, and the coarse-fragment correction follows the row. ","")&amp;IF(AND(ISNUMBER($M314),OR($M314&lt;QC_BD_MIN,$M314&gt;QC_BD_MAX)),"Bulk density outside the plausible range for a mineral grassland soil. ","")&amp;IF(AND(ISNUMBER($N314),$N314&gt;QC_CARBON_PCT_MAX),"Organic carbon above the QC ceiling — check units, and whether this is an organic horizon. ","")&amp;IF(AND(ISNUMBER($J314),$J314&lt;QC_RECOVERY_MIN),"Recovered less than the QC minimum of the depth driven — the increments may not sit where you think. Do NOT stretch them back out. ","")&amp;IF(AND(ISNUMBER($K314),$K314&gt;0,$L314="Fine earth / total volume"),"Coarse fragments recorded and the lab basis already accounts for them — no further correction applied, which is correct. ",""))</f>
        <v/>
      </c>
      <c r="T314" s="6"/>
      <c r="U314" s="9" t="n">
        <f aca="false">IF($B314="",0,IF(COUNTIFS($B$5:$B314,$B314)=1,1,0))</f>
        <v>0</v>
      </c>
    </row>
    <row r="315" customFormat="false" ht="15" hidden="false" customHeight="false" outlineLevel="0" collapsed="false">
      <c r="A315" s="6"/>
      <c r="B315" s="6"/>
      <c r="C315" s="6"/>
      <c r="D315" s="6"/>
      <c r="E315" s="6"/>
      <c r="F315" s="9" t="str">
        <f aca="false">IF(OR($D315="",$E315=""),"",$E315-$D315)</f>
        <v/>
      </c>
      <c r="G315" s="6"/>
      <c r="H315" s="6"/>
      <c r="I315" s="6"/>
      <c r="J315" s="9" t="str">
        <f aca="false">IF(OR(NOT(ISNUMBER($H315)),NOT(ISNUMBER($I315)),$H315=0),"",$I315/$H315)</f>
        <v/>
      </c>
      <c r="K315" s="6"/>
      <c r="L315" s="8"/>
      <c r="M315" s="7"/>
      <c r="N315" s="7"/>
      <c r="O315" s="9" t="str">
        <f aca="false">IF(NOT(ISNUMBER($M315)),"",IF($L315="Fine earth / fine-earth volume",$M315*(1-IF(ISNUMBER($K315),$K315,0)/100),$M315))</f>
        <v/>
      </c>
      <c r="P315" s="9" t="str">
        <f aca="false">IF(OR(NOT(ISNUMBER($O315)),NOT(ISNUMBER($N315)),NOT(ISNUMBER($F315))),"",$O315*($N315/100)*$F315*10)</f>
        <v/>
      </c>
      <c r="Q315" s="9" t="str">
        <f aca="false">IF(OR(NOT(ISNUMBER($D315)),NOT(ISNUMBER($E315))),"",MAX(0,MIN($E315,SOIL_REPORTING_DEPTH_CM)-MIN($D315,SOIL_REPORTING_DEPTH_CM)))</f>
        <v/>
      </c>
      <c r="R315" s="9" t="str">
        <f aca="false">IF(OR(NOT(ISNUMBER($O315)),NOT(ISNUMBER($N315)),NOT(ISNUMBER($Q315))),"",$O315*($N315/100)*$Q315*10)</f>
        <v/>
      </c>
      <c r="S315" s="11" t="str">
        <f aca="false">IF(AND($A315="",$B315="",$D315=""),"",IF(AND($A315&lt;&gt;"",COUNTIF('1. Plot &amp; Site Log'!$A$5:$A$64,$A315)=0),"Plot ID not in the Plot &amp; Site Log. ","")&amp;IF(AND(ISNUMBER($D315),ISNUMBER($E315),$E315&lt;=$D315),"Bottom depth is not below top depth. ","")&amp;IF($L315="Not confirmed","Bulk-density basis not confirmed with the lab — the coarse-fragment correction may be wrong or doubled. ","")&amp;IF(LAB_BULK_DENSITY_BASIS="Not confirmed","No lab bulk-density basis is on file in Settings (LAB_BULK_DENSITY_BASIS), so nothing checks this row. ","")&amp;IF(AND($L315&lt;&gt;"",LAB_BULK_DENSITY_BASIS&lt;&gt;"Not confirmed",$L315&lt;&gt;LAB_BULK_DENSITY_BASIS),"This row's bulk-density basis disagrees with the lab method on file. One of "&amp;"the two is wrong, and the coarse-fragment correction follows the row. ","")&amp;IF(AND(ISNUMBER($M315),OR($M315&lt;QC_BD_MIN,$M315&gt;QC_BD_MAX)),"Bulk density outside the plausible range for a mineral grassland soil. ","")&amp;IF(AND(ISNUMBER($N315),$N315&gt;QC_CARBON_PCT_MAX),"Organic carbon above the QC ceiling — check units, and whether this is an organic horizon. ","")&amp;IF(AND(ISNUMBER($J315),$J315&lt;QC_RECOVERY_MIN),"Recovered less than the QC minimum of the depth driven — the increments may not sit where you think. Do NOT stretch them back out. ","")&amp;IF(AND(ISNUMBER($K315),$K315&gt;0,$L315="Fine earth / total volume"),"Coarse fragments recorded and the lab basis already accounts for them — no further correction applied, which is correct. ",""))</f>
        <v/>
      </c>
      <c r="T315" s="6"/>
      <c r="U315" s="9" t="n">
        <f aca="false">IF($B315="",0,IF(COUNTIFS($B$5:$B315,$B315)=1,1,0))</f>
        <v>0</v>
      </c>
    </row>
    <row r="316" customFormat="false" ht="15" hidden="false" customHeight="false" outlineLevel="0" collapsed="false">
      <c r="A316" s="6"/>
      <c r="B316" s="6"/>
      <c r="C316" s="6"/>
      <c r="D316" s="6"/>
      <c r="E316" s="6"/>
      <c r="F316" s="9" t="str">
        <f aca="false">IF(OR($D316="",$E316=""),"",$E316-$D316)</f>
        <v/>
      </c>
      <c r="G316" s="6"/>
      <c r="H316" s="6"/>
      <c r="I316" s="6"/>
      <c r="J316" s="9" t="str">
        <f aca="false">IF(OR(NOT(ISNUMBER($H316)),NOT(ISNUMBER($I316)),$H316=0),"",$I316/$H316)</f>
        <v/>
      </c>
      <c r="K316" s="6"/>
      <c r="L316" s="8"/>
      <c r="M316" s="7"/>
      <c r="N316" s="7"/>
      <c r="O316" s="9" t="str">
        <f aca="false">IF(NOT(ISNUMBER($M316)),"",IF($L316="Fine earth / fine-earth volume",$M316*(1-IF(ISNUMBER($K316),$K316,0)/100),$M316))</f>
        <v/>
      </c>
      <c r="P316" s="9" t="str">
        <f aca="false">IF(OR(NOT(ISNUMBER($O316)),NOT(ISNUMBER($N316)),NOT(ISNUMBER($F316))),"",$O316*($N316/100)*$F316*10)</f>
        <v/>
      </c>
      <c r="Q316" s="9" t="str">
        <f aca="false">IF(OR(NOT(ISNUMBER($D316)),NOT(ISNUMBER($E316))),"",MAX(0,MIN($E316,SOIL_REPORTING_DEPTH_CM)-MIN($D316,SOIL_REPORTING_DEPTH_CM)))</f>
        <v/>
      </c>
      <c r="R316" s="9" t="str">
        <f aca="false">IF(OR(NOT(ISNUMBER($O316)),NOT(ISNUMBER($N316)),NOT(ISNUMBER($Q316))),"",$O316*($N316/100)*$Q316*10)</f>
        <v/>
      </c>
      <c r="S316" s="11" t="str">
        <f aca="false">IF(AND($A316="",$B316="",$D316=""),"",IF(AND($A316&lt;&gt;"",COUNTIF('1. Plot &amp; Site Log'!$A$5:$A$64,$A316)=0),"Plot ID not in the Plot &amp; Site Log. ","")&amp;IF(AND(ISNUMBER($D316),ISNUMBER($E316),$E316&lt;=$D316),"Bottom depth is not below top depth. ","")&amp;IF($L316="Not confirmed","Bulk-density basis not confirmed with the lab — the coarse-fragment correction may be wrong or doubled. ","")&amp;IF(LAB_BULK_DENSITY_BASIS="Not confirmed","No lab bulk-density basis is on file in Settings (LAB_BULK_DENSITY_BASIS), so nothing checks this row. ","")&amp;IF(AND($L316&lt;&gt;"",LAB_BULK_DENSITY_BASIS&lt;&gt;"Not confirmed",$L316&lt;&gt;LAB_BULK_DENSITY_BASIS),"This row's bulk-density basis disagrees with the lab method on file. One of "&amp;"the two is wrong, and the coarse-fragment correction follows the row. ","")&amp;IF(AND(ISNUMBER($M316),OR($M316&lt;QC_BD_MIN,$M316&gt;QC_BD_MAX)),"Bulk density outside the plausible range for a mineral grassland soil. ","")&amp;IF(AND(ISNUMBER($N316),$N316&gt;QC_CARBON_PCT_MAX),"Organic carbon above the QC ceiling — check units, and whether this is an organic horizon. ","")&amp;IF(AND(ISNUMBER($J316),$J316&lt;QC_RECOVERY_MIN),"Recovered less than the QC minimum of the depth driven — the increments may not sit where you think. Do NOT stretch them back out. ","")&amp;IF(AND(ISNUMBER($K316),$K316&gt;0,$L316="Fine earth / total volume"),"Coarse fragments recorded and the lab basis already accounts for them — no further correction applied, which is correct. ",""))</f>
        <v/>
      </c>
      <c r="T316" s="6"/>
      <c r="U316" s="9" t="n">
        <f aca="false">IF($B316="",0,IF(COUNTIFS($B$5:$B316,$B316)=1,1,0))</f>
        <v>0</v>
      </c>
    </row>
    <row r="317" customFormat="false" ht="15" hidden="false" customHeight="false" outlineLevel="0" collapsed="false">
      <c r="A317" s="6"/>
      <c r="B317" s="6"/>
      <c r="C317" s="6"/>
      <c r="D317" s="6"/>
      <c r="E317" s="6"/>
      <c r="F317" s="9" t="str">
        <f aca="false">IF(OR($D317="",$E317=""),"",$E317-$D317)</f>
        <v/>
      </c>
      <c r="G317" s="6"/>
      <c r="H317" s="6"/>
      <c r="I317" s="6"/>
      <c r="J317" s="9" t="str">
        <f aca="false">IF(OR(NOT(ISNUMBER($H317)),NOT(ISNUMBER($I317)),$H317=0),"",$I317/$H317)</f>
        <v/>
      </c>
      <c r="K317" s="6"/>
      <c r="L317" s="8"/>
      <c r="M317" s="7"/>
      <c r="N317" s="7"/>
      <c r="O317" s="9" t="str">
        <f aca="false">IF(NOT(ISNUMBER($M317)),"",IF($L317="Fine earth / fine-earth volume",$M317*(1-IF(ISNUMBER($K317),$K317,0)/100),$M317))</f>
        <v/>
      </c>
      <c r="P317" s="9" t="str">
        <f aca="false">IF(OR(NOT(ISNUMBER($O317)),NOT(ISNUMBER($N317)),NOT(ISNUMBER($F317))),"",$O317*($N317/100)*$F317*10)</f>
        <v/>
      </c>
      <c r="Q317" s="9" t="str">
        <f aca="false">IF(OR(NOT(ISNUMBER($D317)),NOT(ISNUMBER($E317))),"",MAX(0,MIN($E317,SOIL_REPORTING_DEPTH_CM)-MIN($D317,SOIL_REPORTING_DEPTH_CM)))</f>
        <v/>
      </c>
      <c r="R317" s="9" t="str">
        <f aca="false">IF(OR(NOT(ISNUMBER($O317)),NOT(ISNUMBER($N317)),NOT(ISNUMBER($Q317))),"",$O317*($N317/100)*$Q317*10)</f>
        <v/>
      </c>
      <c r="S317" s="11" t="str">
        <f aca="false">IF(AND($A317="",$B317="",$D317=""),"",IF(AND($A317&lt;&gt;"",COUNTIF('1. Plot &amp; Site Log'!$A$5:$A$64,$A317)=0),"Plot ID not in the Plot &amp; Site Log. ","")&amp;IF(AND(ISNUMBER($D317),ISNUMBER($E317),$E317&lt;=$D317),"Bottom depth is not below top depth. ","")&amp;IF($L317="Not confirmed","Bulk-density basis not confirmed with the lab — the coarse-fragment correction may be wrong or doubled. ","")&amp;IF(LAB_BULK_DENSITY_BASIS="Not confirmed","No lab bulk-density basis is on file in Settings (LAB_BULK_DENSITY_BASIS), so nothing checks this row. ","")&amp;IF(AND($L317&lt;&gt;"",LAB_BULK_DENSITY_BASIS&lt;&gt;"Not confirmed",$L317&lt;&gt;LAB_BULK_DENSITY_BASIS),"This row's bulk-density basis disagrees with the lab method on file. One of "&amp;"the two is wrong, and the coarse-fragment correction follows the row. ","")&amp;IF(AND(ISNUMBER($M317),OR($M317&lt;QC_BD_MIN,$M317&gt;QC_BD_MAX)),"Bulk density outside the plausible range for a mineral grassland soil. ","")&amp;IF(AND(ISNUMBER($N317),$N317&gt;QC_CARBON_PCT_MAX),"Organic carbon above the QC ceiling — check units, and whether this is an organic horizon. ","")&amp;IF(AND(ISNUMBER($J317),$J317&lt;QC_RECOVERY_MIN),"Recovered less than the QC minimum of the depth driven — the increments may not sit where you think. Do NOT stretch them back out. ","")&amp;IF(AND(ISNUMBER($K317),$K317&gt;0,$L317="Fine earth / total volume"),"Coarse fragments recorded and the lab basis already accounts for them — no further correction applied, which is correct. ",""))</f>
        <v/>
      </c>
      <c r="T317" s="6"/>
      <c r="U317" s="9" t="n">
        <f aca="false">IF($B317="",0,IF(COUNTIFS($B$5:$B317,$B317)=1,1,0))</f>
        <v>0</v>
      </c>
    </row>
    <row r="318" customFormat="false" ht="15" hidden="false" customHeight="false" outlineLevel="0" collapsed="false">
      <c r="A318" s="6"/>
      <c r="B318" s="6"/>
      <c r="C318" s="6"/>
      <c r="D318" s="6"/>
      <c r="E318" s="6"/>
      <c r="F318" s="9" t="str">
        <f aca="false">IF(OR($D318="",$E318=""),"",$E318-$D318)</f>
        <v/>
      </c>
      <c r="G318" s="6"/>
      <c r="H318" s="6"/>
      <c r="I318" s="6"/>
      <c r="J318" s="9" t="str">
        <f aca="false">IF(OR(NOT(ISNUMBER($H318)),NOT(ISNUMBER($I318)),$H318=0),"",$I318/$H318)</f>
        <v/>
      </c>
      <c r="K318" s="6"/>
      <c r="L318" s="8"/>
      <c r="M318" s="7"/>
      <c r="N318" s="7"/>
      <c r="O318" s="9" t="str">
        <f aca="false">IF(NOT(ISNUMBER($M318)),"",IF($L318="Fine earth / fine-earth volume",$M318*(1-IF(ISNUMBER($K318),$K318,0)/100),$M318))</f>
        <v/>
      </c>
      <c r="P318" s="9" t="str">
        <f aca="false">IF(OR(NOT(ISNUMBER($O318)),NOT(ISNUMBER($N318)),NOT(ISNUMBER($F318))),"",$O318*($N318/100)*$F318*10)</f>
        <v/>
      </c>
      <c r="Q318" s="9" t="str">
        <f aca="false">IF(OR(NOT(ISNUMBER($D318)),NOT(ISNUMBER($E318))),"",MAX(0,MIN($E318,SOIL_REPORTING_DEPTH_CM)-MIN($D318,SOIL_REPORTING_DEPTH_CM)))</f>
        <v/>
      </c>
      <c r="R318" s="9" t="str">
        <f aca="false">IF(OR(NOT(ISNUMBER($O318)),NOT(ISNUMBER($N318)),NOT(ISNUMBER($Q318))),"",$O318*($N318/100)*$Q318*10)</f>
        <v/>
      </c>
      <c r="S318" s="11" t="str">
        <f aca="false">IF(AND($A318="",$B318="",$D318=""),"",IF(AND($A318&lt;&gt;"",COUNTIF('1. Plot &amp; Site Log'!$A$5:$A$64,$A318)=0),"Plot ID not in the Plot &amp; Site Log. ","")&amp;IF(AND(ISNUMBER($D318),ISNUMBER($E318),$E318&lt;=$D318),"Bottom depth is not below top depth. ","")&amp;IF($L318="Not confirmed","Bulk-density basis not confirmed with the lab — the coarse-fragment correction may be wrong or doubled. ","")&amp;IF(LAB_BULK_DENSITY_BASIS="Not confirmed","No lab bulk-density basis is on file in Settings (LAB_BULK_DENSITY_BASIS), so nothing checks this row. ","")&amp;IF(AND($L318&lt;&gt;"",LAB_BULK_DENSITY_BASIS&lt;&gt;"Not confirmed",$L318&lt;&gt;LAB_BULK_DENSITY_BASIS),"This row's bulk-density basis disagrees with the lab method on file. One of "&amp;"the two is wrong, and the coarse-fragment correction follows the row. ","")&amp;IF(AND(ISNUMBER($M318),OR($M318&lt;QC_BD_MIN,$M318&gt;QC_BD_MAX)),"Bulk density outside the plausible range for a mineral grassland soil. ","")&amp;IF(AND(ISNUMBER($N318),$N318&gt;QC_CARBON_PCT_MAX),"Organic carbon above the QC ceiling — check units, and whether this is an organic horizon. ","")&amp;IF(AND(ISNUMBER($J318),$J318&lt;QC_RECOVERY_MIN),"Recovered less than the QC minimum of the depth driven — the increments may not sit where you think. Do NOT stretch them back out. ","")&amp;IF(AND(ISNUMBER($K318),$K318&gt;0,$L318="Fine earth / total volume"),"Coarse fragments recorded and the lab basis already accounts for them — no further correction applied, which is correct. ",""))</f>
        <v/>
      </c>
      <c r="T318" s="6"/>
      <c r="U318" s="9" t="n">
        <f aca="false">IF($B318="",0,IF(COUNTIFS($B$5:$B318,$B318)=1,1,0))</f>
        <v>0</v>
      </c>
    </row>
    <row r="319" customFormat="false" ht="15" hidden="false" customHeight="false" outlineLevel="0" collapsed="false">
      <c r="A319" s="6"/>
      <c r="B319" s="6"/>
      <c r="C319" s="6"/>
      <c r="D319" s="6"/>
      <c r="E319" s="6"/>
      <c r="F319" s="9" t="str">
        <f aca="false">IF(OR($D319="",$E319=""),"",$E319-$D319)</f>
        <v/>
      </c>
      <c r="G319" s="6"/>
      <c r="H319" s="6"/>
      <c r="I319" s="6"/>
      <c r="J319" s="9" t="str">
        <f aca="false">IF(OR(NOT(ISNUMBER($H319)),NOT(ISNUMBER($I319)),$H319=0),"",$I319/$H319)</f>
        <v/>
      </c>
      <c r="K319" s="6"/>
      <c r="L319" s="8"/>
      <c r="M319" s="7"/>
      <c r="N319" s="7"/>
      <c r="O319" s="9" t="str">
        <f aca="false">IF(NOT(ISNUMBER($M319)),"",IF($L319="Fine earth / fine-earth volume",$M319*(1-IF(ISNUMBER($K319),$K319,0)/100),$M319))</f>
        <v/>
      </c>
      <c r="P319" s="9" t="str">
        <f aca="false">IF(OR(NOT(ISNUMBER($O319)),NOT(ISNUMBER($N319)),NOT(ISNUMBER($F319))),"",$O319*($N319/100)*$F319*10)</f>
        <v/>
      </c>
      <c r="Q319" s="9" t="str">
        <f aca="false">IF(OR(NOT(ISNUMBER($D319)),NOT(ISNUMBER($E319))),"",MAX(0,MIN($E319,SOIL_REPORTING_DEPTH_CM)-MIN($D319,SOIL_REPORTING_DEPTH_CM)))</f>
        <v/>
      </c>
      <c r="R319" s="9" t="str">
        <f aca="false">IF(OR(NOT(ISNUMBER($O319)),NOT(ISNUMBER($N319)),NOT(ISNUMBER($Q319))),"",$O319*($N319/100)*$Q319*10)</f>
        <v/>
      </c>
      <c r="S319" s="11" t="str">
        <f aca="false">IF(AND($A319="",$B319="",$D319=""),"",IF(AND($A319&lt;&gt;"",COUNTIF('1. Plot &amp; Site Log'!$A$5:$A$64,$A319)=0),"Plot ID not in the Plot &amp; Site Log. ","")&amp;IF(AND(ISNUMBER($D319),ISNUMBER($E319),$E319&lt;=$D319),"Bottom depth is not below top depth. ","")&amp;IF($L319="Not confirmed","Bulk-density basis not confirmed with the lab — the coarse-fragment correction may be wrong or doubled. ","")&amp;IF(LAB_BULK_DENSITY_BASIS="Not confirmed","No lab bulk-density basis is on file in Settings (LAB_BULK_DENSITY_BASIS), so nothing checks this row. ","")&amp;IF(AND($L319&lt;&gt;"",LAB_BULK_DENSITY_BASIS&lt;&gt;"Not confirmed",$L319&lt;&gt;LAB_BULK_DENSITY_BASIS),"This row's bulk-density basis disagrees with the lab method on file. One of "&amp;"the two is wrong, and the coarse-fragment correction follows the row. ","")&amp;IF(AND(ISNUMBER($M319),OR($M319&lt;QC_BD_MIN,$M319&gt;QC_BD_MAX)),"Bulk density outside the plausible range for a mineral grassland soil. ","")&amp;IF(AND(ISNUMBER($N319),$N319&gt;QC_CARBON_PCT_MAX),"Organic carbon above the QC ceiling — check units, and whether this is an organic horizon. ","")&amp;IF(AND(ISNUMBER($J319),$J319&lt;QC_RECOVERY_MIN),"Recovered less than the QC minimum of the depth driven — the increments may not sit where you think. Do NOT stretch them back out. ","")&amp;IF(AND(ISNUMBER($K319),$K319&gt;0,$L319="Fine earth / total volume"),"Coarse fragments recorded and the lab basis already accounts for them — no further correction applied, which is correct. ",""))</f>
        <v/>
      </c>
      <c r="T319" s="6"/>
      <c r="U319" s="9" t="n">
        <f aca="false">IF($B319="",0,IF(COUNTIFS($B$5:$B319,$B319)=1,1,0))</f>
        <v>0</v>
      </c>
    </row>
    <row r="320" customFormat="false" ht="15" hidden="false" customHeight="false" outlineLevel="0" collapsed="false">
      <c r="A320" s="6"/>
      <c r="B320" s="6"/>
      <c r="C320" s="6"/>
      <c r="D320" s="6"/>
      <c r="E320" s="6"/>
      <c r="F320" s="9" t="str">
        <f aca="false">IF(OR($D320="",$E320=""),"",$E320-$D320)</f>
        <v/>
      </c>
      <c r="G320" s="6"/>
      <c r="H320" s="6"/>
      <c r="I320" s="6"/>
      <c r="J320" s="9" t="str">
        <f aca="false">IF(OR(NOT(ISNUMBER($H320)),NOT(ISNUMBER($I320)),$H320=0),"",$I320/$H320)</f>
        <v/>
      </c>
      <c r="K320" s="6"/>
      <c r="L320" s="8"/>
      <c r="M320" s="7"/>
      <c r="N320" s="7"/>
      <c r="O320" s="9" t="str">
        <f aca="false">IF(NOT(ISNUMBER($M320)),"",IF($L320="Fine earth / fine-earth volume",$M320*(1-IF(ISNUMBER($K320),$K320,0)/100),$M320))</f>
        <v/>
      </c>
      <c r="P320" s="9" t="str">
        <f aca="false">IF(OR(NOT(ISNUMBER($O320)),NOT(ISNUMBER($N320)),NOT(ISNUMBER($F320))),"",$O320*($N320/100)*$F320*10)</f>
        <v/>
      </c>
      <c r="Q320" s="9" t="str">
        <f aca="false">IF(OR(NOT(ISNUMBER($D320)),NOT(ISNUMBER($E320))),"",MAX(0,MIN($E320,SOIL_REPORTING_DEPTH_CM)-MIN($D320,SOIL_REPORTING_DEPTH_CM)))</f>
        <v/>
      </c>
      <c r="R320" s="9" t="str">
        <f aca="false">IF(OR(NOT(ISNUMBER($O320)),NOT(ISNUMBER($N320)),NOT(ISNUMBER($Q320))),"",$O320*($N320/100)*$Q320*10)</f>
        <v/>
      </c>
      <c r="S320" s="11" t="str">
        <f aca="false">IF(AND($A320="",$B320="",$D320=""),"",IF(AND($A320&lt;&gt;"",COUNTIF('1. Plot &amp; Site Log'!$A$5:$A$64,$A320)=0),"Plot ID not in the Plot &amp; Site Log. ","")&amp;IF(AND(ISNUMBER($D320),ISNUMBER($E320),$E320&lt;=$D320),"Bottom depth is not below top depth. ","")&amp;IF($L320="Not confirmed","Bulk-density basis not confirmed with the lab — the coarse-fragment correction may be wrong or doubled. ","")&amp;IF(LAB_BULK_DENSITY_BASIS="Not confirmed","No lab bulk-density basis is on file in Settings (LAB_BULK_DENSITY_BASIS), so nothing checks this row. ","")&amp;IF(AND($L320&lt;&gt;"",LAB_BULK_DENSITY_BASIS&lt;&gt;"Not confirmed",$L320&lt;&gt;LAB_BULK_DENSITY_BASIS),"This row's bulk-density basis disagrees with the lab method on file. One of "&amp;"the two is wrong, and the coarse-fragment correction follows the row. ","")&amp;IF(AND(ISNUMBER($M320),OR($M320&lt;QC_BD_MIN,$M320&gt;QC_BD_MAX)),"Bulk density outside the plausible range for a mineral grassland soil. ","")&amp;IF(AND(ISNUMBER($N320),$N320&gt;QC_CARBON_PCT_MAX),"Organic carbon above the QC ceiling — check units, and whether this is an organic horizon. ","")&amp;IF(AND(ISNUMBER($J320),$J320&lt;QC_RECOVERY_MIN),"Recovered less than the QC minimum of the depth driven — the increments may not sit where you think. Do NOT stretch them back out. ","")&amp;IF(AND(ISNUMBER($K320),$K320&gt;0,$L320="Fine earth / total volume"),"Coarse fragments recorded and the lab basis already accounts for them — no further correction applied, which is correct. ",""))</f>
        <v/>
      </c>
      <c r="T320" s="6"/>
      <c r="U320" s="9" t="n">
        <f aca="false">IF($B320="",0,IF(COUNTIFS($B$5:$B320,$B320)=1,1,0))</f>
        <v>0</v>
      </c>
    </row>
    <row r="321" customFormat="false" ht="15" hidden="false" customHeight="false" outlineLevel="0" collapsed="false">
      <c r="A321" s="6"/>
      <c r="B321" s="6"/>
      <c r="C321" s="6"/>
      <c r="D321" s="6"/>
      <c r="E321" s="6"/>
      <c r="F321" s="9" t="str">
        <f aca="false">IF(OR($D321="",$E321=""),"",$E321-$D321)</f>
        <v/>
      </c>
      <c r="G321" s="6"/>
      <c r="H321" s="6"/>
      <c r="I321" s="6"/>
      <c r="J321" s="9" t="str">
        <f aca="false">IF(OR(NOT(ISNUMBER($H321)),NOT(ISNUMBER($I321)),$H321=0),"",$I321/$H321)</f>
        <v/>
      </c>
      <c r="K321" s="6"/>
      <c r="L321" s="8"/>
      <c r="M321" s="7"/>
      <c r="N321" s="7"/>
      <c r="O321" s="9" t="str">
        <f aca="false">IF(NOT(ISNUMBER($M321)),"",IF($L321="Fine earth / fine-earth volume",$M321*(1-IF(ISNUMBER($K321),$K321,0)/100),$M321))</f>
        <v/>
      </c>
      <c r="P321" s="9" t="str">
        <f aca="false">IF(OR(NOT(ISNUMBER($O321)),NOT(ISNUMBER($N321)),NOT(ISNUMBER($F321))),"",$O321*($N321/100)*$F321*10)</f>
        <v/>
      </c>
      <c r="Q321" s="9" t="str">
        <f aca="false">IF(OR(NOT(ISNUMBER($D321)),NOT(ISNUMBER($E321))),"",MAX(0,MIN($E321,SOIL_REPORTING_DEPTH_CM)-MIN($D321,SOIL_REPORTING_DEPTH_CM)))</f>
        <v/>
      </c>
      <c r="R321" s="9" t="str">
        <f aca="false">IF(OR(NOT(ISNUMBER($O321)),NOT(ISNUMBER($N321)),NOT(ISNUMBER($Q321))),"",$O321*($N321/100)*$Q321*10)</f>
        <v/>
      </c>
      <c r="S321" s="11" t="str">
        <f aca="false">IF(AND($A321="",$B321="",$D321=""),"",IF(AND($A321&lt;&gt;"",COUNTIF('1. Plot &amp; Site Log'!$A$5:$A$64,$A321)=0),"Plot ID not in the Plot &amp; Site Log. ","")&amp;IF(AND(ISNUMBER($D321),ISNUMBER($E321),$E321&lt;=$D321),"Bottom depth is not below top depth. ","")&amp;IF($L321="Not confirmed","Bulk-density basis not confirmed with the lab — the coarse-fragment correction may be wrong or doubled. ","")&amp;IF(LAB_BULK_DENSITY_BASIS="Not confirmed","No lab bulk-density basis is on file in Settings (LAB_BULK_DENSITY_BASIS), so nothing checks this row. ","")&amp;IF(AND($L321&lt;&gt;"",LAB_BULK_DENSITY_BASIS&lt;&gt;"Not confirmed",$L321&lt;&gt;LAB_BULK_DENSITY_BASIS),"This row's bulk-density basis disagrees with the lab method on file. One of "&amp;"the two is wrong, and the coarse-fragment correction follows the row. ","")&amp;IF(AND(ISNUMBER($M321),OR($M321&lt;QC_BD_MIN,$M321&gt;QC_BD_MAX)),"Bulk density outside the plausible range for a mineral grassland soil. ","")&amp;IF(AND(ISNUMBER($N321),$N321&gt;QC_CARBON_PCT_MAX),"Organic carbon above the QC ceiling — check units, and whether this is an organic horizon. ","")&amp;IF(AND(ISNUMBER($J321),$J321&lt;QC_RECOVERY_MIN),"Recovered less than the QC minimum of the depth driven — the increments may not sit where you think. Do NOT stretch them back out. ","")&amp;IF(AND(ISNUMBER($K321),$K321&gt;0,$L321="Fine earth / total volume"),"Coarse fragments recorded and the lab basis already accounts for them — no further correction applied, which is correct. ",""))</f>
        <v/>
      </c>
      <c r="T321" s="6"/>
      <c r="U321" s="9" t="n">
        <f aca="false">IF($B321="",0,IF(COUNTIFS($B$5:$B321,$B321)=1,1,0))</f>
        <v>0</v>
      </c>
    </row>
    <row r="322" customFormat="false" ht="15" hidden="false" customHeight="false" outlineLevel="0" collapsed="false">
      <c r="A322" s="6"/>
      <c r="B322" s="6"/>
      <c r="C322" s="6"/>
      <c r="D322" s="6"/>
      <c r="E322" s="6"/>
      <c r="F322" s="9" t="str">
        <f aca="false">IF(OR($D322="",$E322=""),"",$E322-$D322)</f>
        <v/>
      </c>
      <c r="G322" s="6"/>
      <c r="H322" s="6"/>
      <c r="I322" s="6"/>
      <c r="J322" s="9" t="str">
        <f aca="false">IF(OR(NOT(ISNUMBER($H322)),NOT(ISNUMBER($I322)),$H322=0),"",$I322/$H322)</f>
        <v/>
      </c>
      <c r="K322" s="6"/>
      <c r="L322" s="8"/>
      <c r="M322" s="7"/>
      <c r="N322" s="7"/>
      <c r="O322" s="9" t="str">
        <f aca="false">IF(NOT(ISNUMBER($M322)),"",IF($L322="Fine earth / fine-earth volume",$M322*(1-IF(ISNUMBER($K322),$K322,0)/100),$M322))</f>
        <v/>
      </c>
      <c r="P322" s="9" t="str">
        <f aca="false">IF(OR(NOT(ISNUMBER($O322)),NOT(ISNUMBER($N322)),NOT(ISNUMBER($F322))),"",$O322*($N322/100)*$F322*10)</f>
        <v/>
      </c>
      <c r="Q322" s="9" t="str">
        <f aca="false">IF(OR(NOT(ISNUMBER($D322)),NOT(ISNUMBER($E322))),"",MAX(0,MIN($E322,SOIL_REPORTING_DEPTH_CM)-MIN($D322,SOIL_REPORTING_DEPTH_CM)))</f>
        <v/>
      </c>
      <c r="R322" s="9" t="str">
        <f aca="false">IF(OR(NOT(ISNUMBER($O322)),NOT(ISNUMBER($N322)),NOT(ISNUMBER($Q322))),"",$O322*($N322/100)*$Q322*10)</f>
        <v/>
      </c>
      <c r="S322" s="11" t="str">
        <f aca="false">IF(AND($A322="",$B322="",$D322=""),"",IF(AND($A322&lt;&gt;"",COUNTIF('1. Plot &amp; Site Log'!$A$5:$A$64,$A322)=0),"Plot ID not in the Plot &amp; Site Log. ","")&amp;IF(AND(ISNUMBER($D322),ISNUMBER($E322),$E322&lt;=$D322),"Bottom depth is not below top depth. ","")&amp;IF($L322="Not confirmed","Bulk-density basis not confirmed with the lab — the coarse-fragment correction may be wrong or doubled. ","")&amp;IF(LAB_BULK_DENSITY_BASIS="Not confirmed","No lab bulk-density basis is on file in Settings (LAB_BULK_DENSITY_BASIS), so nothing checks this row. ","")&amp;IF(AND($L322&lt;&gt;"",LAB_BULK_DENSITY_BASIS&lt;&gt;"Not confirmed",$L322&lt;&gt;LAB_BULK_DENSITY_BASIS),"This row's bulk-density basis disagrees with the lab method on file. One of "&amp;"the two is wrong, and the coarse-fragment correction follows the row. ","")&amp;IF(AND(ISNUMBER($M322),OR($M322&lt;QC_BD_MIN,$M322&gt;QC_BD_MAX)),"Bulk density outside the plausible range for a mineral grassland soil. ","")&amp;IF(AND(ISNUMBER($N322),$N322&gt;QC_CARBON_PCT_MAX),"Organic carbon above the QC ceiling — check units, and whether this is an organic horizon. ","")&amp;IF(AND(ISNUMBER($J322),$J322&lt;QC_RECOVERY_MIN),"Recovered less than the QC minimum of the depth driven — the increments may not sit where you think. Do NOT stretch them back out. ","")&amp;IF(AND(ISNUMBER($K322),$K322&gt;0,$L322="Fine earth / total volume"),"Coarse fragments recorded and the lab basis already accounts for them — no further correction applied, which is correct. ",""))</f>
        <v/>
      </c>
      <c r="T322" s="6"/>
      <c r="U322" s="9" t="n">
        <f aca="false">IF($B322="",0,IF(COUNTIFS($B$5:$B322,$B322)=1,1,0))</f>
        <v>0</v>
      </c>
    </row>
    <row r="323" customFormat="false" ht="15" hidden="false" customHeight="false" outlineLevel="0" collapsed="false">
      <c r="A323" s="6"/>
      <c r="B323" s="6"/>
      <c r="C323" s="6"/>
      <c r="D323" s="6"/>
      <c r="E323" s="6"/>
      <c r="F323" s="9" t="str">
        <f aca="false">IF(OR($D323="",$E323=""),"",$E323-$D323)</f>
        <v/>
      </c>
      <c r="G323" s="6"/>
      <c r="H323" s="6"/>
      <c r="I323" s="6"/>
      <c r="J323" s="9" t="str">
        <f aca="false">IF(OR(NOT(ISNUMBER($H323)),NOT(ISNUMBER($I323)),$H323=0),"",$I323/$H323)</f>
        <v/>
      </c>
      <c r="K323" s="6"/>
      <c r="L323" s="8"/>
      <c r="M323" s="7"/>
      <c r="N323" s="7"/>
      <c r="O323" s="9" t="str">
        <f aca="false">IF(NOT(ISNUMBER($M323)),"",IF($L323="Fine earth / fine-earth volume",$M323*(1-IF(ISNUMBER($K323),$K323,0)/100),$M323))</f>
        <v/>
      </c>
      <c r="P323" s="9" t="str">
        <f aca="false">IF(OR(NOT(ISNUMBER($O323)),NOT(ISNUMBER($N323)),NOT(ISNUMBER($F323))),"",$O323*($N323/100)*$F323*10)</f>
        <v/>
      </c>
      <c r="Q323" s="9" t="str">
        <f aca="false">IF(OR(NOT(ISNUMBER($D323)),NOT(ISNUMBER($E323))),"",MAX(0,MIN($E323,SOIL_REPORTING_DEPTH_CM)-MIN($D323,SOIL_REPORTING_DEPTH_CM)))</f>
        <v/>
      </c>
      <c r="R323" s="9" t="str">
        <f aca="false">IF(OR(NOT(ISNUMBER($O323)),NOT(ISNUMBER($N323)),NOT(ISNUMBER($Q323))),"",$O323*($N323/100)*$Q323*10)</f>
        <v/>
      </c>
      <c r="S323" s="11" t="str">
        <f aca="false">IF(AND($A323="",$B323="",$D323=""),"",IF(AND($A323&lt;&gt;"",COUNTIF('1. Plot &amp; Site Log'!$A$5:$A$64,$A323)=0),"Plot ID not in the Plot &amp; Site Log. ","")&amp;IF(AND(ISNUMBER($D323),ISNUMBER($E323),$E323&lt;=$D323),"Bottom depth is not below top depth. ","")&amp;IF($L323="Not confirmed","Bulk-density basis not confirmed with the lab — the coarse-fragment correction may be wrong or doubled. ","")&amp;IF(LAB_BULK_DENSITY_BASIS="Not confirmed","No lab bulk-density basis is on file in Settings (LAB_BULK_DENSITY_BASIS), so nothing checks this row. ","")&amp;IF(AND($L323&lt;&gt;"",LAB_BULK_DENSITY_BASIS&lt;&gt;"Not confirmed",$L323&lt;&gt;LAB_BULK_DENSITY_BASIS),"This row's bulk-density basis disagrees with the lab method on file. One of "&amp;"the two is wrong, and the coarse-fragment correction follows the row. ","")&amp;IF(AND(ISNUMBER($M323),OR($M323&lt;QC_BD_MIN,$M323&gt;QC_BD_MAX)),"Bulk density outside the plausible range for a mineral grassland soil. ","")&amp;IF(AND(ISNUMBER($N323),$N323&gt;QC_CARBON_PCT_MAX),"Organic carbon above the QC ceiling — check units, and whether this is an organic horizon. ","")&amp;IF(AND(ISNUMBER($J323),$J323&lt;QC_RECOVERY_MIN),"Recovered less than the QC minimum of the depth driven — the increments may not sit where you think. Do NOT stretch them back out. ","")&amp;IF(AND(ISNUMBER($K323),$K323&gt;0,$L323="Fine earth / total volume"),"Coarse fragments recorded and the lab basis already accounts for them — no further correction applied, which is correct. ",""))</f>
        <v/>
      </c>
      <c r="T323" s="6"/>
      <c r="U323" s="9" t="n">
        <f aca="false">IF($B323="",0,IF(COUNTIFS($B$5:$B323,$B323)=1,1,0))</f>
        <v>0</v>
      </c>
    </row>
    <row r="324" customFormat="false" ht="15" hidden="false" customHeight="false" outlineLevel="0" collapsed="false">
      <c r="A324" s="6"/>
      <c r="B324" s="6"/>
      <c r="C324" s="6"/>
      <c r="D324" s="6"/>
      <c r="E324" s="6"/>
      <c r="F324" s="9" t="str">
        <f aca="false">IF(OR($D324="",$E324=""),"",$E324-$D324)</f>
        <v/>
      </c>
      <c r="G324" s="6"/>
      <c r="H324" s="6"/>
      <c r="I324" s="6"/>
      <c r="J324" s="9" t="str">
        <f aca="false">IF(OR(NOT(ISNUMBER($H324)),NOT(ISNUMBER($I324)),$H324=0),"",$I324/$H324)</f>
        <v/>
      </c>
      <c r="K324" s="6"/>
      <c r="L324" s="8"/>
      <c r="M324" s="7"/>
      <c r="N324" s="7"/>
      <c r="O324" s="9" t="str">
        <f aca="false">IF(NOT(ISNUMBER($M324)),"",IF($L324="Fine earth / fine-earth volume",$M324*(1-IF(ISNUMBER($K324),$K324,0)/100),$M324))</f>
        <v/>
      </c>
      <c r="P324" s="9" t="str">
        <f aca="false">IF(OR(NOT(ISNUMBER($O324)),NOT(ISNUMBER($N324)),NOT(ISNUMBER($F324))),"",$O324*($N324/100)*$F324*10)</f>
        <v/>
      </c>
      <c r="Q324" s="9" t="str">
        <f aca="false">IF(OR(NOT(ISNUMBER($D324)),NOT(ISNUMBER($E324))),"",MAX(0,MIN($E324,SOIL_REPORTING_DEPTH_CM)-MIN($D324,SOIL_REPORTING_DEPTH_CM)))</f>
        <v/>
      </c>
      <c r="R324" s="9" t="str">
        <f aca="false">IF(OR(NOT(ISNUMBER($O324)),NOT(ISNUMBER($N324)),NOT(ISNUMBER($Q324))),"",$O324*($N324/100)*$Q324*10)</f>
        <v/>
      </c>
      <c r="S324" s="11" t="str">
        <f aca="false">IF(AND($A324="",$B324="",$D324=""),"",IF(AND($A324&lt;&gt;"",COUNTIF('1. Plot &amp; Site Log'!$A$5:$A$64,$A324)=0),"Plot ID not in the Plot &amp; Site Log. ","")&amp;IF(AND(ISNUMBER($D324),ISNUMBER($E324),$E324&lt;=$D324),"Bottom depth is not below top depth. ","")&amp;IF($L324="Not confirmed","Bulk-density basis not confirmed with the lab — the coarse-fragment correction may be wrong or doubled. ","")&amp;IF(LAB_BULK_DENSITY_BASIS="Not confirmed","No lab bulk-density basis is on file in Settings (LAB_BULK_DENSITY_BASIS), so nothing checks this row. ","")&amp;IF(AND($L324&lt;&gt;"",LAB_BULK_DENSITY_BASIS&lt;&gt;"Not confirmed",$L324&lt;&gt;LAB_BULK_DENSITY_BASIS),"This row's bulk-density basis disagrees with the lab method on file. One of "&amp;"the two is wrong, and the coarse-fragment correction follows the row. ","")&amp;IF(AND(ISNUMBER($M324),OR($M324&lt;QC_BD_MIN,$M324&gt;QC_BD_MAX)),"Bulk density outside the plausible range for a mineral grassland soil. ","")&amp;IF(AND(ISNUMBER($N324),$N324&gt;QC_CARBON_PCT_MAX),"Organic carbon above the QC ceiling — check units, and whether this is an organic horizon. ","")&amp;IF(AND(ISNUMBER($J324),$J324&lt;QC_RECOVERY_MIN),"Recovered less than the QC minimum of the depth driven — the increments may not sit where you think. Do NOT stretch them back out. ","")&amp;IF(AND(ISNUMBER($K324),$K324&gt;0,$L324="Fine earth / total volume"),"Coarse fragments recorded and the lab basis already accounts for them — no further correction applied, which is correct. ",""))</f>
        <v/>
      </c>
      <c r="T324" s="6"/>
      <c r="U324" s="9" t="n">
        <f aca="false">IF($B324="",0,IF(COUNTIFS($B$5:$B324,$B324)=1,1,0))</f>
        <v>0</v>
      </c>
    </row>
    <row r="325" customFormat="false" ht="15" hidden="false" customHeight="false" outlineLevel="0" collapsed="false">
      <c r="A325" s="6"/>
      <c r="B325" s="6"/>
      <c r="C325" s="6"/>
      <c r="D325" s="6"/>
      <c r="E325" s="6"/>
      <c r="F325" s="9" t="str">
        <f aca="false">IF(OR($D325="",$E325=""),"",$E325-$D325)</f>
        <v/>
      </c>
      <c r="G325" s="6"/>
      <c r="H325" s="6"/>
      <c r="I325" s="6"/>
      <c r="J325" s="9" t="str">
        <f aca="false">IF(OR(NOT(ISNUMBER($H325)),NOT(ISNUMBER($I325)),$H325=0),"",$I325/$H325)</f>
        <v/>
      </c>
      <c r="K325" s="6"/>
      <c r="L325" s="8"/>
      <c r="M325" s="7"/>
      <c r="N325" s="7"/>
      <c r="O325" s="9" t="str">
        <f aca="false">IF(NOT(ISNUMBER($M325)),"",IF($L325="Fine earth / fine-earth volume",$M325*(1-IF(ISNUMBER($K325),$K325,0)/100),$M325))</f>
        <v/>
      </c>
      <c r="P325" s="9" t="str">
        <f aca="false">IF(OR(NOT(ISNUMBER($O325)),NOT(ISNUMBER($N325)),NOT(ISNUMBER($F325))),"",$O325*($N325/100)*$F325*10)</f>
        <v/>
      </c>
      <c r="Q325" s="9" t="str">
        <f aca="false">IF(OR(NOT(ISNUMBER($D325)),NOT(ISNUMBER($E325))),"",MAX(0,MIN($E325,SOIL_REPORTING_DEPTH_CM)-MIN($D325,SOIL_REPORTING_DEPTH_CM)))</f>
        <v/>
      </c>
      <c r="R325" s="9" t="str">
        <f aca="false">IF(OR(NOT(ISNUMBER($O325)),NOT(ISNUMBER($N325)),NOT(ISNUMBER($Q325))),"",$O325*($N325/100)*$Q325*10)</f>
        <v/>
      </c>
      <c r="S325" s="11" t="str">
        <f aca="false">IF(AND($A325="",$B325="",$D325=""),"",IF(AND($A325&lt;&gt;"",COUNTIF('1. Plot &amp; Site Log'!$A$5:$A$64,$A325)=0),"Plot ID not in the Plot &amp; Site Log. ","")&amp;IF(AND(ISNUMBER($D325),ISNUMBER($E325),$E325&lt;=$D325),"Bottom depth is not below top depth. ","")&amp;IF($L325="Not confirmed","Bulk-density basis not confirmed with the lab — the coarse-fragment correction may be wrong or doubled. ","")&amp;IF(LAB_BULK_DENSITY_BASIS="Not confirmed","No lab bulk-density basis is on file in Settings (LAB_BULK_DENSITY_BASIS), so nothing checks this row. ","")&amp;IF(AND($L325&lt;&gt;"",LAB_BULK_DENSITY_BASIS&lt;&gt;"Not confirmed",$L325&lt;&gt;LAB_BULK_DENSITY_BASIS),"This row's bulk-density basis disagrees with the lab method on file. One of "&amp;"the two is wrong, and the coarse-fragment correction follows the row. ","")&amp;IF(AND(ISNUMBER($M325),OR($M325&lt;QC_BD_MIN,$M325&gt;QC_BD_MAX)),"Bulk density outside the plausible range for a mineral grassland soil. ","")&amp;IF(AND(ISNUMBER($N325),$N325&gt;QC_CARBON_PCT_MAX),"Organic carbon above the QC ceiling — check units, and whether this is an organic horizon. ","")&amp;IF(AND(ISNUMBER($J325),$J325&lt;QC_RECOVERY_MIN),"Recovered less than the QC minimum of the depth driven — the increments may not sit where you think. Do NOT stretch them back out. ","")&amp;IF(AND(ISNUMBER($K325),$K325&gt;0,$L325="Fine earth / total volume"),"Coarse fragments recorded and the lab basis already accounts for them — no further correction applied, which is correct. ",""))</f>
        <v/>
      </c>
      <c r="T325" s="6"/>
      <c r="U325" s="9" t="n">
        <f aca="false">IF($B325="",0,IF(COUNTIFS($B$5:$B325,$B325)=1,1,0))</f>
        <v>0</v>
      </c>
    </row>
    <row r="326" customFormat="false" ht="15" hidden="false" customHeight="false" outlineLevel="0" collapsed="false">
      <c r="A326" s="6"/>
      <c r="B326" s="6"/>
      <c r="C326" s="6"/>
      <c r="D326" s="6"/>
      <c r="E326" s="6"/>
      <c r="F326" s="9" t="str">
        <f aca="false">IF(OR($D326="",$E326=""),"",$E326-$D326)</f>
        <v/>
      </c>
      <c r="G326" s="6"/>
      <c r="H326" s="6"/>
      <c r="I326" s="6"/>
      <c r="J326" s="9" t="str">
        <f aca="false">IF(OR(NOT(ISNUMBER($H326)),NOT(ISNUMBER($I326)),$H326=0),"",$I326/$H326)</f>
        <v/>
      </c>
      <c r="K326" s="6"/>
      <c r="L326" s="8"/>
      <c r="M326" s="7"/>
      <c r="N326" s="7"/>
      <c r="O326" s="9" t="str">
        <f aca="false">IF(NOT(ISNUMBER($M326)),"",IF($L326="Fine earth / fine-earth volume",$M326*(1-IF(ISNUMBER($K326),$K326,0)/100),$M326))</f>
        <v/>
      </c>
      <c r="P326" s="9" t="str">
        <f aca="false">IF(OR(NOT(ISNUMBER($O326)),NOT(ISNUMBER($N326)),NOT(ISNUMBER($F326))),"",$O326*($N326/100)*$F326*10)</f>
        <v/>
      </c>
      <c r="Q326" s="9" t="str">
        <f aca="false">IF(OR(NOT(ISNUMBER($D326)),NOT(ISNUMBER($E326))),"",MAX(0,MIN($E326,SOIL_REPORTING_DEPTH_CM)-MIN($D326,SOIL_REPORTING_DEPTH_CM)))</f>
        <v/>
      </c>
      <c r="R326" s="9" t="str">
        <f aca="false">IF(OR(NOT(ISNUMBER($O326)),NOT(ISNUMBER($N326)),NOT(ISNUMBER($Q326))),"",$O326*($N326/100)*$Q326*10)</f>
        <v/>
      </c>
      <c r="S326" s="11" t="str">
        <f aca="false">IF(AND($A326="",$B326="",$D326=""),"",IF(AND($A326&lt;&gt;"",COUNTIF('1. Plot &amp; Site Log'!$A$5:$A$64,$A326)=0),"Plot ID not in the Plot &amp; Site Log. ","")&amp;IF(AND(ISNUMBER($D326),ISNUMBER($E326),$E326&lt;=$D326),"Bottom depth is not below top depth. ","")&amp;IF($L326="Not confirmed","Bulk-density basis not confirmed with the lab — the coarse-fragment correction may be wrong or doubled. ","")&amp;IF(LAB_BULK_DENSITY_BASIS="Not confirmed","No lab bulk-density basis is on file in Settings (LAB_BULK_DENSITY_BASIS), so nothing checks this row. ","")&amp;IF(AND($L326&lt;&gt;"",LAB_BULK_DENSITY_BASIS&lt;&gt;"Not confirmed",$L326&lt;&gt;LAB_BULK_DENSITY_BASIS),"This row's bulk-density basis disagrees with the lab method on file. One of "&amp;"the two is wrong, and the coarse-fragment correction follows the row. ","")&amp;IF(AND(ISNUMBER($M326),OR($M326&lt;QC_BD_MIN,$M326&gt;QC_BD_MAX)),"Bulk density outside the plausible range for a mineral grassland soil. ","")&amp;IF(AND(ISNUMBER($N326),$N326&gt;QC_CARBON_PCT_MAX),"Organic carbon above the QC ceiling — check units, and whether this is an organic horizon. ","")&amp;IF(AND(ISNUMBER($J326),$J326&lt;QC_RECOVERY_MIN),"Recovered less than the QC minimum of the depth driven — the increments may not sit where you think. Do NOT stretch them back out. ","")&amp;IF(AND(ISNUMBER($K326),$K326&gt;0,$L326="Fine earth / total volume"),"Coarse fragments recorded and the lab basis already accounts for them — no further correction applied, which is correct. ",""))</f>
        <v/>
      </c>
      <c r="T326" s="6"/>
      <c r="U326" s="9" t="n">
        <f aca="false">IF($B326="",0,IF(COUNTIFS($B$5:$B326,$B326)=1,1,0))</f>
        <v>0</v>
      </c>
    </row>
    <row r="327" customFormat="false" ht="15" hidden="false" customHeight="false" outlineLevel="0" collapsed="false">
      <c r="A327" s="6"/>
      <c r="B327" s="6"/>
      <c r="C327" s="6"/>
      <c r="D327" s="6"/>
      <c r="E327" s="6"/>
      <c r="F327" s="9" t="str">
        <f aca="false">IF(OR($D327="",$E327=""),"",$E327-$D327)</f>
        <v/>
      </c>
      <c r="G327" s="6"/>
      <c r="H327" s="6"/>
      <c r="I327" s="6"/>
      <c r="J327" s="9" t="str">
        <f aca="false">IF(OR(NOT(ISNUMBER($H327)),NOT(ISNUMBER($I327)),$H327=0),"",$I327/$H327)</f>
        <v/>
      </c>
      <c r="K327" s="6"/>
      <c r="L327" s="8"/>
      <c r="M327" s="7"/>
      <c r="N327" s="7"/>
      <c r="O327" s="9" t="str">
        <f aca="false">IF(NOT(ISNUMBER($M327)),"",IF($L327="Fine earth / fine-earth volume",$M327*(1-IF(ISNUMBER($K327),$K327,0)/100),$M327))</f>
        <v/>
      </c>
      <c r="P327" s="9" t="str">
        <f aca="false">IF(OR(NOT(ISNUMBER($O327)),NOT(ISNUMBER($N327)),NOT(ISNUMBER($F327))),"",$O327*($N327/100)*$F327*10)</f>
        <v/>
      </c>
      <c r="Q327" s="9" t="str">
        <f aca="false">IF(OR(NOT(ISNUMBER($D327)),NOT(ISNUMBER($E327))),"",MAX(0,MIN($E327,SOIL_REPORTING_DEPTH_CM)-MIN($D327,SOIL_REPORTING_DEPTH_CM)))</f>
        <v/>
      </c>
      <c r="R327" s="9" t="str">
        <f aca="false">IF(OR(NOT(ISNUMBER($O327)),NOT(ISNUMBER($N327)),NOT(ISNUMBER($Q327))),"",$O327*($N327/100)*$Q327*10)</f>
        <v/>
      </c>
      <c r="S327" s="11" t="str">
        <f aca="false">IF(AND($A327="",$B327="",$D327=""),"",IF(AND($A327&lt;&gt;"",COUNTIF('1. Plot &amp; Site Log'!$A$5:$A$64,$A327)=0),"Plot ID not in the Plot &amp; Site Log. ","")&amp;IF(AND(ISNUMBER($D327),ISNUMBER($E327),$E327&lt;=$D327),"Bottom depth is not below top depth. ","")&amp;IF($L327="Not confirmed","Bulk-density basis not confirmed with the lab — the coarse-fragment correction may be wrong or doubled. ","")&amp;IF(LAB_BULK_DENSITY_BASIS="Not confirmed","No lab bulk-density basis is on file in Settings (LAB_BULK_DENSITY_BASIS), so nothing checks this row. ","")&amp;IF(AND($L327&lt;&gt;"",LAB_BULK_DENSITY_BASIS&lt;&gt;"Not confirmed",$L327&lt;&gt;LAB_BULK_DENSITY_BASIS),"This row's bulk-density basis disagrees with the lab method on file. One of "&amp;"the two is wrong, and the coarse-fragment correction follows the row. ","")&amp;IF(AND(ISNUMBER($M327),OR($M327&lt;QC_BD_MIN,$M327&gt;QC_BD_MAX)),"Bulk density outside the plausible range for a mineral grassland soil. ","")&amp;IF(AND(ISNUMBER($N327),$N327&gt;QC_CARBON_PCT_MAX),"Organic carbon above the QC ceiling — check units, and whether this is an organic horizon. ","")&amp;IF(AND(ISNUMBER($J327),$J327&lt;QC_RECOVERY_MIN),"Recovered less than the QC minimum of the depth driven — the increments may not sit where you think. Do NOT stretch them back out. ","")&amp;IF(AND(ISNUMBER($K327),$K327&gt;0,$L327="Fine earth / total volume"),"Coarse fragments recorded and the lab basis already accounts for them — no further correction applied, which is correct. ",""))</f>
        <v/>
      </c>
      <c r="T327" s="6"/>
      <c r="U327" s="9" t="n">
        <f aca="false">IF($B327="",0,IF(COUNTIFS($B$5:$B327,$B327)=1,1,0))</f>
        <v>0</v>
      </c>
    </row>
    <row r="328" customFormat="false" ht="15" hidden="false" customHeight="false" outlineLevel="0" collapsed="false">
      <c r="A328" s="6"/>
      <c r="B328" s="6"/>
      <c r="C328" s="6"/>
      <c r="D328" s="6"/>
      <c r="E328" s="6"/>
      <c r="F328" s="9" t="str">
        <f aca="false">IF(OR($D328="",$E328=""),"",$E328-$D328)</f>
        <v/>
      </c>
      <c r="G328" s="6"/>
      <c r="H328" s="6"/>
      <c r="I328" s="6"/>
      <c r="J328" s="9" t="str">
        <f aca="false">IF(OR(NOT(ISNUMBER($H328)),NOT(ISNUMBER($I328)),$H328=0),"",$I328/$H328)</f>
        <v/>
      </c>
      <c r="K328" s="6"/>
      <c r="L328" s="8"/>
      <c r="M328" s="7"/>
      <c r="N328" s="7"/>
      <c r="O328" s="9" t="str">
        <f aca="false">IF(NOT(ISNUMBER($M328)),"",IF($L328="Fine earth / fine-earth volume",$M328*(1-IF(ISNUMBER($K328),$K328,0)/100),$M328))</f>
        <v/>
      </c>
      <c r="P328" s="9" t="str">
        <f aca="false">IF(OR(NOT(ISNUMBER($O328)),NOT(ISNUMBER($N328)),NOT(ISNUMBER($F328))),"",$O328*($N328/100)*$F328*10)</f>
        <v/>
      </c>
      <c r="Q328" s="9" t="str">
        <f aca="false">IF(OR(NOT(ISNUMBER($D328)),NOT(ISNUMBER($E328))),"",MAX(0,MIN($E328,SOIL_REPORTING_DEPTH_CM)-MIN($D328,SOIL_REPORTING_DEPTH_CM)))</f>
        <v/>
      </c>
      <c r="R328" s="9" t="str">
        <f aca="false">IF(OR(NOT(ISNUMBER($O328)),NOT(ISNUMBER($N328)),NOT(ISNUMBER($Q328))),"",$O328*($N328/100)*$Q328*10)</f>
        <v/>
      </c>
      <c r="S328" s="11" t="str">
        <f aca="false">IF(AND($A328="",$B328="",$D328=""),"",IF(AND($A328&lt;&gt;"",COUNTIF('1. Plot &amp; Site Log'!$A$5:$A$64,$A328)=0),"Plot ID not in the Plot &amp; Site Log. ","")&amp;IF(AND(ISNUMBER($D328),ISNUMBER($E328),$E328&lt;=$D328),"Bottom depth is not below top depth. ","")&amp;IF($L328="Not confirmed","Bulk-density basis not confirmed with the lab — the coarse-fragment correction may be wrong or doubled. ","")&amp;IF(LAB_BULK_DENSITY_BASIS="Not confirmed","No lab bulk-density basis is on file in Settings (LAB_BULK_DENSITY_BASIS), so nothing checks this row. ","")&amp;IF(AND($L328&lt;&gt;"",LAB_BULK_DENSITY_BASIS&lt;&gt;"Not confirmed",$L328&lt;&gt;LAB_BULK_DENSITY_BASIS),"This row's bulk-density basis disagrees with the lab method on file. One of "&amp;"the two is wrong, and the coarse-fragment correction follows the row. ","")&amp;IF(AND(ISNUMBER($M328),OR($M328&lt;QC_BD_MIN,$M328&gt;QC_BD_MAX)),"Bulk density outside the plausible range for a mineral grassland soil. ","")&amp;IF(AND(ISNUMBER($N328),$N328&gt;QC_CARBON_PCT_MAX),"Organic carbon above the QC ceiling — check units, and whether this is an organic horizon. ","")&amp;IF(AND(ISNUMBER($J328),$J328&lt;QC_RECOVERY_MIN),"Recovered less than the QC minimum of the depth driven — the increments may not sit where you think. Do NOT stretch them back out. ","")&amp;IF(AND(ISNUMBER($K328),$K328&gt;0,$L328="Fine earth / total volume"),"Coarse fragments recorded and the lab basis already accounts for them — no further correction applied, which is correct. ",""))</f>
        <v/>
      </c>
      <c r="T328" s="6"/>
      <c r="U328" s="9" t="n">
        <f aca="false">IF($B328="",0,IF(COUNTIFS($B$5:$B328,$B328)=1,1,0))</f>
        <v>0</v>
      </c>
    </row>
    <row r="329" customFormat="false" ht="15" hidden="false" customHeight="false" outlineLevel="0" collapsed="false">
      <c r="A329" s="6"/>
      <c r="B329" s="6"/>
      <c r="C329" s="6"/>
      <c r="D329" s="6"/>
      <c r="E329" s="6"/>
      <c r="F329" s="9" t="str">
        <f aca="false">IF(OR($D329="",$E329=""),"",$E329-$D329)</f>
        <v/>
      </c>
      <c r="G329" s="6"/>
      <c r="H329" s="6"/>
      <c r="I329" s="6"/>
      <c r="J329" s="9" t="str">
        <f aca="false">IF(OR(NOT(ISNUMBER($H329)),NOT(ISNUMBER($I329)),$H329=0),"",$I329/$H329)</f>
        <v/>
      </c>
      <c r="K329" s="6"/>
      <c r="L329" s="8"/>
      <c r="M329" s="7"/>
      <c r="N329" s="7"/>
      <c r="O329" s="9" t="str">
        <f aca="false">IF(NOT(ISNUMBER($M329)),"",IF($L329="Fine earth / fine-earth volume",$M329*(1-IF(ISNUMBER($K329),$K329,0)/100),$M329))</f>
        <v/>
      </c>
      <c r="P329" s="9" t="str">
        <f aca="false">IF(OR(NOT(ISNUMBER($O329)),NOT(ISNUMBER($N329)),NOT(ISNUMBER($F329))),"",$O329*($N329/100)*$F329*10)</f>
        <v/>
      </c>
      <c r="Q329" s="9" t="str">
        <f aca="false">IF(OR(NOT(ISNUMBER($D329)),NOT(ISNUMBER($E329))),"",MAX(0,MIN($E329,SOIL_REPORTING_DEPTH_CM)-MIN($D329,SOIL_REPORTING_DEPTH_CM)))</f>
        <v/>
      </c>
      <c r="R329" s="9" t="str">
        <f aca="false">IF(OR(NOT(ISNUMBER($O329)),NOT(ISNUMBER($N329)),NOT(ISNUMBER($Q329))),"",$O329*($N329/100)*$Q329*10)</f>
        <v/>
      </c>
      <c r="S329" s="11" t="str">
        <f aca="false">IF(AND($A329="",$B329="",$D329=""),"",IF(AND($A329&lt;&gt;"",COUNTIF('1. Plot &amp; Site Log'!$A$5:$A$64,$A329)=0),"Plot ID not in the Plot &amp; Site Log. ","")&amp;IF(AND(ISNUMBER($D329),ISNUMBER($E329),$E329&lt;=$D329),"Bottom depth is not below top depth. ","")&amp;IF($L329="Not confirmed","Bulk-density basis not confirmed with the lab — the coarse-fragment correction may be wrong or doubled. ","")&amp;IF(LAB_BULK_DENSITY_BASIS="Not confirmed","No lab bulk-density basis is on file in Settings (LAB_BULK_DENSITY_BASIS), so nothing checks this row. ","")&amp;IF(AND($L329&lt;&gt;"",LAB_BULK_DENSITY_BASIS&lt;&gt;"Not confirmed",$L329&lt;&gt;LAB_BULK_DENSITY_BASIS),"This row's bulk-density basis disagrees with the lab method on file. One of "&amp;"the two is wrong, and the coarse-fragment correction follows the row. ","")&amp;IF(AND(ISNUMBER($M329),OR($M329&lt;QC_BD_MIN,$M329&gt;QC_BD_MAX)),"Bulk density outside the plausible range for a mineral grassland soil. ","")&amp;IF(AND(ISNUMBER($N329),$N329&gt;QC_CARBON_PCT_MAX),"Organic carbon above the QC ceiling — check units, and whether this is an organic horizon. ","")&amp;IF(AND(ISNUMBER($J329),$J329&lt;QC_RECOVERY_MIN),"Recovered less than the QC minimum of the depth driven — the increments may not sit where you think. Do NOT stretch them back out. ","")&amp;IF(AND(ISNUMBER($K329),$K329&gt;0,$L329="Fine earth / total volume"),"Coarse fragments recorded and the lab basis already accounts for them — no further correction applied, which is correct. ",""))</f>
        <v/>
      </c>
      <c r="T329" s="6"/>
      <c r="U329" s="9" t="n">
        <f aca="false">IF($B329="",0,IF(COUNTIFS($B$5:$B329,$B329)=1,1,0))</f>
        <v>0</v>
      </c>
    </row>
    <row r="330" customFormat="false" ht="15" hidden="false" customHeight="false" outlineLevel="0" collapsed="false">
      <c r="A330" s="6"/>
      <c r="B330" s="6"/>
      <c r="C330" s="6"/>
      <c r="D330" s="6"/>
      <c r="E330" s="6"/>
      <c r="F330" s="9" t="str">
        <f aca="false">IF(OR($D330="",$E330=""),"",$E330-$D330)</f>
        <v/>
      </c>
      <c r="G330" s="6"/>
      <c r="H330" s="6"/>
      <c r="I330" s="6"/>
      <c r="J330" s="9" t="str">
        <f aca="false">IF(OR(NOT(ISNUMBER($H330)),NOT(ISNUMBER($I330)),$H330=0),"",$I330/$H330)</f>
        <v/>
      </c>
      <c r="K330" s="6"/>
      <c r="L330" s="8"/>
      <c r="M330" s="7"/>
      <c r="N330" s="7"/>
      <c r="O330" s="9" t="str">
        <f aca="false">IF(NOT(ISNUMBER($M330)),"",IF($L330="Fine earth / fine-earth volume",$M330*(1-IF(ISNUMBER($K330),$K330,0)/100),$M330))</f>
        <v/>
      </c>
      <c r="P330" s="9" t="str">
        <f aca="false">IF(OR(NOT(ISNUMBER($O330)),NOT(ISNUMBER($N330)),NOT(ISNUMBER($F330))),"",$O330*($N330/100)*$F330*10)</f>
        <v/>
      </c>
      <c r="Q330" s="9" t="str">
        <f aca="false">IF(OR(NOT(ISNUMBER($D330)),NOT(ISNUMBER($E330))),"",MAX(0,MIN($E330,SOIL_REPORTING_DEPTH_CM)-MIN($D330,SOIL_REPORTING_DEPTH_CM)))</f>
        <v/>
      </c>
      <c r="R330" s="9" t="str">
        <f aca="false">IF(OR(NOT(ISNUMBER($O330)),NOT(ISNUMBER($N330)),NOT(ISNUMBER($Q330))),"",$O330*($N330/100)*$Q330*10)</f>
        <v/>
      </c>
      <c r="S330" s="11" t="str">
        <f aca="false">IF(AND($A330="",$B330="",$D330=""),"",IF(AND($A330&lt;&gt;"",COUNTIF('1. Plot &amp; Site Log'!$A$5:$A$64,$A330)=0),"Plot ID not in the Plot &amp; Site Log. ","")&amp;IF(AND(ISNUMBER($D330),ISNUMBER($E330),$E330&lt;=$D330),"Bottom depth is not below top depth. ","")&amp;IF($L330="Not confirmed","Bulk-density basis not confirmed with the lab — the coarse-fragment correction may be wrong or doubled. ","")&amp;IF(LAB_BULK_DENSITY_BASIS="Not confirmed","No lab bulk-density basis is on file in Settings (LAB_BULK_DENSITY_BASIS), so nothing checks this row. ","")&amp;IF(AND($L330&lt;&gt;"",LAB_BULK_DENSITY_BASIS&lt;&gt;"Not confirmed",$L330&lt;&gt;LAB_BULK_DENSITY_BASIS),"This row's bulk-density basis disagrees with the lab method on file. One of "&amp;"the two is wrong, and the coarse-fragment correction follows the row. ","")&amp;IF(AND(ISNUMBER($M330),OR($M330&lt;QC_BD_MIN,$M330&gt;QC_BD_MAX)),"Bulk density outside the plausible range for a mineral grassland soil. ","")&amp;IF(AND(ISNUMBER($N330),$N330&gt;QC_CARBON_PCT_MAX),"Organic carbon above the QC ceiling — check units, and whether this is an organic horizon. ","")&amp;IF(AND(ISNUMBER($J330),$J330&lt;QC_RECOVERY_MIN),"Recovered less than the QC minimum of the depth driven — the increments may not sit where you think. Do NOT stretch them back out. ","")&amp;IF(AND(ISNUMBER($K330),$K330&gt;0,$L330="Fine earth / total volume"),"Coarse fragments recorded and the lab basis already accounts for them — no further correction applied, which is correct. ",""))</f>
        <v/>
      </c>
      <c r="T330" s="6"/>
      <c r="U330" s="9" t="n">
        <f aca="false">IF($B330="",0,IF(COUNTIFS($B$5:$B330,$B330)=1,1,0))</f>
        <v>0</v>
      </c>
    </row>
    <row r="331" customFormat="false" ht="15" hidden="false" customHeight="false" outlineLevel="0" collapsed="false">
      <c r="A331" s="6"/>
      <c r="B331" s="6"/>
      <c r="C331" s="6"/>
      <c r="D331" s="6"/>
      <c r="E331" s="6"/>
      <c r="F331" s="9" t="str">
        <f aca="false">IF(OR($D331="",$E331=""),"",$E331-$D331)</f>
        <v/>
      </c>
      <c r="G331" s="6"/>
      <c r="H331" s="6"/>
      <c r="I331" s="6"/>
      <c r="J331" s="9" t="str">
        <f aca="false">IF(OR(NOT(ISNUMBER($H331)),NOT(ISNUMBER($I331)),$H331=0),"",$I331/$H331)</f>
        <v/>
      </c>
      <c r="K331" s="6"/>
      <c r="L331" s="8"/>
      <c r="M331" s="7"/>
      <c r="N331" s="7"/>
      <c r="O331" s="9" t="str">
        <f aca="false">IF(NOT(ISNUMBER($M331)),"",IF($L331="Fine earth / fine-earth volume",$M331*(1-IF(ISNUMBER($K331),$K331,0)/100),$M331))</f>
        <v/>
      </c>
      <c r="P331" s="9" t="str">
        <f aca="false">IF(OR(NOT(ISNUMBER($O331)),NOT(ISNUMBER($N331)),NOT(ISNUMBER($F331))),"",$O331*($N331/100)*$F331*10)</f>
        <v/>
      </c>
      <c r="Q331" s="9" t="str">
        <f aca="false">IF(OR(NOT(ISNUMBER($D331)),NOT(ISNUMBER($E331))),"",MAX(0,MIN($E331,SOIL_REPORTING_DEPTH_CM)-MIN($D331,SOIL_REPORTING_DEPTH_CM)))</f>
        <v/>
      </c>
      <c r="R331" s="9" t="str">
        <f aca="false">IF(OR(NOT(ISNUMBER($O331)),NOT(ISNUMBER($N331)),NOT(ISNUMBER($Q331))),"",$O331*($N331/100)*$Q331*10)</f>
        <v/>
      </c>
      <c r="S331" s="11" t="str">
        <f aca="false">IF(AND($A331="",$B331="",$D331=""),"",IF(AND($A331&lt;&gt;"",COUNTIF('1. Plot &amp; Site Log'!$A$5:$A$64,$A331)=0),"Plot ID not in the Plot &amp; Site Log. ","")&amp;IF(AND(ISNUMBER($D331),ISNUMBER($E331),$E331&lt;=$D331),"Bottom depth is not below top depth. ","")&amp;IF($L331="Not confirmed","Bulk-density basis not confirmed with the lab — the coarse-fragment correction may be wrong or doubled. ","")&amp;IF(LAB_BULK_DENSITY_BASIS="Not confirmed","No lab bulk-density basis is on file in Settings (LAB_BULK_DENSITY_BASIS), so nothing checks this row. ","")&amp;IF(AND($L331&lt;&gt;"",LAB_BULK_DENSITY_BASIS&lt;&gt;"Not confirmed",$L331&lt;&gt;LAB_BULK_DENSITY_BASIS),"This row's bulk-density basis disagrees with the lab method on file. One of "&amp;"the two is wrong, and the coarse-fragment correction follows the row. ","")&amp;IF(AND(ISNUMBER($M331),OR($M331&lt;QC_BD_MIN,$M331&gt;QC_BD_MAX)),"Bulk density outside the plausible range for a mineral grassland soil. ","")&amp;IF(AND(ISNUMBER($N331),$N331&gt;QC_CARBON_PCT_MAX),"Organic carbon above the QC ceiling — check units, and whether this is an organic horizon. ","")&amp;IF(AND(ISNUMBER($J331),$J331&lt;QC_RECOVERY_MIN),"Recovered less than the QC minimum of the depth driven — the increments may not sit where you think. Do NOT stretch them back out. ","")&amp;IF(AND(ISNUMBER($K331),$K331&gt;0,$L331="Fine earth / total volume"),"Coarse fragments recorded and the lab basis already accounts for them — no further correction applied, which is correct. ",""))</f>
        <v/>
      </c>
      <c r="T331" s="6"/>
      <c r="U331" s="9" t="n">
        <f aca="false">IF($B331="",0,IF(COUNTIFS($B$5:$B331,$B331)=1,1,0))</f>
        <v>0</v>
      </c>
    </row>
    <row r="332" customFormat="false" ht="15" hidden="false" customHeight="false" outlineLevel="0" collapsed="false">
      <c r="A332" s="6"/>
      <c r="B332" s="6"/>
      <c r="C332" s="6"/>
      <c r="D332" s="6"/>
      <c r="E332" s="6"/>
      <c r="F332" s="9" t="str">
        <f aca="false">IF(OR($D332="",$E332=""),"",$E332-$D332)</f>
        <v/>
      </c>
      <c r="G332" s="6"/>
      <c r="H332" s="6"/>
      <c r="I332" s="6"/>
      <c r="J332" s="9" t="str">
        <f aca="false">IF(OR(NOT(ISNUMBER($H332)),NOT(ISNUMBER($I332)),$H332=0),"",$I332/$H332)</f>
        <v/>
      </c>
      <c r="K332" s="6"/>
      <c r="L332" s="8"/>
      <c r="M332" s="7"/>
      <c r="N332" s="7"/>
      <c r="O332" s="9" t="str">
        <f aca="false">IF(NOT(ISNUMBER($M332)),"",IF($L332="Fine earth / fine-earth volume",$M332*(1-IF(ISNUMBER($K332),$K332,0)/100),$M332))</f>
        <v/>
      </c>
      <c r="P332" s="9" t="str">
        <f aca="false">IF(OR(NOT(ISNUMBER($O332)),NOT(ISNUMBER($N332)),NOT(ISNUMBER($F332))),"",$O332*($N332/100)*$F332*10)</f>
        <v/>
      </c>
      <c r="Q332" s="9" t="str">
        <f aca="false">IF(OR(NOT(ISNUMBER($D332)),NOT(ISNUMBER($E332))),"",MAX(0,MIN($E332,SOIL_REPORTING_DEPTH_CM)-MIN($D332,SOIL_REPORTING_DEPTH_CM)))</f>
        <v/>
      </c>
      <c r="R332" s="9" t="str">
        <f aca="false">IF(OR(NOT(ISNUMBER($O332)),NOT(ISNUMBER($N332)),NOT(ISNUMBER($Q332))),"",$O332*($N332/100)*$Q332*10)</f>
        <v/>
      </c>
      <c r="S332" s="11" t="str">
        <f aca="false">IF(AND($A332="",$B332="",$D332=""),"",IF(AND($A332&lt;&gt;"",COUNTIF('1. Plot &amp; Site Log'!$A$5:$A$64,$A332)=0),"Plot ID not in the Plot &amp; Site Log. ","")&amp;IF(AND(ISNUMBER($D332),ISNUMBER($E332),$E332&lt;=$D332),"Bottom depth is not below top depth. ","")&amp;IF($L332="Not confirmed","Bulk-density basis not confirmed with the lab — the coarse-fragment correction may be wrong or doubled. ","")&amp;IF(LAB_BULK_DENSITY_BASIS="Not confirmed","No lab bulk-density basis is on file in Settings (LAB_BULK_DENSITY_BASIS), so nothing checks this row. ","")&amp;IF(AND($L332&lt;&gt;"",LAB_BULK_DENSITY_BASIS&lt;&gt;"Not confirmed",$L332&lt;&gt;LAB_BULK_DENSITY_BASIS),"This row's bulk-density basis disagrees with the lab method on file. One of "&amp;"the two is wrong, and the coarse-fragment correction follows the row. ","")&amp;IF(AND(ISNUMBER($M332),OR($M332&lt;QC_BD_MIN,$M332&gt;QC_BD_MAX)),"Bulk density outside the plausible range for a mineral grassland soil. ","")&amp;IF(AND(ISNUMBER($N332),$N332&gt;QC_CARBON_PCT_MAX),"Organic carbon above the QC ceiling — check units, and whether this is an organic horizon. ","")&amp;IF(AND(ISNUMBER($J332),$J332&lt;QC_RECOVERY_MIN),"Recovered less than the QC minimum of the depth driven — the increments may not sit where you think. Do NOT stretch them back out. ","")&amp;IF(AND(ISNUMBER($K332),$K332&gt;0,$L332="Fine earth / total volume"),"Coarse fragments recorded and the lab basis already accounts for them — no further correction applied, which is correct. ",""))</f>
        <v/>
      </c>
      <c r="T332" s="6"/>
      <c r="U332" s="9" t="n">
        <f aca="false">IF($B332="",0,IF(COUNTIFS($B$5:$B332,$B332)=1,1,0))</f>
        <v>0</v>
      </c>
    </row>
    <row r="333" customFormat="false" ht="15" hidden="false" customHeight="false" outlineLevel="0" collapsed="false">
      <c r="A333" s="6"/>
      <c r="B333" s="6"/>
      <c r="C333" s="6"/>
      <c r="D333" s="6"/>
      <c r="E333" s="6"/>
      <c r="F333" s="9" t="str">
        <f aca="false">IF(OR($D333="",$E333=""),"",$E333-$D333)</f>
        <v/>
      </c>
      <c r="G333" s="6"/>
      <c r="H333" s="6"/>
      <c r="I333" s="6"/>
      <c r="J333" s="9" t="str">
        <f aca="false">IF(OR(NOT(ISNUMBER($H333)),NOT(ISNUMBER($I333)),$H333=0),"",$I333/$H333)</f>
        <v/>
      </c>
      <c r="K333" s="6"/>
      <c r="L333" s="8"/>
      <c r="M333" s="7"/>
      <c r="N333" s="7"/>
      <c r="O333" s="9" t="str">
        <f aca="false">IF(NOT(ISNUMBER($M333)),"",IF($L333="Fine earth / fine-earth volume",$M333*(1-IF(ISNUMBER($K333),$K333,0)/100),$M333))</f>
        <v/>
      </c>
      <c r="P333" s="9" t="str">
        <f aca="false">IF(OR(NOT(ISNUMBER($O333)),NOT(ISNUMBER($N333)),NOT(ISNUMBER($F333))),"",$O333*($N333/100)*$F333*10)</f>
        <v/>
      </c>
      <c r="Q333" s="9" t="str">
        <f aca="false">IF(OR(NOT(ISNUMBER($D333)),NOT(ISNUMBER($E333))),"",MAX(0,MIN($E333,SOIL_REPORTING_DEPTH_CM)-MIN($D333,SOIL_REPORTING_DEPTH_CM)))</f>
        <v/>
      </c>
      <c r="R333" s="9" t="str">
        <f aca="false">IF(OR(NOT(ISNUMBER($O333)),NOT(ISNUMBER($N333)),NOT(ISNUMBER($Q333))),"",$O333*($N333/100)*$Q333*10)</f>
        <v/>
      </c>
      <c r="S333" s="11" t="str">
        <f aca="false">IF(AND($A333="",$B333="",$D333=""),"",IF(AND($A333&lt;&gt;"",COUNTIF('1. Plot &amp; Site Log'!$A$5:$A$64,$A333)=0),"Plot ID not in the Plot &amp; Site Log. ","")&amp;IF(AND(ISNUMBER($D333),ISNUMBER($E333),$E333&lt;=$D333),"Bottom depth is not below top depth. ","")&amp;IF($L333="Not confirmed","Bulk-density basis not confirmed with the lab — the coarse-fragment correction may be wrong or doubled. ","")&amp;IF(LAB_BULK_DENSITY_BASIS="Not confirmed","No lab bulk-density basis is on file in Settings (LAB_BULK_DENSITY_BASIS), so nothing checks this row. ","")&amp;IF(AND($L333&lt;&gt;"",LAB_BULK_DENSITY_BASIS&lt;&gt;"Not confirmed",$L333&lt;&gt;LAB_BULK_DENSITY_BASIS),"This row's bulk-density basis disagrees with the lab method on file. One of "&amp;"the two is wrong, and the coarse-fragment correction follows the row. ","")&amp;IF(AND(ISNUMBER($M333),OR($M333&lt;QC_BD_MIN,$M333&gt;QC_BD_MAX)),"Bulk density outside the plausible range for a mineral grassland soil. ","")&amp;IF(AND(ISNUMBER($N333),$N333&gt;QC_CARBON_PCT_MAX),"Organic carbon above the QC ceiling — check units, and whether this is an organic horizon. ","")&amp;IF(AND(ISNUMBER($J333),$J333&lt;QC_RECOVERY_MIN),"Recovered less than the QC minimum of the depth driven — the increments may not sit where you think. Do NOT stretch them back out. ","")&amp;IF(AND(ISNUMBER($K333),$K333&gt;0,$L333="Fine earth / total volume"),"Coarse fragments recorded and the lab basis already accounts for them — no further correction applied, which is correct. ",""))</f>
        <v/>
      </c>
      <c r="T333" s="6"/>
      <c r="U333" s="9" t="n">
        <f aca="false">IF($B333="",0,IF(COUNTIFS($B$5:$B333,$B333)=1,1,0))</f>
        <v>0</v>
      </c>
    </row>
    <row r="334" customFormat="false" ht="15" hidden="false" customHeight="false" outlineLevel="0" collapsed="false">
      <c r="A334" s="6"/>
      <c r="B334" s="6"/>
      <c r="C334" s="6"/>
      <c r="D334" s="6"/>
      <c r="E334" s="6"/>
      <c r="F334" s="9" t="str">
        <f aca="false">IF(OR($D334="",$E334=""),"",$E334-$D334)</f>
        <v/>
      </c>
      <c r="G334" s="6"/>
      <c r="H334" s="6"/>
      <c r="I334" s="6"/>
      <c r="J334" s="9" t="str">
        <f aca="false">IF(OR(NOT(ISNUMBER($H334)),NOT(ISNUMBER($I334)),$H334=0),"",$I334/$H334)</f>
        <v/>
      </c>
      <c r="K334" s="6"/>
      <c r="L334" s="8"/>
      <c r="M334" s="7"/>
      <c r="N334" s="7"/>
      <c r="O334" s="9" t="str">
        <f aca="false">IF(NOT(ISNUMBER($M334)),"",IF($L334="Fine earth / fine-earth volume",$M334*(1-IF(ISNUMBER($K334),$K334,0)/100),$M334))</f>
        <v/>
      </c>
      <c r="P334" s="9" t="str">
        <f aca="false">IF(OR(NOT(ISNUMBER($O334)),NOT(ISNUMBER($N334)),NOT(ISNUMBER($F334))),"",$O334*($N334/100)*$F334*10)</f>
        <v/>
      </c>
      <c r="Q334" s="9" t="str">
        <f aca="false">IF(OR(NOT(ISNUMBER($D334)),NOT(ISNUMBER($E334))),"",MAX(0,MIN($E334,SOIL_REPORTING_DEPTH_CM)-MIN($D334,SOIL_REPORTING_DEPTH_CM)))</f>
        <v/>
      </c>
      <c r="R334" s="9" t="str">
        <f aca="false">IF(OR(NOT(ISNUMBER($O334)),NOT(ISNUMBER($N334)),NOT(ISNUMBER($Q334))),"",$O334*($N334/100)*$Q334*10)</f>
        <v/>
      </c>
      <c r="S334" s="11" t="str">
        <f aca="false">IF(AND($A334="",$B334="",$D334=""),"",IF(AND($A334&lt;&gt;"",COUNTIF('1. Plot &amp; Site Log'!$A$5:$A$64,$A334)=0),"Plot ID not in the Plot &amp; Site Log. ","")&amp;IF(AND(ISNUMBER($D334),ISNUMBER($E334),$E334&lt;=$D334),"Bottom depth is not below top depth. ","")&amp;IF($L334="Not confirmed","Bulk-density basis not confirmed with the lab — the coarse-fragment correction may be wrong or doubled. ","")&amp;IF(LAB_BULK_DENSITY_BASIS="Not confirmed","No lab bulk-density basis is on file in Settings (LAB_BULK_DENSITY_BASIS), so nothing checks this row. ","")&amp;IF(AND($L334&lt;&gt;"",LAB_BULK_DENSITY_BASIS&lt;&gt;"Not confirmed",$L334&lt;&gt;LAB_BULK_DENSITY_BASIS),"This row's bulk-density basis disagrees with the lab method on file. One of "&amp;"the two is wrong, and the coarse-fragment correction follows the row. ","")&amp;IF(AND(ISNUMBER($M334),OR($M334&lt;QC_BD_MIN,$M334&gt;QC_BD_MAX)),"Bulk density outside the plausible range for a mineral grassland soil. ","")&amp;IF(AND(ISNUMBER($N334),$N334&gt;QC_CARBON_PCT_MAX),"Organic carbon above the QC ceiling — check units, and whether this is an organic horizon. ","")&amp;IF(AND(ISNUMBER($J334),$J334&lt;QC_RECOVERY_MIN),"Recovered less than the QC minimum of the depth driven — the increments may not sit where you think. Do NOT stretch them back out. ","")&amp;IF(AND(ISNUMBER($K334),$K334&gt;0,$L334="Fine earth / total volume"),"Coarse fragments recorded and the lab basis already accounts for them — no further correction applied, which is correct. ",""))</f>
        <v/>
      </c>
      <c r="T334" s="6"/>
      <c r="U334" s="9" t="n">
        <f aca="false">IF($B334="",0,IF(COUNTIFS($B$5:$B334,$B334)=1,1,0))</f>
        <v>0</v>
      </c>
    </row>
    <row r="335" customFormat="false" ht="15" hidden="false" customHeight="false" outlineLevel="0" collapsed="false">
      <c r="A335" s="6"/>
      <c r="B335" s="6"/>
      <c r="C335" s="6"/>
      <c r="D335" s="6"/>
      <c r="E335" s="6"/>
      <c r="F335" s="9" t="str">
        <f aca="false">IF(OR($D335="",$E335=""),"",$E335-$D335)</f>
        <v/>
      </c>
      <c r="G335" s="6"/>
      <c r="H335" s="6"/>
      <c r="I335" s="6"/>
      <c r="J335" s="9" t="str">
        <f aca="false">IF(OR(NOT(ISNUMBER($H335)),NOT(ISNUMBER($I335)),$H335=0),"",$I335/$H335)</f>
        <v/>
      </c>
      <c r="K335" s="6"/>
      <c r="L335" s="8"/>
      <c r="M335" s="7"/>
      <c r="N335" s="7"/>
      <c r="O335" s="9" t="str">
        <f aca="false">IF(NOT(ISNUMBER($M335)),"",IF($L335="Fine earth / fine-earth volume",$M335*(1-IF(ISNUMBER($K335),$K335,0)/100),$M335))</f>
        <v/>
      </c>
      <c r="P335" s="9" t="str">
        <f aca="false">IF(OR(NOT(ISNUMBER($O335)),NOT(ISNUMBER($N335)),NOT(ISNUMBER($F335))),"",$O335*($N335/100)*$F335*10)</f>
        <v/>
      </c>
      <c r="Q335" s="9" t="str">
        <f aca="false">IF(OR(NOT(ISNUMBER($D335)),NOT(ISNUMBER($E335))),"",MAX(0,MIN($E335,SOIL_REPORTING_DEPTH_CM)-MIN($D335,SOIL_REPORTING_DEPTH_CM)))</f>
        <v/>
      </c>
      <c r="R335" s="9" t="str">
        <f aca="false">IF(OR(NOT(ISNUMBER($O335)),NOT(ISNUMBER($N335)),NOT(ISNUMBER($Q335))),"",$O335*($N335/100)*$Q335*10)</f>
        <v/>
      </c>
      <c r="S335" s="11" t="str">
        <f aca="false">IF(AND($A335="",$B335="",$D335=""),"",IF(AND($A335&lt;&gt;"",COUNTIF('1. Plot &amp; Site Log'!$A$5:$A$64,$A335)=0),"Plot ID not in the Plot &amp; Site Log. ","")&amp;IF(AND(ISNUMBER($D335),ISNUMBER($E335),$E335&lt;=$D335),"Bottom depth is not below top depth. ","")&amp;IF($L335="Not confirmed","Bulk-density basis not confirmed with the lab — the coarse-fragment correction may be wrong or doubled. ","")&amp;IF(LAB_BULK_DENSITY_BASIS="Not confirmed","No lab bulk-density basis is on file in Settings (LAB_BULK_DENSITY_BASIS), so nothing checks this row. ","")&amp;IF(AND($L335&lt;&gt;"",LAB_BULK_DENSITY_BASIS&lt;&gt;"Not confirmed",$L335&lt;&gt;LAB_BULK_DENSITY_BASIS),"This row's bulk-density basis disagrees with the lab method on file. One of "&amp;"the two is wrong, and the coarse-fragment correction follows the row. ","")&amp;IF(AND(ISNUMBER($M335),OR($M335&lt;QC_BD_MIN,$M335&gt;QC_BD_MAX)),"Bulk density outside the plausible range for a mineral grassland soil. ","")&amp;IF(AND(ISNUMBER($N335),$N335&gt;QC_CARBON_PCT_MAX),"Organic carbon above the QC ceiling — check units, and whether this is an organic horizon. ","")&amp;IF(AND(ISNUMBER($J335),$J335&lt;QC_RECOVERY_MIN),"Recovered less than the QC minimum of the depth driven — the increments may not sit where you think. Do NOT stretch them back out. ","")&amp;IF(AND(ISNUMBER($K335),$K335&gt;0,$L335="Fine earth / total volume"),"Coarse fragments recorded and the lab basis already accounts for them — no further correction applied, which is correct. ",""))</f>
        <v/>
      </c>
      <c r="T335" s="6"/>
      <c r="U335" s="9" t="n">
        <f aca="false">IF($B335="",0,IF(COUNTIFS($B$5:$B335,$B335)=1,1,0))</f>
        <v>0</v>
      </c>
    </row>
    <row r="336" customFormat="false" ht="15" hidden="false" customHeight="false" outlineLevel="0" collapsed="false">
      <c r="A336" s="6"/>
      <c r="B336" s="6"/>
      <c r="C336" s="6"/>
      <c r="D336" s="6"/>
      <c r="E336" s="6"/>
      <c r="F336" s="9" t="str">
        <f aca="false">IF(OR($D336="",$E336=""),"",$E336-$D336)</f>
        <v/>
      </c>
      <c r="G336" s="6"/>
      <c r="H336" s="6"/>
      <c r="I336" s="6"/>
      <c r="J336" s="9" t="str">
        <f aca="false">IF(OR(NOT(ISNUMBER($H336)),NOT(ISNUMBER($I336)),$H336=0),"",$I336/$H336)</f>
        <v/>
      </c>
      <c r="K336" s="6"/>
      <c r="L336" s="8"/>
      <c r="M336" s="7"/>
      <c r="N336" s="7"/>
      <c r="O336" s="9" t="str">
        <f aca="false">IF(NOT(ISNUMBER($M336)),"",IF($L336="Fine earth / fine-earth volume",$M336*(1-IF(ISNUMBER($K336),$K336,0)/100),$M336))</f>
        <v/>
      </c>
      <c r="P336" s="9" t="str">
        <f aca="false">IF(OR(NOT(ISNUMBER($O336)),NOT(ISNUMBER($N336)),NOT(ISNUMBER($F336))),"",$O336*($N336/100)*$F336*10)</f>
        <v/>
      </c>
      <c r="Q336" s="9" t="str">
        <f aca="false">IF(OR(NOT(ISNUMBER($D336)),NOT(ISNUMBER($E336))),"",MAX(0,MIN($E336,SOIL_REPORTING_DEPTH_CM)-MIN($D336,SOIL_REPORTING_DEPTH_CM)))</f>
        <v/>
      </c>
      <c r="R336" s="9" t="str">
        <f aca="false">IF(OR(NOT(ISNUMBER($O336)),NOT(ISNUMBER($N336)),NOT(ISNUMBER($Q336))),"",$O336*($N336/100)*$Q336*10)</f>
        <v/>
      </c>
      <c r="S336" s="11" t="str">
        <f aca="false">IF(AND($A336="",$B336="",$D336=""),"",IF(AND($A336&lt;&gt;"",COUNTIF('1. Plot &amp; Site Log'!$A$5:$A$64,$A336)=0),"Plot ID not in the Plot &amp; Site Log. ","")&amp;IF(AND(ISNUMBER($D336),ISNUMBER($E336),$E336&lt;=$D336),"Bottom depth is not below top depth. ","")&amp;IF($L336="Not confirmed","Bulk-density basis not confirmed with the lab — the coarse-fragment correction may be wrong or doubled. ","")&amp;IF(LAB_BULK_DENSITY_BASIS="Not confirmed","No lab bulk-density basis is on file in Settings (LAB_BULK_DENSITY_BASIS), so nothing checks this row. ","")&amp;IF(AND($L336&lt;&gt;"",LAB_BULK_DENSITY_BASIS&lt;&gt;"Not confirmed",$L336&lt;&gt;LAB_BULK_DENSITY_BASIS),"This row's bulk-density basis disagrees with the lab method on file. One of "&amp;"the two is wrong, and the coarse-fragment correction follows the row. ","")&amp;IF(AND(ISNUMBER($M336),OR($M336&lt;QC_BD_MIN,$M336&gt;QC_BD_MAX)),"Bulk density outside the plausible range for a mineral grassland soil. ","")&amp;IF(AND(ISNUMBER($N336),$N336&gt;QC_CARBON_PCT_MAX),"Organic carbon above the QC ceiling — check units, and whether this is an organic horizon. ","")&amp;IF(AND(ISNUMBER($J336),$J336&lt;QC_RECOVERY_MIN),"Recovered less than the QC minimum of the depth driven — the increments may not sit where you think. Do NOT stretch them back out. ","")&amp;IF(AND(ISNUMBER($K336),$K336&gt;0,$L336="Fine earth / total volume"),"Coarse fragments recorded and the lab basis already accounts for them — no further correction applied, which is correct. ",""))</f>
        <v/>
      </c>
      <c r="T336" s="6"/>
      <c r="U336" s="9" t="n">
        <f aca="false">IF($B336="",0,IF(COUNTIFS($B$5:$B336,$B336)=1,1,0))</f>
        <v>0</v>
      </c>
    </row>
    <row r="337" customFormat="false" ht="15" hidden="false" customHeight="false" outlineLevel="0" collapsed="false">
      <c r="A337" s="6"/>
      <c r="B337" s="6"/>
      <c r="C337" s="6"/>
      <c r="D337" s="6"/>
      <c r="E337" s="6"/>
      <c r="F337" s="9" t="str">
        <f aca="false">IF(OR($D337="",$E337=""),"",$E337-$D337)</f>
        <v/>
      </c>
      <c r="G337" s="6"/>
      <c r="H337" s="6"/>
      <c r="I337" s="6"/>
      <c r="J337" s="9" t="str">
        <f aca="false">IF(OR(NOT(ISNUMBER($H337)),NOT(ISNUMBER($I337)),$H337=0),"",$I337/$H337)</f>
        <v/>
      </c>
      <c r="K337" s="6"/>
      <c r="L337" s="8"/>
      <c r="M337" s="7"/>
      <c r="N337" s="7"/>
      <c r="O337" s="9" t="str">
        <f aca="false">IF(NOT(ISNUMBER($M337)),"",IF($L337="Fine earth / fine-earth volume",$M337*(1-IF(ISNUMBER($K337),$K337,0)/100),$M337))</f>
        <v/>
      </c>
      <c r="P337" s="9" t="str">
        <f aca="false">IF(OR(NOT(ISNUMBER($O337)),NOT(ISNUMBER($N337)),NOT(ISNUMBER($F337))),"",$O337*($N337/100)*$F337*10)</f>
        <v/>
      </c>
      <c r="Q337" s="9" t="str">
        <f aca="false">IF(OR(NOT(ISNUMBER($D337)),NOT(ISNUMBER($E337))),"",MAX(0,MIN($E337,SOIL_REPORTING_DEPTH_CM)-MIN($D337,SOIL_REPORTING_DEPTH_CM)))</f>
        <v/>
      </c>
      <c r="R337" s="9" t="str">
        <f aca="false">IF(OR(NOT(ISNUMBER($O337)),NOT(ISNUMBER($N337)),NOT(ISNUMBER($Q337))),"",$O337*($N337/100)*$Q337*10)</f>
        <v/>
      </c>
      <c r="S337" s="11" t="str">
        <f aca="false">IF(AND($A337="",$B337="",$D337=""),"",IF(AND($A337&lt;&gt;"",COUNTIF('1. Plot &amp; Site Log'!$A$5:$A$64,$A337)=0),"Plot ID not in the Plot &amp; Site Log. ","")&amp;IF(AND(ISNUMBER($D337),ISNUMBER($E337),$E337&lt;=$D337),"Bottom depth is not below top depth. ","")&amp;IF($L337="Not confirmed","Bulk-density basis not confirmed with the lab — the coarse-fragment correction may be wrong or doubled. ","")&amp;IF(LAB_BULK_DENSITY_BASIS="Not confirmed","No lab bulk-density basis is on file in Settings (LAB_BULK_DENSITY_BASIS), so nothing checks this row. ","")&amp;IF(AND($L337&lt;&gt;"",LAB_BULK_DENSITY_BASIS&lt;&gt;"Not confirmed",$L337&lt;&gt;LAB_BULK_DENSITY_BASIS),"This row's bulk-density basis disagrees with the lab method on file. One of "&amp;"the two is wrong, and the coarse-fragment correction follows the row. ","")&amp;IF(AND(ISNUMBER($M337),OR($M337&lt;QC_BD_MIN,$M337&gt;QC_BD_MAX)),"Bulk density outside the plausible range for a mineral grassland soil. ","")&amp;IF(AND(ISNUMBER($N337),$N337&gt;QC_CARBON_PCT_MAX),"Organic carbon above the QC ceiling — check units, and whether this is an organic horizon. ","")&amp;IF(AND(ISNUMBER($J337),$J337&lt;QC_RECOVERY_MIN),"Recovered less than the QC minimum of the depth driven — the increments may not sit where you think. Do NOT stretch them back out. ","")&amp;IF(AND(ISNUMBER($K337),$K337&gt;0,$L337="Fine earth / total volume"),"Coarse fragments recorded and the lab basis already accounts for them — no further correction applied, which is correct. ",""))</f>
        <v/>
      </c>
      <c r="T337" s="6"/>
      <c r="U337" s="9" t="n">
        <f aca="false">IF($B337="",0,IF(COUNTIFS($B$5:$B337,$B337)=1,1,0))</f>
        <v>0</v>
      </c>
    </row>
    <row r="338" customFormat="false" ht="15" hidden="false" customHeight="false" outlineLevel="0" collapsed="false">
      <c r="A338" s="6"/>
      <c r="B338" s="6"/>
      <c r="C338" s="6"/>
      <c r="D338" s="6"/>
      <c r="E338" s="6"/>
      <c r="F338" s="9" t="str">
        <f aca="false">IF(OR($D338="",$E338=""),"",$E338-$D338)</f>
        <v/>
      </c>
      <c r="G338" s="6"/>
      <c r="H338" s="6"/>
      <c r="I338" s="6"/>
      <c r="J338" s="9" t="str">
        <f aca="false">IF(OR(NOT(ISNUMBER($H338)),NOT(ISNUMBER($I338)),$H338=0),"",$I338/$H338)</f>
        <v/>
      </c>
      <c r="K338" s="6"/>
      <c r="L338" s="8"/>
      <c r="M338" s="7"/>
      <c r="N338" s="7"/>
      <c r="O338" s="9" t="str">
        <f aca="false">IF(NOT(ISNUMBER($M338)),"",IF($L338="Fine earth / fine-earth volume",$M338*(1-IF(ISNUMBER($K338),$K338,0)/100),$M338))</f>
        <v/>
      </c>
      <c r="P338" s="9" t="str">
        <f aca="false">IF(OR(NOT(ISNUMBER($O338)),NOT(ISNUMBER($N338)),NOT(ISNUMBER($F338))),"",$O338*($N338/100)*$F338*10)</f>
        <v/>
      </c>
      <c r="Q338" s="9" t="str">
        <f aca="false">IF(OR(NOT(ISNUMBER($D338)),NOT(ISNUMBER($E338))),"",MAX(0,MIN($E338,SOIL_REPORTING_DEPTH_CM)-MIN($D338,SOIL_REPORTING_DEPTH_CM)))</f>
        <v/>
      </c>
      <c r="R338" s="9" t="str">
        <f aca="false">IF(OR(NOT(ISNUMBER($O338)),NOT(ISNUMBER($N338)),NOT(ISNUMBER($Q338))),"",$O338*($N338/100)*$Q338*10)</f>
        <v/>
      </c>
      <c r="S338" s="11" t="str">
        <f aca="false">IF(AND($A338="",$B338="",$D338=""),"",IF(AND($A338&lt;&gt;"",COUNTIF('1. Plot &amp; Site Log'!$A$5:$A$64,$A338)=0),"Plot ID not in the Plot &amp; Site Log. ","")&amp;IF(AND(ISNUMBER($D338),ISNUMBER($E338),$E338&lt;=$D338),"Bottom depth is not below top depth. ","")&amp;IF($L338="Not confirmed","Bulk-density basis not confirmed with the lab — the coarse-fragment correction may be wrong or doubled. ","")&amp;IF(LAB_BULK_DENSITY_BASIS="Not confirmed","No lab bulk-density basis is on file in Settings (LAB_BULK_DENSITY_BASIS), so nothing checks this row. ","")&amp;IF(AND($L338&lt;&gt;"",LAB_BULK_DENSITY_BASIS&lt;&gt;"Not confirmed",$L338&lt;&gt;LAB_BULK_DENSITY_BASIS),"This row's bulk-density basis disagrees with the lab method on file. One of "&amp;"the two is wrong, and the coarse-fragment correction follows the row. ","")&amp;IF(AND(ISNUMBER($M338),OR($M338&lt;QC_BD_MIN,$M338&gt;QC_BD_MAX)),"Bulk density outside the plausible range for a mineral grassland soil. ","")&amp;IF(AND(ISNUMBER($N338),$N338&gt;QC_CARBON_PCT_MAX),"Organic carbon above the QC ceiling — check units, and whether this is an organic horizon. ","")&amp;IF(AND(ISNUMBER($J338),$J338&lt;QC_RECOVERY_MIN),"Recovered less than the QC minimum of the depth driven — the increments may not sit where you think. Do NOT stretch them back out. ","")&amp;IF(AND(ISNUMBER($K338),$K338&gt;0,$L338="Fine earth / total volume"),"Coarse fragments recorded and the lab basis already accounts for them — no further correction applied, which is correct. ",""))</f>
        <v/>
      </c>
      <c r="T338" s="6"/>
      <c r="U338" s="9" t="n">
        <f aca="false">IF($B338="",0,IF(COUNTIFS($B$5:$B338,$B338)=1,1,0))</f>
        <v>0</v>
      </c>
    </row>
    <row r="339" customFormat="false" ht="15" hidden="false" customHeight="false" outlineLevel="0" collapsed="false">
      <c r="A339" s="6"/>
      <c r="B339" s="6"/>
      <c r="C339" s="6"/>
      <c r="D339" s="6"/>
      <c r="E339" s="6"/>
      <c r="F339" s="9" t="str">
        <f aca="false">IF(OR($D339="",$E339=""),"",$E339-$D339)</f>
        <v/>
      </c>
      <c r="G339" s="6"/>
      <c r="H339" s="6"/>
      <c r="I339" s="6"/>
      <c r="J339" s="9" t="str">
        <f aca="false">IF(OR(NOT(ISNUMBER($H339)),NOT(ISNUMBER($I339)),$H339=0),"",$I339/$H339)</f>
        <v/>
      </c>
      <c r="K339" s="6"/>
      <c r="L339" s="8"/>
      <c r="M339" s="7"/>
      <c r="N339" s="7"/>
      <c r="O339" s="9" t="str">
        <f aca="false">IF(NOT(ISNUMBER($M339)),"",IF($L339="Fine earth / fine-earth volume",$M339*(1-IF(ISNUMBER($K339),$K339,0)/100),$M339))</f>
        <v/>
      </c>
      <c r="P339" s="9" t="str">
        <f aca="false">IF(OR(NOT(ISNUMBER($O339)),NOT(ISNUMBER($N339)),NOT(ISNUMBER($F339))),"",$O339*($N339/100)*$F339*10)</f>
        <v/>
      </c>
      <c r="Q339" s="9" t="str">
        <f aca="false">IF(OR(NOT(ISNUMBER($D339)),NOT(ISNUMBER($E339))),"",MAX(0,MIN($E339,SOIL_REPORTING_DEPTH_CM)-MIN($D339,SOIL_REPORTING_DEPTH_CM)))</f>
        <v/>
      </c>
      <c r="R339" s="9" t="str">
        <f aca="false">IF(OR(NOT(ISNUMBER($O339)),NOT(ISNUMBER($N339)),NOT(ISNUMBER($Q339))),"",$O339*($N339/100)*$Q339*10)</f>
        <v/>
      </c>
      <c r="S339" s="11" t="str">
        <f aca="false">IF(AND($A339="",$B339="",$D339=""),"",IF(AND($A339&lt;&gt;"",COUNTIF('1. Plot &amp; Site Log'!$A$5:$A$64,$A339)=0),"Plot ID not in the Plot &amp; Site Log. ","")&amp;IF(AND(ISNUMBER($D339),ISNUMBER($E339),$E339&lt;=$D339),"Bottom depth is not below top depth. ","")&amp;IF($L339="Not confirmed","Bulk-density basis not confirmed with the lab — the coarse-fragment correction may be wrong or doubled. ","")&amp;IF(LAB_BULK_DENSITY_BASIS="Not confirmed","No lab bulk-density basis is on file in Settings (LAB_BULK_DENSITY_BASIS), so nothing checks this row. ","")&amp;IF(AND($L339&lt;&gt;"",LAB_BULK_DENSITY_BASIS&lt;&gt;"Not confirmed",$L339&lt;&gt;LAB_BULK_DENSITY_BASIS),"This row's bulk-density basis disagrees with the lab method on file. One of "&amp;"the two is wrong, and the coarse-fragment correction follows the row. ","")&amp;IF(AND(ISNUMBER($M339),OR($M339&lt;QC_BD_MIN,$M339&gt;QC_BD_MAX)),"Bulk density outside the plausible range for a mineral grassland soil. ","")&amp;IF(AND(ISNUMBER($N339),$N339&gt;QC_CARBON_PCT_MAX),"Organic carbon above the QC ceiling — check units, and whether this is an organic horizon. ","")&amp;IF(AND(ISNUMBER($J339),$J339&lt;QC_RECOVERY_MIN),"Recovered less than the QC minimum of the depth driven — the increments may not sit where you think. Do NOT stretch them back out. ","")&amp;IF(AND(ISNUMBER($K339),$K339&gt;0,$L339="Fine earth / total volume"),"Coarse fragments recorded and the lab basis already accounts for them — no further correction applied, which is correct. ",""))</f>
        <v/>
      </c>
      <c r="T339" s="6"/>
      <c r="U339" s="9" t="n">
        <f aca="false">IF($B339="",0,IF(COUNTIFS($B$5:$B339,$B339)=1,1,0))</f>
        <v>0</v>
      </c>
    </row>
    <row r="340" customFormat="false" ht="15" hidden="false" customHeight="false" outlineLevel="0" collapsed="false">
      <c r="A340" s="6"/>
      <c r="B340" s="6"/>
      <c r="C340" s="6"/>
      <c r="D340" s="6"/>
      <c r="E340" s="6"/>
      <c r="F340" s="9" t="str">
        <f aca="false">IF(OR($D340="",$E340=""),"",$E340-$D340)</f>
        <v/>
      </c>
      <c r="G340" s="6"/>
      <c r="H340" s="6"/>
      <c r="I340" s="6"/>
      <c r="J340" s="9" t="str">
        <f aca="false">IF(OR(NOT(ISNUMBER($H340)),NOT(ISNUMBER($I340)),$H340=0),"",$I340/$H340)</f>
        <v/>
      </c>
      <c r="K340" s="6"/>
      <c r="L340" s="8"/>
      <c r="M340" s="7"/>
      <c r="N340" s="7"/>
      <c r="O340" s="9" t="str">
        <f aca="false">IF(NOT(ISNUMBER($M340)),"",IF($L340="Fine earth / fine-earth volume",$M340*(1-IF(ISNUMBER($K340),$K340,0)/100),$M340))</f>
        <v/>
      </c>
      <c r="P340" s="9" t="str">
        <f aca="false">IF(OR(NOT(ISNUMBER($O340)),NOT(ISNUMBER($N340)),NOT(ISNUMBER($F340))),"",$O340*($N340/100)*$F340*10)</f>
        <v/>
      </c>
      <c r="Q340" s="9" t="str">
        <f aca="false">IF(OR(NOT(ISNUMBER($D340)),NOT(ISNUMBER($E340))),"",MAX(0,MIN($E340,SOIL_REPORTING_DEPTH_CM)-MIN($D340,SOIL_REPORTING_DEPTH_CM)))</f>
        <v/>
      </c>
      <c r="R340" s="9" t="str">
        <f aca="false">IF(OR(NOT(ISNUMBER($O340)),NOT(ISNUMBER($N340)),NOT(ISNUMBER($Q340))),"",$O340*($N340/100)*$Q340*10)</f>
        <v/>
      </c>
      <c r="S340" s="11" t="str">
        <f aca="false">IF(AND($A340="",$B340="",$D340=""),"",IF(AND($A340&lt;&gt;"",COUNTIF('1. Plot &amp; Site Log'!$A$5:$A$64,$A340)=0),"Plot ID not in the Plot &amp; Site Log. ","")&amp;IF(AND(ISNUMBER($D340),ISNUMBER($E340),$E340&lt;=$D340),"Bottom depth is not below top depth. ","")&amp;IF($L340="Not confirmed","Bulk-density basis not confirmed with the lab — the coarse-fragment correction may be wrong or doubled. ","")&amp;IF(LAB_BULK_DENSITY_BASIS="Not confirmed","No lab bulk-density basis is on file in Settings (LAB_BULK_DENSITY_BASIS), so nothing checks this row. ","")&amp;IF(AND($L340&lt;&gt;"",LAB_BULK_DENSITY_BASIS&lt;&gt;"Not confirmed",$L340&lt;&gt;LAB_BULK_DENSITY_BASIS),"This row's bulk-density basis disagrees with the lab method on file. One of "&amp;"the two is wrong, and the coarse-fragment correction follows the row. ","")&amp;IF(AND(ISNUMBER($M340),OR($M340&lt;QC_BD_MIN,$M340&gt;QC_BD_MAX)),"Bulk density outside the plausible range for a mineral grassland soil. ","")&amp;IF(AND(ISNUMBER($N340),$N340&gt;QC_CARBON_PCT_MAX),"Organic carbon above the QC ceiling — check units, and whether this is an organic horizon. ","")&amp;IF(AND(ISNUMBER($J340),$J340&lt;QC_RECOVERY_MIN),"Recovered less than the QC minimum of the depth driven — the increments may not sit where you think. Do NOT stretch them back out. ","")&amp;IF(AND(ISNUMBER($K340),$K340&gt;0,$L340="Fine earth / total volume"),"Coarse fragments recorded and the lab basis already accounts for them — no further correction applied, which is correct. ",""))</f>
        <v/>
      </c>
      <c r="T340" s="6"/>
      <c r="U340" s="9" t="n">
        <f aca="false">IF($B340="",0,IF(COUNTIFS($B$5:$B340,$B340)=1,1,0))</f>
        <v>0</v>
      </c>
    </row>
    <row r="341" customFormat="false" ht="15" hidden="false" customHeight="false" outlineLevel="0" collapsed="false">
      <c r="A341" s="6"/>
      <c r="B341" s="6"/>
      <c r="C341" s="6"/>
      <c r="D341" s="6"/>
      <c r="E341" s="6"/>
      <c r="F341" s="9" t="str">
        <f aca="false">IF(OR($D341="",$E341=""),"",$E341-$D341)</f>
        <v/>
      </c>
      <c r="G341" s="6"/>
      <c r="H341" s="6"/>
      <c r="I341" s="6"/>
      <c r="J341" s="9" t="str">
        <f aca="false">IF(OR(NOT(ISNUMBER($H341)),NOT(ISNUMBER($I341)),$H341=0),"",$I341/$H341)</f>
        <v/>
      </c>
      <c r="K341" s="6"/>
      <c r="L341" s="8"/>
      <c r="M341" s="7"/>
      <c r="N341" s="7"/>
      <c r="O341" s="9" t="str">
        <f aca="false">IF(NOT(ISNUMBER($M341)),"",IF($L341="Fine earth / fine-earth volume",$M341*(1-IF(ISNUMBER($K341),$K341,0)/100),$M341))</f>
        <v/>
      </c>
      <c r="P341" s="9" t="str">
        <f aca="false">IF(OR(NOT(ISNUMBER($O341)),NOT(ISNUMBER($N341)),NOT(ISNUMBER($F341))),"",$O341*($N341/100)*$F341*10)</f>
        <v/>
      </c>
      <c r="Q341" s="9" t="str">
        <f aca="false">IF(OR(NOT(ISNUMBER($D341)),NOT(ISNUMBER($E341))),"",MAX(0,MIN($E341,SOIL_REPORTING_DEPTH_CM)-MIN($D341,SOIL_REPORTING_DEPTH_CM)))</f>
        <v/>
      </c>
      <c r="R341" s="9" t="str">
        <f aca="false">IF(OR(NOT(ISNUMBER($O341)),NOT(ISNUMBER($N341)),NOT(ISNUMBER($Q341))),"",$O341*($N341/100)*$Q341*10)</f>
        <v/>
      </c>
      <c r="S341" s="11" t="str">
        <f aca="false">IF(AND($A341="",$B341="",$D341=""),"",IF(AND($A341&lt;&gt;"",COUNTIF('1. Plot &amp; Site Log'!$A$5:$A$64,$A341)=0),"Plot ID not in the Plot &amp; Site Log. ","")&amp;IF(AND(ISNUMBER($D341),ISNUMBER($E341),$E341&lt;=$D341),"Bottom depth is not below top depth. ","")&amp;IF($L341="Not confirmed","Bulk-density basis not confirmed with the lab — the coarse-fragment correction may be wrong or doubled. ","")&amp;IF(LAB_BULK_DENSITY_BASIS="Not confirmed","No lab bulk-density basis is on file in Settings (LAB_BULK_DENSITY_BASIS), so nothing checks this row. ","")&amp;IF(AND($L341&lt;&gt;"",LAB_BULK_DENSITY_BASIS&lt;&gt;"Not confirmed",$L341&lt;&gt;LAB_BULK_DENSITY_BASIS),"This row's bulk-density basis disagrees with the lab method on file. One of "&amp;"the two is wrong, and the coarse-fragment correction follows the row. ","")&amp;IF(AND(ISNUMBER($M341),OR($M341&lt;QC_BD_MIN,$M341&gt;QC_BD_MAX)),"Bulk density outside the plausible range for a mineral grassland soil. ","")&amp;IF(AND(ISNUMBER($N341),$N341&gt;QC_CARBON_PCT_MAX),"Organic carbon above the QC ceiling — check units, and whether this is an organic horizon. ","")&amp;IF(AND(ISNUMBER($J341),$J341&lt;QC_RECOVERY_MIN),"Recovered less than the QC minimum of the depth driven — the increments may not sit where you think. Do NOT stretch them back out. ","")&amp;IF(AND(ISNUMBER($K341),$K341&gt;0,$L341="Fine earth / total volume"),"Coarse fragments recorded and the lab basis already accounts for them — no further correction applied, which is correct. ",""))</f>
        <v/>
      </c>
      <c r="T341" s="6"/>
      <c r="U341" s="9" t="n">
        <f aca="false">IF($B341="",0,IF(COUNTIFS($B$5:$B341,$B341)=1,1,0))</f>
        <v>0</v>
      </c>
    </row>
    <row r="342" customFormat="false" ht="15" hidden="false" customHeight="false" outlineLevel="0" collapsed="false">
      <c r="A342" s="6"/>
      <c r="B342" s="6"/>
      <c r="C342" s="6"/>
      <c r="D342" s="6"/>
      <c r="E342" s="6"/>
      <c r="F342" s="9" t="str">
        <f aca="false">IF(OR($D342="",$E342=""),"",$E342-$D342)</f>
        <v/>
      </c>
      <c r="G342" s="6"/>
      <c r="H342" s="6"/>
      <c r="I342" s="6"/>
      <c r="J342" s="9" t="str">
        <f aca="false">IF(OR(NOT(ISNUMBER($H342)),NOT(ISNUMBER($I342)),$H342=0),"",$I342/$H342)</f>
        <v/>
      </c>
      <c r="K342" s="6"/>
      <c r="L342" s="8"/>
      <c r="M342" s="7"/>
      <c r="N342" s="7"/>
      <c r="O342" s="9" t="str">
        <f aca="false">IF(NOT(ISNUMBER($M342)),"",IF($L342="Fine earth / fine-earth volume",$M342*(1-IF(ISNUMBER($K342),$K342,0)/100),$M342))</f>
        <v/>
      </c>
      <c r="P342" s="9" t="str">
        <f aca="false">IF(OR(NOT(ISNUMBER($O342)),NOT(ISNUMBER($N342)),NOT(ISNUMBER($F342))),"",$O342*($N342/100)*$F342*10)</f>
        <v/>
      </c>
      <c r="Q342" s="9" t="str">
        <f aca="false">IF(OR(NOT(ISNUMBER($D342)),NOT(ISNUMBER($E342))),"",MAX(0,MIN($E342,SOIL_REPORTING_DEPTH_CM)-MIN($D342,SOIL_REPORTING_DEPTH_CM)))</f>
        <v/>
      </c>
      <c r="R342" s="9" t="str">
        <f aca="false">IF(OR(NOT(ISNUMBER($O342)),NOT(ISNUMBER($N342)),NOT(ISNUMBER($Q342))),"",$O342*($N342/100)*$Q342*10)</f>
        <v/>
      </c>
      <c r="S342" s="11" t="str">
        <f aca="false">IF(AND($A342="",$B342="",$D342=""),"",IF(AND($A342&lt;&gt;"",COUNTIF('1. Plot &amp; Site Log'!$A$5:$A$64,$A342)=0),"Plot ID not in the Plot &amp; Site Log. ","")&amp;IF(AND(ISNUMBER($D342),ISNUMBER($E342),$E342&lt;=$D342),"Bottom depth is not below top depth. ","")&amp;IF($L342="Not confirmed","Bulk-density basis not confirmed with the lab — the coarse-fragment correction may be wrong or doubled. ","")&amp;IF(LAB_BULK_DENSITY_BASIS="Not confirmed","No lab bulk-density basis is on file in Settings (LAB_BULK_DENSITY_BASIS), so nothing checks this row. ","")&amp;IF(AND($L342&lt;&gt;"",LAB_BULK_DENSITY_BASIS&lt;&gt;"Not confirmed",$L342&lt;&gt;LAB_BULK_DENSITY_BASIS),"This row's bulk-density basis disagrees with the lab method on file. One of "&amp;"the two is wrong, and the coarse-fragment correction follows the row. ","")&amp;IF(AND(ISNUMBER($M342),OR($M342&lt;QC_BD_MIN,$M342&gt;QC_BD_MAX)),"Bulk density outside the plausible range for a mineral grassland soil. ","")&amp;IF(AND(ISNUMBER($N342),$N342&gt;QC_CARBON_PCT_MAX),"Organic carbon above the QC ceiling — check units, and whether this is an organic horizon. ","")&amp;IF(AND(ISNUMBER($J342),$J342&lt;QC_RECOVERY_MIN),"Recovered less than the QC minimum of the depth driven — the increments may not sit where you think. Do NOT stretch them back out. ","")&amp;IF(AND(ISNUMBER($K342),$K342&gt;0,$L342="Fine earth / total volume"),"Coarse fragments recorded and the lab basis already accounts for them — no further correction applied, which is correct. ",""))</f>
        <v/>
      </c>
      <c r="T342" s="6"/>
      <c r="U342" s="9" t="n">
        <f aca="false">IF($B342="",0,IF(COUNTIFS($B$5:$B342,$B342)=1,1,0))</f>
        <v>0</v>
      </c>
    </row>
    <row r="343" customFormat="false" ht="15" hidden="false" customHeight="false" outlineLevel="0" collapsed="false">
      <c r="A343" s="6"/>
      <c r="B343" s="6"/>
      <c r="C343" s="6"/>
      <c r="D343" s="6"/>
      <c r="E343" s="6"/>
      <c r="F343" s="9" t="str">
        <f aca="false">IF(OR($D343="",$E343=""),"",$E343-$D343)</f>
        <v/>
      </c>
      <c r="G343" s="6"/>
      <c r="H343" s="6"/>
      <c r="I343" s="6"/>
      <c r="J343" s="9" t="str">
        <f aca="false">IF(OR(NOT(ISNUMBER($H343)),NOT(ISNUMBER($I343)),$H343=0),"",$I343/$H343)</f>
        <v/>
      </c>
      <c r="K343" s="6"/>
      <c r="L343" s="8"/>
      <c r="M343" s="7"/>
      <c r="N343" s="7"/>
      <c r="O343" s="9" t="str">
        <f aca="false">IF(NOT(ISNUMBER($M343)),"",IF($L343="Fine earth / fine-earth volume",$M343*(1-IF(ISNUMBER($K343),$K343,0)/100),$M343))</f>
        <v/>
      </c>
      <c r="P343" s="9" t="str">
        <f aca="false">IF(OR(NOT(ISNUMBER($O343)),NOT(ISNUMBER($N343)),NOT(ISNUMBER($F343))),"",$O343*($N343/100)*$F343*10)</f>
        <v/>
      </c>
      <c r="Q343" s="9" t="str">
        <f aca="false">IF(OR(NOT(ISNUMBER($D343)),NOT(ISNUMBER($E343))),"",MAX(0,MIN($E343,SOIL_REPORTING_DEPTH_CM)-MIN($D343,SOIL_REPORTING_DEPTH_CM)))</f>
        <v/>
      </c>
      <c r="R343" s="9" t="str">
        <f aca="false">IF(OR(NOT(ISNUMBER($O343)),NOT(ISNUMBER($N343)),NOT(ISNUMBER($Q343))),"",$O343*($N343/100)*$Q343*10)</f>
        <v/>
      </c>
      <c r="S343" s="11" t="str">
        <f aca="false">IF(AND($A343="",$B343="",$D343=""),"",IF(AND($A343&lt;&gt;"",COUNTIF('1. Plot &amp; Site Log'!$A$5:$A$64,$A343)=0),"Plot ID not in the Plot &amp; Site Log. ","")&amp;IF(AND(ISNUMBER($D343),ISNUMBER($E343),$E343&lt;=$D343),"Bottom depth is not below top depth. ","")&amp;IF($L343="Not confirmed","Bulk-density basis not confirmed with the lab — the coarse-fragment correction may be wrong or doubled. ","")&amp;IF(LAB_BULK_DENSITY_BASIS="Not confirmed","No lab bulk-density basis is on file in Settings (LAB_BULK_DENSITY_BASIS), so nothing checks this row. ","")&amp;IF(AND($L343&lt;&gt;"",LAB_BULK_DENSITY_BASIS&lt;&gt;"Not confirmed",$L343&lt;&gt;LAB_BULK_DENSITY_BASIS),"This row's bulk-density basis disagrees with the lab method on file. One of "&amp;"the two is wrong, and the coarse-fragment correction follows the row. ","")&amp;IF(AND(ISNUMBER($M343),OR($M343&lt;QC_BD_MIN,$M343&gt;QC_BD_MAX)),"Bulk density outside the plausible range for a mineral grassland soil. ","")&amp;IF(AND(ISNUMBER($N343),$N343&gt;QC_CARBON_PCT_MAX),"Organic carbon above the QC ceiling — check units, and whether this is an organic horizon. ","")&amp;IF(AND(ISNUMBER($J343),$J343&lt;QC_RECOVERY_MIN),"Recovered less than the QC minimum of the depth driven — the increments may not sit where you think. Do NOT stretch them back out. ","")&amp;IF(AND(ISNUMBER($K343),$K343&gt;0,$L343="Fine earth / total volume"),"Coarse fragments recorded and the lab basis already accounts for them — no further correction applied, which is correct. ",""))</f>
        <v/>
      </c>
      <c r="T343" s="6"/>
      <c r="U343" s="9" t="n">
        <f aca="false">IF($B343="",0,IF(COUNTIFS($B$5:$B343,$B343)=1,1,0))</f>
        <v>0</v>
      </c>
    </row>
    <row r="344" customFormat="false" ht="15" hidden="false" customHeight="false" outlineLevel="0" collapsed="false">
      <c r="A344" s="6"/>
      <c r="B344" s="6"/>
      <c r="C344" s="6"/>
      <c r="D344" s="6"/>
      <c r="E344" s="6"/>
      <c r="F344" s="9" t="str">
        <f aca="false">IF(OR($D344="",$E344=""),"",$E344-$D344)</f>
        <v/>
      </c>
      <c r="G344" s="6"/>
      <c r="H344" s="6"/>
      <c r="I344" s="6"/>
      <c r="J344" s="9" t="str">
        <f aca="false">IF(OR(NOT(ISNUMBER($H344)),NOT(ISNUMBER($I344)),$H344=0),"",$I344/$H344)</f>
        <v/>
      </c>
      <c r="K344" s="6"/>
      <c r="L344" s="8"/>
      <c r="M344" s="7"/>
      <c r="N344" s="7"/>
      <c r="O344" s="9" t="str">
        <f aca="false">IF(NOT(ISNUMBER($M344)),"",IF($L344="Fine earth / fine-earth volume",$M344*(1-IF(ISNUMBER($K344),$K344,0)/100),$M344))</f>
        <v/>
      </c>
      <c r="P344" s="9" t="str">
        <f aca="false">IF(OR(NOT(ISNUMBER($O344)),NOT(ISNUMBER($N344)),NOT(ISNUMBER($F344))),"",$O344*($N344/100)*$F344*10)</f>
        <v/>
      </c>
      <c r="Q344" s="9" t="str">
        <f aca="false">IF(OR(NOT(ISNUMBER($D344)),NOT(ISNUMBER($E344))),"",MAX(0,MIN($E344,SOIL_REPORTING_DEPTH_CM)-MIN($D344,SOIL_REPORTING_DEPTH_CM)))</f>
        <v/>
      </c>
      <c r="R344" s="9" t="str">
        <f aca="false">IF(OR(NOT(ISNUMBER($O344)),NOT(ISNUMBER($N344)),NOT(ISNUMBER($Q344))),"",$O344*($N344/100)*$Q344*10)</f>
        <v/>
      </c>
      <c r="S344" s="11" t="str">
        <f aca="false">IF(AND($A344="",$B344="",$D344=""),"",IF(AND($A344&lt;&gt;"",COUNTIF('1. Plot &amp; Site Log'!$A$5:$A$64,$A344)=0),"Plot ID not in the Plot &amp; Site Log. ","")&amp;IF(AND(ISNUMBER($D344),ISNUMBER($E344),$E344&lt;=$D344),"Bottom depth is not below top depth. ","")&amp;IF($L344="Not confirmed","Bulk-density basis not confirmed with the lab — the coarse-fragment correction may be wrong or doubled. ","")&amp;IF(LAB_BULK_DENSITY_BASIS="Not confirmed","No lab bulk-density basis is on file in Settings (LAB_BULK_DENSITY_BASIS), so nothing checks this row. ","")&amp;IF(AND($L344&lt;&gt;"",LAB_BULK_DENSITY_BASIS&lt;&gt;"Not confirmed",$L344&lt;&gt;LAB_BULK_DENSITY_BASIS),"This row's bulk-density basis disagrees with the lab method on file. One of "&amp;"the two is wrong, and the coarse-fragment correction follows the row. ","")&amp;IF(AND(ISNUMBER($M344),OR($M344&lt;QC_BD_MIN,$M344&gt;QC_BD_MAX)),"Bulk density outside the plausible range for a mineral grassland soil. ","")&amp;IF(AND(ISNUMBER($N344),$N344&gt;QC_CARBON_PCT_MAX),"Organic carbon above the QC ceiling — check units, and whether this is an organic horizon. ","")&amp;IF(AND(ISNUMBER($J344),$J344&lt;QC_RECOVERY_MIN),"Recovered less than the QC minimum of the depth driven — the increments may not sit where you think. Do NOT stretch them back out. ","")&amp;IF(AND(ISNUMBER($K344),$K344&gt;0,$L344="Fine earth / total volume"),"Coarse fragments recorded and the lab basis already accounts for them — no further correction applied, which is correct. ",""))</f>
        <v/>
      </c>
      <c r="T344" s="6"/>
      <c r="U344" s="9" t="n">
        <f aca="false">IF($B344="",0,IF(COUNTIFS($B$5:$B344,$B344)=1,1,0))</f>
        <v>0</v>
      </c>
    </row>
    <row r="345" customFormat="false" ht="15" hidden="false" customHeight="false" outlineLevel="0" collapsed="false">
      <c r="A345" s="6"/>
      <c r="B345" s="6"/>
      <c r="C345" s="6"/>
      <c r="D345" s="6"/>
      <c r="E345" s="6"/>
      <c r="F345" s="9" t="str">
        <f aca="false">IF(OR($D345="",$E345=""),"",$E345-$D345)</f>
        <v/>
      </c>
      <c r="G345" s="6"/>
      <c r="H345" s="6"/>
      <c r="I345" s="6"/>
      <c r="J345" s="9" t="str">
        <f aca="false">IF(OR(NOT(ISNUMBER($H345)),NOT(ISNUMBER($I345)),$H345=0),"",$I345/$H345)</f>
        <v/>
      </c>
      <c r="K345" s="6"/>
      <c r="L345" s="8"/>
      <c r="M345" s="7"/>
      <c r="N345" s="7"/>
      <c r="O345" s="9" t="str">
        <f aca="false">IF(NOT(ISNUMBER($M345)),"",IF($L345="Fine earth / fine-earth volume",$M345*(1-IF(ISNUMBER($K345),$K345,0)/100),$M345))</f>
        <v/>
      </c>
      <c r="P345" s="9" t="str">
        <f aca="false">IF(OR(NOT(ISNUMBER($O345)),NOT(ISNUMBER($N345)),NOT(ISNUMBER($F345))),"",$O345*($N345/100)*$F345*10)</f>
        <v/>
      </c>
      <c r="Q345" s="9" t="str">
        <f aca="false">IF(OR(NOT(ISNUMBER($D345)),NOT(ISNUMBER($E345))),"",MAX(0,MIN($E345,SOIL_REPORTING_DEPTH_CM)-MIN($D345,SOIL_REPORTING_DEPTH_CM)))</f>
        <v/>
      </c>
      <c r="R345" s="9" t="str">
        <f aca="false">IF(OR(NOT(ISNUMBER($O345)),NOT(ISNUMBER($N345)),NOT(ISNUMBER($Q345))),"",$O345*($N345/100)*$Q345*10)</f>
        <v/>
      </c>
      <c r="S345" s="11" t="str">
        <f aca="false">IF(AND($A345="",$B345="",$D345=""),"",IF(AND($A345&lt;&gt;"",COUNTIF('1. Plot &amp; Site Log'!$A$5:$A$64,$A345)=0),"Plot ID not in the Plot &amp; Site Log. ","")&amp;IF(AND(ISNUMBER($D345),ISNUMBER($E345),$E345&lt;=$D345),"Bottom depth is not below top depth. ","")&amp;IF($L345="Not confirmed","Bulk-density basis not confirmed with the lab — the coarse-fragment correction may be wrong or doubled. ","")&amp;IF(LAB_BULK_DENSITY_BASIS="Not confirmed","No lab bulk-density basis is on file in Settings (LAB_BULK_DENSITY_BASIS), so nothing checks this row. ","")&amp;IF(AND($L345&lt;&gt;"",LAB_BULK_DENSITY_BASIS&lt;&gt;"Not confirmed",$L345&lt;&gt;LAB_BULK_DENSITY_BASIS),"This row's bulk-density basis disagrees with the lab method on file. One of "&amp;"the two is wrong, and the coarse-fragment correction follows the row. ","")&amp;IF(AND(ISNUMBER($M345),OR($M345&lt;QC_BD_MIN,$M345&gt;QC_BD_MAX)),"Bulk density outside the plausible range for a mineral grassland soil. ","")&amp;IF(AND(ISNUMBER($N345),$N345&gt;QC_CARBON_PCT_MAX),"Organic carbon above the QC ceiling — check units, and whether this is an organic horizon. ","")&amp;IF(AND(ISNUMBER($J345),$J345&lt;QC_RECOVERY_MIN),"Recovered less than the QC minimum of the depth driven — the increments may not sit where you think. Do NOT stretch them back out. ","")&amp;IF(AND(ISNUMBER($K345),$K345&gt;0,$L345="Fine earth / total volume"),"Coarse fragments recorded and the lab basis already accounts for them — no further correction applied, which is correct. ",""))</f>
        <v/>
      </c>
      <c r="T345" s="6"/>
      <c r="U345" s="9" t="n">
        <f aca="false">IF($B345="",0,IF(COUNTIFS($B$5:$B345,$B345)=1,1,0))</f>
        <v>0</v>
      </c>
    </row>
    <row r="346" customFormat="false" ht="15" hidden="false" customHeight="false" outlineLevel="0" collapsed="false">
      <c r="A346" s="6"/>
      <c r="B346" s="6"/>
      <c r="C346" s="6"/>
      <c r="D346" s="6"/>
      <c r="E346" s="6"/>
      <c r="F346" s="9" t="str">
        <f aca="false">IF(OR($D346="",$E346=""),"",$E346-$D346)</f>
        <v/>
      </c>
      <c r="G346" s="6"/>
      <c r="H346" s="6"/>
      <c r="I346" s="6"/>
      <c r="J346" s="9" t="str">
        <f aca="false">IF(OR(NOT(ISNUMBER($H346)),NOT(ISNUMBER($I346)),$H346=0),"",$I346/$H346)</f>
        <v/>
      </c>
      <c r="K346" s="6"/>
      <c r="L346" s="8"/>
      <c r="M346" s="7"/>
      <c r="N346" s="7"/>
      <c r="O346" s="9" t="str">
        <f aca="false">IF(NOT(ISNUMBER($M346)),"",IF($L346="Fine earth / fine-earth volume",$M346*(1-IF(ISNUMBER($K346),$K346,0)/100),$M346))</f>
        <v/>
      </c>
      <c r="P346" s="9" t="str">
        <f aca="false">IF(OR(NOT(ISNUMBER($O346)),NOT(ISNUMBER($N346)),NOT(ISNUMBER($F346))),"",$O346*($N346/100)*$F346*10)</f>
        <v/>
      </c>
      <c r="Q346" s="9" t="str">
        <f aca="false">IF(OR(NOT(ISNUMBER($D346)),NOT(ISNUMBER($E346))),"",MAX(0,MIN($E346,SOIL_REPORTING_DEPTH_CM)-MIN($D346,SOIL_REPORTING_DEPTH_CM)))</f>
        <v/>
      </c>
      <c r="R346" s="9" t="str">
        <f aca="false">IF(OR(NOT(ISNUMBER($O346)),NOT(ISNUMBER($N346)),NOT(ISNUMBER($Q346))),"",$O346*($N346/100)*$Q346*10)</f>
        <v/>
      </c>
      <c r="S346" s="11" t="str">
        <f aca="false">IF(AND($A346="",$B346="",$D346=""),"",IF(AND($A346&lt;&gt;"",COUNTIF('1. Plot &amp; Site Log'!$A$5:$A$64,$A346)=0),"Plot ID not in the Plot &amp; Site Log. ","")&amp;IF(AND(ISNUMBER($D346),ISNUMBER($E346),$E346&lt;=$D346),"Bottom depth is not below top depth. ","")&amp;IF($L346="Not confirmed","Bulk-density basis not confirmed with the lab — the coarse-fragment correction may be wrong or doubled. ","")&amp;IF(LAB_BULK_DENSITY_BASIS="Not confirmed","No lab bulk-density basis is on file in Settings (LAB_BULK_DENSITY_BASIS), so nothing checks this row. ","")&amp;IF(AND($L346&lt;&gt;"",LAB_BULK_DENSITY_BASIS&lt;&gt;"Not confirmed",$L346&lt;&gt;LAB_BULK_DENSITY_BASIS),"This row's bulk-density basis disagrees with the lab method on file. One of "&amp;"the two is wrong, and the coarse-fragment correction follows the row. ","")&amp;IF(AND(ISNUMBER($M346),OR($M346&lt;QC_BD_MIN,$M346&gt;QC_BD_MAX)),"Bulk density outside the plausible range for a mineral grassland soil. ","")&amp;IF(AND(ISNUMBER($N346),$N346&gt;QC_CARBON_PCT_MAX),"Organic carbon above the QC ceiling — check units, and whether this is an organic horizon. ","")&amp;IF(AND(ISNUMBER($J346),$J346&lt;QC_RECOVERY_MIN),"Recovered less than the QC minimum of the depth driven — the increments may not sit where you think. Do NOT stretch them back out. ","")&amp;IF(AND(ISNUMBER($K346),$K346&gt;0,$L346="Fine earth / total volume"),"Coarse fragments recorded and the lab basis already accounts for them — no further correction applied, which is correct. ",""))</f>
        <v/>
      </c>
      <c r="T346" s="6"/>
      <c r="U346" s="9" t="n">
        <f aca="false">IF($B346="",0,IF(COUNTIFS($B$5:$B346,$B346)=1,1,0))</f>
        <v>0</v>
      </c>
    </row>
    <row r="347" customFormat="false" ht="15" hidden="false" customHeight="false" outlineLevel="0" collapsed="false">
      <c r="A347" s="6"/>
      <c r="B347" s="6"/>
      <c r="C347" s="6"/>
      <c r="D347" s="6"/>
      <c r="E347" s="6"/>
      <c r="F347" s="9" t="str">
        <f aca="false">IF(OR($D347="",$E347=""),"",$E347-$D347)</f>
        <v/>
      </c>
      <c r="G347" s="6"/>
      <c r="H347" s="6"/>
      <c r="I347" s="6"/>
      <c r="J347" s="9" t="str">
        <f aca="false">IF(OR(NOT(ISNUMBER($H347)),NOT(ISNUMBER($I347)),$H347=0),"",$I347/$H347)</f>
        <v/>
      </c>
      <c r="K347" s="6"/>
      <c r="L347" s="8"/>
      <c r="M347" s="7"/>
      <c r="N347" s="7"/>
      <c r="O347" s="9" t="str">
        <f aca="false">IF(NOT(ISNUMBER($M347)),"",IF($L347="Fine earth / fine-earth volume",$M347*(1-IF(ISNUMBER($K347),$K347,0)/100),$M347))</f>
        <v/>
      </c>
      <c r="P347" s="9" t="str">
        <f aca="false">IF(OR(NOT(ISNUMBER($O347)),NOT(ISNUMBER($N347)),NOT(ISNUMBER($F347))),"",$O347*($N347/100)*$F347*10)</f>
        <v/>
      </c>
      <c r="Q347" s="9" t="str">
        <f aca="false">IF(OR(NOT(ISNUMBER($D347)),NOT(ISNUMBER($E347))),"",MAX(0,MIN($E347,SOIL_REPORTING_DEPTH_CM)-MIN($D347,SOIL_REPORTING_DEPTH_CM)))</f>
        <v/>
      </c>
      <c r="R347" s="9" t="str">
        <f aca="false">IF(OR(NOT(ISNUMBER($O347)),NOT(ISNUMBER($N347)),NOT(ISNUMBER($Q347))),"",$O347*($N347/100)*$Q347*10)</f>
        <v/>
      </c>
      <c r="S347" s="11" t="str">
        <f aca="false">IF(AND($A347="",$B347="",$D347=""),"",IF(AND($A347&lt;&gt;"",COUNTIF('1. Plot &amp; Site Log'!$A$5:$A$64,$A347)=0),"Plot ID not in the Plot &amp; Site Log. ","")&amp;IF(AND(ISNUMBER($D347),ISNUMBER($E347),$E347&lt;=$D347),"Bottom depth is not below top depth. ","")&amp;IF($L347="Not confirmed","Bulk-density basis not confirmed with the lab — the coarse-fragment correction may be wrong or doubled. ","")&amp;IF(LAB_BULK_DENSITY_BASIS="Not confirmed","No lab bulk-density basis is on file in Settings (LAB_BULK_DENSITY_BASIS), so nothing checks this row. ","")&amp;IF(AND($L347&lt;&gt;"",LAB_BULK_DENSITY_BASIS&lt;&gt;"Not confirmed",$L347&lt;&gt;LAB_BULK_DENSITY_BASIS),"This row's bulk-density basis disagrees with the lab method on file. One of "&amp;"the two is wrong, and the coarse-fragment correction follows the row. ","")&amp;IF(AND(ISNUMBER($M347),OR($M347&lt;QC_BD_MIN,$M347&gt;QC_BD_MAX)),"Bulk density outside the plausible range for a mineral grassland soil. ","")&amp;IF(AND(ISNUMBER($N347),$N347&gt;QC_CARBON_PCT_MAX),"Organic carbon above the QC ceiling — check units, and whether this is an organic horizon. ","")&amp;IF(AND(ISNUMBER($J347),$J347&lt;QC_RECOVERY_MIN),"Recovered less than the QC minimum of the depth driven — the increments may not sit where you think. Do NOT stretch them back out. ","")&amp;IF(AND(ISNUMBER($K347),$K347&gt;0,$L347="Fine earth / total volume"),"Coarse fragments recorded and the lab basis already accounts for them — no further correction applied, which is correct. ",""))</f>
        <v/>
      </c>
      <c r="T347" s="6"/>
      <c r="U347" s="9" t="n">
        <f aca="false">IF($B347="",0,IF(COUNTIFS($B$5:$B347,$B347)=1,1,0))</f>
        <v>0</v>
      </c>
    </row>
    <row r="348" customFormat="false" ht="15" hidden="false" customHeight="false" outlineLevel="0" collapsed="false">
      <c r="A348" s="6"/>
      <c r="B348" s="6"/>
      <c r="C348" s="6"/>
      <c r="D348" s="6"/>
      <c r="E348" s="6"/>
      <c r="F348" s="9" t="str">
        <f aca="false">IF(OR($D348="",$E348=""),"",$E348-$D348)</f>
        <v/>
      </c>
      <c r="G348" s="6"/>
      <c r="H348" s="6"/>
      <c r="I348" s="6"/>
      <c r="J348" s="9" t="str">
        <f aca="false">IF(OR(NOT(ISNUMBER($H348)),NOT(ISNUMBER($I348)),$H348=0),"",$I348/$H348)</f>
        <v/>
      </c>
      <c r="K348" s="6"/>
      <c r="L348" s="8"/>
      <c r="M348" s="7"/>
      <c r="N348" s="7"/>
      <c r="O348" s="9" t="str">
        <f aca="false">IF(NOT(ISNUMBER($M348)),"",IF($L348="Fine earth / fine-earth volume",$M348*(1-IF(ISNUMBER($K348),$K348,0)/100),$M348))</f>
        <v/>
      </c>
      <c r="P348" s="9" t="str">
        <f aca="false">IF(OR(NOT(ISNUMBER($O348)),NOT(ISNUMBER($N348)),NOT(ISNUMBER($F348))),"",$O348*($N348/100)*$F348*10)</f>
        <v/>
      </c>
      <c r="Q348" s="9" t="str">
        <f aca="false">IF(OR(NOT(ISNUMBER($D348)),NOT(ISNUMBER($E348))),"",MAX(0,MIN($E348,SOIL_REPORTING_DEPTH_CM)-MIN($D348,SOIL_REPORTING_DEPTH_CM)))</f>
        <v/>
      </c>
      <c r="R348" s="9" t="str">
        <f aca="false">IF(OR(NOT(ISNUMBER($O348)),NOT(ISNUMBER($N348)),NOT(ISNUMBER($Q348))),"",$O348*($N348/100)*$Q348*10)</f>
        <v/>
      </c>
      <c r="S348" s="11" t="str">
        <f aca="false">IF(AND($A348="",$B348="",$D348=""),"",IF(AND($A348&lt;&gt;"",COUNTIF('1. Plot &amp; Site Log'!$A$5:$A$64,$A348)=0),"Plot ID not in the Plot &amp; Site Log. ","")&amp;IF(AND(ISNUMBER($D348),ISNUMBER($E348),$E348&lt;=$D348),"Bottom depth is not below top depth. ","")&amp;IF($L348="Not confirmed","Bulk-density basis not confirmed with the lab — the coarse-fragment correction may be wrong or doubled. ","")&amp;IF(LAB_BULK_DENSITY_BASIS="Not confirmed","No lab bulk-density basis is on file in Settings (LAB_BULK_DENSITY_BASIS), so nothing checks this row. ","")&amp;IF(AND($L348&lt;&gt;"",LAB_BULK_DENSITY_BASIS&lt;&gt;"Not confirmed",$L348&lt;&gt;LAB_BULK_DENSITY_BASIS),"This row's bulk-density basis disagrees with the lab method on file. One of "&amp;"the two is wrong, and the coarse-fragment correction follows the row. ","")&amp;IF(AND(ISNUMBER($M348),OR($M348&lt;QC_BD_MIN,$M348&gt;QC_BD_MAX)),"Bulk density outside the plausible range for a mineral grassland soil. ","")&amp;IF(AND(ISNUMBER($N348),$N348&gt;QC_CARBON_PCT_MAX),"Organic carbon above the QC ceiling — check units, and whether this is an organic horizon. ","")&amp;IF(AND(ISNUMBER($J348),$J348&lt;QC_RECOVERY_MIN),"Recovered less than the QC minimum of the depth driven — the increments may not sit where you think. Do NOT stretch them back out. ","")&amp;IF(AND(ISNUMBER($K348),$K348&gt;0,$L348="Fine earth / total volume"),"Coarse fragments recorded and the lab basis already accounts for them — no further correction applied, which is correct. ",""))</f>
        <v/>
      </c>
      <c r="T348" s="6"/>
      <c r="U348" s="9" t="n">
        <f aca="false">IF($B348="",0,IF(COUNTIFS($B$5:$B348,$B348)=1,1,0))</f>
        <v>0</v>
      </c>
    </row>
    <row r="349" customFormat="false" ht="15" hidden="false" customHeight="false" outlineLevel="0" collapsed="false">
      <c r="A349" s="6"/>
      <c r="B349" s="6"/>
      <c r="C349" s="6"/>
      <c r="D349" s="6"/>
      <c r="E349" s="6"/>
      <c r="F349" s="9" t="str">
        <f aca="false">IF(OR($D349="",$E349=""),"",$E349-$D349)</f>
        <v/>
      </c>
      <c r="G349" s="6"/>
      <c r="H349" s="6"/>
      <c r="I349" s="6"/>
      <c r="J349" s="9" t="str">
        <f aca="false">IF(OR(NOT(ISNUMBER($H349)),NOT(ISNUMBER($I349)),$H349=0),"",$I349/$H349)</f>
        <v/>
      </c>
      <c r="K349" s="6"/>
      <c r="L349" s="8"/>
      <c r="M349" s="7"/>
      <c r="N349" s="7"/>
      <c r="O349" s="9" t="str">
        <f aca="false">IF(NOT(ISNUMBER($M349)),"",IF($L349="Fine earth / fine-earth volume",$M349*(1-IF(ISNUMBER($K349),$K349,0)/100),$M349))</f>
        <v/>
      </c>
      <c r="P349" s="9" t="str">
        <f aca="false">IF(OR(NOT(ISNUMBER($O349)),NOT(ISNUMBER($N349)),NOT(ISNUMBER($F349))),"",$O349*($N349/100)*$F349*10)</f>
        <v/>
      </c>
      <c r="Q349" s="9" t="str">
        <f aca="false">IF(OR(NOT(ISNUMBER($D349)),NOT(ISNUMBER($E349))),"",MAX(0,MIN($E349,SOIL_REPORTING_DEPTH_CM)-MIN($D349,SOIL_REPORTING_DEPTH_CM)))</f>
        <v/>
      </c>
      <c r="R349" s="9" t="str">
        <f aca="false">IF(OR(NOT(ISNUMBER($O349)),NOT(ISNUMBER($N349)),NOT(ISNUMBER($Q349))),"",$O349*($N349/100)*$Q349*10)</f>
        <v/>
      </c>
      <c r="S349" s="11" t="str">
        <f aca="false">IF(AND($A349="",$B349="",$D349=""),"",IF(AND($A349&lt;&gt;"",COUNTIF('1. Plot &amp; Site Log'!$A$5:$A$64,$A349)=0),"Plot ID not in the Plot &amp; Site Log. ","")&amp;IF(AND(ISNUMBER($D349),ISNUMBER($E349),$E349&lt;=$D349),"Bottom depth is not below top depth. ","")&amp;IF($L349="Not confirmed","Bulk-density basis not confirmed with the lab — the coarse-fragment correction may be wrong or doubled. ","")&amp;IF(LAB_BULK_DENSITY_BASIS="Not confirmed","No lab bulk-density basis is on file in Settings (LAB_BULK_DENSITY_BASIS), so nothing checks this row. ","")&amp;IF(AND($L349&lt;&gt;"",LAB_BULK_DENSITY_BASIS&lt;&gt;"Not confirmed",$L349&lt;&gt;LAB_BULK_DENSITY_BASIS),"This row's bulk-density basis disagrees with the lab method on file. One of "&amp;"the two is wrong, and the coarse-fragment correction follows the row. ","")&amp;IF(AND(ISNUMBER($M349),OR($M349&lt;QC_BD_MIN,$M349&gt;QC_BD_MAX)),"Bulk density outside the plausible range for a mineral grassland soil. ","")&amp;IF(AND(ISNUMBER($N349),$N349&gt;QC_CARBON_PCT_MAX),"Organic carbon above the QC ceiling — check units, and whether this is an organic horizon. ","")&amp;IF(AND(ISNUMBER($J349),$J349&lt;QC_RECOVERY_MIN),"Recovered less than the QC minimum of the depth driven — the increments may not sit where you think. Do NOT stretch them back out. ","")&amp;IF(AND(ISNUMBER($K349),$K349&gt;0,$L349="Fine earth / total volume"),"Coarse fragments recorded and the lab basis already accounts for them — no further correction applied, which is correct. ",""))</f>
        <v/>
      </c>
      <c r="T349" s="6"/>
      <c r="U349" s="9" t="n">
        <f aca="false">IF($B349="",0,IF(COUNTIFS($B$5:$B349,$B349)=1,1,0))</f>
        <v>0</v>
      </c>
    </row>
    <row r="350" customFormat="false" ht="15" hidden="false" customHeight="false" outlineLevel="0" collapsed="false">
      <c r="A350" s="6"/>
      <c r="B350" s="6"/>
      <c r="C350" s="6"/>
      <c r="D350" s="6"/>
      <c r="E350" s="6"/>
      <c r="F350" s="9" t="str">
        <f aca="false">IF(OR($D350="",$E350=""),"",$E350-$D350)</f>
        <v/>
      </c>
      <c r="G350" s="6"/>
      <c r="H350" s="6"/>
      <c r="I350" s="6"/>
      <c r="J350" s="9" t="str">
        <f aca="false">IF(OR(NOT(ISNUMBER($H350)),NOT(ISNUMBER($I350)),$H350=0),"",$I350/$H350)</f>
        <v/>
      </c>
      <c r="K350" s="6"/>
      <c r="L350" s="8"/>
      <c r="M350" s="7"/>
      <c r="N350" s="7"/>
      <c r="O350" s="9" t="str">
        <f aca="false">IF(NOT(ISNUMBER($M350)),"",IF($L350="Fine earth / fine-earth volume",$M350*(1-IF(ISNUMBER($K350),$K350,0)/100),$M350))</f>
        <v/>
      </c>
      <c r="P350" s="9" t="str">
        <f aca="false">IF(OR(NOT(ISNUMBER($O350)),NOT(ISNUMBER($N350)),NOT(ISNUMBER($F350))),"",$O350*($N350/100)*$F350*10)</f>
        <v/>
      </c>
      <c r="Q350" s="9" t="str">
        <f aca="false">IF(OR(NOT(ISNUMBER($D350)),NOT(ISNUMBER($E350))),"",MAX(0,MIN($E350,SOIL_REPORTING_DEPTH_CM)-MIN($D350,SOIL_REPORTING_DEPTH_CM)))</f>
        <v/>
      </c>
      <c r="R350" s="9" t="str">
        <f aca="false">IF(OR(NOT(ISNUMBER($O350)),NOT(ISNUMBER($N350)),NOT(ISNUMBER($Q350))),"",$O350*($N350/100)*$Q350*10)</f>
        <v/>
      </c>
      <c r="S350" s="11" t="str">
        <f aca="false">IF(AND($A350="",$B350="",$D350=""),"",IF(AND($A350&lt;&gt;"",COUNTIF('1. Plot &amp; Site Log'!$A$5:$A$64,$A350)=0),"Plot ID not in the Plot &amp; Site Log. ","")&amp;IF(AND(ISNUMBER($D350),ISNUMBER($E350),$E350&lt;=$D350),"Bottom depth is not below top depth. ","")&amp;IF($L350="Not confirmed","Bulk-density basis not confirmed with the lab — the coarse-fragment correction may be wrong or doubled. ","")&amp;IF(LAB_BULK_DENSITY_BASIS="Not confirmed","No lab bulk-density basis is on file in Settings (LAB_BULK_DENSITY_BASIS), so nothing checks this row. ","")&amp;IF(AND($L350&lt;&gt;"",LAB_BULK_DENSITY_BASIS&lt;&gt;"Not confirmed",$L350&lt;&gt;LAB_BULK_DENSITY_BASIS),"This row's bulk-density basis disagrees with the lab method on file. One of "&amp;"the two is wrong, and the coarse-fragment correction follows the row. ","")&amp;IF(AND(ISNUMBER($M350),OR($M350&lt;QC_BD_MIN,$M350&gt;QC_BD_MAX)),"Bulk density outside the plausible range for a mineral grassland soil. ","")&amp;IF(AND(ISNUMBER($N350),$N350&gt;QC_CARBON_PCT_MAX),"Organic carbon above the QC ceiling — check units, and whether this is an organic horizon. ","")&amp;IF(AND(ISNUMBER($J350),$J350&lt;QC_RECOVERY_MIN),"Recovered less than the QC minimum of the depth driven — the increments may not sit where you think. Do NOT stretch them back out. ","")&amp;IF(AND(ISNUMBER($K350),$K350&gt;0,$L350="Fine earth / total volume"),"Coarse fragments recorded and the lab basis already accounts for them — no further correction applied, which is correct. ",""))</f>
        <v/>
      </c>
      <c r="T350" s="6"/>
      <c r="U350" s="9" t="n">
        <f aca="false">IF($B350="",0,IF(COUNTIFS($B$5:$B350,$B350)=1,1,0))</f>
        <v>0</v>
      </c>
    </row>
    <row r="351" customFormat="false" ht="15" hidden="false" customHeight="false" outlineLevel="0" collapsed="false">
      <c r="A351" s="6"/>
      <c r="B351" s="6"/>
      <c r="C351" s="6"/>
      <c r="D351" s="6"/>
      <c r="E351" s="6"/>
      <c r="F351" s="9" t="str">
        <f aca="false">IF(OR($D351="",$E351=""),"",$E351-$D351)</f>
        <v/>
      </c>
      <c r="G351" s="6"/>
      <c r="H351" s="6"/>
      <c r="I351" s="6"/>
      <c r="J351" s="9" t="str">
        <f aca="false">IF(OR(NOT(ISNUMBER($H351)),NOT(ISNUMBER($I351)),$H351=0),"",$I351/$H351)</f>
        <v/>
      </c>
      <c r="K351" s="6"/>
      <c r="L351" s="8"/>
      <c r="M351" s="7"/>
      <c r="N351" s="7"/>
      <c r="O351" s="9" t="str">
        <f aca="false">IF(NOT(ISNUMBER($M351)),"",IF($L351="Fine earth / fine-earth volume",$M351*(1-IF(ISNUMBER($K351),$K351,0)/100),$M351))</f>
        <v/>
      </c>
      <c r="P351" s="9" t="str">
        <f aca="false">IF(OR(NOT(ISNUMBER($O351)),NOT(ISNUMBER($N351)),NOT(ISNUMBER($F351))),"",$O351*($N351/100)*$F351*10)</f>
        <v/>
      </c>
      <c r="Q351" s="9" t="str">
        <f aca="false">IF(OR(NOT(ISNUMBER($D351)),NOT(ISNUMBER($E351))),"",MAX(0,MIN($E351,SOIL_REPORTING_DEPTH_CM)-MIN($D351,SOIL_REPORTING_DEPTH_CM)))</f>
        <v/>
      </c>
      <c r="R351" s="9" t="str">
        <f aca="false">IF(OR(NOT(ISNUMBER($O351)),NOT(ISNUMBER($N351)),NOT(ISNUMBER($Q351))),"",$O351*($N351/100)*$Q351*10)</f>
        <v/>
      </c>
      <c r="S351" s="11" t="str">
        <f aca="false">IF(AND($A351="",$B351="",$D351=""),"",IF(AND($A351&lt;&gt;"",COUNTIF('1. Plot &amp; Site Log'!$A$5:$A$64,$A351)=0),"Plot ID not in the Plot &amp; Site Log. ","")&amp;IF(AND(ISNUMBER($D351),ISNUMBER($E351),$E351&lt;=$D351),"Bottom depth is not below top depth. ","")&amp;IF($L351="Not confirmed","Bulk-density basis not confirmed with the lab — the coarse-fragment correction may be wrong or doubled. ","")&amp;IF(LAB_BULK_DENSITY_BASIS="Not confirmed","No lab bulk-density basis is on file in Settings (LAB_BULK_DENSITY_BASIS), so nothing checks this row. ","")&amp;IF(AND($L351&lt;&gt;"",LAB_BULK_DENSITY_BASIS&lt;&gt;"Not confirmed",$L351&lt;&gt;LAB_BULK_DENSITY_BASIS),"This row's bulk-density basis disagrees with the lab method on file. One of "&amp;"the two is wrong, and the coarse-fragment correction follows the row. ","")&amp;IF(AND(ISNUMBER($M351),OR($M351&lt;QC_BD_MIN,$M351&gt;QC_BD_MAX)),"Bulk density outside the plausible range for a mineral grassland soil. ","")&amp;IF(AND(ISNUMBER($N351),$N351&gt;QC_CARBON_PCT_MAX),"Organic carbon above the QC ceiling — check units, and whether this is an organic horizon. ","")&amp;IF(AND(ISNUMBER($J351),$J351&lt;QC_RECOVERY_MIN),"Recovered less than the QC minimum of the depth driven — the increments may not sit where you think. Do NOT stretch them back out. ","")&amp;IF(AND(ISNUMBER($K351),$K351&gt;0,$L351="Fine earth / total volume"),"Coarse fragments recorded and the lab basis already accounts for them — no further correction applied, which is correct. ",""))</f>
        <v/>
      </c>
      <c r="T351" s="6"/>
      <c r="U351" s="9" t="n">
        <f aca="false">IF($B351="",0,IF(COUNTIFS($B$5:$B351,$B351)=1,1,0))</f>
        <v>0</v>
      </c>
    </row>
    <row r="352" customFormat="false" ht="15" hidden="false" customHeight="false" outlineLevel="0" collapsed="false">
      <c r="A352" s="6"/>
      <c r="B352" s="6"/>
      <c r="C352" s="6"/>
      <c r="D352" s="6"/>
      <c r="E352" s="6"/>
      <c r="F352" s="9" t="str">
        <f aca="false">IF(OR($D352="",$E352=""),"",$E352-$D352)</f>
        <v/>
      </c>
      <c r="G352" s="6"/>
      <c r="H352" s="6"/>
      <c r="I352" s="6"/>
      <c r="J352" s="9" t="str">
        <f aca="false">IF(OR(NOT(ISNUMBER($H352)),NOT(ISNUMBER($I352)),$H352=0),"",$I352/$H352)</f>
        <v/>
      </c>
      <c r="K352" s="6"/>
      <c r="L352" s="8"/>
      <c r="M352" s="7"/>
      <c r="N352" s="7"/>
      <c r="O352" s="9" t="str">
        <f aca="false">IF(NOT(ISNUMBER($M352)),"",IF($L352="Fine earth / fine-earth volume",$M352*(1-IF(ISNUMBER($K352),$K352,0)/100),$M352))</f>
        <v/>
      </c>
      <c r="P352" s="9" t="str">
        <f aca="false">IF(OR(NOT(ISNUMBER($O352)),NOT(ISNUMBER($N352)),NOT(ISNUMBER($F352))),"",$O352*($N352/100)*$F352*10)</f>
        <v/>
      </c>
      <c r="Q352" s="9" t="str">
        <f aca="false">IF(OR(NOT(ISNUMBER($D352)),NOT(ISNUMBER($E352))),"",MAX(0,MIN($E352,SOIL_REPORTING_DEPTH_CM)-MIN($D352,SOIL_REPORTING_DEPTH_CM)))</f>
        <v/>
      </c>
      <c r="R352" s="9" t="str">
        <f aca="false">IF(OR(NOT(ISNUMBER($O352)),NOT(ISNUMBER($N352)),NOT(ISNUMBER($Q352))),"",$O352*($N352/100)*$Q352*10)</f>
        <v/>
      </c>
      <c r="S352" s="11" t="str">
        <f aca="false">IF(AND($A352="",$B352="",$D352=""),"",IF(AND($A352&lt;&gt;"",COUNTIF('1. Plot &amp; Site Log'!$A$5:$A$64,$A352)=0),"Plot ID not in the Plot &amp; Site Log. ","")&amp;IF(AND(ISNUMBER($D352),ISNUMBER($E352),$E352&lt;=$D352),"Bottom depth is not below top depth. ","")&amp;IF($L352="Not confirmed","Bulk-density basis not confirmed with the lab — the coarse-fragment correction may be wrong or doubled. ","")&amp;IF(LAB_BULK_DENSITY_BASIS="Not confirmed","No lab bulk-density basis is on file in Settings (LAB_BULK_DENSITY_BASIS), so nothing checks this row. ","")&amp;IF(AND($L352&lt;&gt;"",LAB_BULK_DENSITY_BASIS&lt;&gt;"Not confirmed",$L352&lt;&gt;LAB_BULK_DENSITY_BASIS),"This row's bulk-density basis disagrees with the lab method on file. One of "&amp;"the two is wrong, and the coarse-fragment correction follows the row. ","")&amp;IF(AND(ISNUMBER($M352),OR($M352&lt;QC_BD_MIN,$M352&gt;QC_BD_MAX)),"Bulk density outside the plausible range for a mineral grassland soil. ","")&amp;IF(AND(ISNUMBER($N352),$N352&gt;QC_CARBON_PCT_MAX),"Organic carbon above the QC ceiling — check units, and whether this is an organic horizon. ","")&amp;IF(AND(ISNUMBER($J352),$J352&lt;QC_RECOVERY_MIN),"Recovered less than the QC minimum of the depth driven — the increments may not sit where you think. Do NOT stretch them back out. ","")&amp;IF(AND(ISNUMBER($K352),$K352&gt;0,$L352="Fine earth / total volume"),"Coarse fragments recorded and the lab basis already accounts for them — no further correction applied, which is correct. ",""))</f>
        <v/>
      </c>
      <c r="T352" s="6"/>
      <c r="U352" s="9" t="n">
        <f aca="false">IF($B352="",0,IF(COUNTIFS($B$5:$B352,$B352)=1,1,0))</f>
        <v>0</v>
      </c>
    </row>
    <row r="353" customFormat="false" ht="15" hidden="false" customHeight="false" outlineLevel="0" collapsed="false">
      <c r="A353" s="6"/>
      <c r="B353" s="6"/>
      <c r="C353" s="6"/>
      <c r="D353" s="6"/>
      <c r="E353" s="6"/>
      <c r="F353" s="9" t="str">
        <f aca="false">IF(OR($D353="",$E353=""),"",$E353-$D353)</f>
        <v/>
      </c>
      <c r="G353" s="6"/>
      <c r="H353" s="6"/>
      <c r="I353" s="6"/>
      <c r="J353" s="9" t="str">
        <f aca="false">IF(OR(NOT(ISNUMBER($H353)),NOT(ISNUMBER($I353)),$H353=0),"",$I353/$H353)</f>
        <v/>
      </c>
      <c r="K353" s="6"/>
      <c r="L353" s="8"/>
      <c r="M353" s="7"/>
      <c r="N353" s="7"/>
      <c r="O353" s="9" t="str">
        <f aca="false">IF(NOT(ISNUMBER($M353)),"",IF($L353="Fine earth / fine-earth volume",$M353*(1-IF(ISNUMBER($K353),$K353,0)/100),$M353))</f>
        <v/>
      </c>
      <c r="P353" s="9" t="str">
        <f aca="false">IF(OR(NOT(ISNUMBER($O353)),NOT(ISNUMBER($N353)),NOT(ISNUMBER($F353))),"",$O353*($N353/100)*$F353*10)</f>
        <v/>
      </c>
      <c r="Q353" s="9" t="str">
        <f aca="false">IF(OR(NOT(ISNUMBER($D353)),NOT(ISNUMBER($E353))),"",MAX(0,MIN($E353,SOIL_REPORTING_DEPTH_CM)-MIN($D353,SOIL_REPORTING_DEPTH_CM)))</f>
        <v/>
      </c>
      <c r="R353" s="9" t="str">
        <f aca="false">IF(OR(NOT(ISNUMBER($O353)),NOT(ISNUMBER($N353)),NOT(ISNUMBER($Q353))),"",$O353*($N353/100)*$Q353*10)</f>
        <v/>
      </c>
      <c r="S353" s="11" t="str">
        <f aca="false">IF(AND($A353="",$B353="",$D353=""),"",IF(AND($A353&lt;&gt;"",COUNTIF('1. Plot &amp; Site Log'!$A$5:$A$64,$A353)=0),"Plot ID not in the Plot &amp; Site Log. ","")&amp;IF(AND(ISNUMBER($D353),ISNUMBER($E353),$E353&lt;=$D353),"Bottom depth is not below top depth. ","")&amp;IF($L353="Not confirmed","Bulk-density basis not confirmed with the lab — the coarse-fragment correction may be wrong or doubled. ","")&amp;IF(LAB_BULK_DENSITY_BASIS="Not confirmed","No lab bulk-density basis is on file in Settings (LAB_BULK_DENSITY_BASIS), so nothing checks this row. ","")&amp;IF(AND($L353&lt;&gt;"",LAB_BULK_DENSITY_BASIS&lt;&gt;"Not confirmed",$L353&lt;&gt;LAB_BULK_DENSITY_BASIS),"This row's bulk-density basis disagrees with the lab method on file. One of "&amp;"the two is wrong, and the coarse-fragment correction follows the row. ","")&amp;IF(AND(ISNUMBER($M353),OR($M353&lt;QC_BD_MIN,$M353&gt;QC_BD_MAX)),"Bulk density outside the plausible range for a mineral grassland soil. ","")&amp;IF(AND(ISNUMBER($N353),$N353&gt;QC_CARBON_PCT_MAX),"Organic carbon above the QC ceiling — check units, and whether this is an organic horizon. ","")&amp;IF(AND(ISNUMBER($J353),$J353&lt;QC_RECOVERY_MIN),"Recovered less than the QC minimum of the depth driven — the increments may not sit where you think. Do NOT stretch them back out. ","")&amp;IF(AND(ISNUMBER($K353),$K353&gt;0,$L353="Fine earth / total volume"),"Coarse fragments recorded and the lab basis already accounts for them — no further correction applied, which is correct. ",""))</f>
        <v/>
      </c>
      <c r="T353" s="6"/>
      <c r="U353" s="9" t="n">
        <f aca="false">IF($B353="",0,IF(COUNTIFS($B$5:$B353,$B353)=1,1,0))</f>
        <v>0</v>
      </c>
    </row>
    <row r="354" customFormat="false" ht="15" hidden="false" customHeight="false" outlineLevel="0" collapsed="false">
      <c r="A354" s="6"/>
      <c r="B354" s="6"/>
      <c r="C354" s="6"/>
      <c r="D354" s="6"/>
      <c r="E354" s="6"/>
      <c r="F354" s="9" t="str">
        <f aca="false">IF(OR($D354="",$E354=""),"",$E354-$D354)</f>
        <v/>
      </c>
      <c r="G354" s="6"/>
      <c r="H354" s="6"/>
      <c r="I354" s="6"/>
      <c r="J354" s="9" t="str">
        <f aca="false">IF(OR(NOT(ISNUMBER($H354)),NOT(ISNUMBER($I354)),$H354=0),"",$I354/$H354)</f>
        <v/>
      </c>
      <c r="K354" s="6"/>
      <c r="L354" s="8"/>
      <c r="M354" s="7"/>
      <c r="N354" s="7"/>
      <c r="O354" s="9" t="str">
        <f aca="false">IF(NOT(ISNUMBER($M354)),"",IF($L354="Fine earth / fine-earth volume",$M354*(1-IF(ISNUMBER($K354),$K354,0)/100),$M354))</f>
        <v/>
      </c>
      <c r="P354" s="9" t="str">
        <f aca="false">IF(OR(NOT(ISNUMBER($O354)),NOT(ISNUMBER($N354)),NOT(ISNUMBER($F354))),"",$O354*($N354/100)*$F354*10)</f>
        <v/>
      </c>
      <c r="Q354" s="9" t="str">
        <f aca="false">IF(OR(NOT(ISNUMBER($D354)),NOT(ISNUMBER($E354))),"",MAX(0,MIN($E354,SOIL_REPORTING_DEPTH_CM)-MIN($D354,SOIL_REPORTING_DEPTH_CM)))</f>
        <v/>
      </c>
      <c r="R354" s="9" t="str">
        <f aca="false">IF(OR(NOT(ISNUMBER($O354)),NOT(ISNUMBER($N354)),NOT(ISNUMBER($Q354))),"",$O354*($N354/100)*$Q354*10)</f>
        <v/>
      </c>
      <c r="S354" s="11" t="str">
        <f aca="false">IF(AND($A354="",$B354="",$D354=""),"",IF(AND($A354&lt;&gt;"",COUNTIF('1. Plot &amp; Site Log'!$A$5:$A$64,$A354)=0),"Plot ID not in the Plot &amp; Site Log. ","")&amp;IF(AND(ISNUMBER($D354),ISNUMBER($E354),$E354&lt;=$D354),"Bottom depth is not below top depth. ","")&amp;IF($L354="Not confirmed","Bulk-density basis not confirmed with the lab — the coarse-fragment correction may be wrong or doubled. ","")&amp;IF(LAB_BULK_DENSITY_BASIS="Not confirmed","No lab bulk-density basis is on file in Settings (LAB_BULK_DENSITY_BASIS), so nothing checks this row. ","")&amp;IF(AND($L354&lt;&gt;"",LAB_BULK_DENSITY_BASIS&lt;&gt;"Not confirmed",$L354&lt;&gt;LAB_BULK_DENSITY_BASIS),"This row's bulk-density basis disagrees with the lab method on file. One of "&amp;"the two is wrong, and the coarse-fragment correction follows the row. ","")&amp;IF(AND(ISNUMBER($M354),OR($M354&lt;QC_BD_MIN,$M354&gt;QC_BD_MAX)),"Bulk density outside the plausible range for a mineral grassland soil. ","")&amp;IF(AND(ISNUMBER($N354),$N354&gt;QC_CARBON_PCT_MAX),"Organic carbon above the QC ceiling — check units, and whether this is an organic horizon. ","")&amp;IF(AND(ISNUMBER($J354),$J354&lt;QC_RECOVERY_MIN),"Recovered less than the QC minimum of the depth driven — the increments may not sit where you think. Do NOT stretch them back out. ","")&amp;IF(AND(ISNUMBER($K354),$K354&gt;0,$L354="Fine earth / total volume"),"Coarse fragments recorded and the lab basis already accounts for them — no further correction applied, which is correct. ",""))</f>
        <v/>
      </c>
      <c r="T354" s="6"/>
      <c r="U354" s="9" t="n">
        <f aca="false">IF($B354="",0,IF(COUNTIFS($B$5:$B354,$B354)=1,1,0))</f>
        <v>0</v>
      </c>
    </row>
    <row r="355" customFormat="false" ht="15" hidden="false" customHeight="false" outlineLevel="0" collapsed="false">
      <c r="A355" s="6"/>
      <c r="B355" s="6"/>
      <c r="C355" s="6"/>
      <c r="D355" s="6"/>
      <c r="E355" s="6"/>
      <c r="F355" s="9" t="str">
        <f aca="false">IF(OR($D355="",$E355=""),"",$E355-$D355)</f>
        <v/>
      </c>
      <c r="G355" s="6"/>
      <c r="H355" s="6"/>
      <c r="I355" s="6"/>
      <c r="J355" s="9" t="str">
        <f aca="false">IF(OR(NOT(ISNUMBER($H355)),NOT(ISNUMBER($I355)),$H355=0),"",$I355/$H355)</f>
        <v/>
      </c>
      <c r="K355" s="6"/>
      <c r="L355" s="8"/>
      <c r="M355" s="7"/>
      <c r="N355" s="7"/>
      <c r="O355" s="9" t="str">
        <f aca="false">IF(NOT(ISNUMBER($M355)),"",IF($L355="Fine earth / fine-earth volume",$M355*(1-IF(ISNUMBER($K355),$K355,0)/100),$M355))</f>
        <v/>
      </c>
      <c r="P355" s="9" t="str">
        <f aca="false">IF(OR(NOT(ISNUMBER($O355)),NOT(ISNUMBER($N355)),NOT(ISNUMBER($F355))),"",$O355*($N355/100)*$F355*10)</f>
        <v/>
      </c>
      <c r="Q355" s="9" t="str">
        <f aca="false">IF(OR(NOT(ISNUMBER($D355)),NOT(ISNUMBER($E355))),"",MAX(0,MIN($E355,SOIL_REPORTING_DEPTH_CM)-MIN($D355,SOIL_REPORTING_DEPTH_CM)))</f>
        <v/>
      </c>
      <c r="R355" s="9" t="str">
        <f aca="false">IF(OR(NOT(ISNUMBER($O355)),NOT(ISNUMBER($N355)),NOT(ISNUMBER($Q355))),"",$O355*($N355/100)*$Q355*10)</f>
        <v/>
      </c>
      <c r="S355" s="11" t="str">
        <f aca="false">IF(AND($A355="",$B355="",$D355=""),"",IF(AND($A355&lt;&gt;"",COUNTIF('1. Plot &amp; Site Log'!$A$5:$A$64,$A355)=0),"Plot ID not in the Plot &amp; Site Log. ","")&amp;IF(AND(ISNUMBER($D355),ISNUMBER($E355),$E355&lt;=$D355),"Bottom depth is not below top depth. ","")&amp;IF($L355="Not confirmed","Bulk-density basis not confirmed with the lab — the coarse-fragment correction may be wrong or doubled. ","")&amp;IF(LAB_BULK_DENSITY_BASIS="Not confirmed","No lab bulk-density basis is on file in Settings (LAB_BULK_DENSITY_BASIS), so nothing checks this row. ","")&amp;IF(AND($L355&lt;&gt;"",LAB_BULK_DENSITY_BASIS&lt;&gt;"Not confirmed",$L355&lt;&gt;LAB_BULK_DENSITY_BASIS),"This row's bulk-density basis disagrees with the lab method on file. One of "&amp;"the two is wrong, and the coarse-fragment correction follows the row. ","")&amp;IF(AND(ISNUMBER($M355),OR($M355&lt;QC_BD_MIN,$M355&gt;QC_BD_MAX)),"Bulk density outside the plausible range for a mineral grassland soil. ","")&amp;IF(AND(ISNUMBER($N355),$N355&gt;QC_CARBON_PCT_MAX),"Organic carbon above the QC ceiling — check units, and whether this is an organic horizon. ","")&amp;IF(AND(ISNUMBER($J355),$J355&lt;QC_RECOVERY_MIN),"Recovered less than the QC minimum of the depth driven — the increments may not sit where you think. Do NOT stretch them back out. ","")&amp;IF(AND(ISNUMBER($K355),$K355&gt;0,$L355="Fine earth / total volume"),"Coarse fragments recorded and the lab basis already accounts for them — no further correction applied, which is correct. ",""))</f>
        <v/>
      </c>
      <c r="T355" s="6"/>
      <c r="U355" s="9" t="n">
        <f aca="false">IF($B355="",0,IF(COUNTIFS($B$5:$B355,$B355)=1,1,0))</f>
        <v>0</v>
      </c>
    </row>
    <row r="356" customFormat="false" ht="15" hidden="false" customHeight="false" outlineLevel="0" collapsed="false">
      <c r="A356" s="6"/>
      <c r="B356" s="6"/>
      <c r="C356" s="6"/>
      <c r="D356" s="6"/>
      <c r="E356" s="6"/>
      <c r="F356" s="9" t="str">
        <f aca="false">IF(OR($D356="",$E356=""),"",$E356-$D356)</f>
        <v/>
      </c>
      <c r="G356" s="6"/>
      <c r="H356" s="6"/>
      <c r="I356" s="6"/>
      <c r="J356" s="9" t="str">
        <f aca="false">IF(OR(NOT(ISNUMBER($H356)),NOT(ISNUMBER($I356)),$H356=0),"",$I356/$H356)</f>
        <v/>
      </c>
      <c r="K356" s="6"/>
      <c r="L356" s="8"/>
      <c r="M356" s="7"/>
      <c r="N356" s="7"/>
      <c r="O356" s="9" t="str">
        <f aca="false">IF(NOT(ISNUMBER($M356)),"",IF($L356="Fine earth / fine-earth volume",$M356*(1-IF(ISNUMBER($K356),$K356,0)/100),$M356))</f>
        <v/>
      </c>
      <c r="P356" s="9" t="str">
        <f aca="false">IF(OR(NOT(ISNUMBER($O356)),NOT(ISNUMBER($N356)),NOT(ISNUMBER($F356))),"",$O356*($N356/100)*$F356*10)</f>
        <v/>
      </c>
      <c r="Q356" s="9" t="str">
        <f aca="false">IF(OR(NOT(ISNUMBER($D356)),NOT(ISNUMBER($E356))),"",MAX(0,MIN($E356,SOIL_REPORTING_DEPTH_CM)-MIN($D356,SOIL_REPORTING_DEPTH_CM)))</f>
        <v/>
      </c>
      <c r="R356" s="9" t="str">
        <f aca="false">IF(OR(NOT(ISNUMBER($O356)),NOT(ISNUMBER($N356)),NOT(ISNUMBER($Q356))),"",$O356*($N356/100)*$Q356*10)</f>
        <v/>
      </c>
      <c r="S356" s="11" t="str">
        <f aca="false">IF(AND($A356="",$B356="",$D356=""),"",IF(AND($A356&lt;&gt;"",COUNTIF('1. Plot &amp; Site Log'!$A$5:$A$64,$A356)=0),"Plot ID not in the Plot &amp; Site Log. ","")&amp;IF(AND(ISNUMBER($D356),ISNUMBER($E356),$E356&lt;=$D356),"Bottom depth is not below top depth. ","")&amp;IF($L356="Not confirmed","Bulk-density basis not confirmed with the lab — the coarse-fragment correction may be wrong or doubled. ","")&amp;IF(LAB_BULK_DENSITY_BASIS="Not confirmed","No lab bulk-density basis is on file in Settings (LAB_BULK_DENSITY_BASIS), so nothing checks this row. ","")&amp;IF(AND($L356&lt;&gt;"",LAB_BULK_DENSITY_BASIS&lt;&gt;"Not confirmed",$L356&lt;&gt;LAB_BULK_DENSITY_BASIS),"This row's bulk-density basis disagrees with the lab method on file. One of "&amp;"the two is wrong, and the coarse-fragment correction follows the row. ","")&amp;IF(AND(ISNUMBER($M356),OR($M356&lt;QC_BD_MIN,$M356&gt;QC_BD_MAX)),"Bulk density outside the plausible range for a mineral grassland soil. ","")&amp;IF(AND(ISNUMBER($N356),$N356&gt;QC_CARBON_PCT_MAX),"Organic carbon above the QC ceiling — check units, and whether this is an organic horizon. ","")&amp;IF(AND(ISNUMBER($J356),$J356&lt;QC_RECOVERY_MIN),"Recovered less than the QC minimum of the depth driven — the increments may not sit where you think. Do NOT stretch them back out. ","")&amp;IF(AND(ISNUMBER($K356),$K356&gt;0,$L356="Fine earth / total volume"),"Coarse fragments recorded and the lab basis already accounts for them — no further correction applied, which is correct. ",""))</f>
        <v/>
      </c>
      <c r="T356" s="6"/>
      <c r="U356" s="9" t="n">
        <f aca="false">IF($B356="",0,IF(COUNTIFS($B$5:$B356,$B356)=1,1,0))</f>
        <v>0</v>
      </c>
    </row>
    <row r="357" customFormat="false" ht="15" hidden="false" customHeight="false" outlineLevel="0" collapsed="false">
      <c r="A357" s="6"/>
      <c r="B357" s="6"/>
      <c r="C357" s="6"/>
      <c r="D357" s="6"/>
      <c r="E357" s="6"/>
      <c r="F357" s="9" t="str">
        <f aca="false">IF(OR($D357="",$E357=""),"",$E357-$D357)</f>
        <v/>
      </c>
      <c r="G357" s="6"/>
      <c r="H357" s="6"/>
      <c r="I357" s="6"/>
      <c r="J357" s="9" t="str">
        <f aca="false">IF(OR(NOT(ISNUMBER($H357)),NOT(ISNUMBER($I357)),$H357=0),"",$I357/$H357)</f>
        <v/>
      </c>
      <c r="K357" s="6"/>
      <c r="L357" s="8"/>
      <c r="M357" s="7"/>
      <c r="N357" s="7"/>
      <c r="O357" s="9" t="str">
        <f aca="false">IF(NOT(ISNUMBER($M357)),"",IF($L357="Fine earth / fine-earth volume",$M357*(1-IF(ISNUMBER($K357),$K357,0)/100),$M357))</f>
        <v/>
      </c>
      <c r="P357" s="9" t="str">
        <f aca="false">IF(OR(NOT(ISNUMBER($O357)),NOT(ISNUMBER($N357)),NOT(ISNUMBER($F357))),"",$O357*($N357/100)*$F357*10)</f>
        <v/>
      </c>
      <c r="Q357" s="9" t="str">
        <f aca="false">IF(OR(NOT(ISNUMBER($D357)),NOT(ISNUMBER($E357))),"",MAX(0,MIN($E357,SOIL_REPORTING_DEPTH_CM)-MIN($D357,SOIL_REPORTING_DEPTH_CM)))</f>
        <v/>
      </c>
      <c r="R357" s="9" t="str">
        <f aca="false">IF(OR(NOT(ISNUMBER($O357)),NOT(ISNUMBER($N357)),NOT(ISNUMBER($Q357))),"",$O357*($N357/100)*$Q357*10)</f>
        <v/>
      </c>
      <c r="S357" s="11" t="str">
        <f aca="false">IF(AND($A357="",$B357="",$D357=""),"",IF(AND($A357&lt;&gt;"",COUNTIF('1. Plot &amp; Site Log'!$A$5:$A$64,$A357)=0),"Plot ID not in the Plot &amp; Site Log. ","")&amp;IF(AND(ISNUMBER($D357),ISNUMBER($E357),$E357&lt;=$D357),"Bottom depth is not below top depth. ","")&amp;IF($L357="Not confirmed","Bulk-density basis not confirmed with the lab — the coarse-fragment correction may be wrong or doubled. ","")&amp;IF(LAB_BULK_DENSITY_BASIS="Not confirmed","No lab bulk-density basis is on file in Settings (LAB_BULK_DENSITY_BASIS), so nothing checks this row. ","")&amp;IF(AND($L357&lt;&gt;"",LAB_BULK_DENSITY_BASIS&lt;&gt;"Not confirmed",$L357&lt;&gt;LAB_BULK_DENSITY_BASIS),"This row's bulk-density basis disagrees with the lab method on file. One of "&amp;"the two is wrong, and the coarse-fragment correction follows the row. ","")&amp;IF(AND(ISNUMBER($M357),OR($M357&lt;QC_BD_MIN,$M357&gt;QC_BD_MAX)),"Bulk density outside the plausible range for a mineral grassland soil. ","")&amp;IF(AND(ISNUMBER($N357),$N357&gt;QC_CARBON_PCT_MAX),"Organic carbon above the QC ceiling — check units, and whether this is an organic horizon. ","")&amp;IF(AND(ISNUMBER($J357),$J357&lt;QC_RECOVERY_MIN),"Recovered less than the QC minimum of the depth driven — the increments may not sit where you think. Do NOT stretch them back out. ","")&amp;IF(AND(ISNUMBER($K357),$K357&gt;0,$L357="Fine earth / total volume"),"Coarse fragments recorded and the lab basis already accounts for them — no further correction applied, which is correct. ",""))</f>
        <v/>
      </c>
      <c r="T357" s="6"/>
      <c r="U357" s="9" t="n">
        <f aca="false">IF($B357="",0,IF(COUNTIFS($B$5:$B357,$B357)=1,1,0))</f>
        <v>0</v>
      </c>
    </row>
    <row r="358" customFormat="false" ht="15" hidden="false" customHeight="false" outlineLevel="0" collapsed="false">
      <c r="A358" s="6"/>
      <c r="B358" s="6"/>
      <c r="C358" s="6"/>
      <c r="D358" s="6"/>
      <c r="E358" s="6"/>
      <c r="F358" s="9" t="str">
        <f aca="false">IF(OR($D358="",$E358=""),"",$E358-$D358)</f>
        <v/>
      </c>
      <c r="G358" s="6"/>
      <c r="H358" s="6"/>
      <c r="I358" s="6"/>
      <c r="J358" s="9" t="str">
        <f aca="false">IF(OR(NOT(ISNUMBER($H358)),NOT(ISNUMBER($I358)),$H358=0),"",$I358/$H358)</f>
        <v/>
      </c>
      <c r="K358" s="6"/>
      <c r="L358" s="8"/>
      <c r="M358" s="7"/>
      <c r="N358" s="7"/>
      <c r="O358" s="9" t="str">
        <f aca="false">IF(NOT(ISNUMBER($M358)),"",IF($L358="Fine earth / fine-earth volume",$M358*(1-IF(ISNUMBER($K358),$K358,0)/100),$M358))</f>
        <v/>
      </c>
      <c r="P358" s="9" t="str">
        <f aca="false">IF(OR(NOT(ISNUMBER($O358)),NOT(ISNUMBER($N358)),NOT(ISNUMBER($F358))),"",$O358*($N358/100)*$F358*10)</f>
        <v/>
      </c>
      <c r="Q358" s="9" t="str">
        <f aca="false">IF(OR(NOT(ISNUMBER($D358)),NOT(ISNUMBER($E358))),"",MAX(0,MIN($E358,SOIL_REPORTING_DEPTH_CM)-MIN($D358,SOIL_REPORTING_DEPTH_CM)))</f>
        <v/>
      </c>
      <c r="R358" s="9" t="str">
        <f aca="false">IF(OR(NOT(ISNUMBER($O358)),NOT(ISNUMBER($N358)),NOT(ISNUMBER($Q358))),"",$O358*($N358/100)*$Q358*10)</f>
        <v/>
      </c>
      <c r="S358" s="11" t="str">
        <f aca="false">IF(AND($A358="",$B358="",$D358=""),"",IF(AND($A358&lt;&gt;"",COUNTIF('1. Plot &amp; Site Log'!$A$5:$A$64,$A358)=0),"Plot ID not in the Plot &amp; Site Log. ","")&amp;IF(AND(ISNUMBER($D358),ISNUMBER($E358),$E358&lt;=$D358),"Bottom depth is not below top depth. ","")&amp;IF($L358="Not confirmed","Bulk-density basis not confirmed with the lab — the coarse-fragment correction may be wrong or doubled. ","")&amp;IF(LAB_BULK_DENSITY_BASIS="Not confirmed","No lab bulk-density basis is on file in Settings (LAB_BULK_DENSITY_BASIS), so nothing checks this row. ","")&amp;IF(AND($L358&lt;&gt;"",LAB_BULK_DENSITY_BASIS&lt;&gt;"Not confirmed",$L358&lt;&gt;LAB_BULK_DENSITY_BASIS),"This row's bulk-density basis disagrees with the lab method on file. One of "&amp;"the two is wrong, and the coarse-fragment correction follows the row. ","")&amp;IF(AND(ISNUMBER($M358),OR($M358&lt;QC_BD_MIN,$M358&gt;QC_BD_MAX)),"Bulk density outside the plausible range for a mineral grassland soil. ","")&amp;IF(AND(ISNUMBER($N358),$N358&gt;QC_CARBON_PCT_MAX),"Organic carbon above the QC ceiling — check units, and whether this is an organic horizon. ","")&amp;IF(AND(ISNUMBER($J358),$J358&lt;QC_RECOVERY_MIN),"Recovered less than the QC minimum of the depth driven — the increments may not sit where you think. Do NOT stretch them back out. ","")&amp;IF(AND(ISNUMBER($K358),$K358&gt;0,$L358="Fine earth / total volume"),"Coarse fragments recorded and the lab basis already accounts for them — no further correction applied, which is correct. ",""))</f>
        <v/>
      </c>
      <c r="T358" s="6"/>
      <c r="U358" s="9" t="n">
        <f aca="false">IF($B358="",0,IF(COUNTIFS($B$5:$B358,$B358)=1,1,0))</f>
        <v>0</v>
      </c>
    </row>
    <row r="359" customFormat="false" ht="15" hidden="false" customHeight="false" outlineLevel="0" collapsed="false">
      <c r="A359" s="6"/>
      <c r="B359" s="6"/>
      <c r="C359" s="6"/>
      <c r="D359" s="6"/>
      <c r="E359" s="6"/>
      <c r="F359" s="9" t="str">
        <f aca="false">IF(OR($D359="",$E359=""),"",$E359-$D359)</f>
        <v/>
      </c>
      <c r="G359" s="6"/>
      <c r="H359" s="6"/>
      <c r="I359" s="6"/>
      <c r="J359" s="9" t="str">
        <f aca="false">IF(OR(NOT(ISNUMBER($H359)),NOT(ISNUMBER($I359)),$H359=0),"",$I359/$H359)</f>
        <v/>
      </c>
      <c r="K359" s="6"/>
      <c r="L359" s="8"/>
      <c r="M359" s="7"/>
      <c r="N359" s="7"/>
      <c r="O359" s="9" t="str">
        <f aca="false">IF(NOT(ISNUMBER($M359)),"",IF($L359="Fine earth / fine-earth volume",$M359*(1-IF(ISNUMBER($K359),$K359,0)/100),$M359))</f>
        <v/>
      </c>
      <c r="P359" s="9" t="str">
        <f aca="false">IF(OR(NOT(ISNUMBER($O359)),NOT(ISNUMBER($N359)),NOT(ISNUMBER($F359))),"",$O359*($N359/100)*$F359*10)</f>
        <v/>
      </c>
      <c r="Q359" s="9" t="str">
        <f aca="false">IF(OR(NOT(ISNUMBER($D359)),NOT(ISNUMBER($E359))),"",MAX(0,MIN($E359,SOIL_REPORTING_DEPTH_CM)-MIN($D359,SOIL_REPORTING_DEPTH_CM)))</f>
        <v/>
      </c>
      <c r="R359" s="9" t="str">
        <f aca="false">IF(OR(NOT(ISNUMBER($O359)),NOT(ISNUMBER($N359)),NOT(ISNUMBER($Q359))),"",$O359*($N359/100)*$Q359*10)</f>
        <v/>
      </c>
      <c r="S359" s="11" t="str">
        <f aca="false">IF(AND($A359="",$B359="",$D359=""),"",IF(AND($A359&lt;&gt;"",COUNTIF('1. Plot &amp; Site Log'!$A$5:$A$64,$A359)=0),"Plot ID not in the Plot &amp; Site Log. ","")&amp;IF(AND(ISNUMBER($D359),ISNUMBER($E359),$E359&lt;=$D359),"Bottom depth is not below top depth. ","")&amp;IF($L359="Not confirmed","Bulk-density basis not confirmed with the lab — the coarse-fragment correction may be wrong or doubled. ","")&amp;IF(LAB_BULK_DENSITY_BASIS="Not confirmed","No lab bulk-density basis is on file in Settings (LAB_BULK_DENSITY_BASIS), so nothing checks this row. ","")&amp;IF(AND($L359&lt;&gt;"",LAB_BULK_DENSITY_BASIS&lt;&gt;"Not confirmed",$L359&lt;&gt;LAB_BULK_DENSITY_BASIS),"This row's bulk-density basis disagrees with the lab method on file. One of "&amp;"the two is wrong, and the coarse-fragment correction follows the row. ","")&amp;IF(AND(ISNUMBER($M359),OR($M359&lt;QC_BD_MIN,$M359&gt;QC_BD_MAX)),"Bulk density outside the plausible range for a mineral grassland soil. ","")&amp;IF(AND(ISNUMBER($N359),$N359&gt;QC_CARBON_PCT_MAX),"Organic carbon above the QC ceiling — check units, and whether this is an organic horizon. ","")&amp;IF(AND(ISNUMBER($J359),$J359&lt;QC_RECOVERY_MIN),"Recovered less than the QC minimum of the depth driven — the increments may not sit where you think. Do NOT stretch them back out. ","")&amp;IF(AND(ISNUMBER($K359),$K359&gt;0,$L359="Fine earth / total volume"),"Coarse fragments recorded and the lab basis already accounts for them — no further correction applied, which is correct. ",""))</f>
        <v/>
      </c>
      <c r="T359" s="6"/>
      <c r="U359" s="9" t="n">
        <f aca="false">IF($B359="",0,IF(COUNTIFS($B$5:$B359,$B359)=1,1,0))</f>
        <v>0</v>
      </c>
    </row>
    <row r="360" customFormat="false" ht="15" hidden="false" customHeight="false" outlineLevel="0" collapsed="false">
      <c r="A360" s="6"/>
      <c r="B360" s="6"/>
      <c r="C360" s="6"/>
      <c r="D360" s="6"/>
      <c r="E360" s="6"/>
      <c r="F360" s="9" t="str">
        <f aca="false">IF(OR($D360="",$E360=""),"",$E360-$D360)</f>
        <v/>
      </c>
      <c r="G360" s="6"/>
      <c r="H360" s="6"/>
      <c r="I360" s="6"/>
      <c r="J360" s="9" t="str">
        <f aca="false">IF(OR(NOT(ISNUMBER($H360)),NOT(ISNUMBER($I360)),$H360=0),"",$I360/$H360)</f>
        <v/>
      </c>
      <c r="K360" s="6"/>
      <c r="L360" s="8"/>
      <c r="M360" s="7"/>
      <c r="N360" s="7"/>
      <c r="O360" s="9" t="str">
        <f aca="false">IF(NOT(ISNUMBER($M360)),"",IF($L360="Fine earth / fine-earth volume",$M360*(1-IF(ISNUMBER($K360),$K360,0)/100),$M360))</f>
        <v/>
      </c>
      <c r="P360" s="9" t="str">
        <f aca="false">IF(OR(NOT(ISNUMBER($O360)),NOT(ISNUMBER($N360)),NOT(ISNUMBER($F360))),"",$O360*($N360/100)*$F360*10)</f>
        <v/>
      </c>
      <c r="Q360" s="9" t="str">
        <f aca="false">IF(OR(NOT(ISNUMBER($D360)),NOT(ISNUMBER($E360))),"",MAX(0,MIN($E360,SOIL_REPORTING_DEPTH_CM)-MIN($D360,SOIL_REPORTING_DEPTH_CM)))</f>
        <v/>
      </c>
      <c r="R360" s="9" t="str">
        <f aca="false">IF(OR(NOT(ISNUMBER($O360)),NOT(ISNUMBER($N360)),NOT(ISNUMBER($Q360))),"",$O360*($N360/100)*$Q360*10)</f>
        <v/>
      </c>
      <c r="S360" s="11" t="str">
        <f aca="false">IF(AND($A360="",$B360="",$D360=""),"",IF(AND($A360&lt;&gt;"",COUNTIF('1. Plot &amp; Site Log'!$A$5:$A$64,$A360)=0),"Plot ID not in the Plot &amp; Site Log. ","")&amp;IF(AND(ISNUMBER($D360),ISNUMBER($E360),$E360&lt;=$D360),"Bottom depth is not below top depth. ","")&amp;IF($L360="Not confirmed","Bulk-density basis not confirmed with the lab — the coarse-fragment correction may be wrong or doubled. ","")&amp;IF(LAB_BULK_DENSITY_BASIS="Not confirmed","No lab bulk-density basis is on file in Settings (LAB_BULK_DENSITY_BASIS), so nothing checks this row. ","")&amp;IF(AND($L360&lt;&gt;"",LAB_BULK_DENSITY_BASIS&lt;&gt;"Not confirmed",$L360&lt;&gt;LAB_BULK_DENSITY_BASIS),"This row's bulk-density basis disagrees with the lab method on file. One of "&amp;"the two is wrong, and the coarse-fragment correction follows the row. ","")&amp;IF(AND(ISNUMBER($M360),OR($M360&lt;QC_BD_MIN,$M360&gt;QC_BD_MAX)),"Bulk density outside the plausible range for a mineral grassland soil. ","")&amp;IF(AND(ISNUMBER($N360),$N360&gt;QC_CARBON_PCT_MAX),"Organic carbon above the QC ceiling — check units, and whether this is an organic horizon. ","")&amp;IF(AND(ISNUMBER($J360),$J360&lt;QC_RECOVERY_MIN),"Recovered less than the QC minimum of the depth driven — the increments may not sit where you think. Do NOT stretch them back out. ","")&amp;IF(AND(ISNUMBER($K360),$K360&gt;0,$L360="Fine earth / total volume"),"Coarse fragments recorded and the lab basis already accounts for them — no further correction applied, which is correct. ",""))</f>
        <v/>
      </c>
      <c r="T360" s="6"/>
      <c r="U360" s="9" t="n">
        <f aca="false">IF($B360="",0,IF(COUNTIFS($B$5:$B360,$B360)=1,1,0))</f>
        <v>0</v>
      </c>
    </row>
    <row r="361" customFormat="false" ht="15" hidden="false" customHeight="false" outlineLevel="0" collapsed="false">
      <c r="A361" s="6"/>
      <c r="B361" s="6"/>
      <c r="C361" s="6"/>
      <c r="D361" s="6"/>
      <c r="E361" s="6"/>
      <c r="F361" s="9" t="str">
        <f aca="false">IF(OR($D361="",$E361=""),"",$E361-$D361)</f>
        <v/>
      </c>
      <c r="G361" s="6"/>
      <c r="H361" s="6"/>
      <c r="I361" s="6"/>
      <c r="J361" s="9" t="str">
        <f aca="false">IF(OR(NOT(ISNUMBER($H361)),NOT(ISNUMBER($I361)),$H361=0),"",$I361/$H361)</f>
        <v/>
      </c>
      <c r="K361" s="6"/>
      <c r="L361" s="8"/>
      <c r="M361" s="7"/>
      <c r="N361" s="7"/>
      <c r="O361" s="9" t="str">
        <f aca="false">IF(NOT(ISNUMBER($M361)),"",IF($L361="Fine earth / fine-earth volume",$M361*(1-IF(ISNUMBER($K361),$K361,0)/100),$M361))</f>
        <v/>
      </c>
      <c r="P361" s="9" t="str">
        <f aca="false">IF(OR(NOT(ISNUMBER($O361)),NOT(ISNUMBER($N361)),NOT(ISNUMBER($F361))),"",$O361*($N361/100)*$F361*10)</f>
        <v/>
      </c>
      <c r="Q361" s="9" t="str">
        <f aca="false">IF(OR(NOT(ISNUMBER($D361)),NOT(ISNUMBER($E361))),"",MAX(0,MIN($E361,SOIL_REPORTING_DEPTH_CM)-MIN($D361,SOIL_REPORTING_DEPTH_CM)))</f>
        <v/>
      </c>
      <c r="R361" s="9" t="str">
        <f aca="false">IF(OR(NOT(ISNUMBER($O361)),NOT(ISNUMBER($N361)),NOT(ISNUMBER($Q361))),"",$O361*($N361/100)*$Q361*10)</f>
        <v/>
      </c>
      <c r="S361" s="11" t="str">
        <f aca="false">IF(AND($A361="",$B361="",$D361=""),"",IF(AND($A361&lt;&gt;"",COUNTIF('1. Plot &amp; Site Log'!$A$5:$A$64,$A361)=0),"Plot ID not in the Plot &amp; Site Log. ","")&amp;IF(AND(ISNUMBER($D361),ISNUMBER($E361),$E361&lt;=$D361),"Bottom depth is not below top depth. ","")&amp;IF($L361="Not confirmed","Bulk-density basis not confirmed with the lab — the coarse-fragment correction may be wrong or doubled. ","")&amp;IF(LAB_BULK_DENSITY_BASIS="Not confirmed","No lab bulk-density basis is on file in Settings (LAB_BULK_DENSITY_BASIS), so nothing checks this row. ","")&amp;IF(AND($L361&lt;&gt;"",LAB_BULK_DENSITY_BASIS&lt;&gt;"Not confirmed",$L361&lt;&gt;LAB_BULK_DENSITY_BASIS),"This row's bulk-density basis disagrees with the lab method on file. One of "&amp;"the two is wrong, and the coarse-fragment correction follows the row. ","")&amp;IF(AND(ISNUMBER($M361),OR($M361&lt;QC_BD_MIN,$M361&gt;QC_BD_MAX)),"Bulk density outside the plausible range for a mineral grassland soil. ","")&amp;IF(AND(ISNUMBER($N361),$N361&gt;QC_CARBON_PCT_MAX),"Organic carbon above the QC ceiling — check units, and whether this is an organic horizon. ","")&amp;IF(AND(ISNUMBER($J361),$J361&lt;QC_RECOVERY_MIN),"Recovered less than the QC minimum of the depth driven — the increments may not sit where you think. Do NOT stretch them back out. ","")&amp;IF(AND(ISNUMBER($K361),$K361&gt;0,$L361="Fine earth / total volume"),"Coarse fragments recorded and the lab basis already accounts for them — no further correction applied, which is correct. ",""))</f>
        <v/>
      </c>
      <c r="T361" s="6"/>
      <c r="U361" s="9" t="n">
        <f aca="false">IF($B361="",0,IF(COUNTIFS($B$5:$B361,$B361)=1,1,0))</f>
        <v>0</v>
      </c>
    </row>
    <row r="362" customFormat="false" ht="15" hidden="false" customHeight="false" outlineLevel="0" collapsed="false">
      <c r="A362" s="6"/>
      <c r="B362" s="6"/>
      <c r="C362" s="6"/>
      <c r="D362" s="6"/>
      <c r="E362" s="6"/>
      <c r="F362" s="9" t="str">
        <f aca="false">IF(OR($D362="",$E362=""),"",$E362-$D362)</f>
        <v/>
      </c>
      <c r="G362" s="6"/>
      <c r="H362" s="6"/>
      <c r="I362" s="6"/>
      <c r="J362" s="9" t="str">
        <f aca="false">IF(OR(NOT(ISNUMBER($H362)),NOT(ISNUMBER($I362)),$H362=0),"",$I362/$H362)</f>
        <v/>
      </c>
      <c r="K362" s="6"/>
      <c r="L362" s="8"/>
      <c r="M362" s="7"/>
      <c r="N362" s="7"/>
      <c r="O362" s="9" t="str">
        <f aca="false">IF(NOT(ISNUMBER($M362)),"",IF($L362="Fine earth / fine-earth volume",$M362*(1-IF(ISNUMBER($K362),$K362,0)/100),$M362))</f>
        <v/>
      </c>
      <c r="P362" s="9" t="str">
        <f aca="false">IF(OR(NOT(ISNUMBER($O362)),NOT(ISNUMBER($N362)),NOT(ISNUMBER($F362))),"",$O362*($N362/100)*$F362*10)</f>
        <v/>
      </c>
      <c r="Q362" s="9" t="str">
        <f aca="false">IF(OR(NOT(ISNUMBER($D362)),NOT(ISNUMBER($E362))),"",MAX(0,MIN($E362,SOIL_REPORTING_DEPTH_CM)-MIN($D362,SOIL_REPORTING_DEPTH_CM)))</f>
        <v/>
      </c>
      <c r="R362" s="9" t="str">
        <f aca="false">IF(OR(NOT(ISNUMBER($O362)),NOT(ISNUMBER($N362)),NOT(ISNUMBER($Q362))),"",$O362*($N362/100)*$Q362*10)</f>
        <v/>
      </c>
      <c r="S362" s="11" t="str">
        <f aca="false">IF(AND($A362="",$B362="",$D362=""),"",IF(AND($A362&lt;&gt;"",COUNTIF('1. Plot &amp; Site Log'!$A$5:$A$64,$A362)=0),"Plot ID not in the Plot &amp; Site Log. ","")&amp;IF(AND(ISNUMBER($D362),ISNUMBER($E362),$E362&lt;=$D362),"Bottom depth is not below top depth. ","")&amp;IF($L362="Not confirmed","Bulk-density basis not confirmed with the lab — the coarse-fragment correction may be wrong or doubled. ","")&amp;IF(LAB_BULK_DENSITY_BASIS="Not confirmed","No lab bulk-density basis is on file in Settings (LAB_BULK_DENSITY_BASIS), so nothing checks this row. ","")&amp;IF(AND($L362&lt;&gt;"",LAB_BULK_DENSITY_BASIS&lt;&gt;"Not confirmed",$L362&lt;&gt;LAB_BULK_DENSITY_BASIS),"This row's bulk-density basis disagrees with the lab method on file. One of "&amp;"the two is wrong, and the coarse-fragment correction follows the row. ","")&amp;IF(AND(ISNUMBER($M362),OR($M362&lt;QC_BD_MIN,$M362&gt;QC_BD_MAX)),"Bulk density outside the plausible range for a mineral grassland soil. ","")&amp;IF(AND(ISNUMBER($N362),$N362&gt;QC_CARBON_PCT_MAX),"Organic carbon above the QC ceiling — check units, and whether this is an organic horizon. ","")&amp;IF(AND(ISNUMBER($J362),$J362&lt;QC_RECOVERY_MIN),"Recovered less than the QC minimum of the depth driven — the increments may not sit where you think. Do NOT stretch them back out. ","")&amp;IF(AND(ISNUMBER($K362),$K362&gt;0,$L362="Fine earth / total volume"),"Coarse fragments recorded and the lab basis already accounts for them — no further correction applied, which is correct. ",""))</f>
        <v/>
      </c>
      <c r="T362" s="6"/>
      <c r="U362" s="9" t="n">
        <f aca="false">IF($B362="",0,IF(COUNTIFS($B$5:$B362,$B362)=1,1,0))</f>
        <v>0</v>
      </c>
    </row>
    <row r="363" customFormat="false" ht="15" hidden="false" customHeight="false" outlineLevel="0" collapsed="false">
      <c r="A363" s="6"/>
      <c r="B363" s="6"/>
      <c r="C363" s="6"/>
      <c r="D363" s="6"/>
      <c r="E363" s="6"/>
      <c r="F363" s="9" t="str">
        <f aca="false">IF(OR($D363="",$E363=""),"",$E363-$D363)</f>
        <v/>
      </c>
      <c r="G363" s="6"/>
      <c r="H363" s="6"/>
      <c r="I363" s="6"/>
      <c r="J363" s="9" t="str">
        <f aca="false">IF(OR(NOT(ISNUMBER($H363)),NOT(ISNUMBER($I363)),$H363=0),"",$I363/$H363)</f>
        <v/>
      </c>
      <c r="K363" s="6"/>
      <c r="L363" s="8"/>
      <c r="M363" s="7"/>
      <c r="N363" s="7"/>
      <c r="O363" s="9" t="str">
        <f aca="false">IF(NOT(ISNUMBER($M363)),"",IF($L363="Fine earth / fine-earth volume",$M363*(1-IF(ISNUMBER($K363),$K363,0)/100),$M363))</f>
        <v/>
      </c>
      <c r="P363" s="9" t="str">
        <f aca="false">IF(OR(NOT(ISNUMBER($O363)),NOT(ISNUMBER($N363)),NOT(ISNUMBER($F363))),"",$O363*($N363/100)*$F363*10)</f>
        <v/>
      </c>
      <c r="Q363" s="9" t="str">
        <f aca="false">IF(OR(NOT(ISNUMBER($D363)),NOT(ISNUMBER($E363))),"",MAX(0,MIN($E363,SOIL_REPORTING_DEPTH_CM)-MIN($D363,SOIL_REPORTING_DEPTH_CM)))</f>
        <v/>
      </c>
      <c r="R363" s="9" t="str">
        <f aca="false">IF(OR(NOT(ISNUMBER($O363)),NOT(ISNUMBER($N363)),NOT(ISNUMBER($Q363))),"",$O363*($N363/100)*$Q363*10)</f>
        <v/>
      </c>
      <c r="S363" s="11" t="str">
        <f aca="false">IF(AND($A363="",$B363="",$D363=""),"",IF(AND($A363&lt;&gt;"",COUNTIF('1. Plot &amp; Site Log'!$A$5:$A$64,$A363)=0),"Plot ID not in the Plot &amp; Site Log. ","")&amp;IF(AND(ISNUMBER($D363),ISNUMBER($E363),$E363&lt;=$D363),"Bottom depth is not below top depth. ","")&amp;IF($L363="Not confirmed","Bulk-density basis not confirmed with the lab — the coarse-fragment correction may be wrong or doubled. ","")&amp;IF(LAB_BULK_DENSITY_BASIS="Not confirmed","No lab bulk-density basis is on file in Settings (LAB_BULK_DENSITY_BASIS), so nothing checks this row. ","")&amp;IF(AND($L363&lt;&gt;"",LAB_BULK_DENSITY_BASIS&lt;&gt;"Not confirmed",$L363&lt;&gt;LAB_BULK_DENSITY_BASIS),"This row's bulk-density basis disagrees with the lab method on file. One of "&amp;"the two is wrong, and the coarse-fragment correction follows the row. ","")&amp;IF(AND(ISNUMBER($M363),OR($M363&lt;QC_BD_MIN,$M363&gt;QC_BD_MAX)),"Bulk density outside the plausible range for a mineral grassland soil. ","")&amp;IF(AND(ISNUMBER($N363),$N363&gt;QC_CARBON_PCT_MAX),"Organic carbon above the QC ceiling — check units, and whether this is an organic horizon. ","")&amp;IF(AND(ISNUMBER($J363),$J363&lt;QC_RECOVERY_MIN),"Recovered less than the QC minimum of the depth driven — the increments may not sit where you think. Do NOT stretch them back out. ","")&amp;IF(AND(ISNUMBER($K363),$K363&gt;0,$L363="Fine earth / total volume"),"Coarse fragments recorded and the lab basis already accounts for them — no further correction applied, which is correct. ",""))</f>
        <v/>
      </c>
      <c r="T363" s="6"/>
      <c r="U363" s="9" t="n">
        <f aca="false">IF($B363="",0,IF(COUNTIFS($B$5:$B363,$B363)=1,1,0))</f>
        <v>0</v>
      </c>
    </row>
    <row r="364" customFormat="false" ht="15" hidden="false" customHeight="false" outlineLevel="0" collapsed="false">
      <c r="A364" s="6"/>
      <c r="B364" s="6"/>
      <c r="C364" s="6"/>
      <c r="D364" s="6"/>
      <c r="E364" s="6"/>
      <c r="F364" s="9" t="str">
        <f aca="false">IF(OR($D364="",$E364=""),"",$E364-$D364)</f>
        <v/>
      </c>
      <c r="G364" s="6"/>
      <c r="H364" s="6"/>
      <c r="I364" s="6"/>
      <c r="J364" s="9" t="str">
        <f aca="false">IF(OR(NOT(ISNUMBER($H364)),NOT(ISNUMBER($I364)),$H364=0),"",$I364/$H364)</f>
        <v/>
      </c>
      <c r="K364" s="6"/>
      <c r="L364" s="8"/>
      <c r="M364" s="7"/>
      <c r="N364" s="7"/>
      <c r="O364" s="9" t="str">
        <f aca="false">IF(NOT(ISNUMBER($M364)),"",IF($L364="Fine earth / fine-earth volume",$M364*(1-IF(ISNUMBER($K364),$K364,0)/100),$M364))</f>
        <v/>
      </c>
      <c r="P364" s="9" t="str">
        <f aca="false">IF(OR(NOT(ISNUMBER($O364)),NOT(ISNUMBER($N364)),NOT(ISNUMBER($F364))),"",$O364*($N364/100)*$F364*10)</f>
        <v/>
      </c>
      <c r="Q364" s="9" t="str">
        <f aca="false">IF(OR(NOT(ISNUMBER($D364)),NOT(ISNUMBER($E364))),"",MAX(0,MIN($E364,SOIL_REPORTING_DEPTH_CM)-MIN($D364,SOIL_REPORTING_DEPTH_CM)))</f>
        <v/>
      </c>
      <c r="R364" s="9" t="str">
        <f aca="false">IF(OR(NOT(ISNUMBER($O364)),NOT(ISNUMBER($N364)),NOT(ISNUMBER($Q364))),"",$O364*($N364/100)*$Q364*10)</f>
        <v/>
      </c>
      <c r="S364" s="11" t="str">
        <f aca="false">IF(AND($A364="",$B364="",$D364=""),"",IF(AND($A364&lt;&gt;"",COUNTIF('1. Plot &amp; Site Log'!$A$5:$A$64,$A364)=0),"Plot ID not in the Plot &amp; Site Log. ","")&amp;IF(AND(ISNUMBER($D364),ISNUMBER($E364),$E364&lt;=$D364),"Bottom depth is not below top depth. ","")&amp;IF($L364="Not confirmed","Bulk-density basis not confirmed with the lab — the coarse-fragment correction may be wrong or doubled. ","")&amp;IF(LAB_BULK_DENSITY_BASIS="Not confirmed","No lab bulk-density basis is on file in Settings (LAB_BULK_DENSITY_BASIS), so nothing checks this row. ","")&amp;IF(AND($L364&lt;&gt;"",LAB_BULK_DENSITY_BASIS&lt;&gt;"Not confirmed",$L364&lt;&gt;LAB_BULK_DENSITY_BASIS),"This row's bulk-density basis disagrees with the lab method on file. One of "&amp;"the two is wrong, and the coarse-fragment correction follows the row. ","")&amp;IF(AND(ISNUMBER($M364),OR($M364&lt;QC_BD_MIN,$M364&gt;QC_BD_MAX)),"Bulk density outside the plausible range for a mineral grassland soil. ","")&amp;IF(AND(ISNUMBER($N364),$N364&gt;QC_CARBON_PCT_MAX),"Organic carbon above the QC ceiling — check units, and whether this is an organic horizon. ","")&amp;IF(AND(ISNUMBER($J364),$J364&lt;QC_RECOVERY_MIN),"Recovered less than the QC minimum of the depth driven — the increments may not sit where you think. Do NOT stretch them back out. ","")&amp;IF(AND(ISNUMBER($K364),$K364&gt;0,$L364="Fine earth / total volume"),"Coarse fragments recorded and the lab basis already accounts for them — no further correction applied, which is correct. ",""))</f>
        <v/>
      </c>
      <c r="T364" s="6"/>
      <c r="U364" s="9" t="n">
        <f aca="false">IF($B364="",0,IF(COUNTIFS($B$5:$B364,$B364)=1,1,0))</f>
        <v>0</v>
      </c>
    </row>
    <row r="365" customFormat="false" ht="15" hidden="false" customHeight="false" outlineLevel="0" collapsed="false">
      <c r="A365" s="6"/>
      <c r="B365" s="6"/>
      <c r="C365" s="6"/>
      <c r="D365" s="6"/>
      <c r="E365" s="6"/>
      <c r="F365" s="9" t="str">
        <f aca="false">IF(OR($D365="",$E365=""),"",$E365-$D365)</f>
        <v/>
      </c>
      <c r="G365" s="6"/>
      <c r="H365" s="6"/>
      <c r="I365" s="6"/>
      <c r="J365" s="9" t="str">
        <f aca="false">IF(OR(NOT(ISNUMBER($H365)),NOT(ISNUMBER($I365)),$H365=0),"",$I365/$H365)</f>
        <v/>
      </c>
      <c r="K365" s="6"/>
      <c r="L365" s="8"/>
      <c r="M365" s="7"/>
      <c r="N365" s="7"/>
      <c r="O365" s="9" t="str">
        <f aca="false">IF(NOT(ISNUMBER($M365)),"",IF($L365="Fine earth / fine-earth volume",$M365*(1-IF(ISNUMBER($K365),$K365,0)/100),$M365))</f>
        <v/>
      </c>
      <c r="P365" s="9" t="str">
        <f aca="false">IF(OR(NOT(ISNUMBER($O365)),NOT(ISNUMBER($N365)),NOT(ISNUMBER($F365))),"",$O365*($N365/100)*$F365*10)</f>
        <v/>
      </c>
      <c r="Q365" s="9" t="str">
        <f aca="false">IF(OR(NOT(ISNUMBER($D365)),NOT(ISNUMBER($E365))),"",MAX(0,MIN($E365,SOIL_REPORTING_DEPTH_CM)-MIN($D365,SOIL_REPORTING_DEPTH_CM)))</f>
        <v/>
      </c>
      <c r="R365" s="9" t="str">
        <f aca="false">IF(OR(NOT(ISNUMBER($O365)),NOT(ISNUMBER($N365)),NOT(ISNUMBER($Q365))),"",$O365*($N365/100)*$Q365*10)</f>
        <v/>
      </c>
      <c r="S365" s="11" t="str">
        <f aca="false">IF(AND($A365="",$B365="",$D365=""),"",IF(AND($A365&lt;&gt;"",COUNTIF('1. Plot &amp; Site Log'!$A$5:$A$64,$A365)=0),"Plot ID not in the Plot &amp; Site Log. ","")&amp;IF(AND(ISNUMBER($D365),ISNUMBER($E365),$E365&lt;=$D365),"Bottom depth is not below top depth. ","")&amp;IF($L365="Not confirmed","Bulk-density basis not confirmed with the lab — the coarse-fragment correction may be wrong or doubled. ","")&amp;IF(LAB_BULK_DENSITY_BASIS="Not confirmed","No lab bulk-density basis is on file in Settings (LAB_BULK_DENSITY_BASIS), so nothing checks this row. ","")&amp;IF(AND($L365&lt;&gt;"",LAB_BULK_DENSITY_BASIS&lt;&gt;"Not confirmed",$L365&lt;&gt;LAB_BULK_DENSITY_BASIS),"This row's bulk-density basis disagrees with the lab method on file. One of "&amp;"the two is wrong, and the coarse-fragment correction follows the row. ","")&amp;IF(AND(ISNUMBER($M365),OR($M365&lt;QC_BD_MIN,$M365&gt;QC_BD_MAX)),"Bulk density outside the plausible range for a mineral grassland soil. ","")&amp;IF(AND(ISNUMBER($N365),$N365&gt;QC_CARBON_PCT_MAX),"Organic carbon above the QC ceiling — check units, and whether this is an organic horizon. ","")&amp;IF(AND(ISNUMBER($J365),$J365&lt;QC_RECOVERY_MIN),"Recovered less than the QC minimum of the depth driven — the increments may not sit where you think. Do NOT stretch them back out. ","")&amp;IF(AND(ISNUMBER($K365),$K365&gt;0,$L365="Fine earth / total volume"),"Coarse fragments recorded and the lab basis already accounts for them — no further correction applied, which is correct. ",""))</f>
        <v/>
      </c>
      <c r="T365" s="6"/>
      <c r="U365" s="9" t="n">
        <f aca="false">IF($B365="",0,IF(COUNTIFS($B$5:$B365,$B365)=1,1,0))</f>
        <v>0</v>
      </c>
    </row>
    <row r="366" customFormat="false" ht="15" hidden="false" customHeight="false" outlineLevel="0" collapsed="false">
      <c r="A366" s="6"/>
      <c r="B366" s="6"/>
      <c r="C366" s="6"/>
      <c r="D366" s="6"/>
      <c r="E366" s="6"/>
      <c r="F366" s="9" t="str">
        <f aca="false">IF(OR($D366="",$E366=""),"",$E366-$D366)</f>
        <v/>
      </c>
      <c r="G366" s="6"/>
      <c r="H366" s="6"/>
      <c r="I366" s="6"/>
      <c r="J366" s="9" t="str">
        <f aca="false">IF(OR(NOT(ISNUMBER($H366)),NOT(ISNUMBER($I366)),$H366=0),"",$I366/$H366)</f>
        <v/>
      </c>
      <c r="K366" s="6"/>
      <c r="L366" s="8"/>
      <c r="M366" s="7"/>
      <c r="N366" s="7"/>
      <c r="O366" s="9" t="str">
        <f aca="false">IF(NOT(ISNUMBER($M366)),"",IF($L366="Fine earth / fine-earth volume",$M366*(1-IF(ISNUMBER($K366),$K366,0)/100),$M366))</f>
        <v/>
      </c>
      <c r="P366" s="9" t="str">
        <f aca="false">IF(OR(NOT(ISNUMBER($O366)),NOT(ISNUMBER($N366)),NOT(ISNUMBER($F366))),"",$O366*($N366/100)*$F366*10)</f>
        <v/>
      </c>
      <c r="Q366" s="9" t="str">
        <f aca="false">IF(OR(NOT(ISNUMBER($D366)),NOT(ISNUMBER($E366))),"",MAX(0,MIN($E366,SOIL_REPORTING_DEPTH_CM)-MIN($D366,SOIL_REPORTING_DEPTH_CM)))</f>
        <v/>
      </c>
      <c r="R366" s="9" t="str">
        <f aca="false">IF(OR(NOT(ISNUMBER($O366)),NOT(ISNUMBER($N366)),NOT(ISNUMBER($Q366))),"",$O366*($N366/100)*$Q366*10)</f>
        <v/>
      </c>
      <c r="S366" s="11" t="str">
        <f aca="false">IF(AND($A366="",$B366="",$D366=""),"",IF(AND($A366&lt;&gt;"",COUNTIF('1. Plot &amp; Site Log'!$A$5:$A$64,$A366)=0),"Plot ID not in the Plot &amp; Site Log. ","")&amp;IF(AND(ISNUMBER($D366),ISNUMBER($E366),$E366&lt;=$D366),"Bottom depth is not below top depth. ","")&amp;IF($L366="Not confirmed","Bulk-density basis not confirmed with the lab — the coarse-fragment correction may be wrong or doubled. ","")&amp;IF(LAB_BULK_DENSITY_BASIS="Not confirmed","No lab bulk-density basis is on file in Settings (LAB_BULK_DENSITY_BASIS), so nothing checks this row. ","")&amp;IF(AND($L366&lt;&gt;"",LAB_BULK_DENSITY_BASIS&lt;&gt;"Not confirmed",$L366&lt;&gt;LAB_BULK_DENSITY_BASIS),"This row's bulk-density basis disagrees with the lab method on file. One of "&amp;"the two is wrong, and the coarse-fragment correction follows the row. ","")&amp;IF(AND(ISNUMBER($M366),OR($M366&lt;QC_BD_MIN,$M366&gt;QC_BD_MAX)),"Bulk density outside the plausible range for a mineral grassland soil. ","")&amp;IF(AND(ISNUMBER($N366),$N366&gt;QC_CARBON_PCT_MAX),"Organic carbon above the QC ceiling — check units, and whether this is an organic horizon. ","")&amp;IF(AND(ISNUMBER($J366),$J366&lt;QC_RECOVERY_MIN),"Recovered less than the QC minimum of the depth driven — the increments may not sit where you think. Do NOT stretch them back out. ","")&amp;IF(AND(ISNUMBER($K366),$K366&gt;0,$L366="Fine earth / total volume"),"Coarse fragments recorded and the lab basis already accounts for them — no further correction applied, which is correct. ",""))</f>
        <v/>
      </c>
      <c r="T366" s="6"/>
      <c r="U366" s="9" t="n">
        <f aca="false">IF($B366="",0,IF(COUNTIFS($B$5:$B366,$B366)=1,1,0))</f>
        <v>0</v>
      </c>
    </row>
    <row r="367" customFormat="false" ht="15" hidden="false" customHeight="false" outlineLevel="0" collapsed="false">
      <c r="A367" s="6"/>
      <c r="B367" s="6"/>
      <c r="C367" s="6"/>
      <c r="D367" s="6"/>
      <c r="E367" s="6"/>
      <c r="F367" s="9" t="str">
        <f aca="false">IF(OR($D367="",$E367=""),"",$E367-$D367)</f>
        <v/>
      </c>
      <c r="G367" s="6"/>
      <c r="H367" s="6"/>
      <c r="I367" s="6"/>
      <c r="J367" s="9" t="str">
        <f aca="false">IF(OR(NOT(ISNUMBER($H367)),NOT(ISNUMBER($I367)),$H367=0),"",$I367/$H367)</f>
        <v/>
      </c>
      <c r="K367" s="6"/>
      <c r="L367" s="8"/>
      <c r="M367" s="7"/>
      <c r="N367" s="7"/>
      <c r="O367" s="9" t="str">
        <f aca="false">IF(NOT(ISNUMBER($M367)),"",IF($L367="Fine earth / fine-earth volume",$M367*(1-IF(ISNUMBER($K367),$K367,0)/100),$M367))</f>
        <v/>
      </c>
      <c r="P367" s="9" t="str">
        <f aca="false">IF(OR(NOT(ISNUMBER($O367)),NOT(ISNUMBER($N367)),NOT(ISNUMBER($F367))),"",$O367*($N367/100)*$F367*10)</f>
        <v/>
      </c>
      <c r="Q367" s="9" t="str">
        <f aca="false">IF(OR(NOT(ISNUMBER($D367)),NOT(ISNUMBER($E367))),"",MAX(0,MIN($E367,SOIL_REPORTING_DEPTH_CM)-MIN($D367,SOIL_REPORTING_DEPTH_CM)))</f>
        <v/>
      </c>
      <c r="R367" s="9" t="str">
        <f aca="false">IF(OR(NOT(ISNUMBER($O367)),NOT(ISNUMBER($N367)),NOT(ISNUMBER($Q367))),"",$O367*($N367/100)*$Q367*10)</f>
        <v/>
      </c>
      <c r="S367" s="11" t="str">
        <f aca="false">IF(AND($A367="",$B367="",$D367=""),"",IF(AND($A367&lt;&gt;"",COUNTIF('1. Plot &amp; Site Log'!$A$5:$A$64,$A367)=0),"Plot ID not in the Plot &amp; Site Log. ","")&amp;IF(AND(ISNUMBER($D367),ISNUMBER($E367),$E367&lt;=$D367),"Bottom depth is not below top depth. ","")&amp;IF($L367="Not confirmed","Bulk-density basis not confirmed with the lab — the coarse-fragment correction may be wrong or doubled. ","")&amp;IF(LAB_BULK_DENSITY_BASIS="Not confirmed","No lab bulk-density basis is on file in Settings (LAB_BULK_DENSITY_BASIS), so nothing checks this row. ","")&amp;IF(AND($L367&lt;&gt;"",LAB_BULK_DENSITY_BASIS&lt;&gt;"Not confirmed",$L367&lt;&gt;LAB_BULK_DENSITY_BASIS),"This row's bulk-density basis disagrees with the lab method on file. One of "&amp;"the two is wrong, and the coarse-fragment correction follows the row. ","")&amp;IF(AND(ISNUMBER($M367),OR($M367&lt;QC_BD_MIN,$M367&gt;QC_BD_MAX)),"Bulk density outside the plausible range for a mineral grassland soil. ","")&amp;IF(AND(ISNUMBER($N367),$N367&gt;QC_CARBON_PCT_MAX),"Organic carbon above the QC ceiling — check units, and whether this is an organic horizon. ","")&amp;IF(AND(ISNUMBER($J367),$J367&lt;QC_RECOVERY_MIN),"Recovered less than the QC minimum of the depth driven — the increments may not sit where you think. Do NOT stretch them back out. ","")&amp;IF(AND(ISNUMBER($K367),$K367&gt;0,$L367="Fine earth / total volume"),"Coarse fragments recorded and the lab basis already accounts for them — no further correction applied, which is correct. ",""))</f>
        <v/>
      </c>
      <c r="T367" s="6"/>
      <c r="U367" s="9" t="n">
        <f aca="false">IF($B367="",0,IF(COUNTIFS($B$5:$B367,$B367)=1,1,0))</f>
        <v>0</v>
      </c>
    </row>
    <row r="368" customFormat="false" ht="15" hidden="false" customHeight="false" outlineLevel="0" collapsed="false">
      <c r="A368" s="6"/>
      <c r="B368" s="6"/>
      <c r="C368" s="6"/>
      <c r="D368" s="6"/>
      <c r="E368" s="6"/>
      <c r="F368" s="9" t="str">
        <f aca="false">IF(OR($D368="",$E368=""),"",$E368-$D368)</f>
        <v/>
      </c>
      <c r="G368" s="6"/>
      <c r="H368" s="6"/>
      <c r="I368" s="6"/>
      <c r="J368" s="9" t="str">
        <f aca="false">IF(OR(NOT(ISNUMBER($H368)),NOT(ISNUMBER($I368)),$H368=0),"",$I368/$H368)</f>
        <v/>
      </c>
      <c r="K368" s="6"/>
      <c r="L368" s="8"/>
      <c r="M368" s="7"/>
      <c r="N368" s="7"/>
      <c r="O368" s="9" t="str">
        <f aca="false">IF(NOT(ISNUMBER($M368)),"",IF($L368="Fine earth / fine-earth volume",$M368*(1-IF(ISNUMBER($K368),$K368,0)/100),$M368))</f>
        <v/>
      </c>
      <c r="P368" s="9" t="str">
        <f aca="false">IF(OR(NOT(ISNUMBER($O368)),NOT(ISNUMBER($N368)),NOT(ISNUMBER($F368))),"",$O368*($N368/100)*$F368*10)</f>
        <v/>
      </c>
      <c r="Q368" s="9" t="str">
        <f aca="false">IF(OR(NOT(ISNUMBER($D368)),NOT(ISNUMBER($E368))),"",MAX(0,MIN($E368,SOIL_REPORTING_DEPTH_CM)-MIN($D368,SOIL_REPORTING_DEPTH_CM)))</f>
        <v/>
      </c>
      <c r="R368" s="9" t="str">
        <f aca="false">IF(OR(NOT(ISNUMBER($O368)),NOT(ISNUMBER($N368)),NOT(ISNUMBER($Q368))),"",$O368*($N368/100)*$Q368*10)</f>
        <v/>
      </c>
      <c r="S368" s="11" t="str">
        <f aca="false">IF(AND($A368="",$B368="",$D368=""),"",IF(AND($A368&lt;&gt;"",COUNTIF('1. Plot &amp; Site Log'!$A$5:$A$64,$A368)=0),"Plot ID not in the Plot &amp; Site Log. ","")&amp;IF(AND(ISNUMBER($D368),ISNUMBER($E368),$E368&lt;=$D368),"Bottom depth is not below top depth. ","")&amp;IF($L368="Not confirmed","Bulk-density basis not confirmed with the lab — the coarse-fragment correction may be wrong or doubled. ","")&amp;IF(LAB_BULK_DENSITY_BASIS="Not confirmed","No lab bulk-density basis is on file in Settings (LAB_BULK_DENSITY_BASIS), so nothing checks this row. ","")&amp;IF(AND($L368&lt;&gt;"",LAB_BULK_DENSITY_BASIS&lt;&gt;"Not confirmed",$L368&lt;&gt;LAB_BULK_DENSITY_BASIS),"This row's bulk-density basis disagrees with the lab method on file. One of "&amp;"the two is wrong, and the coarse-fragment correction follows the row. ","")&amp;IF(AND(ISNUMBER($M368),OR($M368&lt;QC_BD_MIN,$M368&gt;QC_BD_MAX)),"Bulk density outside the plausible range for a mineral grassland soil. ","")&amp;IF(AND(ISNUMBER($N368),$N368&gt;QC_CARBON_PCT_MAX),"Organic carbon above the QC ceiling — check units, and whether this is an organic horizon. ","")&amp;IF(AND(ISNUMBER($J368),$J368&lt;QC_RECOVERY_MIN),"Recovered less than the QC minimum of the depth driven — the increments may not sit where you think. Do NOT stretch them back out. ","")&amp;IF(AND(ISNUMBER($K368),$K368&gt;0,$L368="Fine earth / total volume"),"Coarse fragments recorded and the lab basis already accounts for them — no further correction applied, which is correct. ",""))</f>
        <v/>
      </c>
      <c r="T368" s="6"/>
      <c r="U368" s="9" t="n">
        <f aca="false">IF($B368="",0,IF(COUNTIFS($B$5:$B368,$B368)=1,1,0))</f>
        <v>0</v>
      </c>
    </row>
    <row r="369" customFormat="false" ht="15" hidden="false" customHeight="false" outlineLevel="0" collapsed="false">
      <c r="A369" s="6"/>
      <c r="B369" s="6"/>
      <c r="C369" s="6"/>
      <c r="D369" s="6"/>
      <c r="E369" s="6"/>
      <c r="F369" s="9" t="str">
        <f aca="false">IF(OR($D369="",$E369=""),"",$E369-$D369)</f>
        <v/>
      </c>
      <c r="G369" s="6"/>
      <c r="H369" s="6"/>
      <c r="I369" s="6"/>
      <c r="J369" s="9" t="str">
        <f aca="false">IF(OR(NOT(ISNUMBER($H369)),NOT(ISNUMBER($I369)),$H369=0),"",$I369/$H369)</f>
        <v/>
      </c>
      <c r="K369" s="6"/>
      <c r="L369" s="8"/>
      <c r="M369" s="7"/>
      <c r="N369" s="7"/>
      <c r="O369" s="9" t="str">
        <f aca="false">IF(NOT(ISNUMBER($M369)),"",IF($L369="Fine earth / fine-earth volume",$M369*(1-IF(ISNUMBER($K369),$K369,0)/100),$M369))</f>
        <v/>
      </c>
      <c r="P369" s="9" t="str">
        <f aca="false">IF(OR(NOT(ISNUMBER($O369)),NOT(ISNUMBER($N369)),NOT(ISNUMBER($F369))),"",$O369*($N369/100)*$F369*10)</f>
        <v/>
      </c>
      <c r="Q369" s="9" t="str">
        <f aca="false">IF(OR(NOT(ISNUMBER($D369)),NOT(ISNUMBER($E369))),"",MAX(0,MIN($E369,SOIL_REPORTING_DEPTH_CM)-MIN($D369,SOIL_REPORTING_DEPTH_CM)))</f>
        <v/>
      </c>
      <c r="R369" s="9" t="str">
        <f aca="false">IF(OR(NOT(ISNUMBER($O369)),NOT(ISNUMBER($N369)),NOT(ISNUMBER($Q369))),"",$O369*($N369/100)*$Q369*10)</f>
        <v/>
      </c>
      <c r="S369" s="11" t="str">
        <f aca="false">IF(AND($A369="",$B369="",$D369=""),"",IF(AND($A369&lt;&gt;"",COUNTIF('1. Plot &amp; Site Log'!$A$5:$A$64,$A369)=0),"Plot ID not in the Plot &amp; Site Log. ","")&amp;IF(AND(ISNUMBER($D369),ISNUMBER($E369),$E369&lt;=$D369),"Bottom depth is not below top depth. ","")&amp;IF($L369="Not confirmed","Bulk-density basis not confirmed with the lab — the coarse-fragment correction may be wrong or doubled. ","")&amp;IF(LAB_BULK_DENSITY_BASIS="Not confirmed","No lab bulk-density basis is on file in Settings (LAB_BULK_DENSITY_BASIS), so nothing checks this row. ","")&amp;IF(AND($L369&lt;&gt;"",LAB_BULK_DENSITY_BASIS&lt;&gt;"Not confirmed",$L369&lt;&gt;LAB_BULK_DENSITY_BASIS),"This row's bulk-density basis disagrees with the lab method on file. One of "&amp;"the two is wrong, and the coarse-fragment correction follows the row. ","")&amp;IF(AND(ISNUMBER($M369),OR($M369&lt;QC_BD_MIN,$M369&gt;QC_BD_MAX)),"Bulk density outside the plausible range for a mineral grassland soil. ","")&amp;IF(AND(ISNUMBER($N369),$N369&gt;QC_CARBON_PCT_MAX),"Organic carbon above the QC ceiling — check units, and whether this is an organic horizon. ","")&amp;IF(AND(ISNUMBER($J369),$J369&lt;QC_RECOVERY_MIN),"Recovered less than the QC minimum of the depth driven — the increments may not sit where you think. Do NOT stretch them back out. ","")&amp;IF(AND(ISNUMBER($K369),$K369&gt;0,$L369="Fine earth / total volume"),"Coarse fragments recorded and the lab basis already accounts for them — no further correction applied, which is correct. ",""))</f>
        <v/>
      </c>
      <c r="T369" s="6"/>
      <c r="U369" s="9" t="n">
        <f aca="false">IF($B369="",0,IF(COUNTIFS($B$5:$B369,$B369)=1,1,0))</f>
        <v>0</v>
      </c>
    </row>
    <row r="370" customFormat="false" ht="15" hidden="false" customHeight="false" outlineLevel="0" collapsed="false">
      <c r="A370" s="6"/>
      <c r="B370" s="6"/>
      <c r="C370" s="6"/>
      <c r="D370" s="6"/>
      <c r="E370" s="6"/>
      <c r="F370" s="9" t="str">
        <f aca="false">IF(OR($D370="",$E370=""),"",$E370-$D370)</f>
        <v/>
      </c>
      <c r="G370" s="6"/>
      <c r="H370" s="6"/>
      <c r="I370" s="6"/>
      <c r="J370" s="9" t="str">
        <f aca="false">IF(OR(NOT(ISNUMBER($H370)),NOT(ISNUMBER($I370)),$H370=0),"",$I370/$H370)</f>
        <v/>
      </c>
      <c r="K370" s="6"/>
      <c r="L370" s="8"/>
      <c r="M370" s="7"/>
      <c r="N370" s="7"/>
      <c r="O370" s="9" t="str">
        <f aca="false">IF(NOT(ISNUMBER($M370)),"",IF($L370="Fine earth / fine-earth volume",$M370*(1-IF(ISNUMBER($K370),$K370,0)/100),$M370))</f>
        <v/>
      </c>
      <c r="P370" s="9" t="str">
        <f aca="false">IF(OR(NOT(ISNUMBER($O370)),NOT(ISNUMBER($N370)),NOT(ISNUMBER($F370))),"",$O370*($N370/100)*$F370*10)</f>
        <v/>
      </c>
      <c r="Q370" s="9" t="str">
        <f aca="false">IF(OR(NOT(ISNUMBER($D370)),NOT(ISNUMBER($E370))),"",MAX(0,MIN($E370,SOIL_REPORTING_DEPTH_CM)-MIN($D370,SOIL_REPORTING_DEPTH_CM)))</f>
        <v/>
      </c>
      <c r="R370" s="9" t="str">
        <f aca="false">IF(OR(NOT(ISNUMBER($O370)),NOT(ISNUMBER($N370)),NOT(ISNUMBER($Q370))),"",$O370*($N370/100)*$Q370*10)</f>
        <v/>
      </c>
      <c r="S370" s="11" t="str">
        <f aca="false">IF(AND($A370="",$B370="",$D370=""),"",IF(AND($A370&lt;&gt;"",COUNTIF('1. Plot &amp; Site Log'!$A$5:$A$64,$A370)=0),"Plot ID not in the Plot &amp; Site Log. ","")&amp;IF(AND(ISNUMBER($D370),ISNUMBER($E370),$E370&lt;=$D370),"Bottom depth is not below top depth. ","")&amp;IF($L370="Not confirmed","Bulk-density basis not confirmed with the lab — the coarse-fragment correction may be wrong or doubled. ","")&amp;IF(LAB_BULK_DENSITY_BASIS="Not confirmed","No lab bulk-density basis is on file in Settings (LAB_BULK_DENSITY_BASIS), so nothing checks this row. ","")&amp;IF(AND($L370&lt;&gt;"",LAB_BULK_DENSITY_BASIS&lt;&gt;"Not confirmed",$L370&lt;&gt;LAB_BULK_DENSITY_BASIS),"This row's bulk-density basis disagrees with the lab method on file. One of "&amp;"the two is wrong, and the coarse-fragment correction follows the row. ","")&amp;IF(AND(ISNUMBER($M370),OR($M370&lt;QC_BD_MIN,$M370&gt;QC_BD_MAX)),"Bulk density outside the plausible range for a mineral grassland soil. ","")&amp;IF(AND(ISNUMBER($N370),$N370&gt;QC_CARBON_PCT_MAX),"Organic carbon above the QC ceiling — check units, and whether this is an organic horizon. ","")&amp;IF(AND(ISNUMBER($J370),$J370&lt;QC_RECOVERY_MIN),"Recovered less than the QC minimum of the depth driven — the increments may not sit where you think. Do NOT stretch them back out. ","")&amp;IF(AND(ISNUMBER($K370),$K370&gt;0,$L370="Fine earth / total volume"),"Coarse fragments recorded and the lab basis already accounts for them — no further correction applied, which is correct. ",""))</f>
        <v/>
      </c>
      <c r="T370" s="6"/>
      <c r="U370" s="9" t="n">
        <f aca="false">IF($B370="",0,IF(COUNTIFS($B$5:$B370,$B370)=1,1,0))</f>
        <v>0</v>
      </c>
    </row>
    <row r="371" customFormat="false" ht="15" hidden="false" customHeight="false" outlineLevel="0" collapsed="false">
      <c r="A371" s="6"/>
      <c r="B371" s="6"/>
      <c r="C371" s="6"/>
      <c r="D371" s="6"/>
      <c r="E371" s="6"/>
      <c r="F371" s="9" t="str">
        <f aca="false">IF(OR($D371="",$E371=""),"",$E371-$D371)</f>
        <v/>
      </c>
      <c r="G371" s="6"/>
      <c r="H371" s="6"/>
      <c r="I371" s="6"/>
      <c r="J371" s="9" t="str">
        <f aca="false">IF(OR(NOT(ISNUMBER($H371)),NOT(ISNUMBER($I371)),$H371=0),"",$I371/$H371)</f>
        <v/>
      </c>
      <c r="K371" s="6"/>
      <c r="L371" s="8"/>
      <c r="M371" s="7"/>
      <c r="N371" s="7"/>
      <c r="O371" s="9" t="str">
        <f aca="false">IF(NOT(ISNUMBER($M371)),"",IF($L371="Fine earth / fine-earth volume",$M371*(1-IF(ISNUMBER($K371),$K371,0)/100),$M371))</f>
        <v/>
      </c>
      <c r="P371" s="9" t="str">
        <f aca="false">IF(OR(NOT(ISNUMBER($O371)),NOT(ISNUMBER($N371)),NOT(ISNUMBER($F371))),"",$O371*($N371/100)*$F371*10)</f>
        <v/>
      </c>
      <c r="Q371" s="9" t="str">
        <f aca="false">IF(OR(NOT(ISNUMBER($D371)),NOT(ISNUMBER($E371))),"",MAX(0,MIN($E371,SOIL_REPORTING_DEPTH_CM)-MIN($D371,SOIL_REPORTING_DEPTH_CM)))</f>
        <v/>
      </c>
      <c r="R371" s="9" t="str">
        <f aca="false">IF(OR(NOT(ISNUMBER($O371)),NOT(ISNUMBER($N371)),NOT(ISNUMBER($Q371))),"",$O371*($N371/100)*$Q371*10)</f>
        <v/>
      </c>
      <c r="S371" s="11" t="str">
        <f aca="false">IF(AND($A371="",$B371="",$D371=""),"",IF(AND($A371&lt;&gt;"",COUNTIF('1. Plot &amp; Site Log'!$A$5:$A$64,$A371)=0),"Plot ID not in the Plot &amp; Site Log. ","")&amp;IF(AND(ISNUMBER($D371),ISNUMBER($E371),$E371&lt;=$D371),"Bottom depth is not below top depth. ","")&amp;IF($L371="Not confirmed","Bulk-density basis not confirmed with the lab — the coarse-fragment correction may be wrong or doubled. ","")&amp;IF(LAB_BULK_DENSITY_BASIS="Not confirmed","No lab bulk-density basis is on file in Settings (LAB_BULK_DENSITY_BASIS), so nothing checks this row. ","")&amp;IF(AND($L371&lt;&gt;"",LAB_BULK_DENSITY_BASIS&lt;&gt;"Not confirmed",$L371&lt;&gt;LAB_BULK_DENSITY_BASIS),"This row's bulk-density basis disagrees with the lab method on file. One of "&amp;"the two is wrong, and the coarse-fragment correction follows the row. ","")&amp;IF(AND(ISNUMBER($M371),OR($M371&lt;QC_BD_MIN,$M371&gt;QC_BD_MAX)),"Bulk density outside the plausible range for a mineral grassland soil. ","")&amp;IF(AND(ISNUMBER($N371),$N371&gt;QC_CARBON_PCT_MAX),"Organic carbon above the QC ceiling — check units, and whether this is an organic horizon. ","")&amp;IF(AND(ISNUMBER($J371),$J371&lt;QC_RECOVERY_MIN),"Recovered less than the QC minimum of the depth driven — the increments may not sit where you think. Do NOT stretch them back out. ","")&amp;IF(AND(ISNUMBER($K371),$K371&gt;0,$L371="Fine earth / total volume"),"Coarse fragments recorded and the lab basis already accounts for them — no further correction applied, which is correct. ",""))</f>
        <v/>
      </c>
      <c r="T371" s="6"/>
      <c r="U371" s="9" t="n">
        <f aca="false">IF($B371="",0,IF(COUNTIFS($B$5:$B371,$B371)=1,1,0))</f>
        <v>0</v>
      </c>
    </row>
    <row r="372" customFormat="false" ht="15" hidden="false" customHeight="false" outlineLevel="0" collapsed="false">
      <c r="A372" s="6"/>
      <c r="B372" s="6"/>
      <c r="C372" s="6"/>
      <c r="D372" s="6"/>
      <c r="E372" s="6"/>
      <c r="F372" s="9" t="str">
        <f aca="false">IF(OR($D372="",$E372=""),"",$E372-$D372)</f>
        <v/>
      </c>
      <c r="G372" s="6"/>
      <c r="H372" s="6"/>
      <c r="I372" s="6"/>
      <c r="J372" s="9" t="str">
        <f aca="false">IF(OR(NOT(ISNUMBER($H372)),NOT(ISNUMBER($I372)),$H372=0),"",$I372/$H372)</f>
        <v/>
      </c>
      <c r="K372" s="6"/>
      <c r="L372" s="8"/>
      <c r="M372" s="7"/>
      <c r="N372" s="7"/>
      <c r="O372" s="9" t="str">
        <f aca="false">IF(NOT(ISNUMBER($M372)),"",IF($L372="Fine earth / fine-earth volume",$M372*(1-IF(ISNUMBER($K372),$K372,0)/100),$M372))</f>
        <v/>
      </c>
      <c r="P372" s="9" t="str">
        <f aca="false">IF(OR(NOT(ISNUMBER($O372)),NOT(ISNUMBER($N372)),NOT(ISNUMBER($F372))),"",$O372*($N372/100)*$F372*10)</f>
        <v/>
      </c>
      <c r="Q372" s="9" t="str">
        <f aca="false">IF(OR(NOT(ISNUMBER($D372)),NOT(ISNUMBER($E372))),"",MAX(0,MIN($E372,SOIL_REPORTING_DEPTH_CM)-MIN($D372,SOIL_REPORTING_DEPTH_CM)))</f>
        <v/>
      </c>
      <c r="R372" s="9" t="str">
        <f aca="false">IF(OR(NOT(ISNUMBER($O372)),NOT(ISNUMBER($N372)),NOT(ISNUMBER($Q372))),"",$O372*($N372/100)*$Q372*10)</f>
        <v/>
      </c>
      <c r="S372" s="11" t="str">
        <f aca="false">IF(AND($A372="",$B372="",$D372=""),"",IF(AND($A372&lt;&gt;"",COUNTIF('1. Plot &amp; Site Log'!$A$5:$A$64,$A372)=0),"Plot ID not in the Plot &amp; Site Log. ","")&amp;IF(AND(ISNUMBER($D372),ISNUMBER($E372),$E372&lt;=$D372),"Bottom depth is not below top depth. ","")&amp;IF($L372="Not confirmed","Bulk-density basis not confirmed with the lab — the coarse-fragment correction may be wrong or doubled. ","")&amp;IF(LAB_BULK_DENSITY_BASIS="Not confirmed","No lab bulk-density basis is on file in Settings (LAB_BULK_DENSITY_BASIS), so nothing checks this row. ","")&amp;IF(AND($L372&lt;&gt;"",LAB_BULK_DENSITY_BASIS&lt;&gt;"Not confirmed",$L372&lt;&gt;LAB_BULK_DENSITY_BASIS),"This row's bulk-density basis disagrees with the lab method on file. One of "&amp;"the two is wrong, and the coarse-fragment correction follows the row. ","")&amp;IF(AND(ISNUMBER($M372),OR($M372&lt;QC_BD_MIN,$M372&gt;QC_BD_MAX)),"Bulk density outside the plausible range for a mineral grassland soil. ","")&amp;IF(AND(ISNUMBER($N372),$N372&gt;QC_CARBON_PCT_MAX),"Organic carbon above the QC ceiling — check units, and whether this is an organic horizon. ","")&amp;IF(AND(ISNUMBER($J372),$J372&lt;QC_RECOVERY_MIN),"Recovered less than the QC minimum of the depth driven — the increments may not sit where you think. Do NOT stretch them back out. ","")&amp;IF(AND(ISNUMBER($K372),$K372&gt;0,$L372="Fine earth / total volume"),"Coarse fragments recorded and the lab basis already accounts for them — no further correction applied, which is correct. ",""))</f>
        <v/>
      </c>
      <c r="T372" s="6"/>
      <c r="U372" s="9" t="n">
        <f aca="false">IF($B372="",0,IF(COUNTIFS($B$5:$B372,$B372)=1,1,0))</f>
        <v>0</v>
      </c>
    </row>
    <row r="373" customFormat="false" ht="15" hidden="false" customHeight="false" outlineLevel="0" collapsed="false">
      <c r="A373" s="6"/>
      <c r="B373" s="6"/>
      <c r="C373" s="6"/>
      <c r="D373" s="6"/>
      <c r="E373" s="6"/>
      <c r="F373" s="9" t="str">
        <f aca="false">IF(OR($D373="",$E373=""),"",$E373-$D373)</f>
        <v/>
      </c>
      <c r="G373" s="6"/>
      <c r="H373" s="6"/>
      <c r="I373" s="6"/>
      <c r="J373" s="9" t="str">
        <f aca="false">IF(OR(NOT(ISNUMBER($H373)),NOT(ISNUMBER($I373)),$H373=0),"",$I373/$H373)</f>
        <v/>
      </c>
      <c r="K373" s="6"/>
      <c r="L373" s="8"/>
      <c r="M373" s="7"/>
      <c r="N373" s="7"/>
      <c r="O373" s="9" t="str">
        <f aca="false">IF(NOT(ISNUMBER($M373)),"",IF($L373="Fine earth / fine-earth volume",$M373*(1-IF(ISNUMBER($K373),$K373,0)/100),$M373))</f>
        <v/>
      </c>
      <c r="P373" s="9" t="str">
        <f aca="false">IF(OR(NOT(ISNUMBER($O373)),NOT(ISNUMBER($N373)),NOT(ISNUMBER($F373))),"",$O373*($N373/100)*$F373*10)</f>
        <v/>
      </c>
      <c r="Q373" s="9" t="str">
        <f aca="false">IF(OR(NOT(ISNUMBER($D373)),NOT(ISNUMBER($E373))),"",MAX(0,MIN($E373,SOIL_REPORTING_DEPTH_CM)-MIN($D373,SOIL_REPORTING_DEPTH_CM)))</f>
        <v/>
      </c>
      <c r="R373" s="9" t="str">
        <f aca="false">IF(OR(NOT(ISNUMBER($O373)),NOT(ISNUMBER($N373)),NOT(ISNUMBER($Q373))),"",$O373*($N373/100)*$Q373*10)</f>
        <v/>
      </c>
      <c r="S373" s="11" t="str">
        <f aca="false">IF(AND($A373="",$B373="",$D373=""),"",IF(AND($A373&lt;&gt;"",COUNTIF('1. Plot &amp; Site Log'!$A$5:$A$64,$A373)=0),"Plot ID not in the Plot &amp; Site Log. ","")&amp;IF(AND(ISNUMBER($D373),ISNUMBER($E373),$E373&lt;=$D373),"Bottom depth is not below top depth. ","")&amp;IF($L373="Not confirmed","Bulk-density basis not confirmed with the lab — the coarse-fragment correction may be wrong or doubled. ","")&amp;IF(LAB_BULK_DENSITY_BASIS="Not confirmed","No lab bulk-density basis is on file in Settings (LAB_BULK_DENSITY_BASIS), so nothing checks this row. ","")&amp;IF(AND($L373&lt;&gt;"",LAB_BULK_DENSITY_BASIS&lt;&gt;"Not confirmed",$L373&lt;&gt;LAB_BULK_DENSITY_BASIS),"This row's bulk-density basis disagrees with the lab method on file. One of "&amp;"the two is wrong, and the coarse-fragment correction follows the row. ","")&amp;IF(AND(ISNUMBER($M373),OR($M373&lt;QC_BD_MIN,$M373&gt;QC_BD_MAX)),"Bulk density outside the plausible range for a mineral grassland soil. ","")&amp;IF(AND(ISNUMBER($N373),$N373&gt;QC_CARBON_PCT_MAX),"Organic carbon above the QC ceiling — check units, and whether this is an organic horizon. ","")&amp;IF(AND(ISNUMBER($J373),$J373&lt;QC_RECOVERY_MIN),"Recovered less than the QC minimum of the depth driven — the increments may not sit where you think. Do NOT stretch them back out. ","")&amp;IF(AND(ISNUMBER($K373),$K373&gt;0,$L373="Fine earth / total volume"),"Coarse fragments recorded and the lab basis already accounts for them — no further correction applied, which is correct. ",""))</f>
        <v/>
      </c>
      <c r="T373" s="6"/>
      <c r="U373" s="9" t="n">
        <f aca="false">IF($B373="",0,IF(COUNTIFS($B$5:$B373,$B373)=1,1,0))</f>
        <v>0</v>
      </c>
    </row>
    <row r="374" customFormat="false" ht="15" hidden="false" customHeight="false" outlineLevel="0" collapsed="false">
      <c r="A374" s="6"/>
      <c r="B374" s="6"/>
      <c r="C374" s="6"/>
      <c r="D374" s="6"/>
      <c r="E374" s="6"/>
      <c r="F374" s="9" t="str">
        <f aca="false">IF(OR($D374="",$E374=""),"",$E374-$D374)</f>
        <v/>
      </c>
      <c r="G374" s="6"/>
      <c r="H374" s="6"/>
      <c r="I374" s="6"/>
      <c r="J374" s="9" t="str">
        <f aca="false">IF(OR(NOT(ISNUMBER($H374)),NOT(ISNUMBER($I374)),$H374=0),"",$I374/$H374)</f>
        <v/>
      </c>
      <c r="K374" s="6"/>
      <c r="L374" s="8"/>
      <c r="M374" s="7"/>
      <c r="N374" s="7"/>
      <c r="O374" s="9" t="str">
        <f aca="false">IF(NOT(ISNUMBER($M374)),"",IF($L374="Fine earth / fine-earth volume",$M374*(1-IF(ISNUMBER($K374),$K374,0)/100),$M374))</f>
        <v/>
      </c>
      <c r="P374" s="9" t="str">
        <f aca="false">IF(OR(NOT(ISNUMBER($O374)),NOT(ISNUMBER($N374)),NOT(ISNUMBER($F374))),"",$O374*($N374/100)*$F374*10)</f>
        <v/>
      </c>
      <c r="Q374" s="9" t="str">
        <f aca="false">IF(OR(NOT(ISNUMBER($D374)),NOT(ISNUMBER($E374))),"",MAX(0,MIN($E374,SOIL_REPORTING_DEPTH_CM)-MIN($D374,SOIL_REPORTING_DEPTH_CM)))</f>
        <v/>
      </c>
      <c r="R374" s="9" t="str">
        <f aca="false">IF(OR(NOT(ISNUMBER($O374)),NOT(ISNUMBER($N374)),NOT(ISNUMBER($Q374))),"",$O374*($N374/100)*$Q374*10)</f>
        <v/>
      </c>
      <c r="S374" s="11" t="str">
        <f aca="false">IF(AND($A374="",$B374="",$D374=""),"",IF(AND($A374&lt;&gt;"",COUNTIF('1. Plot &amp; Site Log'!$A$5:$A$64,$A374)=0),"Plot ID not in the Plot &amp; Site Log. ","")&amp;IF(AND(ISNUMBER($D374),ISNUMBER($E374),$E374&lt;=$D374),"Bottom depth is not below top depth. ","")&amp;IF($L374="Not confirmed","Bulk-density basis not confirmed with the lab — the coarse-fragment correction may be wrong or doubled. ","")&amp;IF(LAB_BULK_DENSITY_BASIS="Not confirmed","No lab bulk-density basis is on file in Settings (LAB_BULK_DENSITY_BASIS), so nothing checks this row. ","")&amp;IF(AND($L374&lt;&gt;"",LAB_BULK_DENSITY_BASIS&lt;&gt;"Not confirmed",$L374&lt;&gt;LAB_BULK_DENSITY_BASIS),"This row's bulk-density basis disagrees with the lab method on file. One of "&amp;"the two is wrong, and the coarse-fragment correction follows the row. ","")&amp;IF(AND(ISNUMBER($M374),OR($M374&lt;QC_BD_MIN,$M374&gt;QC_BD_MAX)),"Bulk density outside the plausible range for a mineral grassland soil. ","")&amp;IF(AND(ISNUMBER($N374),$N374&gt;QC_CARBON_PCT_MAX),"Organic carbon above the QC ceiling — check units, and whether this is an organic horizon. ","")&amp;IF(AND(ISNUMBER($J374),$J374&lt;QC_RECOVERY_MIN),"Recovered less than the QC minimum of the depth driven — the increments may not sit where you think. Do NOT stretch them back out. ","")&amp;IF(AND(ISNUMBER($K374),$K374&gt;0,$L374="Fine earth / total volume"),"Coarse fragments recorded and the lab basis already accounts for them — no further correction applied, which is correct. ",""))</f>
        <v/>
      </c>
      <c r="T374" s="6"/>
      <c r="U374" s="9" t="n">
        <f aca="false">IF($B374="",0,IF(COUNTIFS($B$5:$B374,$B374)=1,1,0))</f>
        <v>0</v>
      </c>
    </row>
    <row r="375" customFormat="false" ht="15" hidden="false" customHeight="false" outlineLevel="0" collapsed="false">
      <c r="A375" s="6"/>
      <c r="B375" s="6"/>
      <c r="C375" s="6"/>
      <c r="D375" s="6"/>
      <c r="E375" s="6"/>
      <c r="F375" s="9" t="str">
        <f aca="false">IF(OR($D375="",$E375=""),"",$E375-$D375)</f>
        <v/>
      </c>
      <c r="G375" s="6"/>
      <c r="H375" s="6"/>
      <c r="I375" s="6"/>
      <c r="J375" s="9" t="str">
        <f aca="false">IF(OR(NOT(ISNUMBER($H375)),NOT(ISNUMBER($I375)),$H375=0),"",$I375/$H375)</f>
        <v/>
      </c>
      <c r="K375" s="6"/>
      <c r="L375" s="8"/>
      <c r="M375" s="7"/>
      <c r="N375" s="7"/>
      <c r="O375" s="9" t="str">
        <f aca="false">IF(NOT(ISNUMBER($M375)),"",IF($L375="Fine earth / fine-earth volume",$M375*(1-IF(ISNUMBER($K375),$K375,0)/100),$M375))</f>
        <v/>
      </c>
      <c r="P375" s="9" t="str">
        <f aca="false">IF(OR(NOT(ISNUMBER($O375)),NOT(ISNUMBER($N375)),NOT(ISNUMBER($F375))),"",$O375*($N375/100)*$F375*10)</f>
        <v/>
      </c>
      <c r="Q375" s="9" t="str">
        <f aca="false">IF(OR(NOT(ISNUMBER($D375)),NOT(ISNUMBER($E375))),"",MAX(0,MIN($E375,SOIL_REPORTING_DEPTH_CM)-MIN($D375,SOIL_REPORTING_DEPTH_CM)))</f>
        <v/>
      </c>
      <c r="R375" s="9" t="str">
        <f aca="false">IF(OR(NOT(ISNUMBER($O375)),NOT(ISNUMBER($N375)),NOT(ISNUMBER($Q375))),"",$O375*($N375/100)*$Q375*10)</f>
        <v/>
      </c>
      <c r="S375" s="11" t="str">
        <f aca="false">IF(AND($A375="",$B375="",$D375=""),"",IF(AND($A375&lt;&gt;"",COUNTIF('1. Plot &amp; Site Log'!$A$5:$A$64,$A375)=0),"Plot ID not in the Plot &amp; Site Log. ","")&amp;IF(AND(ISNUMBER($D375),ISNUMBER($E375),$E375&lt;=$D375),"Bottom depth is not below top depth. ","")&amp;IF($L375="Not confirmed","Bulk-density basis not confirmed with the lab — the coarse-fragment correction may be wrong or doubled. ","")&amp;IF(LAB_BULK_DENSITY_BASIS="Not confirmed","No lab bulk-density basis is on file in Settings (LAB_BULK_DENSITY_BASIS), so nothing checks this row. ","")&amp;IF(AND($L375&lt;&gt;"",LAB_BULK_DENSITY_BASIS&lt;&gt;"Not confirmed",$L375&lt;&gt;LAB_BULK_DENSITY_BASIS),"This row's bulk-density basis disagrees with the lab method on file. One of "&amp;"the two is wrong, and the coarse-fragment correction follows the row. ","")&amp;IF(AND(ISNUMBER($M375),OR($M375&lt;QC_BD_MIN,$M375&gt;QC_BD_MAX)),"Bulk density outside the plausible range for a mineral grassland soil. ","")&amp;IF(AND(ISNUMBER($N375),$N375&gt;QC_CARBON_PCT_MAX),"Organic carbon above the QC ceiling — check units, and whether this is an organic horizon. ","")&amp;IF(AND(ISNUMBER($J375),$J375&lt;QC_RECOVERY_MIN),"Recovered less than the QC minimum of the depth driven — the increments may not sit where you think. Do NOT stretch them back out. ","")&amp;IF(AND(ISNUMBER($K375),$K375&gt;0,$L375="Fine earth / total volume"),"Coarse fragments recorded and the lab basis already accounts for them — no further correction applied, which is correct. ",""))</f>
        <v/>
      </c>
      <c r="T375" s="6"/>
      <c r="U375" s="9" t="n">
        <f aca="false">IF($B375="",0,IF(COUNTIFS($B$5:$B375,$B375)=1,1,0))</f>
        <v>0</v>
      </c>
    </row>
    <row r="376" customFormat="false" ht="15" hidden="false" customHeight="false" outlineLevel="0" collapsed="false">
      <c r="A376" s="6"/>
      <c r="B376" s="6"/>
      <c r="C376" s="6"/>
      <c r="D376" s="6"/>
      <c r="E376" s="6"/>
      <c r="F376" s="9" t="str">
        <f aca="false">IF(OR($D376="",$E376=""),"",$E376-$D376)</f>
        <v/>
      </c>
      <c r="G376" s="6"/>
      <c r="H376" s="6"/>
      <c r="I376" s="6"/>
      <c r="J376" s="9" t="str">
        <f aca="false">IF(OR(NOT(ISNUMBER($H376)),NOT(ISNUMBER($I376)),$H376=0),"",$I376/$H376)</f>
        <v/>
      </c>
      <c r="K376" s="6"/>
      <c r="L376" s="8"/>
      <c r="M376" s="7"/>
      <c r="N376" s="7"/>
      <c r="O376" s="9" t="str">
        <f aca="false">IF(NOT(ISNUMBER($M376)),"",IF($L376="Fine earth / fine-earth volume",$M376*(1-IF(ISNUMBER($K376),$K376,0)/100),$M376))</f>
        <v/>
      </c>
      <c r="P376" s="9" t="str">
        <f aca="false">IF(OR(NOT(ISNUMBER($O376)),NOT(ISNUMBER($N376)),NOT(ISNUMBER($F376))),"",$O376*($N376/100)*$F376*10)</f>
        <v/>
      </c>
      <c r="Q376" s="9" t="str">
        <f aca="false">IF(OR(NOT(ISNUMBER($D376)),NOT(ISNUMBER($E376))),"",MAX(0,MIN($E376,SOIL_REPORTING_DEPTH_CM)-MIN($D376,SOIL_REPORTING_DEPTH_CM)))</f>
        <v/>
      </c>
      <c r="R376" s="9" t="str">
        <f aca="false">IF(OR(NOT(ISNUMBER($O376)),NOT(ISNUMBER($N376)),NOT(ISNUMBER($Q376))),"",$O376*($N376/100)*$Q376*10)</f>
        <v/>
      </c>
      <c r="S376" s="11" t="str">
        <f aca="false">IF(AND($A376="",$B376="",$D376=""),"",IF(AND($A376&lt;&gt;"",COUNTIF('1. Plot &amp; Site Log'!$A$5:$A$64,$A376)=0),"Plot ID not in the Plot &amp; Site Log. ","")&amp;IF(AND(ISNUMBER($D376),ISNUMBER($E376),$E376&lt;=$D376),"Bottom depth is not below top depth. ","")&amp;IF($L376="Not confirmed","Bulk-density basis not confirmed with the lab — the coarse-fragment correction may be wrong or doubled. ","")&amp;IF(LAB_BULK_DENSITY_BASIS="Not confirmed","No lab bulk-density basis is on file in Settings (LAB_BULK_DENSITY_BASIS), so nothing checks this row. ","")&amp;IF(AND($L376&lt;&gt;"",LAB_BULK_DENSITY_BASIS&lt;&gt;"Not confirmed",$L376&lt;&gt;LAB_BULK_DENSITY_BASIS),"This row's bulk-density basis disagrees with the lab method on file. One of "&amp;"the two is wrong, and the coarse-fragment correction follows the row. ","")&amp;IF(AND(ISNUMBER($M376),OR($M376&lt;QC_BD_MIN,$M376&gt;QC_BD_MAX)),"Bulk density outside the plausible range for a mineral grassland soil. ","")&amp;IF(AND(ISNUMBER($N376),$N376&gt;QC_CARBON_PCT_MAX),"Organic carbon above the QC ceiling — check units, and whether this is an organic horizon. ","")&amp;IF(AND(ISNUMBER($J376),$J376&lt;QC_RECOVERY_MIN),"Recovered less than the QC minimum of the depth driven — the increments may not sit where you think. Do NOT stretch them back out. ","")&amp;IF(AND(ISNUMBER($K376),$K376&gt;0,$L376="Fine earth / total volume"),"Coarse fragments recorded and the lab basis already accounts for them — no further correction applied, which is correct. ",""))</f>
        <v/>
      </c>
      <c r="T376" s="6"/>
      <c r="U376" s="9" t="n">
        <f aca="false">IF($B376="",0,IF(COUNTIFS($B$5:$B376,$B376)=1,1,0))</f>
        <v>0</v>
      </c>
    </row>
    <row r="377" customFormat="false" ht="15" hidden="false" customHeight="false" outlineLevel="0" collapsed="false">
      <c r="A377" s="6"/>
      <c r="B377" s="6"/>
      <c r="C377" s="6"/>
      <c r="D377" s="6"/>
      <c r="E377" s="6"/>
      <c r="F377" s="9" t="str">
        <f aca="false">IF(OR($D377="",$E377=""),"",$E377-$D377)</f>
        <v/>
      </c>
      <c r="G377" s="6"/>
      <c r="H377" s="6"/>
      <c r="I377" s="6"/>
      <c r="J377" s="9" t="str">
        <f aca="false">IF(OR(NOT(ISNUMBER($H377)),NOT(ISNUMBER($I377)),$H377=0),"",$I377/$H377)</f>
        <v/>
      </c>
      <c r="K377" s="6"/>
      <c r="L377" s="8"/>
      <c r="M377" s="7"/>
      <c r="N377" s="7"/>
      <c r="O377" s="9" t="str">
        <f aca="false">IF(NOT(ISNUMBER($M377)),"",IF($L377="Fine earth / fine-earth volume",$M377*(1-IF(ISNUMBER($K377),$K377,0)/100),$M377))</f>
        <v/>
      </c>
      <c r="P377" s="9" t="str">
        <f aca="false">IF(OR(NOT(ISNUMBER($O377)),NOT(ISNUMBER($N377)),NOT(ISNUMBER($F377))),"",$O377*($N377/100)*$F377*10)</f>
        <v/>
      </c>
      <c r="Q377" s="9" t="str">
        <f aca="false">IF(OR(NOT(ISNUMBER($D377)),NOT(ISNUMBER($E377))),"",MAX(0,MIN($E377,SOIL_REPORTING_DEPTH_CM)-MIN($D377,SOIL_REPORTING_DEPTH_CM)))</f>
        <v/>
      </c>
      <c r="R377" s="9" t="str">
        <f aca="false">IF(OR(NOT(ISNUMBER($O377)),NOT(ISNUMBER($N377)),NOT(ISNUMBER($Q377))),"",$O377*($N377/100)*$Q377*10)</f>
        <v/>
      </c>
      <c r="S377" s="11" t="str">
        <f aca="false">IF(AND($A377="",$B377="",$D377=""),"",IF(AND($A377&lt;&gt;"",COUNTIF('1. Plot &amp; Site Log'!$A$5:$A$64,$A377)=0),"Plot ID not in the Plot &amp; Site Log. ","")&amp;IF(AND(ISNUMBER($D377),ISNUMBER($E377),$E377&lt;=$D377),"Bottom depth is not below top depth. ","")&amp;IF($L377="Not confirmed","Bulk-density basis not confirmed with the lab — the coarse-fragment correction may be wrong or doubled. ","")&amp;IF(LAB_BULK_DENSITY_BASIS="Not confirmed","No lab bulk-density basis is on file in Settings (LAB_BULK_DENSITY_BASIS), so nothing checks this row. ","")&amp;IF(AND($L377&lt;&gt;"",LAB_BULK_DENSITY_BASIS&lt;&gt;"Not confirmed",$L377&lt;&gt;LAB_BULK_DENSITY_BASIS),"This row's bulk-density basis disagrees with the lab method on file. One of "&amp;"the two is wrong, and the coarse-fragment correction follows the row. ","")&amp;IF(AND(ISNUMBER($M377),OR($M377&lt;QC_BD_MIN,$M377&gt;QC_BD_MAX)),"Bulk density outside the plausible range for a mineral grassland soil. ","")&amp;IF(AND(ISNUMBER($N377),$N377&gt;QC_CARBON_PCT_MAX),"Organic carbon above the QC ceiling — check units, and whether this is an organic horizon. ","")&amp;IF(AND(ISNUMBER($J377),$J377&lt;QC_RECOVERY_MIN),"Recovered less than the QC minimum of the depth driven — the increments may not sit where you think. Do NOT stretch them back out. ","")&amp;IF(AND(ISNUMBER($K377),$K377&gt;0,$L377="Fine earth / total volume"),"Coarse fragments recorded and the lab basis already accounts for them — no further correction applied, which is correct. ",""))</f>
        <v/>
      </c>
      <c r="T377" s="6"/>
      <c r="U377" s="9" t="n">
        <f aca="false">IF($B377="",0,IF(COUNTIFS($B$5:$B377,$B377)=1,1,0))</f>
        <v>0</v>
      </c>
    </row>
    <row r="378" customFormat="false" ht="15" hidden="false" customHeight="false" outlineLevel="0" collapsed="false">
      <c r="A378" s="6"/>
      <c r="B378" s="6"/>
      <c r="C378" s="6"/>
      <c r="D378" s="6"/>
      <c r="E378" s="6"/>
      <c r="F378" s="9" t="str">
        <f aca="false">IF(OR($D378="",$E378=""),"",$E378-$D378)</f>
        <v/>
      </c>
      <c r="G378" s="6"/>
      <c r="H378" s="6"/>
      <c r="I378" s="6"/>
      <c r="J378" s="9" t="str">
        <f aca="false">IF(OR(NOT(ISNUMBER($H378)),NOT(ISNUMBER($I378)),$H378=0),"",$I378/$H378)</f>
        <v/>
      </c>
      <c r="K378" s="6"/>
      <c r="L378" s="8"/>
      <c r="M378" s="7"/>
      <c r="N378" s="7"/>
      <c r="O378" s="9" t="str">
        <f aca="false">IF(NOT(ISNUMBER($M378)),"",IF($L378="Fine earth / fine-earth volume",$M378*(1-IF(ISNUMBER($K378),$K378,0)/100),$M378))</f>
        <v/>
      </c>
      <c r="P378" s="9" t="str">
        <f aca="false">IF(OR(NOT(ISNUMBER($O378)),NOT(ISNUMBER($N378)),NOT(ISNUMBER($F378))),"",$O378*($N378/100)*$F378*10)</f>
        <v/>
      </c>
      <c r="Q378" s="9" t="str">
        <f aca="false">IF(OR(NOT(ISNUMBER($D378)),NOT(ISNUMBER($E378))),"",MAX(0,MIN($E378,SOIL_REPORTING_DEPTH_CM)-MIN($D378,SOIL_REPORTING_DEPTH_CM)))</f>
        <v/>
      </c>
      <c r="R378" s="9" t="str">
        <f aca="false">IF(OR(NOT(ISNUMBER($O378)),NOT(ISNUMBER($N378)),NOT(ISNUMBER($Q378))),"",$O378*($N378/100)*$Q378*10)</f>
        <v/>
      </c>
      <c r="S378" s="11" t="str">
        <f aca="false">IF(AND($A378="",$B378="",$D378=""),"",IF(AND($A378&lt;&gt;"",COUNTIF('1. Plot &amp; Site Log'!$A$5:$A$64,$A378)=0),"Plot ID not in the Plot &amp; Site Log. ","")&amp;IF(AND(ISNUMBER($D378),ISNUMBER($E378),$E378&lt;=$D378),"Bottom depth is not below top depth. ","")&amp;IF($L378="Not confirmed","Bulk-density basis not confirmed with the lab — the coarse-fragment correction may be wrong or doubled. ","")&amp;IF(LAB_BULK_DENSITY_BASIS="Not confirmed","No lab bulk-density basis is on file in Settings (LAB_BULK_DENSITY_BASIS), so nothing checks this row. ","")&amp;IF(AND($L378&lt;&gt;"",LAB_BULK_DENSITY_BASIS&lt;&gt;"Not confirmed",$L378&lt;&gt;LAB_BULK_DENSITY_BASIS),"This row's bulk-density basis disagrees with the lab method on file. One of "&amp;"the two is wrong, and the coarse-fragment correction follows the row. ","")&amp;IF(AND(ISNUMBER($M378),OR($M378&lt;QC_BD_MIN,$M378&gt;QC_BD_MAX)),"Bulk density outside the plausible range for a mineral grassland soil. ","")&amp;IF(AND(ISNUMBER($N378),$N378&gt;QC_CARBON_PCT_MAX),"Organic carbon above the QC ceiling — check units, and whether this is an organic horizon. ","")&amp;IF(AND(ISNUMBER($J378),$J378&lt;QC_RECOVERY_MIN),"Recovered less than the QC minimum of the depth driven — the increments may not sit where you think. Do NOT stretch them back out. ","")&amp;IF(AND(ISNUMBER($K378),$K378&gt;0,$L378="Fine earth / total volume"),"Coarse fragments recorded and the lab basis already accounts for them — no further correction applied, which is correct. ",""))</f>
        <v/>
      </c>
      <c r="T378" s="6"/>
      <c r="U378" s="9" t="n">
        <f aca="false">IF($B378="",0,IF(COUNTIFS($B$5:$B378,$B378)=1,1,0))</f>
        <v>0</v>
      </c>
    </row>
    <row r="379" customFormat="false" ht="15" hidden="false" customHeight="false" outlineLevel="0" collapsed="false">
      <c r="A379" s="6"/>
      <c r="B379" s="6"/>
      <c r="C379" s="6"/>
      <c r="D379" s="6"/>
      <c r="E379" s="6"/>
      <c r="F379" s="9" t="str">
        <f aca="false">IF(OR($D379="",$E379=""),"",$E379-$D379)</f>
        <v/>
      </c>
      <c r="G379" s="6"/>
      <c r="H379" s="6"/>
      <c r="I379" s="6"/>
      <c r="J379" s="9" t="str">
        <f aca="false">IF(OR(NOT(ISNUMBER($H379)),NOT(ISNUMBER($I379)),$H379=0),"",$I379/$H379)</f>
        <v/>
      </c>
      <c r="K379" s="6"/>
      <c r="L379" s="8"/>
      <c r="M379" s="7"/>
      <c r="N379" s="7"/>
      <c r="O379" s="9" t="str">
        <f aca="false">IF(NOT(ISNUMBER($M379)),"",IF($L379="Fine earth / fine-earth volume",$M379*(1-IF(ISNUMBER($K379),$K379,0)/100),$M379))</f>
        <v/>
      </c>
      <c r="P379" s="9" t="str">
        <f aca="false">IF(OR(NOT(ISNUMBER($O379)),NOT(ISNUMBER($N379)),NOT(ISNUMBER($F379))),"",$O379*($N379/100)*$F379*10)</f>
        <v/>
      </c>
      <c r="Q379" s="9" t="str">
        <f aca="false">IF(OR(NOT(ISNUMBER($D379)),NOT(ISNUMBER($E379))),"",MAX(0,MIN($E379,SOIL_REPORTING_DEPTH_CM)-MIN($D379,SOIL_REPORTING_DEPTH_CM)))</f>
        <v/>
      </c>
      <c r="R379" s="9" t="str">
        <f aca="false">IF(OR(NOT(ISNUMBER($O379)),NOT(ISNUMBER($N379)),NOT(ISNUMBER($Q379))),"",$O379*($N379/100)*$Q379*10)</f>
        <v/>
      </c>
      <c r="S379" s="11" t="str">
        <f aca="false">IF(AND($A379="",$B379="",$D379=""),"",IF(AND($A379&lt;&gt;"",COUNTIF('1. Plot &amp; Site Log'!$A$5:$A$64,$A379)=0),"Plot ID not in the Plot &amp; Site Log. ","")&amp;IF(AND(ISNUMBER($D379),ISNUMBER($E379),$E379&lt;=$D379),"Bottom depth is not below top depth. ","")&amp;IF($L379="Not confirmed","Bulk-density basis not confirmed with the lab — the coarse-fragment correction may be wrong or doubled. ","")&amp;IF(LAB_BULK_DENSITY_BASIS="Not confirmed","No lab bulk-density basis is on file in Settings (LAB_BULK_DENSITY_BASIS), so nothing checks this row. ","")&amp;IF(AND($L379&lt;&gt;"",LAB_BULK_DENSITY_BASIS&lt;&gt;"Not confirmed",$L379&lt;&gt;LAB_BULK_DENSITY_BASIS),"This row's bulk-density basis disagrees with the lab method on file. One of "&amp;"the two is wrong, and the coarse-fragment correction follows the row. ","")&amp;IF(AND(ISNUMBER($M379),OR($M379&lt;QC_BD_MIN,$M379&gt;QC_BD_MAX)),"Bulk density outside the plausible range for a mineral grassland soil. ","")&amp;IF(AND(ISNUMBER($N379),$N379&gt;QC_CARBON_PCT_MAX),"Organic carbon above the QC ceiling — check units, and whether this is an organic horizon. ","")&amp;IF(AND(ISNUMBER($J379),$J379&lt;QC_RECOVERY_MIN),"Recovered less than the QC minimum of the depth driven — the increments may not sit where you think. Do NOT stretch them back out. ","")&amp;IF(AND(ISNUMBER($K379),$K379&gt;0,$L379="Fine earth / total volume"),"Coarse fragments recorded and the lab basis already accounts for them — no further correction applied, which is correct. ",""))</f>
        <v/>
      </c>
      <c r="T379" s="6"/>
      <c r="U379" s="9" t="n">
        <f aca="false">IF($B379="",0,IF(COUNTIFS($B$5:$B379,$B379)=1,1,0))</f>
        <v>0</v>
      </c>
    </row>
    <row r="380" customFormat="false" ht="15" hidden="false" customHeight="false" outlineLevel="0" collapsed="false">
      <c r="A380" s="6"/>
      <c r="B380" s="6"/>
      <c r="C380" s="6"/>
      <c r="D380" s="6"/>
      <c r="E380" s="6"/>
      <c r="F380" s="9" t="str">
        <f aca="false">IF(OR($D380="",$E380=""),"",$E380-$D380)</f>
        <v/>
      </c>
      <c r="G380" s="6"/>
      <c r="H380" s="6"/>
      <c r="I380" s="6"/>
      <c r="J380" s="9" t="str">
        <f aca="false">IF(OR(NOT(ISNUMBER($H380)),NOT(ISNUMBER($I380)),$H380=0),"",$I380/$H380)</f>
        <v/>
      </c>
      <c r="K380" s="6"/>
      <c r="L380" s="8"/>
      <c r="M380" s="7"/>
      <c r="N380" s="7"/>
      <c r="O380" s="9" t="str">
        <f aca="false">IF(NOT(ISNUMBER($M380)),"",IF($L380="Fine earth / fine-earth volume",$M380*(1-IF(ISNUMBER($K380),$K380,0)/100),$M380))</f>
        <v/>
      </c>
      <c r="P380" s="9" t="str">
        <f aca="false">IF(OR(NOT(ISNUMBER($O380)),NOT(ISNUMBER($N380)),NOT(ISNUMBER($F380))),"",$O380*($N380/100)*$F380*10)</f>
        <v/>
      </c>
      <c r="Q380" s="9" t="str">
        <f aca="false">IF(OR(NOT(ISNUMBER($D380)),NOT(ISNUMBER($E380))),"",MAX(0,MIN($E380,SOIL_REPORTING_DEPTH_CM)-MIN($D380,SOIL_REPORTING_DEPTH_CM)))</f>
        <v/>
      </c>
      <c r="R380" s="9" t="str">
        <f aca="false">IF(OR(NOT(ISNUMBER($O380)),NOT(ISNUMBER($N380)),NOT(ISNUMBER($Q380))),"",$O380*($N380/100)*$Q380*10)</f>
        <v/>
      </c>
      <c r="S380" s="11" t="str">
        <f aca="false">IF(AND($A380="",$B380="",$D380=""),"",IF(AND($A380&lt;&gt;"",COUNTIF('1. Plot &amp; Site Log'!$A$5:$A$64,$A380)=0),"Plot ID not in the Plot &amp; Site Log. ","")&amp;IF(AND(ISNUMBER($D380),ISNUMBER($E380),$E380&lt;=$D380),"Bottom depth is not below top depth. ","")&amp;IF($L380="Not confirmed","Bulk-density basis not confirmed with the lab — the coarse-fragment correction may be wrong or doubled. ","")&amp;IF(LAB_BULK_DENSITY_BASIS="Not confirmed","No lab bulk-density basis is on file in Settings (LAB_BULK_DENSITY_BASIS), so nothing checks this row. ","")&amp;IF(AND($L380&lt;&gt;"",LAB_BULK_DENSITY_BASIS&lt;&gt;"Not confirmed",$L380&lt;&gt;LAB_BULK_DENSITY_BASIS),"This row's bulk-density basis disagrees with the lab method on file. One of "&amp;"the two is wrong, and the coarse-fragment correction follows the row. ","")&amp;IF(AND(ISNUMBER($M380),OR($M380&lt;QC_BD_MIN,$M380&gt;QC_BD_MAX)),"Bulk density outside the plausible range for a mineral grassland soil. ","")&amp;IF(AND(ISNUMBER($N380),$N380&gt;QC_CARBON_PCT_MAX),"Organic carbon above the QC ceiling — check units, and whether this is an organic horizon. ","")&amp;IF(AND(ISNUMBER($J380),$J380&lt;QC_RECOVERY_MIN),"Recovered less than the QC minimum of the depth driven — the increments may not sit where you think. Do NOT stretch them back out. ","")&amp;IF(AND(ISNUMBER($K380),$K380&gt;0,$L380="Fine earth / total volume"),"Coarse fragments recorded and the lab basis already accounts for them — no further correction applied, which is correct. ",""))</f>
        <v/>
      </c>
      <c r="T380" s="6"/>
      <c r="U380" s="9" t="n">
        <f aca="false">IF($B380="",0,IF(COUNTIFS($B$5:$B380,$B380)=1,1,0))</f>
        <v>0</v>
      </c>
    </row>
    <row r="381" customFormat="false" ht="15" hidden="false" customHeight="false" outlineLevel="0" collapsed="false">
      <c r="A381" s="6"/>
      <c r="B381" s="6"/>
      <c r="C381" s="6"/>
      <c r="D381" s="6"/>
      <c r="E381" s="6"/>
      <c r="F381" s="9" t="str">
        <f aca="false">IF(OR($D381="",$E381=""),"",$E381-$D381)</f>
        <v/>
      </c>
      <c r="G381" s="6"/>
      <c r="H381" s="6"/>
      <c r="I381" s="6"/>
      <c r="J381" s="9" t="str">
        <f aca="false">IF(OR(NOT(ISNUMBER($H381)),NOT(ISNUMBER($I381)),$H381=0),"",$I381/$H381)</f>
        <v/>
      </c>
      <c r="K381" s="6"/>
      <c r="L381" s="8"/>
      <c r="M381" s="7"/>
      <c r="N381" s="7"/>
      <c r="O381" s="9" t="str">
        <f aca="false">IF(NOT(ISNUMBER($M381)),"",IF($L381="Fine earth / fine-earth volume",$M381*(1-IF(ISNUMBER($K381),$K381,0)/100),$M381))</f>
        <v/>
      </c>
      <c r="P381" s="9" t="str">
        <f aca="false">IF(OR(NOT(ISNUMBER($O381)),NOT(ISNUMBER($N381)),NOT(ISNUMBER($F381))),"",$O381*($N381/100)*$F381*10)</f>
        <v/>
      </c>
      <c r="Q381" s="9" t="str">
        <f aca="false">IF(OR(NOT(ISNUMBER($D381)),NOT(ISNUMBER($E381))),"",MAX(0,MIN($E381,SOIL_REPORTING_DEPTH_CM)-MIN($D381,SOIL_REPORTING_DEPTH_CM)))</f>
        <v/>
      </c>
      <c r="R381" s="9" t="str">
        <f aca="false">IF(OR(NOT(ISNUMBER($O381)),NOT(ISNUMBER($N381)),NOT(ISNUMBER($Q381))),"",$O381*($N381/100)*$Q381*10)</f>
        <v/>
      </c>
      <c r="S381" s="11" t="str">
        <f aca="false">IF(AND($A381="",$B381="",$D381=""),"",IF(AND($A381&lt;&gt;"",COUNTIF('1. Plot &amp; Site Log'!$A$5:$A$64,$A381)=0),"Plot ID not in the Plot &amp; Site Log. ","")&amp;IF(AND(ISNUMBER($D381),ISNUMBER($E381),$E381&lt;=$D381),"Bottom depth is not below top depth. ","")&amp;IF($L381="Not confirmed","Bulk-density basis not confirmed with the lab — the coarse-fragment correction may be wrong or doubled. ","")&amp;IF(LAB_BULK_DENSITY_BASIS="Not confirmed","No lab bulk-density basis is on file in Settings (LAB_BULK_DENSITY_BASIS), so nothing checks this row. ","")&amp;IF(AND($L381&lt;&gt;"",LAB_BULK_DENSITY_BASIS&lt;&gt;"Not confirmed",$L381&lt;&gt;LAB_BULK_DENSITY_BASIS),"This row's bulk-density basis disagrees with the lab method on file. One of "&amp;"the two is wrong, and the coarse-fragment correction follows the row. ","")&amp;IF(AND(ISNUMBER($M381),OR($M381&lt;QC_BD_MIN,$M381&gt;QC_BD_MAX)),"Bulk density outside the plausible range for a mineral grassland soil. ","")&amp;IF(AND(ISNUMBER($N381),$N381&gt;QC_CARBON_PCT_MAX),"Organic carbon above the QC ceiling — check units, and whether this is an organic horizon. ","")&amp;IF(AND(ISNUMBER($J381),$J381&lt;QC_RECOVERY_MIN),"Recovered less than the QC minimum of the depth driven — the increments may not sit where you think. Do NOT stretch them back out. ","")&amp;IF(AND(ISNUMBER($K381),$K381&gt;0,$L381="Fine earth / total volume"),"Coarse fragments recorded and the lab basis already accounts for them — no further correction applied, which is correct. ",""))</f>
        <v/>
      </c>
      <c r="T381" s="6"/>
      <c r="U381" s="9" t="n">
        <f aca="false">IF($B381="",0,IF(COUNTIFS($B$5:$B381,$B381)=1,1,0))</f>
        <v>0</v>
      </c>
    </row>
    <row r="382" customFormat="false" ht="15" hidden="false" customHeight="false" outlineLevel="0" collapsed="false">
      <c r="A382" s="6"/>
      <c r="B382" s="6"/>
      <c r="C382" s="6"/>
      <c r="D382" s="6"/>
      <c r="E382" s="6"/>
      <c r="F382" s="9" t="str">
        <f aca="false">IF(OR($D382="",$E382=""),"",$E382-$D382)</f>
        <v/>
      </c>
      <c r="G382" s="6"/>
      <c r="H382" s="6"/>
      <c r="I382" s="6"/>
      <c r="J382" s="9" t="str">
        <f aca="false">IF(OR(NOT(ISNUMBER($H382)),NOT(ISNUMBER($I382)),$H382=0),"",$I382/$H382)</f>
        <v/>
      </c>
      <c r="K382" s="6"/>
      <c r="L382" s="8"/>
      <c r="M382" s="7"/>
      <c r="N382" s="7"/>
      <c r="O382" s="9" t="str">
        <f aca="false">IF(NOT(ISNUMBER($M382)),"",IF($L382="Fine earth / fine-earth volume",$M382*(1-IF(ISNUMBER($K382),$K382,0)/100),$M382))</f>
        <v/>
      </c>
      <c r="P382" s="9" t="str">
        <f aca="false">IF(OR(NOT(ISNUMBER($O382)),NOT(ISNUMBER($N382)),NOT(ISNUMBER($F382))),"",$O382*($N382/100)*$F382*10)</f>
        <v/>
      </c>
      <c r="Q382" s="9" t="str">
        <f aca="false">IF(OR(NOT(ISNUMBER($D382)),NOT(ISNUMBER($E382))),"",MAX(0,MIN($E382,SOIL_REPORTING_DEPTH_CM)-MIN($D382,SOIL_REPORTING_DEPTH_CM)))</f>
        <v/>
      </c>
      <c r="R382" s="9" t="str">
        <f aca="false">IF(OR(NOT(ISNUMBER($O382)),NOT(ISNUMBER($N382)),NOT(ISNUMBER($Q382))),"",$O382*($N382/100)*$Q382*10)</f>
        <v/>
      </c>
      <c r="S382" s="11" t="str">
        <f aca="false">IF(AND($A382="",$B382="",$D382=""),"",IF(AND($A382&lt;&gt;"",COUNTIF('1. Plot &amp; Site Log'!$A$5:$A$64,$A382)=0),"Plot ID not in the Plot &amp; Site Log. ","")&amp;IF(AND(ISNUMBER($D382),ISNUMBER($E382),$E382&lt;=$D382),"Bottom depth is not below top depth. ","")&amp;IF($L382="Not confirmed","Bulk-density basis not confirmed with the lab — the coarse-fragment correction may be wrong or doubled. ","")&amp;IF(LAB_BULK_DENSITY_BASIS="Not confirmed","No lab bulk-density basis is on file in Settings (LAB_BULK_DENSITY_BASIS), so nothing checks this row. ","")&amp;IF(AND($L382&lt;&gt;"",LAB_BULK_DENSITY_BASIS&lt;&gt;"Not confirmed",$L382&lt;&gt;LAB_BULK_DENSITY_BASIS),"This row's bulk-density basis disagrees with the lab method on file. One of "&amp;"the two is wrong, and the coarse-fragment correction follows the row. ","")&amp;IF(AND(ISNUMBER($M382),OR($M382&lt;QC_BD_MIN,$M382&gt;QC_BD_MAX)),"Bulk density outside the plausible range for a mineral grassland soil. ","")&amp;IF(AND(ISNUMBER($N382),$N382&gt;QC_CARBON_PCT_MAX),"Organic carbon above the QC ceiling — check units, and whether this is an organic horizon. ","")&amp;IF(AND(ISNUMBER($J382),$J382&lt;QC_RECOVERY_MIN),"Recovered less than the QC minimum of the depth driven — the increments may not sit where you think. Do NOT stretch them back out. ","")&amp;IF(AND(ISNUMBER($K382),$K382&gt;0,$L382="Fine earth / total volume"),"Coarse fragments recorded and the lab basis already accounts for them — no further correction applied, which is correct. ",""))</f>
        <v/>
      </c>
      <c r="T382" s="6"/>
      <c r="U382" s="9" t="n">
        <f aca="false">IF($B382="",0,IF(COUNTIFS($B$5:$B382,$B382)=1,1,0))</f>
        <v>0</v>
      </c>
    </row>
    <row r="383" customFormat="false" ht="15" hidden="false" customHeight="false" outlineLevel="0" collapsed="false">
      <c r="A383" s="6"/>
      <c r="B383" s="6"/>
      <c r="C383" s="6"/>
      <c r="D383" s="6"/>
      <c r="E383" s="6"/>
      <c r="F383" s="9" t="str">
        <f aca="false">IF(OR($D383="",$E383=""),"",$E383-$D383)</f>
        <v/>
      </c>
      <c r="G383" s="6"/>
      <c r="H383" s="6"/>
      <c r="I383" s="6"/>
      <c r="J383" s="9" t="str">
        <f aca="false">IF(OR(NOT(ISNUMBER($H383)),NOT(ISNUMBER($I383)),$H383=0),"",$I383/$H383)</f>
        <v/>
      </c>
      <c r="K383" s="6"/>
      <c r="L383" s="8"/>
      <c r="M383" s="7"/>
      <c r="N383" s="7"/>
      <c r="O383" s="9" t="str">
        <f aca="false">IF(NOT(ISNUMBER($M383)),"",IF($L383="Fine earth / fine-earth volume",$M383*(1-IF(ISNUMBER($K383),$K383,0)/100),$M383))</f>
        <v/>
      </c>
      <c r="P383" s="9" t="str">
        <f aca="false">IF(OR(NOT(ISNUMBER($O383)),NOT(ISNUMBER($N383)),NOT(ISNUMBER($F383))),"",$O383*($N383/100)*$F383*10)</f>
        <v/>
      </c>
      <c r="Q383" s="9" t="str">
        <f aca="false">IF(OR(NOT(ISNUMBER($D383)),NOT(ISNUMBER($E383))),"",MAX(0,MIN($E383,SOIL_REPORTING_DEPTH_CM)-MIN($D383,SOIL_REPORTING_DEPTH_CM)))</f>
        <v/>
      </c>
      <c r="R383" s="9" t="str">
        <f aca="false">IF(OR(NOT(ISNUMBER($O383)),NOT(ISNUMBER($N383)),NOT(ISNUMBER($Q383))),"",$O383*($N383/100)*$Q383*10)</f>
        <v/>
      </c>
      <c r="S383" s="11" t="str">
        <f aca="false">IF(AND($A383="",$B383="",$D383=""),"",IF(AND($A383&lt;&gt;"",COUNTIF('1. Plot &amp; Site Log'!$A$5:$A$64,$A383)=0),"Plot ID not in the Plot &amp; Site Log. ","")&amp;IF(AND(ISNUMBER($D383),ISNUMBER($E383),$E383&lt;=$D383),"Bottom depth is not below top depth. ","")&amp;IF($L383="Not confirmed","Bulk-density basis not confirmed with the lab — the coarse-fragment correction may be wrong or doubled. ","")&amp;IF(LAB_BULK_DENSITY_BASIS="Not confirmed","No lab bulk-density basis is on file in Settings (LAB_BULK_DENSITY_BASIS), so nothing checks this row. ","")&amp;IF(AND($L383&lt;&gt;"",LAB_BULK_DENSITY_BASIS&lt;&gt;"Not confirmed",$L383&lt;&gt;LAB_BULK_DENSITY_BASIS),"This row's bulk-density basis disagrees with the lab method on file. One of "&amp;"the two is wrong, and the coarse-fragment correction follows the row. ","")&amp;IF(AND(ISNUMBER($M383),OR($M383&lt;QC_BD_MIN,$M383&gt;QC_BD_MAX)),"Bulk density outside the plausible range for a mineral grassland soil. ","")&amp;IF(AND(ISNUMBER($N383),$N383&gt;QC_CARBON_PCT_MAX),"Organic carbon above the QC ceiling — check units, and whether this is an organic horizon. ","")&amp;IF(AND(ISNUMBER($J383),$J383&lt;QC_RECOVERY_MIN),"Recovered less than the QC minimum of the depth driven — the increments may not sit where you think. Do NOT stretch them back out. ","")&amp;IF(AND(ISNUMBER($K383),$K383&gt;0,$L383="Fine earth / total volume"),"Coarse fragments recorded and the lab basis already accounts for them — no further correction applied, which is correct. ",""))</f>
        <v/>
      </c>
      <c r="T383" s="6"/>
      <c r="U383" s="9" t="n">
        <f aca="false">IF($B383="",0,IF(COUNTIFS($B$5:$B383,$B383)=1,1,0))</f>
        <v>0</v>
      </c>
    </row>
    <row r="384" customFormat="false" ht="15" hidden="false" customHeight="false" outlineLevel="0" collapsed="false">
      <c r="A384" s="6"/>
      <c r="B384" s="6"/>
      <c r="C384" s="6"/>
      <c r="D384" s="6"/>
      <c r="E384" s="6"/>
      <c r="F384" s="9" t="str">
        <f aca="false">IF(OR($D384="",$E384=""),"",$E384-$D384)</f>
        <v/>
      </c>
      <c r="G384" s="6"/>
      <c r="H384" s="6"/>
      <c r="I384" s="6"/>
      <c r="J384" s="9" t="str">
        <f aca="false">IF(OR(NOT(ISNUMBER($H384)),NOT(ISNUMBER($I384)),$H384=0),"",$I384/$H384)</f>
        <v/>
      </c>
      <c r="K384" s="6"/>
      <c r="L384" s="8"/>
      <c r="M384" s="7"/>
      <c r="N384" s="7"/>
      <c r="O384" s="9" t="str">
        <f aca="false">IF(NOT(ISNUMBER($M384)),"",IF($L384="Fine earth / fine-earth volume",$M384*(1-IF(ISNUMBER($K384),$K384,0)/100),$M384))</f>
        <v/>
      </c>
      <c r="P384" s="9" t="str">
        <f aca="false">IF(OR(NOT(ISNUMBER($O384)),NOT(ISNUMBER($N384)),NOT(ISNUMBER($F384))),"",$O384*($N384/100)*$F384*10)</f>
        <v/>
      </c>
      <c r="Q384" s="9" t="str">
        <f aca="false">IF(OR(NOT(ISNUMBER($D384)),NOT(ISNUMBER($E384))),"",MAX(0,MIN($E384,SOIL_REPORTING_DEPTH_CM)-MIN($D384,SOIL_REPORTING_DEPTH_CM)))</f>
        <v/>
      </c>
      <c r="R384" s="9" t="str">
        <f aca="false">IF(OR(NOT(ISNUMBER($O384)),NOT(ISNUMBER($N384)),NOT(ISNUMBER($Q384))),"",$O384*($N384/100)*$Q384*10)</f>
        <v/>
      </c>
      <c r="S384" s="11" t="str">
        <f aca="false">IF(AND($A384="",$B384="",$D384=""),"",IF(AND($A384&lt;&gt;"",COUNTIF('1. Plot &amp; Site Log'!$A$5:$A$64,$A384)=0),"Plot ID not in the Plot &amp; Site Log. ","")&amp;IF(AND(ISNUMBER($D384),ISNUMBER($E384),$E384&lt;=$D384),"Bottom depth is not below top depth. ","")&amp;IF($L384="Not confirmed","Bulk-density basis not confirmed with the lab — the coarse-fragment correction may be wrong or doubled. ","")&amp;IF(LAB_BULK_DENSITY_BASIS="Not confirmed","No lab bulk-density basis is on file in Settings (LAB_BULK_DENSITY_BASIS), so nothing checks this row. ","")&amp;IF(AND($L384&lt;&gt;"",LAB_BULK_DENSITY_BASIS&lt;&gt;"Not confirmed",$L384&lt;&gt;LAB_BULK_DENSITY_BASIS),"This row's bulk-density basis disagrees with the lab method on file. One of "&amp;"the two is wrong, and the coarse-fragment correction follows the row. ","")&amp;IF(AND(ISNUMBER($M384),OR($M384&lt;QC_BD_MIN,$M384&gt;QC_BD_MAX)),"Bulk density outside the plausible range for a mineral grassland soil. ","")&amp;IF(AND(ISNUMBER($N384),$N384&gt;QC_CARBON_PCT_MAX),"Organic carbon above the QC ceiling — check units, and whether this is an organic horizon. ","")&amp;IF(AND(ISNUMBER($J384),$J384&lt;QC_RECOVERY_MIN),"Recovered less than the QC minimum of the depth driven — the increments may not sit where you think. Do NOT stretch them back out. ","")&amp;IF(AND(ISNUMBER($K384),$K384&gt;0,$L384="Fine earth / total volume"),"Coarse fragments recorded and the lab basis already accounts for them — no further correction applied, which is correct. ",""))</f>
        <v/>
      </c>
      <c r="T384" s="6"/>
      <c r="U384" s="9" t="n">
        <f aca="false">IF($B384="",0,IF(COUNTIFS($B$5:$B384,$B384)=1,1,0))</f>
        <v>0</v>
      </c>
    </row>
    <row r="385" customFormat="false" ht="15" hidden="false" customHeight="false" outlineLevel="0" collapsed="false">
      <c r="A385" s="6"/>
      <c r="B385" s="6"/>
      <c r="C385" s="6"/>
      <c r="D385" s="6"/>
      <c r="E385" s="6"/>
      <c r="F385" s="9" t="str">
        <f aca="false">IF(OR($D385="",$E385=""),"",$E385-$D385)</f>
        <v/>
      </c>
      <c r="G385" s="6"/>
      <c r="H385" s="6"/>
      <c r="I385" s="6"/>
      <c r="J385" s="9" t="str">
        <f aca="false">IF(OR(NOT(ISNUMBER($H385)),NOT(ISNUMBER($I385)),$H385=0),"",$I385/$H385)</f>
        <v/>
      </c>
      <c r="K385" s="6"/>
      <c r="L385" s="8"/>
      <c r="M385" s="7"/>
      <c r="N385" s="7"/>
      <c r="O385" s="9" t="str">
        <f aca="false">IF(NOT(ISNUMBER($M385)),"",IF($L385="Fine earth / fine-earth volume",$M385*(1-IF(ISNUMBER($K385),$K385,0)/100),$M385))</f>
        <v/>
      </c>
      <c r="P385" s="9" t="str">
        <f aca="false">IF(OR(NOT(ISNUMBER($O385)),NOT(ISNUMBER($N385)),NOT(ISNUMBER($F385))),"",$O385*($N385/100)*$F385*10)</f>
        <v/>
      </c>
      <c r="Q385" s="9" t="str">
        <f aca="false">IF(OR(NOT(ISNUMBER($D385)),NOT(ISNUMBER($E385))),"",MAX(0,MIN($E385,SOIL_REPORTING_DEPTH_CM)-MIN($D385,SOIL_REPORTING_DEPTH_CM)))</f>
        <v/>
      </c>
      <c r="R385" s="9" t="str">
        <f aca="false">IF(OR(NOT(ISNUMBER($O385)),NOT(ISNUMBER($N385)),NOT(ISNUMBER($Q385))),"",$O385*($N385/100)*$Q385*10)</f>
        <v/>
      </c>
      <c r="S385" s="11" t="str">
        <f aca="false">IF(AND($A385="",$B385="",$D385=""),"",IF(AND($A385&lt;&gt;"",COUNTIF('1. Plot &amp; Site Log'!$A$5:$A$64,$A385)=0),"Plot ID not in the Plot &amp; Site Log. ","")&amp;IF(AND(ISNUMBER($D385),ISNUMBER($E385),$E385&lt;=$D385),"Bottom depth is not below top depth. ","")&amp;IF($L385="Not confirmed","Bulk-density basis not confirmed with the lab — the coarse-fragment correction may be wrong or doubled. ","")&amp;IF(LAB_BULK_DENSITY_BASIS="Not confirmed","No lab bulk-density basis is on file in Settings (LAB_BULK_DENSITY_BASIS), so nothing checks this row. ","")&amp;IF(AND($L385&lt;&gt;"",LAB_BULK_DENSITY_BASIS&lt;&gt;"Not confirmed",$L385&lt;&gt;LAB_BULK_DENSITY_BASIS),"This row's bulk-density basis disagrees with the lab method on file. One of "&amp;"the two is wrong, and the coarse-fragment correction follows the row. ","")&amp;IF(AND(ISNUMBER($M385),OR($M385&lt;QC_BD_MIN,$M385&gt;QC_BD_MAX)),"Bulk density outside the plausible range for a mineral grassland soil. ","")&amp;IF(AND(ISNUMBER($N385),$N385&gt;QC_CARBON_PCT_MAX),"Organic carbon above the QC ceiling — check units, and whether this is an organic horizon. ","")&amp;IF(AND(ISNUMBER($J385),$J385&lt;QC_RECOVERY_MIN),"Recovered less than the QC minimum of the depth driven — the increments may not sit where you think. Do NOT stretch them back out. ","")&amp;IF(AND(ISNUMBER($K385),$K385&gt;0,$L385="Fine earth / total volume"),"Coarse fragments recorded and the lab basis already accounts for them — no further correction applied, which is correct. ",""))</f>
        <v/>
      </c>
      <c r="T385" s="6"/>
      <c r="U385" s="9" t="n">
        <f aca="false">IF($B385="",0,IF(COUNTIFS($B$5:$B385,$B385)=1,1,0))</f>
        <v>0</v>
      </c>
    </row>
    <row r="386" customFormat="false" ht="15" hidden="false" customHeight="false" outlineLevel="0" collapsed="false">
      <c r="A386" s="6"/>
      <c r="B386" s="6"/>
      <c r="C386" s="6"/>
      <c r="D386" s="6"/>
      <c r="E386" s="6"/>
      <c r="F386" s="9" t="str">
        <f aca="false">IF(OR($D386="",$E386=""),"",$E386-$D386)</f>
        <v/>
      </c>
      <c r="G386" s="6"/>
      <c r="H386" s="6"/>
      <c r="I386" s="6"/>
      <c r="J386" s="9" t="str">
        <f aca="false">IF(OR(NOT(ISNUMBER($H386)),NOT(ISNUMBER($I386)),$H386=0),"",$I386/$H386)</f>
        <v/>
      </c>
      <c r="K386" s="6"/>
      <c r="L386" s="8"/>
      <c r="M386" s="7"/>
      <c r="N386" s="7"/>
      <c r="O386" s="9" t="str">
        <f aca="false">IF(NOT(ISNUMBER($M386)),"",IF($L386="Fine earth / fine-earth volume",$M386*(1-IF(ISNUMBER($K386),$K386,0)/100),$M386))</f>
        <v/>
      </c>
      <c r="P386" s="9" t="str">
        <f aca="false">IF(OR(NOT(ISNUMBER($O386)),NOT(ISNUMBER($N386)),NOT(ISNUMBER($F386))),"",$O386*($N386/100)*$F386*10)</f>
        <v/>
      </c>
      <c r="Q386" s="9" t="str">
        <f aca="false">IF(OR(NOT(ISNUMBER($D386)),NOT(ISNUMBER($E386))),"",MAX(0,MIN($E386,SOIL_REPORTING_DEPTH_CM)-MIN($D386,SOIL_REPORTING_DEPTH_CM)))</f>
        <v/>
      </c>
      <c r="R386" s="9" t="str">
        <f aca="false">IF(OR(NOT(ISNUMBER($O386)),NOT(ISNUMBER($N386)),NOT(ISNUMBER($Q386))),"",$O386*($N386/100)*$Q386*10)</f>
        <v/>
      </c>
      <c r="S386" s="11" t="str">
        <f aca="false">IF(AND($A386="",$B386="",$D386=""),"",IF(AND($A386&lt;&gt;"",COUNTIF('1. Plot &amp; Site Log'!$A$5:$A$64,$A386)=0),"Plot ID not in the Plot &amp; Site Log. ","")&amp;IF(AND(ISNUMBER($D386),ISNUMBER($E386),$E386&lt;=$D386),"Bottom depth is not below top depth. ","")&amp;IF($L386="Not confirmed","Bulk-density basis not confirmed with the lab — the coarse-fragment correction may be wrong or doubled. ","")&amp;IF(LAB_BULK_DENSITY_BASIS="Not confirmed","No lab bulk-density basis is on file in Settings (LAB_BULK_DENSITY_BASIS), so nothing checks this row. ","")&amp;IF(AND($L386&lt;&gt;"",LAB_BULK_DENSITY_BASIS&lt;&gt;"Not confirmed",$L386&lt;&gt;LAB_BULK_DENSITY_BASIS),"This row's bulk-density basis disagrees with the lab method on file. One of "&amp;"the two is wrong, and the coarse-fragment correction follows the row. ","")&amp;IF(AND(ISNUMBER($M386),OR($M386&lt;QC_BD_MIN,$M386&gt;QC_BD_MAX)),"Bulk density outside the plausible range for a mineral grassland soil. ","")&amp;IF(AND(ISNUMBER($N386),$N386&gt;QC_CARBON_PCT_MAX),"Organic carbon above the QC ceiling — check units, and whether this is an organic horizon. ","")&amp;IF(AND(ISNUMBER($J386),$J386&lt;QC_RECOVERY_MIN),"Recovered less than the QC minimum of the depth driven — the increments may not sit where you think. Do NOT stretch them back out. ","")&amp;IF(AND(ISNUMBER($K386),$K386&gt;0,$L386="Fine earth / total volume"),"Coarse fragments recorded and the lab basis already accounts for them — no further correction applied, which is correct. ",""))</f>
        <v/>
      </c>
      <c r="T386" s="6"/>
      <c r="U386" s="9" t="n">
        <f aca="false">IF($B386="",0,IF(COUNTIFS($B$5:$B386,$B386)=1,1,0))</f>
        <v>0</v>
      </c>
    </row>
    <row r="387" customFormat="false" ht="15" hidden="false" customHeight="false" outlineLevel="0" collapsed="false">
      <c r="A387" s="6"/>
      <c r="B387" s="6"/>
      <c r="C387" s="6"/>
      <c r="D387" s="6"/>
      <c r="E387" s="6"/>
      <c r="F387" s="9" t="str">
        <f aca="false">IF(OR($D387="",$E387=""),"",$E387-$D387)</f>
        <v/>
      </c>
      <c r="G387" s="6"/>
      <c r="H387" s="6"/>
      <c r="I387" s="6"/>
      <c r="J387" s="9" t="str">
        <f aca="false">IF(OR(NOT(ISNUMBER($H387)),NOT(ISNUMBER($I387)),$H387=0),"",$I387/$H387)</f>
        <v/>
      </c>
      <c r="K387" s="6"/>
      <c r="L387" s="8"/>
      <c r="M387" s="7"/>
      <c r="N387" s="7"/>
      <c r="O387" s="9" t="str">
        <f aca="false">IF(NOT(ISNUMBER($M387)),"",IF($L387="Fine earth / fine-earth volume",$M387*(1-IF(ISNUMBER($K387),$K387,0)/100),$M387))</f>
        <v/>
      </c>
      <c r="P387" s="9" t="str">
        <f aca="false">IF(OR(NOT(ISNUMBER($O387)),NOT(ISNUMBER($N387)),NOT(ISNUMBER($F387))),"",$O387*($N387/100)*$F387*10)</f>
        <v/>
      </c>
      <c r="Q387" s="9" t="str">
        <f aca="false">IF(OR(NOT(ISNUMBER($D387)),NOT(ISNUMBER($E387))),"",MAX(0,MIN($E387,SOIL_REPORTING_DEPTH_CM)-MIN($D387,SOIL_REPORTING_DEPTH_CM)))</f>
        <v/>
      </c>
      <c r="R387" s="9" t="str">
        <f aca="false">IF(OR(NOT(ISNUMBER($O387)),NOT(ISNUMBER($N387)),NOT(ISNUMBER($Q387))),"",$O387*($N387/100)*$Q387*10)</f>
        <v/>
      </c>
      <c r="S387" s="11" t="str">
        <f aca="false">IF(AND($A387="",$B387="",$D387=""),"",IF(AND($A387&lt;&gt;"",COUNTIF('1. Plot &amp; Site Log'!$A$5:$A$64,$A387)=0),"Plot ID not in the Plot &amp; Site Log. ","")&amp;IF(AND(ISNUMBER($D387),ISNUMBER($E387),$E387&lt;=$D387),"Bottom depth is not below top depth. ","")&amp;IF($L387="Not confirmed","Bulk-density basis not confirmed with the lab — the coarse-fragment correction may be wrong or doubled. ","")&amp;IF(LAB_BULK_DENSITY_BASIS="Not confirmed","No lab bulk-density basis is on file in Settings (LAB_BULK_DENSITY_BASIS), so nothing checks this row. ","")&amp;IF(AND($L387&lt;&gt;"",LAB_BULK_DENSITY_BASIS&lt;&gt;"Not confirmed",$L387&lt;&gt;LAB_BULK_DENSITY_BASIS),"This row's bulk-density basis disagrees with the lab method on file. One of "&amp;"the two is wrong, and the coarse-fragment correction follows the row. ","")&amp;IF(AND(ISNUMBER($M387),OR($M387&lt;QC_BD_MIN,$M387&gt;QC_BD_MAX)),"Bulk density outside the plausible range for a mineral grassland soil. ","")&amp;IF(AND(ISNUMBER($N387),$N387&gt;QC_CARBON_PCT_MAX),"Organic carbon above the QC ceiling — check units, and whether this is an organic horizon. ","")&amp;IF(AND(ISNUMBER($J387),$J387&lt;QC_RECOVERY_MIN),"Recovered less than the QC minimum of the depth driven — the increments may not sit where you think. Do NOT stretch them back out. ","")&amp;IF(AND(ISNUMBER($K387),$K387&gt;0,$L387="Fine earth / total volume"),"Coarse fragments recorded and the lab basis already accounts for them — no further correction applied, which is correct. ",""))</f>
        <v/>
      </c>
      <c r="T387" s="6"/>
      <c r="U387" s="9" t="n">
        <f aca="false">IF($B387="",0,IF(COUNTIFS($B$5:$B387,$B387)=1,1,0))</f>
        <v>0</v>
      </c>
    </row>
    <row r="388" customFormat="false" ht="15" hidden="false" customHeight="false" outlineLevel="0" collapsed="false">
      <c r="A388" s="6"/>
      <c r="B388" s="6"/>
      <c r="C388" s="6"/>
      <c r="D388" s="6"/>
      <c r="E388" s="6"/>
      <c r="F388" s="9" t="str">
        <f aca="false">IF(OR($D388="",$E388=""),"",$E388-$D388)</f>
        <v/>
      </c>
      <c r="G388" s="6"/>
      <c r="H388" s="6"/>
      <c r="I388" s="6"/>
      <c r="J388" s="9" t="str">
        <f aca="false">IF(OR(NOT(ISNUMBER($H388)),NOT(ISNUMBER($I388)),$H388=0),"",$I388/$H388)</f>
        <v/>
      </c>
      <c r="K388" s="6"/>
      <c r="L388" s="8"/>
      <c r="M388" s="7"/>
      <c r="N388" s="7"/>
      <c r="O388" s="9" t="str">
        <f aca="false">IF(NOT(ISNUMBER($M388)),"",IF($L388="Fine earth / fine-earth volume",$M388*(1-IF(ISNUMBER($K388),$K388,0)/100),$M388))</f>
        <v/>
      </c>
      <c r="P388" s="9" t="str">
        <f aca="false">IF(OR(NOT(ISNUMBER($O388)),NOT(ISNUMBER($N388)),NOT(ISNUMBER($F388))),"",$O388*($N388/100)*$F388*10)</f>
        <v/>
      </c>
      <c r="Q388" s="9" t="str">
        <f aca="false">IF(OR(NOT(ISNUMBER($D388)),NOT(ISNUMBER($E388))),"",MAX(0,MIN($E388,SOIL_REPORTING_DEPTH_CM)-MIN($D388,SOIL_REPORTING_DEPTH_CM)))</f>
        <v/>
      </c>
      <c r="R388" s="9" t="str">
        <f aca="false">IF(OR(NOT(ISNUMBER($O388)),NOT(ISNUMBER($N388)),NOT(ISNUMBER($Q388))),"",$O388*($N388/100)*$Q388*10)</f>
        <v/>
      </c>
      <c r="S388" s="11" t="str">
        <f aca="false">IF(AND($A388="",$B388="",$D388=""),"",IF(AND($A388&lt;&gt;"",COUNTIF('1. Plot &amp; Site Log'!$A$5:$A$64,$A388)=0),"Plot ID not in the Plot &amp; Site Log. ","")&amp;IF(AND(ISNUMBER($D388),ISNUMBER($E388),$E388&lt;=$D388),"Bottom depth is not below top depth. ","")&amp;IF($L388="Not confirmed","Bulk-density basis not confirmed with the lab — the coarse-fragment correction may be wrong or doubled. ","")&amp;IF(LAB_BULK_DENSITY_BASIS="Not confirmed","No lab bulk-density basis is on file in Settings (LAB_BULK_DENSITY_BASIS), so nothing checks this row. ","")&amp;IF(AND($L388&lt;&gt;"",LAB_BULK_DENSITY_BASIS&lt;&gt;"Not confirmed",$L388&lt;&gt;LAB_BULK_DENSITY_BASIS),"This row's bulk-density basis disagrees with the lab method on file. One of "&amp;"the two is wrong, and the coarse-fragment correction follows the row. ","")&amp;IF(AND(ISNUMBER($M388),OR($M388&lt;QC_BD_MIN,$M388&gt;QC_BD_MAX)),"Bulk density outside the plausible range for a mineral grassland soil. ","")&amp;IF(AND(ISNUMBER($N388),$N388&gt;QC_CARBON_PCT_MAX),"Organic carbon above the QC ceiling — check units, and whether this is an organic horizon. ","")&amp;IF(AND(ISNUMBER($J388),$J388&lt;QC_RECOVERY_MIN),"Recovered less than the QC minimum of the depth driven — the increments may not sit where you think. Do NOT stretch them back out. ","")&amp;IF(AND(ISNUMBER($K388),$K388&gt;0,$L388="Fine earth / total volume"),"Coarse fragments recorded and the lab basis already accounts for them — no further correction applied, which is correct. ",""))</f>
        <v/>
      </c>
      <c r="T388" s="6"/>
      <c r="U388" s="9" t="n">
        <f aca="false">IF($B388="",0,IF(COUNTIFS($B$5:$B388,$B388)=1,1,0))</f>
        <v>0</v>
      </c>
    </row>
    <row r="389" customFormat="false" ht="15" hidden="false" customHeight="false" outlineLevel="0" collapsed="false">
      <c r="A389" s="6"/>
      <c r="B389" s="6"/>
      <c r="C389" s="6"/>
      <c r="D389" s="6"/>
      <c r="E389" s="6"/>
      <c r="F389" s="9" t="str">
        <f aca="false">IF(OR($D389="",$E389=""),"",$E389-$D389)</f>
        <v/>
      </c>
      <c r="G389" s="6"/>
      <c r="H389" s="6"/>
      <c r="I389" s="6"/>
      <c r="J389" s="9" t="str">
        <f aca="false">IF(OR(NOT(ISNUMBER($H389)),NOT(ISNUMBER($I389)),$H389=0),"",$I389/$H389)</f>
        <v/>
      </c>
      <c r="K389" s="6"/>
      <c r="L389" s="8"/>
      <c r="M389" s="7"/>
      <c r="N389" s="7"/>
      <c r="O389" s="9" t="str">
        <f aca="false">IF(NOT(ISNUMBER($M389)),"",IF($L389="Fine earth / fine-earth volume",$M389*(1-IF(ISNUMBER($K389),$K389,0)/100),$M389))</f>
        <v/>
      </c>
      <c r="P389" s="9" t="str">
        <f aca="false">IF(OR(NOT(ISNUMBER($O389)),NOT(ISNUMBER($N389)),NOT(ISNUMBER($F389))),"",$O389*($N389/100)*$F389*10)</f>
        <v/>
      </c>
      <c r="Q389" s="9" t="str">
        <f aca="false">IF(OR(NOT(ISNUMBER($D389)),NOT(ISNUMBER($E389))),"",MAX(0,MIN($E389,SOIL_REPORTING_DEPTH_CM)-MIN($D389,SOIL_REPORTING_DEPTH_CM)))</f>
        <v/>
      </c>
      <c r="R389" s="9" t="str">
        <f aca="false">IF(OR(NOT(ISNUMBER($O389)),NOT(ISNUMBER($N389)),NOT(ISNUMBER($Q389))),"",$O389*($N389/100)*$Q389*10)</f>
        <v/>
      </c>
      <c r="S389" s="11" t="str">
        <f aca="false">IF(AND($A389="",$B389="",$D389=""),"",IF(AND($A389&lt;&gt;"",COUNTIF('1. Plot &amp; Site Log'!$A$5:$A$64,$A389)=0),"Plot ID not in the Plot &amp; Site Log. ","")&amp;IF(AND(ISNUMBER($D389),ISNUMBER($E389),$E389&lt;=$D389),"Bottom depth is not below top depth. ","")&amp;IF($L389="Not confirmed","Bulk-density basis not confirmed with the lab — the coarse-fragment correction may be wrong or doubled. ","")&amp;IF(LAB_BULK_DENSITY_BASIS="Not confirmed","No lab bulk-density basis is on file in Settings (LAB_BULK_DENSITY_BASIS), so nothing checks this row. ","")&amp;IF(AND($L389&lt;&gt;"",LAB_BULK_DENSITY_BASIS&lt;&gt;"Not confirmed",$L389&lt;&gt;LAB_BULK_DENSITY_BASIS),"This row's bulk-density basis disagrees with the lab method on file. One of "&amp;"the two is wrong, and the coarse-fragment correction follows the row. ","")&amp;IF(AND(ISNUMBER($M389),OR($M389&lt;QC_BD_MIN,$M389&gt;QC_BD_MAX)),"Bulk density outside the plausible range for a mineral grassland soil. ","")&amp;IF(AND(ISNUMBER($N389),$N389&gt;QC_CARBON_PCT_MAX),"Organic carbon above the QC ceiling — check units, and whether this is an organic horizon. ","")&amp;IF(AND(ISNUMBER($J389),$J389&lt;QC_RECOVERY_MIN),"Recovered less than the QC minimum of the depth driven — the increments may not sit where you think. Do NOT stretch them back out. ","")&amp;IF(AND(ISNUMBER($K389),$K389&gt;0,$L389="Fine earth / total volume"),"Coarse fragments recorded and the lab basis already accounts for them — no further correction applied, which is correct. ",""))</f>
        <v/>
      </c>
      <c r="T389" s="6"/>
      <c r="U389" s="9" t="n">
        <f aca="false">IF($B389="",0,IF(COUNTIFS($B$5:$B389,$B389)=1,1,0))</f>
        <v>0</v>
      </c>
    </row>
    <row r="390" customFormat="false" ht="15" hidden="false" customHeight="false" outlineLevel="0" collapsed="false">
      <c r="A390" s="6"/>
      <c r="B390" s="6"/>
      <c r="C390" s="6"/>
      <c r="D390" s="6"/>
      <c r="E390" s="6"/>
      <c r="F390" s="9" t="str">
        <f aca="false">IF(OR($D390="",$E390=""),"",$E390-$D390)</f>
        <v/>
      </c>
      <c r="G390" s="6"/>
      <c r="H390" s="6"/>
      <c r="I390" s="6"/>
      <c r="J390" s="9" t="str">
        <f aca="false">IF(OR(NOT(ISNUMBER($H390)),NOT(ISNUMBER($I390)),$H390=0),"",$I390/$H390)</f>
        <v/>
      </c>
      <c r="K390" s="6"/>
      <c r="L390" s="8"/>
      <c r="M390" s="7"/>
      <c r="N390" s="7"/>
      <c r="O390" s="9" t="str">
        <f aca="false">IF(NOT(ISNUMBER($M390)),"",IF($L390="Fine earth / fine-earth volume",$M390*(1-IF(ISNUMBER($K390),$K390,0)/100),$M390))</f>
        <v/>
      </c>
      <c r="P390" s="9" t="str">
        <f aca="false">IF(OR(NOT(ISNUMBER($O390)),NOT(ISNUMBER($N390)),NOT(ISNUMBER($F390))),"",$O390*($N390/100)*$F390*10)</f>
        <v/>
      </c>
      <c r="Q390" s="9" t="str">
        <f aca="false">IF(OR(NOT(ISNUMBER($D390)),NOT(ISNUMBER($E390))),"",MAX(0,MIN($E390,SOIL_REPORTING_DEPTH_CM)-MIN($D390,SOIL_REPORTING_DEPTH_CM)))</f>
        <v/>
      </c>
      <c r="R390" s="9" t="str">
        <f aca="false">IF(OR(NOT(ISNUMBER($O390)),NOT(ISNUMBER($N390)),NOT(ISNUMBER($Q390))),"",$O390*($N390/100)*$Q390*10)</f>
        <v/>
      </c>
      <c r="S390" s="11" t="str">
        <f aca="false">IF(AND($A390="",$B390="",$D390=""),"",IF(AND($A390&lt;&gt;"",COUNTIF('1. Plot &amp; Site Log'!$A$5:$A$64,$A390)=0),"Plot ID not in the Plot &amp; Site Log. ","")&amp;IF(AND(ISNUMBER($D390),ISNUMBER($E390),$E390&lt;=$D390),"Bottom depth is not below top depth. ","")&amp;IF($L390="Not confirmed","Bulk-density basis not confirmed with the lab — the coarse-fragment correction may be wrong or doubled. ","")&amp;IF(LAB_BULK_DENSITY_BASIS="Not confirmed","No lab bulk-density basis is on file in Settings (LAB_BULK_DENSITY_BASIS), so nothing checks this row. ","")&amp;IF(AND($L390&lt;&gt;"",LAB_BULK_DENSITY_BASIS&lt;&gt;"Not confirmed",$L390&lt;&gt;LAB_BULK_DENSITY_BASIS),"This row's bulk-density basis disagrees with the lab method on file. One of "&amp;"the two is wrong, and the coarse-fragment correction follows the row. ","")&amp;IF(AND(ISNUMBER($M390),OR($M390&lt;QC_BD_MIN,$M390&gt;QC_BD_MAX)),"Bulk density outside the plausible range for a mineral grassland soil. ","")&amp;IF(AND(ISNUMBER($N390),$N390&gt;QC_CARBON_PCT_MAX),"Organic carbon above the QC ceiling — check units, and whether this is an organic horizon. ","")&amp;IF(AND(ISNUMBER($J390),$J390&lt;QC_RECOVERY_MIN),"Recovered less than the QC minimum of the depth driven — the increments may not sit where you think. Do NOT stretch them back out. ","")&amp;IF(AND(ISNUMBER($K390),$K390&gt;0,$L390="Fine earth / total volume"),"Coarse fragments recorded and the lab basis already accounts for them — no further correction applied, which is correct. ",""))</f>
        <v/>
      </c>
      <c r="T390" s="6"/>
      <c r="U390" s="9" t="n">
        <f aca="false">IF($B390="",0,IF(COUNTIFS($B$5:$B390,$B390)=1,1,0))</f>
        <v>0</v>
      </c>
    </row>
    <row r="391" customFormat="false" ht="15" hidden="false" customHeight="false" outlineLevel="0" collapsed="false">
      <c r="A391" s="6"/>
      <c r="B391" s="6"/>
      <c r="C391" s="6"/>
      <c r="D391" s="6"/>
      <c r="E391" s="6"/>
      <c r="F391" s="9" t="str">
        <f aca="false">IF(OR($D391="",$E391=""),"",$E391-$D391)</f>
        <v/>
      </c>
      <c r="G391" s="6"/>
      <c r="H391" s="6"/>
      <c r="I391" s="6"/>
      <c r="J391" s="9" t="str">
        <f aca="false">IF(OR(NOT(ISNUMBER($H391)),NOT(ISNUMBER($I391)),$H391=0),"",$I391/$H391)</f>
        <v/>
      </c>
      <c r="K391" s="6"/>
      <c r="L391" s="8"/>
      <c r="M391" s="7"/>
      <c r="N391" s="7"/>
      <c r="O391" s="9" t="str">
        <f aca="false">IF(NOT(ISNUMBER($M391)),"",IF($L391="Fine earth / fine-earth volume",$M391*(1-IF(ISNUMBER($K391),$K391,0)/100),$M391))</f>
        <v/>
      </c>
      <c r="P391" s="9" t="str">
        <f aca="false">IF(OR(NOT(ISNUMBER($O391)),NOT(ISNUMBER($N391)),NOT(ISNUMBER($F391))),"",$O391*($N391/100)*$F391*10)</f>
        <v/>
      </c>
      <c r="Q391" s="9" t="str">
        <f aca="false">IF(OR(NOT(ISNUMBER($D391)),NOT(ISNUMBER($E391))),"",MAX(0,MIN($E391,SOIL_REPORTING_DEPTH_CM)-MIN($D391,SOIL_REPORTING_DEPTH_CM)))</f>
        <v/>
      </c>
      <c r="R391" s="9" t="str">
        <f aca="false">IF(OR(NOT(ISNUMBER($O391)),NOT(ISNUMBER($N391)),NOT(ISNUMBER($Q391))),"",$O391*($N391/100)*$Q391*10)</f>
        <v/>
      </c>
      <c r="S391" s="11" t="str">
        <f aca="false">IF(AND($A391="",$B391="",$D391=""),"",IF(AND($A391&lt;&gt;"",COUNTIF('1. Plot &amp; Site Log'!$A$5:$A$64,$A391)=0),"Plot ID not in the Plot &amp; Site Log. ","")&amp;IF(AND(ISNUMBER($D391),ISNUMBER($E391),$E391&lt;=$D391),"Bottom depth is not below top depth. ","")&amp;IF($L391="Not confirmed","Bulk-density basis not confirmed with the lab — the coarse-fragment correction may be wrong or doubled. ","")&amp;IF(LAB_BULK_DENSITY_BASIS="Not confirmed","No lab bulk-density basis is on file in Settings (LAB_BULK_DENSITY_BASIS), so nothing checks this row. ","")&amp;IF(AND($L391&lt;&gt;"",LAB_BULK_DENSITY_BASIS&lt;&gt;"Not confirmed",$L391&lt;&gt;LAB_BULK_DENSITY_BASIS),"This row's bulk-density basis disagrees with the lab method on file. One of "&amp;"the two is wrong, and the coarse-fragment correction follows the row. ","")&amp;IF(AND(ISNUMBER($M391),OR($M391&lt;QC_BD_MIN,$M391&gt;QC_BD_MAX)),"Bulk density outside the plausible range for a mineral grassland soil. ","")&amp;IF(AND(ISNUMBER($N391),$N391&gt;QC_CARBON_PCT_MAX),"Organic carbon above the QC ceiling — check units, and whether this is an organic horizon. ","")&amp;IF(AND(ISNUMBER($J391),$J391&lt;QC_RECOVERY_MIN),"Recovered less than the QC minimum of the depth driven — the increments may not sit where you think. Do NOT stretch them back out. ","")&amp;IF(AND(ISNUMBER($K391),$K391&gt;0,$L391="Fine earth / total volume"),"Coarse fragments recorded and the lab basis already accounts for them — no further correction applied, which is correct. ",""))</f>
        <v/>
      </c>
      <c r="T391" s="6"/>
      <c r="U391" s="9" t="n">
        <f aca="false">IF($B391="",0,IF(COUNTIFS($B$5:$B391,$B391)=1,1,0))</f>
        <v>0</v>
      </c>
    </row>
    <row r="392" customFormat="false" ht="15" hidden="false" customHeight="false" outlineLevel="0" collapsed="false">
      <c r="A392" s="6"/>
      <c r="B392" s="6"/>
      <c r="C392" s="6"/>
      <c r="D392" s="6"/>
      <c r="E392" s="6"/>
      <c r="F392" s="9" t="str">
        <f aca="false">IF(OR($D392="",$E392=""),"",$E392-$D392)</f>
        <v/>
      </c>
      <c r="G392" s="6"/>
      <c r="H392" s="6"/>
      <c r="I392" s="6"/>
      <c r="J392" s="9" t="str">
        <f aca="false">IF(OR(NOT(ISNUMBER($H392)),NOT(ISNUMBER($I392)),$H392=0),"",$I392/$H392)</f>
        <v/>
      </c>
      <c r="K392" s="6"/>
      <c r="L392" s="8"/>
      <c r="M392" s="7"/>
      <c r="N392" s="7"/>
      <c r="O392" s="9" t="str">
        <f aca="false">IF(NOT(ISNUMBER($M392)),"",IF($L392="Fine earth / fine-earth volume",$M392*(1-IF(ISNUMBER($K392),$K392,0)/100),$M392))</f>
        <v/>
      </c>
      <c r="P392" s="9" t="str">
        <f aca="false">IF(OR(NOT(ISNUMBER($O392)),NOT(ISNUMBER($N392)),NOT(ISNUMBER($F392))),"",$O392*($N392/100)*$F392*10)</f>
        <v/>
      </c>
      <c r="Q392" s="9" t="str">
        <f aca="false">IF(OR(NOT(ISNUMBER($D392)),NOT(ISNUMBER($E392))),"",MAX(0,MIN($E392,SOIL_REPORTING_DEPTH_CM)-MIN($D392,SOIL_REPORTING_DEPTH_CM)))</f>
        <v/>
      </c>
      <c r="R392" s="9" t="str">
        <f aca="false">IF(OR(NOT(ISNUMBER($O392)),NOT(ISNUMBER($N392)),NOT(ISNUMBER($Q392))),"",$O392*($N392/100)*$Q392*10)</f>
        <v/>
      </c>
      <c r="S392" s="11" t="str">
        <f aca="false">IF(AND($A392="",$B392="",$D392=""),"",IF(AND($A392&lt;&gt;"",COUNTIF('1. Plot &amp; Site Log'!$A$5:$A$64,$A392)=0),"Plot ID not in the Plot &amp; Site Log. ","")&amp;IF(AND(ISNUMBER($D392),ISNUMBER($E392),$E392&lt;=$D392),"Bottom depth is not below top depth. ","")&amp;IF($L392="Not confirmed","Bulk-density basis not confirmed with the lab — the coarse-fragment correction may be wrong or doubled. ","")&amp;IF(LAB_BULK_DENSITY_BASIS="Not confirmed","No lab bulk-density basis is on file in Settings (LAB_BULK_DENSITY_BASIS), so nothing checks this row. ","")&amp;IF(AND($L392&lt;&gt;"",LAB_BULK_DENSITY_BASIS&lt;&gt;"Not confirmed",$L392&lt;&gt;LAB_BULK_DENSITY_BASIS),"This row's bulk-density basis disagrees with the lab method on file. One of "&amp;"the two is wrong, and the coarse-fragment correction follows the row. ","")&amp;IF(AND(ISNUMBER($M392),OR($M392&lt;QC_BD_MIN,$M392&gt;QC_BD_MAX)),"Bulk density outside the plausible range for a mineral grassland soil. ","")&amp;IF(AND(ISNUMBER($N392),$N392&gt;QC_CARBON_PCT_MAX),"Organic carbon above the QC ceiling — check units, and whether this is an organic horizon. ","")&amp;IF(AND(ISNUMBER($J392),$J392&lt;QC_RECOVERY_MIN),"Recovered less than the QC minimum of the depth driven — the increments may not sit where you think. Do NOT stretch them back out. ","")&amp;IF(AND(ISNUMBER($K392),$K392&gt;0,$L392="Fine earth / total volume"),"Coarse fragments recorded and the lab basis already accounts for them — no further correction applied, which is correct. ",""))</f>
        <v/>
      </c>
      <c r="T392" s="6"/>
      <c r="U392" s="9" t="n">
        <f aca="false">IF($B392="",0,IF(COUNTIFS($B$5:$B392,$B392)=1,1,0))</f>
        <v>0</v>
      </c>
    </row>
    <row r="393" customFormat="false" ht="15" hidden="false" customHeight="false" outlineLevel="0" collapsed="false">
      <c r="A393" s="6"/>
      <c r="B393" s="6"/>
      <c r="C393" s="6"/>
      <c r="D393" s="6"/>
      <c r="E393" s="6"/>
      <c r="F393" s="9" t="str">
        <f aca="false">IF(OR($D393="",$E393=""),"",$E393-$D393)</f>
        <v/>
      </c>
      <c r="G393" s="6"/>
      <c r="H393" s="6"/>
      <c r="I393" s="6"/>
      <c r="J393" s="9" t="str">
        <f aca="false">IF(OR(NOT(ISNUMBER($H393)),NOT(ISNUMBER($I393)),$H393=0),"",$I393/$H393)</f>
        <v/>
      </c>
      <c r="K393" s="6"/>
      <c r="L393" s="8"/>
      <c r="M393" s="7"/>
      <c r="N393" s="7"/>
      <c r="O393" s="9" t="str">
        <f aca="false">IF(NOT(ISNUMBER($M393)),"",IF($L393="Fine earth / fine-earth volume",$M393*(1-IF(ISNUMBER($K393),$K393,0)/100),$M393))</f>
        <v/>
      </c>
      <c r="P393" s="9" t="str">
        <f aca="false">IF(OR(NOT(ISNUMBER($O393)),NOT(ISNUMBER($N393)),NOT(ISNUMBER($F393))),"",$O393*($N393/100)*$F393*10)</f>
        <v/>
      </c>
      <c r="Q393" s="9" t="str">
        <f aca="false">IF(OR(NOT(ISNUMBER($D393)),NOT(ISNUMBER($E393))),"",MAX(0,MIN($E393,SOIL_REPORTING_DEPTH_CM)-MIN($D393,SOIL_REPORTING_DEPTH_CM)))</f>
        <v/>
      </c>
      <c r="R393" s="9" t="str">
        <f aca="false">IF(OR(NOT(ISNUMBER($O393)),NOT(ISNUMBER($N393)),NOT(ISNUMBER($Q393))),"",$O393*($N393/100)*$Q393*10)</f>
        <v/>
      </c>
      <c r="S393" s="11" t="str">
        <f aca="false">IF(AND($A393="",$B393="",$D393=""),"",IF(AND($A393&lt;&gt;"",COUNTIF('1. Plot &amp; Site Log'!$A$5:$A$64,$A393)=0),"Plot ID not in the Plot &amp; Site Log. ","")&amp;IF(AND(ISNUMBER($D393),ISNUMBER($E393),$E393&lt;=$D393),"Bottom depth is not below top depth. ","")&amp;IF($L393="Not confirmed","Bulk-density basis not confirmed with the lab — the coarse-fragment correction may be wrong or doubled. ","")&amp;IF(LAB_BULK_DENSITY_BASIS="Not confirmed","No lab bulk-density basis is on file in Settings (LAB_BULK_DENSITY_BASIS), so nothing checks this row. ","")&amp;IF(AND($L393&lt;&gt;"",LAB_BULK_DENSITY_BASIS&lt;&gt;"Not confirmed",$L393&lt;&gt;LAB_BULK_DENSITY_BASIS),"This row's bulk-density basis disagrees with the lab method on file. One of "&amp;"the two is wrong, and the coarse-fragment correction follows the row. ","")&amp;IF(AND(ISNUMBER($M393),OR($M393&lt;QC_BD_MIN,$M393&gt;QC_BD_MAX)),"Bulk density outside the plausible range for a mineral grassland soil. ","")&amp;IF(AND(ISNUMBER($N393),$N393&gt;QC_CARBON_PCT_MAX),"Organic carbon above the QC ceiling — check units, and whether this is an organic horizon. ","")&amp;IF(AND(ISNUMBER($J393),$J393&lt;QC_RECOVERY_MIN),"Recovered less than the QC minimum of the depth driven — the increments may not sit where you think. Do NOT stretch them back out. ","")&amp;IF(AND(ISNUMBER($K393),$K393&gt;0,$L393="Fine earth / total volume"),"Coarse fragments recorded and the lab basis already accounts for them — no further correction applied, which is correct. ",""))</f>
        <v/>
      </c>
      <c r="T393" s="6"/>
      <c r="U393" s="9" t="n">
        <f aca="false">IF($B393="",0,IF(COUNTIFS($B$5:$B393,$B393)=1,1,0))</f>
        <v>0</v>
      </c>
    </row>
    <row r="394" customFormat="false" ht="15" hidden="false" customHeight="false" outlineLevel="0" collapsed="false">
      <c r="A394" s="6"/>
      <c r="B394" s="6"/>
      <c r="C394" s="6"/>
      <c r="D394" s="6"/>
      <c r="E394" s="6"/>
      <c r="F394" s="9" t="str">
        <f aca="false">IF(OR($D394="",$E394=""),"",$E394-$D394)</f>
        <v/>
      </c>
      <c r="G394" s="6"/>
      <c r="H394" s="6"/>
      <c r="I394" s="6"/>
      <c r="J394" s="9" t="str">
        <f aca="false">IF(OR(NOT(ISNUMBER($H394)),NOT(ISNUMBER($I394)),$H394=0),"",$I394/$H394)</f>
        <v/>
      </c>
      <c r="K394" s="6"/>
      <c r="L394" s="8"/>
      <c r="M394" s="7"/>
      <c r="N394" s="7"/>
      <c r="O394" s="9" t="str">
        <f aca="false">IF(NOT(ISNUMBER($M394)),"",IF($L394="Fine earth / fine-earth volume",$M394*(1-IF(ISNUMBER($K394),$K394,0)/100),$M394))</f>
        <v/>
      </c>
      <c r="P394" s="9" t="str">
        <f aca="false">IF(OR(NOT(ISNUMBER($O394)),NOT(ISNUMBER($N394)),NOT(ISNUMBER($F394))),"",$O394*($N394/100)*$F394*10)</f>
        <v/>
      </c>
      <c r="Q394" s="9" t="str">
        <f aca="false">IF(OR(NOT(ISNUMBER($D394)),NOT(ISNUMBER($E394))),"",MAX(0,MIN($E394,SOIL_REPORTING_DEPTH_CM)-MIN($D394,SOIL_REPORTING_DEPTH_CM)))</f>
        <v/>
      </c>
      <c r="R394" s="9" t="str">
        <f aca="false">IF(OR(NOT(ISNUMBER($O394)),NOT(ISNUMBER($N394)),NOT(ISNUMBER($Q394))),"",$O394*($N394/100)*$Q394*10)</f>
        <v/>
      </c>
      <c r="S394" s="11" t="str">
        <f aca="false">IF(AND($A394="",$B394="",$D394=""),"",IF(AND($A394&lt;&gt;"",COUNTIF('1. Plot &amp; Site Log'!$A$5:$A$64,$A394)=0),"Plot ID not in the Plot &amp; Site Log. ","")&amp;IF(AND(ISNUMBER($D394),ISNUMBER($E394),$E394&lt;=$D394),"Bottom depth is not below top depth. ","")&amp;IF($L394="Not confirmed","Bulk-density basis not confirmed with the lab — the coarse-fragment correction may be wrong or doubled. ","")&amp;IF(LAB_BULK_DENSITY_BASIS="Not confirmed","No lab bulk-density basis is on file in Settings (LAB_BULK_DENSITY_BASIS), so nothing checks this row. ","")&amp;IF(AND($L394&lt;&gt;"",LAB_BULK_DENSITY_BASIS&lt;&gt;"Not confirmed",$L394&lt;&gt;LAB_BULK_DENSITY_BASIS),"This row's bulk-density basis disagrees with the lab method on file. One of "&amp;"the two is wrong, and the coarse-fragment correction follows the row. ","")&amp;IF(AND(ISNUMBER($M394),OR($M394&lt;QC_BD_MIN,$M394&gt;QC_BD_MAX)),"Bulk density outside the plausible range for a mineral grassland soil. ","")&amp;IF(AND(ISNUMBER($N394),$N394&gt;QC_CARBON_PCT_MAX),"Organic carbon above the QC ceiling — check units, and whether this is an organic horizon. ","")&amp;IF(AND(ISNUMBER($J394),$J394&lt;QC_RECOVERY_MIN),"Recovered less than the QC minimum of the depth driven — the increments may not sit where you think. Do NOT stretch them back out. ","")&amp;IF(AND(ISNUMBER($K394),$K394&gt;0,$L394="Fine earth / total volume"),"Coarse fragments recorded and the lab basis already accounts for them — no further correction applied, which is correct. ",""))</f>
        <v/>
      </c>
      <c r="T394" s="6"/>
      <c r="U394" s="9" t="n">
        <f aca="false">IF($B394="",0,IF(COUNTIFS($B$5:$B394,$B394)=1,1,0))</f>
        <v>0</v>
      </c>
    </row>
    <row r="395" customFormat="false" ht="15" hidden="false" customHeight="false" outlineLevel="0" collapsed="false">
      <c r="A395" s="6"/>
      <c r="B395" s="6"/>
      <c r="C395" s="6"/>
      <c r="D395" s="6"/>
      <c r="E395" s="6"/>
      <c r="F395" s="9" t="str">
        <f aca="false">IF(OR($D395="",$E395=""),"",$E395-$D395)</f>
        <v/>
      </c>
      <c r="G395" s="6"/>
      <c r="H395" s="6"/>
      <c r="I395" s="6"/>
      <c r="J395" s="9" t="str">
        <f aca="false">IF(OR(NOT(ISNUMBER($H395)),NOT(ISNUMBER($I395)),$H395=0),"",$I395/$H395)</f>
        <v/>
      </c>
      <c r="K395" s="6"/>
      <c r="L395" s="8"/>
      <c r="M395" s="7"/>
      <c r="N395" s="7"/>
      <c r="O395" s="9" t="str">
        <f aca="false">IF(NOT(ISNUMBER($M395)),"",IF($L395="Fine earth / fine-earth volume",$M395*(1-IF(ISNUMBER($K395),$K395,0)/100),$M395))</f>
        <v/>
      </c>
      <c r="P395" s="9" t="str">
        <f aca="false">IF(OR(NOT(ISNUMBER($O395)),NOT(ISNUMBER($N395)),NOT(ISNUMBER($F395))),"",$O395*($N395/100)*$F395*10)</f>
        <v/>
      </c>
      <c r="Q395" s="9" t="str">
        <f aca="false">IF(OR(NOT(ISNUMBER($D395)),NOT(ISNUMBER($E395))),"",MAX(0,MIN($E395,SOIL_REPORTING_DEPTH_CM)-MIN($D395,SOIL_REPORTING_DEPTH_CM)))</f>
        <v/>
      </c>
      <c r="R395" s="9" t="str">
        <f aca="false">IF(OR(NOT(ISNUMBER($O395)),NOT(ISNUMBER($N395)),NOT(ISNUMBER($Q395))),"",$O395*($N395/100)*$Q395*10)</f>
        <v/>
      </c>
      <c r="S395" s="11" t="str">
        <f aca="false">IF(AND($A395="",$B395="",$D395=""),"",IF(AND($A395&lt;&gt;"",COUNTIF('1. Plot &amp; Site Log'!$A$5:$A$64,$A395)=0),"Plot ID not in the Plot &amp; Site Log. ","")&amp;IF(AND(ISNUMBER($D395),ISNUMBER($E395),$E395&lt;=$D395),"Bottom depth is not below top depth. ","")&amp;IF($L395="Not confirmed","Bulk-density basis not confirmed with the lab — the coarse-fragment correction may be wrong or doubled. ","")&amp;IF(LAB_BULK_DENSITY_BASIS="Not confirmed","No lab bulk-density basis is on file in Settings (LAB_BULK_DENSITY_BASIS), so nothing checks this row. ","")&amp;IF(AND($L395&lt;&gt;"",LAB_BULK_DENSITY_BASIS&lt;&gt;"Not confirmed",$L395&lt;&gt;LAB_BULK_DENSITY_BASIS),"This row's bulk-density basis disagrees with the lab method on file. One of "&amp;"the two is wrong, and the coarse-fragment correction follows the row. ","")&amp;IF(AND(ISNUMBER($M395),OR($M395&lt;QC_BD_MIN,$M395&gt;QC_BD_MAX)),"Bulk density outside the plausible range for a mineral grassland soil. ","")&amp;IF(AND(ISNUMBER($N395),$N395&gt;QC_CARBON_PCT_MAX),"Organic carbon above the QC ceiling — check units, and whether this is an organic horizon. ","")&amp;IF(AND(ISNUMBER($J395),$J395&lt;QC_RECOVERY_MIN),"Recovered less than the QC minimum of the depth driven — the increments may not sit where you think. Do NOT stretch them back out. ","")&amp;IF(AND(ISNUMBER($K395),$K395&gt;0,$L395="Fine earth / total volume"),"Coarse fragments recorded and the lab basis already accounts for them — no further correction applied, which is correct. ",""))</f>
        <v/>
      </c>
      <c r="T395" s="6"/>
      <c r="U395" s="9" t="n">
        <f aca="false">IF($B395="",0,IF(COUNTIFS($B$5:$B395,$B395)=1,1,0))</f>
        <v>0</v>
      </c>
    </row>
    <row r="396" customFormat="false" ht="15" hidden="false" customHeight="false" outlineLevel="0" collapsed="false">
      <c r="A396" s="6"/>
      <c r="B396" s="6"/>
      <c r="C396" s="6"/>
      <c r="D396" s="6"/>
      <c r="E396" s="6"/>
      <c r="F396" s="9" t="str">
        <f aca="false">IF(OR($D396="",$E396=""),"",$E396-$D396)</f>
        <v/>
      </c>
      <c r="G396" s="6"/>
      <c r="H396" s="6"/>
      <c r="I396" s="6"/>
      <c r="J396" s="9" t="str">
        <f aca="false">IF(OR(NOT(ISNUMBER($H396)),NOT(ISNUMBER($I396)),$H396=0),"",$I396/$H396)</f>
        <v/>
      </c>
      <c r="K396" s="6"/>
      <c r="L396" s="8"/>
      <c r="M396" s="7"/>
      <c r="N396" s="7"/>
      <c r="O396" s="9" t="str">
        <f aca="false">IF(NOT(ISNUMBER($M396)),"",IF($L396="Fine earth / fine-earth volume",$M396*(1-IF(ISNUMBER($K396),$K396,0)/100),$M396))</f>
        <v/>
      </c>
      <c r="P396" s="9" t="str">
        <f aca="false">IF(OR(NOT(ISNUMBER($O396)),NOT(ISNUMBER($N396)),NOT(ISNUMBER($F396))),"",$O396*($N396/100)*$F396*10)</f>
        <v/>
      </c>
      <c r="Q396" s="9" t="str">
        <f aca="false">IF(OR(NOT(ISNUMBER($D396)),NOT(ISNUMBER($E396))),"",MAX(0,MIN($E396,SOIL_REPORTING_DEPTH_CM)-MIN($D396,SOIL_REPORTING_DEPTH_CM)))</f>
        <v/>
      </c>
      <c r="R396" s="9" t="str">
        <f aca="false">IF(OR(NOT(ISNUMBER($O396)),NOT(ISNUMBER($N396)),NOT(ISNUMBER($Q396))),"",$O396*($N396/100)*$Q396*10)</f>
        <v/>
      </c>
      <c r="S396" s="11" t="str">
        <f aca="false">IF(AND($A396="",$B396="",$D396=""),"",IF(AND($A396&lt;&gt;"",COUNTIF('1. Plot &amp; Site Log'!$A$5:$A$64,$A396)=0),"Plot ID not in the Plot &amp; Site Log. ","")&amp;IF(AND(ISNUMBER($D396),ISNUMBER($E396),$E396&lt;=$D396),"Bottom depth is not below top depth. ","")&amp;IF($L396="Not confirmed","Bulk-density basis not confirmed with the lab — the coarse-fragment correction may be wrong or doubled. ","")&amp;IF(LAB_BULK_DENSITY_BASIS="Not confirmed","No lab bulk-density basis is on file in Settings (LAB_BULK_DENSITY_BASIS), so nothing checks this row. ","")&amp;IF(AND($L396&lt;&gt;"",LAB_BULK_DENSITY_BASIS&lt;&gt;"Not confirmed",$L396&lt;&gt;LAB_BULK_DENSITY_BASIS),"This row's bulk-density basis disagrees with the lab method on file. One of "&amp;"the two is wrong, and the coarse-fragment correction follows the row. ","")&amp;IF(AND(ISNUMBER($M396),OR($M396&lt;QC_BD_MIN,$M396&gt;QC_BD_MAX)),"Bulk density outside the plausible range for a mineral grassland soil. ","")&amp;IF(AND(ISNUMBER($N396),$N396&gt;QC_CARBON_PCT_MAX),"Organic carbon above the QC ceiling — check units, and whether this is an organic horizon. ","")&amp;IF(AND(ISNUMBER($J396),$J396&lt;QC_RECOVERY_MIN),"Recovered less than the QC minimum of the depth driven — the increments may not sit where you think. Do NOT stretch them back out. ","")&amp;IF(AND(ISNUMBER($K396),$K396&gt;0,$L396="Fine earth / total volume"),"Coarse fragments recorded and the lab basis already accounts for them — no further correction applied, which is correct. ",""))</f>
        <v/>
      </c>
      <c r="T396" s="6"/>
      <c r="U396" s="9" t="n">
        <f aca="false">IF($B396="",0,IF(COUNTIFS($B$5:$B396,$B396)=1,1,0))</f>
        <v>0</v>
      </c>
    </row>
    <row r="397" customFormat="false" ht="15" hidden="false" customHeight="false" outlineLevel="0" collapsed="false">
      <c r="A397" s="6"/>
      <c r="B397" s="6"/>
      <c r="C397" s="6"/>
      <c r="D397" s="6"/>
      <c r="E397" s="6"/>
      <c r="F397" s="9" t="str">
        <f aca="false">IF(OR($D397="",$E397=""),"",$E397-$D397)</f>
        <v/>
      </c>
      <c r="G397" s="6"/>
      <c r="H397" s="6"/>
      <c r="I397" s="6"/>
      <c r="J397" s="9" t="str">
        <f aca="false">IF(OR(NOT(ISNUMBER($H397)),NOT(ISNUMBER($I397)),$H397=0),"",$I397/$H397)</f>
        <v/>
      </c>
      <c r="K397" s="6"/>
      <c r="L397" s="8"/>
      <c r="M397" s="7"/>
      <c r="N397" s="7"/>
      <c r="O397" s="9" t="str">
        <f aca="false">IF(NOT(ISNUMBER($M397)),"",IF($L397="Fine earth / fine-earth volume",$M397*(1-IF(ISNUMBER($K397),$K397,0)/100),$M397))</f>
        <v/>
      </c>
      <c r="P397" s="9" t="str">
        <f aca="false">IF(OR(NOT(ISNUMBER($O397)),NOT(ISNUMBER($N397)),NOT(ISNUMBER($F397))),"",$O397*($N397/100)*$F397*10)</f>
        <v/>
      </c>
      <c r="Q397" s="9" t="str">
        <f aca="false">IF(OR(NOT(ISNUMBER($D397)),NOT(ISNUMBER($E397))),"",MAX(0,MIN($E397,SOIL_REPORTING_DEPTH_CM)-MIN($D397,SOIL_REPORTING_DEPTH_CM)))</f>
        <v/>
      </c>
      <c r="R397" s="9" t="str">
        <f aca="false">IF(OR(NOT(ISNUMBER($O397)),NOT(ISNUMBER($N397)),NOT(ISNUMBER($Q397))),"",$O397*($N397/100)*$Q397*10)</f>
        <v/>
      </c>
      <c r="S397" s="11" t="str">
        <f aca="false">IF(AND($A397="",$B397="",$D397=""),"",IF(AND($A397&lt;&gt;"",COUNTIF('1. Plot &amp; Site Log'!$A$5:$A$64,$A397)=0),"Plot ID not in the Plot &amp; Site Log. ","")&amp;IF(AND(ISNUMBER($D397),ISNUMBER($E397),$E397&lt;=$D397),"Bottom depth is not below top depth. ","")&amp;IF($L397="Not confirmed","Bulk-density basis not confirmed with the lab — the coarse-fragment correction may be wrong or doubled. ","")&amp;IF(LAB_BULK_DENSITY_BASIS="Not confirmed","No lab bulk-density basis is on file in Settings (LAB_BULK_DENSITY_BASIS), so nothing checks this row. ","")&amp;IF(AND($L397&lt;&gt;"",LAB_BULK_DENSITY_BASIS&lt;&gt;"Not confirmed",$L397&lt;&gt;LAB_BULK_DENSITY_BASIS),"This row's bulk-density basis disagrees with the lab method on file. One of "&amp;"the two is wrong, and the coarse-fragment correction follows the row. ","")&amp;IF(AND(ISNUMBER($M397),OR($M397&lt;QC_BD_MIN,$M397&gt;QC_BD_MAX)),"Bulk density outside the plausible range for a mineral grassland soil. ","")&amp;IF(AND(ISNUMBER($N397),$N397&gt;QC_CARBON_PCT_MAX),"Organic carbon above the QC ceiling — check units, and whether this is an organic horizon. ","")&amp;IF(AND(ISNUMBER($J397),$J397&lt;QC_RECOVERY_MIN),"Recovered less than the QC minimum of the depth driven — the increments may not sit where you think. Do NOT stretch them back out. ","")&amp;IF(AND(ISNUMBER($K397),$K397&gt;0,$L397="Fine earth / total volume"),"Coarse fragments recorded and the lab basis already accounts for them — no further correction applied, which is correct. ",""))</f>
        <v/>
      </c>
      <c r="T397" s="6"/>
      <c r="U397" s="9" t="n">
        <f aca="false">IF($B397="",0,IF(COUNTIFS($B$5:$B397,$B397)=1,1,0))</f>
        <v>0</v>
      </c>
    </row>
    <row r="398" customFormat="false" ht="15" hidden="false" customHeight="false" outlineLevel="0" collapsed="false">
      <c r="A398" s="6"/>
      <c r="B398" s="6"/>
      <c r="C398" s="6"/>
      <c r="D398" s="6"/>
      <c r="E398" s="6"/>
      <c r="F398" s="9" t="str">
        <f aca="false">IF(OR($D398="",$E398=""),"",$E398-$D398)</f>
        <v/>
      </c>
      <c r="G398" s="6"/>
      <c r="H398" s="6"/>
      <c r="I398" s="6"/>
      <c r="J398" s="9" t="str">
        <f aca="false">IF(OR(NOT(ISNUMBER($H398)),NOT(ISNUMBER($I398)),$H398=0),"",$I398/$H398)</f>
        <v/>
      </c>
      <c r="K398" s="6"/>
      <c r="L398" s="8"/>
      <c r="M398" s="7"/>
      <c r="N398" s="7"/>
      <c r="O398" s="9" t="str">
        <f aca="false">IF(NOT(ISNUMBER($M398)),"",IF($L398="Fine earth / fine-earth volume",$M398*(1-IF(ISNUMBER($K398),$K398,0)/100),$M398))</f>
        <v/>
      </c>
      <c r="P398" s="9" t="str">
        <f aca="false">IF(OR(NOT(ISNUMBER($O398)),NOT(ISNUMBER($N398)),NOT(ISNUMBER($F398))),"",$O398*($N398/100)*$F398*10)</f>
        <v/>
      </c>
      <c r="Q398" s="9" t="str">
        <f aca="false">IF(OR(NOT(ISNUMBER($D398)),NOT(ISNUMBER($E398))),"",MAX(0,MIN($E398,SOIL_REPORTING_DEPTH_CM)-MIN($D398,SOIL_REPORTING_DEPTH_CM)))</f>
        <v/>
      </c>
      <c r="R398" s="9" t="str">
        <f aca="false">IF(OR(NOT(ISNUMBER($O398)),NOT(ISNUMBER($N398)),NOT(ISNUMBER($Q398))),"",$O398*($N398/100)*$Q398*10)</f>
        <v/>
      </c>
      <c r="S398" s="11" t="str">
        <f aca="false">IF(AND($A398="",$B398="",$D398=""),"",IF(AND($A398&lt;&gt;"",COUNTIF('1. Plot &amp; Site Log'!$A$5:$A$64,$A398)=0),"Plot ID not in the Plot &amp; Site Log. ","")&amp;IF(AND(ISNUMBER($D398),ISNUMBER($E398),$E398&lt;=$D398),"Bottom depth is not below top depth. ","")&amp;IF($L398="Not confirmed","Bulk-density basis not confirmed with the lab — the coarse-fragment correction may be wrong or doubled. ","")&amp;IF(LAB_BULK_DENSITY_BASIS="Not confirmed","No lab bulk-density basis is on file in Settings (LAB_BULK_DENSITY_BASIS), so nothing checks this row. ","")&amp;IF(AND($L398&lt;&gt;"",LAB_BULK_DENSITY_BASIS&lt;&gt;"Not confirmed",$L398&lt;&gt;LAB_BULK_DENSITY_BASIS),"This row's bulk-density basis disagrees with the lab method on file. One of "&amp;"the two is wrong, and the coarse-fragment correction follows the row. ","")&amp;IF(AND(ISNUMBER($M398),OR($M398&lt;QC_BD_MIN,$M398&gt;QC_BD_MAX)),"Bulk density outside the plausible range for a mineral grassland soil. ","")&amp;IF(AND(ISNUMBER($N398),$N398&gt;QC_CARBON_PCT_MAX),"Organic carbon above the QC ceiling — check units, and whether this is an organic horizon. ","")&amp;IF(AND(ISNUMBER($J398),$J398&lt;QC_RECOVERY_MIN),"Recovered less than the QC minimum of the depth driven — the increments may not sit where you think. Do NOT stretch them back out. ","")&amp;IF(AND(ISNUMBER($K398),$K398&gt;0,$L398="Fine earth / total volume"),"Coarse fragments recorded and the lab basis already accounts for them — no further correction applied, which is correct. ",""))</f>
        <v/>
      </c>
      <c r="T398" s="6"/>
      <c r="U398" s="9" t="n">
        <f aca="false">IF($B398="",0,IF(COUNTIFS($B$5:$B398,$B398)=1,1,0))</f>
        <v>0</v>
      </c>
    </row>
    <row r="399" customFormat="false" ht="15" hidden="false" customHeight="false" outlineLevel="0" collapsed="false">
      <c r="A399" s="6"/>
      <c r="B399" s="6"/>
      <c r="C399" s="6"/>
      <c r="D399" s="6"/>
      <c r="E399" s="6"/>
      <c r="F399" s="9" t="str">
        <f aca="false">IF(OR($D399="",$E399=""),"",$E399-$D399)</f>
        <v/>
      </c>
      <c r="G399" s="6"/>
      <c r="H399" s="6"/>
      <c r="I399" s="6"/>
      <c r="J399" s="9" t="str">
        <f aca="false">IF(OR(NOT(ISNUMBER($H399)),NOT(ISNUMBER($I399)),$H399=0),"",$I399/$H399)</f>
        <v/>
      </c>
      <c r="K399" s="6"/>
      <c r="L399" s="8"/>
      <c r="M399" s="7"/>
      <c r="N399" s="7"/>
      <c r="O399" s="9" t="str">
        <f aca="false">IF(NOT(ISNUMBER($M399)),"",IF($L399="Fine earth / fine-earth volume",$M399*(1-IF(ISNUMBER($K399),$K399,0)/100),$M399))</f>
        <v/>
      </c>
      <c r="P399" s="9" t="str">
        <f aca="false">IF(OR(NOT(ISNUMBER($O399)),NOT(ISNUMBER($N399)),NOT(ISNUMBER($F399))),"",$O399*($N399/100)*$F399*10)</f>
        <v/>
      </c>
      <c r="Q399" s="9" t="str">
        <f aca="false">IF(OR(NOT(ISNUMBER($D399)),NOT(ISNUMBER($E399))),"",MAX(0,MIN($E399,SOIL_REPORTING_DEPTH_CM)-MIN($D399,SOIL_REPORTING_DEPTH_CM)))</f>
        <v/>
      </c>
      <c r="R399" s="9" t="str">
        <f aca="false">IF(OR(NOT(ISNUMBER($O399)),NOT(ISNUMBER($N399)),NOT(ISNUMBER($Q399))),"",$O399*($N399/100)*$Q399*10)</f>
        <v/>
      </c>
      <c r="S399" s="11" t="str">
        <f aca="false">IF(AND($A399="",$B399="",$D399=""),"",IF(AND($A399&lt;&gt;"",COUNTIF('1. Plot &amp; Site Log'!$A$5:$A$64,$A399)=0),"Plot ID not in the Plot &amp; Site Log. ","")&amp;IF(AND(ISNUMBER($D399),ISNUMBER($E399),$E399&lt;=$D399),"Bottom depth is not below top depth. ","")&amp;IF($L399="Not confirmed","Bulk-density basis not confirmed with the lab — the coarse-fragment correction may be wrong or doubled. ","")&amp;IF(LAB_BULK_DENSITY_BASIS="Not confirmed","No lab bulk-density basis is on file in Settings (LAB_BULK_DENSITY_BASIS), so nothing checks this row. ","")&amp;IF(AND($L399&lt;&gt;"",LAB_BULK_DENSITY_BASIS&lt;&gt;"Not confirmed",$L399&lt;&gt;LAB_BULK_DENSITY_BASIS),"This row's bulk-density basis disagrees with the lab method on file. One of "&amp;"the two is wrong, and the coarse-fragment correction follows the row. ","")&amp;IF(AND(ISNUMBER($M399),OR($M399&lt;QC_BD_MIN,$M399&gt;QC_BD_MAX)),"Bulk density outside the plausible range for a mineral grassland soil. ","")&amp;IF(AND(ISNUMBER($N399),$N399&gt;QC_CARBON_PCT_MAX),"Organic carbon above the QC ceiling — check units, and whether this is an organic horizon. ","")&amp;IF(AND(ISNUMBER($J399),$J399&lt;QC_RECOVERY_MIN),"Recovered less than the QC minimum of the depth driven — the increments may not sit where you think. Do NOT stretch them back out. ","")&amp;IF(AND(ISNUMBER($K399),$K399&gt;0,$L399="Fine earth / total volume"),"Coarse fragments recorded and the lab basis already accounts for them — no further correction applied, which is correct. ",""))</f>
        <v/>
      </c>
      <c r="T399" s="6"/>
      <c r="U399" s="9" t="n">
        <f aca="false">IF($B399="",0,IF(COUNTIFS($B$5:$B399,$B399)=1,1,0))</f>
        <v>0</v>
      </c>
    </row>
    <row r="400" customFormat="false" ht="15" hidden="false" customHeight="false" outlineLevel="0" collapsed="false">
      <c r="A400" s="6"/>
      <c r="B400" s="6"/>
      <c r="C400" s="6"/>
      <c r="D400" s="6"/>
      <c r="E400" s="6"/>
      <c r="F400" s="9" t="str">
        <f aca="false">IF(OR($D400="",$E400=""),"",$E400-$D400)</f>
        <v/>
      </c>
      <c r="G400" s="6"/>
      <c r="H400" s="6"/>
      <c r="I400" s="6"/>
      <c r="J400" s="9" t="str">
        <f aca="false">IF(OR(NOT(ISNUMBER($H400)),NOT(ISNUMBER($I400)),$H400=0),"",$I400/$H400)</f>
        <v/>
      </c>
      <c r="K400" s="6"/>
      <c r="L400" s="8"/>
      <c r="M400" s="7"/>
      <c r="N400" s="7"/>
      <c r="O400" s="9" t="str">
        <f aca="false">IF(NOT(ISNUMBER($M400)),"",IF($L400="Fine earth / fine-earth volume",$M400*(1-IF(ISNUMBER($K400),$K400,0)/100),$M400))</f>
        <v/>
      </c>
      <c r="P400" s="9" t="str">
        <f aca="false">IF(OR(NOT(ISNUMBER($O400)),NOT(ISNUMBER($N400)),NOT(ISNUMBER($F400))),"",$O400*($N400/100)*$F400*10)</f>
        <v/>
      </c>
      <c r="Q400" s="9" t="str">
        <f aca="false">IF(OR(NOT(ISNUMBER($D400)),NOT(ISNUMBER($E400))),"",MAX(0,MIN($E400,SOIL_REPORTING_DEPTH_CM)-MIN($D400,SOIL_REPORTING_DEPTH_CM)))</f>
        <v/>
      </c>
      <c r="R400" s="9" t="str">
        <f aca="false">IF(OR(NOT(ISNUMBER($O400)),NOT(ISNUMBER($N400)),NOT(ISNUMBER($Q400))),"",$O400*($N400/100)*$Q400*10)</f>
        <v/>
      </c>
      <c r="S400" s="11" t="str">
        <f aca="false">IF(AND($A400="",$B400="",$D400=""),"",IF(AND($A400&lt;&gt;"",COUNTIF('1. Plot &amp; Site Log'!$A$5:$A$64,$A400)=0),"Plot ID not in the Plot &amp; Site Log. ","")&amp;IF(AND(ISNUMBER($D400),ISNUMBER($E400),$E400&lt;=$D400),"Bottom depth is not below top depth. ","")&amp;IF($L400="Not confirmed","Bulk-density basis not confirmed with the lab — the coarse-fragment correction may be wrong or doubled. ","")&amp;IF(LAB_BULK_DENSITY_BASIS="Not confirmed","No lab bulk-density basis is on file in Settings (LAB_BULK_DENSITY_BASIS), so nothing checks this row. ","")&amp;IF(AND($L400&lt;&gt;"",LAB_BULK_DENSITY_BASIS&lt;&gt;"Not confirmed",$L400&lt;&gt;LAB_BULK_DENSITY_BASIS),"This row's bulk-density basis disagrees with the lab method on file. One of "&amp;"the two is wrong, and the coarse-fragment correction follows the row. ","")&amp;IF(AND(ISNUMBER($M400),OR($M400&lt;QC_BD_MIN,$M400&gt;QC_BD_MAX)),"Bulk density outside the plausible range for a mineral grassland soil. ","")&amp;IF(AND(ISNUMBER($N400),$N400&gt;QC_CARBON_PCT_MAX),"Organic carbon above the QC ceiling — check units, and whether this is an organic horizon. ","")&amp;IF(AND(ISNUMBER($J400),$J400&lt;QC_RECOVERY_MIN),"Recovered less than the QC minimum of the depth driven — the increments may not sit where you think. Do NOT stretch them back out. ","")&amp;IF(AND(ISNUMBER($K400),$K400&gt;0,$L400="Fine earth / total volume"),"Coarse fragments recorded and the lab basis already accounts for them — no further correction applied, which is correct. ",""))</f>
        <v/>
      </c>
      <c r="T400" s="6"/>
      <c r="U400" s="9" t="n">
        <f aca="false">IF($B400="",0,IF(COUNTIFS($B$5:$B400,$B400)=1,1,0))</f>
        <v>0</v>
      </c>
    </row>
    <row r="401" customFormat="false" ht="15" hidden="false" customHeight="false" outlineLevel="0" collapsed="false">
      <c r="A401" s="6"/>
      <c r="B401" s="6"/>
      <c r="C401" s="6"/>
      <c r="D401" s="6"/>
      <c r="E401" s="6"/>
      <c r="F401" s="9" t="str">
        <f aca="false">IF(OR($D401="",$E401=""),"",$E401-$D401)</f>
        <v/>
      </c>
      <c r="G401" s="6"/>
      <c r="H401" s="6"/>
      <c r="I401" s="6"/>
      <c r="J401" s="9" t="str">
        <f aca="false">IF(OR(NOT(ISNUMBER($H401)),NOT(ISNUMBER($I401)),$H401=0),"",$I401/$H401)</f>
        <v/>
      </c>
      <c r="K401" s="6"/>
      <c r="L401" s="8"/>
      <c r="M401" s="7"/>
      <c r="N401" s="7"/>
      <c r="O401" s="9" t="str">
        <f aca="false">IF(NOT(ISNUMBER($M401)),"",IF($L401="Fine earth / fine-earth volume",$M401*(1-IF(ISNUMBER($K401),$K401,0)/100),$M401))</f>
        <v/>
      </c>
      <c r="P401" s="9" t="str">
        <f aca="false">IF(OR(NOT(ISNUMBER($O401)),NOT(ISNUMBER($N401)),NOT(ISNUMBER($F401))),"",$O401*($N401/100)*$F401*10)</f>
        <v/>
      </c>
      <c r="Q401" s="9" t="str">
        <f aca="false">IF(OR(NOT(ISNUMBER($D401)),NOT(ISNUMBER($E401))),"",MAX(0,MIN($E401,SOIL_REPORTING_DEPTH_CM)-MIN($D401,SOIL_REPORTING_DEPTH_CM)))</f>
        <v/>
      </c>
      <c r="R401" s="9" t="str">
        <f aca="false">IF(OR(NOT(ISNUMBER($O401)),NOT(ISNUMBER($N401)),NOT(ISNUMBER($Q401))),"",$O401*($N401/100)*$Q401*10)</f>
        <v/>
      </c>
      <c r="S401" s="11" t="str">
        <f aca="false">IF(AND($A401="",$B401="",$D401=""),"",IF(AND($A401&lt;&gt;"",COUNTIF('1. Plot &amp; Site Log'!$A$5:$A$64,$A401)=0),"Plot ID not in the Plot &amp; Site Log. ","")&amp;IF(AND(ISNUMBER($D401),ISNUMBER($E401),$E401&lt;=$D401),"Bottom depth is not below top depth. ","")&amp;IF($L401="Not confirmed","Bulk-density basis not confirmed with the lab — the coarse-fragment correction may be wrong or doubled. ","")&amp;IF(LAB_BULK_DENSITY_BASIS="Not confirmed","No lab bulk-density basis is on file in Settings (LAB_BULK_DENSITY_BASIS), so nothing checks this row. ","")&amp;IF(AND($L401&lt;&gt;"",LAB_BULK_DENSITY_BASIS&lt;&gt;"Not confirmed",$L401&lt;&gt;LAB_BULK_DENSITY_BASIS),"This row's bulk-density basis disagrees with the lab method on file. One of "&amp;"the two is wrong, and the coarse-fragment correction follows the row. ","")&amp;IF(AND(ISNUMBER($M401),OR($M401&lt;QC_BD_MIN,$M401&gt;QC_BD_MAX)),"Bulk density outside the plausible range for a mineral grassland soil. ","")&amp;IF(AND(ISNUMBER($N401),$N401&gt;QC_CARBON_PCT_MAX),"Organic carbon above the QC ceiling — check units, and whether this is an organic horizon. ","")&amp;IF(AND(ISNUMBER($J401),$J401&lt;QC_RECOVERY_MIN),"Recovered less than the QC minimum of the depth driven — the increments may not sit where you think. Do NOT stretch them back out. ","")&amp;IF(AND(ISNUMBER($K401),$K401&gt;0,$L401="Fine earth / total volume"),"Coarse fragments recorded and the lab basis already accounts for them — no further correction applied, which is correct. ",""))</f>
        <v/>
      </c>
      <c r="T401" s="6"/>
      <c r="U401" s="9" t="n">
        <f aca="false">IF($B401="",0,IF(COUNTIFS($B$5:$B401,$B401)=1,1,0))</f>
        <v>0</v>
      </c>
    </row>
    <row r="402" customFormat="false" ht="15" hidden="false" customHeight="false" outlineLevel="0" collapsed="false">
      <c r="A402" s="6"/>
      <c r="B402" s="6"/>
      <c r="C402" s="6"/>
      <c r="D402" s="6"/>
      <c r="E402" s="6"/>
      <c r="F402" s="9" t="str">
        <f aca="false">IF(OR($D402="",$E402=""),"",$E402-$D402)</f>
        <v/>
      </c>
      <c r="G402" s="6"/>
      <c r="H402" s="6"/>
      <c r="I402" s="6"/>
      <c r="J402" s="9" t="str">
        <f aca="false">IF(OR(NOT(ISNUMBER($H402)),NOT(ISNUMBER($I402)),$H402=0),"",$I402/$H402)</f>
        <v/>
      </c>
      <c r="K402" s="6"/>
      <c r="L402" s="8"/>
      <c r="M402" s="7"/>
      <c r="N402" s="7"/>
      <c r="O402" s="9" t="str">
        <f aca="false">IF(NOT(ISNUMBER($M402)),"",IF($L402="Fine earth / fine-earth volume",$M402*(1-IF(ISNUMBER($K402),$K402,0)/100),$M402))</f>
        <v/>
      </c>
      <c r="P402" s="9" t="str">
        <f aca="false">IF(OR(NOT(ISNUMBER($O402)),NOT(ISNUMBER($N402)),NOT(ISNUMBER($F402))),"",$O402*($N402/100)*$F402*10)</f>
        <v/>
      </c>
      <c r="Q402" s="9" t="str">
        <f aca="false">IF(OR(NOT(ISNUMBER($D402)),NOT(ISNUMBER($E402))),"",MAX(0,MIN($E402,SOIL_REPORTING_DEPTH_CM)-MIN($D402,SOIL_REPORTING_DEPTH_CM)))</f>
        <v/>
      </c>
      <c r="R402" s="9" t="str">
        <f aca="false">IF(OR(NOT(ISNUMBER($O402)),NOT(ISNUMBER($N402)),NOT(ISNUMBER($Q402))),"",$O402*($N402/100)*$Q402*10)</f>
        <v/>
      </c>
      <c r="S402" s="11" t="str">
        <f aca="false">IF(AND($A402="",$B402="",$D402=""),"",IF(AND($A402&lt;&gt;"",COUNTIF('1. Plot &amp; Site Log'!$A$5:$A$64,$A402)=0),"Plot ID not in the Plot &amp; Site Log. ","")&amp;IF(AND(ISNUMBER($D402),ISNUMBER($E402),$E402&lt;=$D402),"Bottom depth is not below top depth. ","")&amp;IF($L402="Not confirmed","Bulk-density basis not confirmed with the lab — the coarse-fragment correction may be wrong or doubled. ","")&amp;IF(LAB_BULK_DENSITY_BASIS="Not confirmed","No lab bulk-density basis is on file in Settings (LAB_BULK_DENSITY_BASIS), so nothing checks this row. ","")&amp;IF(AND($L402&lt;&gt;"",LAB_BULK_DENSITY_BASIS&lt;&gt;"Not confirmed",$L402&lt;&gt;LAB_BULK_DENSITY_BASIS),"This row's bulk-density basis disagrees with the lab method on file. One of "&amp;"the two is wrong, and the coarse-fragment correction follows the row. ","")&amp;IF(AND(ISNUMBER($M402),OR($M402&lt;QC_BD_MIN,$M402&gt;QC_BD_MAX)),"Bulk density outside the plausible range for a mineral grassland soil. ","")&amp;IF(AND(ISNUMBER($N402),$N402&gt;QC_CARBON_PCT_MAX),"Organic carbon above the QC ceiling — check units, and whether this is an organic horizon. ","")&amp;IF(AND(ISNUMBER($J402),$J402&lt;QC_RECOVERY_MIN),"Recovered less than the QC minimum of the depth driven — the increments may not sit where you think. Do NOT stretch them back out. ","")&amp;IF(AND(ISNUMBER($K402),$K402&gt;0,$L402="Fine earth / total volume"),"Coarse fragments recorded and the lab basis already accounts for them — no further correction applied, which is correct. ",""))</f>
        <v/>
      </c>
      <c r="T402" s="6"/>
      <c r="U402" s="9" t="n">
        <f aca="false">IF($B402="",0,IF(COUNTIFS($B$5:$B402,$B402)=1,1,0))</f>
        <v>0</v>
      </c>
    </row>
    <row r="403" customFormat="false" ht="15" hidden="false" customHeight="false" outlineLevel="0" collapsed="false">
      <c r="A403" s="6"/>
      <c r="B403" s="6"/>
      <c r="C403" s="6"/>
      <c r="D403" s="6"/>
      <c r="E403" s="6"/>
      <c r="F403" s="9" t="str">
        <f aca="false">IF(OR($D403="",$E403=""),"",$E403-$D403)</f>
        <v/>
      </c>
      <c r="G403" s="6"/>
      <c r="H403" s="6"/>
      <c r="I403" s="6"/>
      <c r="J403" s="9" t="str">
        <f aca="false">IF(OR(NOT(ISNUMBER($H403)),NOT(ISNUMBER($I403)),$H403=0),"",$I403/$H403)</f>
        <v/>
      </c>
      <c r="K403" s="6"/>
      <c r="L403" s="8"/>
      <c r="M403" s="7"/>
      <c r="N403" s="7"/>
      <c r="O403" s="9" t="str">
        <f aca="false">IF(NOT(ISNUMBER($M403)),"",IF($L403="Fine earth / fine-earth volume",$M403*(1-IF(ISNUMBER($K403),$K403,0)/100),$M403))</f>
        <v/>
      </c>
      <c r="P403" s="9" t="str">
        <f aca="false">IF(OR(NOT(ISNUMBER($O403)),NOT(ISNUMBER($N403)),NOT(ISNUMBER($F403))),"",$O403*($N403/100)*$F403*10)</f>
        <v/>
      </c>
      <c r="Q403" s="9" t="str">
        <f aca="false">IF(OR(NOT(ISNUMBER($D403)),NOT(ISNUMBER($E403))),"",MAX(0,MIN($E403,SOIL_REPORTING_DEPTH_CM)-MIN($D403,SOIL_REPORTING_DEPTH_CM)))</f>
        <v/>
      </c>
      <c r="R403" s="9" t="str">
        <f aca="false">IF(OR(NOT(ISNUMBER($O403)),NOT(ISNUMBER($N403)),NOT(ISNUMBER($Q403))),"",$O403*($N403/100)*$Q403*10)</f>
        <v/>
      </c>
      <c r="S403" s="11" t="str">
        <f aca="false">IF(AND($A403="",$B403="",$D403=""),"",IF(AND($A403&lt;&gt;"",COUNTIF('1. Plot &amp; Site Log'!$A$5:$A$64,$A403)=0),"Plot ID not in the Plot &amp; Site Log. ","")&amp;IF(AND(ISNUMBER($D403),ISNUMBER($E403),$E403&lt;=$D403),"Bottom depth is not below top depth. ","")&amp;IF($L403="Not confirmed","Bulk-density basis not confirmed with the lab — the coarse-fragment correction may be wrong or doubled. ","")&amp;IF(LAB_BULK_DENSITY_BASIS="Not confirmed","No lab bulk-density basis is on file in Settings (LAB_BULK_DENSITY_BASIS), so nothing checks this row. ","")&amp;IF(AND($L403&lt;&gt;"",LAB_BULK_DENSITY_BASIS&lt;&gt;"Not confirmed",$L403&lt;&gt;LAB_BULK_DENSITY_BASIS),"This row's bulk-density basis disagrees with the lab method on file. One of "&amp;"the two is wrong, and the coarse-fragment correction follows the row. ","")&amp;IF(AND(ISNUMBER($M403),OR($M403&lt;QC_BD_MIN,$M403&gt;QC_BD_MAX)),"Bulk density outside the plausible range for a mineral grassland soil. ","")&amp;IF(AND(ISNUMBER($N403),$N403&gt;QC_CARBON_PCT_MAX),"Organic carbon above the QC ceiling — check units, and whether this is an organic horizon. ","")&amp;IF(AND(ISNUMBER($J403),$J403&lt;QC_RECOVERY_MIN),"Recovered less than the QC minimum of the depth driven — the increments may not sit where you think. Do NOT stretch them back out. ","")&amp;IF(AND(ISNUMBER($K403),$K403&gt;0,$L403="Fine earth / total volume"),"Coarse fragments recorded and the lab basis already accounts for them — no further correction applied, which is correct. ",""))</f>
        <v/>
      </c>
      <c r="T403" s="6"/>
      <c r="U403" s="9" t="n">
        <f aca="false">IF($B403="",0,IF(COUNTIFS($B$5:$B403,$B403)=1,1,0))</f>
        <v>0</v>
      </c>
    </row>
    <row r="404" customFormat="false" ht="15" hidden="false" customHeight="false" outlineLevel="0" collapsed="false">
      <c r="A404" s="6"/>
      <c r="B404" s="6"/>
      <c r="C404" s="6"/>
      <c r="D404" s="6"/>
      <c r="E404" s="6"/>
      <c r="F404" s="9" t="str">
        <f aca="false">IF(OR($D404="",$E404=""),"",$E404-$D404)</f>
        <v/>
      </c>
      <c r="G404" s="6"/>
      <c r="H404" s="6"/>
      <c r="I404" s="6"/>
      <c r="J404" s="9" t="str">
        <f aca="false">IF(OR(NOT(ISNUMBER($H404)),NOT(ISNUMBER($I404)),$H404=0),"",$I404/$H404)</f>
        <v/>
      </c>
      <c r="K404" s="6"/>
      <c r="L404" s="8"/>
      <c r="M404" s="7"/>
      <c r="N404" s="7"/>
      <c r="O404" s="9" t="str">
        <f aca="false">IF(NOT(ISNUMBER($M404)),"",IF($L404="Fine earth / fine-earth volume",$M404*(1-IF(ISNUMBER($K404),$K404,0)/100),$M404))</f>
        <v/>
      </c>
      <c r="P404" s="9" t="str">
        <f aca="false">IF(OR(NOT(ISNUMBER($O404)),NOT(ISNUMBER($N404)),NOT(ISNUMBER($F404))),"",$O404*($N404/100)*$F404*10)</f>
        <v/>
      </c>
      <c r="Q404" s="9" t="str">
        <f aca="false">IF(OR(NOT(ISNUMBER($D404)),NOT(ISNUMBER($E404))),"",MAX(0,MIN($E404,SOIL_REPORTING_DEPTH_CM)-MIN($D404,SOIL_REPORTING_DEPTH_CM)))</f>
        <v/>
      </c>
      <c r="R404" s="9" t="str">
        <f aca="false">IF(OR(NOT(ISNUMBER($O404)),NOT(ISNUMBER($N404)),NOT(ISNUMBER($Q404))),"",$O404*($N404/100)*$Q404*10)</f>
        <v/>
      </c>
      <c r="S404" s="11" t="str">
        <f aca="false">IF(AND($A404="",$B404="",$D404=""),"",IF(AND($A404&lt;&gt;"",COUNTIF('1. Plot &amp; Site Log'!$A$5:$A$64,$A404)=0),"Plot ID not in the Plot &amp; Site Log. ","")&amp;IF(AND(ISNUMBER($D404),ISNUMBER($E404),$E404&lt;=$D404),"Bottom depth is not below top depth. ","")&amp;IF($L404="Not confirmed","Bulk-density basis not confirmed with the lab — the coarse-fragment correction may be wrong or doubled. ","")&amp;IF(LAB_BULK_DENSITY_BASIS="Not confirmed","No lab bulk-density basis is on file in Settings (LAB_BULK_DENSITY_BASIS), so nothing checks this row. ","")&amp;IF(AND($L404&lt;&gt;"",LAB_BULK_DENSITY_BASIS&lt;&gt;"Not confirmed",$L404&lt;&gt;LAB_BULK_DENSITY_BASIS),"This row's bulk-density basis disagrees with the lab method on file. One of "&amp;"the two is wrong, and the coarse-fragment correction follows the row. ","")&amp;IF(AND(ISNUMBER($M404),OR($M404&lt;QC_BD_MIN,$M404&gt;QC_BD_MAX)),"Bulk density outside the plausible range for a mineral grassland soil. ","")&amp;IF(AND(ISNUMBER($N404),$N404&gt;QC_CARBON_PCT_MAX),"Organic carbon above the QC ceiling — check units, and whether this is an organic horizon. ","")&amp;IF(AND(ISNUMBER($J404),$J404&lt;QC_RECOVERY_MIN),"Recovered less than the QC minimum of the depth driven — the increments may not sit where you think. Do NOT stretch them back out. ","")&amp;IF(AND(ISNUMBER($K404),$K404&gt;0,$L404="Fine earth / total volume"),"Coarse fragments recorded and the lab basis already accounts for them — no further correction applied, which is correct. ",""))</f>
        <v/>
      </c>
      <c r="T404" s="6"/>
      <c r="U404" s="9" t="n">
        <f aca="false">IF($B404="",0,IF(COUNTIFS($B$5:$B404,$B404)=1,1,0))</f>
        <v>0</v>
      </c>
    </row>
    <row r="405" customFormat="false" ht="15" hidden="false" customHeight="false" outlineLevel="0" collapsed="false">
      <c r="A405" s="6"/>
      <c r="B405" s="6"/>
      <c r="C405" s="6"/>
      <c r="D405" s="6"/>
      <c r="E405" s="6"/>
      <c r="F405" s="9" t="str">
        <f aca="false">IF(OR($D405="",$E405=""),"",$E405-$D405)</f>
        <v/>
      </c>
      <c r="G405" s="6"/>
      <c r="H405" s="6"/>
      <c r="I405" s="6"/>
      <c r="J405" s="9" t="str">
        <f aca="false">IF(OR(NOT(ISNUMBER($H405)),NOT(ISNUMBER($I405)),$H405=0),"",$I405/$H405)</f>
        <v/>
      </c>
      <c r="K405" s="6"/>
      <c r="L405" s="8"/>
      <c r="M405" s="7"/>
      <c r="N405" s="7"/>
      <c r="O405" s="9" t="str">
        <f aca="false">IF(NOT(ISNUMBER($M405)),"",IF($L405="Fine earth / fine-earth volume",$M405*(1-IF(ISNUMBER($K405),$K405,0)/100),$M405))</f>
        <v/>
      </c>
      <c r="P405" s="9" t="str">
        <f aca="false">IF(OR(NOT(ISNUMBER($O405)),NOT(ISNUMBER($N405)),NOT(ISNUMBER($F405))),"",$O405*($N405/100)*$F405*10)</f>
        <v/>
      </c>
      <c r="Q405" s="9" t="str">
        <f aca="false">IF(OR(NOT(ISNUMBER($D405)),NOT(ISNUMBER($E405))),"",MAX(0,MIN($E405,SOIL_REPORTING_DEPTH_CM)-MIN($D405,SOIL_REPORTING_DEPTH_CM)))</f>
        <v/>
      </c>
      <c r="R405" s="9" t="str">
        <f aca="false">IF(OR(NOT(ISNUMBER($O405)),NOT(ISNUMBER($N405)),NOT(ISNUMBER($Q405))),"",$O405*($N405/100)*$Q405*10)</f>
        <v/>
      </c>
      <c r="S405" s="11" t="str">
        <f aca="false">IF(AND($A405="",$B405="",$D405=""),"",IF(AND($A405&lt;&gt;"",COUNTIF('1. Plot &amp; Site Log'!$A$5:$A$64,$A405)=0),"Plot ID not in the Plot &amp; Site Log. ","")&amp;IF(AND(ISNUMBER($D405),ISNUMBER($E405),$E405&lt;=$D405),"Bottom depth is not below top depth. ","")&amp;IF($L405="Not confirmed","Bulk-density basis not confirmed with the lab — the coarse-fragment correction may be wrong or doubled. ","")&amp;IF(LAB_BULK_DENSITY_BASIS="Not confirmed","No lab bulk-density basis is on file in Settings (LAB_BULK_DENSITY_BASIS), so nothing checks this row. ","")&amp;IF(AND($L405&lt;&gt;"",LAB_BULK_DENSITY_BASIS&lt;&gt;"Not confirmed",$L405&lt;&gt;LAB_BULK_DENSITY_BASIS),"This row's bulk-density basis disagrees with the lab method on file. One of "&amp;"the two is wrong, and the coarse-fragment correction follows the row. ","")&amp;IF(AND(ISNUMBER($M405),OR($M405&lt;QC_BD_MIN,$M405&gt;QC_BD_MAX)),"Bulk density outside the plausible range for a mineral grassland soil. ","")&amp;IF(AND(ISNUMBER($N405),$N405&gt;QC_CARBON_PCT_MAX),"Organic carbon above the QC ceiling — check units, and whether this is an organic horizon. ","")&amp;IF(AND(ISNUMBER($J405),$J405&lt;QC_RECOVERY_MIN),"Recovered less than the QC minimum of the depth driven — the increments may not sit where you think. Do NOT stretch them back out. ","")&amp;IF(AND(ISNUMBER($K405),$K405&gt;0,$L405="Fine earth / total volume"),"Coarse fragments recorded and the lab basis already accounts for them — no further correction applied, which is correct. ",""))</f>
        <v/>
      </c>
      <c r="T405" s="6"/>
      <c r="U405" s="9" t="n">
        <f aca="false">IF($B405="",0,IF(COUNTIFS($B$5:$B405,$B405)=1,1,0))</f>
        <v>0</v>
      </c>
    </row>
    <row r="406" customFormat="false" ht="15" hidden="false" customHeight="false" outlineLevel="0" collapsed="false">
      <c r="A406" s="6"/>
      <c r="B406" s="6"/>
      <c r="C406" s="6"/>
      <c r="D406" s="6"/>
      <c r="E406" s="6"/>
      <c r="F406" s="9" t="str">
        <f aca="false">IF(OR($D406="",$E406=""),"",$E406-$D406)</f>
        <v/>
      </c>
      <c r="G406" s="6"/>
      <c r="H406" s="6"/>
      <c r="I406" s="6"/>
      <c r="J406" s="9" t="str">
        <f aca="false">IF(OR(NOT(ISNUMBER($H406)),NOT(ISNUMBER($I406)),$H406=0),"",$I406/$H406)</f>
        <v/>
      </c>
      <c r="K406" s="6"/>
      <c r="L406" s="8"/>
      <c r="M406" s="7"/>
      <c r="N406" s="7"/>
      <c r="O406" s="9" t="str">
        <f aca="false">IF(NOT(ISNUMBER($M406)),"",IF($L406="Fine earth / fine-earth volume",$M406*(1-IF(ISNUMBER($K406),$K406,0)/100),$M406))</f>
        <v/>
      </c>
      <c r="P406" s="9" t="str">
        <f aca="false">IF(OR(NOT(ISNUMBER($O406)),NOT(ISNUMBER($N406)),NOT(ISNUMBER($F406))),"",$O406*($N406/100)*$F406*10)</f>
        <v/>
      </c>
      <c r="Q406" s="9" t="str">
        <f aca="false">IF(OR(NOT(ISNUMBER($D406)),NOT(ISNUMBER($E406))),"",MAX(0,MIN($E406,SOIL_REPORTING_DEPTH_CM)-MIN($D406,SOIL_REPORTING_DEPTH_CM)))</f>
        <v/>
      </c>
      <c r="R406" s="9" t="str">
        <f aca="false">IF(OR(NOT(ISNUMBER($O406)),NOT(ISNUMBER($N406)),NOT(ISNUMBER($Q406))),"",$O406*($N406/100)*$Q406*10)</f>
        <v/>
      </c>
      <c r="S406" s="11" t="str">
        <f aca="false">IF(AND($A406="",$B406="",$D406=""),"",IF(AND($A406&lt;&gt;"",COUNTIF('1. Plot &amp; Site Log'!$A$5:$A$64,$A406)=0),"Plot ID not in the Plot &amp; Site Log. ","")&amp;IF(AND(ISNUMBER($D406),ISNUMBER($E406),$E406&lt;=$D406),"Bottom depth is not below top depth. ","")&amp;IF($L406="Not confirmed","Bulk-density basis not confirmed with the lab — the coarse-fragment correction may be wrong or doubled. ","")&amp;IF(LAB_BULK_DENSITY_BASIS="Not confirmed","No lab bulk-density basis is on file in Settings (LAB_BULK_DENSITY_BASIS), so nothing checks this row. ","")&amp;IF(AND($L406&lt;&gt;"",LAB_BULK_DENSITY_BASIS&lt;&gt;"Not confirmed",$L406&lt;&gt;LAB_BULK_DENSITY_BASIS),"This row's bulk-density basis disagrees with the lab method on file. One of "&amp;"the two is wrong, and the coarse-fragment correction follows the row. ","")&amp;IF(AND(ISNUMBER($M406),OR($M406&lt;QC_BD_MIN,$M406&gt;QC_BD_MAX)),"Bulk density outside the plausible range for a mineral grassland soil. ","")&amp;IF(AND(ISNUMBER($N406),$N406&gt;QC_CARBON_PCT_MAX),"Organic carbon above the QC ceiling — check units, and whether this is an organic horizon. ","")&amp;IF(AND(ISNUMBER($J406),$J406&lt;QC_RECOVERY_MIN),"Recovered less than the QC minimum of the depth driven — the increments may not sit where you think. Do NOT stretch them back out. ","")&amp;IF(AND(ISNUMBER($K406),$K406&gt;0,$L406="Fine earth / total volume"),"Coarse fragments recorded and the lab basis already accounts for them — no further correction applied, which is correct. ",""))</f>
        <v/>
      </c>
      <c r="T406" s="6"/>
      <c r="U406" s="9" t="n">
        <f aca="false">IF($B406="",0,IF(COUNTIFS($B$5:$B406,$B406)=1,1,0))</f>
        <v>0</v>
      </c>
    </row>
    <row r="407" customFormat="false" ht="15" hidden="false" customHeight="false" outlineLevel="0" collapsed="false">
      <c r="A407" s="6"/>
      <c r="B407" s="6"/>
      <c r="C407" s="6"/>
      <c r="D407" s="6"/>
      <c r="E407" s="6"/>
      <c r="F407" s="9" t="str">
        <f aca="false">IF(OR($D407="",$E407=""),"",$E407-$D407)</f>
        <v/>
      </c>
      <c r="G407" s="6"/>
      <c r="H407" s="6"/>
      <c r="I407" s="6"/>
      <c r="J407" s="9" t="str">
        <f aca="false">IF(OR(NOT(ISNUMBER($H407)),NOT(ISNUMBER($I407)),$H407=0),"",$I407/$H407)</f>
        <v/>
      </c>
      <c r="K407" s="6"/>
      <c r="L407" s="8"/>
      <c r="M407" s="7"/>
      <c r="N407" s="7"/>
      <c r="O407" s="9" t="str">
        <f aca="false">IF(NOT(ISNUMBER($M407)),"",IF($L407="Fine earth / fine-earth volume",$M407*(1-IF(ISNUMBER($K407),$K407,0)/100),$M407))</f>
        <v/>
      </c>
      <c r="P407" s="9" t="str">
        <f aca="false">IF(OR(NOT(ISNUMBER($O407)),NOT(ISNUMBER($N407)),NOT(ISNUMBER($F407))),"",$O407*($N407/100)*$F407*10)</f>
        <v/>
      </c>
      <c r="Q407" s="9" t="str">
        <f aca="false">IF(OR(NOT(ISNUMBER($D407)),NOT(ISNUMBER($E407))),"",MAX(0,MIN($E407,SOIL_REPORTING_DEPTH_CM)-MIN($D407,SOIL_REPORTING_DEPTH_CM)))</f>
        <v/>
      </c>
      <c r="R407" s="9" t="str">
        <f aca="false">IF(OR(NOT(ISNUMBER($O407)),NOT(ISNUMBER($N407)),NOT(ISNUMBER($Q407))),"",$O407*($N407/100)*$Q407*10)</f>
        <v/>
      </c>
      <c r="S407" s="11" t="str">
        <f aca="false">IF(AND($A407="",$B407="",$D407=""),"",IF(AND($A407&lt;&gt;"",COUNTIF('1. Plot &amp; Site Log'!$A$5:$A$64,$A407)=0),"Plot ID not in the Plot &amp; Site Log. ","")&amp;IF(AND(ISNUMBER($D407),ISNUMBER($E407),$E407&lt;=$D407),"Bottom depth is not below top depth. ","")&amp;IF($L407="Not confirmed","Bulk-density basis not confirmed with the lab — the coarse-fragment correction may be wrong or doubled. ","")&amp;IF(LAB_BULK_DENSITY_BASIS="Not confirmed","No lab bulk-density basis is on file in Settings (LAB_BULK_DENSITY_BASIS), so nothing checks this row. ","")&amp;IF(AND($L407&lt;&gt;"",LAB_BULK_DENSITY_BASIS&lt;&gt;"Not confirmed",$L407&lt;&gt;LAB_BULK_DENSITY_BASIS),"This row's bulk-density basis disagrees with the lab method on file. One of "&amp;"the two is wrong, and the coarse-fragment correction follows the row. ","")&amp;IF(AND(ISNUMBER($M407),OR($M407&lt;QC_BD_MIN,$M407&gt;QC_BD_MAX)),"Bulk density outside the plausible range for a mineral grassland soil. ","")&amp;IF(AND(ISNUMBER($N407),$N407&gt;QC_CARBON_PCT_MAX),"Organic carbon above the QC ceiling — check units, and whether this is an organic horizon. ","")&amp;IF(AND(ISNUMBER($J407),$J407&lt;QC_RECOVERY_MIN),"Recovered less than the QC minimum of the depth driven — the increments may not sit where you think. Do NOT stretch them back out. ","")&amp;IF(AND(ISNUMBER($K407),$K407&gt;0,$L407="Fine earth / total volume"),"Coarse fragments recorded and the lab basis already accounts for them — no further correction applied, which is correct. ",""))</f>
        <v/>
      </c>
      <c r="T407" s="6"/>
      <c r="U407" s="9" t="n">
        <f aca="false">IF($B407="",0,IF(COUNTIFS($B$5:$B407,$B407)=1,1,0))</f>
        <v>0</v>
      </c>
    </row>
    <row r="408" customFormat="false" ht="15" hidden="false" customHeight="false" outlineLevel="0" collapsed="false">
      <c r="A408" s="6"/>
      <c r="B408" s="6"/>
      <c r="C408" s="6"/>
      <c r="D408" s="6"/>
      <c r="E408" s="6"/>
      <c r="F408" s="9" t="str">
        <f aca="false">IF(OR($D408="",$E408=""),"",$E408-$D408)</f>
        <v/>
      </c>
      <c r="G408" s="6"/>
      <c r="H408" s="6"/>
      <c r="I408" s="6"/>
      <c r="J408" s="9" t="str">
        <f aca="false">IF(OR(NOT(ISNUMBER($H408)),NOT(ISNUMBER($I408)),$H408=0),"",$I408/$H408)</f>
        <v/>
      </c>
      <c r="K408" s="6"/>
      <c r="L408" s="8"/>
      <c r="M408" s="7"/>
      <c r="N408" s="7"/>
      <c r="O408" s="9" t="str">
        <f aca="false">IF(NOT(ISNUMBER($M408)),"",IF($L408="Fine earth / fine-earth volume",$M408*(1-IF(ISNUMBER($K408),$K408,0)/100),$M408))</f>
        <v/>
      </c>
      <c r="P408" s="9" t="str">
        <f aca="false">IF(OR(NOT(ISNUMBER($O408)),NOT(ISNUMBER($N408)),NOT(ISNUMBER($F408))),"",$O408*($N408/100)*$F408*10)</f>
        <v/>
      </c>
      <c r="Q408" s="9" t="str">
        <f aca="false">IF(OR(NOT(ISNUMBER($D408)),NOT(ISNUMBER($E408))),"",MAX(0,MIN($E408,SOIL_REPORTING_DEPTH_CM)-MIN($D408,SOIL_REPORTING_DEPTH_CM)))</f>
        <v/>
      </c>
      <c r="R408" s="9" t="str">
        <f aca="false">IF(OR(NOT(ISNUMBER($O408)),NOT(ISNUMBER($N408)),NOT(ISNUMBER($Q408))),"",$O408*($N408/100)*$Q408*10)</f>
        <v/>
      </c>
      <c r="S408" s="11" t="str">
        <f aca="false">IF(AND($A408="",$B408="",$D408=""),"",IF(AND($A408&lt;&gt;"",COUNTIF('1. Plot &amp; Site Log'!$A$5:$A$64,$A408)=0),"Plot ID not in the Plot &amp; Site Log. ","")&amp;IF(AND(ISNUMBER($D408),ISNUMBER($E408),$E408&lt;=$D408),"Bottom depth is not below top depth. ","")&amp;IF($L408="Not confirmed","Bulk-density basis not confirmed with the lab — the coarse-fragment correction may be wrong or doubled. ","")&amp;IF(LAB_BULK_DENSITY_BASIS="Not confirmed","No lab bulk-density basis is on file in Settings (LAB_BULK_DENSITY_BASIS), so nothing checks this row. ","")&amp;IF(AND($L408&lt;&gt;"",LAB_BULK_DENSITY_BASIS&lt;&gt;"Not confirmed",$L408&lt;&gt;LAB_BULK_DENSITY_BASIS),"This row's bulk-density basis disagrees with the lab method on file. One of "&amp;"the two is wrong, and the coarse-fragment correction follows the row. ","")&amp;IF(AND(ISNUMBER($M408),OR($M408&lt;QC_BD_MIN,$M408&gt;QC_BD_MAX)),"Bulk density outside the plausible range for a mineral grassland soil. ","")&amp;IF(AND(ISNUMBER($N408),$N408&gt;QC_CARBON_PCT_MAX),"Organic carbon above the QC ceiling — check units, and whether this is an organic horizon. ","")&amp;IF(AND(ISNUMBER($J408),$J408&lt;QC_RECOVERY_MIN),"Recovered less than the QC minimum of the depth driven — the increments may not sit where you think. Do NOT stretch them back out. ","")&amp;IF(AND(ISNUMBER($K408),$K408&gt;0,$L408="Fine earth / total volume"),"Coarse fragments recorded and the lab basis already accounts for them — no further correction applied, which is correct. ",""))</f>
        <v/>
      </c>
      <c r="T408" s="6"/>
      <c r="U408" s="9" t="n">
        <f aca="false">IF($B408="",0,IF(COUNTIFS($B$5:$B408,$B408)=1,1,0))</f>
        <v>0</v>
      </c>
    </row>
    <row r="409" customFormat="false" ht="15" hidden="false" customHeight="false" outlineLevel="0" collapsed="false">
      <c r="A409" s="6"/>
      <c r="B409" s="6"/>
      <c r="C409" s="6"/>
      <c r="D409" s="6"/>
      <c r="E409" s="6"/>
      <c r="F409" s="9" t="str">
        <f aca="false">IF(OR($D409="",$E409=""),"",$E409-$D409)</f>
        <v/>
      </c>
      <c r="G409" s="6"/>
      <c r="H409" s="6"/>
      <c r="I409" s="6"/>
      <c r="J409" s="9" t="str">
        <f aca="false">IF(OR(NOT(ISNUMBER($H409)),NOT(ISNUMBER($I409)),$H409=0),"",$I409/$H409)</f>
        <v/>
      </c>
      <c r="K409" s="6"/>
      <c r="L409" s="8"/>
      <c r="M409" s="7"/>
      <c r="N409" s="7"/>
      <c r="O409" s="9" t="str">
        <f aca="false">IF(NOT(ISNUMBER($M409)),"",IF($L409="Fine earth / fine-earth volume",$M409*(1-IF(ISNUMBER($K409),$K409,0)/100),$M409))</f>
        <v/>
      </c>
      <c r="P409" s="9" t="str">
        <f aca="false">IF(OR(NOT(ISNUMBER($O409)),NOT(ISNUMBER($N409)),NOT(ISNUMBER($F409))),"",$O409*($N409/100)*$F409*10)</f>
        <v/>
      </c>
      <c r="Q409" s="9" t="str">
        <f aca="false">IF(OR(NOT(ISNUMBER($D409)),NOT(ISNUMBER($E409))),"",MAX(0,MIN($E409,SOIL_REPORTING_DEPTH_CM)-MIN($D409,SOIL_REPORTING_DEPTH_CM)))</f>
        <v/>
      </c>
      <c r="R409" s="9" t="str">
        <f aca="false">IF(OR(NOT(ISNUMBER($O409)),NOT(ISNUMBER($N409)),NOT(ISNUMBER($Q409))),"",$O409*($N409/100)*$Q409*10)</f>
        <v/>
      </c>
      <c r="S409" s="11" t="str">
        <f aca="false">IF(AND($A409="",$B409="",$D409=""),"",IF(AND($A409&lt;&gt;"",COUNTIF('1. Plot &amp; Site Log'!$A$5:$A$64,$A409)=0),"Plot ID not in the Plot &amp; Site Log. ","")&amp;IF(AND(ISNUMBER($D409),ISNUMBER($E409),$E409&lt;=$D409),"Bottom depth is not below top depth. ","")&amp;IF($L409="Not confirmed","Bulk-density basis not confirmed with the lab — the coarse-fragment correction may be wrong or doubled. ","")&amp;IF(LAB_BULK_DENSITY_BASIS="Not confirmed","No lab bulk-density basis is on file in Settings (LAB_BULK_DENSITY_BASIS), so nothing checks this row. ","")&amp;IF(AND($L409&lt;&gt;"",LAB_BULK_DENSITY_BASIS&lt;&gt;"Not confirmed",$L409&lt;&gt;LAB_BULK_DENSITY_BASIS),"This row's bulk-density basis disagrees with the lab method on file. One of "&amp;"the two is wrong, and the coarse-fragment correction follows the row. ","")&amp;IF(AND(ISNUMBER($M409),OR($M409&lt;QC_BD_MIN,$M409&gt;QC_BD_MAX)),"Bulk density outside the plausible range for a mineral grassland soil. ","")&amp;IF(AND(ISNUMBER($N409),$N409&gt;QC_CARBON_PCT_MAX),"Organic carbon above the QC ceiling — check units, and whether this is an organic horizon. ","")&amp;IF(AND(ISNUMBER($J409),$J409&lt;QC_RECOVERY_MIN),"Recovered less than the QC minimum of the depth driven — the increments may not sit where you think. Do NOT stretch them back out. ","")&amp;IF(AND(ISNUMBER($K409),$K409&gt;0,$L409="Fine earth / total volume"),"Coarse fragments recorded and the lab basis already accounts for them — no further correction applied, which is correct. ",""))</f>
        <v/>
      </c>
      <c r="T409" s="6"/>
      <c r="U409" s="9" t="n">
        <f aca="false">IF($B409="",0,IF(COUNTIFS($B$5:$B409,$B409)=1,1,0))</f>
        <v>0</v>
      </c>
    </row>
    <row r="410" customFormat="false" ht="15" hidden="false" customHeight="false" outlineLevel="0" collapsed="false">
      <c r="A410" s="6"/>
      <c r="B410" s="6"/>
      <c r="C410" s="6"/>
      <c r="D410" s="6"/>
      <c r="E410" s="6"/>
      <c r="F410" s="9" t="str">
        <f aca="false">IF(OR($D410="",$E410=""),"",$E410-$D410)</f>
        <v/>
      </c>
      <c r="G410" s="6"/>
      <c r="H410" s="6"/>
      <c r="I410" s="6"/>
      <c r="J410" s="9" t="str">
        <f aca="false">IF(OR(NOT(ISNUMBER($H410)),NOT(ISNUMBER($I410)),$H410=0),"",$I410/$H410)</f>
        <v/>
      </c>
      <c r="K410" s="6"/>
      <c r="L410" s="8"/>
      <c r="M410" s="7"/>
      <c r="N410" s="7"/>
      <c r="O410" s="9" t="str">
        <f aca="false">IF(NOT(ISNUMBER($M410)),"",IF($L410="Fine earth / fine-earth volume",$M410*(1-IF(ISNUMBER($K410),$K410,0)/100),$M410))</f>
        <v/>
      </c>
      <c r="P410" s="9" t="str">
        <f aca="false">IF(OR(NOT(ISNUMBER($O410)),NOT(ISNUMBER($N410)),NOT(ISNUMBER($F410))),"",$O410*($N410/100)*$F410*10)</f>
        <v/>
      </c>
      <c r="Q410" s="9" t="str">
        <f aca="false">IF(OR(NOT(ISNUMBER($D410)),NOT(ISNUMBER($E410))),"",MAX(0,MIN($E410,SOIL_REPORTING_DEPTH_CM)-MIN($D410,SOIL_REPORTING_DEPTH_CM)))</f>
        <v/>
      </c>
      <c r="R410" s="9" t="str">
        <f aca="false">IF(OR(NOT(ISNUMBER($O410)),NOT(ISNUMBER($N410)),NOT(ISNUMBER($Q410))),"",$O410*($N410/100)*$Q410*10)</f>
        <v/>
      </c>
      <c r="S410" s="11" t="str">
        <f aca="false">IF(AND($A410="",$B410="",$D410=""),"",IF(AND($A410&lt;&gt;"",COUNTIF('1. Plot &amp; Site Log'!$A$5:$A$64,$A410)=0),"Plot ID not in the Plot &amp; Site Log. ","")&amp;IF(AND(ISNUMBER($D410),ISNUMBER($E410),$E410&lt;=$D410),"Bottom depth is not below top depth. ","")&amp;IF($L410="Not confirmed","Bulk-density basis not confirmed with the lab — the coarse-fragment correction may be wrong or doubled. ","")&amp;IF(LAB_BULK_DENSITY_BASIS="Not confirmed","No lab bulk-density basis is on file in Settings (LAB_BULK_DENSITY_BASIS), so nothing checks this row. ","")&amp;IF(AND($L410&lt;&gt;"",LAB_BULK_DENSITY_BASIS&lt;&gt;"Not confirmed",$L410&lt;&gt;LAB_BULK_DENSITY_BASIS),"This row's bulk-density basis disagrees with the lab method on file. One of "&amp;"the two is wrong, and the coarse-fragment correction follows the row. ","")&amp;IF(AND(ISNUMBER($M410),OR($M410&lt;QC_BD_MIN,$M410&gt;QC_BD_MAX)),"Bulk density outside the plausible range for a mineral grassland soil. ","")&amp;IF(AND(ISNUMBER($N410),$N410&gt;QC_CARBON_PCT_MAX),"Organic carbon above the QC ceiling — check units, and whether this is an organic horizon. ","")&amp;IF(AND(ISNUMBER($J410),$J410&lt;QC_RECOVERY_MIN),"Recovered less than the QC minimum of the depth driven — the increments may not sit where you think. Do NOT stretch them back out. ","")&amp;IF(AND(ISNUMBER($K410),$K410&gt;0,$L410="Fine earth / total volume"),"Coarse fragments recorded and the lab basis already accounts for them — no further correction applied, which is correct. ",""))</f>
        <v/>
      </c>
      <c r="T410" s="6"/>
      <c r="U410" s="9" t="n">
        <f aca="false">IF($B410="",0,IF(COUNTIFS($B$5:$B410,$B410)=1,1,0))</f>
        <v>0</v>
      </c>
    </row>
    <row r="411" customFormat="false" ht="15" hidden="false" customHeight="false" outlineLevel="0" collapsed="false">
      <c r="A411" s="6"/>
      <c r="B411" s="6"/>
      <c r="C411" s="6"/>
      <c r="D411" s="6"/>
      <c r="E411" s="6"/>
      <c r="F411" s="9" t="str">
        <f aca="false">IF(OR($D411="",$E411=""),"",$E411-$D411)</f>
        <v/>
      </c>
      <c r="G411" s="6"/>
      <c r="H411" s="6"/>
      <c r="I411" s="6"/>
      <c r="J411" s="9" t="str">
        <f aca="false">IF(OR(NOT(ISNUMBER($H411)),NOT(ISNUMBER($I411)),$H411=0),"",$I411/$H411)</f>
        <v/>
      </c>
      <c r="K411" s="6"/>
      <c r="L411" s="8"/>
      <c r="M411" s="7"/>
      <c r="N411" s="7"/>
      <c r="O411" s="9" t="str">
        <f aca="false">IF(NOT(ISNUMBER($M411)),"",IF($L411="Fine earth / fine-earth volume",$M411*(1-IF(ISNUMBER($K411),$K411,0)/100),$M411))</f>
        <v/>
      </c>
      <c r="P411" s="9" t="str">
        <f aca="false">IF(OR(NOT(ISNUMBER($O411)),NOT(ISNUMBER($N411)),NOT(ISNUMBER($F411))),"",$O411*($N411/100)*$F411*10)</f>
        <v/>
      </c>
      <c r="Q411" s="9" t="str">
        <f aca="false">IF(OR(NOT(ISNUMBER($D411)),NOT(ISNUMBER($E411))),"",MAX(0,MIN($E411,SOIL_REPORTING_DEPTH_CM)-MIN($D411,SOIL_REPORTING_DEPTH_CM)))</f>
        <v/>
      </c>
      <c r="R411" s="9" t="str">
        <f aca="false">IF(OR(NOT(ISNUMBER($O411)),NOT(ISNUMBER($N411)),NOT(ISNUMBER($Q411))),"",$O411*($N411/100)*$Q411*10)</f>
        <v/>
      </c>
      <c r="S411" s="11" t="str">
        <f aca="false">IF(AND($A411="",$B411="",$D411=""),"",IF(AND($A411&lt;&gt;"",COUNTIF('1. Plot &amp; Site Log'!$A$5:$A$64,$A411)=0),"Plot ID not in the Plot &amp; Site Log. ","")&amp;IF(AND(ISNUMBER($D411),ISNUMBER($E411),$E411&lt;=$D411),"Bottom depth is not below top depth. ","")&amp;IF($L411="Not confirmed","Bulk-density basis not confirmed with the lab — the coarse-fragment correction may be wrong or doubled. ","")&amp;IF(LAB_BULK_DENSITY_BASIS="Not confirmed","No lab bulk-density basis is on file in Settings (LAB_BULK_DENSITY_BASIS), so nothing checks this row. ","")&amp;IF(AND($L411&lt;&gt;"",LAB_BULK_DENSITY_BASIS&lt;&gt;"Not confirmed",$L411&lt;&gt;LAB_BULK_DENSITY_BASIS),"This row's bulk-density basis disagrees with the lab method on file. One of "&amp;"the two is wrong, and the coarse-fragment correction follows the row. ","")&amp;IF(AND(ISNUMBER($M411),OR($M411&lt;QC_BD_MIN,$M411&gt;QC_BD_MAX)),"Bulk density outside the plausible range for a mineral grassland soil. ","")&amp;IF(AND(ISNUMBER($N411),$N411&gt;QC_CARBON_PCT_MAX),"Organic carbon above the QC ceiling — check units, and whether this is an organic horizon. ","")&amp;IF(AND(ISNUMBER($J411),$J411&lt;QC_RECOVERY_MIN),"Recovered less than the QC minimum of the depth driven — the increments may not sit where you think. Do NOT stretch them back out. ","")&amp;IF(AND(ISNUMBER($K411),$K411&gt;0,$L411="Fine earth / total volume"),"Coarse fragments recorded and the lab basis already accounts for them — no further correction applied, which is correct. ",""))</f>
        <v/>
      </c>
      <c r="T411" s="6"/>
      <c r="U411" s="9" t="n">
        <f aca="false">IF($B411="",0,IF(COUNTIFS($B$5:$B411,$B411)=1,1,0))</f>
        <v>0</v>
      </c>
    </row>
    <row r="412" customFormat="false" ht="15" hidden="false" customHeight="false" outlineLevel="0" collapsed="false">
      <c r="A412" s="6"/>
      <c r="B412" s="6"/>
      <c r="C412" s="6"/>
      <c r="D412" s="6"/>
      <c r="E412" s="6"/>
      <c r="F412" s="9" t="str">
        <f aca="false">IF(OR($D412="",$E412=""),"",$E412-$D412)</f>
        <v/>
      </c>
      <c r="G412" s="6"/>
      <c r="H412" s="6"/>
      <c r="I412" s="6"/>
      <c r="J412" s="9" t="str">
        <f aca="false">IF(OR(NOT(ISNUMBER($H412)),NOT(ISNUMBER($I412)),$H412=0),"",$I412/$H412)</f>
        <v/>
      </c>
      <c r="K412" s="6"/>
      <c r="L412" s="8"/>
      <c r="M412" s="7"/>
      <c r="N412" s="7"/>
      <c r="O412" s="9" t="str">
        <f aca="false">IF(NOT(ISNUMBER($M412)),"",IF($L412="Fine earth / fine-earth volume",$M412*(1-IF(ISNUMBER($K412),$K412,0)/100),$M412))</f>
        <v/>
      </c>
      <c r="P412" s="9" t="str">
        <f aca="false">IF(OR(NOT(ISNUMBER($O412)),NOT(ISNUMBER($N412)),NOT(ISNUMBER($F412))),"",$O412*($N412/100)*$F412*10)</f>
        <v/>
      </c>
      <c r="Q412" s="9" t="str">
        <f aca="false">IF(OR(NOT(ISNUMBER($D412)),NOT(ISNUMBER($E412))),"",MAX(0,MIN($E412,SOIL_REPORTING_DEPTH_CM)-MIN($D412,SOIL_REPORTING_DEPTH_CM)))</f>
        <v/>
      </c>
      <c r="R412" s="9" t="str">
        <f aca="false">IF(OR(NOT(ISNUMBER($O412)),NOT(ISNUMBER($N412)),NOT(ISNUMBER($Q412))),"",$O412*($N412/100)*$Q412*10)</f>
        <v/>
      </c>
      <c r="S412" s="11" t="str">
        <f aca="false">IF(AND($A412="",$B412="",$D412=""),"",IF(AND($A412&lt;&gt;"",COUNTIF('1. Plot &amp; Site Log'!$A$5:$A$64,$A412)=0),"Plot ID not in the Plot &amp; Site Log. ","")&amp;IF(AND(ISNUMBER($D412),ISNUMBER($E412),$E412&lt;=$D412),"Bottom depth is not below top depth. ","")&amp;IF($L412="Not confirmed","Bulk-density basis not confirmed with the lab — the coarse-fragment correction may be wrong or doubled. ","")&amp;IF(LAB_BULK_DENSITY_BASIS="Not confirmed","No lab bulk-density basis is on file in Settings (LAB_BULK_DENSITY_BASIS), so nothing checks this row. ","")&amp;IF(AND($L412&lt;&gt;"",LAB_BULK_DENSITY_BASIS&lt;&gt;"Not confirmed",$L412&lt;&gt;LAB_BULK_DENSITY_BASIS),"This row's bulk-density basis disagrees with the lab method on file. One of "&amp;"the two is wrong, and the coarse-fragment correction follows the row. ","")&amp;IF(AND(ISNUMBER($M412),OR($M412&lt;QC_BD_MIN,$M412&gt;QC_BD_MAX)),"Bulk density outside the plausible range for a mineral grassland soil. ","")&amp;IF(AND(ISNUMBER($N412),$N412&gt;QC_CARBON_PCT_MAX),"Organic carbon above the QC ceiling — check units, and whether this is an organic horizon. ","")&amp;IF(AND(ISNUMBER($J412),$J412&lt;QC_RECOVERY_MIN),"Recovered less than the QC minimum of the depth driven — the increments may not sit where you think. Do NOT stretch them back out. ","")&amp;IF(AND(ISNUMBER($K412),$K412&gt;0,$L412="Fine earth / total volume"),"Coarse fragments recorded and the lab basis already accounts for them — no further correction applied, which is correct. ",""))</f>
        <v/>
      </c>
      <c r="T412" s="6"/>
      <c r="U412" s="9" t="n">
        <f aca="false">IF($B412="",0,IF(COUNTIFS($B$5:$B412,$B412)=1,1,0))</f>
        <v>0</v>
      </c>
    </row>
    <row r="413" customFormat="false" ht="15" hidden="false" customHeight="false" outlineLevel="0" collapsed="false">
      <c r="A413" s="6"/>
      <c r="B413" s="6"/>
      <c r="C413" s="6"/>
      <c r="D413" s="6"/>
      <c r="E413" s="6"/>
      <c r="F413" s="9" t="str">
        <f aca="false">IF(OR($D413="",$E413=""),"",$E413-$D413)</f>
        <v/>
      </c>
      <c r="G413" s="6"/>
      <c r="H413" s="6"/>
      <c r="I413" s="6"/>
      <c r="J413" s="9" t="str">
        <f aca="false">IF(OR(NOT(ISNUMBER($H413)),NOT(ISNUMBER($I413)),$H413=0),"",$I413/$H413)</f>
        <v/>
      </c>
      <c r="K413" s="6"/>
      <c r="L413" s="8"/>
      <c r="M413" s="7"/>
      <c r="N413" s="7"/>
      <c r="O413" s="9" t="str">
        <f aca="false">IF(NOT(ISNUMBER($M413)),"",IF($L413="Fine earth / fine-earth volume",$M413*(1-IF(ISNUMBER($K413),$K413,0)/100),$M413))</f>
        <v/>
      </c>
      <c r="P413" s="9" t="str">
        <f aca="false">IF(OR(NOT(ISNUMBER($O413)),NOT(ISNUMBER($N413)),NOT(ISNUMBER($F413))),"",$O413*($N413/100)*$F413*10)</f>
        <v/>
      </c>
      <c r="Q413" s="9" t="str">
        <f aca="false">IF(OR(NOT(ISNUMBER($D413)),NOT(ISNUMBER($E413))),"",MAX(0,MIN($E413,SOIL_REPORTING_DEPTH_CM)-MIN($D413,SOIL_REPORTING_DEPTH_CM)))</f>
        <v/>
      </c>
      <c r="R413" s="9" t="str">
        <f aca="false">IF(OR(NOT(ISNUMBER($O413)),NOT(ISNUMBER($N413)),NOT(ISNUMBER($Q413))),"",$O413*($N413/100)*$Q413*10)</f>
        <v/>
      </c>
      <c r="S413" s="11" t="str">
        <f aca="false">IF(AND($A413="",$B413="",$D413=""),"",IF(AND($A413&lt;&gt;"",COUNTIF('1. Plot &amp; Site Log'!$A$5:$A$64,$A413)=0),"Plot ID not in the Plot &amp; Site Log. ","")&amp;IF(AND(ISNUMBER($D413),ISNUMBER($E413),$E413&lt;=$D413),"Bottom depth is not below top depth. ","")&amp;IF($L413="Not confirmed","Bulk-density basis not confirmed with the lab — the coarse-fragment correction may be wrong or doubled. ","")&amp;IF(LAB_BULK_DENSITY_BASIS="Not confirmed","No lab bulk-density basis is on file in Settings (LAB_BULK_DENSITY_BASIS), so nothing checks this row. ","")&amp;IF(AND($L413&lt;&gt;"",LAB_BULK_DENSITY_BASIS&lt;&gt;"Not confirmed",$L413&lt;&gt;LAB_BULK_DENSITY_BASIS),"This row's bulk-density basis disagrees with the lab method on file. One of "&amp;"the two is wrong, and the coarse-fragment correction follows the row. ","")&amp;IF(AND(ISNUMBER($M413),OR($M413&lt;QC_BD_MIN,$M413&gt;QC_BD_MAX)),"Bulk density outside the plausible range for a mineral grassland soil. ","")&amp;IF(AND(ISNUMBER($N413),$N413&gt;QC_CARBON_PCT_MAX),"Organic carbon above the QC ceiling — check units, and whether this is an organic horizon. ","")&amp;IF(AND(ISNUMBER($J413),$J413&lt;QC_RECOVERY_MIN),"Recovered less than the QC minimum of the depth driven — the increments may not sit where you think. Do NOT stretch them back out. ","")&amp;IF(AND(ISNUMBER($K413),$K413&gt;0,$L413="Fine earth / total volume"),"Coarse fragments recorded and the lab basis already accounts for them — no further correction applied, which is correct. ",""))</f>
        <v/>
      </c>
      <c r="T413" s="6"/>
      <c r="U413" s="9" t="n">
        <f aca="false">IF($B413="",0,IF(COUNTIFS($B$5:$B413,$B413)=1,1,0))</f>
        <v>0</v>
      </c>
    </row>
    <row r="414" customFormat="false" ht="15" hidden="false" customHeight="false" outlineLevel="0" collapsed="false">
      <c r="A414" s="6"/>
      <c r="B414" s="6"/>
      <c r="C414" s="6"/>
      <c r="D414" s="6"/>
      <c r="E414" s="6"/>
      <c r="F414" s="9" t="str">
        <f aca="false">IF(OR($D414="",$E414=""),"",$E414-$D414)</f>
        <v/>
      </c>
      <c r="G414" s="6"/>
      <c r="H414" s="6"/>
      <c r="I414" s="6"/>
      <c r="J414" s="9" t="str">
        <f aca="false">IF(OR(NOT(ISNUMBER($H414)),NOT(ISNUMBER($I414)),$H414=0),"",$I414/$H414)</f>
        <v/>
      </c>
      <c r="K414" s="6"/>
      <c r="L414" s="8"/>
      <c r="M414" s="7"/>
      <c r="N414" s="7"/>
      <c r="O414" s="9" t="str">
        <f aca="false">IF(NOT(ISNUMBER($M414)),"",IF($L414="Fine earth / fine-earth volume",$M414*(1-IF(ISNUMBER($K414),$K414,0)/100),$M414))</f>
        <v/>
      </c>
      <c r="P414" s="9" t="str">
        <f aca="false">IF(OR(NOT(ISNUMBER($O414)),NOT(ISNUMBER($N414)),NOT(ISNUMBER($F414))),"",$O414*($N414/100)*$F414*10)</f>
        <v/>
      </c>
      <c r="Q414" s="9" t="str">
        <f aca="false">IF(OR(NOT(ISNUMBER($D414)),NOT(ISNUMBER($E414))),"",MAX(0,MIN($E414,SOIL_REPORTING_DEPTH_CM)-MIN($D414,SOIL_REPORTING_DEPTH_CM)))</f>
        <v/>
      </c>
      <c r="R414" s="9" t="str">
        <f aca="false">IF(OR(NOT(ISNUMBER($O414)),NOT(ISNUMBER($N414)),NOT(ISNUMBER($Q414))),"",$O414*($N414/100)*$Q414*10)</f>
        <v/>
      </c>
      <c r="S414" s="11" t="str">
        <f aca="false">IF(AND($A414="",$B414="",$D414=""),"",IF(AND($A414&lt;&gt;"",COUNTIF('1. Plot &amp; Site Log'!$A$5:$A$64,$A414)=0),"Plot ID not in the Plot &amp; Site Log. ","")&amp;IF(AND(ISNUMBER($D414),ISNUMBER($E414),$E414&lt;=$D414),"Bottom depth is not below top depth. ","")&amp;IF($L414="Not confirmed","Bulk-density basis not confirmed with the lab — the coarse-fragment correction may be wrong or doubled. ","")&amp;IF(LAB_BULK_DENSITY_BASIS="Not confirmed","No lab bulk-density basis is on file in Settings (LAB_BULK_DENSITY_BASIS), so nothing checks this row. ","")&amp;IF(AND($L414&lt;&gt;"",LAB_BULK_DENSITY_BASIS&lt;&gt;"Not confirmed",$L414&lt;&gt;LAB_BULK_DENSITY_BASIS),"This row's bulk-density basis disagrees with the lab method on file. One of "&amp;"the two is wrong, and the coarse-fragment correction follows the row. ","")&amp;IF(AND(ISNUMBER($M414),OR($M414&lt;QC_BD_MIN,$M414&gt;QC_BD_MAX)),"Bulk density outside the plausible range for a mineral grassland soil. ","")&amp;IF(AND(ISNUMBER($N414),$N414&gt;QC_CARBON_PCT_MAX),"Organic carbon above the QC ceiling — check units, and whether this is an organic horizon. ","")&amp;IF(AND(ISNUMBER($J414),$J414&lt;QC_RECOVERY_MIN),"Recovered less than the QC minimum of the depth driven — the increments may not sit where you think. Do NOT stretch them back out. ","")&amp;IF(AND(ISNUMBER($K414),$K414&gt;0,$L414="Fine earth / total volume"),"Coarse fragments recorded and the lab basis already accounts for them — no further correction applied, which is correct. ",""))</f>
        <v/>
      </c>
      <c r="T414" s="6"/>
      <c r="U414" s="9" t="n">
        <f aca="false">IF($B414="",0,IF(COUNTIFS($B$5:$B414,$B414)=1,1,0))</f>
        <v>0</v>
      </c>
    </row>
    <row r="415" customFormat="false" ht="15" hidden="false" customHeight="false" outlineLevel="0" collapsed="false">
      <c r="A415" s="6"/>
      <c r="B415" s="6"/>
      <c r="C415" s="6"/>
      <c r="D415" s="6"/>
      <c r="E415" s="6"/>
      <c r="F415" s="9" t="str">
        <f aca="false">IF(OR($D415="",$E415=""),"",$E415-$D415)</f>
        <v/>
      </c>
      <c r="G415" s="6"/>
      <c r="H415" s="6"/>
      <c r="I415" s="6"/>
      <c r="J415" s="9" t="str">
        <f aca="false">IF(OR(NOT(ISNUMBER($H415)),NOT(ISNUMBER($I415)),$H415=0),"",$I415/$H415)</f>
        <v/>
      </c>
      <c r="K415" s="6"/>
      <c r="L415" s="8"/>
      <c r="M415" s="7"/>
      <c r="N415" s="7"/>
      <c r="O415" s="9" t="str">
        <f aca="false">IF(NOT(ISNUMBER($M415)),"",IF($L415="Fine earth / fine-earth volume",$M415*(1-IF(ISNUMBER($K415),$K415,0)/100),$M415))</f>
        <v/>
      </c>
      <c r="P415" s="9" t="str">
        <f aca="false">IF(OR(NOT(ISNUMBER($O415)),NOT(ISNUMBER($N415)),NOT(ISNUMBER($F415))),"",$O415*($N415/100)*$F415*10)</f>
        <v/>
      </c>
      <c r="Q415" s="9" t="str">
        <f aca="false">IF(OR(NOT(ISNUMBER($D415)),NOT(ISNUMBER($E415))),"",MAX(0,MIN($E415,SOIL_REPORTING_DEPTH_CM)-MIN($D415,SOIL_REPORTING_DEPTH_CM)))</f>
        <v/>
      </c>
      <c r="R415" s="9" t="str">
        <f aca="false">IF(OR(NOT(ISNUMBER($O415)),NOT(ISNUMBER($N415)),NOT(ISNUMBER($Q415))),"",$O415*($N415/100)*$Q415*10)</f>
        <v/>
      </c>
      <c r="S415" s="11" t="str">
        <f aca="false">IF(AND($A415="",$B415="",$D415=""),"",IF(AND($A415&lt;&gt;"",COUNTIF('1. Plot &amp; Site Log'!$A$5:$A$64,$A415)=0),"Plot ID not in the Plot &amp; Site Log. ","")&amp;IF(AND(ISNUMBER($D415),ISNUMBER($E415),$E415&lt;=$D415),"Bottom depth is not below top depth. ","")&amp;IF($L415="Not confirmed","Bulk-density basis not confirmed with the lab — the coarse-fragment correction may be wrong or doubled. ","")&amp;IF(LAB_BULK_DENSITY_BASIS="Not confirmed","No lab bulk-density basis is on file in Settings (LAB_BULK_DENSITY_BASIS), so nothing checks this row. ","")&amp;IF(AND($L415&lt;&gt;"",LAB_BULK_DENSITY_BASIS&lt;&gt;"Not confirmed",$L415&lt;&gt;LAB_BULK_DENSITY_BASIS),"This row's bulk-density basis disagrees with the lab method on file. One of "&amp;"the two is wrong, and the coarse-fragment correction follows the row. ","")&amp;IF(AND(ISNUMBER($M415),OR($M415&lt;QC_BD_MIN,$M415&gt;QC_BD_MAX)),"Bulk density outside the plausible range for a mineral grassland soil. ","")&amp;IF(AND(ISNUMBER($N415),$N415&gt;QC_CARBON_PCT_MAX),"Organic carbon above the QC ceiling — check units, and whether this is an organic horizon. ","")&amp;IF(AND(ISNUMBER($J415),$J415&lt;QC_RECOVERY_MIN),"Recovered less than the QC minimum of the depth driven — the increments may not sit where you think. Do NOT stretch them back out. ","")&amp;IF(AND(ISNUMBER($K415),$K415&gt;0,$L415="Fine earth / total volume"),"Coarse fragments recorded and the lab basis already accounts for them — no further correction applied, which is correct. ",""))</f>
        <v/>
      </c>
      <c r="T415" s="6"/>
      <c r="U415" s="9" t="n">
        <f aca="false">IF($B415="",0,IF(COUNTIFS($B$5:$B415,$B415)=1,1,0))</f>
        <v>0</v>
      </c>
    </row>
    <row r="416" customFormat="false" ht="15" hidden="false" customHeight="false" outlineLevel="0" collapsed="false">
      <c r="A416" s="6"/>
      <c r="B416" s="6"/>
      <c r="C416" s="6"/>
      <c r="D416" s="6"/>
      <c r="E416" s="6"/>
      <c r="F416" s="9" t="str">
        <f aca="false">IF(OR($D416="",$E416=""),"",$E416-$D416)</f>
        <v/>
      </c>
      <c r="G416" s="6"/>
      <c r="H416" s="6"/>
      <c r="I416" s="6"/>
      <c r="J416" s="9" t="str">
        <f aca="false">IF(OR(NOT(ISNUMBER($H416)),NOT(ISNUMBER($I416)),$H416=0),"",$I416/$H416)</f>
        <v/>
      </c>
      <c r="K416" s="6"/>
      <c r="L416" s="8"/>
      <c r="M416" s="7"/>
      <c r="N416" s="7"/>
      <c r="O416" s="9" t="str">
        <f aca="false">IF(NOT(ISNUMBER($M416)),"",IF($L416="Fine earth / fine-earth volume",$M416*(1-IF(ISNUMBER($K416),$K416,0)/100),$M416))</f>
        <v/>
      </c>
      <c r="P416" s="9" t="str">
        <f aca="false">IF(OR(NOT(ISNUMBER($O416)),NOT(ISNUMBER($N416)),NOT(ISNUMBER($F416))),"",$O416*($N416/100)*$F416*10)</f>
        <v/>
      </c>
      <c r="Q416" s="9" t="str">
        <f aca="false">IF(OR(NOT(ISNUMBER($D416)),NOT(ISNUMBER($E416))),"",MAX(0,MIN($E416,SOIL_REPORTING_DEPTH_CM)-MIN($D416,SOIL_REPORTING_DEPTH_CM)))</f>
        <v/>
      </c>
      <c r="R416" s="9" t="str">
        <f aca="false">IF(OR(NOT(ISNUMBER($O416)),NOT(ISNUMBER($N416)),NOT(ISNUMBER($Q416))),"",$O416*($N416/100)*$Q416*10)</f>
        <v/>
      </c>
      <c r="S416" s="11" t="str">
        <f aca="false">IF(AND($A416="",$B416="",$D416=""),"",IF(AND($A416&lt;&gt;"",COUNTIF('1. Plot &amp; Site Log'!$A$5:$A$64,$A416)=0),"Plot ID not in the Plot &amp; Site Log. ","")&amp;IF(AND(ISNUMBER($D416),ISNUMBER($E416),$E416&lt;=$D416),"Bottom depth is not below top depth. ","")&amp;IF($L416="Not confirmed","Bulk-density basis not confirmed with the lab — the coarse-fragment correction may be wrong or doubled. ","")&amp;IF(LAB_BULK_DENSITY_BASIS="Not confirmed","No lab bulk-density basis is on file in Settings (LAB_BULK_DENSITY_BASIS), so nothing checks this row. ","")&amp;IF(AND($L416&lt;&gt;"",LAB_BULK_DENSITY_BASIS&lt;&gt;"Not confirmed",$L416&lt;&gt;LAB_BULK_DENSITY_BASIS),"This row's bulk-density basis disagrees with the lab method on file. One of "&amp;"the two is wrong, and the coarse-fragment correction follows the row. ","")&amp;IF(AND(ISNUMBER($M416),OR($M416&lt;QC_BD_MIN,$M416&gt;QC_BD_MAX)),"Bulk density outside the plausible range for a mineral grassland soil. ","")&amp;IF(AND(ISNUMBER($N416),$N416&gt;QC_CARBON_PCT_MAX),"Organic carbon above the QC ceiling — check units, and whether this is an organic horizon. ","")&amp;IF(AND(ISNUMBER($J416),$J416&lt;QC_RECOVERY_MIN),"Recovered less than the QC minimum of the depth driven — the increments may not sit where you think. Do NOT stretch them back out. ","")&amp;IF(AND(ISNUMBER($K416),$K416&gt;0,$L416="Fine earth / total volume"),"Coarse fragments recorded and the lab basis already accounts for them — no further correction applied, which is correct. ",""))</f>
        <v/>
      </c>
      <c r="T416" s="6"/>
      <c r="U416" s="9" t="n">
        <f aca="false">IF($B416="",0,IF(COUNTIFS($B$5:$B416,$B416)=1,1,0))</f>
        <v>0</v>
      </c>
    </row>
    <row r="417" customFormat="false" ht="15" hidden="false" customHeight="false" outlineLevel="0" collapsed="false">
      <c r="A417" s="6"/>
      <c r="B417" s="6"/>
      <c r="C417" s="6"/>
      <c r="D417" s="6"/>
      <c r="E417" s="6"/>
      <c r="F417" s="9" t="str">
        <f aca="false">IF(OR($D417="",$E417=""),"",$E417-$D417)</f>
        <v/>
      </c>
      <c r="G417" s="6"/>
      <c r="H417" s="6"/>
      <c r="I417" s="6"/>
      <c r="J417" s="9" t="str">
        <f aca="false">IF(OR(NOT(ISNUMBER($H417)),NOT(ISNUMBER($I417)),$H417=0),"",$I417/$H417)</f>
        <v/>
      </c>
      <c r="K417" s="6"/>
      <c r="L417" s="8"/>
      <c r="M417" s="7"/>
      <c r="N417" s="7"/>
      <c r="O417" s="9" t="str">
        <f aca="false">IF(NOT(ISNUMBER($M417)),"",IF($L417="Fine earth / fine-earth volume",$M417*(1-IF(ISNUMBER($K417),$K417,0)/100),$M417))</f>
        <v/>
      </c>
      <c r="P417" s="9" t="str">
        <f aca="false">IF(OR(NOT(ISNUMBER($O417)),NOT(ISNUMBER($N417)),NOT(ISNUMBER($F417))),"",$O417*($N417/100)*$F417*10)</f>
        <v/>
      </c>
      <c r="Q417" s="9" t="str">
        <f aca="false">IF(OR(NOT(ISNUMBER($D417)),NOT(ISNUMBER($E417))),"",MAX(0,MIN($E417,SOIL_REPORTING_DEPTH_CM)-MIN($D417,SOIL_REPORTING_DEPTH_CM)))</f>
        <v/>
      </c>
      <c r="R417" s="9" t="str">
        <f aca="false">IF(OR(NOT(ISNUMBER($O417)),NOT(ISNUMBER($N417)),NOT(ISNUMBER($Q417))),"",$O417*($N417/100)*$Q417*10)</f>
        <v/>
      </c>
      <c r="S417" s="11" t="str">
        <f aca="false">IF(AND($A417="",$B417="",$D417=""),"",IF(AND($A417&lt;&gt;"",COUNTIF('1. Plot &amp; Site Log'!$A$5:$A$64,$A417)=0),"Plot ID not in the Plot &amp; Site Log. ","")&amp;IF(AND(ISNUMBER($D417),ISNUMBER($E417),$E417&lt;=$D417),"Bottom depth is not below top depth. ","")&amp;IF($L417="Not confirmed","Bulk-density basis not confirmed with the lab — the coarse-fragment correction may be wrong or doubled. ","")&amp;IF(LAB_BULK_DENSITY_BASIS="Not confirmed","No lab bulk-density basis is on file in Settings (LAB_BULK_DENSITY_BASIS), so nothing checks this row. ","")&amp;IF(AND($L417&lt;&gt;"",LAB_BULK_DENSITY_BASIS&lt;&gt;"Not confirmed",$L417&lt;&gt;LAB_BULK_DENSITY_BASIS),"This row's bulk-density basis disagrees with the lab method on file. One of "&amp;"the two is wrong, and the coarse-fragment correction follows the row. ","")&amp;IF(AND(ISNUMBER($M417),OR($M417&lt;QC_BD_MIN,$M417&gt;QC_BD_MAX)),"Bulk density outside the plausible range for a mineral grassland soil. ","")&amp;IF(AND(ISNUMBER($N417),$N417&gt;QC_CARBON_PCT_MAX),"Organic carbon above the QC ceiling — check units, and whether this is an organic horizon. ","")&amp;IF(AND(ISNUMBER($J417),$J417&lt;QC_RECOVERY_MIN),"Recovered less than the QC minimum of the depth driven — the increments may not sit where you think. Do NOT stretch them back out. ","")&amp;IF(AND(ISNUMBER($K417),$K417&gt;0,$L417="Fine earth / total volume"),"Coarse fragments recorded and the lab basis already accounts for them — no further correction applied, which is correct. ",""))</f>
        <v/>
      </c>
      <c r="T417" s="6"/>
      <c r="U417" s="9" t="n">
        <f aca="false">IF($B417="",0,IF(COUNTIFS($B$5:$B417,$B417)=1,1,0))</f>
        <v>0</v>
      </c>
    </row>
    <row r="418" customFormat="false" ht="15" hidden="false" customHeight="false" outlineLevel="0" collapsed="false">
      <c r="A418" s="6"/>
      <c r="B418" s="6"/>
      <c r="C418" s="6"/>
      <c r="D418" s="6"/>
      <c r="E418" s="6"/>
      <c r="F418" s="9" t="str">
        <f aca="false">IF(OR($D418="",$E418=""),"",$E418-$D418)</f>
        <v/>
      </c>
      <c r="G418" s="6"/>
      <c r="H418" s="6"/>
      <c r="I418" s="6"/>
      <c r="J418" s="9" t="str">
        <f aca="false">IF(OR(NOT(ISNUMBER($H418)),NOT(ISNUMBER($I418)),$H418=0),"",$I418/$H418)</f>
        <v/>
      </c>
      <c r="K418" s="6"/>
      <c r="L418" s="8"/>
      <c r="M418" s="7"/>
      <c r="N418" s="7"/>
      <c r="O418" s="9" t="str">
        <f aca="false">IF(NOT(ISNUMBER($M418)),"",IF($L418="Fine earth / fine-earth volume",$M418*(1-IF(ISNUMBER($K418),$K418,0)/100),$M418))</f>
        <v/>
      </c>
      <c r="P418" s="9" t="str">
        <f aca="false">IF(OR(NOT(ISNUMBER($O418)),NOT(ISNUMBER($N418)),NOT(ISNUMBER($F418))),"",$O418*($N418/100)*$F418*10)</f>
        <v/>
      </c>
      <c r="Q418" s="9" t="str">
        <f aca="false">IF(OR(NOT(ISNUMBER($D418)),NOT(ISNUMBER($E418))),"",MAX(0,MIN($E418,SOIL_REPORTING_DEPTH_CM)-MIN($D418,SOIL_REPORTING_DEPTH_CM)))</f>
        <v/>
      </c>
      <c r="R418" s="9" t="str">
        <f aca="false">IF(OR(NOT(ISNUMBER($O418)),NOT(ISNUMBER($N418)),NOT(ISNUMBER($Q418))),"",$O418*($N418/100)*$Q418*10)</f>
        <v/>
      </c>
      <c r="S418" s="11" t="str">
        <f aca="false">IF(AND($A418="",$B418="",$D418=""),"",IF(AND($A418&lt;&gt;"",COUNTIF('1. Plot &amp; Site Log'!$A$5:$A$64,$A418)=0),"Plot ID not in the Plot &amp; Site Log. ","")&amp;IF(AND(ISNUMBER($D418),ISNUMBER($E418),$E418&lt;=$D418),"Bottom depth is not below top depth. ","")&amp;IF($L418="Not confirmed","Bulk-density basis not confirmed with the lab — the coarse-fragment correction may be wrong or doubled. ","")&amp;IF(LAB_BULK_DENSITY_BASIS="Not confirmed","No lab bulk-density basis is on file in Settings (LAB_BULK_DENSITY_BASIS), so nothing checks this row. ","")&amp;IF(AND($L418&lt;&gt;"",LAB_BULK_DENSITY_BASIS&lt;&gt;"Not confirmed",$L418&lt;&gt;LAB_BULK_DENSITY_BASIS),"This row's bulk-density basis disagrees with the lab method on file. One of "&amp;"the two is wrong, and the coarse-fragment correction follows the row. ","")&amp;IF(AND(ISNUMBER($M418),OR($M418&lt;QC_BD_MIN,$M418&gt;QC_BD_MAX)),"Bulk density outside the plausible range for a mineral grassland soil. ","")&amp;IF(AND(ISNUMBER($N418),$N418&gt;QC_CARBON_PCT_MAX),"Organic carbon above the QC ceiling — check units, and whether this is an organic horizon. ","")&amp;IF(AND(ISNUMBER($J418),$J418&lt;QC_RECOVERY_MIN),"Recovered less than the QC minimum of the depth driven — the increments may not sit where you think. Do NOT stretch them back out. ","")&amp;IF(AND(ISNUMBER($K418),$K418&gt;0,$L418="Fine earth / total volume"),"Coarse fragments recorded and the lab basis already accounts for them — no further correction applied, which is correct. ",""))</f>
        <v/>
      </c>
      <c r="T418" s="6"/>
      <c r="U418" s="9" t="n">
        <f aca="false">IF($B418="",0,IF(COUNTIFS($B$5:$B418,$B418)=1,1,0))</f>
        <v>0</v>
      </c>
    </row>
    <row r="419" customFormat="false" ht="15" hidden="false" customHeight="false" outlineLevel="0" collapsed="false">
      <c r="A419" s="6"/>
      <c r="B419" s="6"/>
      <c r="C419" s="6"/>
      <c r="D419" s="6"/>
      <c r="E419" s="6"/>
      <c r="F419" s="9" t="str">
        <f aca="false">IF(OR($D419="",$E419=""),"",$E419-$D419)</f>
        <v/>
      </c>
      <c r="G419" s="6"/>
      <c r="H419" s="6"/>
      <c r="I419" s="6"/>
      <c r="J419" s="9" t="str">
        <f aca="false">IF(OR(NOT(ISNUMBER($H419)),NOT(ISNUMBER($I419)),$H419=0),"",$I419/$H419)</f>
        <v/>
      </c>
      <c r="K419" s="6"/>
      <c r="L419" s="8"/>
      <c r="M419" s="7"/>
      <c r="N419" s="7"/>
      <c r="O419" s="9" t="str">
        <f aca="false">IF(NOT(ISNUMBER($M419)),"",IF($L419="Fine earth / fine-earth volume",$M419*(1-IF(ISNUMBER($K419),$K419,0)/100),$M419))</f>
        <v/>
      </c>
      <c r="P419" s="9" t="str">
        <f aca="false">IF(OR(NOT(ISNUMBER($O419)),NOT(ISNUMBER($N419)),NOT(ISNUMBER($F419))),"",$O419*($N419/100)*$F419*10)</f>
        <v/>
      </c>
      <c r="Q419" s="9" t="str">
        <f aca="false">IF(OR(NOT(ISNUMBER($D419)),NOT(ISNUMBER($E419))),"",MAX(0,MIN($E419,SOIL_REPORTING_DEPTH_CM)-MIN($D419,SOIL_REPORTING_DEPTH_CM)))</f>
        <v/>
      </c>
      <c r="R419" s="9" t="str">
        <f aca="false">IF(OR(NOT(ISNUMBER($O419)),NOT(ISNUMBER($N419)),NOT(ISNUMBER($Q419))),"",$O419*($N419/100)*$Q419*10)</f>
        <v/>
      </c>
      <c r="S419" s="11" t="str">
        <f aca="false">IF(AND($A419="",$B419="",$D419=""),"",IF(AND($A419&lt;&gt;"",COUNTIF('1. Plot &amp; Site Log'!$A$5:$A$64,$A419)=0),"Plot ID not in the Plot &amp; Site Log. ","")&amp;IF(AND(ISNUMBER($D419),ISNUMBER($E419),$E419&lt;=$D419),"Bottom depth is not below top depth. ","")&amp;IF($L419="Not confirmed","Bulk-density basis not confirmed with the lab — the coarse-fragment correction may be wrong or doubled. ","")&amp;IF(LAB_BULK_DENSITY_BASIS="Not confirmed","No lab bulk-density basis is on file in Settings (LAB_BULK_DENSITY_BASIS), so nothing checks this row. ","")&amp;IF(AND($L419&lt;&gt;"",LAB_BULK_DENSITY_BASIS&lt;&gt;"Not confirmed",$L419&lt;&gt;LAB_BULK_DENSITY_BASIS),"This row's bulk-density basis disagrees with the lab method on file. One of "&amp;"the two is wrong, and the coarse-fragment correction follows the row. ","")&amp;IF(AND(ISNUMBER($M419),OR($M419&lt;QC_BD_MIN,$M419&gt;QC_BD_MAX)),"Bulk density outside the plausible range for a mineral grassland soil. ","")&amp;IF(AND(ISNUMBER($N419),$N419&gt;QC_CARBON_PCT_MAX),"Organic carbon above the QC ceiling — check units, and whether this is an organic horizon. ","")&amp;IF(AND(ISNUMBER($J419),$J419&lt;QC_RECOVERY_MIN),"Recovered less than the QC minimum of the depth driven — the increments may not sit where you think. Do NOT stretch them back out. ","")&amp;IF(AND(ISNUMBER($K419),$K419&gt;0,$L419="Fine earth / total volume"),"Coarse fragments recorded and the lab basis already accounts for them — no further correction applied, which is correct. ",""))</f>
        <v/>
      </c>
      <c r="T419" s="6"/>
      <c r="U419" s="9" t="n">
        <f aca="false">IF($B419="",0,IF(COUNTIFS($B$5:$B419,$B419)=1,1,0))</f>
        <v>0</v>
      </c>
    </row>
    <row r="420" customFormat="false" ht="15" hidden="false" customHeight="false" outlineLevel="0" collapsed="false">
      <c r="A420" s="6"/>
      <c r="B420" s="6"/>
      <c r="C420" s="6"/>
      <c r="D420" s="6"/>
      <c r="E420" s="6"/>
      <c r="F420" s="9" t="str">
        <f aca="false">IF(OR($D420="",$E420=""),"",$E420-$D420)</f>
        <v/>
      </c>
      <c r="G420" s="6"/>
      <c r="H420" s="6"/>
      <c r="I420" s="6"/>
      <c r="J420" s="9" t="str">
        <f aca="false">IF(OR(NOT(ISNUMBER($H420)),NOT(ISNUMBER($I420)),$H420=0),"",$I420/$H420)</f>
        <v/>
      </c>
      <c r="K420" s="6"/>
      <c r="L420" s="8"/>
      <c r="M420" s="7"/>
      <c r="N420" s="7"/>
      <c r="O420" s="9" t="str">
        <f aca="false">IF(NOT(ISNUMBER($M420)),"",IF($L420="Fine earth / fine-earth volume",$M420*(1-IF(ISNUMBER($K420),$K420,0)/100),$M420))</f>
        <v/>
      </c>
      <c r="P420" s="9" t="str">
        <f aca="false">IF(OR(NOT(ISNUMBER($O420)),NOT(ISNUMBER($N420)),NOT(ISNUMBER($F420))),"",$O420*($N420/100)*$F420*10)</f>
        <v/>
      </c>
      <c r="Q420" s="9" t="str">
        <f aca="false">IF(OR(NOT(ISNUMBER($D420)),NOT(ISNUMBER($E420))),"",MAX(0,MIN($E420,SOIL_REPORTING_DEPTH_CM)-MIN($D420,SOIL_REPORTING_DEPTH_CM)))</f>
        <v/>
      </c>
      <c r="R420" s="9" t="str">
        <f aca="false">IF(OR(NOT(ISNUMBER($O420)),NOT(ISNUMBER($N420)),NOT(ISNUMBER($Q420))),"",$O420*($N420/100)*$Q420*10)</f>
        <v/>
      </c>
      <c r="S420" s="11" t="str">
        <f aca="false">IF(AND($A420="",$B420="",$D420=""),"",IF(AND($A420&lt;&gt;"",COUNTIF('1. Plot &amp; Site Log'!$A$5:$A$64,$A420)=0),"Plot ID not in the Plot &amp; Site Log. ","")&amp;IF(AND(ISNUMBER($D420),ISNUMBER($E420),$E420&lt;=$D420),"Bottom depth is not below top depth. ","")&amp;IF($L420="Not confirmed","Bulk-density basis not confirmed with the lab — the coarse-fragment correction may be wrong or doubled. ","")&amp;IF(LAB_BULK_DENSITY_BASIS="Not confirmed","No lab bulk-density basis is on file in Settings (LAB_BULK_DENSITY_BASIS), so nothing checks this row. ","")&amp;IF(AND($L420&lt;&gt;"",LAB_BULK_DENSITY_BASIS&lt;&gt;"Not confirmed",$L420&lt;&gt;LAB_BULK_DENSITY_BASIS),"This row's bulk-density basis disagrees with the lab method on file. One of "&amp;"the two is wrong, and the coarse-fragment correction follows the row. ","")&amp;IF(AND(ISNUMBER($M420),OR($M420&lt;QC_BD_MIN,$M420&gt;QC_BD_MAX)),"Bulk density outside the plausible range for a mineral grassland soil. ","")&amp;IF(AND(ISNUMBER($N420),$N420&gt;QC_CARBON_PCT_MAX),"Organic carbon above the QC ceiling — check units, and whether this is an organic horizon. ","")&amp;IF(AND(ISNUMBER($J420),$J420&lt;QC_RECOVERY_MIN),"Recovered less than the QC minimum of the depth driven — the increments may not sit where you think. Do NOT stretch them back out. ","")&amp;IF(AND(ISNUMBER($K420),$K420&gt;0,$L420="Fine earth / total volume"),"Coarse fragments recorded and the lab basis already accounts for them — no further correction applied, which is correct. ",""))</f>
        <v/>
      </c>
      <c r="T420" s="6"/>
      <c r="U420" s="9" t="n">
        <f aca="false">IF($B420="",0,IF(COUNTIFS($B$5:$B420,$B420)=1,1,0))</f>
        <v>0</v>
      </c>
    </row>
    <row r="421" customFormat="false" ht="15" hidden="false" customHeight="false" outlineLevel="0" collapsed="false">
      <c r="A421" s="6"/>
      <c r="B421" s="6"/>
      <c r="C421" s="6"/>
      <c r="D421" s="6"/>
      <c r="E421" s="6"/>
      <c r="F421" s="9" t="str">
        <f aca="false">IF(OR($D421="",$E421=""),"",$E421-$D421)</f>
        <v/>
      </c>
      <c r="G421" s="6"/>
      <c r="H421" s="6"/>
      <c r="I421" s="6"/>
      <c r="J421" s="9" t="str">
        <f aca="false">IF(OR(NOT(ISNUMBER($H421)),NOT(ISNUMBER($I421)),$H421=0),"",$I421/$H421)</f>
        <v/>
      </c>
      <c r="K421" s="6"/>
      <c r="L421" s="8"/>
      <c r="M421" s="7"/>
      <c r="N421" s="7"/>
      <c r="O421" s="9" t="str">
        <f aca="false">IF(NOT(ISNUMBER($M421)),"",IF($L421="Fine earth / fine-earth volume",$M421*(1-IF(ISNUMBER($K421),$K421,0)/100),$M421))</f>
        <v/>
      </c>
      <c r="P421" s="9" t="str">
        <f aca="false">IF(OR(NOT(ISNUMBER($O421)),NOT(ISNUMBER($N421)),NOT(ISNUMBER($F421))),"",$O421*($N421/100)*$F421*10)</f>
        <v/>
      </c>
      <c r="Q421" s="9" t="str">
        <f aca="false">IF(OR(NOT(ISNUMBER($D421)),NOT(ISNUMBER($E421))),"",MAX(0,MIN($E421,SOIL_REPORTING_DEPTH_CM)-MIN($D421,SOIL_REPORTING_DEPTH_CM)))</f>
        <v/>
      </c>
      <c r="R421" s="9" t="str">
        <f aca="false">IF(OR(NOT(ISNUMBER($O421)),NOT(ISNUMBER($N421)),NOT(ISNUMBER($Q421))),"",$O421*($N421/100)*$Q421*10)</f>
        <v/>
      </c>
      <c r="S421" s="11" t="str">
        <f aca="false">IF(AND($A421="",$B421="",$D421=""),"",IF(AND($A421&lt;&gt;"",COUNTIF('1. Plot &amp; Site Log'!$A$5:$A$64,$A421)=0),"Plot ID not in the Plot &amp; Site Log. ","")&amp;IF(AND(ISNUMBER($D421),ISNUMBER($E421),$E421&lt;=$D421),"Bottom depth is not below top depth. ","")&amp;IF($L421="Not confirmed","Bulk-density basis not confirmed with the lab — the coarse-fragment correction may be wrong or doubled. ","")&amp;IF(LAB_BULK_DENSITY_BASIS="Not confirmed","No lab bulk-density basis is on file in Settings (LAB_BULK_DENSITY_BASIS), so nothing checks this row. ","")&amp;IF(AND($L421&lt;&gt;"",LAB_BULK_DENSITY_BASIS&lt;&gt;"Not confirmed",$L421&lt;&gt;LAB_BULK_DENSITY_BASIS),"This row's bulk-density basis disagrees with the lab method on file. One of "&amp;"the two is wrong, and the coarse-fragment correction follows the row. ","")&amp;IF(AND(ISNUMBER($M421),OR($M421&lt;QC_BD_MIN,$M421&gt;QC_BD_MAX)),"Bulk density outside the plausible range for a mineral grassland soil. ","")&amp;IF(AND(ISNUMBER($N421),$N421&gt;QC_CARBON_PCT_MAX),"Organic carbon above the QC ceiling — check units, and whether this is an organic horizon. ","")&amp;IF(AND(ISNUMBER($J421),$J421&lt;QC_RECOVERY_MIN),"Recovered less than the QC minimum of the depth driven — the increments may not sit where you think. Do NOT stretch them back out. ","")&amp;IF(AND(ISNUMBER($K421),$K421&gt;0,$L421="Fine earth / total volume"),"Coarse fragments recorded and the lab basis already accounts for them — no further correction applied, which is correct. ",""))</f>
        <v/>
      </c>
      <c r="T421" s="6"/>
      <c r="U421" s="9" t="n">
        <f aca="false">IF($B421="",0,IF(COUNTIFS($B$5:$B421,$B421)=1,1,0))</f>
        <v>0</v>
      </c>
    </row>
    <row r="422" customFormat="false" ht="15" hidden="false" customHeight="false" outlineLevel="0" collapsed="false">
      <c r="A422" s="6"/>
      <c r="B422" s="6"/>
      <c r="C422" s="6"/>
      <c r="D422" s="6"/>
      <c r="E422" s="6"/>
      <c r="F422" s="9" t="str">
        <f aca="false">IF(OR($D422="",$E422=""),"",$E422-$D422)</f>
        <v/>
      </c>
      <c r="G422" s="6"/>
      <c r="H422" s="6"/>
      <c r="I422" s="6"/>
      <c r="J422" s="9" t="str">
        <f aca="false">IF(OR(NOT(ISNUMBER($H422)),NOT(ISNUMBER($I422)),$H422=0),"",$I422/$H422)</f>
        <v/>
      </c>
      <c r="K422" s="6"/>
      <c r="L422" s="8"/>
      <c r="M422" s="7"/>
      <c r="N422" s="7"/>
      <c r="O422" s="9" t="str">
        <f aca="false">IF(NOT(ISNUMBER($M422)),"",IF($L422="Fine earth / fine-earth volume",$M422*(1-IF(ISNUMBER($K422),$K422,0)/100),$M422))</f>
        <v/>
      </c>
      <c r="P422" s="9" t="str">
        <f aca="false">IF(OR(NOT(ISNUMBER($O422)),NOT(ISNUMBER($N422)),NOT(ISNUMBER($F422))),"",$O422*($N422/100)*$F422*10)</f>
        <v/>
      </c>
      <c r="Q422" s="9" t="str">
        <f aca="false">IF(OR(NOT(ISNUMBER($D422)),NOT(ISNUMBER($E422))),"",MAX(0,MIN($E422,SOIL_REPORTING_DEPTH_CM)-MIN($D422,SOIL_REPORTING_DEPTH_CM)))</f>
        <v/>
      </c>
      <c r="R422" s="9" t="str">
        <f aca="false">IF(OR(NOT(ISNUMBER($O422)),NOT(ISNUMBER($N422)),NOT(ISNUMBER($Q422))),"",$O422*($N422/100)*$Q422*10)</f>
        <v/>
      </c>
      <c r="S422" s="11" t="str">
        <f aca="false">IF(AND($A422="",$B422="",$D422=""),"",IF(AND($A422&lt;&gt;"",COUNTIF('1. Plot &amp; Site Log'!$A$5:$A$64,$A422)=0),"Plot ID not in the Plot &amp; Site Log. ","")&amp;IF(AND(ISNUMBER($D422),ISNUMBER($E422),$E422&lt;=$D422),"Bottom depth is not below top depth. ","")&amp;IF($L422="Not confirmed","Bulk-density basis not confirmed with the lab — the coarse-fragment correction may be wrong or doubled. ","")&amp;IF(LAB_BULK_DENSITY_BASIS="Not confirmed","No lab bulk-density basis is on file in Settings (LAB_BULK_DENSITY_BASIS), so nothing checks this row. ","")&amp;IF(AND($L422&lt;&gt;"",LAB_BULK_DENSITY_BASIS&lt;&gt;"Not confirmed",$L422&lt;&gt;LAB_BULK_DENSITY_BASIS),"This row's bulk-density basis disagrees with the lab method on file. One of "&amp;"the two is wrong, and the coarse-fragment correction follows the row. ","")&amp;IF(AND(ISNUMBER($M422),OR($M422&lt;QC_BD_MIN,$M422&gt;QC_BD_MAX)),"Bulk density outside the plausible range for a mineral grassland soil. ","")&amp;IF(AND(ISNUMBER($N422),$N422&gt;QC_CARBON_PCT_MAX),"Organic carbon above the QC ceiling — check units, and whether this is an organic horizon. ","")&amp;IF(AND(ISNUMBER($J422),$J422&lt;QC_RECOVERY_MIN),"Recovered less than the QC minimum of the depth driven — the increments may not sit where you think. Do NOT stretch them back out. ","")&amp;IF(AND(ISNUMBER($K422),$K422&gt;0,$L422="Fine earth / total volume"),"Coarse fragments recorded and the lab basis already accounts for them — no further correction applied, which is correct. ",""))</f>
        <v/>
      </c>
      <c r="T422" s="6"/>
      <c r="U422" s="9" t="n">
        <f aca="false">IF($B422="",0,IF(COUNTIFS($B$5:$B422,$B422)=1,1,0))</f>
        <v>0</v>
      </c>
    </row>
    <row r="423" customFormat="false" ht="15" hidden="false" customHeight="false" outlineLevel="0" collapsed="false">
      <c r="A423" s="6"/>
      <c r="B423" s="6"/>
      <c r="C423" s="6"/>
      <c r="D423" s="6"/>
      <c r="E423" s="6"/>
      <c r="F423" s="9" t="str">
        <f aca="false">IF(OR($D423="",$E423=""),"",$E423-$D423)</f>
        <v/>
      </c>
      <c r="G423" s="6"/>
      <c r="H423" s="6"/>
      <c r="I423" s="6"/>
      <c r="J423" s="9" t="str">
        <f aca="false">IF(OR(NOT(ISNUMBER($H423)),NOT(ISNUMBER($I423)),$H423=0),"",$I423/$H423)</f>
        <v/>
      </c>
      <c r="K423" s="6"/>
      <c r="L423" s="8"/>
      <c r="M423" s="7"/>
      <c r="N423" s="7"/>
      <c r="O423" s="9" t="str">
        <f aca="false">IF(NOT(ISNUMBER($M423)),"",IF($L423="Fine earth / fine-earth volume",$M423*(1-IF(ISNUMBER($K423),$K423,0)/100),$M423))</f>
        <v/>
      </c>
      <c r="P423" s="9" t="str">
        <f aca="false">IF(OR(NOT(ISNUMBER($O423)),NOT(ISNUMBER($N423)),NOT(ISNUMBER($F423))),"",$O423*($N423/100)*$F423*10)</f>
        <v/>
      </c>
      <c r="Q423" s="9" t="str">
        <f aca="false">IF(OR(NOT(ISNUMBER($D423)),NOT(ISNUMBER($E423))),"",MAX(0,MIN($E423,SOIL_REPORTING_DEPTH_CM)-MIN($D423,SOIL_REPORTING_DEPTH_CM)))</f>
        <v/>
      </c>
      <c r="R423" s="9" t="str">
        <f aca="false">IF(OR(NOT(ISNUMBER($O423)),NOT(ISNUMBER($N423)),NOT(ISNUMBER($Q423))),"",$O423*($N423/100)*$Q423*10)</f>
        <v/>
      </c>
      <c r="S423" s="11" t="str">
        <f aca="false">IF(AND($A423="",$B423="",$D423=""),"",IF(AND($A423&lt;&gt;"",COUNTIF('1. Plot &amp; Site Log'!$A$5:$A$64,$A423)=0),"Plot ID not in the Plot &amp; Site Log. ","")&amp;IF(AND(ISNUMBER($D423),ISNUMBER($E423),$E423&lt;=$D423),"Bottom depth is not below top depth. ","")&amp;IF($L423="Not confirmed","Bulk-density basis not confirmed with the lab — the coarse-fragment correction may be wrong or doubled. ","")&amp;IF(LAB_BULK_DENSITY_BASIS="Not confirmed","No lab bulk-density basis is on file in Settings (LAB_BULK_DENSITY_BASIS), so nothing checks this row. ","")&amp;IF(AND($L423&lt;&gt;"",LAB_BULK_DENSITY_BASIS&lt;&gt;"Not confirmed",$L423&lt;&gt;LAB_BULK_DENSITY_BASIS),"This row's bulk-density basis disagrees with the lab method on file. One of "&amp;"the two is wrong, and the coarse-fragment correction follows the row. ","")&amp;IF(AND(ISNUMBER($M423),OR($M423&lt;QC_BD_MIN,$M423&gt;QC_BD_MAX)),"Bulk density outside the plausible range for a mineral grassland soil. ","")&amp;IF(AND(ISNUMBER($N423),$N423&gt;QC_CARBON_PCT_MAX),"Organic carbon above the QC ceiling — check units, and whether this is an organic horizon. ","")&amp;IF(AND(ISNUMBER($J423),$J423&lt;QC_RECOVERY_MIN),"Recovered less than the QC minimum of the depth driven — the increments may not sit where you think. Do NOT stretch them back out. ","")&amp;IF(AND(ISNUMBER($K423),$K423&gt;0,$L423="Fine earth / total volume"),"Coarse fragments recorded and the lab basis already accounts for them — no further correction applied, which is correct. ",""))</f>
        <v/>
      </c>
      <c r="T423" s="6"/>
      <c r="U423" s="9" t="n">
        <f aca="false">IF($B423="",0,IF(COUNTIFS($B$5:$B423,$B423)=1,1,0))</f>
        <v>0</v>
      </c>
    </row>
    <row r="424" customFormat="false" ht="15" hidden="false" customHeight="false" outlineLevel="0" collapsed="false">
      <c r="A424" s="6"/>
      <c r="B424" s="6"/>
      <c r="C424" s="6"/>
      <c r="D424" s="6"/>
      <c r="E424" s="6"/>
      <c r="F424" s="9" t="str">
        <f aca="false">IF(OR($D424="",$E424=""),"",$E424-$D424)</f>
        <v/>
      </c>
      <c r="G424" s="6"/>
      <c r="H424" s="6"/>
      <c r="I424" s="6"/>
      <c r="J424" s="9" t="str">
        <f aca="false">IF(OR(NOT(ISNUMBER($H424)),NOT(ISNUMBER($I424)),$H424=0),"",$I424/$H424)</f>
        <v/>
      </c>
      <c r="K424" s="6"/>
      <c r="L424" s="8"/>
      <c r="M424" s="7"/>
      <c r="N424" s="7"/>
      <c r="O424" s="9" t="str">
        <f aca="false">IF(NOT(ISNUMBER($M424)),"",IF($L424="Fine earth / fine-earth volume",$M424*(1-IF(ISNUMBER($K424),$K424,0)/100),$M424))</f>
        <v/>
      </c>
      <c r="P424" s="9" t="str">
        <f aca="false">IF(OR(NOT(ISNUMBER($O424)),NOT(ISNUMBER($N424)),NOT(ISNUMBER($F424))),"",$O424*($N424/100)*$F424*10)</f>
        <v/>
      </c>
      <c r="Q424" s="9" t="str">
        <f aca="false">IF(OR(NOT(ISNUMBER($D424)),NOT(ISNUMBER($E424))),"",MAX(0,MIN($E424,SOIL_REPORTING_DEPTH_CM)-MIN($D424,SOIL_REPORTING_DEPTH_CM)))</f>
        <v/>
      </c>
      <c r="R424" s="9" t="str">
        <f aca="false">IF(OR(NOT(ISNUMBER($O424)),NOT(ISNUMBER($N424)),NOT(ISNUMBER($Q424))),"",$O424*($N424/100)*$Q424*10)</f>
        <v/>
      </c>
      <c r="S424" s="11" t="str">
        <f aca="false">IF(AND($A424="",$B424="",$D424=""),"",IF(AND($A424&lt;&gt;"",COUNTIF('1. Plot &amp; Site Log'!$A$5:$A$64,$A424)=0),"Plot ID not in the Plot &amp; Site Log. ","")&amp;IF(AND(ISNUMBER($D424),ISNUMBER($E424),$E424&lt;=$D424),"Bottom depth is not below top depth. ","")&amp;IF($L424="Not confirmed","Bulk-density basis not confirmed with the lab — the coarse-fragment correction may be wrong or doubled. ","")&amp;IF(LAB_BULK_DENSITY_BASIS="Not confirmed","No lab bulk-density basis is on file in Settings (LAB_BULK_DENSITY_BASIS), so nothing checks this row. ","")&amp;IF(AND($L424&lt;&gt;"",LAB_BULK_DENSITY_BASIS&lt;&gt;"Not confirmed",$L424&lt;&gt;LAB_BULK_DENSITY_BASIS),"This row's bulk-density basis disagrees with the lab method on file. One of "&amp;"the two is wrong, and the coarse-fragment correction follows the row. ","")&amp;IF(AND(ISNUMBER($M424),OR($M424&lt;QC_BD_MIN,$M424&gt;QC_BD_MAX)),"Bulk density outside the plausible range for a mineral grassland soil. ","")&amp;IF(AND(ISNUMBER($N424),$N424&gt;QC_CARBON_PCT_MAX),"Organic carbon above the QC ceiling — check units, and whether this is an organic horizon. ","")&amp;IF(AND(ISNUMBER($J424),$J424&lt;QC_RECOVERY_MIN),"Recovered less than the QC minimum of the depth driven — the increments may not sit where you think. Do NOT stretch them back out. ","")&amp;IF(AND(ISNUMBER($K424),$K424&gt;0,$L424="Fine earth / total volume"),"Coarse fragments recorded and the lab basis already accounts for them — no further correction applied, which is correct. ",""))</f>
        <v/>
      </c>
      <c r="T424" s="6"/>
      <c r="U424" s="9" t="n">
        <f aca="false">IF($B424="",0,IF(COUNTIFS($B$5:$B424,$B424)=1,1,0))</f>
        <v>0</v>
      </c>
    </row>
    <row r="425" customFormat="false" ht="15" hidden="false" customHeight="false" outlineLevel="0" collapsed="false">
      <c r="A425" s="6"/>
      <c r="B425" s="6"/>
      <c r="C425" s="6"/>
      <c r="D425" s="6"/>
      <c r="E425" s="6"/>
      <c r="F425" s="9" t="str">
        <f aca="false">IF(OR($D425="",$E425=""),"",$E425-$D425)</f>
        <v/>
      </c>
      <c r="G425" s="6"/>
      <c r="H425" s="6"/>
      <c r="I425" s="6"/>
      <c r="J425" s="9" t="str">
        <f aca="false">IF(OR(NOT(ISNUMBER($H425)),NOT(ISNUMBER($I425)),$H425=0),"",$I425/$H425)</f>
        <v/>
      </c>
      <c r="K425" s="6"/>
      <c r="L425" s="8"/>
      <c r="M425" s="7"/>
      <c r="N425" s="7"/>
      <c r="O425" s="9" t="str">
        <f aca="false">IF(NOT(ISNUMBER($M425)),"",IF($L425="Fine earth / fine-earth volume",$M425*(1-IF(ISNUMBER($K425),$K425,0)/100),$M425))</f>
        <v/>
      </c>
      <c r="P425" s="9" t="str">
        <f aca="false">IF(OR(NOT(ISNUMBER($O425)),NOT(ISNUMBER($N425)),NOT(ISNUMBER($F425))),"",$O425*($N425/100)*$F425*10)</f>
        <v/>
      </c>
      <c r="Q425" s="9" t="str">
        <f aca="false">IF(OR(NOT(ISNUMBER($D425)),NOT(ISNUMBER($E425))),"",MAX(0,MIN($E425,SOIL_REPORTING_DEPTH_CM)-MIN($D425,SOIL_REPORTING_DEPTH_CM)))</f>
        <v/>
      </c>
      <c r="R425" s="9" t="str">
        <f aca="false">IF(OR(NOT(ISNUMBER($O425)),NOT(ISNUMBER($N425)),NOT(ISNUMBER($Q425))),"",$O425*($N425/100)*$Q425*10)</f>
        <v/>
      </c>
      <c r="S425" s="11" t="str">
        <f aca="false">IF(AND($A425="",$B425="",$D425=""),"",IF(AND($A425&lt;&gt;"",COUNTIF('1. Plot &amp; Site Log'!$A$5:$A$64,$A425)=0),"Plot ID not in the Plot &amp; Site Log. ","")&amp;IF(AND(ISNUMBER($D425),ISNUMBER($E425),$E425&lt;=$D425),"Bottom depth is not below top depth. ","")&amp;IF($L425="Not confirmed","Bulk-density basis not confirmed with the lab — the coarse-fragment correction may be wrong or doubled. ","")&amp;IF(LAB_BULK_DENSITY_BASIS="Not confirmed","No lab bulk-density basis is on file in Settings (LAB_BULK_DENSITY_BASIS), so nothing checks this row. ","")&amp;IF(AND($L425&lt;&gt;"",LAB_BULK_DENSITY_BASIS&lt;&gt;"Not confirmed",$L425&lt;&gt;LAB_BULK_DENSITY_BASIS),"This row's bulk-density basis disagrees with the lab method on file. One of "&amp;"the two is wrong, and the coarse-fragment correction follows the row. ","")&amp;IF(AND(ISNUMBER($M425),OR($M425&lt;QC_BD_MIN,$M425&gt;QC_BD_MAX)),"Bulk density outside the plausible range for a mineral grassland soil. ","")&amp;IF(AND(ISNUMBER($N425),$N425&gt;QC_CARBON_PCT_MAX),"Organic carbon above the QC ceiling — check units, and whether this is an organic horizon. ","")&amp;IF(AND(ISNUMBER($J425),$J425&lt;QC_RECOVERY_MIN),"Recovered less than the QC minimum of the depth driven — the increments may not sit where you think. Do NOT stretch them back out. ","")&amp;IF(AND(ISNUMBER($K425),$K425&gt;0,$L425="Fine earth / total volume"),"Coarse fragments recorded and the lab basis already accounts for them — no further correction applied, which is correct. ",""))</f>
        <v/>
      </c>
      <c r="T425" s="6"/>
      <c r="U425" s="9" t="n">
        <f aca="false">IF($B425="",0,IF(COUNTIFS($B$5:$B425,$B425)=1,1,0))</f>
        <v>0</v>
      </c>
    </row>
    <row r="426" customFormat="false" ht="15" hidden="false" customHeight="false" outlineLevel="0" collapsed="false">
      <c r="A426" s="6"/>
      <c r="B426" s="6"/>
      <c r="C426" s="6"/>
      <c r="D426" s="6"/>
      <c r="E426" s="6"/>
      <c r="F426" s="9" t="str">
        <f aca="false">IF(OR($D426="",$E426=""),"",$E426-$D426)</f>
        <v/>
      </c>
      <c r="G426" s="6"/>
      <c r="H426" s="6"/>
      <c r="I426" s="6"/>
      <c r="J426" s="9" t="str">
        <f aca="false">IF(OR(NOT(ISNUMBER($H426)),NOT(ISNUMBER($I426)),$H426=0),"",$I426/$H426)</f>
        <v/>
      </c>
      <c r="K426" s="6"/>
      <c r="L426" s="8"/>
      <c r="M426" s="7"/>
      <c r="N426" s="7"/>
      <c r="O426" s="9" t="str">
        <f aca="false">IF(NOT(ISNUMBER($M426)),"",IF($L426="Fine earth / fine-earth volume",$M426*(1-IF(ISNUMBER($K426),$K426,0)/100),$M426))</f>
        <v/>
      </c>
      <c r="P426" s="9" t="str">
        <f aca="false">IF(OR(NOT(ISNUMBER($O426)),NOT(ISNUMBER($N426)),NOT(ISNUMBER($F426))),"",$O426*($N426/100)*$F426*10)</f>
        <v/>
      </c>
      <c r="Q426" s="9" t="str">
        <f aca="false">IF(OR(NOT(ISNUMBER($D426)),NOT(ISNUMBER($E426))),"",MAX(0,MIN($E426,SOIL_REPORTING_DEPTH_CM)-MIN($D426,SOIL_REPORTING_DEPTH_CM)))</f>
        <v/>
      </c>
      <c r="R426" s="9" t="str">
        <f aca="false">IF(OR(NOT(ISNUMBER($O426)),NOT(ISNUMBER($N426)),NOT(ISNUMBER($Q426))),"",$O426*($N426/100)*$Q426*10)</f>
        <v/>
      </c>
      <c r="S426" s="11" t="str">
        <f aca="false">IF(AND($A426="",$B426="",$D426=""),"",IF(AND($A426&lt;&gt;"",COUNTIF('1. Plot &amp; Site Log'!$A$5:$A$64,$A426)=0),"Plot ID not in the Plot &amp; Site Log. ","")&amp;IF(AND(ISNUMBER($D426),ISNUMBER($E426),$E426&lt;=$D426),"Bottom depth is not below top depth. ","")&amp;IF($L426="Not confirmed","Bulk-density basis not confirmed with the lab — the coarse-fragment correction may be wrong or doubled. ","")&amp;IF(LAB_BULK_DENSITY_BASIS="Not confirmed","No lab bulk-density basis is on file in Settings (LAB_BULK_DENSITY_BASIS), so nothing checks this row. ","")&amp;IF(AND($L426&lt;&gt;"",LAB_BULK_DENSITY_BASIS&lt;&gt;"Not confirmed",$L426&lt;&gt;LAB_BULK_DENSITY_BASIS),"This row's bulk-density basis disagrees with the lab method on file. One of "&amp;"the two is wrong, and the coarse-fragment correction follows the row. ","")&amp;IF(AND(ISNUMBER($M426),OR($M426&lt;QC_BD_MIN,$M426&gt;QC_BD_MAX)),"Bulk density outside the plausible range for a mineral grassland soil. ","")&amp;IF(AND(ISNUMBER($N426),$N426&gt;QC_CARBON_PCT_MAX),"Organic carbon above the QC ceiling — check units, and whether this is an organic horizon. ","")&amp;IF(AND(ISNUMBER($J426),$J426&lt;QC_RECOVERY_MIN),"Recovered less than the QC minimum of the depth driven — the increments may not sit where you think. Do NOT stretch them back out. ","")&amp;IF(AND(ISNUMBER($K426),$K426&gt;0,$L426="Fine earth / total volume"),"Coarse fragments recorded and the lab basis already accounts for them — no further correction applied, which is correct. ",""))</f>
        <v/>
      </c>
      <c r="T426" s="6"/>
      <c r="U426" s="9" t="n">
        <f aca="false">IF($B426="",0,IF(COUNTIFS($B$5:$B426,$B426)=1,1,0))</f>
        <v>0</v>
      </c>
    </row>
    <row r="427" customFormat="false" ht="15" hidden="false" customHeight="false" outlineLevel="0" collapsed="false">
      <c r="A427" s="6"/>
      <c r="B427" s="6"/>
      <c r="C427" s="6"/>
      <c r="D427" s="6"/>
      <c r="E427" s="6"/>
      <c r="F427" s="9" t="str">
        <f aca="false">IF(OR($D427="",$E427=""),"",$E427-$D427)</f>
        <v/>
      </c>
      <c r="G427" s="6"/>
      <c r="H427" s="6"/>
      <c r="I427" s="6"/>
      <c r="J427" s="9" t="str">
        <f aca="false">IF(OR(NOT(ISNUMBER($H427)),NOT(ISNUMBER($I427)),$H427=0),"",$I427/$H427)</f>
        <v/>
      </c>
      <c r="K427" s="6"/>
      <c r="L427" s="8"/>
      <c r="M427" s="7"/>
      <c r="N427" s="7"/>
      <c r="O427" s="9" t="str">
        <f aca="false">IF(NOT(ISNUMBER($M427)),"",IF($L427="Fine earth / fine-earth volume",$M427*(1-IF(ISNUMBER($K427),$K427,0)/100),$M427))</f>
        <v/>
      </c>
      <c r="P427" s="9" t="str">
        <f aca="false">IF(OR(NOT(ISNUMBER($O427)),NOT(ISNUMBER($N427)),NOT(ISNUMBER($F427))),"",$O427*($N427/100)*$F427*10)</f>
        <v/>
      </c>
      <c r="Q427" s="9" t="str">
        <f aca="false">IF(OR(NOT(ISNUMBER($D427)),NOT(ISNUMBER($E427))),"",MAX(0,MIN($E427,SOIL_REPORTING_DEPTH_CM)-MIN($D427,SOIL_REPORTING_DEPTH_CM)))</f>
        <v/>
      </c>
      <c r="R427" s="9" t="str">
        <f aca="false">IF(OR(NOT(ISNUMBER($O427)),NOT(ISNUMBER($N427)),NOT(ISNUMBER($Q427))),"",$O427*($N427/100)*$Q427*10)</f>
        <v/>
      </c>
      <c r="S427" s="11" t="str">
        <f aca="false">IF(AND($A427="",$B427="",$D427=""),"",IF(AND($A427&lt;&gt;"",COUNTIF('1. Plot &amp; Site Log'!$A$5:$A$64,$A427)=0),"Plot ID not in the Plot &amp; Site Log. ","")&amp;IF(AND(ISNUMBER($D427),ISNUMBER($E427),$E427&lt;=$D427),"Bottom depth is not below top depth. ","")&amp;IF($L427="Not confirmed","Bulk-density basis not confirmed with the lab — the coarse-fragment correction may be wrong or doubled. ","")&amp;IF(LAB_BULK_DENSITY_BASIS="Not confirmed","No lab bulk-density basis is on file in Settings (LAB_BULK_DENSITY_BASIS), so nothing checks this row. ","")&amp;IF(AND($L427&lt;&gt;"",LAB_BULK_DENSITY_BASIS&lt;&gt;"Not confirmed",$L427&lt;&gt;LAB_BULK_DENSITY_BASIS),"This row's bulk-density basis disagrees with the lab method on file. One of "&amp;"the two is wrong, and the coarse-fragment correction follows the row. ","")&amp;IF(AND(ISNUMBER($M427),OR($M427&lt;QC_BD_MIN,$M427&gt;QC_BD_MAX)),"Bulk density outside the plausible range for a mineral grassland soil. ","")&amp;IF(AND(ISNUMBER($N427),$N427&gt;QC_CARBON_PCT_MAX),"Organic carbon above the QC ceiling — check units, and whether this is an organic horizon. ","")&amp;IF(AND(ISNUMBER($J427),$J427&lt;QC_RECOVERY_MIN),"Recovered less than the QC minimum of the depth driven — the increments may not sit where you think. Do NOT stretch them back out. ","")&amp;IF(AND(ISNUMBER($K427),$K427&gt;0,$L427="Fine earth / total volume"),"Coarse fragments recorded and the lab basis already accounts for them — no further correction applied, which is correct. ",""))</f>
        <v/>
      </c>
      <c r="T427" s="6"/>
      <c r="U427" s="9" t="n">
        <f aca="false">IF($B427="",0,IF(COUNTIFS($B$5:$B427,$B427)=1,1,0))</f>
        <v>0</v>
      </c>
    </row>
    <row r="428" customFormat="false" ht="15" hidden="false" customHeight="false" outlineLevel="0" collapsed="false">
      <c r="A428" s="6"/>
      <c r="B428" s="6"/>
      <c r="C428" s="6"/>
      <c r="D428" s="6"/>
      <c r="E428" s="6"/>
      <c r="F428" s="9" t="str">
        <f aca="false">IF(OR($D428="",$E428=""),"",$E428-$D428)</f>
        <v/>
      </c>
      <c r="G428" s="6"/>
      <c r="H428" s="6"/>
      <c r="I428" s="6"/>
      <c r="J428" s="9" t="str">
        <f aca="false">IF(OR(NOT(ISNUMBER($H428)),NOT(ISNUMBER($I428)),$H428=0),"",$I428/$H428)</f>
        <v/>
      </c>
      <c r="K428" s="6"/>
      <c r="L428" s="8"/>
      <c r="M428" s="7"/>
      <c r="N428" s="7"/>
      <c r="O428" s="9" t="str">
        <f aca="false">IF(NOT(ISNUMBER($M428)),"",IF($L428="Fine earth / fine-earth volume",$M428*(1-IF(ISNUMBER($K428),$K428,0)/100),$M428))</f>
        <v/>
      </c>
      <c r="P428" s="9" t="str">
        <f aca="false">IF(OR(NOT(ISNUMBER($O428)),NOT(ISNUMBER($N428)),NOT(ISNUMBER($F428))),"",$O428*($N428/100)*$F428*10)</f>
        <v/>
      </c>
      <c r="Q428" s="9" t="str">
        <f aca="false">IF(OR(NOT(ISNUMBER($D428)),NOT(ISNUMBER($E428))),"",MAX(0,MIN($E428,SOIL_REPORTING_DEPTH_CM)-MIN($D428,SOIL_REPORTING_DEPTH_CM)))</f>
        <v/>
      </c>
      <c r="R428" s="9" t="str">
        <f aca="false">IF(OR(NOT(ISNUMBER($O428)),NOT(ISNUMBER($N428)),NOT(ISNUMBER($Q428))),"",$O428*($N428/100)*$Q428*10)</f>
        <v/>
      </c>
      <c r="S428" s="11" t="str">
        <f aca="false">IF(AND($A428="",$B428="",$D428=""),"",IF(AND($A428&lt;&gt;"",COUNTIF('1. Plot &amp; Site Log'!$A$5:$A$64,$A428)=0),"Plot ID not in the Plot &amp; Site Log. ","")&amp;IF(AND(ISNUMBER($D428),ISNUMBER($E428),$E428&lt;=$D428),"Bottom depth is not below top depth. ","")&amp;IF($L428="Not confirmed","Bulk-density basis not confirmed with the lab — the coarse-fragment correction may be wrong or doubled. ","")&amp;IF(LAB_BULK_DENSITY_BASIS="Not confirmed","No lab bulk-density basis is on file in Settings (LAB_BULK_DENSITY_BASIS), so nothing checks this row. ","")&amp;IF(AND($L428&lt;&gt;"",LAB_BULK_DENSITY_BASIS&lt;&gt;"Not confirmed",$L428&lt;&gt;LAB_BULK_DENSITY_BASIS),"This row's bulk-density basis disagrees with the lab method on file. One of "&amp;"the two is wrong, and the coarse-fragment correction follows the row. ","")&amp;IF(AND(ISNUMBER($M428),OR($M428&lt;QC_BD_MIN,$M428&gt;QC_BD_MAX)),"Bulk density outside the plausible range for a mineral grassland soil. ","")&amp;IF(AND(ISNUMBER($N428),$N428&gt;QC_CARBON_PCT_MAX),"Organic carbon above the QC ceiling — check units, and whether this is an organic horizon. ","")&amp;IF(AND(ISNUMBER($J428),$J428&lt;QC_RECOVERY_MIN),"Recovered less than the QC minimum of the depth driven — the increments may not sit where you think. Do NOT stretch them back out. ","")&amp;IF(AND(ISNUMBER($K428),$K428&gt;0,$L428="Fine earth / total volume"),"Coarse fragments recorded and the lab basis already accounts for them — no further correction applied, which is correct. ",""))</f>
        <v/>
      </c>
      <c r="T428" s="6"/>
      <c r="U428" s="9" t="n">
        <f aca="false">IF($B428="",0,IF(COUNTIFS($B$5:$B428,$B428)=1,1,0))</f>
        <v>0</v>
      </c>
    </row>
    <row r="429" customFormat="false" ht="15" hidden="false" customHeight="false" outlineLevel="0" collapsed="false">
      <c r="A429" s="6"/>
      <c r="B429" s="6"/>
      <c r="C429" s="6"/>
      <c r="D429" s="6"/>
      <c r="E429" s="6"/>
      <c r="F429" s="9" t="str">
        <f aca="false">IF(OR($D429="",$E429=""),"",$E429-$D429)</f>
        <v/>
      </c>
      <c r="G429" s="6"/>
      <c r="H429" s="6"/>
      <c r="I429" s="6"/>
      <c r="J429" s="9" t="str">
        <f aca="false">IF(OR(NOT(ISNUMBER($H429)),NOT(ISNUMBER($I429)),$H429=0),"",$I429/$H429)</f>
        <v/>
      </c>
      <c r="K429" s="6"/>
      <c r="L429" s="8"/>
      <c r="M429" s="7"/>
      <c r="N429" s="7"/>
      <c r="O429" s="9" t="str">
        <f aca="false">IF(NOT(ISNUMBER($M429)),"",IF($L429="Fine earth / fine-earth volume",$M429*(1-IF(ISNUMBER($K429),$K429,0)/100),$M429))</f>
        <v/>
      </c>
      <c r="P429" s="9" t="str">
        <f aca="false">IF(OR(NOT(ISNUMBER($O429)),NOT(ISNUMBER($N429)),NOT(ISNUMBER($F429))),"",$O429*($N429/100)*$F429*10)</f>
        <v/>
      </c>
      <c r="Q429" s="9" t="str">
        <f aca="false">IF(OR(NOT(ISNUMBER($D429)),NOT(ISNUMBER($E429))),"",MAX(0,MIN($E429,SOIL_REPORTING_DEPTH_CM)-MIN($D429,SOIL_REPORTING_DEPTH_CM)))</f>
        <v/>
      </c>
      <c r="R429" s="9" t="str">
        <f aca="false">IF(OR(NOT(ISNUMBER($O429)),NOT(ISNUMBER($N429)),NOT(ISNUMBER($Q429))),"",$O429*($N429/100)*$Q429*10)</f>
        <v/>
      </c>
      <c r="S429" s="11" t="str">
        <f aca="false">IF(AND($A429="",$B429="",$D429=""),"",IF(AND($A429&lt;&gt;"",COUNTIF('1. Plot &amp; Site Log'!$A$5:$A$64,$A429)=0),"Plot ID not in the Plot &amp; Site Log. ","")&amp;IF(AND(ISNUMBER($D429),ISNUMBER($E429),$E429&lt;=$D429),"Bottom depth is not below top depth. ","")&amp;IF($L429="Not confirmed","Bulk-density basis not confirmed with the lab — the coarse-fragment correction may be wrong or doubled. ","")&amp;IF(LAB_BULK_DENSITY_BASIS="Not confirmed","No lab bulk-density basis is on file in Settings (LAB_BULK_DENSITY_BASIS), so nothing checks this row. ","")&amp;IF(AND($L429&lt;&gt;"",LAB_BULK_DENSITY_BASIS&lt;&gt;"Not confirmed",$L429&lt;&gt;LAB_BULK_DENSITY_BASIS),"This row's bulk-density basis disagrees with the lab method on file. One of "&amp;"the two is wrong, and the coarse-fragment correction follows the row. ","")&amp;IF(AND(ISNUMBER($M429),OR($M429&lt;QC_BD_MIN,$M429&gt;QC_BD_MAX)),"Bulk density outside the plausible range for a mineral grassland soil. ","")&amp;IF(AND(ISNUMBER($N429),$N429&gt;QC_CARBON_PCT_MAX),"Organic carbon above the QC ceiling — check units, and whether this is an organic horizon. ","")&amp;IF(AND(ISNUMBER($J429),$J429&lt;QC_RECOVERY_MIN),"Recovered less than the QC minimum of the depth driven — the increments may not sit where you think. Do NOT stretch them back out. ","")&amp;IF(AND(ISNUMBER($K429),$K429&gt;0,$L429="Fine earth / total volume"),"Coarse fragments recorded and the lab basis already accounts for them — no further correction applied, which is correct. ",""))</f>
        <v/>
      </c>
      <c r="T429" s="6"/>
      <c r="U429" s="9" t="n">
        <f aca="false">IF($B429="",0,IF(COUNTIFS($B$5:$B429,$B429)=1,1,0))</f>
        <v>0</v>
      </c>
    </row>
    <row r="430" customFormat="false" ht="15" hidden="false" customHeight="false" outlineLevel="0" collapsed="false">
      <c r="A430" s="6"/>
      <c r="B430" s="6"/>
      <c r="C430" s="6"/>
      <c r="D430" s="6"/>
      <c r="E430" s="6"/>
      <c r="F430" s="9" t="str">
        <f aca="false">IF(OR($D430="",$E430=""),"",$E430-$D430)</f>
        <v/>
      </c>
      <c r="G430" s="6"/>
      <c r="H430" s="6"/>
      <c r="I430" s="6"/>
      <c r="J430" s="9" t="str">
        <f aca="false">IF(OR(NOT(ISNUMBER($H430)),NOT(ISNUMBER($I430)),$H430=0),"",$I430/$H430)</f>
        <v/>
      </c>
      <c r="K430" s="6"/>
      <c r="L430" s="8"/>
      <c r="M430" s="7"/>
      <c r="N430" s="7"/>
      <c r="O430" s="9" t="str">
        <f aca="false">IF(NOT(ISNUMBER($M430)),"",IF($L430="Fine earth / fine-earth volume",$M430*(1-IF(ISNUMBER($K430),$K430,0)/100),$M430))</f>
        <v/>
      </c>
      <c r="P430" s="9" t="str">
        <f aca="false">IF(OR(NOT(ISNUMBER($O430)),NOT(ISNUMBER($N430)),NOT(ISNUMBER($F430))),"",$O430*($N430/100)*$F430*10)</f>
        <v/>
      </c>
      <c r="Q430" s="9" t="str">
        <f aca="false">IF(OR(NOT(ISNUMBER($D430)),NOT(ISNUMBER($E430))),"",MAX(0,MIN($E430,SOIL_REPORTING_DEPTH_CM)-MIN($D430,SOIL_REPORTING_DEPTH_CM)))</f>
        <v/>
      </c>
      <c r="R430" s="9" t="str">
        <f aca="false">IF(OR(NOT(ISNUMBER($O430)),NOT(ISNUMBER($N430)),NOT(ISNUMBER($Q430))),"",$O430*($N430/100)*$Q430*10)</f>
        <v/>
      </c>
      <c r="S430" s="11" t="str">
        <f aca="false">IF(AND($A430="",$B430="",$D430=""),"",IF(AND($A430&lt;&gt;"",COUNTIF('1. Plot &amp; Site Log'!$A$5:$A$64,$A430)=0),"Plot ID not in the Plot &amp; Site Log. ","")&amp;IF(AND(ISNUMBER($D430),ISNUMBER($E430),$E430&lt;=$D430),"Bottom depth is not below top depth. ","")&amp;IF($L430="Not confirmed","Bulk-density basis not confirmed with the lab — the coarse-fragment correction may be wrong or doubled. ","")&amp;IF(LAB_BULK_DENSITY_BASIS="Not confirmed","No lab bulk-density basis is on file in Settings (LAB_BULK_DENSITY_BASIS), so nothing checks this row. ","")&amp;IF(AND($L430&lt;&gt;"",LAB_BULK_DENSITY_BASIS&lt;&gt;"Not confirmed",$L430&lt;&gt;LAB_BULK_DENSITY_BASIS),"This row's bulk-density basis disagrees with the lab method on file. One of "&amp;"the two is wrong, and the coarse-fragment correction follows the row. ","")&amp;IF(AND(ISNUMBER($M430),OR($M430&lt;QC_BD_MIN,$M430&gt;QC_BD_MAX)),"Bulk density outside the plausible range for a mineral grassland soil. ","")&amp;IF(AND(ISNUMBER($N430),$N430&gt;QC_CARBON_PCT_MAX),"Organic carbon above the QC ceiling — check units, and whether this is an organic horizon. ","")&amp;IF(AND(ISNUMBER($J430),$J430&lt;QC_RECOVERY_MIN),"Recovered less than the QC minimum of the depth driven — the increments may not sit where you think. Do NOT stretch them back out. ","")&amp;IF(AND(ISNUMBER($K430),$K430&gt;0,$L430="Fine earth / total volume"),"Coarse fragments recorded and the lab basis already accounts for them — no further correction applied, which is correct. ",""))</f>
        <v/>
      </c>
      <c r="T430" s="6"/>
      <c r="U430" s="9" t="n">
        <f aca="false">IF($B430="",0,IF(COUNTIFS($B$5:$B430,$B430)=1,1,0))</f>
        <v>0</v>
      </c>
    </row>
    <row r="431" customFormat="false" ht="15" hidden="false" customHeight="false" outlineLevel="0" collapsed="false">
      <c r="A431" s="6"/>
      <c r="B431" s="6"/>
      <c r="C431" s="6"/>
      <c r="D431" s="6"/>
      <c r="E431" s="6"/>
      <c r="F431" s="9" t="str">
        <f aca="false">IF(OR($D431="",$E431=""),"",$E431-$D431)</f>
        <v/>
      </c>
      <c r="G431" s="6"/>
      <c r="H431" s="6"/>
      <c r="I431" s="6"/>
      <c r="J431" s="9" t="str">
        <f aca="false">IF(OR(NOT(ISNUMBER($H431)),NOT(ISNUMBER($I431)),$H431=0),"",$I431/$H431)</f>
        <v/>
      </c>
      <c r="K431" s="6"/>
      <c r="L431" s="8"/>
      <c r="M431" s="7"/>
      <c r="N431" s="7"/>
      <c r="O431" s="9" t="str">
        <f aca="false">IF(NOT(ISNUMBER($M431)),"",IF($L431="Fine earth / fine-earth volume",$M431*(1-IF(ISNUMBER($K431),$K431,0)/100),$M431))</f>
        <v/>
      </c>
      <c r="P431" s="9" t="str">
        <f aca="false">IF(OR(NOT(ISNUMBER($O431)),NOT(ISNUMBER($N431)),NOT(ISNUMBER($F431))),"",$O431*($N431/100)*$F431*10)</f>
        <v/>
      </c>
      <c r="Q431" s="9" t="str">
        <f aca="false">IF(OR(NOT(ISNUMBER($D431)),NOT(ISNUMBER($E431))),"",MAX(0,MIN($E431,SOIL_REPORTING_DEPTH_CM)-MIN($D431,SOIL_REPORTING_DEPTH_CM)))</f>
        <v/>
      </c>
      <c r="R431" s="9" t="str">
        <f aca="false">IF(OR(NOT(ISNUMBER($O431)),NOT(ISNUMBER($N431)),NOT(ISNUMBER($Q431))),"",$O431*($N431/100)*$Q431*10)</f>
        <v/>
      </c>
      <c r="S431" s="11" t="str">
        <f aca="false">IF(AND($A431="",$B431="",$D431=""),"",IF(AND($A431&lt;&gt;"",COUNTIF('1. Plot &amp; Site Log'!$A$5:$A$64,$A431)=0),"Plot ID not in the Plot &amp; Site Log. ","")&amp;IF(AND(ISNUMBER($D431),ISNUMBER($E431),$E431&lt;=$D431),"Bottom depth is not below top depth. ","")&amp;IF($L431="Not confirmed","Bulk-density basis not confirmed with the lab — the coarse-fragment correction may be wrong or doubled. ","")&amp;IF(LAB_BULK_DENSITY_BASIS="Not confirmed","No lab bulk-density basis is on file in Settings (LAB_BULK_DENSITY_BASIS), so nothing checks this row. ","")&amp;IF(AND($L431&lt;&gt;"",LAB_BULK_DENSITY_BASIS&lt;&gt;"Not confirmed",$L431&lt;&gt;LAB_BULK_DENSITY_BASIS),"This row's bulk-density basis disagrees with the lab method on file. One of "&amp;"the two is wrong, and the coarse-fragment correction follows the row. ","")&amp;IF(AND(ISNUMBER($M431),OR($M431&lt;QC_BD_MIN,$M431&gt;QC_BD_MAX)),"Bulk density outside the plausible range for a mineral grassland soil. ","")&amp;IF(AND(ISNUMBER($N431),$N431&gt;QC_CARBON_PCT_MAX),"Organic carbon above the QC ceiling — check units, and whether this is an organic horizon. ","")&amp;IF(AND(ISNUMBER($J431),$J431&lt;QC_RECOVERY_MIN),"Recovered less than the QC minimum of the depth driven — the increments may not sit where you think. Do NOT stretch them back out. ","")&amp;IF(AND(ISNUMBER($K431),$K431&gt;0,$L431="Fine earth / total volume"),"Coarse fragments recorded and the lab basis already accounts for them — no further correction applied, which is correct. ",""))</f>
        <v/>
      </c>
      <c r="T431" s="6"/>
      <c r="U431" s="9" t="n">
        <f aca="false">IF($B431="",0,IF(COUNTIFS($B$5:$B431,$B431)=1,1,0))</f>
        <v>0</v>
      </c>
    </row>
    <row r="432" customFormat="false" ht="15" hidden="false" customHeight="false" outlineLevel="0" collapsed="false">
      <c r="A432" s="6"/>
      <c r="B432" s="6"/>
      <c r="C432" s="6"/>
      <c r="D432" s="6"/>
      <c r="E432" s="6"/>
      <c r="F432" s="9" t="str">
        <f aca="false">IF(OR($D432="",$E432=""),"",$E432-$D432)</f>
        <v/>
      </c>
      <c r="G432" s="6"/>
      <c r="H432" s="6"/>
      <c r="I432" s="6"/>
      <c r="J432" s="9" t="str">
        <f aca="false">IF(OR(NOT(ISNUMBER($H432)),NOT(ISNUMBER($I432)),$H432=0),"",$I432/$H432)</f>
        <v/>
      </c>
      <c r="K432" s="6"/>
      <c r="L432" s="8"/>
      <c r="M432" s="7"/>
      <c r="N432" s="7"/>
      <c r="O432" s="9" t="str">
        <f aca="false">IF(NOT(ISNUMBER($M432)),"",IF($L432="Fine earth / fine-earth volume",$M432*(1-IF(ISNUMBER($K432),$K432,0)/100),$M432))</f>
        <v/>
      </c>
      <c r="P432" s="9" t="str">
        <f aca="false">IF(OR(NOT(ISNUMBER($O432)),NOT(ISNUMBER($N432)),NOT(ISNUMBER($F432))),"",$O432*($N432/100)*$F432*10)</f>
        <v/>
      </c>
      <c r="Q432" s="9" t="str">
        <f aca="false">IF(OR(NOT(ISNUMBER($D432)),NOT(ISNUMBER($E432))),"",MAX(0,MIN($E432,SOIL_REPORTING_DEPTH_CM)-MIN($D432,SOIL_REPORTING_DEPTH_CM)))</f>
        <v/>
      </c>
      <c r="R432" s="9" t="str">
        <f aca="false">IF(OR(NOT(ISNUMBER($O432)),NOT(ISNUMBER($N432)),NOT(ISNUMBER($Q432))),"",$O432*($N432/100)*$Q432*10)</f>
        <v/>
      </c>
      <c r="S432" s="11" t="str">
        <f aca="false">IF(AND($A432="",$B432="",$D432=""),"",IF(AND($A432&lt;&gt;"",COUNTIF('1. Plot &amp; Site Log'!$A$5:$A$64,$A432)=0),"Plot ID not in the Plot &amp; Site Log. ","")&amp;IF(AND(ISNUMBER($D432),ISNUMBER($E432),$E432&lt;=$D432),"Bottom depth is not below top depth. ","")&amp;IF($L432="Not confirmed","Bulk-density basis not confirmed with the lab — the coarse-fragment correction may be wrong or doubled. ","")&amp;IF(LAB_BULK_DENSITY_BASIS="Not confirmed","No lab bulk-density basis is on file in Settings (LAB_BULK_DENSITY_BASIS), so nothing checks this row. ","")&amp;IF(AND($L432&lt;&gt;"",LAB_BULK_DENSITY_BASIS&lt;&gt;"Not confirmed",$L432&lt;&gt;LAB_BULK_DENSITY_BASIS),"This row's bulk-density basis disagrees with the lab method on file. One of "&amp;"the two is wrong, and the coarse-fragment correction follows the row. ","")&amp;IF(AND(ISNUMBER($M432),OR($M432&lt;QC_BD_MIN,$M432&gt;QC_BD_MAX)),"Bulk density outside the plausible range for a mineral grassland soil. ","")&amp;IF(AND(ISNUMBER($N432),$N432&gt;QC_CARBON_PCT_MAX),"Organic carbon above the QC ceiling — check units, and whether this is an organic horizon. ","")&amp;IF(AND(ISNUMBER($J432),$J432&lt;QC_RECOVERY_MIN),"Recovered less than the QC minimum of the depth driven — the increments may not sit where you think. Do NOT stretch them back out. ","")&amp;IF(AND(ISNUMBER($K432),$K432&gt;0,$L432="Fine earth / total volume"),"Coarse fragments recorded and the lab basis already accounts for them — no further correction applied, which is correct. ",""))</f>
        <v/>
      </c>
      <c r="T432" s="6"/>
      <c r="U432" s="9" t="n">
        <f aca="false">IF($B432="",0,IF(COUNTIFS($B$5:$B432,$B432)=1,1,0))</f>
        <v>0</v>
      </c>
    </row>
    <row r="433" customFormat="false" ht="15" hidden="false" customHeight="false" outlineLevel="0" collapsed="false">
      <c r="A433" s="6"/>
      <c r="B433" s="6"/>
      <c r="C433" s="6"/>
      <c r="D433" s="6"/>
      <c r="E433" s="6"/>
      <c r="F433" s="9" t="str">
        <f aca="false">IF(OR($D433="",$E433=""),"",$E433-$D433)</f>
        <v/>
      </c>
      <c r="G433" s="6"/>
      <c r="H433" s="6"/>
      <c r="I433" s="6"/>
      <c r="J433" s="9" t="str">
        <f aca="false">IF(OR(NOT(ISNUMBER($H433)),NOT(ISNUMBER($I433)),$H433=0),"",$I433/$H433)</f>
        <v/>
      </c>
      <c r="K433" s="6"/>
      <c r="L433" s="8"/>
      <c r="M433" s="7"/>
      <c r="N433" s="7"/>
      <c r="O433" s="9" t="str">
        <f aca="false">IF(NOT(ISNUMBER($M433)),"",IF($L433="Fine earth / fine-earth volume",$M433*(1-IF(ISNUMBER($K433),$K433,0)/100),$M433))</f>
        <v/>
      </c>
      <c r="P433" s="9" t="str">
        <f aca="false">IF(OR(NOT(ISNUMBER($O433)),NOT(ISNUMBER($N433)),NOT(ISNUMBER($F433))),"",$O433*($N433/100)*$F433*10)</f>
        <v/>
      </c>
      <c r="Q433" s="9" t="str">
        <f aca="false">IF(OR(NOT(ISNUMBER($D433)),NOT(ISNUMBER($E433))),"",MAX(0,MIN($E433,SOIL_REPORTING_DEPTH_CM)-MIN($D433,SOIL_REPORTING_DEPTH_CM)))</f>
        <v/>
      </c>
      <c r="R433" s="9" t="str">
        <f aca="false">IF(OR(NOT(ISNUMBER($O433)),NOT(ISNUMBER($N433)),NOT(ISNUMBER($Q433))),"",$O433*($N433/100)*$Q433*10)</f>
        <v/>
      </c>
      <c r="S433" s="11" t="str">
        <f aca="false">IF(AND($A433="",$B433="",$D433=""),"",IF(AND($A433&lt;&gt;"",COUNTIF('1. Plot &amp; Site Log'!$A$5:$A$64,$A433)=0),"Plot ID not in the Plot &amp; Site Log. ","")&amp;IF(AND(ISNUMBER($D433),ISNUMBER($E433),$E433&lt;=$D433),"Bottom depth is not below top depth. ","")&amp;IF($L433="Not confirmed","Bulk-density basis not confirmed with the lab — the coarse-fragment correction may be wrong or doubled. ","")&amp;IF(LAB_BULK_DENSITY_BASIS="Not confirmed","No lab bulk-density basis is on file in Settings (LAB_BULK_DENSITY_BASIS), so nothing checks this row. ","")&amp;IF(AND($L433&lt;&gt;"",LAB_BULK_DENSITY_BASIS&lt;&gt;"Not confirmed",$L433&lt;&gt;LAB_BULK_DENSITY_BASIS),"This row's bulk-density basis disagrees with the lab method on file. One of "&amp;"the two is wrong, and the coarse-fragment correction follows the row. ","")&amp;IF(AND(ISNUMBER($M433),OR($M433&lt;QC_BD_MIN,$M433&gt;QC_BD_MAX)),"Bulk density outside the plausible range for a mineral grassland soil. ","")&amp;IF(AND(ISNUMBER($N433),$N433&gt;QC_CARBON_PCT_MAX),"Organic carbon above the QC ceiling — check units, and whether this is an organic horizon. ","")&amp;IF(AND(ISNUMBER($J433),$J433&lt;QC_RECOVERY_MIN),"Recovered less than the QC minimum of the depth driven — the increments may not sit where you think. Do NOT stretch them back out. ","")&amp;IF(AND(ISNUMBER($K433),$K433&gt;0,$L433="Fine earth / total volume"),"Coarse fragments recorded and the lab basis already accounts for them — no further correction applied, which is correct. ",""))</f>
        <v/>
      </c>
      <c r="T433" s="6"/>
      <c r="U433" s="9" t="n">
        <f aca="false">IF($B433="",0,IF(COUNTIFS($B$5:$B433,$B433)=1,1,0))</f>
        <v>0</v>
      </c>
    </row>
    <row r="434" customFormat="false" ht="15" hidden="false" customHeight="false" outlineLevel="0" collapsed="false">
      <c r="A434" s="6"/>
      <c r="B434" s="6"/>
      <c r="C434" s="6"/>
      <c r="D434" s="6"/>
      <c r="E434" s="6"/>
      <c r="F434" s="9" t="str">
        <f aca="false">IF(OR($D434="",$E434=""),"",$E434-$D434)</f>
        <v/>
      </c>
      <c r="G434" s="6"/>
      <c r="H434" s="6"/>
      <c r="I434" s="6"/>
      <c r="J434" s="9" t="str">
        <f aca="false">IF(OR(NOT(ISNUMBER($H434)),NOT(ISNUMBER($I434)),$H434=0),"",$I434/$H434)</f>
        <v/>
      </c>
      <c r="K434" s="6"/>
      <c r="L434" s="8"/>
      <c r="M434" s="7"/>
      <c r="N434" s="7"/>
      <c r="O434" s="9" t="str">
        <f aca="false">IF(NOT(ISNUMBER($M434)),"",IF($L434="Fine earth / fine-earth volume",$M434*(1-IF(ISNUMBER($K434),$K434,0)/100),$M434))</f>
        <v/>
      </c>
      <c r="P434" s="9" t="str">
        <f aca="false">IF(OR(NOT(ISNUMBER($O434)),NOT(ISNUMBER($N434)),NOT(ISNUMBER($F434))),"",$O434*($N434/100)*$F434*10)</f>
        <v/>
      </c>
      <c r="Q434" s="9" t="str">
        <f aca="false">IF(OR(NOT(ISNUMBER($D434)),NOT(ISNUMBER($E434))),"",MAX(0,MIN($E434,SOIL_REPORTING_DEPTH_CM)-MIN($D434,SOIL_REPORTING_DEPTH_CM)))</f>
        <v/>
      </c>
      <c r="R434" s="9" t="str">
        <f aca="false">IF(OR(NOT(ISNUMBER($O434)),NOT(ISNUMBER($N434)),NOT(ISNUMBER($Q434))),"",$O434*($N434/100)*$Q434*10)</f>
        <v/>
      </c>
      <c r="S434" s="11" t="str">
        <f aca="false">IF(AND($A434="",$B434="",$D434=""),"",IF(AND($A434&lt;&gt;"",COUNTIF('1. Plot &amp; Site Log'!$A$5:$A$64,$A434)=0),"Plot ID not in the Plot &amp; Site Log. ","")&amp;IF(AND(ISNUMBER($D434),ISNUMBER($E434),$E434&lt;=$D434),"Bottom depth is not below top depth. ","")&amp;IF($L434="Not confirmed","Bulk-density basis not confirmed with the lab — the coarse-fragment correction may be wrong or doubled. ","")&amp;IF(LAB_BULK_DENSITY_BASIS="Not confirmed","No lab bulk-density basis is on file in Settings (LAB_BULK_DENSITY_BASIS), so nothing checks this row. ","")&amp;IF(AND($L434&lt;&gt;"",LAB_BULK_DENSITY_BASIS&lt;&gt;"Not confirmed",$L434&lt;&gt;LAB_BULK_DENSITY_BASIS),"This row's bulk-density basis disagrees with the lab method on file. One of "&amp;"the two is wrong, and the coarse-fragment correction follows the row. ","")&amp;IF(AND(ISNUMBER($M434),OR($M434&lt;QC_BD_MIN,$M434&gt;QC_BD_MAX)),"Bulk density outside the plausible range for a mineral grassland soil. ","")&amp;IF(AND(ISNUMBER($N434),$N434&gt;QC_CARBON_PCT_MAX),"Organic carbon above the QC ceiling — check units, and whether this is an organic horizon. ","")&amp;IF(AND(ISNUMBER($J434),$J434&lt;QC_RECOVERY_MIN),"Recovered less than the QC minimum of the depth driven — the increments may not sit where you think. Do NOT stretch them back out. ","")&amp;IF(AND(ISNUMBER($K434),$K434&gt;0,$L434="Fine earth / total volume"),"Coarse fragments recorded and the lab basis already accounts for them — no further correction applied, which is correct. ",""))</f>
        <v/>
      </c>
      <c r="T434" s="6"/>
      <c r="U434" s="9" t="n">
        <f aca="false">IF($B434="",0,IF(COUNTIFS($B$5:$B434,$B434)=1,1,0))</f>
        <v>0</v>
      </c>
    </row>
    <row r="435" customFormat="false" ht="15" hidden="false" customHeight="false" outlineLevel="0" collapsed="false">
      <c r="A435" s="6"/>
      <c r="B435" s="6"/>
      <c r="C435" s="6"/>
      <c r="D435" s="6"/>
      <c r="E435" s="6"/>
      <c r="F435" s="9" t="str">
        <f aca="false">IF(OR($D435="",$E435=""),"",$E435-$D435)</f>
        <v/>
      </c>
      <c r="G435" s="6"/>
      <c r="H435" s="6"/>
      <c r="I435" s="6"/>
      <c r="J435" s="9" t="str">
        <f aca="false">IF(OR(NOT(ISNUMBER($H435)),NOT(ISNUMBER($I435)),$H435=0),"",$I435/$H435)</f>
        <v/>
      </c>
      <c r="K435" s="6"/>
      <c r="L435" s="8"/>
      <c r="M435" s="7"/>
      <c r="N435" s="7"/>
      <c r="O435" s="9" t="str">
        <f aca="false">IF(NOT(ISNUMBER($M435)),"",IF($L435="Fine earth / fine-earth volume",$M435*(1-IF(ISNUMBER($K435),$K435,0)/100),$M435))</f>
        <v/>
      </c>
      <c r="P435" s="9" t="str">
        <f aca="false">IF(OR(NOT(ISNUMBER($O435)),NOT(ISNUMBER($N435)),NOT(ISNUMBER($F435))),"",$O435*($N435/100)*$F435*10)</f>
        <v/>
      </c>
      <c r="Q435" s="9" t="str">
        <f aca="false">IF(OR(NOT(ISNUMBER($D435)),NOT(ISNUMBER($E435))),"",MAX(0,MIN($E435,SOIL_REPORTING_DEPTH_CM)-MIN($D435,SOIL_REPORTING_DEPTH_CM)))</f>
        <v/>
      </c>
      <c r="R435" s="9" t="str">
        <f aca="false">IF(OR(NOT(ISNUMBER($O435)),NOT(ISNUMBER($N435)),NOT(ISNUMBER($Q435))),"",$O435*($N435/100)*$Q435*10)</f>
        <v/>
      </c>
      <c r="S435" s="11" t="str">
        <f aca="false">IF(AND($A435="",$B435="",$D435=""),"",IF(AND($A435&lt;&gt;"",COUNTIF('1. Plot &amp; Site Log'!$A$5:$A$64,$A435)=0),"Plot ID not in the Plot &amp; Site Log. ","")&amp;IF(AND(ISNUMBER($D435),ISNUMBER($E435),$E435&lt;=$D435),"Bottom depth is not below top depth. ","")&amp;IF($L435="Not confirmed","Bulk-density basis not confirmed with the lab — the coarse-fragment correction may be wrong or doubled. ","")&amp;IF(LAB_BULK_DENSITY_BASIS="Not confirmed","No lab bulk-density basis is on file in Settings (LAB_BULK_DENSITY_BASIS), so nothing checks this row. ","")&amp;IF(AND($L435&lt;&gt;"",LAB_BULK_DENSITY_BASIS&lt;&gt;"Not confirmed",$L435&lt;&gt;LAB_BULK_DENSITY_BASIS),"This row's bulk-density basis disagrees with the lab method on file. One of "&amp;"the two is wrong, and the coarse-fragment correction follows the row. ","")&amp;IF(AND(ISNUMBER($M435),OR($M435&lt;QC_BD_MIN,$M435&gt;QC_BD_MAX)),"Bulk density outside the plausible range for a mineral grassland soil. ","")&amp;IF(AND(ISNUMBER($N435),$N435&gt;QC_CARBON_PCT_MAX),"Organic carbon above the QC ceiling — check units, and whether this is an organic horizon. ","")&amp;IF(AND(ISNUMBER($J435),$J435&lt;QC_RECOVERY_MIN),"Recovered less than the QC minimum of the depth driven — the increments may not sit where you think. Do NOT stretch them back out. ","")&amp;IF(AND(ISNUMBER($K435),$K435&gt;0,$L435="Fine earth / total volume"),"Coarse fragments recorded and the lab basis already accounts for them — no further correction applied, which is correct. ",""))</f>
        <v/>
      </c>
      <c r="T435" s="6"/>
      <c r="U435" s="9" t="n">
        <f aca="false">IF($B435="",0,IF(COUNTIFS($B$5:$B435,$B435)=1,1,0))</f>
        <v>0</v>
      </c>
    </row>
    <row r="436" customFormat="false" ht="15" hidden="false" customHeight="false" outlineLevel="0" collapsed="false">
      <c r="A436" s="6"/>
      <c r="B436" s="6"/>
      <c r="C436" s="6"/>
      <c r="D436" s="6"/>
      <c r="E436" s="6"/>
      <c r="F436" s="9" t="str">
        <f aca="false">IF(OR($D436="",$E436=""),"",$E436-$D436)</f>
        <v/>
      </c>
      <c r="G436" s="6"/>
      <c r="H436" s="6"/>
      <c r="I436" s="6"/>
      <c r="J436" s="9" t="str">
        <f aca="false">IF(OR(NOT(ISNUMBER($H436)),NOT(ISNUMBER($I436)),$H436=0),"",$I436/$H436)</f>
        <v/>
      </c>
      <c r="K436" s="6"/>
      <c r="L436" s="8"/>
      <c r="M436" s="7"/>
      <c r="N436" s="7"/>
      <c r="O436" s="9" t="str">
        <f aca="false">IF(NOT(ISNUMBER($M436)),"",IF($L436="Fine earth / fine-earth volume",$M436*(1-IF(ISNUMBER($K436),$K436,0)/100),$M436))</f>
        <v/>
      </c>
      <c r="P436" s="9" t="str">
        <f aca="false">IF(OR(NOT(ISNUMBER($O436)),NOT(ISNUMBER($N436)),NOT(ISNUMBER($F436))),"",$O436*($N436/100)*$F436*10)</f>
        <v/>
      </c>
      <c r="Q436" s="9" t="str">
        <f aca="false">IF(OR(NOT(ISNUMBER($D436)),NOT(ISNUMBER($E436))),"",MAX(0,MIN($E436,SOIL_REPORTING_DEPTH_CM)-MIN($D436,SOIL_REPORTING_DEPTH_CM)))</f>
        <v/>
      </c>
      <c r="R436" s="9" t="str">
        <f aca="false">IF(OR(NOT(ISNUMBER($O436)),NOT(ISNUMBER($N436)),NOT(ISNUMBER($Q436))),"",$O436*($N436/100)*$Q436*10)</f>
        <v/>
      </c>
      <c r="S436" s="11" t="str">
        <f aca="false">IF(AND($A436="",$B436="",$D436=""),"",IF(AND($A436&lt;&gt;"",COUNTIF('1. Plot &amp; Site Log'!$A$5:$A$64,$A436)=0),"Plot ID not in the Plot &amp; Site Log. ","")&amp;IF(AND(ISNUMBER($D436),ISNUMBER($E436),$E436&lt;=$D436),"Bottom depth is not below top depth. ","")&amp;IF($L436="Not confirmed","Bulk-density basis not confirmed with the lab — the coarse-fragment correction may be wrong or doubled. ","")&amp;IF(LAB_BULK_DENSITY_BASIS="Not confirmed","No lab bulk-density basis is on file in Settings (LAB_BULK_DENSITY_BASIS), so nothing checks this row. ","")&amp;IF(AND($L436&lt;&gt;"",LAB_BULK_DENSITY_BASIS&lt;&gt;"Not confirmed",$L436&lt;&gt;LAB_BULK_DENSITY_BASIS),"This row's bulk-density basis disagrees with the lab method on file. One of "&amp;"the two is wrong, and the coarse-fragment correction follows the row. ","")&amp;IF(AND(ISNUMBER($M436),OR($M436&lt;QC_BD_MIN,$M436&gt;QC_BD_MAX)),"Bulk density outside the plausible range for a mineral grassland soil. ","")&amp;IF(AND(ISNUMBER($N436),$N436&gt;QC_CARBON_PCT_MAX),"Organic carbon above the QC ceiling — check units, and whether this is an organic horizon. ","")&amp;IF(AND(ISNUMBER($J436),$J436&lt;QC_RECOVERY_MIN),"Recovered less than the QC minimum of the depth driven — the increments may not sit where you think. Do NOT stretch them back out. ","")&amp;IF(AND(ISNUMBER($K436),$K436&gt;0,$L436="Fine earth / total volume"),"Coarse fragments recorded and the lab basis already accounts for them — no further correction applied, which is correct. ",""))</f>
        <v/>
      </c>
      <c r="T436" s="6"/>
      <c r="U436" s="9" t="n">
        <f aca="false">IF($B436="",0,IF(COUNTIFS($B$5:$B436,$B436)=1,1,0))</f>
        <v>0</v>
      </c>
    </row>
    <row r="437" customFormat="false" ht="15" hidden="false" customHeight="false" outlineLevel="0" collapsed="false">
      <c r="A437" s="6"/>
      <c r="B437" s="6"/>
      <c r="C437" s="6"/>
      <c r="D437" s="6"/>
      <c r="E437" s="6"/>
      <c r="F437" s="9" t="str">
        <f aca="false">IF(OR($D437="",$E437=""),"",$E437-$D437)</f>
        <v/>
      </c>
      <c r="G437" s="6"/>
      <c r="H437" s="6"/>
      <c r="I437" s="6"/>
      <c r="J437" s="9" t="str">
        <f aca="false">IF(OR(NOT(ISNUMBER($H437)),NOT(ISNUMBER($I437)),$H437=0),"",$I437/$H437)</f>
        <v/>
      </c>
      <c r="K437" s="6"/>
      <c r="L437" s="8"/>
      <c r="M437" s="7"/>
      <c r="N437" s="7"/>
      <c r="O437" s="9" t="str">
        <f aca="false">IF(NOT(ISNUMBER($M437)),"",IF($L437="Fine earth / fine-earth volume",$M437*(1-IF(ISNUMBER($K437),$K437,0)/100),$M437))</f>
        <v/>
      </c>
      <c r="P437" s="9" t="str">
        <f aca="false">IF(OR(NOT(ISNUMBER($O437)),NOT(ISNUMBER($N437)),NOT(ISNUMBER($F437))),"",$O437*($N437/100)*$F437*10)</f>
        <v/>
      </c>
      <c r="Q437" s="9" t="str">
        <f aca="false">IF(OR(NOT(ISNUMBER($D437)),NOT(ISNUMBER($E437))),"",MAX(0,MIN($E437,SOIL_REPORTING_DEPTH_CM)-MIN($D437,SOIL_REPORTING_DEPTH_CM)))</f>
        <v/>
      </c>
      <c r="R437" s="9" t="str">
        <f aca="false">IF(OR(NOT(ISNUMBER($O437)),NOT(ISNUMBER($N437)),NOT(ISNUMBER($Q437))),"",$O437*($N437/100)*$Q437*10)</f>
        <v/>
      </c>
      <c r="S437" s="11" t="str">
        <f aca="false">IF(AND($A437="",$B437="",$D437=""),"",IF(AND($A437&lt;&gt;"",COUNTIF('1. Plot &amp; Site Log'!$A$5:$A$64,$A437)=0),"Plot ID not in the Plot &amp; Site Log. ","")&amp;IF(AND(ISNUMBER($D437),ISNUMBER($E437),$E437&lt;=$D437),"Bottom depth is not below top depth. ","")&amp;IF($L437="Not confirmed","Bulk-density basis not confirmed with the lab — the coarse-fragment correction may be wrong or doubled. ","")&amp;IF(LAB_BULK_DENSITY_BASIS="Not confirmed","No lab bulk-density basis is on file in Settings (LAB_BULK_DENSITY_BASIS), so nothing checks this row. ","")&amp;IF(AND($L437&lt;&gt;"",LAB_BULK_DENSITY_BASIS&lt;&gt;"Not confirmed",$L437&lt;&gt;LAB_BULK_DENSITY_BASIS),"This row's bulk-density basis disagrees with the lab method on file. One of "&amp;"the two is wrong, and the coarse-fragment correction follows the row. ","")&amp;IF(AND(ISNUMBER($M437),OR($M437&lt;QC_BD_MIN,$M437&gt;QC_BD_MAX)),"Bulk density outside the plausible range for a mineral grassland soil. ","")&amp;IF(AND(ISNUMBER($N437),$N437&gt;QC_CARBON_PCT_MAX),"Organic carbon above the QC ceiling — check units, and whether this is an organic horizon. ","")&amp;IF(AND(ISNUMBER($J437),$J437&lt;QC_RECOVERY_MIN),"Recovered less than the QC minimum of the depth driven — the increments may not sit where you think. Do NOT stretch them back out. ","")&amp;IF(AND(ISNUMBER($K437),$K437&gt;0,$L437="Fine earth / total volume"),"Coarse fragments recorded and the lab basis already accounts for them — no further correction applied, which is correct. ",""))</f>
        <v/>
      </c>
      <c r="T437" s="6"/>
      <c r="U437" s="9" t="n">
        <f aca="false">IF($B437="",0,IF(COUNTIFS($B$5:$B437,$B437)=1,1,0))</f>
        <v>0</v>
      </c>
    </row>
    <row r="438" customFormat="false" ht="15" hidden="false" customHeight="false" outlineLevel="0" collapsed="false">
      <c r="A438" s="6"/>
      <c r="B438" s="6"/>
      <c r="C438" s="6"/>
      <c r="D438" s="6"/>
      <c r="E438" s="6"/>
      <c r="F438" s="9" t="str">
        <f aca="false">IF(OR($D438="",$E438=""),"",$E438-$D438)</f>
        <v/>
      </c>
      <c r="G438" s="6"/>
      <c r="H438" s="6"/>
      <c r="I438" s="6"/>
      <c r="J438" s="9" t="str">
        <f aca="false">IF(OR(NOT(ISNUMBER($H438)),NOT(ISNUMBER($I438)),$H438=0),"",$I438/$H438)</f>
        <v/>
      </c>
      <c r="K438" s="6"/>
      <c r="L438" s="8"/>
      <c r="M438" s="7"/>
      <c r="N438" s="7"/>
      <c r="O438" s="9" t="str">
        <f aca="false">IF(NOT(ISNUMBER($M438)),"",IF($L438="Fine earth / fine-earth volume",$M438*(1-IF(ISNUMBER($K438),$K438,0)/100),$M438))</f>
        <v/>
      </c>
      <c r="P438" s="9" t="str">
        <f aca="false">IF(OR(NOT(ISNUMBER($O438)),NOT(ISNUMBER($N438)),NOT(ISNUMBER($F438))),"",$O438*($N438/100)*$F438*10)</f>
        <v/>
      </c>
      <c r="Q438" s="9" t="str">
        <f aca="false">IF(OR(NOT(ISNUMBER($D438)),NOT(ISNUMBER($E438))),"",MAX(0,MIN($E438,SOIL_REPORTING_DEPTH_CM)-MIN($D438,SOIL_REPORTING_DEPTH_CM)))</f>
        <v/>
      </c>
      <c r="R438" s="9" t="str">
        <f aca="false">IF(OR(NOT(ISNUMBER($O438)),NOT(ISNUMBER($N438)),NOT(ISNUMBER($Q438))),"",$O438*($N438/100)*$Q438*10)</f>
        <v/>
      </c>
      <c r="S438" s="11" t="str">
        <f aca="false">IF(AND($A438="",$B438="",$D438=""),"",IF(AND($A438&lt;&gt;"",COUNTIF('1. Plot &amp; Site Log'!$A$5:$A$64,$A438)=0),"Plot ID not in the Plot &amp; Site Log. ","")&amp;IF(AND(ISNUMBER($D438),ISNUMBER($E438),$E438&lt;=$D438),"Bottom depth is not below top depth. ","")&amp;IF($L438="Not confirmed","Bulk-density basis not confirmed with the lab — the coarse-fragment correction may be wrong or doubled. ","")&amp;IF(LAB_BULK_DENSITY_BASIS="Not confirmed","No lab bulk-density basis is on file in Settings (LAB_BULK_DENSITY_BASIS), so nothing checks this row. ","")&amp;IF(AND($L438&lt;&gt;"",LAB_BULK_DENSITY_BASIS&lt;&gt;"Not confirmed",$L438&lt;&gt;LAB_BULK_DENSITY_BASIS),"This row's bulk-density basis disagrees with the lab method on file. One of "&amp;"the two is wrong, and the coarse-fragment correction follows the row. ","")&amp;IF(AND(ISNUMBER($M438),OR($M438&lt;QC_BD_MIN,$M438&gt;QC_BD_MAX)),"Bulk density outside the plausible range for a mineral grassland soil. ","")&amp;IF(AND(ISNUMBER($N438),$N438&gt;QC_CARBON_PCT_MAX),"Organic carbon above the QC ceiling — check units, and whether this is an organic horizon. ","")&amp;IF(AND(ISNUMBER($J438),$J438&lt;QC_RECOVERY_MIN),"Recovered less than the QC minimum of the depth driven — the increments may not sit where you think. Do NOT stretch them back out. ","")&amp;IF(AND(ISNUMBER($K438),$K438&gt;0,$L438="Fine earth / total volume"),"Coarse fragments recorded and the lab basis already accounts for them — no further correction applied, which is correct. ",""))</f>
        <v/>
      </c>
      <c r="T438" s="6"/>
      <c r="U438" s="9" t="n">
        <f aca="false">IF($B438="",0,IF(COUNTIFS($B$5:$B438,$B438)=1,1,0))</f>
        <v>0</v>
      </c>
    </row>
    <row r="439" customFormat="false" ht="15" hidden="false" customHeight="false" outlineLevel="0" collapsed="false">
      <c r="A439" s="6"/>
      <c r="B439" s="6"/>
      <c r="C439" s="6"/>
      <c r="D439" s="6"/>
      <c r="E439" s="6"/>
      <c r="F439" s="9" t="str">
        <f aca="false">IF(OR($D439="",$E439=""),"",$E439-$D439)</f>
        <v/>
      </c>
      <c r="G439" s="6"/>
      <c r="H439" s="6"/>
      <c r="I439" s="6"/>
      <c r="J439" s="9" t="str">
        <f aca="false">IF(OR(NOT(ISNUMBER($H439)),NOT(ISNUMBER($I439)),$H439=0),"",$I439/$H439)</f>
        <v/>
      </c>
      <c r="K439" s="6"/>
      <c r="L439" s="8"/>
      <c r="M439" s="7"/>
      <c r="N439" s="7"/>
      <c r="O439" s="9" t="str">
        <f aca="false">IF(NOT(ISNUMBER($M439)),"",IF($L439="Fine earth / fine-earth volume",$M439*(1-IF(ISNUMBER($K439),$K439,0)/100),$M439))</f>
        <v/>
      </c>
      <c r="P439" s="9" t="str">
        <f aca="false">IF(OR(NOT(ISNUMBER($O439)),NOT(ISNUMBER($N439)),NOT(ISNUMBER($F439))),"",$O439*($N439/100)*$F439*10)</f>
        <v/>
      </c>
      <c r="Q439" s="9" t="str">
        <f aca="false">IF(OR(NOT(ISNUMBER($D439)),NOT(ISNUMBER($E439))),"",MAX(0,MIN($E439,SOIL_REPORTING_DEPTH_CM)-MIN($D439,SOIL_REPORTING_DEPTH_CM)))</f>
        <v/>
      </c>
      <c r="R439" s="9" t="str">
        <f aca="false">IF(OR(NOT(ISNUMBER($O439)),NOT(ISNUMBER($N439)),NOT(ISNUMBER($Q439))),"",$O439*($N439/100)*$Q439*10)</f>
        <v/>
      </c>
      <c r="S439" s="11" t="str">
        <f aca="false">IF(AND($A439="",$B439="",$D439=""),"",IF(AND($A439&lt;&gt;"",COUNTIF('1. Plot &amp; Site Log'!$A$5:$A$64,$A439)=0),"Plot ID not in the Plot &amp; Site Log. ","")&amp;IF(AND(ISNUMBER($D439),ISNUMBER($E439),$E439&lt;=$D439),"Bottom depth is not below top depth. ","")&amp;IF($L439="Not confirmed","Bulk-density basis not confirmed with the lab — the coarse-fragment correction may be wrong or doubled. ","")&amp;IF(LAB_BULK_DENSITY_BASIS="Not confirmed","No lab bulk-density basis is on file in Settings (LAB_BULK_DENSITY_BASIS), so nothing checks this row. ","")&amp;IF(AND($L439&lt;&gt;"",LAB_BULK_DENSITY_BASIS&lt;&gt;"Not confirmed",$L439&lt;&gt;LAB_BULK_DENSITY_BASIS),"This row's bulk-density basis disagrees with the lab method on file. One of "&amp;"the two is wrong, and the coarse-fragment correction follows the row. ","")&amp;IF(AND(ISNUMBER($M439),OR($M439&lt;QC_BD_MIN,$M439&gt;QC_BD_MAX)),"Bulk density outside the plausible range for a mineral grassland soil. ","")&amp;IF(AND(ISNUMBER($N439),$N439&gt;QC_CARBON_PCT_MAX),"Organic carbon above the QC ceiling — check units, and whether this is an organic horizon. ","")&amp;IF(AND(ISNUMBER($J439),$J439&lt;QC_RECOVERY_MIN),"Recovered less than the QC minimum of the depth driven — the increments may not sit where you think. Do NOT stretch them back out. ","")&amp;IF(AND(ISNUMBER($K439),$K439&gt;0,$L439="Fine earth / total volume"),"Coarse fragments recorded and the lab basis already accounts for them — no further correction applied, which is correct. ",""))</f>
        <v/>
      </c>
      <c r="T439" s="6"/>
      <c r="U439" s="9" t="n">
        <f aca="false">IF($B439="",0,IF(COUNTIFS($B$5:$B439,$B439)=1,1,0))</f>
        <v>0</v>
      </c>
    </row>
    <row r="440" customFormat="false" ht="15" hidden="false" customHeight="false" outlineLevel="0" collapsed="false">
      <c r="A440" s="6"/>
      <c r="B440" s="6"/>
      <c r="C440" s="6"/>
      <c r="D440" s="6"/>
      <c r="E440" s="6"/>
      <c r="F440" s="9" t="str">
        <f aca="false">IF(OR($D440="",$E440=""),"",$E440-$D440)</f>
        <v/>
      </c>
      <c r="G440" s="6"/>
      <c r="H440" s="6"/>
      <c r="I440" s="6"/>
      <c r="J440" s="9" t="str">
        <f aca="false">IF(OR(NOT(ISNUMBER($H440)),NOT(ISNUMBER($I440)),$H440=0),"",$I440/$H440)</f>
        <v/>
      </c>
      <c r="K440" s="6"/>
      <c r="L440" s="8"/>
      <c r="M440" s="7"/>
      <c r="N440" s="7"/>
      <c r="O440" s="9" t="str">
        <f aca="false">IF(NOT(ISNUMBER($M440)),"",IF($L440="Fine earth / fine-earth volume",$M440*(1-IF(ISNUMBER($K440),$K440,0)/100),$M440))</f>
        <v/>
      </c>
      <c r="P440" s="9" t="str">
        <f aca="false">IF(OR(NOT(ISNUMBER($O440)),NOT(ISNUMBER($N440)),NOT(ISNUMBER($F440))),"",$O440*($N440/100)*$F440*10)</f>
        <v/>
      </c>
      <c r="Q440" s="9" t="str">
        <f aca="false">IF(OR(NOT(ISNUMBER($D440)),NOT(ISNUMBER($E440))),"",MAX(0,MIN($E440,SOIL_REPORTING_DEPTH_CM)-MIN($D440,SOIL_REPORTING_DEPTH_CM)))</f>
        <v/>
      </c>
      <c r="R440" s="9" t="str">
        <f aca="false">IF(OR(NOT(ISNUMBER($O440)),NOT(ISNUMBER($N440)),NOT(ISNUMBER($Q440))),"",$O440*($N440/100)*$Q440*10)</f>
        <v/>
      </c>
      <c r="S440" s="11" t="str">
        <f aca="false">IF(AND($A440="",$B440="",$D440=""),"",IF(AND($A440&lt;&gt;"",COUNTIF('1. Plot &amp; Site Log'!$A$5:$A$64,$A440)=0),"Plot ID not in the Plot &amp; Site Log. ","")&amp;IF(AND(ISNUMBER($D440),ISNUMBER($E440),$E440&lt;=$D440),"Bottom depth is not below top depth. ","")&amp;IF($L440="Not confirmed","Bulk-density basis not confirmed with the lab — the coarse-fragment correction may be wrong or doubled. ","")&amp;IF(LAB_BULK_DENSITY_BASIS="Not confirmed","No lab bulk-density basis is on file in Settings (LAB_BULK_DENSITY_BASIS), so nothing checks this row. ","")&amp;IF(AND($L440&lt;&gt;"",LAB_BULK_DENSITY_BASIS&lt;&gt;"Not confirmed",$L440&lt;&gt;LAB_BULK_DENSITY_BASIS),"This row's bulk-density basis disagrees with the lab method on file. One of "&amp;"the two is wrong, and the coarse-fragment correction follows the row. ","")&amp;IF(AND(ISNUMBER($M440),OR($M440&lt;QC_BD_MIN,$M440&gt;QC_BD_MAX)),"Bulk density outside the plausible range for a mineral grassland soil. ","")&amp;IF(AND(ISNUMBER($N440),$N440&gt;QC_CARBON_PCT_MAX),"Organic carbon above the QC ceiling — check units, and whether this is an organic horizon. ","")&amp;IF(AND(ISNUMBER($J440),$J440&lt;QC_RECOVERY_MIN),"Recovered less than the QC minimum of the depth driven — the increments may not sit where you think. Do NOT stretch them back out. ","")&amp;IF(AND(ISNUMBER($K440),$K440&gt;0,$L440="Fine earth / total volume"),"Coarse fragments recorded and the lab basis already accounts for them — no further correction applied, which is correct. ",""))</f>
        <v/>
      </c>
      <c r="T440" s="6"/>
      <c r="U440" s="9" t="n">
        <f aca="false">IF($B440="",0,IF(COUNTIFS($B$5:$B440,$B440)=1,1,0))</f>
        <v>0</v>
      </c>
    </row>
    <row r="441" customFormat="false" ht="15" hidden="false" customHeight="false" outlineLevel="0" collapsed="false">
      <c r="A441" s="6"/>
      <c r="B441" s="6"/>
      <c r="C441" s="6"/>
      <c r="D441" s="6"/>
      <c r="E441" s="6"/>
      <c r="F441" s="9" t="str">
        <f aca="false">IF(OR($D441="",$E441=""),"",$E441-$D441)</f>
        <v/>
      </c>
      <c r="G441" s="6"/>
      <c r="H441" s="6"/>
      <c r="I441" s="6"/>
      <c r="J441" s="9" t="str">
        <f aca="false">IF(OR(NOT(ISNUMBER($H441)),NOT(ISNUMBER($I441)),$H441=0),"",$I441/$H441)</f>
        <v/>
      </c>
      <c r="K441" s="6"/>
      <c r="L441" s="8"/>
      <c r="M441" s="7"/>
      <c r="N441" s="7"/>
      <c r="O441" s="9" t="str">
        <f aca="false">IF(NOT(ISNUMBER($M441)),"",IF($L441="Fine earth / fine-earth volume",$M441*(1-IF(ISNUMBER($K441),$K441,0)/100),$M441))</f>
        <v/>
      </c>
      <c r="P441" s="9" t="str">
        <f aca="false">IF(OR(NOT(ISNUMBER($O441)),NOT(ISNUMBER($N441)),NOT(ISNUMBER($F441))),"",$O441*($N441/100)*$F441*10)</f>
        <v/>
      </c>
      <c r="Q441" s="9" t="str">
        <f aca="false">IF(OR(NOT(ISNUMBER($D441)),NOT(ISNUMBER($E441))),"",MAX(0,MIN($E441,SOIL_REPORTING_DEPTH_CM)-MIN($D441,SOIL_REPORTING_DEPTH_CM)))</f>
        <v/>
      </c>
      <c r="R441" s="9" t="str">
        <f aca="false">IF(OR(NOT(ISNUMBER($O441)),NOT(ISNUMBER($N441)),NOT(ISNUMBER($Q441))),"",$O441*($N441/100)*$Q441*10)</f>
        <v/>
      </c>
      <c r="S441" s="11" t="str">
        <f aca="false">IF(AND($A441="",$B441="",$D441=""),"",IF(AND($A441&lt;&gt;"",COUNTIF('1. Plot &amp; Site Log'!$A$5:$A$64,$A441)=0),"Plot ID not in the Plot &amp; Site Log. ","")&amp;IF(AND(ISNUMBER($D441),ISNUMBER($E441),$E441&lt;=$D441),"Bottom depth is not below top depth. ","")&amp;IF($L441="Not confirmed","Bulk-density basis not confirmed with the lab — the coarse-fragment correction may be wrong or doubled. ","")&amp;IF(LAB_BULK_DENSITY_BASIS="Not confirmed","No lab bulk-density basis is on file in Settings (LAB_BULK_DENSITY_BASIS), so nothing checks this row. ","")&amp;IF(AND($L441&lt;&gt;"",LAB_BULK_DENSITY_BASIS&lt;&gt;"Not confirmed",$L441&lt;&gt;LAB_BULK_DENSITY_BASIS),"This row's bulk-density basis disagrees with the lab method on file. One of "&amp;"the two is wrong, and the coarse-fragment correction follows the row. ","")&amp;IF(AND(ISNUMBER($M441),OR($M441&lt;QC_BD_MIN,$M441&gt;QC_BD_MAX)),"Bulk density outside the plausible range for a mineral grassland soil. ","")&amp;IF(AND(ISNUMBER($N441),$N441&gt;QC_CARBON_PCT_MAX),"Organic carbon above the QC ceiling — check units, and whether this is an organic horizon. ","")&amp;IF(AND(ISNUMBER($J441),$J441&lt;QC_RECOVERY_MIN),"Recovered less than the QC minimum of the depth driven — the increments may not sit where you think. Do NOT stretch them back out. ","")&amp;IF(AND(ISNUMBER($K441),$K441&gt;0,$L441="Fine earth / total volume"),"Coarse fragments recorded and the lab basis already accounts for them — no further correction applied, which is correct. ",""))</f>
        <v/>
      </c>
      <c r="T441" s="6"/>
      <c r="U441" s="9" t="n">
        <f aca="false">IF($B441="",0,IF(COUNTIFS($B$5:$B441,$B441)=1,1,0))</f>
        <v>0</v>
      </c>
    </row>
    <row r="442" customFormat="false" ht="15" hidden="false" customHeight="false" outlineLevel="0" collapsed="false">
      <c r="A442" s="6"/>
      <c r="B442" s="6"/>
      <c r="C442" s="6"/>
      <c r="D442" s="6"/>
      <c r="E442" s="6"/>
      <c r="F442" s="9" t="str">
        <f aca="false">IF(OR($D442="",$E442=""),"",$E442-$D442)</f>
        <v/>
      </c>
      <c r="G442" s="6"/>
      <c r="H442" s="6"/>
      <c r="I442" s="6"/>
      <c r="J442" s="9" t="str">
        <f aca="false">IF(OR(NOT(ISNUMBER($H442)),NOT(ISNUMBER($I442)),$H442=0),"",$I442/$H442)</f>
        <v/>
      </c>
      <c r="K442" s="6"/>
      <c r="L442" s="8"/>
      <c r="M442" s="7"/>
      <c r="N442" s="7"/>
      <c r="O442" s="9" t="str">
        <f aca="false">IF(NOT(ISNUMBER($M442)),"",IF($L442="Fine earth / fine-earth volume",$M442*(1-IF(ISNUMBER($K442),$K442,0)/100),$M442))</f>
        <v/>
      </c>
      <c r="P442" s="9" t="str">
        <f aca="false">IF(OR(NOT(ISNUMBER($O442)),NOT(ISNUMBER($N442)),NOT(ISNUMBER($F442))),"",$O442*($N442/100)*$F442*10)</f>
        <v/>
      </c>
      <c r="Q442" s="9" t="str">
        <f aca="false">IF(OR(NOT(ISNUMBER($D442)),NOT(ISNUMBER($E442))),"",MAX(0,MIN($E442,SOIL_REPORTING_DEPTH_CM)-MIN($D442,SOIL_REPORTING_DEPTH_CM)))</f>
        <v/>
      </c>
      <c r="R442" s="9" t="str">
        <f aca="false">IF(OR(NOT(ISNUMBER($O442)),NOT(ISNUMBER($N442)),NOT(ISNUMBER($Q442))),"",$O442*($N442/100)*$Q442*10)</f>
        <v/>
      </c>
      <c r="S442" s="11" t="str">
        <f aca="false">IF(AND($A442="",$B442="",$D442=""),"",IF(AND($A442&lt;&gt;"",COUNTIF('1. Plot &amp; Site Log'!$A$5:$A$64,$A442)=0),"Plot ID not in the Plot &amp; Site Log. ","")&amp;IF(AND(ISNUMBER($D442),ISNUMBER($E442),$E442&lt;=$D442),"Bottom depth is not below top depth. ","")&amp;IF($L442="Not confirmed","Bulk-density basis not confirmed with the lab — the coarse-fragment correction may be wrong or doubled. ","")&amp;IF(LAB_BULK_DENSITY_BASIS="Not confirmed","No lab bulk-density basis is on file in Settings (LAB_BULK_DENSITY_BASIS), so nothing checks this row. ","")&amp;IF(AND($L442&lt;&gt;"",LAB_BULK_DENSITY_BASIS&lt;&gt;"Not confirmed",$L442&lt;&gt;LAB_BULK_DENSITY_BASIS),"This row's bulk-density basis disagrees with the lab method on file. One of "&amp;"the two is wrong, and the coarse-fragment correction follows the row. ","")&amp;IF(AND(ISNUMBER($M442),OR($M442&lt;QC_BD_MIN,$M442&gt;QC_BD_MAX)),"Bulk density outside the plausible range for a mineral grassland soil. ","")&amp;IF(AND(ISNUMBER($N442),$N442&gt;QC_CARBON_PCT_MAX),"Organic carbon above the QC ceiling — check units, and whether this is an organic horizon. ","")&amp;IF(AND(ISNUMBER($J442),$J442&lt;QC_RECOVERY_MIN),"Recovered less than the QC minimum of the depth driven — the increments may not sit where you think. Do NOT stretch them back out. ","")&amp;IF(AND(ISNUMBER($K442),$K442&gt;0,$L442="Fine earth / total volume"),"Coarse fragments recorded and the lab basis already accounts for them — no further correction applied, which is correct. ",""))</f>
        <v/>
      </c>
      <c r="T442" s="6"/>
      <c r="U442" s="9" t="n">
        <f aca="false">IF($B442="",0,IF(COUNTIFS($B$5:$B442,$B442)=1,1,0))</f>
        <v>0</v>
      </c>
    </row>
    <row r="443" customFormat="false" ht="15" hidden="false" customHeight="false" outlineLevel="0" collapsed="false">
      <c r="A443" s="6"/>
      <c r="B443" s="6"/>
      <c r="C443" s="6"/>
      <c r="D443" s="6"/>
      <c r="E443" s="6"/>
      <c r="F443" s="9" t="str">
        <f aca="false">IF(OR($D443="",$E443=""),"",$E443-$D443)</f>
        <v/>
      </c>
      <c r="G443" s="6"/>
      <c r="H443" s="6"/>
      <c r="I443" s="6"/>
      <c r="J443" s="9" t="str">
        <f aca="false">IF(OR(NOT(ISNUMBER($H443)),NOT(ISNUMBER($I443)),$H443=0),"",$I443/$H443)</f>
        <v/>
      </c>
      <c r="K443" s="6"/>
      <c r="L443" s="8"/>
      <c r="M443" s="7"/>
      <c r="N443" s="7"/>
      <c r="O443" s="9" t="str">
        <f aca="false">IF(NOT(ISNUMBER($M443)),"",IF($L443="Fine earth / fine-earth volume",$M443*(1-IF(ISNUMBER($K443),$K443,0)/100),$M443))</f>
        <v/>
      </c>
      <c r="P443" s="9" t="str">
        <f aca="false">IF(OR(NOT(ISNUMBER($O443)),NOT(ISNUMBER($N443)),NOT(ISNUMBER($F443))),"",$O443*($N443/100)*$F443*10)</f>
        <v/>
      </c>
      <c r="Q443" s="9" t="str">
        <f aca="false">IF(OR(NOT(ISNUMBER($D443)),NOT(ISNUMBER($E443))),"",MAX(0,MIN($E443,SOIL_REPORTING_DEPTH_CM)-MIN($D443,SOIL_REPORTING_DEPTH_CM)))</f>
        <v/>
      </c>
      <c r="R443" s="9" t="str">
        <f aca="false">IF(OR(NOT(ISNUMBER($O443)),NOT(ISNUMBER($N443)),NOT(ISNUMBER($Q443))),"",$O443*($N443/100)*$Q443*10)</f>
        <v/>
      </c>
      <c r="S443" s="11" t="str">
        <f aca="false">IF(AND($A443="",$B443="",$D443=""),"",IF(AND($A443&lt;&gt;"",COUNTIF('1. Plot &amp; Site Log'!$A$5:$A$64,$A443)=0),"Plot ID not in the Plot &amp; Site Log. ","")&amp;IF(AND(ISNUMBER($D443),ISNUMBER($E443),$E443&lt;=$D443),"Bottom depth is not below top depth. ","")&amp;IF($L443="Not confirmed","Bulk-density basis not confirmed with the lab — the coarse-fragment correction may be wrong or doubled. ","")&amp;IF(LAB_BULK_DENSITY_BASIS="Not confirmed","No lab bulk-density basis is on file in Settings (LAB_BULK_DENSITY_BASIS), so nothing checks this row. ","")&amp;IF(AND($L443&lt;&gt;"",LAB_BULK_DENSITY_BASIS&lt;&gt;"Not confirmed",$L443&lt;&gt;LAB_BULK_DENSITY_BASIS),"This row's bulk-density basis disagrees with the lab method on file. One of "&amp;"the two is wrong, and the coarse-fragment correction follows the row. ","")&amp;IF(AND(ISNUMBER($M443),OR($M443&lt;QC_BD_MIN,$M443&gt;QC_BD_MAX)),"Bulk density outside the plausible range for a mineral grassland soil. ","")&amp;IF(AND(ISNUMBER($N443),$N443&gt;QC_CARBON_PCT_MAX),"Organic carbon above the QC ceiling — check units, and whether this is an organic horizon. ","")&amp;IF(AND(ISNUMBER($J443),$J443&lt;QC_RECOVERY_MIN),"Recovered less than the QC minimum of the depth driven — the increments may not sit where you think. Do NOT stretch them back out. ","")&amp;IF(AND(ISNUMBER($K443),$K443&gt;0,$L443="Fine earth / total volume"),"Coarse fragments recorded and the lab basis already accounts for them — no further correction applied, which is correct. ",""))</f>
        <v/>
      </c>
      <c r="T443" s="6"/>
      <c r="U443" s="9" t="n">
        <f aca="false">IF($B443="",0,IF(COUNTIFS($B$5:$B443,$B443)=1,1,0))</f>
        <v>0</v>
      </c>
    </row>
    <row r="444" customFormat="false" ht="15" hidden="false" customHeight="false" outlineLevel="0" collapsed="false">
      <c r="A444" s="6"/>
      <c r="B444" s="6"/>
      <c r="C444" s="6"/>
      <c r="D444" s="6"/>
      <c r="E444" s="6"/>
      <c r="F444" s="9" t="str">
        <f aca="false">IF(OR($D444="",$E444=""),"",$E444-$D444)</f>
        <v/>
      </c>
      <c r="G444" s="6"/>
      <c r="H444" s="6"/>
      <c r="I444" s="6"/>
      <c r="J444" s="9" t="str">
        <f aca="false">IF(OR(NOT(ISNUMBER($H444)),NOT(ISNUMBER($I444)),$H444=0),"",$I444/$H444)</f>
        <v/>
      </c>
      <c r="K444" s="6"/>
      <c r="L444" s="8"/>
      <c r="M444" s="7"/>
      <c r="N444" s="7"/>
      <c r="O444" s="9" t="str">
        <f aca="false">IF(NOT(ISNUMBER($M444)),"",IF($L444="Fine earth / fine-earth volume",$M444*(1-IF(ISNUMBER($K444),$K444,0)/100),$M444))</f>
        <v/>
      </c>
      <c r="P444" s="9" t="str">
        <f aca="false">IF(OR(NOT(ISNUMBER($O444)),NOT(ISNUMBER($N444)),NOT(ISNUMBER($F444))),"",$O444*($N444/100)*$F444*10)</f>
        <v/>
      </c>
      <c r="Q444" s="9" t="str">
        <f aca="false">IF(OR(NOT(ISNUMBER($D444)),NOT(ISNUMBER($E444))),"",MAX(0,MIN($E444,SOIL_REPORTING_DEPTH_CM)-MIN($D444,SOIL_REPORTING_DEPTH_CM)))</f>
        <v/>
      </c>
      <c r="R444" s="9" t="str">
        <f aca="false">IF(OR(NOT(ISNUMBER($O444)),NOT(ISNUMBER($N444)),NOT(ISNUMBER($Q444))),"",$O444*($N444/100)*$Q444*10)</f>
        <v/>
      </c>
      <c r="S444" s="11" t="str">
        <f aca="false">IF(AND($A444="",$B444="",$D444=""),"",IF(AND($A444&lt;&gt;"",COUNTIF('1. Plot &amp; Site Log'!$A$5:$A$64,$A444)=0),"Plot ID not in the Plot &amp; Site Log. ","")&amp;IF(AND(ISNUMBER($D444),ISNUMBER($E444),$E444&lt;=$D444),"Bottom depth is not below top depth. ","")&amp;IF($L444="Not confirmed","Bulk-density basis not confirmed with the lab — the coarse-fragment correction may be wrong or doubled. ","")&amp;IF(LAB_BULK_DENSITY_BASIS="Not confirmed","No lab bulk-density basis is on file in Settings (LAB_BULK_DENSITY_BASIS), so nothing checks this row. ","")&amp;IF(AND($L444&lt;&gt;"",LAB_BULK_DENSITY_BASIS&lt;&gt;"Not confirmed",$L444&lt;&gt;LAB_BULK_DENSITY_BASIS),"This row's bulk-density basis disagrees with the lab method on file. One of "&amp;"the two is wrong, and the coarse-fragment correction follows the row. ","")&amp;IF(AND(ISNUMBER($M444),OR($M444&lt;QC_BD_MIN,$M444&gt;QC_BD_MAX)),"Bulk density outside the plausible range for a mineral grassland soil. ","")&amp;IF(AND(ISNUMBER($N444),$N444&gt;QC_CARBON_PCT_MAX),"Organic carbon above the QC ceiling — check units, and whether this is an organic horizon. ","")&amp;IF(AND(ISNUMBER($J444),$J444&lt;QC_RECOVERY_MIN),"Recovered less than the QC minimum of the depth driven — the increments may not sit where you think. Do NOT stretch them back out. ","")&amp;IF(AND(ISNUMBER($K444),$K444&gt;0,$L444="Fine earth / total volume"),"Coarse fragments recorded and the lab basis already accounts for them — no further correction applied, which is correct. ",""))</f>
        <v/>
      </c>
      <c r="T444" s="6"/>
      <c r="U444" s="9" t="n">
        <f aca="false">IF($B444="",0,IF(COUNTIFS($B$5:$B444,$B444)=1,1,0))</f>
        <v>0</v>
      </c>
    </row>
    <row r="445" customFormat="false" ht="15" hidden="false" customHeight="false" outlineLevel="0" collapsed="false">
      <c r="A445" s="6"/>
      <c r="B445" s="6"/>
      <c r="C445" s="6"/>
      <c r="D445" s="6"/>
      <c r="E445" s="6"/>
      <c r="F445" s="9" t="str">
        <f aca="false">IF(OR($D445="",$E445=""),"",$E445-$D445)</f>
        <v/>
      </c>
      <c r="G445" s="6"/>
      <c r="H445" s="6"/>
      <c r="I445" s="6"/>
      <c r="J445" s="9" t="str">
        <f aca="false">IF(OR(NOT(ISNUMBER($H445)),NOT(ISNUMBER($I445)),$H445=0),"",$I445/$H445)</f>
        <v/>
      </c>
      <c r="K445" s="6"/>
      <c r="L445" s="8"/>
      <c r="M445" s="7"/>
      <c r="N445" s="7"/>
      <c r="O445" s="9" t="str">
        <f aca="false">IF(NOT(ISNUMBER($M445)),"",IF($L445="Fine earth / fine-earth volume",$M445*(1-IF(ISNUMBER($K445),$K445,0)/100),$M445))</f>
        <v/>
      </c>
      <c r="P445" s="9" t="str">
        <f aca="false">IF(OR(NOT(ISNUMBER($O445)),NOT(ISNUMBER($N445)),NOT(ISNUMBER($F445))),"",$O445*($N445/100)*$F445*10)</f>
        <v/>
      </c>
      <c r="Q445" s="9" t="str">
        <f aca="false">IF(OR(NOT(ISNUMBER($D445)),NOT(ISNUMBER($E445))),"",MAX(0,MIN($E445,SOIL_REPORTING_DEPTH_CM)-MIN($D445,SOIL_REPORTING_DEPTH_CM)))</f>
        <v/>
      </c>
      <c r="R445" s="9" t="str">
        <f aca="false">IF(OR(NOT(ISNUMBER($O445)),NOT(ISNUMBER($N445)),NOT(ISNUMBER($Q445))),"",$O445*($N445/100)*$Q445*10)</f>
        <v/>
      </c>
      <c r="S445" s="11" t="str">
        <f aca="false">IF(AND($A445="",$B445="",$D445=""),"",IF(AND($A445&lt;&gt;"",COUNTIF('1. Plot &amp; Site Log'!$A$5:$A$64,$A445)=0),"Plot ID not in the Plot &amp; Site Log. ","")&amp;IF(AND(ISNUMBER($D445),ISNUMBER($E445),$E445&lt;=$D445),"Bottom depth is not below top depth. ","")&amp;IF($L445="Not confirmed","Bulk-density basis not confirmed with the lab — the coarse-fragment correction may be wrong or doubled. ","")&amp;IF(LAB_BULK_DENSITY_BASIS="Not confirmed","No lab bulk-density basis is on file in Settings (LAB_BULK_DENSITY_BASIS), so nothing checks this row. ","")&amp;IF(AND($L445&lt;&gt;"",LAB_BULK_DENSITY_BASIS&lt;&gt;"Not confirmed",$L445&lt;&gt;LAB_BULK_DENSITY_BASIS),"This row's bulk-density basis disagrees with the lab method on file. One of "&amp;"the two is wrong, and the coarse-fragment correction follows the row. ","")&amp;IF(AND(ISNUMBER($M445),OR($M445&lt;QC_BD_MIN,$M445&gt;QC_BD_MAX)),"Bulk density outside the plausible range for a mineral grassland soil. ","")&amp;IF(AND(ISNUMBER($N445),$N445&gt;QC_CARBON_PCT_MAX),"Organic carbon above the QC ceiling — check units, and whether this is an organic horizon. ","")&amp;IF(AND(ISNUMBER($J445),$J445&lt;QC_RECOVERY_MIN),"Recovered less than the QC minimum of the depth driven — the increments may not sit where you think. Do NOT stretch them back out. ","")&amp;IF(AND(ISNUMBER($K445),$K445&gt;0,$L445="Fine earth / total volume"),"Coarse fragments recorded and the lab basis already accounts for them — no further correction applied, which is correct. ",""))</f>
        <v/>
      </c>
      <c r="T445" s="6"/>
      <c r="U445" s="9" t="n">
        <f aca="false">IF($B445="",0,IF(COUNTIFS($B$5:$B445,$B445)=1,1,0))</f>
        <v>0</v>
      </c>
    </row>
    <row r="446" customFormat="false" ht="15" hidden="false" customHeight="false" outlineLevel="0" collapsed="false">
      <c r="A446" s="6"/>
      <c r="B446" s="6"/>
      <c r="C446" s="6"/>
      <c r="D446" s="6"/>
      <c r="E446" s="6"/>
      <c r="F446" s="9" t="str">
        <f aca="false">IF(OR($D446="",$E446=""),"",$E446-$D446)</f>
        <v/>
      </c>
      <c r="G446" s="6"/>
      <c r="H446" s="6"/>
      <c r="I446" s="6"/>
      <c r="J446" s="9" t="str">
        <f aca="false">IF(OR(NOT(ISNUMBER($H446)),NOT(ISNUMBER($I446)),$H446=0),"",$I446/$H446)</f>
        <v/>
      </c>
      <c r="K446" s="6"/>
      <c r="L446" s="8"/>
      <c r="M446" s="7"/>
      <c r="N446" s="7"/>
      <c r="O446" s="9" t="str">
        <f aca="false">IF(NOT(ISNUMBER($M446)),"",IF($L446="Fine earth / fine-earth volume",$M446*(1-IF(ISNUMBER($K446),$K446,0)/100),$M446))</f>
        <v/>
      </c>
      <c r="P446" s="9" t="str">
        <f aca="false">IF(OR(NOT(ISNUMBER($O446)),NOT(ISNUMBER($N446)),NOT(ISNUMBER($F446))),"",$O446*($N446/100)*$F446*10)</f>
        <v/>
      </c>
      <c r="Q446" s="9" t="str">
        <f aca="false">IF(OR(NOT(ISNUMBER($D446)),NOT(ISNUMBER($E446))),"",MAX(0,MIN($E446,SOIL_REPORTING_DEPTH_CM)-MIN($D446,SOIL_REPORTING_DEPTH_CM)))</f>
        <v/>
      </c>
      <c r="R446" s="9" t="str">
        <f aca="false">IF(OR(NOT(ISNUMBER($O446)),NOT(ISNUMBER($N446)),NOT(ISNUMBER($Q446))),"",$O446*($N446/100)*$Q446*10)</f>
        <v/>
      </c>
      <c r="S446" s="11" t="str">
        <f aca="false">IF(AND($A446="",$B446="",$D446=""),"",IF(AND($A446&lt;&gt;"",COUNTIF('1. Plot &amp; Site Log'!$A$5:$A$64,$A446)=0),"Plot ID not in the Plot &amp; Site Log. ","")&amp;IF(AND(ISNUMBER($D446),ISNUMBER($E446),$E446&lt;=$D446),"Bottom depth is not below top depth. ","")&amp;IF($L446="Not confirmed","Bulk-density basis not confirmed with the lab — the coarse-fragment correction may be wrong or doubled. ","")&amp;IF(LAB_BULK_DENSITY_BASIS="Not confirmed","No lab bulk-density basis is on file in Settings (LAB_BULK_DENSITY_BASIS), so nothing checks this row. ","")&amp;IF(AND($L446&lt;&gt;"",LAB_BULK_DENSITY_BASIS&lt;&gt;"Not confirmed",$L446&lt;&gt;LAB_BULK_DENSITY_BASIS),"This row's bulk-density basis disagrees with the lab method on file. One of "&amp;"the two is wrong, and the coarse-fragment correction follows the row. ","")&amp;IF(AND(ISNUMBER($M446),OR($M446&lt;QC_BD_MIN,$M446&gt;QC_BD_MAX)),"Bulk density outside the plausible range for a mineral grassland soil. ","")&amp;IF(AND(ISNUMBER($N446),$N446&gt;QC_CARBON_PCT_MAX),"Organic carbon above the QC ceiling — check units, and whether this is an organic horizon. ","")&amp;IF(AND(ISNUMBER($J446),$J446&lt;QC_RECOVERY_MIN),"Recovered less than the QC minimum of the depth driven — the increments may not sit where you think. Do NOT stretch them back out. ","")&amp;IF(AND(ISNUMBER($K446),$K446&gt;0,$L446="Fine earth / total volume"),"Coarse fragments recorded and the lab basis already accounts for them — no further correction applied, which is correct. ",""))</f>
        <v/>
      </c>
      <c r="T446" s="6"/>
      <c r="U446" s="9" t="n">
        <f aca="false">IF($B446="",0,IF(COUNTIFS($B$5:$B446,$B446)=1,1,0))</f>
        <v>0</v>
      </c>
    </row>
    <row r="447" customFormat="false" ht="15" hidden="false" customHeight="false" outlineLevel="0" collapsed="false">
      <c r="A447" s="6"/>
      <c r="B447" s="6"/>
      <c r="C447" s="6"/>
      <c r="D447" s="6"/>
      <c r="E447" s="6"/>
      <c r="F447" s="9" t="str">
        <f aca="false">IF(OR($D447="",$E447=""),"",$E447-$D447)</f>
        <v/>
      </c>
      <c r="G447" s="6"/>
      <c r="H447" s="6"/>
      <c r="I447" s="6"/>
      <c r="J447" s="9" t="str">
        <f aca="false">IF(OR(NOT(ISNUMBER($H447)),NOT(ISNUMBER($I447)),$H447=0),"",$I447/$H447)</f>
        <v/>
      </c>
      <c r="K447" s="6"/>
      <c r="L447" s="8"/>
      <c r="M447" s="7"/>
      <c r="N447" s="7"/>
      <c r="O447" s="9" t="str">
        <f aca="false">IF(NOT(ISNUMBER($M447)),"",IF($L447="Fine earth / fine-earth volume",$M447*(1-IF(ISNUMBER($K447),$K447,0)/100),$M447))</f>
        <v/>
      </c>
      <c r="P447" s="9" t="str">
        <f aca="false">IF(OR(NOT(ISNUMBER($O447)),NOT(ISNUMBER($N447)),NOT(ISNUMBER($F447))),"",$O447*($N447/100)*$F447*10)</f>
        <v/>
      </c>
      <c r="Q447" s="9" t="str">
        <f aca="false">IF(OR(NOT(ISNUMBER($D447)),NOT(ISNUMBER($E447))),"",MAX(0,MIN($E447,SOIL_REPORTING_DEPTH_CM)-MIN($D447,SOIL_REPORTING_DEPTH_CM)))</f>
        <v/>
      </c>
      <c r="R447" s="9" t="str">
        <f aca="false">IF(OR(NOT(ISNUMBER($O447)),NOT(ISNUMBER($N447)),NOT(ISNUMBER($Q447))),"",$O447*($N447/100)*$Q447*10)</f>
        <v/>
      </c>
      <c r="S447" s="11" t="str">
        <f aca="false">IF(AND($A447="",$B447="",$D447=""),"",IF(AND($A447&lt;&gt;"",COUNTIF('1. Plot &amp; Site Log'!$A$5:$A$64,$A447)=0),"Plot ID not in the Plot &amp; Site Log. ","")&amp;IF(AND(ISNUMBER($D447),ISNUMBER($E447),$E447&lt;=$D447),"Bottom depth is not below top depth. ","")&amp;IF($L447="Not confirmed","Bulk-density basis not confirmed with the lab — the coarse-fragment correction may be wrong or doubled. ","")&amp;IF(LAB_BULK_DENSITY_BASIS="Not confirmed","No lab bulk-density basis is on file in Settings (LAB_BULK_DENSITY_BASIS), so nothing checks this row. ","")&amp;IF(AND($L447&lt;&gt;"",LAB_BULK_DENSITY_BASIS&lt;&gt;"Not confirmed",$L447&lt;&gt;LAB_BULK_DENSITY_BASIS),"This row's bulk-density basis disagrees with the lab method on file. One of "&amp;"the two is wrong, and the coarse-fragment correction follows the row. ","")&amp;IF(AND(ISNUMBER($M447),OR($M447&lt;QC_BD_MIN,$M447&gt;QC_BD_MAX)),"Bulk density outside the plausible range for a mineral grassland soil. ","")&amp;IF(AND(ISNUMBER($N447),$N447&gt;QC_CARBON_PCT_MAX),"Organic carbon above the QC ceiling — check units, and whether this is an organic horizon. ","")&amp;IF(AND(ISNUMBER($J447),$J447&lt;QC_RECOVERY_MIN),"Recovered less than the QC minimum of the depth driven — the increments may not sit where you think. Do NOT stretch them back out. ","")&amp;IF(AND(ISNUMBER($K447),$K447&gt;0,$L447="Fine earth / total volume"),"Coarse fragments recorded and the lab basis already accounts for them — no further correction applied, which is correct. ",""))</f>
        <v/>
      </c>
      <c r="T447" s="6"/>
      <c r="U447" s="9" t="n">
        <f aca="false">IF($B447="",0,IF(COUNTIFS($B$5:$B447,$B447)=1,1,0))</f>
        <v>0</v>
      </c>
    </row>
    <row r="448" customFormat="false" ht="15" hidden="false" customHeight="false" outlineLevel="0" collapsed="false">
      <c r="A448" s="6"/>
      <c r="B448" s="6"/>
      <c r="C448" s="6"/>
      <c r="D448" s="6"/>
      <c r="E448" s="6"/>
      <c r="F448" s="9" t="str">
        <f aca="false">IF(OR($D448="",$E448=""),"",$E448-$D448)</f>
        <v/>
      </c>
      <c r="G448" s="6"/>
      <c r="H448" s="6"/>
      <c r="I448" s="6"/>
      <c r="J448" s="9" t="str">
        <f aca="false">IF(OR(NOT(ISNUMBER($H448)),NOT(ISNUMBER($I448)),$H448=0),"",$I448/$H448)</f>
        <v/>
      </c>
      <c r="K448" s="6"/>
      <c r="L448" s="8"/>
      <c r="M448" s="7"/>
      <c r="N448" s="7"/>
      <c r="O448" s="9" t="str">
        <f aca="false">IF(NOT(ISNUMBER($M448)),"",IF($L448="Fine earth / fine-earth volume",$M448*(1-IF(ISNUMBER($K448),$K448,0)/100),$M448))</f>
        <v/>
      </c>
      <c r="P448" s="9" t="str">
        <f aca="false">IF(OR(NOT(ISNUMBER($O448)),NOT(ISNUMBER($N448)),NOT(ISNUMBER($F448))),"",$O448*($N448/100)*$F448*10)</f>
        <v/>
      </c>
      <c r="Q448" s="9" t="str">
        <f aca="false">IF(OR(NOT(ISNUMBER($D448)),NOT(ISNUMBER($E448))),"",MAX(0,MIN($E448,SOIL_REPORTING_DEPTH_CM)-MIN($D448,SOIL_REPORTING_DEPTH_CM)))</f>
        <v/>
      </c>
      <c r="R448" s="9" t="str">
        <f aca="false">IF(OR(NOT(ISNUMBER($O448)),NOT(ISNUMBER($N448)),NOT(ISNUMBER($Q448))),"",$O448*($N448/100)*$Q448*10)</f>
        <v/>
      </c>
      <c r="S448" s="11" t="str">
        <f aca="false">IF(AND($A448="",$B448="",$D448=""),"",IF(AND($A448&lt;&gt;"",COUNTIF('1. Plot &amp; Site Log'!$A$5:$A$64,$A448)=0),"Plot ID not in the Plot &amp; Site Log. ","")&amp;IF(AND(ISNUMBER($D448),ISNUMBER($E448),$E448&lt;=$D448),"Bottom depth is not below top depth. ","")&amp;IF($L448="Not confirmed","Bulk-density basis not confirmed with the lab — the coarse-fragment correction may be wrong or doubled. ","")&amp;IF(LAB_BULK_DENSITY_BASIS="Not confirmed","No lab bulk-density basis is on file in Settings (LAB_BULK_DENSITY_BASIS), so nothing checks this row. ","")&amp;IF(AND($L448&lt;&gt;"",LAB_BULK_DENSITY_BASIS&lt;&gt;"Not confirmed",$L448&lt;&gt;LAB_BULK_DENSITY_BASIS),"This row's bulk-density basis disagrees with the lab method on file. One of "&amp;"the two is wrong, and the coarse-fragment correction follows the row. ","")&amp;IF(AND(ISNUMBER($M448),OR($M448&lt;QC_BD_MIN,$M448&gt;QC_BD_MAX)),"Bulk density outside the plausible range for a mineral grassland soil. ","")&amp;IF(AND(ISNUMBER($N448),$N448&gt;QC_CARBON_PCT_MAX),"Organic carbon above the QC ceiling — check units, and whether this is an organic horizon. ","")&amp;IF(AND(ISNUMBER($J448),$J448&lt;QC_RECOVERY_MIN),"Recovered less than the QC minimum of the depth driven — the increments may not sit where you think. Do NOT stretch them back out. ","")&amp;IF(AND(ISNUMBER($K448),$K448&gt;0,$L448="Fine earth / total volume"),"Coarse fragments recorded and the lab basis already accounts for them — no further correction applied, which is correct. ",""))</f>
        <v/>
      </c>
      <c r="T448" s="6"/>
      <c r="U448" s="9" t="n">
        <f aca="false">IF($B448="",0,IF(COUNTIFS($B$5:$B448,$B448)=1,1,0))</f>
        <v>0</v>
      </c>
    </row>
    <row r="449" customFormat="false" ht="15" hidden="false" customHeight="false" outlineLevel="0" collapsed="false">
      <c r="A449" s="6"/>
      <c r="B449" s="6"/>
      <c r="C449" s="6"/>
      <c r="D449" s="6"/>
      <c r="E449" s="6"/>
      <c r="F449" s="9" t="str">
        <f aca="false">IF(OR($D449="",$E449=""),"",$E449-$D449)</f>
        <v/>
      </c>
      <c r="G449" s="6"/>
      <c r="H449" s="6"/>
      <c r="I449" s="6"/>
      <c r="J449" s="9" t="str">
        <f aca="false">IF(OR(NOT(ISNUMBER($H449)),NOT(ISNUMBER($I449)),$H449=0),"",$I449/$H449)</f>
        <v/>
      </c>
      <c r="K449" s="6"/>
      <c r="L449" s="8"/>
      <c r="M449" s="7"/>
      <c r="N449" s="7"/>
      <c r="O449" s="9" t="str">
        <f aca="false">IF(NOT(ISNUMBER($M449)),"",IF($L449="Fine earth / fine-earth volume",$M449*(1-IF(ISNUMBER($K449),$K449,0)/100),$M449))</f>
        <v/>
      </c>
      <c r="P449" s="9" t="str">
        <f aca="false">IF(OR(NOT(ISNUMBER($O449)),NOT(ISNUMBER($N449)),NOT(ISNUMBER($F449))),"",$O449*($N449/100)*$F449*10)</f>
        <v/>
      </c>
      <c r="Q449" s="9" t="str">
        <f aca="false">IF(OR(NOT(ISNUMBER($D449)),NOT(ISNUMBER($E449))),"",MAX(0,MIN($E449,SOIL_REPORTING_DEPTH_CM)-MIN($D449,SOIL_REPORTING_DEPTH_CM)))</f>
        <v/>
      </c>
      <c r="R449" s="9" t="str">
        <f aca="false">IF(OR(NOT(ISNUMBER($O449)),NOT(ISNUMBER($N449)),NOT(ISNUMBER($Q449))),"",$O449*($N449/100)*$Q449*10)</f>
        <v/>
      </c>
      <c r="S449" s="11" t="str">
        <f aca="false">IF(AND($A449="",$B449="",$D449=""),"",IF(AND($A449&lt;&gt;"",COUNTIF('1. Plot &amp; Site Log'!$A$5:$A$64,$A449)=0),"Plot ID not in the Plot &amp; Site Log. ","")&amp;IF(AND(ISNUMBER($D449),ISNUMBER($E449),$E449&lt;=$D449),"Bottom depth is not below top depth. ","")&amp;IF($L449="Not confirmed","Bulk-density basis not confirmed with the lab — the coarse-fragment correction may be wrong or doubled. ","")&amp;IF(LAB_BULK_DENSITY_BASIS="Not confirmed","No lab bulk-density basis is on file in Settings (LAB_BULK_DENSITY_BASIS), so nothing checks this row. ","")&amp;IF(AND($L449&lt;&gt;"",LAB_BULK_DENSITY_BASIS&lt;&gt;"Not confirmed",$L449&lt;&gt;LAB_BULK_DENSITY_BASIS),"This row's bulk-density basis disagrees with the lab method on file. One of "&amp;"the two is wrong, and the coarse-fragment correction follows the row. ","")&amp;IF(AND(ISNUMBER($M449),OR($M449&lt;QC_BD_MIN,$M449&gt;QC_BD_MAX)),"Bulk density outside the plausible range for a mineral grassland soil. ","")&amp;IF(AND(ISNUMBER($N449),$N449&gt;QC_CARBON_PCT_MAX),"Organic carbon above the QC ceiling — check units, and whether this is an organic horizon. ","")&amp;IF(AND(ISNUMBER($J449),$J449&lt;QC_RECOVERY_MIN),"Recovered less than the QC minimum of the depth driven — the increments may not sit where you think. Do NOT stretch them back out. ","")&amp;IF(AND(ISNUMBER($K449),$K449&gt;0,$L449="Fine earth / total volume"),"Coarse fragments recorded and the lab basis already accounts for them — no further correction applied, which is correct. ",""))</f>
        <v/>
      </c>
      <c r="T449" s="6"/>
      <c r="U449" s="9" t="n">
        <f aca="false">IF($B449="",0,IF(COUNTIFS($B$5:$B449,$B449)=1,1,0))</f>
        <v>0</v>
      </c>
    </row>
    <row r="450" customFormat="false" ht="15" hidden="false" customHeight="false" outlineLevel="0" collapsed="false">
      <c r="A450" s="6"/>
      <c r="B450" s="6"/>
      <c r="C450" s="6"/>
      <c r="D450" s="6"/>
      <c r="E450" s="6"/>
      <c r="F450" s="9" t="str">
        <f aca="false">IF(OR($D450="",$E450=""),"",$E450-$D450)</f>
        <v/>
      </c>
      <c r="G450" s="6"/>
      <c r="H450" s="6"/>
      <c r="I450" s="6"/>
      <c r="J450" s="9" t="str">
        <f aca="false">IF(OR(NOT(ISNUMBER($H450)),NOT(ISNUMBER($I450)),$H450=0),"",$I450/$H450)</f>
        <v/>
      </c>
      <c r="K450" s="6"/>
      <c r="L450" s="8"/>
      <c r="M450" s="7"/>
      <c r="N450" s="7"/>
      <c r="O450" s="9" t="str">
        <f aca="false">IF(NOT(ISNUMBER($M450)),"",IF($L450="Fine earth / fine-earth volume",$M450*(1-IF(ISNUMBER($K450),$K450,0)/100),$M450))</f>
        <v/>
      </c>
      <c r="P450" s="9" t="str">
        <f aca="false">IF(OR(NOT(ISNUMBER($O450)),NOT(ISNUMBER($N450)),NOT(ISNUMBER($F450))),"",$O450*($N450/100)*$F450*10)</f>
        <v/>
      </c>
      <c r="Q450" s="9" t="str">
        <f aca="false">IF(OR(NOT(ISNUMBER($D450)),NOT(ISNUMBER($E450))),"",MAX(0,MIN($E450,SOIL_REPORTING_DEPTH_CM)-MIN($D450,SOIL_REPORTING_DEPTH_CM)))</f>
        <v/>
      </c>
      <c r="R450" s="9" t="str">
        <f aca="false">IF(OR(NOT(ISNUMBER($O450)),NOT(ISNUMBER($N450)),NOT(ISNUMBER($Q450))),"",$O450*($N450/100)*$Q450*10)</f>
        <v/>
      </c>
      <c r="S450" s="11" t="str">
        <f aca="false">IF(AND($A450="",$B450="",$D450=""),"",IF(AND($A450&lt;&gt;"",COUNTIF('1. Plot &amp; Site Log'!$A$5:$A$64,$A450)=0),"Plot ID not in the Plot &amp; Site Log. ","")&amp;IF(AND(ISNUMBER($D450),ISNUMBER($E450),$E450&lt;=$D450),"Bottom depth is not below top depth. ","")&amp;IF($L450="Not confirmed","Bulk-density basis not confirmed with the lab — the coarse-fragment correction may be wrong or doubled. ","")&amp;IF(LAB_BULK_DENSITY_BASIS="Not confirmed","No lab bulk-density basis is on file in Settings (LAB_BULK_DENSITY_BASIS), so nothing checks this row. ","")&amp;IF(AND($L450&lt;&gt;"",LAB_BULK_DENSITY_BASIS&lt;&gt;"Not confirmed",$L450&lt;&gt;LAB_BULK_DENSITY_BASIS),"This row's bulk-density basis disagrees with the lab method on file. One of "&amp;"the two is wrong, and the coarse-fragment correction follows the row. ","")&amp;IF(AND(ISNUMBER($M450),OR($M450&lt;QC_BD_MIN,$M450&gt;QC_BD_MAX)),"Bulk density outside the plausible range for a mineral grassland soil. ","")&amp;IF(AND(ISNUMBER($N450),$N450&gt;QC_CARBON_PCT_MAX),"Organic carbon above the QC ceiling — check units, and whether this is an organic horizon. ","")&amp;IF(AND(ISNUMBER($J450),$J450&lt;QC_RECOVERY_MIN),"Recovered less than the QC minimum of the depth driven — the increments may not sit where you think. Do NOT stretch them back out. ","")&amp;IF(AND(ISNUMBER($K450),$K450&gt;0,$L450="Fine earth / total volume"),"Coarse fragments recorded and the lab basis already accounts for them — no further correction applied, which is correct. ",""))</f>
        <v/>
      </c>
      <c r="T450" s="6"/>
      <c r="U450" s="9" t="n">
        <f aca="false">IF($B450="",0,IF(COUNTIFS($B$5:$B450,$B450)=1,1,0))</f>
        <v>0</v>
      </c>
    </row>
    <row r="451" customFormat="false" ht="15" hidden="false" customHeight="false" outlineLevel="0" collapsed="false">
      <c r="A451" s="6"/>
      <c r="B451" s="6"/>
      <c r="C451" s="6"/>
      <c r="D451" s="6"/>
      <c r="E451" s="6"/>
      <c r="F451" s="9" t="str">
        <f aca="false">IF(OR($D451="",$E451=""),"",$E451-$D451)</f>
        <v/>
      </c>
      <c r="G451" s="6"/>
      <c r="H451" s="6"/>
      <c r="I451" s="6"/>
      <c r="J451" s="9" t="str">
        <f aca="false">IF(OR(NOT(ISNUMBER($H451)),NOT(ISNUMBER($I451)),$H451=0),"",$I451/$H451)</f>
        <v/>
      </c>
      <c r="K451" s="6"/>
      <c r="L451" s="8"/>
      <c r="M451" s="7"/>
      <c r="N451" s="7"/>
      <c r="O451" s="9" t="str">
        <f aca="false">IF(NOT(ISNUMBER($M451)),"",IF($L451="Fine earth / fine-earth volume",$M451*(1-IF(ISNUMBER($K451),$K451,0)/100),$M451))</f>
        <v/>
      </c>
      <c r="P451" s="9" t="str">
        <f aca="false">IF(OR(NOT(ISNUMBER($O451)),NOT(ISNUMBER($N451)),NOT(ISNUMBER($F451))),"",$O451*($N451/100)*$F451*10)</f>
        <v/>
      </c>
      <c r="Q451" s="9" t="str">
        <f aca="false">IF(OR(NOT(ISNUMBER($D451)),NOT(ISNUMBER($E451))),"",MAX(0,MIN($E451,SOIL_REPORTING_DEPTH_CM)-MIN($D451,SOIL_REPORTING_DEPTH_CM)))</f>
        <v/>
      </c>
      <c r="R451" s="9" t="str">
        <f aca="false">IF(OR(NOT(ISNUMBER($O451)),NOT(ISNUMBER($N451)),NOT(ISNUMBER($Q451))),"",$O451*($N451/100)*$Q451*10)</f>
        <v/>
      </c>
      <c r="S451" s="11" t="str">
        <f aca="false">IF(AND($A451="",$B451="",$D451=""),"",IF(AND($A451&lt;&gt;"",COUNTIF('1. Plot &amp; Site Log'!$A$5:$A$64,$A451)=0),"Plot ID not in the Plot &amp; Site Log. ","")&amp;IF(AND(ISNUMBER($D451),ISNUMBER($E451),$E451&lt;=$D451),"Bottom depth is not below top depth. ","")&amp;IF($L451="Not confirmed","Bulk-density basis not confirmed with the lab — the coarse-fragment correction may be wrong or doubled. ","")&amp;IF(LAB_BULK_DENSITY_BASIS="Not confirmed","No lab bulk-density basis is on file in Settings (LAB_BULK_DENSITY_BASIS), so nothing checks this row. ","")&amp;IF(AND($L451&lt;&gt;"",LAB_BULK_DENSITY_BASIS&lt;&gt;"Not confirmed",$L451&lt;&gt;LAB_BULK_DENSITY_BASIS),"This row's bulk-density basis disagrees with the lab method on file. One of "&amp;"the two is wrong, and the coarse-fragment correction follows the row. ","")&amp;IF(AND(ISNUMBER($M451),OR($M451&lt;QC_BD_MIN,$M451&gt;QC_BD_MAX)),"Bulk density outside the plausible range for a mineral grassland soil. ","")&amp;IF(AND(ISNUMBER($N451),$N451&gt;QC_CARBON_PCT_MAX),"Organic carbon above the QC ceiling — check units, and whether this is an organic horizon. ","")&amp;IF(AND(ISNUMBER($J451),$J451&lt;QC_RECOVERY_MIN),"Recovered less than the QC minimum of the depth driven — the increments may not sit where you think. Do NOT stretch them back out. ","")&amp;IF(AND(ISNUMBER($K451),$K451&gt;0,$L451="Fine earth / total volume"),"Coarse fragments recorded and the lab basis already accounts for them — no further correction applied, which is correct. ",""))</f>
        <v/>
      </c>
      <c r="T451" s="6"/>
      <c r="U451" s="9" t="n">
        <f aca="false">IF($B451="",0,IF(COUNTIFS($B$5:$B451,$B451)=1,1,0))</f>
        <v>0</v>
      </c>
    </row>
    <row r="452" customFormat="false" ht="15" hidden="false" customHeight="false" outlineLevel="0" collapsed="false">
      <c r="A452" s="6"/>
      <c r="B452" s="6"/>
      <c r="C452" s="6"/>
      <c r="D452" s="6"/>
      <c r="E452" s="6"/>
      <c r="F452" s="9" t="str">
        <f aca="false">IF(OR($D452="",$E452=""),"",$E452-$D452)</f>
        <v/>
      </c>
      <c r="G452" s="6"/>
      <c r="H452" s="6"/>
      <c r="I452" s="6"/>
      <c r="J452" s="9" t="str">
        <f aca="false">IF(OR(NOT(ISNUMBER($H452)),NOT(ISNUMBER($I452)),$H452=0),"",$I452/$H452)</f>
        <v/>
      </c>
      <c r="K452" s="6"/>
      <c r="L452" s="8"/>
      <c r="M452" s="7"/>
      <c r="N452" s="7"/>
      <c r="O452" s="9" t="str">
        <f aca="false">IF(NOT(ISNUMBER($M452)),"",IF($L452="Fine earth / fine-earth volume",$M452*(1-IF(ISNUMBER($K452),$K452,0)/100),$M452))</f>
        <v/>
      </c>
      <c r="P452" s="9" t="str">
        <f aca="false">IF(OR(NOT(ISNUMBER($O452)),NOT(ISNUMBER($N452)),NOT(ISNUMBER($F452))),"",$O452*($N452/100)*$F452*10)</f>
        <v/>
      </c>
      <c r="Q452" s="9" t="str">
        <f aca="false">IF(OR(NOT(ISNUMBER($D452)),NOT(ISNUMBER($E452))),"",MAX(0,MIN($E452,SOIL_REPORTING_DEPTH_CM)-MIN($D452,SOIL_REPORTING_DEPTH_CM)))</f>
        <v/>
      </c>
      <c r="R452" s="9" t="str">
        <f aca="false">IF(OR(NOT(ISNUMBER($O452)),NOT(ISNUMBER($N452)),NOT(ISNUMBER($Q452))),"",$O452*($N452/100)*$Q452*10)</f>
        <v/>
      </c>
      <c r="S452" s="11" t="str">
        <f aca="false">IF(AND($A452="",$B452="",$D452=""),"",IF(AND($A452&lt;&gt;"",COUNTIF('1. Plot &amp; Site Log'!$A$5:$A$64,$A452)=0),"Plot ID not in the Plot &amp; Site Log. ","")&amp;IF(AND(ISNUMBER($D452),ISNUMBER($E452),$E452&lt;=$D452),"Bottom depth is not below top depth. ","")&amp;IF($L452="Not confirmed","Bulk-density basis not confirmed with the lab — the coarse-fragment correction may be wrong or doubled. ","")&amp;IF(LAB_BULK_DENSITY_BASIS="Not confirmed","No lab bulk-density basis is on file in Settings (LAB_BULK_DENSITY_BASIS), so nothing checks this row. ","")&amp;IF(AND($L452&lt;&gt;"",LAB_BULK_DENSITY_BASIS&lt;&gt;"Not confirmed",$L452&lt;&gt;LAB_BULK_DENSITY_BASIS),"This row's bulk-density basis disagrees with the lab method on file. One of "&amp;"the two is wrong, and the coarse-fragment correction follows the row. ","")&amp;IF(AND(ISNUMBER($M452),OR($M452&lt;QC_BD_MIN,$M452&gt;QC_BD_MAX)),"Bulk density outside the plausible range for a mineral grassland soil. ","")&amp;IF(AND(ISNUMBER($N452),$N452&gt;QC_CARBON_PCT_MAX),"Organic carbon above the QC ceiling — check units, and whether this is an organic horizon. ","")&amp;IF(AND(ISNUMBER($J452),$J452&lt;QC_RECOVERY_MIN),"Recovered less than the QC minimum of the depth driven — the increments may not sit where you think. Do NOT stretch them back out. ","")&amp;IF(AND(ISNUMBER($K452),$K452&gt;0,$L452="Fine earth / total volume"),"Coarse fragments recorded and the lab basis already accounts for them — no further correction applied, which is correct. ",""))</f>
        <v/>
      </c>
      <c r="T452" s="6"/>
      <c r="U452" s="9" t="n">
        <f aca="false">IF($B452="",0,IF(COUNTIFS($B$5:$B452,$B452)=1,1,0))</f>
        <v>0</v>
      </c>
    </row>
    <row r="453" customFormat="false" ht="15" hidden="false" customHeight="false" outlineLevel="0" collapsed="false">
      <c r="A453" s="6"/>
      <c r="B453" s="6"/>
      <c r="C453" s="6"/>
      <c r="D453" s="6"/>
      <c r="E453" s="6"/>
      <c r="F453" s="9" t="str">
        <f aca="false">IF(OR($D453="",$E453=""),"",$E453-$D453)</f>
        <v/>
      </c>
      <c r="G453" s="6"/>
      <c r="H453" s="6"/>
      <c r="I453" s="6"/>
      <c r="J453" s="9" t="str">
        <f aca="false">IF(OR(NOT(ISNUMBER($H453)),NOT(ISNUMBER($I453)),$H453=0),"",$I453/$H453)</f>
        <v/>
      </c>
      <c r="K453" s="6"/>
      <c r="L453" s="8"/>
      <c r="M453" s="7"/>
      <c r="N453" s="7"/>
      <c r="O453" s="9" t="str">
        <f aca="false">IF(NOT(ISNUMBER($M453)),"",IF($L453="Fine earth / fine-earth volume",$M453*(1-IF(ISNUMBER($K453),$K453,0)/100),$M453))</f>
        <v/>
      </c>
      <c r="P453" s="9" t="str">
        <f aca="false">IF(OR(NOT(ISNUMBER($O453)),NOT(ISNUMBER($N453)),NOT(ISNUMBER($F453))),"",$O453*($N453/100)*$F453*10)</f>
        <v/>
      </c>
      <c r="Q453" s="9" t="str">
        <f aca="false">IF(OR(NOT(ISNUMBER($D453)),NOT(ISNUMBER($E453))),"",MAX(0,MIN($E453,SOIL_REPORTING_DEPTH_CM)-MIN($D453,SOIL_REPORTING_DEPTH_CM)))</f>
        <v/>
      </c>
      <c r="R453" s="9" t="str">
        <f aca="false">IF(OR(NOT(ISNUMBER($O453)),NOT(ISNUMBER($N453)),NOT(ISNUMBER($Q453))),"",$O453*($N453/100)*$Q453*10)</f>
        <v/>
      </c>
      <c r="S453" s="11" t="str">
        <f aca="false">IF(AND($A453="",$B453="",$D453=""),"",IF(AND($A453&lt;&gt;"",COUNTIF('1. Plot &amp; Site Log'!$A$5:$A$64,$A453)=0),"Plot ID not in the Plot &amp; Site Log. ","")&amp;IF(AND(ISNUMBER($D453),ISNUMBER($E453),$E453&lt;=$D453),"Bottom depth is not below top depth. ","")&amp;IF($L453="Not confirmed","Bulk-density basis not confirmed with the lab — the coarse-fragment correction may be wrong or doubled. ","")&amp;IF(LAB_BULK_DENSITY_BASIS="Not confirmed","No lab bulk-density basis is on file in Settings (LAB_BULK_DENSITY_BASIS), so nothing checks this row. ","")&amp;IF(AND($L453&lt;&gt;"",LAB_BULK_DENSITY_BASIS&lt;&gt;"Not confirmed",$L453&lt;&gt;LAB_BULK_DENSITY_BASIS),"This row's bulk-density basis disagrees with the lab method on file. One of "&amp;"the two is wrong, and the coarse-fragment correction follows the row. ","")&amp;IF(AND(ISNUMBER($M453),OR($M453&lt;QC_BD_MIN,$M453&gt;QC_BD_MAX)),"Bulk density outside the plausible range for a mineral grassland soil. ","")&amp;IF(AND(ISNUMBER($N453),$N453&gt;QC_CARBON_PCT_MAX),"Organic carbon above the QC ceiling — check units, and whether this is an organic horizon. ","")&amp;IF(AND(ISNUMBER($J453),$J453&lt;QC_RECOVERY_MIN),"Recovered less than the QC minimum of the depth driven — the increments may not sit where you think. Do NOT stretch them back out. ","")&amp;IF(AND(ISNUMBER($K453),$K453&gt;0,$L453="Fine earth / total volume"),"Coarse fragments recorded and the lab basis already accounts for them — no further correction applied, which is correct. ",""))</f>
        <v/>
      </c>
      <c r="T453" s="6"/>
      <c r="U453" s="9" t="n">
        <f aca="false">IF($B453="",0,IF(COUNTIFS($B$5:$B453,$B453)=1,1,0))</f>
        <v>0</v>
      </c>
    </row>
    <row r="454" customFormat="false" ht="15" hidden="false" customHeight="false" outlineLevel="0" collapsed="false">
      <c r="A454" s="6"/>
      <c r="B454" s="6"/>
      <c r="C454" s="6"/>
      <c r="D454" s="6"/>
      <c r="E454" s="6"/>
      <c r="F454" s="9" t="str">
        <f aca="false">IF(OR($D454="",$E454=""),"",$E454-$D454)</f>
        <v/>
      </c>
      <c r="G454" s="6"/>
      <c r="H454" s="6"/>
      <c r="I454" s="6"/>
      <c r="J454" s="9" t="str">
        <f aca="false">IF(OR(NOT(ISNUMBER($H454)),NOT(ISNUMBER($I454)),$H454=0),"",$I454/$H454)</f>
        <v/>
      </c>
      <c r="K454" s="6"/>
      <c r="L454" s="8"/>
      <c r="M454" s="7"/>
      <c r="N454" s="7"/>
      <c r="O454" s="9" t="str">
        <f aca="false">IF(NOT(ISNUMBER($M454)),"",IF($L454="Fine earth / fine-earth volume",$M454*(1-IF(ISNUMBER($K454),$K454,0)/100),$M454))</f>
        <v/>
      </c>
      <c r="P454" s="9" t="str">
        <f aca="false">IF(OR(NOT(ISNUMBER($O454)),NOT(ISNUMBER($N454)),NOT(ISNUMBER($F454))),"",$O454*($N454/100)*$F454*10)</f>
        <v/>
      </c>
      <c r="Q454" s="9" t="str">
        <f aca="false">IF(OR(NOT(ISNUMBER($D454)),NOT(ISNUMBER($E454))),"",MAX(0,MIN($E454,SOIL_REPORTING_DEPTH_CM)-MIN($D454,SOIL_REPORTING_DEPTH_CM)))</f>
        <v/>
      </c>
      <c r="R454" s="9" t="str">
        <f aca="false">IF(OR(NOT(ISNUMBER($O454)),NOT(ISNUMBER($N454)),NOT(ISNUMBER($Q454))),"",$O454*($N454/100)*$Q454*10)</f>
        <v/>
      </c>
      <c r="S454" s="11" t="str">
        <f aca="false">IF(AND($A454="",$B454="",$D454=""),"",IF(AND($A454&lt;&gt;"",COUNTIF('1. Plot &amp; Site Log'!$A$5:$A$64,$A454)=0),"Plot ID not in the Plot &amp; Site Log. ","")&amp;IF(AND(ISNUMBER($D454),ISNUMBER($E454),$E454&lt;=$D454),"Bottom depth is not below top depth. ","")&amp;IF($L454="Not confirmed","Bulk-density basis not confirmed with the lab — the coarse-fragment correction may be wrong or doubled. ","")&amp;IF(LAB_BULK_DENSITY_BASIS="Not confirmed","No lab bulk-density basis is on file in Settings (LAB_BULK_DENSITY_BASIS), so nothing checks this row. ","")&amp;IF(AND($L454&lt;&gt;"",LAB_BULK_DENSITY_BASIS&lt;&gt;"Not confirmed",$L454&lt;&gt;LAB_BULK_DENSITY_BASIS),"This row's bulk-density basis disagrees with the lab method on file. One of "&amp;"the two is wrong, and the coarse-fragment correction follows the row. ","")&amp;IF(AND(ISNUMBER($M454),OR($M454&lt;QC_BD_MIN,$M454&gt;QC_BD_MAX)),"Bulk density outside the plausible range for a mineral grassland soil. ","")&amp;IF(AND(ISNUMBER($N454),$N454&gt;QC_CARBON_PCT_MAX),"Organic carbon above the QC ceiling — check units, and whether this is an organic horizon. ","")&amp;IF(AND(ISNUMBER($J454),$J454&lt;QC_RECOVERY_MIN),"Recovered less than the QC minimum of the depth driven — the increments may not sit where you think. Do NOT stretch them back out. ","")&amp;IF(AND(ISNUMBER($K454),$K454&gt;0,$L454="Fine earth / total volume"),"Coarse fragments recorded and the lab basis already accounts for them — no further correction applied, which is correct. ",""))</f>
        <v/>
      </c>
      <c r="T454" s="6"/>
      <c r="U454" s="9" t="n">
        <f aca="false">IF($B454="",0,IF(COUNTIFS($B$5:$B454,$B454)=1,1,0))</f>
        <v>0</v>
      </c>
    </row>
    <row r="455" customFormat="false" ht="15" hidden="false" customHeight="false" outlineLevel="0" collapsed="false">
      <c r="A455" s="6"/>
      <c r="B455" s="6"/>
      <c r="C455" s="6"/>
      <c r="D455" s="6"/>
      <c r="E455" s="6"/>
      <c r="F455" s="9" t="str">
        <f aca="false">IF(OR($D455="",$E455=""),"",$E455-$D455)</f>
        <v/>
      </c>
      <c r="G455" s="6"/>
      <c r="H455" s="6"/>
      <c r="I455" s="6"/>
      <c r="J455" s="9" t="str">
        <f aca="false">IF(OR(NOT(ISNUMBER($H455)),NOT(ISNUMBER($I455)),$H455=0),"",$I455/$H455)</f>
        <v/>
      </c>
      <c r="K455" s="6"/>
      <c r="L455" s="8"/>
      <c r="M455" s="7"/>
      <c r="N455" s="7"/>
      <c r="O455" s="9" t="str">
        <f aca="false">IF(NOT(ISNUMBER($M455)),"",IF($L455="Fine earth / fine-earth volume",$M455*(1-IF(ISNUMBER($K455),$K455,0)/100),$M455))</f>
        <v/>
      </c>
      <c r="P455" s="9" t="str">
        <f aca="false">IF(OR(NOT(ISNUMBER($O455)),NOT(ISNUMBER($N455)),NOT(ISNUMBER($F455))),"",$O455*($N455/100)*$F455*10)</f>
        <v/>
      </c>
      <c r="Q455" s="9" t="str">
        <f aca="false">IF(OR(NOT(ISNUMBER($D455)),NOT(ISNUMBER($E455))),"",MAX(0,MIN($E455,SOIL_REPORTING_DEPTH_CM)-MIN($D455,SOIL_REPORTING_DEPTH_CM)))</f>
        <v/>
      </c>
      <c r="R455" s="9" t="str">
        <f aca="false">IF(OR(NOT(ISNUMBER($O455)),NOT(ISNUMBER($N455)),NOT(ISNUMBER($Q455))),"",$O455*($N455/100)*$Q455*10)</f>
        <v/>
      </c>
      <c r="S455" s="11" t="str">
        <f aca="false">IF(AND($A455="",$B455="",$D455=""),"",IF(AND($A455&lt;&gt;"",COUNTIF('1. Plot &amp; Site Log'!$A$5:$A$64,$A455)=0),"Plot ID not in the Plot &amp; Site Log. ","")&amp;IF(AND(ISNUMBER($D455),ISNUMBER($E455),$E455&lt;=$D455),"Bottom depth is not below top depth. ","")&amp;IF($L455="Not confirmed","Bulk-density basis not confirmed with the lab — the coarse-fragment correction may be wrong or doubled. ","")&amp;IF(LAB_BULK_DENSITY_BASIS="Not confirmed","No lab bulk-density basis is on file in Settings (LAB_BULK_DENSITY_BASIS), so nothing checks this row. ","")&amp;IF(AND($L455&lt;&gt;"",LAB_BULK_DENSITY_BASIS&lt;&gt;"Not confirmed",$L455&lt;&gt;LAB_BULK_DENSITY_BASIS),"This row's bulk-density basis disagrees with the lab method on file. One of "&amp;"the two is wrong, and the coarse-fragment correction follows the row. ","")&amp;IF(AND(ISNUMBER($M455),OR($M455&lt;QC_BD_MIN,$M455&gt;QC_BD_MAX)),"Bulk density outside the plausible range for a mineral grassland soil. ","")&amp;IF(AND(ISNUMBER($N455),$N455&gt;QC_CARBON_PCT_MAX),"Organic carbon above the QC ceiling — check units, and whether this is an organic horizon. ","")&amp;IF(AND(ISNUMBER($J455),$J455&lt;QC_RECOVERY_MIN),"Recovered less than the QC minimum of the depth driven — the increments may not sit where you think. Do NOT stretch them back out. ","")&amp;IF(AND(ISNUMBER($K455),$K455&gt;0,$L455="Fine earth / total volume"),"Coarse fragments recorded and the lab basis already accounts for them — no further correction applied, which is correct. ",""))</f>
        <v/>
      </c>
      <c r="T455" s="6"/>
      <c r="U455" s="9" t="n">
        <f aca="false">IF($B455="",0,IF(COUNTIFS($B$5:$B455,$B455)=1,1,0))</f>
        <v>0</v>
      </c>
    </row>
    <row r="456" customFormat="false" ht="15" hidden="false" customHeight="false" outlineLevel="0" collapsed="false">
      <c r="A456" s="6"/>
      <c r="B456" s="6"/>
      <c r="C456" s="6"/>
      <c r="D456" s="6"/>
      <c r="E456" s="6"/>
      <c r="F456" s="9" t="str">
        <f aca="false">IF(OR($D456="",$E456=""),"",$E456-$D456)</f>
        <v/>
      </c>
      <c r="G456" s="6"/>
      <c r="H456" s="6"/>
      <c r="I456" s="6"/>
      <c r="J456" s="9" t="str">
        <f aca="false">IF(OR(NOT(ISNUMBER($H456)),NOT(ISNUMBER($I456)),$H456=0),"",$I456/$H456)</f>
        <v/>
      </c>
      <c r="K456" s="6"/>
      <c r="L456" s="8"/>
      <c r="M456" s="7"/>
      <c r="N456" s="7"/>
      <c r="O456" s="9" t="str">
        <f aca="false">IF(NOT(ISNUMBER($M456)),"",IF($L456="Fine earth / fine-earth volume",$M456*(1-IF(ISNUMBER($K456),$K456,0)/100),$M456))</f>
        <v/>
      </c>
      <c r="P456" s="9" t="str">
        <f aca="false">IF(OR(NOT(ISNUMBER($O456)),NOT(ISNUMBER($N456)),NOT(ISNUMBER($F456))),"",$O456*($N456/100)*$F456*10)</f>
        <v/>
      </c>
      <c r="Q456" s="9" t="str">
        <f aca="false">IF(OR(NOT(ISNUMBER($D456)),NOT(ISNUMBER($E456))),"",MAX(0,MIN($E456,SOIL_REPORTING_DEPTH_CM)-MIN($D456,SOIL_REPORTING_DEPTH_CM)))</f>
        <v/>
      </c>
      <c r="R456" s="9" t="str">
        <f aca="false">IF(OR(NOT(ISNUMBER($O456)),NOT(ISNUMBER($N456)),NOT(ISNUMBER($Q456))),"",$O456*($N456/100)*$Q456*10)</f>
        <v/>
      </c>
      <c r="S456" s="11" t="str">
        <f aca="false">IF(AND($A456="",$B456="",$D456=""),"",IF(AND($A456&lt;&gt;"",COUNTIF('1. Plot &amp; Site Log'!$A$5:$A$64,$A456)=0),"Plot ID not in the Plot &amp; Site Log. ","")&amp;IF(AND(ISNUMBER($D456),ISNUMBER($E456),$E456&lt;=$D456),"Bottom depth is not below top depth. ","")&amp;IF($L456="Not confirmed","Bulk-density basis not confirmed with the lab — the coarse-fragment correction may be wrong or doubled. ","")&amp;IF(LAB_BULK_DENSITY_BASIS="Not confirmed","No lab bulk-density basis is on file in Settings (LAB_BULK_DENSITY_BASIS), so nothing checks this row. ","")&amp;IF(AND($L456&lt;&gt;"",LAB_BULK_DENSITY_BASIS&lt;&gt;"Not confirmed",$L456&lt;&gt;LAB_BULK_DENSITY_BASIS),"This row's bulk-density basis disagrees with the lab method on file. One of "&amp;"the two is wrong, and the coarse-fragment correction follows the row. ","")&amp;IF(AND(ISNUMBER($M456),OR($M456&lt;QC_BD_MIN,$M456&gt;QC_BD_MAX)),"Bulk density outside the plausible range for a mineral grassland soil. ","")&amp;IF(AND(ISNUMBER($N456),$N456&gt;QC_CARBON_PCT_MAX),"Organic carbon above the QC ceiling — check units, and whether this is an organic horizon. ","")&amp;IF(AND(ISNUMBER($J456),$J456&lt;QC_RECOVERY_MIN),"Recovered less than the QC minimum of the depth driven — the increments may not sit where you think. Do NOT stretch them back out. ","")&amp;IF(AND(ISNUMBER($K456),$K456&gt;0,$L456="Fine earth / total volume"),"Coarse fragments recorded and the lab basis already accounts for them — no further correction applied, which is correct. ",""))</f>
        <v/>
      </c>
      <c r="T456" s="6"/>
      <c r="U456" s="9" t="n">
        <f aca="false">IF($B456="",0,IF(COUNTIFS($B$5:$B456,$B456)=1,1,0))</f>
        <v>0</v>
      </c>
    </row>
    <row r="457" customFormat="false" ht="15" hidden="false" customHeight="false" outlineLevel="0" collapsed="false">
      <c r="A457" s="6"/>
      <c r="B457" s="6"/>
      <c r="C457" s="6"/>
      <c r="D457" s="6"/>
      <c r="E457" s="6"/>
      <c r="F457" s="9" t="str">
        <f aca="false">IF(OR($D457="",$E457=""),"",$E457-$D457)</f>
        <v/>
      </c>
      <c r="G457" s="6"/>
      <c r="H457" s="6"/>
      <c r="I457" s="6"/>
      <c r="J457" s="9" t="str">
        <f aca="false">IF(OR(NOT(ISNUMBER($H457)),NOT(ISNUMBER($I457)),$H457=0),"",$I457/$H457)</f>
        <v/>
      </c>
      <c r="K457" s="6"/>
      <c r="L457" s="8"/>
      <c r="M457" s="7"/>
      <c r="N457" s="7"/>
      <c r="O457" s="9" t="str">
        <f aca="false">IF(NOT(ISNUMBER($M457)),"",IF($L457="Fine earth / fine-earth volume",$M457*(1-IF(ISNUMBER($K457),$K457,0)/100),$M457))</f>
        <v/>
      </c>
      <c r="P457" s="9" t="str">
        <f aca="false">IF(OR(NOT(ISNUMBER($O457)),NOT(ISNUMBER($N457)),NOT(ISNUMBER($F457))),"",$O457*($N457/100)*$F457*10)</f>
        <v/>
      </c>
      <c r="Q457" s="9" t="str">
        <f aca="false">IF(OR(NOT(ISNUMBER($D457)),NOT(ISNUMBER($E457))),"",MAX(0,MIN($E457,SOIL_REPORTING_DEPTH_CM)-MIN($D457,SOIL_REPORTING_DEPTH_CM)))</f>
        <v/>
      </c>
      <c r="R457" s="9" t="str">
        <f aca="false">IF(OR(NOT(ISNUMBER($O457)),NOT(ISNUMBER($N457)),NOT(ISNUMBER($Q457))),"",$O457*($N457/100)*$Q457*10)</f>
        <v/>
      </c>
      <c r="S457" s="11" t="str">
        <f aca="false">IF(AND($A457="",$B457="",$D457=""),"",IF(AND($A457&lt;&gt;"",COUNTIF('1. Plot &amp; Site Log'!$A$5:$A$64,$A457)=0),"Plot ID not in the Plot &amp; Site Log. ","")&amp;IF(AND(ISNUMBER($D457),ISNUMBER($E457),$E457&lt;=$D457),"Bottom depth is not below top depth. ","")&amp;IF($L457="Not confirmed","Bulk-density basis not confirmed with the lab — the coarse-fragment correction may be wrong or doubled. ","")&amp;IF(LAB_BULK_DENSITY_BASIS="Not confirmed","No lab bulk-density basis is on file in Settings (LAB_BULK_DENSITY_BASIS), so nothing checks this row. ","")&amp;IF(AND($L457&lt;&gt;"",LAB_BULK_DENSITY_BASIS&lt;&gt;"Not confirmed",$L457&lt;&gt;LAB_BULK_DENSITY_BASIS),"This row's bulk-density basis disagrees with the lab method on file. One of "&amp;"the two is wrong, and the coarse-fragment correction follows the row. ","")&amp;IF(AND(ISNUMBER($M457),OR($M457&lt;QC_BD_MIN,$M457&gt;QC_BD_MAX)),"Bulk density outside the plausible range for a mineral grassland soil. ","")&amp;IF(AND(ISNUMBER($N457),$N457&gt;QC_CARBON_PCT_MAX),"Organic carbon above the QC ceiling — check units, and whether this is an organic horizon. ","")&amp;IF(AND(ISNUMBER($J457),$J457&lt;QC_RECOVERY_MIN),"Recovered less than the QC minimum of the depth driven — the increments may not sit where you think. Do NOT stretch them back out. ","")&amp;IF(AND(ISNUMBER($K457),$K457&gt;0,$L457="Fine earth / total volume"),"Coarse fragments recorded and the lab basis already accounts for them — no further correction applied, which is correct. ",""))</f>
        <v/>
      </c>
      <c r="T457" s="6"/>
      <c r="U457" s="9" t="n">
        <f aca="false">IF($B457="",0,IF(COUNTIFS($B$5:$B457,$B457)=1,1,0))</f>
        <v>0</v>
      </c>
    </row>
    <row r="458" customFormat="false" ht="15" hidden="false" customHeight="false" outlineLevel="0" collapsed="false">
      <c r="A458" s="6"/>
      <c r="B458" s="6"/>
      <c r="C458" s="6"/>
      <c r="D458" s="6"/>
      <c r="E458" s="6"/>
      <c r="F458" s="9" t="str">
        <f aca="false">IF(OR($D458="",$E458=""),"",$E458-$D458)</f>
        <v/>
      </c>
      <c r="G458" s="6"/>
      <c r="H458" s="6"/>
      <c r="I458" s="6"/>
      <c r="J458" s="9" t="str">
        <f aca="false">IF(OR(NOT(ISNUMBER($H458)),NOT(ISNUMBER($I458)),$H458=0),"",$I458/$H458)</f>
        <v/>
      </c>
      <c r="K458" s="6"/>
      <c r="L458" s="8"/>
      <c r="M458" s="7"/>
      <c r="N458" s="7"/>
      <c r="O458" s="9" t="str">
        <f aca="false">IF(NOT(ISNUMBER($M458)),"",IF($L458="Fine earth / fine-earth volume",$M458*(1-IF(ISNUMBER($K458),$K458,0)/100),$M458))</f>
        <v/>
      </c>
      <c r="P458" s="9" t="str">
        <f aca="false">IF(OR(NOT(ISNUMBER($O458)),NOT(ISNUMBER($N458)),NOT(ISNUMBER($F458))),"",$O458*($N458/100)*$F458*10)</f>
        <v/>
      </c>
      <c r="Q458" s="9" t="str">
        <f aca="false">IF(OR(NOT(ISNUMBER($D458)),NOT(ISNUMBER($E458))),"",MAX(0,MIN($E458,SOIL_REPORTING_DEPTH_CM)-MIN($D458,SOIL_REPORTING_DEPTH_CM)))</f>
        <v/>
      </c>
      <c r="R458" s="9" t="str">
        <f aca="false">IF(OR(NOT(ISNUMBER($O458)),NOT(ISNUMBER($N458)),NOT(ISNUMBER($Q458))),"",$O458*($N458/100)*$Q458*10)</f>
        <v/>
      </c>
      <c r="S458" s="11" t="str">
        <f aca="false">IF(AND($A458="",$B458="",$D458=""),"",IF(AND($A458&lt;&gt;"",COUNTIF('1. Plot &amp; Site Log'!$A$5:$A$64,$A458)=0),"Plot ID not in the Plot &amp; Site Log. ","")&amp;IF(AND(ISNUMBER($D458),ISNUMBER($E458),$E458&lt;=$D458),"Bottom depth is not below top depth. ","")&amp;IF($L458="Not confirmed","Bulk-density basis not confirmed with the lab — the coarse-fragment correction may be wrong or doubled. ","")&amp;IF(LAB_BULK_DENSITY_BASIS="Not confirmed","No lab bulk-density basis is on file in Settings (LAB_BULK_DENSITY_BASIS), so nothing checks this row. ","")&amp;IF(AND($L458&lt;&gt;"",LAB_BULK_DENSITY_BASIS&lt;&gt;"Not confirmed",$L458&lt;&gt;LAB_BULK_DENSITY_BASIS),"This row's bulk-density basis disagrees with the lab method on file. One of "&amp;"the two is wrong, and the coarse-fragment correction follows the row. ","")&amp;IF(AND(ISNUMBER($M458),OR($M458&lt;QC_BD_MIN,$M458&gt;QC_BD_MAX)),"Bulk density outside the plausible range for a mineral grassland soil. ","")&amp;IF(AND(ISNUMBER($N458),$N458&gt;QC_CARBON_PCT_MAX),"Organic carbon above the QC ceiling — check units, and whether this is an organic horizon. ","")&amp;IF(AND(ISNUMBER($J458),$J458&lt;QC_RECOVERY_MIN),"Recovered less than the QC minimum of the depth driven — the increments may not sit where you think. Do NOT stretch them back out. ","")&amp;IF(AND(ISNUMBER($K458),$K458&gt;0,$L458="Fine earth / total volume"),"Coarse fragments recorded and the lab basis already accounts for them — no further correction applied, which is correct. ",""))</f>
        <v/>
      </c>
      <c r="T458" s="6"/>
      <c r="U458" s="9" t="n">
        <f aca="false">IF($B458="",0,IF(COUNTIFS($B$5:$B458,$B458)=1,1,0))</f>
        <v>0</v>
      </c>
    </row>
    <row r="459" customFormat="false" ht="15" hidden="false" customHeight="false" outlineLevel="0" collapsed="false">
      <c r="A459" s="6"/>
      <c r="B459" s="6"/>
      <c r="C459" s="6"/>
      <c r="D459" s="6"/>
      <c r="E459" s="6"/>
      <c r="F459" s="9" t="str">
        <f aca="false">IF(OR($D459="",$E459=""),"",$E459-$D459)</f>
        <v/>
      </c>
      <c r="G459" s="6"/>
      <c r="H459" s="6"/>
      <c r="I459" s="6"/>
      <c r="J459" s="9" t="str">
        <f aca="false">IF(OR(NOT(ISNUMBER($H459)),NOT(ISNUMBER($I459)),$H459=0),"",$I459/$H459)</f>
        <v/>
      </c>
      <c r="K459" s="6"/>
      <c r="L459" s="8"/>
      <c r="M459" s="7"/>
      <c r="N459" s="7"/>
      <c r="O459" s="9" t="str">
        <f aca="false">IF(NOT(ISNUMBER($M459)),"",IF($L459="Fine earth / fine-earth volume",$M459*(1-IF(ISNUMBER($K459),$K459,0)/100),$M459))</f>
        <v/>
      </c>
      <c r="P459" s="9" t="str">
        <f aca="false">IF(OR(NOT(ISNUMBER($O459)),NOT(ISNUMBER($N459)),NOT(ISNUMBER($F459))),"",$O459*($N459/100)*$F459*10)</f>
        <v/>
      </c>
      <c r="Q459" s="9" t="str">
        <f aca="false">IF(OR(NOT(ISNUMBER($D459)),NOT(ISNUMBER($E459))),"",MAX(0,MIN($E459,SOIL_REPORTING_DEPTH_CM)-MIN($D459,SOIL_REPORTING_DEPTH_CM)))</f>
        <v/>
      </c>
      <c r="R459" s="9" t="str">
        <f aca="false">IF(OR(NOT(ISNUMBER($O459)),NOT(ISNUMBER($N459)),NOT(ISNUMBER($Q459))),"",$O459*($N459/100)*$Q459*10)</f>
        <v/>
      </c>
      <c r="S459" s="11" t="str">
        <f aca="false">IF(AND($A459="",$B459="",$D459=""),"",IF(AND($A459&lt;&gt;"",COUNTIF('1. Plot &amp; Site Log'!$A$5:$A$64,$A459)=0),"Plot ID not in the Plot &amp; Site Log. ","")&amp;IF(AND(ISNUMBER($D459),ISNUMBER($E459),$E459&lt;=$D459),"Bottom depth is not below top depth. ","")&amp;IF($L459="Not confirmed","Bulk-density basis not confirmed with the lab — the coarse-fragment correction may be wrong or doubled. ","")&amp;IF(LAB_BULK_DENSITY_BASIS="Not confirmed","No lab bulk-density basis is on file in Settings (LAB_BULK_DENSITY_BASIS), so nothing checks this row. ","")&amp;IF(AND($L459&lt;&gt;"",LAB_BULK_DENSITY_BASIS&lt;&gt;"Not confirmed",$L459&lt;&gt;LAB_BULK_DENSITY_BASIS),"This row's bulk-density basis disagrees with the lab method on file. One of "&amp;"the two is wrong, and the coarse-fragment correction follows the row. ","")&amp;IF(AND(ISNUMBER($M459),OR($M459&lt;QC_BD_MIN,$M459&gt;QC_BD_MAX)),"Bulk density outside the plausible range for a mineral grassland soil. ","")&amp;IF(AND(ISNUMBER($N459),$N459&gt;QC_CARBON_PCT_MAX),"Organic carbon above the QC ceiling — check units, and whether this is an organic horizon. ","")&amp;IF(AND(ISNUMBER($J459),$J459&lt;QC_RECOVERY_MIN),"Recovered less than the QC minimum of the depth driven — the increments may not sit where you think. Do NOT stretch them back out. ","")&amp;IF(AND(ISNUMBER($K459),$K459&gt;0,$L459="Fine earth / total volume"),"Coarse fragments recorded and the lab basis already accounts for them — no further correction applied, which is correct. ",""))</f>
        <v/>
      </c>
      <c r="T459" s="6"/>
      <c r="U459" s="9" t="n">
        <f aca="false">IF($B459="",0,IF(COUNTIFS($B$5:$B459,$B459)=1,1,0))</f>
        <v>0</v>
      </c>
    </row>
    <row r="460" customFormat="false" ht="15" hidden="false" customHeight="false" outlineLevel="0" collapsed="false">
      <c r="A460" s="6"/>
      <c r="B460" s="6"/>
      <c r="C460" s="6"/>
      <c r="D460" s="6"/>
      <c r="E460" s="6"/>
      <c r="F460" s="9" t="str">
        <f aca="false">IF(OR($D460="",$E460=""),"",$E460-$D460)</f>
        <v/>
      </c>
      <c r="G460" s="6"/>
      <c r="H460" s="6"/>
      <c r="I460" s="6"/>
      <c r="J460" s="9" t="str">
        <f aca="false">IF(OR(NOT(ISNUMBER($H460)),NOT(ISNUMBER($I460)),$H460=0),"",$I460/$H460)</f>
        <v/>
      </c>
      <c r="K460" s="6"/>
      <c r="L460" s="8"/>
      <c r="M460" s="7"/>
      <c r="N460" s="7"/>
      <c r="O460" s="9" t="str">
        <f aca="false">IF(NOT(ISNUMBER($M460)),"",IF($L460="Fine earth / fine-earth volume",$M460*(1-IF(ISNUMBER($K460),$K460,0)/100),$M460))</f>
        <v/>
      </c>
      <c r="P460" s="9" t="str">
        <f aca="false">IF(OR(NOT(ISNUMBER($O460)),NOT(ISNUMBER($N460)),NOT(ISNUMBER($F460))),"",$O460*($N460/100)*$F460*10)</f>
        <v/>
      </c>
      <c r="Q460" s="9" t="str">
        <f aca="false">IF(OR(NOT(ISNUMBER($D460)),NOT(ISNUMBER($E460))),"",MAX(0,MIN($E460,SOIL_REPORTING_DEPTH_CM)-MIN($D460,SOIL_REPORTING_DEPTH_CM)))</f>
        <v/>
      </c>
      <c r="R460" s="9" t="str">
        <f aca="false">IF(OR(NOT(ISNUMBER($O460)),NOT(ISNUMBER($N460)),NOT(ISNUMBER($Q460))),"",$O460*($N460/100)*$Q460*10)</f>
        <v/>
      </c>
      <c r="S460" s="11" t="str">
        <f aca="false">IF(AND($A460="",$B460="",$D460=""),"",IF(AND($A460&lt;&gt;"",COUNTIF('1. Plot &amp; Site Log'!$A$5:$A$64,$A460)=0),"Plot ID not in the Plot &amp; Site Log. ","")&amp;IF(AND(ISNUMBER($D460),ISNUMBER($E460),$E460&lt;=$D460),"Bottom depth is not below top depth. ","")&amp;IF($L460="Not confirmed","Bulk-density basis not confirmed with the lab — the coarse-fragment correction may be wrong or doubled. ","")&amp;IF(LAB_BULK_DENSITY_BASIS="Not confirmed","No lab bulk-density basis is on file in Settings (LAB_BULK_DENSITY_BASIS), so nothing checks this row. ","")&amp;IF(AND($L460&lt;&gt;"",LAB_BULK_DENSITY_BASIS&lt;&gt;"Not confirmed",$L460&lt;&gt;LAB_BULK_DENSITY_BASIS),"This row's bulk-density basis disagrees with the lab method on file. One of "&amp;"the two is wrong, and the coarse-fragment correction follows the row. ","")&amp;IF(AND(ISNUMBER($M460),OR($M460&lt;QC_BD_MIN,$M460&gt;QC_BD_MAX)),"Bulk density outside the plausible range for a mineral grassland soil. ","")&amp;IF(AND(ISNUMBER($N460),$N460&gt;QC_CARBON_PCT_MAX),"Organic carbon above the QC ceiling — check units, and whether this is an organic horizon. ","")&amp;IF(AND(ISNUMBER($J460),$J460&lt;QC_RECOVERY_MIN),"Recovered less than the QC minimum of the depth driven — the increments may not sit where you think. Do NOT stretch them back out. ","")&amp;IF(AND(ISNUMBER($K460),$K460&gt;0,$L460="Fine earth / total volume"),"Coarse fragments recorded and the lab basis already accounts for them — no further correction applied, which is correct. ",""))</f>
        <v/>
      </c>
      <c r="T460" s="6"/>
      <c r="U460" s="9" t="n">
        <f aca="false">IF($B460="",0,IF(COUNTIFS($B$5:$B460,$B460)=1,1,0))</f>
        <v>0</v>
      </c>
    </row>
    <row r="461" customFormat="false" ht="15" hidden="false" customHeight="false" outlineLevel="0" collapsed="false">
      <c r="A461" s="6"/>
      <c r="B461" s="6"/>
      <c r="C461" s="6"/>
      <c r="D461" s="6"/>
      <c r="E461" s="6"/>
      <c r="F461" s="9" t="str">
        <f aca="false">IF(OR($D461="",$E461=""),"",$E461-$D461)</f>
        <v/>
      </c>
      <c r="G461" s="6"/>
      <c r="H461" s="6"/>
      <c r="I461" s="6"/>
      <c r="J461" s="9" t="str">
        <f aca="false">IF(OR(NOT(ISNUMBER($H461)),NOT(ISNUMBER($I461)),$H461=0),"",$I461/$H461)</f>
        <v/>
      </c>
      <c r="K461" s="6"/>
      <c r="L461" s="8"/>
      <c r="M461" s="7"/>
      <c r="N461" s="7"/>
      <c r="O461" s="9" t="str">
        <f aca="false">IF(NOT(ISNUMBER($M461)),"",IF($L461="Fine earth / fine-earth volume",$M461*(1-IF(ISNUMBER($K461),$K461,0)/100),$M461))</f>
        <v/>
      </c>
      <c r="P461" s="9" t="str">
        <f aca="false">IF(OR(NOT(ISNUMBER($O461)),NOT(ISNUMBER($N461)),NOT(ISNUMBER($F461))),"",$O461*($N461/100)*$F461*10)</f>
        <v/>
      </c>
      <c r="Q461" s="9" t="str">
        <f aca="false">IF(OR(NOT(ISNUMBER($D461)),NOT(ISNUMBER($E461))),"",MAX(0,MIN($E461,SOIL_REPORTING_DEPTH_CM)-MIN($D461,SOIL_REPORTING_DEPTH_CM)))</f>
        <v/>
      </c>
      <c r="R461" s="9" t="str">
        <f aca="false">IF(OR(NOT(ISNUMBER($O461)),NOT(ISNUMBER($N461)),NOT(ISNUMBER($Q461))),"",$O461*($N461/100)*$Q461*10)</f>
        <v/>
      </c>
      <c r="S461" s="11" t="str">
        <f aca="false">IF(AND($A461="",$B461="",$D461=""),"",IF(AND($A461&lt;&gt;"",COUNTIF('1. Plot &amp; Site Log'!$A$5:$A$64,$A461)=0),"Plot ID not in the Plot &amp; Site Log. ","")&amp;IF(AND(ISNUMBER($D461),ISNUMBER($E461),$E461&lt;=$D461),"Bottom depth is not below top depth. ","")&amp;IF($L461="Not confirmed","Bulk-density basis not confirmed with the lab — the coarse-fragment correction may be wrong or doubled. ","")&amp;IF(LAB_BULK_DENSITY_BASIS="Not confirmed","No lab bulk-density basis is on file in Settings (LAB_BULK_DENSITY_BASIS), so nothing checks this row. ","")&amp;IF(AND($L461&lt;&gt;"",LAB_BULK_DENSITY_BASIS&lt;&gt;"Not confirmed",$L461&lt;&gt;LAB_BULK_DENSITY_BASIS),"This row's bulk-density basis disagrees with the lab method on file. One of "&amp;"the two is wrong, and the coarse-fragment correction follows the row. ","")&amp;IF(AND(ISNUMBER($M461),OR($M461&lt;QC_BD_MIN,$M461&gt;QC_BD_MAX)),"Bulk density outside the plausible range for a mineral grassland soil. ","")&amp;IF(AND(ISNUMBER($N461),$N461&gt;QC_CARBON_PCT_MAX),"Organic carbon above the QC ceiling — check units, and whether this is an organic horizon. ","")&amp;IF(AND(ISNUMBER($J461),$J461&lt;QC_RECOVERY_MIN),"Recovered less than the QC minimum of the depth driven — the increments may not sit where you think. Do NOT stretch them back out. ","")&amp;IF(AND(ISNUMBER($K461),$K461&gt;0,$L461="Fine earth / total volume"),"Coarse fragments recorded and the lab basis already accounts for them — no further correction applied, which is correct. ",""))</f>
        <v/>
      </c>
      <c r="T461" s="6"/>
      <c r="U461" s="9" t="n">
        <f aca="false">IF($B461="",0,IF(COUNTIFS($B$5:$B461,$B461)=1,1,0))</f>
        <v>0</v>
      </c>
    </row>
    <row r="462" customFormat="false" ht="15" hidden="false" customHeight="false" outlineLevel="0" collapsed="false">
      <c r="A462" s="6"/>
      <c r="B462" s="6"/>
      <c r="C462" s="6"/>
      <c r="D462" s="6"/>
      <c r="E462" s="6"/>
      <c r="F462" s="9" t="str">
        <f aca="false">IF(OR($D462="",$E462=""),"",$E462-$D462)</f>
        <v/>
      </c>
      <c r="G462" s="6"/>
      <c r="H462" s="6"/>
      <c r="I462" s="6"/>
      <c r="J462" s="9" t="str">
        <f aca="false">IF(OR(NOT(ISNUMBER($H462)),NOT(ISNUMBER($I462)),$H462=0),"",$I462/$H462)</f>
        <v/>
      </c>
      <c r="K462" s="6"/>
      <c r="L462" s="8"/>
      <c r="M462" s="7"/>
      <c r="N462" s="7"/>
      <c r="O462" s="9" t="str">
        <f aca="false">IF(NOT(ISNUMBER($M462)),"",IF($L462="Fine earth / fine-earth volume",$M462*(1-IF(ISNUMBER($K462),$K462,0)/100),$M462))</f>
        <v/>
      </c>
      <c r="P462" s="9" t="str">
        <f aca="false">IF(OR(NOT(ISNUMBER($O462)),NOT(ISNUMBER($N462)),NOT(ISNUMBER($F462))),"",$O462*($N462/100)*$F462*10)</f>
        <v/>
      </c>
      <c r="Q462" s="9" t="str">
        <f aca="false">IF(OR(NOT(ISNUMBER($D462)),NOT(ISNUMBER($E462))),"",MAX(0,MIN($E462,SOIL_REPORTING_DEPTH_CM)-MIN($D462,SOIL_REPORTING_DEPTH_CM)))</f>
        <v/>
      </c>
      <c r="R462" s="9" t="str">
        <f aca="false">IF(OR(NOT(ISNUMBER($O462)),NOT(ISNUMBER($N462)),NOT(ISNUMBER($Q462))),"",$O462*($N462/100)*$Q462*10)</f>
        <v/>
      </c>
      <c r="S462" s="11" t="str">
        <f aca="false">IF(AND($A462="",$B462="",$D462=""),"",IF(AND($A462&lt;&gt;"",COUNTIF('1. Plot &amp; Site Log'!$A$5:$A$64,$A462)=0),"Plot ID not in the Plot &amp; Site Log. ","")&amp;IF(AND(ISNUMBER($D462),ISNUMBER($E462),$E462&lt;=$D462),"Bottom depth is not below top depth. ","")&amp;IF($L462="Not confirmed","Bulk-density basis not confirmed with the lab — the coarse-fragment correction may be wrong or doubled. ","")&amp;IF(LAB_BULK_DENSITY_BASIS="Not confirmed","No lab bulk-density basis is on file in Settings (LAB_BULK_DENSITY_BASIS), so nothing checks this row. ","")&amp;IF(AND($L462&lt;&gt;"",LAB_BULK_DENSITY_BASIS&lt;&gt;"Not confirmed",$L462&lt;&gt;LAB_BULK_DENSITY_BASIS),"This row's bulk-density basis disagrees with the lab method on file. One of "&amp;"the two is wrong, and the coarse-fragment correction follows the row. ","")&amp;IF(AND(ISNUMBER($M462),OR($M462&lt;QC_BD_MIN,$M462&gt;QC_BD_MAX)),"Bulk density outside the plausible range for a mineral grassland soil. ","")&amp;IF(AND(ISNUMBER($N462),$N462&gt;QC_CARBON_PCT_MAX),"Organic carbon above the QC ceiling — check units, and whether this is an organic horizon. ","")&amp;IF(AND(ISNUMBER($J462),$J462&lt;QC_RECOVERY_MIN),"Recovered less than the QC minimum of the depth driven — the increments may not sit where you think. Do NOT stretch them back out. ","")&amp;IF(AND(ISNUMBER($K462),$K462&gt;0,$L462="Fine earth / total volume"),"Coarse fragments recorded and the lab basis already accounts for them — no further correction applied, which is correct. ",""))</f>
        <v/>
      </c>
      <c r="T462" s="6"/>
      <c r="U462" s="9" t="n">
        <f aca="false">IF($B462="",0,IF(COUNTIFS($B$5:$B462,$B462)=1,1,0))</f>
        <v>0</v>
      </c>
    </row>
    <row r="463" customFormat="false" ht="15" hidden="false" customHeight="false" outlineLevel="0" collapsed="false">
      <c r="A463" s="6"/>
      <c r="B463" s="6"/>
      <c r="C463" s="6"/>
      <c r="D463" s="6"/>
      <c r="E463" s="6"/>
      <c r="F463" s="9" t="str">
        <f aca="false">IF(OR($D463="",$E463=""),"",$E463-$D463)</f>
        <v/>
      </c>
      <c r="G463" s="6"/>
      <c r="H463" s="6"/>
      <c r="I463" s="6"/>
      <c r="J463" s="9" t="str">
        <f aca="false">IF(OR(NOT(ISNUMBER($H463)),NOT(ISNUMBER($I463)),$H463=0),"",$I463/$H463)</f>
        <v/>
      </c>
      <c r="K463" s="6"/>
      <c r="L463" s="8"/>
      <c r="M463" s="7"/>
      <c r="N463" s="7"/>
      <c r="O463" s="9" t="str">
        <f aca="false">IF(NOT(ISNUMBER($M463)),"",IF($L463="Fine earth / fine-earth volume",$M463*(1-IF(ISNUMBER($K463),$K463,0)/100),$M463))</f>
        <v/>
      </c>
      <c r="P463" s="9" t="str">
        <f aca="false">IF(OR(NOT(ISNUMBER($O463)),NOT(ISNUMBER($N463)),NOT(ISNUMBER($F463))),"",$O463*($N463/100)*$F463*10)</f>
        <v/>
      </c>
      <c r="Q463" s="9" t="str">
        <f aca="false">IF(OR(NOT(ISNUMBER($D463)),NOT(ISNUMBER($E463))),"",MAX(0,MIN($E463,SOIL_REPORTING_DEPTH_CM)-MIN($D463,SOIL_REPORTING_DEPTH_CM)))</f>
        <v/>
      </c>
      <c r="R463" s="9" t="str">
        <f aca="false">IF(OR(NOT(ISNUMBER($O463)),NOT(ISNUMBER($N463)),NOT(ISNUMBER($Q463))),"",$O463*($N463/100)*$Q463*10)</f>
        <v/>
      </c>
      <c r="S463" s="11" t="str">
        <f aca="false">IF(AND($A463="",$B463="",$D463=""),"",IF(AND($A463&lt;&gt;"",COUNTIF('1. Plot &amp; Site Log'!$A$5:$A$64,$A463)=0),"Plot ID not in the Plot &amp; Site Log. ","")&amp;IF(AND(ISNUMBER($D463),ISNUMBER($E463),$E463&lt;=$D463),"Bottom depth is not below top depth. ","")&amp;IF($L463="Not confirmed","Bulk-density basis not confirmed with the lab — the coarse-fragment correction may be wrong or doubled. ","")&amp;IF(LAB_BULK_DENSITY_BASIS="Not confirmed","No lab bulk-density basis is on file in Settings (LAB_BULK_DENSITY_BASIS), so nothing checks this row. ","")&amp;IF(AND($L463&lt;&gt;"",LAB_BULK_DENSITY_BASIS&lt;&gt;"Not confirmed",$L463&lt;&gt;LAB_BULK_DENSITY_BASIS),"This row's bulk-density basis disagrees with the lab method on file. One of "&amp;"the two is wrong, and the coarse-fragment correction follows the row. ","")&amp;IF(AND(ISNUMBER($M463),OR($M463&lt;QC_BD_MIN,$M463&gt;QC_BD_MAX)),"Bulk density outside the plausible range for a mineral grassland soil. ","")&amp;IF(AND(ISNUMBER($N463),$N463&gt;QC_CARBON_PCT_MAX),"Organic carbon above the QC ceiling — check units, and whether this is an organic horizon. ","")&amp;IF(AND(ISNUMBER($J463),$J463&lt;QC_RECOVERY_MIN),"Recovered less than the QC minimum of the depth driven — the increments may not sit where you think. Do NOT stretch them back out. ","")&amp;IF(AND(ISNUMBER($K463),$K463&gt;0,$L463="Fine earth / total volume"),"Coarse fragments recorded and the lab basis already accounts for them — no further correction applied, which is correct. ",""))</f>
        <v/>
      </c>
      <c r="T463" s="6"/>
      <c r="U463" s="9" t="n">
        <f aca="false">IF($B463="",0,IF(COUNTIFS($B$5:$B463,$B463)=1,1,0))</f>
        <v>0</v>
      </c>
    </row>
    <row r="464" customFormat="false" ht="15" hidden="false" customHeight="false" outlineLevel="0" collapsed="false">
      <c r="A464" s="6"/>
      <c r="B464" s="6"/>
      <c r="C464" s="6"/>
      <c r="D464" s="6"/>
      <c r="E464" s="6"/>
      <c r="F464" s="9" t="str">
        <f aca="false">IF(OR($D464="",$E464=""),"",$E464-$D464)</f>
        <v/>
      </c>
      <c r="G464" s="6"/>
      <c r="H464" s="6"/>
      <c r="I464" s="6"/>
      <c r="J464" s="9" t="str">
        <f aca="false">IF(OR(NOT(ISNUMBER($H464)),NOT(ISNUMBER($I464)),$H464=0),"",$I464/$H464)</f>
        <v/>
      </c>
      <c r="K464" s="6"/>
      <c r="L464" s="8"/>
      <c r="M464" s="7"/>
      <c r="N464" s="7"/>
      <c r="O464" s="9" t="str">
        <f aca="false">IF(NOT(ISNUMBER($M464)),"",IF($L464="Fine earth / fine-earth volume",$M464*(1-IF(ISNUMBER($K464),$K464,0)/100),$M464))</f>
        <v/>
      </c>
      <c r="P464" s="9" t="str">
        <f aca="false">IF(OR(NOT(ISNUMBER($O464)),NOT(ISNUMBER($N464)),NOT(ISNUMBER($F464))),"",$O464*($N464/100)*$F464*10)</f>
        <v/>
      </c>
      <c r="Q464" s="9" t="str">
        <f aca="false">IF(OR(NOT(ISNUMBER($D464)),NOT(ISNUMBER($E464))),"",MAX(0,MIN($E464,SOIL_REPORTING_DEPTH_CM)-MIN($D464,SOIL_REPORTING_DEPTH_CM)))</f>
        <v/>
      </c>
      <c r="R464" s="9" t="str">
        <f aca="false">IF(OR(NOT(ISNUMBER($O464)),NOT(ISNUMBER($N464)),NOT(ISNUMBER($Q464))),"",$O464*($N464/100)*$Q464*10)</f>
        <v/>
      </c>
      <c r="S464" s="11" t="str">
        <f aca="false">IF(AND($A464="",$B464="",$D464=""),"",IF(AND($A464&lt;&gt;"",COUNTIF('1. Plot &amp; Site Log'!$A$5:$A$64,$A464)=0),"Plot ID not in the Plot &amp; Site Log. ","")&amp;IF(AND(ISNUMBER($D464),ISNUMBER($E464),$E464&lt;=$D464),"Bottom depth is not below top depth. ","")&amp;IF($L464="Not confirmed","Bulk-density basis not confirmed with the lab — the coarse-fragment correction may be wrong or doubled. ","")&amp;IF(LAB_BULK_DENSITY_BASIS="Not confirmed","No lab bulk-density basis is on file in Settings (LAB_BULK_DENSITY_BASIS), so nothing checks this row. ","")&amp;IF(AND($L464&lt;&gt;"",LAB_BULK_DENSITY_BASIS&lt;&gt;"Not confirmed",$L464&lt;&gt;LAB_BULK_DENSITY_BASIS),"This row's bulk-density basis disagrees with the lab method on file. One of "&amp;"the two is wrong, and the coarse-fragment correction follows the row. ","")&amp;IF(AND(ISNUMBER($M464),OR($M464&lt;QC_BD_MIN,$M464&gt;QC_BD_MAX)),"Bulk density outside the plausible range for a mineral grassland soil. ","")&amp;IF(AND(ISNUMBER($N464),$N464&gt;QC_CARBON_PCT_MAX),"Organic carbon above the QC ceiling — check units, and whether this is an organic horizon. ","")&amp;IF(AND(ISNUMBER($J464),$J464&lt;QC_RECOVERY_MIN),"Recovered less than the QC minimum of the depth driven — the increments may not sit where you think. Do NOT stretch them back out. ","")&amp;IF(AND(ISNUMBER($K464),$K464&gt;0,$L464="Fine earth / total volume"),"Coarse fragments recorded and the lab basis already accounts for them — no further correction applied, which is correct. ",""))</f>
        <v/>
      </c>
      <c r="T464" s="6"/>
      <c r="U464" s="9" t="n">
        <f aca="false">IF($B464="",0,IF(COUNTIFS($B$5:$B464,$B464)=1,1,0))</f>
        <v>0</v>
      </c>
    </row>
    <row r="465" customFormat="false" ht="15" hidden="false" customHeight="false" outlineLevel="0" collapsed="false">
      <c r="A465" s="6"/>
      <c r="B465" s="6"/>
      <c r="C465" s="6"/>
      <c r="D465" s="6"/>
      <c r="E465" s="6"/>
      <c r="F465" s="9" t="str">
        <f aca="false">IF(OR($D465="",$E465=""),"",$E465-$D465)</f>
        <v/>
      </c>
      <c r="G465" s="6"/>
      <c r="H465" s="6"/>
      <c r="I465" s="6"/>
      <c r="J465" s="9" t="str">
        <f aca="false">IF(OR(NOT(ISNUMBER($H465)),NOT(ISNUMBER($I465)),$H465=0),"",$I465/$H465)</f>
        <v/>
      </c>
      <c r="K465" s="6"/>
      <c r="L465" s="8"/>
      <c r="M465" s="7"/>
      <c r="N465" s="7"/>
      <c r="O465" s="9" t="str">
        <f aca="false">IF(NOT(ISNUMBER($M465)),"",IF($L465="Fine earth / fine-earth volume",$M465*(1-IF(ISNUMBER($K465),$K465,0)/100),$M465))</f>
        <v/>
      </c>
      <c r="P465" s="9" t="str">
        <f aca="false">IF(OR(NOT(ISNUMBER($O465)),NOT(ISNUMBER($N465)),NOT(ISNUMBER($F465))),"",$O465*($N465/100)*$F465*10)</f>
        <v/>
      </c>
      <c r="Q465" s="9" t="str">
        <f aca="false">IF(OR(NOT(ISNUMBER($D465)),NOT(ISNUMBER($E465))),"",MAX(0,MIN($E465,SOIL_REPORTING_DEPTH_CM)-MIN($D465,SOIL_REPORTING_DEPTH_CM)))</f>
        <v/>
      </c>
      <c r="R465" s="9" t="str">
        <f aca="false">IF(OR(NOT(ISNUMBER($O465)),NOT(ISNUMBER($N465)),NOT(ISNUMBER($Q465))),"",$O465*($N465/100)*$Q465*10)</f>
        <v/>
      </c>
      <c r="S465" s="11" t="str">
        <f aca="false">IF(AND($A465="",$B465="",$D465=""),"",IF(AND($A465&lt;&gt;"",COUNTIF('1. Plot &amp; Site Log'!$A$5:$A$64,$A465)=0),"Plot ID not in the Plot &amp; Site Log. ","")&amp;IF(AND(ISNUMBER($D465),ISNUMBER($E465),$E465&lt;=$D465),"Bottom depth is not below top depth. ","")&amp;IF($L465="Not confirmed","Bulk-density basis not confirmed with the lab — the coarse-fragment correction may be wrong or doubled. ","")&amp;IF(LAB_BULK_DENSITY_BASIS="Not confirmed","No lab bulk-density basis is on file in Settings (LAB_BULK_DENSITY_BASIS), so nothing checks this row. ","")&amp;IF(AND($L465&lt;&gt;"",LAB_BULK_DENSITY_BASIS&lt;&gt;"Not confirmed",$L465&lt;&gt;LAB_BULK_DENSITY_BASIS),"This row's bulk-density basis disagrees with the lab method on file. One of "&amp;"the two is wrong, and the coarse-fragment correction follows the row. ","")&amp;IF(AND(ISNUMBER($M465),OR($M465&lt;QC_BD_MIN,$M465&gt;QC_BD_MAX)),"Bulk density outside the plausible range for a mineral grassland soil. ","")&amp;IF(AND(ISNUMBER($N465),$N465&gt;QC_CARBON_PCT_MAX),"Organic carbon above the QC ceiling — check units, and whether this is an organic horizon. ","")&amp;IF(AND(ISNUMBER($J465),$J465&lt;QC_RECOVERY_MIN),"Recovered less than the QC minimum of the depth driven — the increments may not sit where you think. Do NOT stretch them back out. ","")&amp;IF(AND(ISNUMBER($K465),$K465&gt;0,$L465="Fine earth / total volume"),"Coarse fragments recorded and the lab basis already accounts for them — no further correction applied, which is correct. ",""))</f>
        <v/>
      </c>
      <c r="T465" s="6"/>
      <c r="U465" s="9" t="n">
        <f aca="false">IF($B465="",0,IF(COUNTIFS($B$5:$B465,$B465)=1,1,0))</f>
        <v>0</v>
      </c>
    </row>
    <row r="466" customFormat="false" ht="15" hidden="false" customHeight="false" outlineLevel="0" collapsed="false">
      <c r="A466" s="6"/>
      <c r="B466" s="6"/>
      <c r="C466" s="6"/>
      <c r="D466" s="6"/>
      <c r="E466" s="6"/>
      <c r="F466" s="9" t="str">
        <f aca="false">IF(OR($D466="",$E466=""),"",$E466-$D466)</f>
        <v/>
      </c>
      <c r="G466" s="6"/>
      <c r="H466" s="6"/>
      <c r="I466" s="6"/>
      <c r="J466" s="9" t="str">
        <f aca="false">IF(OR(NOT(ISNUMBER($H466)),NOT(ISNUMBER($I466)),$H466=0),"",$I466/$H466)</f>
        <v/>
      </c>
      <c r="K466" s="6"/>
      <c r="L466" s="8"/>
      <c r="M466" s="7"/>
      <c r="N466" s="7"/>
      <c r="O466" s="9" t="str">
        <f aca="false">IF(NOT(ISNUMBER($M466)),"",IF($L466="Fine earth / fine-earth volume",$M466*(1-IF(ISNUMBER($K466),$K466,0)/100),$M466))</f>
        <v/>
      </c>
      <c r="P466" s="9" t="str">
        <f aca="false">IF(OR(NOT(ISNUMBER($O466)),NOT(ISNUMBER($N466)),NOT(ISNUMBER($F466))),"",$O466*($N466/100)*$F466*10)</f>
        <v/>
      </c>
      <c r="Q466" s="9" t="str">
        <f aca="false">IF(OR(NOT(ISNUMBER($D466)),NOT(ISNUMBER($E466))),"",MAX(0,MIN($E466,SOIL_REPORTING_DEPTH_CM)-MIN($D466,SOIL_REPORTING_DEPTH_CM)))</f>
        <v/>
      </c>
      <c r="R466" s="9" t="str">
        <f aca="false">IF(OR(NOT(ISNUMBER($O466)),NOT(ISNUMBER($N466)),NOT(ISNUMBER($Q466))),"",$O466*($N466/100)*$Q466*10)</f>
        <v/>
      </c>
      <c r="S466" s="11" t="str">
        <f aca="false">IF(AND($A466="",$B466="",$D466=""),"",IF(AND($A466&lt;&gt;"",COUNTIF('1. Plot &amp; Site Log'!$A$5:$A$64,$A466)=0),"Plot ID not in the Plot &amp; Site Log. ","")&amp;IF(AND(ISNUMBER($D466),ISNUMBER($E466),$E466&lt;=$D466),"Bottom depth is not below top depth. ","")&amp;IF($L466="Not confirmed","Bulk-density basis not confirmed with the lab — the coarse-fragment correction may be wrong or doubled. ","")&amp;IF(LAB_BULK_DENSITY_BASIS="Not confirmed","No lab bulk-density basis is on file in Settings (LAB_BULK_DENSITY_BASIS), so nothing checks this row. ","")&amp;IF(AND($L466&lt;&gt;"",LAB_BULK_DENSITY_BASIS&lt;&gt;"Not confirmed",$L466&lt;&gt;LAB_BULK_DENSITY_BASIS),"This row's bulk-density basis disagrees with the lab method on file. One of "&amp;"the two is wrong, and the coarse-fragment correction follows the row. ","")&amp;IF(AND(ISNUMBER($M466),OR($M466&lt;QC_BD_MIN,$M466&gt;QC_BD_MAX)),"Bulk density outside the plausible range for a mineral grassland soil. ","")&amp;IF(AND(ISNUMBER($N466),$N466&gt;QC_CARBON_PCT_MAX),"Organic carbon above the QC ceiling — check units, and whether this is an organic horizon. ","")&amp;IF(AND(ISNUMBER($J466),$J466&lt;QC_RECOVERY_MIN),"Recovered less than the QC minimum of the depth driven — the increments may not sit where you think. Do NOT stretch them back out. ","")&amp;IF(AND(ISNUMBER($K466),$K466&gt;0,$L466="Fine earth / total volume"),"Coarse fragments recorded and the lab basis already accounts for them — no further correction applied, which is correct. ",""))</f>
        <v/>
      </c>
      <c r="T466" s="6"/>
      <c r="U466" s="9" t="n">
        <f aca="false">IF($B466="",0,IF(COUNTIFS($B$5:$B466,$B466)=1,1,0))</f>
        <v>0</v>
      </c>
    </row>
    <row r="467" customFormat="false" ht="15" hidden="false" customHeight="false" outlineLevel="0" collapsed="false">
      <c r="A467" s="6"/>
      <c r="B467" s="6"/>
      <c r="C467" s="6"/>
      <c r="D467" s="6"/>
      <c r="E467" s="6"/>
      <c r="F467" s="9" t="str">
        <f aca="false">IF(OR($D467="",$E467=""),"",$E467-$D467)</f>
        <v/>
      </c>
      <c r="G467" s="6"/>
      <c r="H467" s="6"/>
      <c r="I467" s="6"/>
      <c r="J467" s="9" t="str">
        <f aca="false">IF(OR(NOT(ISNUMBER($H467)),NOT(ISNUMBER($I467)),$H467=0),"",$I467/$H467)</f>
        <v/>
      </c>
      <c r="K467" s="6"/>
      <c r="L467" s="8"/>
      <c r="M467" s="7"/>
      <c r="N467" s="7"/>
      <c r="O467" s="9" t="str">
        <f aca="false">IF(NOT(ISNUMBER($M467)),"",IF($L467="Fine earth / fine-earth volume",$M467*(1-IF(ISNUMBER($K467),$K467,0)/100),$M467))</f>
        <v/>
      </c>
      <c r="P467" s="9" t="str">
        <f aca="false">IF(OR(NOT(ISNUMBER($O467)),NOT(ISNUMBER($N467)),NOT(ISNUMBER($F467))),"",$O467*($N467/100)*$F467*10)</f>
        <v/>
      </c>
      <c r="Q467" s="9" t="str">
        <f aca="false">IF(OR(NOT(ISNUMBER($D467)),NOT(ISNUMBER($E467))),"",MAX(0,MIN($E467,SOIL_REPORTING_DEPTH_CM)-MIN($D467,SOIL_REPORTING_DEPTH_CM)))</f>
        <v/>
      </c>
      <c r="R467" s="9" t="str">
        <f aca="false">IF(OR(NOT(ISNUMBER($O467)),NOT(ISNUMBER($N467)),NOT(ISNUMBER($Q467))),"",$O467*($N467/100)*$Q467*10)</f>
        <v/>
      </c>
      <c r="S467" s="11" t="str">
        <f aca="false">IF(AND($A467="",$B467="",$D467=""),"",IF(AND($A467&lt;&gt;"",COUNTIF('1. Plot &amp; Site Log'!$A$5:$A$64,$A467)=0),"Plot ID not in the Plot &amp; Site Log. ","")&amp;IF(AND(ISNUMBER($D467),ISNUMBER($E467),$E467&lt;=$D467),"Bottom depth is not below top depth. ","")&amp;IF($L467="Not confirmed","Bulk-density basis not confirmed with the lab — the coarse-fragment correction may be wrong or doubled. ","")&amp;IF(LAB_BULK_DENSITY_BASIS="Not confirmed","No lab bulk-density basis is on file in Settings (LAB_BULK_DENSITY_BASIS), so nothing checks this row. ","")&amp;IF(AND($L467&lt;&gt;"",LAB_BULK_DENSITY_BASIS&lt;&gt;"Not confirmed",$L467&lt;&gt;LAB_BULK_DENSITY_BASIS),"This row's bulk-density basis disagrees with the lab method on file. One of "&amp;"the two is wrong, and the coarse-fragment correction follows the row. ","")&amp;IF(AND(ISNUMBER($M467),OR($M467&lt;QC_BD_MIN,$M467&gt;QC_BD_MAX)),"Bulk density outside the plausible range for a mineral grassland soil. ","")&amp;IF(AND(ISNUMBER($N467),$N467&gt;QC_CARBON_PCT_MAX),"Organic carbon above the QC ceiling — check units, and whether this is an organic horizon. ","")&amp;IF(AND(ISNUMBER($J467),$J467&lt;QC_RECOVERY_MIN),"Recovered less than the QC minimum of the depth driven — the increments may not sit where you think. Do NOT stretch them back out. ","")&amp;IF(AND(ISNUMBER($K467),$K467&gt;0,$L467="Fine earth / total volume"),"Coarse fragments recorded and the lab basis already accounts for them — no further correction applied, which is correct. ",""))</f>
        <v/>
      </c>
      <c r="T467" s="6"/>
      <c r="U467" s="9" t="n">
        <f aca="false">IF($B467="",0,IF(COUNTIFS($B$5:$B467,$B467)=1,1,0))</f>
        <v>0</v>
      </c>
    </row>
    <row r="468" customFormat="false" ht="15" hidden="false" customHeight="false" outlineLevel="0" collapsed="false">
      <c r="A468" s="6"/>
      <c r="B468" s="6"/>
      <c r="C468" s="6"/>
      <c r="D468" s="6"/>
      <c r="E468" s="6"/>
      <c r="F468" s="9" t="str">
        <f aca="false">IF(OR($D468="",$E468=""),"",$E468-$D468)</f>
        <v/>
      </c>
      <c r="G468" s="6"/>
      <c r="H468" s="6"/>
      <c r="I468" s="6"/>
      <c r="J468" s="9" t="str">
        <f aca="false">IF(OR(NOT(ISNUMBER($H468)),NOT(ISNUMBER($I468)),$H468=0),"",$I468/$H468)</f>
        <v/>
      </c>
      <c r="K468" s="6"/>
      <c r="L468" s="8"/>
      <c r="M468" s="7"/>
      <c r="N468" s="7"/>
      <c r="O468" s="9" t="str">
        <f aca="false">IF(NOT(ISNUMBER($M468)),"",IF($L468="Fine earth / fine-earth volume",$M468*(1-IF(ISNUMBER($K468),$K468,0)/100),$M468))</f>
        <v/>
      </c>
      <c r="P468" s="9" t="str">
        <f aca="false">IF(OR(NOT(ISNUMBER($O468)),NOT(ISNUMBER($N468)),NOT(ISNUMBER($F468))),"",$O468*($N468/100)*$F468*10)</f>
        <v/>
      </c>
      <c r="Q468" s="9" t="str">
        <f aca="false">IF(OR(NOT(ISNUMBER($D468)),NOT(ISNUMBER($E468))),"",MAX(0,MIN($E468,SOIL_REPORTING_DEPTH_CM)-MIN($D468,SOIL_REPORTING_DEPTH_CM)))</f>
        <v/>
      </c>
      <c r="R468" s="9" t="str">
        <f aca="false">IF(OR(NOT(ISNUMBER($O468)),NOT(ISNUMBER($N468)),NOT(ISNUMBER($Q468))),"",$O468*($N468/100)*$Q468*10)</f>
        <v/>
      </c>
      <c r="S468" s="11" t="str">
        <f aca="false">IF(AND($A468="",$B468="",$D468=""),"",IF(AND($A468&lt;&gt;"",COUNTIF('1. Plot &amp; Site Log'!$A$5:$A$64,$A468)=0),"Plot ID not in the Plot &amp; Site Log. ","")&amp;IF(AND(ISNUMBER($D468),ISNUMBER($E468),$E468&lt;=$D468),"Bottom depth is not below top depth. ","")&amp;IF($L468="Not confirmed","Bulk-density basis not confirmed with the lab — the coarse-fragment correction may be wrong or doubled. ","")&amp;IF(LAB_BULK_DENSITY_BASIS="Not confirmed","No lab bulk-density basis is on file in Settings (LAB_BULK_DENSITY_BASIS), so nothing checks this row. ","")&amp;IF(AND($L468&lt;&gt;"",LAB_BULK_DENSITY_BASIS&lt;&gt;"Not confirmed",$L468&lt;&gt;LAB_BULK_DENSITY_BASIS),"This row's bulk-density basis disagrees with the lab method on file. One of "&amp;"the two is wrong, and the coarse-fragment correction follows the row. ","")&amp;IF(AND(ISNUMBER($M468),OR($M468&lt;QC_BD_MIN,$M468&gt;QC_BD_MAX)),"Bulk density outside the plausible range for a mineral grassland soil. ","")&amp;IF(AND(ISNUMBER($N468),$N468&gt;QC_CARBON_PCT_MAX),"Organic carbon above the QC ceiling — check units, and whether this is an organic horizon. ","")&amp;IF(AND(ISNUMBER($J468),$J468&lt;QC_RECOVERY_MIN),"Recovered less than the QC minimum of the depth driven — the increments may not sit where you think. Do NOT stretch them back out. ","")&amp;IF(AND(ISNUMBER($K468),$K468&gt;0,$L468="Fine earth / total volume"),"Coarse fragments recorded and the lab basis already accounts for them — no further correction applied, which is correct. ",""))</f>
        <v/>
      </c>
      <c r="T468" s="6"/>
      <c r="U468" s="9" t="n">
        <f aca="false">IF($B468="",0,IF(COUNTIFS($B$5:$B468,$B468)=1,1,0))</f>
        <v>0</v>
      </c>
    </row>
    <row r="469" customFormat="false" ht="15" hidden="false" customHeight="false" outlineLevel="0" collapsed="false">
      <c r="A469" s="6"/>
      <c r="B469" s="6"/>
      <c r="C469" s="6"/>
      <c r="D469" s="6"/>
      <c r="E469" s="6"/>
      <c r="F469" s="9" t="str">
        <f aca="false">IF(OR($D469="",$E469=""),"",$E469-$D469)</f>
        <v/>
      </c>
      <c r="G469" s="6"/>
      <c r="H469" s="6"/>
      <c r="I469" s="6"/>
      <c r="J469" s="9" t="str">
        <f aca="false">IF(OR(NOT(ISNUMBER($H469)),NOT(ISNUMBER($I469)),$H469=0),"",$I469/$H469)</f>
        <v/>
      </c>
      <c r="K469" s="6"/>
      <c r="L469" s="8"/>
      <c r="M469" s="7"/>
      <c r="N469" s="7"/>
      <c r="O469" s="9" t="str">
        <f aca="false">IF(NOT(ISNUMBER($M469)),"",IF($L469="Fine earth / fine-earth volume",$M469*(1-IF(ISNUMBER($K469),$K469,0)/100),$M469))</f>
        <v/>
      </c>
      <c r="P469" s="9" t="str">
        <f aca="false">IF(OR(NOT(ISNUMBER($O469)),NOT(ISNUMBER($N469)),NOT(ISNUMBER($F469))),"",$O469*($N469/100)*$F469*10)</f>
        <v/>
      </c>
      <c r="Q469" s="9" t="str">
        <f aca="false">IF(OR(NOT(ISNUMBER($D469)),NOT(ISNUMBER($E469))),"",MAX(0,MIN($E469,SOIL_REPORTING_DEPTH_CM)-MIN($D469,SOIL_REPORTING_DEPTH_CM)))</f>
        <v/>
      </c>
      <c r="R469" s="9" t="str">
        <f aca="false">IF(OR(NOT(ISNUMBER($O469)),NOT(ISNUMBER($N469)),NOT(ISNUMBER($Q469))),"",$O469*($N469/100)*$Q469*10)</f>
        <v/>
      </c>
      <c r="S469" s="11" t="str">
        <f aca="false">IF(AND($A469="",$B469="",$D469=""),"",IF(AND($A469&lt;&gt;"",COUNTIF('1. Plot &amp; Site Log'!$A$5:$A$64,$A469)=0),"Plot ID not in the Plot &amp; Site Log. ","")&amp;IF(AND(ISNUMBER($D469),ISNUMBER($E469),$E469&lt;=$D469),"Bottom depth is not below top depth. ","")&amp;IF($L469="Not confirmed","Bulk-density basis not confirmed with the lab — the coarse-fragment correction may be wrong or doubled. ","")&amp;IF(LAB_BULK_DENSITY_BASIS="Not confirmed","No lab bulk-density basis is on file in Settings (LAB_BULK_DENSITY_BASIS), so nothing checks this row. ","")&amp;IF(AND($L469&lt;&gt;"",LAB_BULK_DENSITY_BASIS&lt;&gt;"Not confirmed",$L469&lt;&gt;LAB_BULK_DENSITY_BASIS),"This row's bulk-density basis disagrees with the lab method on file. One of "&amp;"the two is wrong, and the coarse-fragment correction follows the row. ","")&amp;IF(AND(ISNUMBER($M469),OR($M469&lt;QC_BD_MIN,$M469&gt;QC_BD_MAX)),"Bulk density outside the plausible range for a mineral grassland soil. ","")&amp;IF(AND(ISNUMBER($N469),$N469&gt;QC_CARBON_PCT_MAX),"Organic carbon above the QC ceiling — check units, and whether this is an organic horizon. ","")&amp;IF(AND(ISNUMBER($J469),$J469&lt;QC_RECOVERY_MIN),"Recovered less than the QC minimum of the depth driven — the increments may not sit where you think. Do NOT stretch them back out. ","")&amp;IF(AND(ISNUMBER($K469),$K469&gt;0,$L469="Fine earth / total volume"),"Coarse fragments recorded and the lab basis already accounts for them — no further correction applied, which is correct. ",""))</f>
        <v/>
      </c>
      <c r="T469" s="6"/>
      <c r="U469" s="9" t="n">
        <f aca="false">IF($B469="",0,IF(COUNTIFS($B$5:$B469,$B469)=1,1,0))</f>
        <v>0</v>
      </c>
    </row>
    <row r="470" customFormat="false" ht="15" hidden="false" customHeight="false" outlineLevel="0" collapsed="false">
      <c r="A470" s="6"/>
      <c r="B470" s="6"/>
      <c r="C470" s="6"/>
      <c r="D470" s="6"/>
      <c r="E470" s="6"/>
      <c r="F470" s="9" t="str">
        <f aca="false">IF(OR($D470="",$E470=""),"",$E470-$D470)</f>
        <v/>
      </c>
      <c r="G470" s="6"/>
      <c r="H470" s="6"/>
      <c r="I470" s="6"/>
      <c r="J470" s="9" t="str">
        <f aca="false">IF(OR(NOT(ISNUMBER($H470)),NOT(ISNUMBER($I470)),$H470=0),"",$I470/$H470)</f>
        <v/>
      </c>
      <c r="K470" s="6"/>
      <c r="L470" s="8"/>
      <c r="M470" s="7"/>
      <c r="N470" s="7"/>
      <c r="O470" s="9" t="str">
        <f aca="false">IF(NOT(ISNUMBER($M470)),"",IF($L470="Fine earth / fine-earth volume",$M470*(1-IF(ISNUMBER($K470),$K470,0)/100),$M470))</f>
        <v/>
      </c>
      <c r="P470" s="9" t="str">
        <f aca="false">IF(OR(NOT(ISNUMBER($O470)),NOT(ISNUMBER($N470)),NOT(ISNUMBER($F470))),"",$O470*($N470/100)*$F470*10)</f>
        <v/>
      </c>
      <c r="Q470" s="9" t="str">
        <f aca="false">IF(OR(NOT(ISNUMBER($D470)),NOT(ISNUMBER($E470))),"",MAX(0,MIN($E470,SOIL_REPORTING_DEPTH_CM)-MIN($D470,SOIL_REPORTING_DEPTH_CM)))</f>
        <v/>
      </c>
      <c r="R470" s="9" t="str">
        <f aca="false">IF(OR(NOT(ISNUMBER($O470)),NOT(ISNUMBER($N470)),NOT(ISNUMBER($Q470))),"",$O470*($N470/100)*$Q470*10)</f>
        <v/>
      </c>
      <c r="S470" s="11" t="str">
        <f aca="false">IF(AND($A470="",$B470="",$D470=""),"",IF(AND($A470&lt;&gt;"",COUNTIF('1. Plot &amp; Site Log'!$A$5:$A$64,$A470)=0),"Plot ID not in the Plot &amp; Site Log. ","")&amp;IF(AND(ISNUMBER($D470),ISNUMBER($E470),$E470&lt;=$D470),"Bottom depth is not below top depth. ","")&amp;IF($L470="Not confirmed","Bulk-density basis not confirmed with the lab — the coarse-fragment correction may be wrong or doubled. ","")&amp;IF(LAB_BULK_DENSITY_BASIS="Not confirmed","No lab bulk-density basis is on file in Settings (LAB_BULK_DENSITY_BASIS), so nothing checks this row. ","")&amp;IF(AND($L470&lt;&gt;"",LAB_BULK_DENSITY_BASIS&lt;&gt;"Not confirmed",$L470&lt;&gt;LAB_BULK_DENSITY_BASIS),"This row's bulk-density basis disagrees with the lab method on file. One of "&amp;"the two is wrong, and the coarse-fragment correction follows the row. ","")&amp;IF(AND(ISNUMBER($M470),OR($M470&lt;QC_BD_MIN,$M470&gt;QC_BD_MAX)),"Bulk density outside the plausible range for a mineral grassland soil. ","")&amp;IF(AND(ISNUMBER($N470),$N470&gt;QC_CARBON_PCT_MAX),"Organic carbon above the QC ceiling — check units, and whether this is an organic horizon. ","")&amp;IF(AND(ISNUMBER($J470),$J470&lt;QC_RECOVERY_MIN),"Recovered less than the QC minimum of the depth driven — the increments may not sit where you think. Do NOT stretch them back out. ","")&amp;IF(AND(ISNUMBER($K470),$K470&gt;0,$L470="Fine earth / total volume"),"Coarse fragments recorded and the lab basis already accounts for them — no further correction applied, which is correct. ",""))</f>
        <v/>
      </c>
      <c r="T470" s="6"/>
      <c r="U470" s="9" t="n">
        <f aca="false">IF($B470="",0,IF(COUNTIFS($B$5:$B470,$B470)=1,1,0))</f>
        <v>0</v>
      </c>
    </row>
    <row r="471" customFormat="false" ht="15" hidden="false" customHeight="false" outlineLevel="0" collapsed="false">
      <c r="A471" s="6"/>
      <c r="B471" s="6"/>
      <c r="C471" s="6"/>
      <c r="D471" s="6"/>
      <c r="E471" s="6"/>
      <c r="F471" s="9" t="str">
        <f aca="false">IF(OR($D471="",$E471=""),"",$E471-$D471)</f>
        <v/>
      </c>
      <c r="G471" s="6"/>
      <c r="H471" s="6"/>
      <c r="I471" s="6"/>
      <c r="J471" s="9" t="str">
        <f aca="false">IF(OR(NOT(ISNUMBER($H471)),NOT(ISNUMBER($I471)),$H471=0),"",$I471/$H471)</f>
        <v/>
      </c>
      <c r="K471" s="6"/>
      <c r="L471" s="8"/>
      <c r="M471" s="7"/>
      <c r="N471" s="7"/>
      <c r="O471" s="9" t="str">
        <f aca="false">IF(NOT(ISNUMBER($M471)),"",IF($L471="Fine earth / fine-earth volume",$M471*(1-IF(ISNUMBER($K471),$K471,0)/100),$M471))</f>
        <v/>
      </c>
      <c r="P471" s="9" t="str">
        <f aca="false">IF(OR(NOT(ISNUMBER($O471)),NOT(ISNUMBER($N471)),NOT(ISNUMBER($F471))),"",$O471*($N471/100)*$F471*10)</f>
        <v/>
      </c>
      <c r="Q471" s="9" t="str">
        <f aca="false">IF(OR(NOT(ISNUMBER($D471)),NOT(ISNUMBER($E471))),"",MAX(0,MIN($E471,SOIL_REPORTING_DEPTH_CM)-MIN($D471,SOIL_REPORTING_DEPTH_CM)))</f>
        <v/>
      </c>
      <c r="R471" s="9" t="str">
        <f aca="false">IF(OR(NOT(ISNUMBER($O471)),NOT(ISNUMBER($N471)),NOT(ISNUMBER($Q471))),"",$O471*($N471/100)*$Q471*10)</f>
        <v/>
      </c>
      <c r="S471" s="11" t="str">
        <f aca="false">IF(AND($A471="",$B471="",$D471=""),"",IF(AND($A471&lt;&gt;"",COUNTIF('1. Plot &amp; Site Log'!$A$5:$A$64,$A471)=0),"Plot ID not in the Plot &amp; Site Log. ","")&amp;IF(AND(ISNUMBER($D471),ISNUMBER($E471),$E471&lt;=$D471),"Bottom depth is not below top depth. ","")&amp;IF($L471="Not confirmed","Bulk-density basis not confirmed with the lab — the coarse-fragment correction may be wrong or doubled. ","")&amp;IF(LAB_BULK_DENSITY_BASIS="Not confirmed","No lab bulk-density basis is on file in Settings (LAB_BULK_DENSITY_BASIS), so nothing checks this row. ","")&amp;IF(AND($L471&lt;&gt;"",LAB_BULK_DENSITY_BASIS&lt;&gt;"Not confirmed",$L471&lt;&gt;LAB_BULK_DENSITY_BASIS),"This row's bulk-density basis disagrees with the lab method on file. One of "&amp;"the two is wrong, and the coarse-fragment correction follows the row. ","")&amp;IF(AND(ISNUMBER($M471),OR($M471&lt;QC_BD_MIN,$M471&gt;QC_BD_MAX)),"Bulk density outside the plausible range for a mineral grassland soil. ","")&amp;IF(AND(ISNUMBER($N471),$N471&gt;QC_CARBON_PCT_MAX),"Organic carbon above the QC ceiling — check units, and whether this is an organic horizon. ","")&amp;IF(AND(ISNUMBER($J471),$J471&lt;QC_RECOVERY_MIN),"Recovered less than the QC minimum of the depth driven — the increments may not sit where you think. Do NOT stretch them back out. ","")&amp;IF(AND(ISNUMBER($K471),$K471&gt;0,$L471="Fine earth / total volume"),"Coarse fragments recorded and the lab basis already accounts for them — no further correction applied, which is correct. ",""))</f>
        <v/>
      </c>
      <c r="T471" s="6"/>
      <c r="U471" s="9" t="n">
        <f aca="false">IF($B471="",0,IF(COUNTIFS($B$5:$B471,$B471)=1,1,0))</f>
        <v>0</v>
      </c>
    </row>
    <row r="472" customFormat="false" ht="15" hidden="false" customHeight="false" outlineLevel="0" collapsed="false">
      <c r="A472" s="6"/>
      <c r="B472" s="6"/>
      <c r="C472" s="6"/>
      <c r="D472" s="6"/>
      <c r="E472" s="6"/>
      <c r="F472" s="9" t="str">
        <f aca="false">IF(OR($D472="",$E472=""),"",$E472-$D472)</f>
        <v/>
      </c>
      <c r="G472" s="6"/>
      <c r="H472" s="6"/>
      <c r="I472" s="6"/>
      <c r="J472" s="9" t="str">
        <f aca="false">IF(OR(NOT(ISNUMBER($H472)),NOT(ISNUMBER($I472)),$H472=0),"",$I472/$H472)</f>
        <v/>
      </c>
      <c r="K472" s="6"/>
      <c r="L472" s="8"/>
      <c r="M472" s="7"/>
      <c r="N472" s="7"/>
      <c r="O472" s="9" t="str">
        <f aca="false">IF(NOT(ISNUMBER($M472)),"",IF($L472="Fine earth / fine-earth volume",$M472*(1-IF(ISNUMBER($K472),$K472,0)/100),$M472))</f>
        <v/>
      </c>
      <c r="P472" s="9" t="str">
        <f aca="false">IF(OR(NOT(ISNUMBER($O472)),NOT(ISNUMBER($N472)),NOT(ISNUMBER($F472))),"",$O472*($N472/100)*$F472*10)</f>
        <v/>
      </c>
      <c r="Q472" s="9" t="str">
        <f aca="false">IF(OR(NOT(ISNUMBER($D472)),NOT(ISNUMBER($E472))),"",MAX(0,MIN($E472,SOIL_REPORTING_DEPTH_CM)-MIN($D472,SOIL_REPORTING_DEPTH_CM)))</f>
        <v/>
      </c>
      <c r="R472" s="9" t="str">
        <f aca="false">IF(OR(NOT(ISNUMBER($O472)),NOT(ISNUMBER($N472)),NOT(ISNUMBER($Q472))),"",$O472*($N472/100)*$Q472*10)</f>
        <v/>
      </c>
      <c r="S472" s="11" t="str">
        <f aca="false">IF(AND($A472="",$B472="",$D472=""),"",IF(AND($A472&lt;&gt;"",COUNTIF('1. Plot &amp; Site Log'!$A$5:$A$64,$A472)=0),"Plot ID not in the Plot &amp; Site Log. ","")&amp;IF(AND(ISNUMBER($D472),ISNUMBER($E472),$E472&lt;=$D472),"Bottom depth is not below top depth. ","")&amp;IF($L472="Not confirmed","Bulk-density basis not confirmed with the lab — the coarse-fragment correction may be wrong or doubled. ","")&amp;IF(LAB_BULK_DENSITY_BASIS="Not confirmed","No lab bulk-density basis is on file in Settings (LAB_BULK_DENSITY_BASIS), so nothing checks this row. ","")&amp;IF(AND($L472&lt;&gt;"",LAB_BULK_DENSITY_BASIS&lt;&gt;"Not confirmed",$L472&lt;&gt;LAB_BULK_DENSITY_BASIS),"This row's bulk-density basis disagrees with the lab method on file. One of "&amp;"the two is wrong, and the coarse-fragment correction follows the row. ","")&amp;IF(AND(ISNUMBER($M472),OR($M472&lt;QC_BD_MIN,$M472&gt;QC_BD_MAX)),"Bulk density outside the plausible range for a mineral grassland soil. ","")&amp;IF(AND(ISNUMBER($N472),$N472&gt;QC_CARBON_PCT_MAX),"Organic carbon above the QC ceiling — check units, and whether this is an organic horizon. ","")&amp;IF(AND(ISNUMBER($J472),$J472&lt;QC_RECOVERY_MIN),"Recovered less than the QC minimum of the depth driven — the increments may not sit where you think. Do NOT stretch them back out. ","")&amp;IF(AND(ISNUMBER($K472),$K472&gt;0,$L472="Fine earth / total volume"),"Coarse fragments recorded and the lab basis already accounts for them — no further correction applied, which is correct. ",""))</f>
        <v/>
      </c>
      <c r="T472" s="6"/>
      <c r="U472" s="9" t="n">
        <f aca="false">IF($B472="",0,IF(COUNTIFS($B$5:$B472,$B472)=1,1,0))</f>
        <v>0</v>
      </c>
    </row>
    <row r="473" customFormat="false" ht="15" hidden="false" customHeight="false" outlineLevel="0" collapsed="false">
      <c r="A473" s="6"/>
      <c r="B473" s="6"/>
      <c r="C473" s="6"/>
      <c r="D473" s="6"/>
      <c r="E473" s="6"/>
      <c r="F473" s="9" t="str">
        <f aca="false">IF(OR($D473="",$E473=""),"",$E473-$D473)</f>
        <v/>
      </c>
      <c r="G473" s="6"/>
      <c r="H473" s="6"/>
      <c r="I473" s="6"/>
      <c r="J473" s="9" t="str">
        <f aca="false">IF(OR(NOT(ISNUMBER($H473)),NOT(ISNUMBER($I473)),$H473=0),"",$I473/$H473)</f>
        <v/>
      </c>
      <c r="K473" s="6"/>
      <c r="L473" s="8"/>
      <c r="M473" s="7"/>
      <c r="N473" s="7"/>
      <c r="O473" s="9" t="str">
        <f aca="false">IF(NOT(ISNUMBER($M473)),"",IF($L473="Fine earth / fine-earth volume",$M473*(1-IF(ISNUMBER($K473),$K473,0)/100),$M473))</f>
        <v/>
      </c>
      <c r="P473" s="9" t="str">
        <f aca="false">IF(OR(NOT(ISNUMBER($O473)),NOT(ISNUMBER($N473)),NOT(ISNUMBER($F473))),"",$O473*($N473/100)*$F473*10)</f>
        <v/>
      </c>
      <c r="Q473" s="9" t="str">
        <f aca="false">IF(OR(NOT(ISNUMBER($D473)),NOT(ISNUMBER($E473))),"",MAX(0,MIN($E473,SOIL_REPORTING_DEPTH_CM)-MIN($D473,SOIL_REPORTING_DEPTH_CM)))</f>
        <v/>
      </c>
      <c r="R473" s="9" t="str">
        <f aca="false">IF(OR(NOT(ISNUMBER($O473)),NOT(ISNUMBER($N473)),NOT(ISNUMBER($Q473))),"",$O473*($N473/100)*$Q473*10)</f>
        <v/>
      </c>
      <c r="S473" s="11" t="str">
        <f aca="false">IF(AND($A473="",$B473="",$D473=""),"",IF(AND($A473&lt;&gt;"",COUNTIF('1. Plot &amp; Site Log'!$A$5:$A$64,$A473)=0),"Plot ID not in the Plot &amp; Site Log. ","")&amp;IF(AND(ISNUMBER($D473),ISNUMBER($E473),$E473&lt;=$D473),"Bottom depth is not below top depth. ","")&amp;IF($L473="Not confirmed","Bulk-density basis not confirmed with the lab — the coarse-fragment correction may be wrong or doubled. ","")&amp;IF(LAB_BULK_DENSITY_BASIS="Not confirmed","No lab bulk-density basis is on file in Settings (LAB_BULK_DENSITY_BASIS), so nothing checks this row. ","")&amp;IF(AND($L473&lt;&gt;"",LAB_BULK_DENSITY_BASIS&lt;&gt;"Not confirmed",$L473&lt;&gt;LAB_BULK_DENSITY_BASIS),"This row's bulk-density basis disagrees with the lab method on file. One of "&amp;"the two is wrong, and the coarse-fragment correction follows the row. ","")&amp;IF(AND(ISNUMBER($M473),OR($M473&lt;QC_BD_MIN,$M473&gt;QC_BD_MAX)),"Bulk density outside the plausible range for a mineral grassland soil. ","")&amp;IF(AND(ISNUMBER($N473),$N473&gt;QC_CARBON_PCT_MAX),"Organic carbon above the QC ceiling — check units, and whether this is an organic horizon. ","")&amp;IF(AND(ISNUMBER($J473),$J473&lt;QC_RECOVERY_MIN),"Recovered less than the QC minimum of the depth driven — the increments may not sit where you think. Do NOT stretch them back out. ","")&amp;IF(AND(ISNUMBER($K473),$K473&gt;0,$L473="Fine earth / total volume"),"Coarse fragments recorded and the lab basis already accounts for them — no further correction applied, which is correct. ",""))</f>
        <v/>
      </c>
      <c r="T473" s="6"/>
      <c r="U473" s="9" t="n">
        <f aca="false">IF($B473="",0,IF(COUNTIFS($B$5:$B473,$B473)=1,1,0))</f>
        <v>0</v>
      </c>
    </row>
    <row r="474" customFormat="false" ht="15" hidden="false" customHeight="false" outlineLevel="0" collapsed="false">
      <c r="A474" s="6"/>
      <c r="B474" s="6"/>
      <c r="C474" s="6"/>
      <c r="D474" s="6"/>
      <c r="E474" s="6"/>
      <c r="F474" s="9" t="str">
        <f aca="false">IF(OR($D474="",$E474=""),"",$E474-$D474)</f>
        <v/>
      </c>
      <c r="G474" s="6"/>
      <c r="H474" s="6"/>
      <c r="I474" s="6"/>
      <c r="J474" s="9" t="str">
        <f aca="false">IF(OR(NOT(ISNUMBER($H474)),NOT(ISNUMBER($I474)),$H474=0),"",$I474/$H474)</f>
        <v/>
      </c>
      <c r="K474" s="6"/>
      <c r="L474" s="8"/>
      <c r="M474" s="7"/>
      <c r="N474" s="7"/>
      <c r="O474" s="9" t="str">
        <f aca="false">IF(NOT(ISNUMBER($M474)),"",IF($L474="Fine earth / fine-earth volume",$M474*(1-IF(ISNUMBER($K474),$K474,0)/100),$M474))</f>
        <v/>
      </c>
      <c r="P474" s="9" t="str">
        <f aca="false">IF(OR(NOT(ISNUMBER($O474)),NOT(ISNUMBER($N474)),NOT(ISNUMBER($F474))),"",$O474*($N474/100)*$F474*10)</f>
        <v/>
      </c>
      <c r="Q474" s="9" t="str">
        <f aca="false">IF(OR(NOT(ISNUMBER($D474)),NOT(ISNUMBER($E474))),"",MAX(0,MIN($E474,SOIL_REPORTING_DEPTH_CM)-MIN($D474,SOIL_REPORTING_DEPTH_CM)))</f>
        <v/>
      </c>
      <c r="R474" s="9" t="str">
        <f aca="false">IF(OR(NOT(ISNUMBER($O474)),NOT(ISNUMBER($N474)),NOT(ISNUMBER($Q474))),"",$O474*($N474/100)*$Q474*10)</f>
        <v/>
      </c>
      <c r="S474" s="11" t="str">
        <f aca="false">IF(AND($A474="",$B474="",$D474=""),"",IF(AND($A474&lt;&gt;"",COUNTIF('1. Plot &amp; Site Log'!$A$5:$A$64,$A474)=0),"Plot ID not in the Plot &amp; Site Log. ","")&amp;IF(AND(ISNUMBER($D474),ISNUMBER($E474),$E474&lt;=$D474),"Bottom depth is not below top depth. ","")&amp;IF($L474="Not confirmed","Bulk-density basis not confirmed with the lab — the coarse-fragment correction may be wrong or doubled. ","")&amp;IF(LAB_BULK_DENSITY_BASIS="Not confirmed","No lab bulk-density basis is on file in Settings (LAB_BULK_DENSITY_BASIS), so nothing checks this row. ","")&amp;IF(AND($L474&lt;&gt;"",LAB_BULK_DENSITY_BASIS&lt;&gt;"Not confirmed",$L474&lt;&gt;LAB_BULK_DENSITY_BASIS),"This row's bulk-density basis disagrees with the lab method on file. One of "&amp;"the two is wrong, and the coarse-fragment correction follows the row. ","")&amp;IF(AND(ISNUMBER($M474),OR($M474&lt;QC_BD_MIN,$M474&gt;QC_BD_MAX)),"Bulk density outside the plausible range for a mineral grassland soil. ","")&amp;IF(AND(ISNUMBER($N474),$N474&gt;QC_CARBON_PCT_MAX),"Organic carbon above the QC ceiling — check units, and whether this is an organic horizon. ","")&amp;IF(AND(ISNUMBER($J474),$J474&lt;QC_RECOVERY_MIN),"Recovered less than the QC minimum of the depth driven — the increments may not sit where you think. Do NOT stretch them back out. ","")&amp;IF(AND(ISNUMBER($K474),$K474&gt;0,$L474="Fine earth / total volume"),"Coarse fragments recorded and the lab basis already accounts for them — no further correction applied, which is correct. ",""))</f>
        <v/>
      </c>
      <c r="T474" s="6"/>
      <c r="U474" s="9" t="n">
        <f aca="false">IF($B474="",0,IF(COUNTIFS($B$5:$B474,$B474)=1,1,0))</f>
        <v>0</v>
      </c>
    </row>
    <row r="475" customFormat="false" ht="15" hidden="false" customHeight="false" outlineLevel="0" collapsed="false">
      <c r="A475" s="6"/>
      <c r="B475" s="6"/>
      <c r="C475" s="6"/>
      <c r="D475" s="6"/>
      <c r="E475" s="6"/>
      <c r="F475" s="9" t="str">
        <f aca="false">IF(OR($D475="",$E475=""),"",$E475-$D475)</f>
        <v/>
      </c>
      <c r="G475" s="6"/>
      <c r="H475" s="6"/>
      <c r="I475" s="6"/>
      <c r="J475" s="9" t="str">
        <f aca="false">IF(OR(NOT(ISNUMBER($H475)),NOT(ISNUMBER($I475)),$H475=0),"",$I475/$H475)</f>
        <v/>
      </c>
      <c r="K475" s="6"/>
      <c r="L475" s="8"/>
      <c r="M475" s="7"/>
      <c r="N475" s="7"/>
      <c r="O475" s="9" t="str">
        <f aca="false">IF(NOT(ISNUMBER($M475)),"",IF($L475="Fine earth / fine-earth volume",$M475*(1-IF(ISNUMBER($K475),$K475,0)/100),$M475))</f>
        <v/>
      </c>
      <c r="P475" s="9" t="str">
        <f aca="false">IF(OR(NOT(ISNUMBER($O475)),NOT(ISNUMBER($N475)),NOT(ISNUMBER($F475))),"",$O475*($N475/100)*$F475*10)</f>
        <v/>
      </c>
      <c r="Q475" s="9" t="str">
        <f aca="false">IF(OR(NOT(ISNUMBER($D475)),NOT(ISNUMBER($E475))),"",MAX(0,MIN($E475,SOIL_REPORTING_DEPTH_CM)-MIN($D475,SOIL_REPORTING_DEPTH_CM)))</f>
        <v/>
      </c>
      <c r="R475" s="9" t="str">
        <f aca="false">IF(OR(NOT(ISNUMBER($O475)),NOT(ISNUMBER($N475)),NOT(ISNUMBER($Q475))),"",$O475*($N475/100)*$Q475*10)</f>
        <v/>
      </c>
      <c r="S475" s="11" t="str">
        <f aca="false">IF(AND($A475="",$B475="",$D475=""),"",IF(AND($A475&lt;&gt;"",COUNTIF('1. Plot &amp; Site Log'!$A$5:$A$64,$A475)=0),"Plot ID not in the Plot &amp; Site Log. ","")&amp;IF(AND(ISNUMBER($D475),ISNUMBER($E475),$E475&lt;=$D475),"Bottom depth is not below top depth. ","")&amp;IF($L475="Not confirmed","Bulk-density basis not confirmed with the lab — the coarse-fragment correction may be wrong or doubled. ","")&amp;IF(LAB_BULK_DENSITY_BASIS="Not confirmed","No lab bulk-density basis is on file in Settings (LAB_BULK_DENSITY_BASIS), so nothing checks this row. ","")&amp;IF(AND($L475&lt;&gt;"",LAB_BULK_DENSITY_BASIS&lt;&gt;"Not confirmed",$L475&lt;&gt;LAB_BULK_DENSITY_BASIS),"This row's bulk-density basis disagrees with the lab method on file. One of "&amp;"the two is wrong, and the coarse-fragment correction follows the row. ","")&amp;IF(AND(ISNUMBER($M475),OR($M475&lt;QC_BD_MIN,$M475&gt;QC_BD_MAX)),"Bulk density outside the plausible range for a mineral grassland soil. ","")&amp;IF(AND(ISNUMBER($N475),$N475&gt;QC_CARBON_PCT_MAX),"Organic carbon above the QC ceiling — check units, and whether this is an organic horizon. ","")&amp;IF(AND(ISNUMBER($J475),$J475&lt;QC_RECOVERY_MIN),"Recovered less than the QC minimum of the depth driven — the increments may not sit where you think. Do NOT stretch them back out. ","")&amp;IF(AND(ISNUMBER($K475),$K475&gt;0,$L475="Fine earth / total volume"),"Coarse fragments recorded and the lab basis already accounts for them — no further correction applied, which is correct. ",""))</f>
        <v/>
      </c>
      <c r="T475" s="6"/>
      <c r="U475" s="9" t="n">
        <f aca="false">IF($B475="",0,IF(COUNTIFS($B$5:$B475,$B475)=1,1,0))</f>
        <v>0</v>
      </c>
    </row>
    <row r="476" customFormat="false" ht="15" hidden="false" customHeight="false" outlineLevel="0" collapsed="false">
      <c r="A476" s="6"/>
      <c r="B476" s="6"/>
      <c r="C476" s="6"/>
      <c r="D476" s="6"/>
      <c r="E476" s="6"/>
      <c r="F476" s="9" t="str">
        <f aca="false">IF(OR($D476="",$E476=""),"",$E476-$D476)</f>
        <v/>
      </c>
      <c r="G476" s="6"/>
      <c r="H476" s="6"/>
      <c r="I476" s="6"/>
      <c r="J476" s="9" t="str">
        <f aca="false">IF(OR(NOT(ISNUMBER($H476)),NOT(ISNUMBER($I476)),$H476=0),"",$I476/$H476)</f>
        <v/>
      </c>
      <c r="K476" s="6"/>
      <c r="L476" s="8"/>
      <c r="M476" s="7"/>
      <c r="N476" s="7"/>
      <c r="O476" s="9" t="str">
        <f aca="false">IF(NOT(ISNUMBER($M476)),"",IF($L476="Fine earth / fine-earth volume",$M476*(1-IF(ISNUMBER($K476),$K476,0)/100),$M476))</f>
        <v/>
      </c>
      <c r="P476" s="9" t="str">
        <f aca="false">IF(OR(NOT(ISNUMBER($O476)),NOT(ISNUMBER($N476)),NOT(ISNUMBER($F476))),"",$O476*($N476/100)*$F476*10)</f>
        <v/>
      </c>
      <c r="Q476" s="9" t="str">
        <f aca="false">IF(OR(NOT(ISNUMBER($D476)),NOT(ISNUMBER($E476))),"",MAX(0,MIN($E476,SOIL_REPORTING_DEPTH_CM)-MIN($D476,SOIL_REPORTING_DEPTH_CM)))</f>
        <v/>
      </c>
      <c r="R476" s="9" t="str">
        <f aca="false">IF(OR(NOT(ISNUMBER($O476)),NOT(ISNUMBER($N476)),NOT(ISNUMBER($Q476))),"",$O476*($N476/100)*$Q476*10)</f>
        <v/>
      </c>
      <c r="S476" s="11" t="str">
        <f aca="false">IF(AND($A476="",$B476="",$D476=""),"",IF(AND($A476&lt;&gt;"",COUNTIF('1. Plot &amp; Site Log'!$A$5:$A$64,$A476)=0),"Plot ID not in the Plot &amp; Site Log. ","")&amp;IF(AND(ISNUMBER($D476),ISNUMBER($E476),$E476&lt;=$D476),"Bottom depth is not below top depth. ","")&amp;IF($L476="Not confirmed","Bulk-density basis not confirmed with the lab — the coarse-fragment correction may be wrong or doubled. ","")&amp;IF(LAB_BULK_DENSITY_BASIS="Not confirmed","No lab bulk-density basis is on file in Settings (LAB_BULK_DENSITY_BASIS), so nothing checks this row. ","")&amp;IF(AND($L476&lt;&gt;"",LAB_BULK_DENSITY_BASIS&lt;&gt;"Not confirmed",$L476&lt;&gt;LAB_BULK_DENSITY_BASIS),"This row's bulk-density basis disagrees with the lab method on file. One of "&amp;"the two is wrong, and the coarse-fragment correction follows the row. ","")&amp;IF(AND(ISNUMBER($M476),OR($M476&lt;QC_BD_MIN,$M476&gt;QC_BD_MAX)),"Bulk density outside the plausible range for a mineral grassland soil. ","")&amp;IF(AND(ISNUMBER($N476),$N476&gt;QC_CARBON_PCT_MAX),"Organic carbon above the QC ceiling — check units, and whether this is an organic horizon. ","")&amp;IF(AND(ISNUMBER($J476),$J476&lt;QC_RECOVERY_MIN),"Recovered less than the QC minimum of the depth driven — the increments may not sit where you think. Do NOT stretch them back out. ","")&amp;IF(AND(ISNUMBER($K476),$K476&gt;0,$L476="Fine earth / total volume"),"Coarse fragments recorded and the lab basis already accounts for them — no further correction applied, which is correct. ",""))</f>
        <v/>
      </c>
      <c r="T476" s="6"/>
      <c r="U476" s="9" t="n">
        <f aca="false">IF($B476="",0,IF(COUNTIFS($B$5:$B476,$B476)=1,1,0))</f>
        <v>0</v>
      </c>
    </row>
    <row r="477" customFormat="false" ht="15" hidden="false" customHeight="false" outlineLevel="0" collapsed="false">
      <c r="A477" s="6"/>
      <c r="B477" s="6"/>
      <c r="C477" s="6"/>
      <c r="D477" s="6"/>
      <c r="E477" s="6"/>
      <c r="F477" s="9" t="str">
        <f aca="false">IF(OR($D477="",$E477=""),"",$E477-$D477)</f>
        <v/>
      </c>
      <c r="G477" s="6"/>
      <c r="H477" s="6"/>
      <c r="I477" s="6"/>
      <c r="J477" s="9" t="str">
        <f aca="false">IF(OR(NOT(ISNUMBER($H477)),NOT(ISNUMBER($I477)),$H477=0),"",$I477/$H477)</f>
        <v/>
      </c>
      <c r="K477" s="6"/>
      <c r="L477" s="8"/>
      <c r="M477" s="7"/>
      <c r="N477" s="7"/>
      <c r="O477" s="9" t="str">
        <f aca="false">IF(NOT(ISNUMBER($M477)),"",IF($L477="Fine earth / fine-earth volume",$M477*(1-IF(ISNUMBER($K477),$K477,0)/100),$M477))</f>
        <v/>
      </c>
      <c r="P477" s="9" t="str">
        <f aca="false">IF(OR(NOT(ISNUMBER($O477)),NOT(ISNUMBER($N477)),NOT(ISNUMBER($F477))),"",$O477*($N477/100)*$F477*10)</f>
        <v/>
      </c>
      <c r="Q477" s="9" t="str">
        <f aca="false">IF(OR(NOT(ISNUMBER($D477)),NOT(ISNUMBER($E477))),"",MAX(0,MIN($E477,SOIL_REPORTING_DEPTH_CM)-MIN($D477,SOIL_REPORTING_DEPTH_CM)))</f>
        <v/>
      </c>
      <c r="R477" s="9" t="str">
        <f aca="false">IF(OR(NOT(ISNUMBER($O477)),NOT(ISNUMBER($N477)),NOT(ISNUMBER($Q477))),"",$O477*($N477/100)*$Q477*10)</f>
        <v/>
      </c>
      <c r="S477" s="11" t="str">
        <f aca="false">IF(AND($A477="",$B477="",$D477=""),"",IF(AND($A477&lt;&gt;"",COUNTIF('1. Plot &amp; Site Log'!$A$5:$A$64,$A477)=0),"Plot ID not in the Plot &amp; Site Log. ","")&amp;IF(AND(ISNUMBER($D477),ISNUMBER($E477),$E477&lt;=$D477),"Bottom depth is not below top depth. ","")&amp;IF($L477="Not confirmed","Bulk-density basis not confirmed with the lab — the coarse-fragment correction may be wrong or doubled. ","")&amp;IF(LAB_BULK_DENSITY_BASIS="Not confirmed","No lab bulk-density basis is on file in Settings (LAB_BULK_DENSITY_BASIS), so nothing checks this row. ","")&amp;IF(AND($L477&lt;&gt;"",LAB_BULK_DENSITY_BASIS&lt;&gt;"Not confirmed",$L477&lt;&gt;LAB_BULK_DENSITY_BASIS),"This row's bulk-density basis disagrees with the lab method on file. One of "&amp;"the two is wrong, and the coarse-fragment correction follows the row. ","")&amp;IF(AND(ISNUMBER($M477),OR($M477&lt;QC_BD_MIN,$M477&gt;QC_BD_MAX)),"Bulk density outside the plausible range for a mineral grassland soil. ","")&amp;IF(AND(ISNUMBER($N477),$N477&gt;QC_CARBON_PCT_MAX),"Organic carbon above the QC ceiling — check units, and whether this is an organic horizon. ","")&amp;IF(AND(ISNUMBER($J477),$J477&lt;QC_RECOVERY_MIN),"Recovered less than the QC minimum of the depth driven — the increments may not sit where you think. Do NOT stretch them back out. ","")&amp;IF(AND(ISNUMBER($K477),$K477&gt;0,$L477="Fine earth / total volume"),"Coarse fragments recorded and the lab basis already accounts for them — no further correction applied, which is correct. ",""))</f>
        <v/>
      </c>
      <c r="T477" s="6"/>
      <c r="U477" s="9" t="n">
        <f aca="false">IF($B477="",0,IF(COUNTIFS($B$5:$B477,$B477)=1,1,0))</f>
        <v>0</v>
      </c>
    </row>
    <row r="478" customFormat="false" ht="15" hidden="false" customHeight="false" outlineLevel="0" collapsed="false">
      <c r="A478" s="6"/>
      <c r="B478" s="6"/>
      <c r="C478" s="6"/>
      <c r="D478" s="6"/>
      <c r="E478" s="6"/>
      <c r="F478" s="9" t="str">
        <f aca="false">IF(OR($D478="",$E478=""),"",$E478-$D478)</f>
        <v/>
      </c>
      <c r="G478" s="6"/>
      <c r="H478" s="6"/>
      <c r="I478" s="6"/>
      <c r="J478" s="9" t="str">
        <f aca="false">IF(OR(NOT(ISNUMBER($H478)),NOT(ISNUMBER($I478)),$H478=0),"",$I478/$H478)</f>
        <v/>
      </c>
      <c r="K478" s="6"/>
      <c r="L478" s="8"/>
      <c r="M478" s="7"/>
      <c r="N478" s="7"/>
      <c r="O478" s="9" t="str">
        <f aca="false">IF(NOT(ISNUMBER($M478)),"",IF($L478="Fine earth / fine-earth volume",$M478*(1-IF(ISNUMBER($K478),$K478,0)/100),$M478))</f>
        <v/>
      </c>
      <c r="P478" s="9" t="str">
        <f aca="false">IF(OR(NOT(ISNUMBER($O478)),NOT(ISNUMBER($N478)),NOT(ISNUMBER($F478))),"",$O478*($N478/100)*$F478*10)</f>
        <v/>
      </c>
      <c r="Q478" s="9" t="str">
        <f aca="false">IF(OR(NOT(ISNUMBER($D478)),NOT(ISNUMBER($E478))),"",MAX(0,MIN($E478,SOIL_REPORTING_DEPTH_CM)-MIN($D478,SOIL_REPORTING_DEPTH_CM)))</f>
        <v/>
      </c>
      <c r="R478" s="9" t="str">
        <f aca="false">IF(OR(NOT(ISNUMBER($O478)),NOT(ISNUMBER($N478)),NOT(ISNUMBER($Q478))),"",$O478*($N478/100)*$Q478*10)</f>
        <v/>
      </c>
      <c r="S478" s="11" t="str">
        <f aca="false">IF(AND($A478="",$B478="",$D478=""),"",IF(AND($A478&lt;&gt;"",COUNTIF('1. Plot &amp; Site Log'!$A$5:$A$64,$A478)=0),"Plot ID not in the Plot &amp; Site Log. ","")&amp;IF(AND(ISNUMBER($D478),ISNUMBER($E478),$E478&lt;=$D478),"Bottom depth is not below top depth. ","")&amp;IF($L478="Not confirmed","Bulk-density basis not confirmed with the lab — the coarse-fragment correction may be wrong or doubled. ","")&amp;IF(LAB_BULK_DENSITY_BASIS="Not confirmed","No lab bulk-density basis is on file in Settings (LAB_BULK_DENSITY_BASIS), so nothing checks this row. ","")&amp;IF(AND($L478&lt;&gt;"",LAB_BULK_DENSITY_BASIS&lt;&gt;"Not confirmed",$L478&lt;&gt;LAB_BULK_DENSITY_BASIS),"This row's bulk-density basis disagrees with the lab method on file. One of "&amp;"the two is wrong, and the coarse-fragment correction follows the row. ","")&amp;IF(AND(ISNUMBER($M478),OR($M478&lt;QC_BD_MIN,$M478&gt;QC_BD_MAX)),"Bulk density outside the plausible range for a mineral grassland soil. ","")&amp;IF(AND(ISNUMBER($N478),$N478&gt;QC_CARBON_PCT_MAX),"Organic carbon above the QC ceiling — check units, and whether this is an organic horizon. ","")&amp;IF(AND(ISNUMBER($J478),$J478&lt;QC_RECOVERY_MIN),"Recovered less than the QC minimum of the depth driven — the increments may not sit where you think. Do NOT stretch them back out. ","")&amp;IF(AND(ISNUMBER($K478),$K478&gt;0,$L478="Fine earth / total volume"),"Coarse fragments recorded and the lab basis already accounts for them — no further correction applied, which is correct. ",""))</f>
        <v/>
      </c>
      <c r="T478" s="6"/>
      <c r="U478" s="9" t="n">
        <f aca="false">IF($B478="",0,IF(COUNTIFS($B$5:$B478,$B478)=1,1,0))</f>
        <v>0</v>
      </c>
    </row>
    <row r="479" customFormat="false" ht="15" hidden="false" customHeight="false" outlineLevel="0" collapsed="false">
      <c r="A479" s="6"/>
      <c r="B479" s="6"/>
      <c r="C479" s="6"/>
      <c r="D479" s="6"/>
      <c r="E479" s="6"/>
      <c r="F479" s="9" t="str">
        <f aca="false">IF(OR($D479="",$E479=""),"",$E479-$D479)</f>
        <v/>
      </c>
      <c r="G479" s="6"/>
      <c r="H479" s="6"/>
      <c r="I479" s="6"/>
      <c r="J479" s="9" t="str">
        <f aca="false">IF(OR(NOT(ISNUMBER($H479)),NOT(ISNUMBER($I479)),$H479=0),"",$I479/$H479)</f>
        <v/>
      </c>
      <c r="K479" s="6"/>
      <c r="L479" s="8"/>
      <c r="M479" s="7"/>
      <c r="N479" s="7"/>
      <c r="O479" s="9" t="str">
        <f aca="false">IF(NOT(ISNUMBER($M479)),"",IF($L479="Fine earth / fine-earth volume",$M479*(1-IF(ISNUMBER($K479),$K479,0)/100),$M479))</f>
        <v/>
      </c>
      <c r="P479" s="9" t="str">
        <f aca="false">IF(OR(NOT(ISNUMBER($O479)),NOT(ISNUMBER($N479)),NOT(ISNUMBER($F479))),"",$O479*($N479/100)*$F479*10)</f>
        <v/>
      </c>
      <c r="Q479" s="9" t="str">
        <f aca="false">IF(OR(NOT(ISNUMBER($D479)),NOT(ISNUMBER($E479))),"",MAX(0,MIN($E479,SOIL_REPORTING_DEPTH_CM)-MIN($D479,SOIL_REPORTING_DEPTH_CM)))</f>
        <v/>
      </c>
      <c r="R479" s="9" t="str">
        <f aca="false">IF(OR(NOT(ISNUMBER($O479)),NOT(ISNUMBER($N479)),NOT(ISNUMBER($Q479))),"",$O479*($N479/100)*$Q479*10)</f>
        <v/>
      </c>
      <c r="S479" s="11" t="str">
        <f aca="false">IF(AND($A479="",$B479="",$D479=""),"",IF(AND($A479&lt;&gt;"",COUNTIF('1. Plot &amp; Site Log'!$A$5:$A$64,$A479)=0),"Plot ID not in the Plot &amp; Site Log. ","")&amp;IF(AND(ISNUMBER($D479),ISNUMBER($E479),$E479&lt;=$D479),"Bottom depth is not below top depth. ","")&amp;IF($L479="Not confirmed","Bulk-density basis not confirmed with the lab — the coarse-fragment correction may be wrong or doubled. ","")&amp;IF(LAB_BULK_DENSITY_BASIS="Not confirmed","No lab bulk-density basis is on file in Settings (LAB_BULK_DENSITY_BASIS), so nothing checks this row. ","")&amp;IF(AND($L479&lt;&gt;"",LAB_BULK_DENSITY_BASIS&lt;&gt;"Not confirmed",$L479&lt;&gt;LAB_BULK_DENSITY_BASIS),"This row's bulk-density basis disagrees with the lab method on file. One of "&amp;"the two is wrong, and the coarse-fragment correction follows the row. ","")&amp;IF(AND(ISNUMBER($M479),OR($M479&lt;QC_BD_MIN,$M479&gt;QC_BD_MAX)),"Bulk density outside the plausible range for a mineral grassland soil. ","")&amp;IF(AND(ISNUMBER($N479),$N479&gt;QC_CARBON_PCT_MAX),"Organic carbon above the QC ceiling — check units, and whether this is an organic horizon. ","")&amp;IF(AND(ISNUMBER($J479),$J479&lt;QC_RECOVERY_MIN),"Recovered less than the QC minimum of the depth driven — the increments may not sit where you think. Do NOT stretch them back out. ","")&amp;IF(AND(ISNUMBER($K479),$K479&gt;0,$L479="Fine earth / total volume"),"Coarse fragments recorded and the lab basis already accounts for them — no further correction applied, which is correct. ",""))</f>
        <v/>
      </c>
      <c r="T479" s="6"/>
      <c r="U479" s="9" t="n">
        <f aca="false">IF($B479="",0,IF(COUNTIFS($B$5:$B479,$B479)=1,1,0))</f>
        <v>0</v>
      </c>
    </row>
    <row r="480" customFormat="false" ht="15" hidden="false" customHeight="false" outlineLevel="0" collapsed="false">
      <c r="A480" s="6"/>
      <c r="B480" s="6"/>
      <c r="C480" s="6"/>
      <c r="D480" s="6"/>
      <c r="E480" s="6"/>
      <c r="F480" s="9" t="str">
        <f aca="false">IF(OR($D480="",$E480=""),"",$E480-$D480)</f>
        <v/>
      </c>
      <c r="G480" s="6"/>
      <c r="H480" s="6"/>
      <c r="I480" s="6"/>
      <c r="J480" s="9" t="str">
        <f aca="false">IF(OR(NOT(ISNUMBER($H480)),NOT(ISNUMBER($I480)),$H480=0),"",$I480/$H480)</f>
        <v/>
      </c>
      <c r="K480" s="6"/>
      <c r="L480" s="8"/>
      <c r="M480" s="7"/>
      <c r="N480" s="7"/>
      <c r="O480" s="9" t="str">
        <f aca="false">IF(NOT(ISNUMBER($M480)),"",IF($L480="Fine earth / fine-earth volume",$M480*(1-IF(ISNUMBER($K480),$K480,0)/100),$M480))</f>
        <v/>
      </c>
      <c r="P480" s="9" t="str">
        <f aca="false">IF(OR(NOT(ISNUMBER($O480)),NOT(ISNUMBER($N480)),NOT(ISNUMBER($F480))),"",$O480*($N480/100)*$F480*10)</f>
        <v/>
      </c>
      <c r="Q480" s="9" t="str">
        <f aca="false">IF(OR(NOT(ISNUMBER($D480)),NOT(ISNUMBER($E480))),"",MAX(0,MIN($E480,SOIL_REPORTING_DEPTH_CM)-MIN($D480,SOIL_REPORTING_DEPTH_CM)))</f>
        <v/>
      </c>
      <c r="R480" s="9" t="str">
        <f aca="false">IF(OR(NOT(ISNUMBER($O480)),NOT(ISNUMBER($N480)),NOT(ISNUMBER($Q480))),"",$O480*($N480/100)*$Q480*10)</f>
        <v/>
      </c>
      <c r="S480" s="11" t="str">
        <f aca="false">IF(AND($A480="",$B480="",$D480=""),"",IF(AND($A480&lt;&gt;"",COUNTIF('1. Plot &amp; Site Log'!$A$5:$A$64,$A480)=0),"Plot ID not in the Plot &amp; Site Log. ","")&amp;IF(AND(ISNUMBER($D480),ISNUMBER($E480),$E480&lt;=$D480),"Bottom depth is not below top depth. ","")&amp;IF($L480="Not confirmed","Bulk-density basis not confirmed with the lab — the coarse-fragment correction may be wrong or doubled. ","")&amp;IF(LAB_BULK_DENSITY_BASIS="Not confirmed","No lab bulk-density basis is on file in Settings (LAB_BULK_DENSITY_BASIS), so nothing checks this row. ","")&amp;IF(AND($L480&lt;&gt;"",LAB_BULK_DENSITY_BASIS&lt;&gt;"Not confirmed",$L480&lt;&gt;LAB_BULK_DENSITY_BASIS),"This row's bulk-density basis disagrees with the lab method on file. One of "&amp;"the two is wrong, and the coarse-fragment correction follows the row. ","")&amp;IF(AND(ISNUMBER($M480),OR($M480&lt;QC_BD_MIN,$M480&gt;QC_BD_MAX)),"Bulk density outside the plausible range for a mineral grassland soil. ","")&amp;IF(AND(ISNUMBER($N480),$N480&gt;QC_CARBON_PCT_MAX),"Organic carbon above the QC ceiling — check units, and whether this is an organic horizon. ","")&amp;IF(AND(ISNUMBER($J480),$J480&lt;QC_RECOVERY_MIN),"Recovered less than the QC minimum of the depth driven — the increments may not sit where you think. Do NOT stretch them back out. ","")&amp;IF(AND(ISNUMBER($K480),$K480&gt;0,$L480="Fine earth / total volume"),"Coarse fragments recorded and the lab basis already accounts for them — no further correction applied, which is correct. ",""))</f>
        <v/>
      </c>
      <c r="T480" s="6"/>
      <c r="U480" s="9" t="n">
        <f aca="false">IF($B480="",0,IF(COUNTIFS($B$5:$B480,$B480)=1,1,0))</f>
        <v>0</v>
      </c>
    </row>
    <row r="481" customFormat="false" ht="15" hidden="false" customHeight="false" outlineLevel="0" collapsed="false">
      <c r="A481" s="6"/>
      <c r="B481" s="6"/>
      <c r="C481" s="6"/>
      <c r="D481" s="6"/>
      <c r="E481" s="6"/>
      <c r="F481" s="9" t="str">
        <f aca="false">IF(OR($D481="",$E481=""),"",$E481-$D481)</f>
        <v/>
      </c>
      <c r="G481" s="6"/>
      <c r="H481" s="6"/>
      <c r="I481" s="6"/>
      <c r="J481" s="9" t="str">
        <f aca="false">IF(OR(NOT(ISNUMBER($H481)),NOT(ISNUMBER($I481)),$H481=0),"",$I481/$H481)</f>
        <v/>
      </c>
      <c r="K481" s="6"/>
      <c r="L481" s="8"/>
      <c r="M481" s="7"/>
      <c r="N481" s="7"/>
      <c r="O481" s="9" t="str">
        <f aca="false">IF(NOT(ISNUMBER($M481)),"",IF($L481="Fine earth / fine-earth volume",$M481*(1-IF(ISNUMBER($K481),$K481,0)/100),$M481))</f>
        <v/>
      </c>
      <c r="P481" s="9" t="str">
        <f aca="false">IF(OR(NOT(ISNUMBER($O481)),NOT(ISNUMBER($N481)),NOT(ISNUMBER($F481))),"",$O481*($N481/100)*$F481*10)</f>
        <v/>
      </c>
      <c r="Q481" s="9" t="str">
        <f aca="false">IF(OR(NOT(ISNUMBER($D481)),NOT(ISNUMBER($E481))),"",MAX(0,MIN($E481,SOIL_REPORTING_DEPTH_CM)-MIN($D481,SOIL_REPORTING_DEPTH_CM)))</f>
        <v/>
      </c>
      <c r="R481" s="9" t="str">
        <f aca="false">IF(OR(NOT(ISNUMBER($O481)),NOT(ISNUMBER($N481)),NOT(ISNUMBER($Q481))),"",$O481*($N481/100)*$Q481*10)</f>
        <v/>
      </c>
      <c r="S481" s="11" t="str">
        <f aca="false">IF(AND($A481="",$B481="",$D481=""),"",IF(AND($A481&lt;&gt;"",COUNTIF('1. Plot &amp; Site Log'!$A$5:$A$64,$A481)=0),"Plot ID not in the Plot &amp; Site Log. ","")&amp;IF(AND(ISNUMBER($D481),ISNUMBER($E481),$E481&lt;=$D481),"Bottom depth is not below top depth. ","")&amp;IF($L481="Not confirmed","Bulk-density basis not confirmed with the lab — the coarse-fragment correction may be wrong or doubled. ","")&amp;IF(LAB_BULK_DENSITY_BASIS="Not confirmed","No lab bulk-density basis is on file in Settings (LAB_BULK_DENSITY_BASIS), so nothing checks this row. ","")&amp;IF(AND($L481&lt;&gt;"",LAB_BULK_DENSITY_BASIS&lt;&gt;"Not confirmed",$L481&lt;&gt;LAB_BULK_DENSITY_BASIS),"This row's bulk-density basis disagrees with the lab method on file. One of "&amp;"the two is wrong, and the coarse-fragment correction follows the row. ","")&amp;IF(AND(ISNUMBER($M481),OR($M481&lt;QC_BD_MIN,$M481&gt;QC_BD_MAX)),"Bulk density outside the plausible range for a mineral grassland soil. ","")&amp;IF(AND(ISNUMBER($N481),$N481&gt;QC_CARBON_PCT_MAX),"Organic carbon above the QC ceiling — check units, and whether this is an organic horizon. ","")&amp;IF(AND(ISNUMBER($J481),$J481&lt;QC_RECOVERY_MIN),"Recovered less than the QC minimum of the depth driven — the increments may not sit where you think. Do NOT stretch them back out. ","")&amp;IF(AND(ISNUMBER($K481),$K481&gt;0,$L481="Fine earth / total volume"),"Coarse fragments recorded and the lab basis already accounts for them — no further correction applied, which is correct. ",""))</f>
        <v/>
      </c>
      <c r="T481" s="6"/>
      <c r="U481" s="9" t="n">
        <f aca="false">IF($B481="",0,IF(COUNTIFS($B$5:$B481,$B481)=1,1,0))</f>
        <v>0</v>
      </c>
    </row>
    <row r="482" customFormat="false" ht="15" hidden="false" customHeight="false" outlineLevel="0" collapsed="false">
      <c r="A482" s="6"/>
      <c r="B482" s="6"/>
      <c r="C482" s="6"/>
      <c r="D482" s="6"/>
      <c r="E482" s="6"/>
      <c r="F482" s="9" t="str">
        <f aca="false">IF(OR($D482="",$E482=""),"",$E482-$D482)</f>
        <v/>
      </c>
      <c r="G482" s="6"/>
      <c r="H482" s="6"/>
      <c r="I482" s="6"/>
      <c r="J482" s="9" t="str">
        <f aca="false">IF(OR(NOT(ISNUMBER($H482)),NOT(ISNUMBER($I482)),$H482=0),"",$I482/$H482)</f>
        <v/>
      </c>
      <c r="K482" s="6"/>
      <c r="L482" s="8"/>
      <c r="M482" s="7"/>
      <c r="N482" s="7"/>
      <c r="O482" s="9" t="str">
        <f aca="false">IF(NOT(ISNUMBER($M482)),"",IF($L482="Fine earth / fine-earth volume",$M482*(1-IF(ISNUMBER($K482),$K482,0)/100),$M482))</f>
        <v/>
      </c>
      <c r="P482" s="9" t="str">
        <f aca="false">IF(OR(NOT(ISNUMBER($O482)),NOT(ISNUMBER($N482)),NOT(ISNUMBER($F482))),"",$O482*($N482/100)*$F482*10)</f>
        <v/>
      </c>
      <c r="Q482" s="9" t="str">
        <f aca="false">IF(OR(NOT(ISNUMBER($D482)),NOT(ISNUMBER($E482))),"",MAX(0,MIN($E482,SOIL_REPORTING_DEPTH_CM)-MIN($D482,SOIL_REPORTING_DEPTH_CM)))</f>
        <v/>
      </c>
      <c r="R482" s="9" t="str">
        <f aca="false">IF(OR(NOT(ISNUMBER($O482)),NOT(ISNUMBER($N482)),NOT(ISNUMBER($Q482))),"",$O482*($N482/100)*$Q482*10)</f>
        <v/>
      </c>
      <c r="S482" s="11" t="str">
        <f aca="false">IF(AND($A482="",$B482="",$D482=""),"",IF(AND($A482&lt;&gt;"",COUNTIF('1. Plot &amp; Site Log'!$A$5:$A$64,$A482)=0),"Plot ID not in the Plot &amp; Site Log. ","")&amp;IF(AND(ISNUMBER($D482),ISNUMBER($E482),$E482&lt;=$D482),"Bottom depth is not below top depth. ","")&amp;IF($L482="Not confirmed","Bulk-density basis not confirmed with the lab — the coarse-fragment correction may be wrong or doubled. ","")&amp;IF(LAB_BULK_DENSITY_BASIS="Not confirmed","No lab bulk-density basis is on file in Settings (LAB_BULK_DENSITY_BASIS), so nothing checks this row. ","")&amp;IF(AND($L482&lt;&gt;"",LAB_BULK_DENSITY_BASIS&lt;&gt;"Not confirmed",$L482&lt;&gt;LAB_BULK_DENSITY_BASIS),"This row's bulk-density basis disagrees with the lab method on file. One of "&amp;"the two is wrong, and the coarse-fragment correction follows the row. ","")&amp;IF(AND(ISNUMBER($M482),OR($M482&lt;QC_BD_MIN,$M482&gt;QC_BD_MAX)),"Bulk density outside the plausible range for a mineral grassland soil. ","")&amp;IF(AND(ISNUMBER($N482),$N482&gt;QC_CARBON_PCT_MAX),"Organic carbon above the QC ceiling — check units, and whether this is an organic horizon. ","")&amp;IF(AND(ISNUMBER($J482),$J482&lt;QC_RECOVERY_MIN),"Recovered less than the QC minimum of the depth driven — the increments may not sit where you think. Do NOT stretch them back out. ","")&amp;IF(AND(ISNUMBER($K482),$K482&gt;0,$L482="Fine earth / total volume"),"Coarse fragments recorded and the lab basis already accounts for them — no further correction applied, which is correct. ",""))</f>
        <v/>
      </c>
      <c r="T482" s="6"/>
      <c r="U482" s="9" t="n">
        <f aca="false">IF($B482="",0,IF(COUNTIFS($B$5:$B482,$B482)=1,1,0))</f>
        <v>0</v>
      </c>
    </row>
    <row r="483" customFormat="false" ht="15" hidden="false" customHeight="false" outlineLevel="0" collapsed="false">
      <c r="A483" s="6"/>
      <c r="B483" s="6"/>
      <c r="C483" s="6"/>
      <c r="D483" s="6"/>
      <c r="E483" s="6"/>
      <c r="F483" s="9" t="str">
        <f aca="false">IF(OR($D483="",$E483=""),"",$E483-$D483)</f>
        <v/>
      </c>
      <c r="G483" s="6"/>
      <c r="H483" s="6"/>
      <c r="I483" s="6"/>
      <c r="J483" s="9" t="str">
        <f aca="false">IF(OR(NOT(ISNUMBER($H483)),NOT(ISNUMBER($I483)),$H483=0),"",$I483/$H483)</f>
        <v/>
      </c>
      <c r="K483" s="6"/>
      <c r="L483" s="8"/>
      <c r="M483" s="7"/>
      <c r="N483" s="7"/>
      <c r="O483" s="9" t="str">
        <f aca="false">IF(NOT(ISNUMBER($M483)),"",IF($L483="Fine earth / fine-earth volume",$M483*(1-IF(ISNUMBER($K483),$K483,0)/100),$M483))</f>
        <v/>
      </c>
      <c r="P483" s="9" t="str">
        <f aca="false">IF(OR(NOT(ISNUMBER($O483)),NOT(ISNUMBER($N483)),NOT(ISNUMBER($F483))),"",$O483*($N483/100)*$F483*10)</f>
        <v/>
      </c>
      <c r="Q483" s="9" t="str">
        <f aca="false">IF(OR(NOT(ISNUMBER($D483)),NOT(ISNUMBER($E483))),"",MAX(0,MIN($E483,SOIL_REPORTING_DEPTH_CM)-MIN($D483,SOIL_REPORTING_DEPTH_CM)))</f>
        <v/>
      </c>
      <c r="R483" s="9" t="str">
        <f aca="false">IF(OR(NOT(ISNUMBER($O483)),NOT(ISNUMBER($N483)),NOT(ISNUMBER($Q483))),"",$O483*($N483/100)*$Q483*10)</f>
        <v/>
      </c>
      <c r="S483" s="11" t="str">
        <f aca="false">IF(AND($A483="",$B483="",$D483=""),"",IF(AND($A483&lt;&gt;"",COUNTIF('1. Plot &amp; Site Log'!$A$5:$A$64,$A483)=0),"Plot ID not in the Plot &amp; Site Log. ","")&amp;IF(AND(ISNUMBER($D483),ISNUMBER($E483),$E483&lt;=$D483),"Bottom depth is not below top depth. ","")&amp;IF($L483="Not confirmed","Bulk-density basis not confirmed with the lab — the coarse-fragment correction may be wrong or doubled. ","")&amp;IF(LAB_BULK_DENSITY_BASIS="Not confirmed","No lab bulk-density basis is on file in Settings (LAB_BULK_DENSITY_BASIS), so nothing checks this row. ","")&amp;IF(AND($L483&lt;&gt;"",LAB_BULK_DENSITY_BASIS&lt;&gt;"Not confirmed",$L483&lt;&gt;LAB_BULK_DENSITY_BASIS),"This row's bulk-density basis disagrees with the lab method on file. One of "&amp;"the two is wrong, and the coarse-fragment correction follows the row. ","")&amp;IF(AND(ISNUMBER($M483),OR($M483&lt;QC_BD_MIN,$M483&gt;QC_BD_MAX)),"Bulk density outside the plausible range for a mineral grassland soil. ","")&amp;IF(AND(ISNUMBER($N483),$N483&gt;QC_CARBON_PCT_MAX),"Organic carbon above the QC ceiling — check units, and whether this is an organic horizon. ","")&amp;IF(AND(ISNUMBER($J483),$J483&lt;QC_RECOVERY_MIN),"Recovered less than the QC minimum of the depth driven — the increments may not sit where you think. Do NOT stretch them back out. ","")&amp;IF(AND(ISNUMBER($K483),$K483&gt;0,$L483="Fine earth / total volume"),"Coarse fragments recorded and the lab basis already accounts for them — no further correction applied, which is correct. ",""))</f>
        <v/>
      </c>
      <c r="T483" s="6"/>
      <c r="U483" s="9" t="n">
        <f aca="false">IF($B483="",0,IF(COUNTIFS($B$5:$B483,$B483)=1,1,0))</f>
        <v>0</v>
      </c>
    </row>
    <row r="484" customFormat="false" ht="15" hidden="false" customHeight="false" outlineLevel="0" collapsed="false">
      <c r="A484" s="6"/>
      <c r="B484" s="6"/>
      <c r="C484" s="6"/>
      <c r="D484" s="6"/>
      <c r="E484" s="6"/>
      <c r="F484" s="9" t="str">
        <f aca="false">IF(OR($D484="",$E484=""),"",$E484-$D484)</f>
        <v/>
      </c>
      <c r="G484" s="6"/>
      <c r="H484" s="6"/>
      <c r="I484" s="6"/>
      <c r="J484" s="9" t="str">
        <f aca="false">IF(OR(NOT(ISNUMBER($H484)),NOT(ISNUMBER($I484)),$H484=0),"",$I484/$H484)</f>
        <v/>
      </c>
      <c r="K484" s="6"/>
      <c r="L484" s="8"/>
      <c r="M484" s="7"/>
      <c r="N484" s="7"/>
      <c r="O484" s="9" t="str">
        <f aca="false">IF(NOT(ISNUMBER($M484)),"",IF($L484="Fine earth / fine-earth volume",$M484*(1-IF(ISNUMBER($K484),$K484,0)/100),$M484))</f>
        <v/>
      </c>
      <c r="P484" s="9" t="str">
        <f aca="false">IF(OR(NOT(ISNUMBER($O484)),NOT(ISNUMBER($N484)),NOT(ISNUMBER($F484))),"",$O484*($N484/100)*$F484*10)</f>
        <v/>
      </c>
      <c r="Q484" s="9" t="str">
        <f aca="false">IF(OR(NOT(ISNUMBER($D484)),NOT(ISNUMBER($E484))),"",MAX(0,MIN($E484,SOIL_REPORTING_DEPTH_CM)-MIN($D484,SOIL_REPORTING_DEPTH_CM)))</f>
        <v/>
      </c>
      <c r="R484" s="9" t="str">
        <f aca="false">IF(OR(NOT(ISNUMBER($O484)),NOT(ISNUMBER($N484)),NOT(ISNUMBER($Q484))),"",$O484*($N484/100)*$Q484*10)</f>
        <v/>
      </c>
      <c r="S484" s="11" t="str">
        <f aca="false">IF(AND($A484="",$B484="",$D484=""),"",IF(AND($A484&lt;&gt;"",COUNTIF('1. Plot &amp; Site Log'!$A$5:$A$64,$A484)=0),"Plot ID not in the Plot &amp; Site Log. ","")&amp;IF(AND(ISNUMBER($D484),ISNUMBER($E484),$E484&lt;=$D484),"Bottom depth is not below top depth. ","")&amp;IF($L484="Not confirmed","Bulk-density basis not confirmed with the lab — the coarse-fragment correction may be wrong or doubled. ","")&amp;IF(LAB_BULK_DENSITY_BASIS="Not confirmed","No lab bulk-density basis is on file in Settings (LAB_BULK_DENSITY_BASIS), so nothing checks this row. ","")&amp;IF(AND($L484&lt;&gt;"",LAB_BULK_DENSITY_BASIS&lt;&gt;"Not confirmed",$L484&lt;&gt;LAB_BULK_DENSITY_BASIS),"This row's bulk-density basis disagrees with the lab method on file. One of "&amp;"the two is wrong, and the coarse-fragment correction follows the row. ","")&amp;IF(AND(ISNUMBER($M484),OR($M484&lt;QC_BD_MIN,$M484&gt;QC_BD_MAX)),"Bulk density outside the plausible range for a mineral grassland soil. ","")&amp;IF(AND(ISNUMBER($N484),$N484&gt;QC_CARBON_PCT_MAX),"Organic carbon above the QC ceiling — check units, and whether this is an organic horizon. ","")&amp;IF(AND(ISNUMBER($J484),$J484&lt;QC_RECOVERY_MIN),"Recovered less than the QC minimum of the depth driven — the increments may not sit where you think. Do NOT stretch them back out. ","")&amp;IF(AND(ISNUMBER($K484),$K484&gt;0,$L484="Fine earth / total volume"),"Coarse fragments recorded and the lab basis already accounts for them — no further correction applied, which is correct. ",""))</f>
        <v/>
      </c>
      <c r="T484" s="6"/>
      <c r="U484" s="9" t="n">
        <f aca="false">IF($B484="",0,IF(COUNTIFS($B$5:$B484,$B484)=1,1,0))</f>
        <v>0</v>
      </c>
    </row>
    <row r="485" customFormat="false" ht="15" hidden="false" customHeight="false" outlineLevel="0" collapsed="false">
      <c r="A485" s="6"/>
      <c r="B485" s="6"/>
      <c r="C485" s="6"/>
      <c r="D485" s="6"/>
      <c r="E485" s="6"/>
      <c r="F485" s="9" t="str">
        <f aca="false">IF(OR($D485="",$E485=""),"",$E485-$D485)</f>
        <v/>
      </c>
      <c r="G485" s="6"/>
      <c r="H485" s="6"/>
      <c r="I485" s="6"/>
      <c r="J485" s="9" t="str">
        <f aca="false">IF(OR(NOT(ISNUMBER($H485)),NOT(ISNUMBER($I485)),$H485=0),"",$I485/$H485)</f>
        <v/>
      </c>
      <c r="K485" s="6"/>
      <c r="L485" s="8"/>
      <c r="M485" s="7"/>
      <c r="N485" s="7"/>
      <c r="O485" s="9" t="str">
        <f aca="false">IF(NOT(ISNUMBER($M485)),"",IF($L485="Fine earth / fine-earth volume",$M485*(1-IF(ISNUMBER($K485),$K485,0)/100),$M485))</f>
        <v/>
      </c>
      <c r="P485" s="9" t="str">
        <f aca="false">IF(OR(NOT(ISNUMBER($O485)),NOT(ISNUMBER($N485)),NOT(ISNUMBER($F485))),"",$O485*($N485/100)*$F485*10)</f>
        <v/>
      </c>
      <c r="Q485" s="9" t="str">
        <f aca="false">IF(OR(NOT(ISNUMBER($D485)),NOT(ISNUMBER($E485))),"",MAX(0,MIN($E485,SOIL_REPORTING_DEPTH_CM)-MIN($D485,SOIL_REPORTING_DEPTH_CM)))</f>
        <v/>
      </c>
      <c r="R485" s="9" t="str">
        <f aca="false">IF(OR(NOT(ISNUMBER($O485)),NOT(ISNUMBER($N485)),NOT(ISNUMBER($Q485))),"",$O485*($N485/100)*$Q485*10)</f>
        <v/>
      </c>
      <c r="S485" s="11" t="str">
        <f aca="false">IF(AND($A485="",$B485="",$D485=""),"",IF(AND($A485&lt;&gt;"",COUNTIF('1. Plot &amp; Site Log'!$A$5:$A$64,$A485)=0),"Plot ID not in the Plot &amp; Site Log. ","")&amp;IF(AND(ISNUMBER($D485),ISNUMBER($E485),$E485&lt;=$D485),"Bottom depth is not below top depth. ","")&amp;IF($L485="Not confirmed","Bulk-density basis not confirmed with the lab — the coarse-fragment correction may be wrong or doubled. ","")&amp;IF(LAB_BULK_DENSITY_BASIS="Not confirmed","No lab bulk-density basis is on file in Settings (LAB_BULK_DENSITY_BASIS), so nothing checks this row. ","")&amp;IF(AND($L485&lt;&gt;"",LAB_BULK_DENSITY_BASIS&lt;&gt;"Not confirmed",$L485&lt;&gt;LAB_BULK_DENSITY_BASIS),"This row's bulk-density basis disagrees with the lab method on file. One of "&amp;"the two is wrong, and the coarse-fragment correction follows the row. ","")&amp;IF(AND(ISNUMBER($M485),OR($M485&lt;QC_BD_MIN,$M485&gt;QC_BD_MAX)),"Bulk density outside the plausible range for a mineral grassland soil. ","")&amp;IF(AND(ISNUMBER($N485),$N485&gt;QC_CARBON_PCT_MAX),"Organic carbon above the QC ceiling — check units, and whether this is an organic horizon. ","")&amp;IF(AND(ISNUMBER($J485),$J485&lt;QC_RECOVERY_MIN),"Recovered less than the QC minimum of the depth driven — the increments may not sit where you think. Do NOT stretch them back out. ","")&amp;IF(AND(ISNUMBER($K485),$K485&gt;0,$L485="Fine earth / total volume"),"Coarse fragments recorded and the lab basis already accounts for them — no further correction applied, which is correct. ",""))</f>
        <v/>
      </c>
      <c r="T485" s="6"/>
      <c r="U485" s="9" t="n">
        <f aca="false">IF($B485="",0,IF(COUNTIFS($B$5:$B485,$B485)=1,1,0))</f>
        <v>0</v>
      </c>
    </row>
    <row r="486" customFormat="false" ht="15" hidden="false" customHeight="false" outlineLevel="0" collapsed="false">
      <c r="A486" s="6"/>
      <c r="B486" s="6"/>
      <c r="C486" s="6"/>
      <c r="D486" s="6"/>
      <c r="E486" s="6"/>
      <c r="F486" s="9" t="str">
        <f aca="false">IF(OR($D486="",$E486=""),"",$E486-$D486)</f>
        <v/>
      </c>
      <c r="G486" s="6"/>
      <c r="H486" s="6"/>
      <c r="I486" s="6"/>
      <c r="J486" s="9" t="str">
        <f aca="false">IF(OR(NOT(ISNUMBER($H486)),NOT(ISNUMBER($I486)),$H486=0),"",$I486/$H486)</f>
        <v/>
      </c>
      <c r="K486" s="6"/>
      <c r="L486" s="8"/>
      <c r="M486" s="7"/>
      <c r="N486" s="7"/>
      <c r="O486" s="9" t="str">
        <f aca="false">IF(NOT(ISNUMBER($M486)),"",IF($L486="Fine earth / fine-earth volume",$M486*(1-IF(ISNUMBER($K486),$K486,0)/100),$M486))</f>
        <v/>
      </c>
      <c r="P486" s="9" t="str">
        <f aca="false">IF(OR(NOT(ISNUMBER($O486)),NOT(ISNUMBER($N486)),NOT(ISNUMBER($F486))),"",$O486*($N486/100)*$F486*10)</f>
        <v/>
      </c>
      <c r="Q486" s="9" t="str">
        <f aca="false">IF(OR(NOT(ISNUMBER($D486)),NOT(ISNUMBER($E486))),"",MAX(0,MIN($E486,SOIL_REPORTING_DEPTH_CM)-MIN($D486,SOIL_REPORTING_DEPTH_CM)))</f>
        <v/>
      </c>
      <c r="R486" s="9" t="str">
        <f aca="false">IF(OR(NOT(ISNUMBER($O486)),NOT(ISNUMBER($N486)),NOT(ISNUMBER($Q486))),"",$O486*($N486/100)*$Q486*10)</f>
        <v/>
      </c>
      <c r="S486" s="11" t="str">
        <f aca="false">IF(AND($A486="",$B486="",$D486=""),"",IF(AND($A486&lt;&gt;"",COUNTIF('1. Plot &amp; Site Log'!$A$5:$A$64,$A486)=0),"Plot ID not in the Plot &amp; Site Log. ","")&amp;IF(AND(ISNUMBER($D486),ISNUMBER($E486),$E486&lt;=$D486),"Bottom depth is not below top depth. ","")&amp;IF($L486="Not confirmed","Bulk-density basis not confirmed with the lab — the coarse-fragment correction may be wrong or doubled. ","")&amp;IF(LAB_BULK_DENSITY_BASIS="Not confirmed","No lab bulk-density basis is on file in Settings (LAB_BULK_DENSITY_BASIS), so nothing checks this row. ","")&amp;IF(AND($L486&lt;&gt;"",LAB_BULK_DENSITY_BASIS&lt;&gt;"Not confirmed",$L486&lt;&gt;LAB_BULK_DENSITY_BASIS),"This row's bulk-density basis disagrees with the lab method on file. One of "&amp;"the two is wrong, and the coarse-fragment correction follows the row. ","")&amp;IF(AND(ISNUMBER($M486),OR($M486&lt;QC_BD_MIN,$M486&gt;QC_BD_MAX)),"Bulk density outside the plausible range for a mineral grassland soil. ","")&amp;IF(AND(ISNUMBER($N486),$N486&gt;QC_CARBON_PCT_MAX),"Organic carbon above the QC ceiling — check units, and whether this is an organic horizon. ","")&amp;IF(AND(ISNUMBER($J486),$J486&lt;QC_RECOVERY_MIN),"Recovered less than the QC minimum of the depth driven — the increments may not sit where you think. Do NOT stretch them back out. ","")&amp;IF(AND(ISNUMBER($K486),$K486&gt;0,$L486="Fine earth / total volume"),"Coarse fragments recorded and the lab basis already accounts for them — no further correction applied, which is correct. ",""))</f>
        <v/>
      </c>
      <c r="T486" s="6"/>
      <c r="U486" s="9" t="n">
        <f aca="false">IF($B486="",0,IF(COUNTIFS($B$5:$B486,$B486)=1,1,0))</f>
        <v>0</v>
      </c>
    </row>
    <row r="487" customFormat="false" ht="15" hidden="false" customHeight="false" outlineLevel="0" collapsed="false">
      <c r="A487" s="6"/>
      <c r="B487" s="6"/>
      <c r="C487" s="6"/>
      <c r="D487" s="6"/>
      <c r="E487" s="6"/>
      <c r="F487" s="9" t="str">
        <f aca="false">IF(OR($D487="",$E487=""),"",$E487-$D487)</f>
        <v/>
      </c>
      <c r="G487" s="6"/>
      <c r="H487" s="6"/>
      <c r="I487" s="6"/>
      <c r="J487" s="9" t="str">
        <f aca="false">IF(OR(NOT(ISNUMBER($H487)),NOT(ISNUMBER($I487)),$H487=0),"",$I487/$H487)</f>
        <v/>
      </c>
      <c r="K487" s="6"/>
      <c r="L487" s="8"/>
      <c r="M487" s="7"/>
      <c r="N487" s="7"/>
      <c r="O487" s="9" t="str">
        <f aca="false">IF(NOT(ISNUMBER($M487)),"",IF($L487="Fine earth / fine-earth volume",$M487*(1-IF(ISNUMBER($K487),$K487,0)/100),$M487))</f>
        <v/>
      </c>
      <c r="P487" s="9" t="str">
        <f aca="false">IF(OR(NOT(ISNUMBER($O487)),NOT(ISNUMBER($N487)),NOT(ISNUMBER($F487))),"",$O487*($N487/100)*$F487*10)</f>
        <v/>
      </c>
      <c r="Q487" s="9" t="str">
        <f aca="false">IF(OR(NOT(ISNUMBER($D487)),NOT(ISNUMBER($E487))),"",MAX(0,MIN($E487,SOIL_REPORTING_DEPTH_CM)-MIN($D487,SOIL_REPORTING_DEPTH_CM)))</f>
        <v/>
      </c>
      <c r="R487" s="9" t="str">
        <f aca="false">IF(OR(NOT(ISNUMBER($O487)),NOT(ISNUMBER($N487)),NOT(ISNUMBER($Q487))),"",$O487*($N487/100)*$Q487*10)</f>
        <v/>
      </c>
      <c r="S487" s="11" t="str">
        <f aca="false">IF(AND($A487="",$B487="",$D487=""),"",IF(AND($A487&lt;&gt;"",COUNTIF('1. Plot &amp; Site Log'!$A$5:$A$64,$A487)=0),"Plot ID not in the Plot &amp; Site Log. ","")&amp;IF(AND(ISNUMBER($D487),ISNUMBER($E487),$E487&lt;=$D487),"Bottom depth is not below top depth. ","")&amp;IF($L487="Not confirmed","Bulk-density basis not confirmed with the lab — the coarse-fragment correction may be wrong or doubled. ","")&amp;IF(LAB_BULK_DENSITY_BASIS="Not confirmed","No lab bulk-density basis is on file in Settings (LAB_BULK_DENSITY_BASIS), so nothing checks this row. ","")&amp;IF(AND($L487&lt;&gt;"",LAB_BULK_DENSITY_BASIS&lt;&gt;"Not confirmed",$L487&lt;&gt;LAB_BULK_DENSITY_BASIS),"This row's bulk-density basis disagrees with the lab method on file. One of "&amp;"the two is wrong, and the coarse-fragment correction follows the row. ","")&amp;IF(AND(ISNUMBER($M487),OR($M487&lt;QC_BD_MIN,$M487&gt;QC_BD_MAX)),"Bulk density outside the plausible range for a mineral grassland soil. ","")&amp;IF(AND(ISNUMBER($N487),$N487&gt;QC_CARBON_PCT_MAX),"Organic carbon above the QC ceiling — check units, and whether this is an organic horizon. ","")&amp;IF(AND(ISNUMBER($J487),$J487&lt;QC_RECOVERY_MIN),"Recovered less than the QC minimum of the depth driven — the increments may not sit where you think. Do NOT stretch them back out. ","")&amp;IF(AND(ISNUMBER($K487),$K487&gt;0,$L487="Fine earth / total volume"),"Coarse fragments recorded and the lab basis already accounts for them — no further correction applied, which is correct. ",""))</f>
        <v/>
      </c>
      <c r="T487" s="6"/>
      <c r="U487" s="9" t="n">
        <f aca="false">IF($B487="",0,IF(COUNTIFS($B$5:$B487,$B487)=1,1,0))</f>
        <v>0</v>
      </c>
    </row>
    <row r="488" customFormat="false" ht="15" hidden="false" customHeight="false" outlineLevel="0" collapsed="false">
      <c r="A488" s="6"/>
      <c r="B488" s="6"/>
      <c r="C488" s="6"/>
      <c r="D488" s="6"/>
      <c r="E488" s="6"/>
      <c r="F488" s="9" t="str">
        <f aca="false">IF(OR($D488="",$E488=""),"",$E488-$D488)</f>
        <v/>
      </c>
      <c r="G488" s="6"/>
      <c r="H488" s="6"/>
      <c r="I488" s="6"/>
      <c r="J488" s="9" t="str">
        <f aca="false">IF(OR(NOT(ISNUMBER($H488)),NOT(ISNUMBER($I488)),$H488=0),"",$I488/$H488)</f>
        <v/>
      </c>
      <c r="K488" s="6"/>
      <c r="L488" s="8"/>
      <c r="M488" s="7"/>
      <c r="N488" s="7"/>
      <c r="O488" s="9" t="str">
        <f aca="false">IF(NOT(ISNUMBER($M488)),"",IF($L488="Fine earth / fine-earth volume",$M488*(1-IF(ISNUMBER($K488),$K488,0)/100),$M488))</f>
        <v/>
      </c>
      <c r="P488" s="9" t="str">
        <f aca="false">IF(OR(NOT(ISNUMBER($O488)),NOT(ISNUMBER($N488)),NOT(ISNUMBER($F488))),"",$O488*($N488/100)*$F488*10)</f>
        <v/>
      </c>
      <c r="Q488" s="9" t="str">
        <f aca="false">IF(OR(NOT(ISNUMBER($D488)),NOT(ISNUMBER($E488))),"",MAX(0,MIN($E488,SOIL_REPORTING_DEPTH_CM)-MIN($D488,SOIL_REPORTING_DEPTH_CM)))</f>
        <v/>
      </c>
      <c r="R488" s="9" t="str">
        <f aca="false">IF(OR(NOT(ISNUMBER($O488)),NOT(ISNUMBER($N488)),NOT(ISNUMBER($Q488))),"",$O488*($N488/100)*$Q488*10)</f>
        <v/>
      </c>
      <c r="S488" s="11" t="str">
        <f aca="false">IF(AND($A488="",$B488="",$D488=""),"",IF(AND($A488&lt;&gt;"",COUNTIF('1. Plot &amp; Site Log'!$A$5:$A$64,$A488)=0),"Plot ID not in the Plot &amp; Site Log. ","")&amp;IF(AND(ISNUMBER($D488),ISNUMBER($E488),$E488&lt;=$D488),"Bottom depth is not below top depth. ","")&amp;IF($L488="Not confirmed","Bulk-density basis not confirmed with the lab — the coarse-fragment correction may be wrong or doubled. ","")&amp;IF(LAB_BULK_DENSITY_BASIS="Not confirmed","No lab bulk-density basis is on file in Settings (LAB_BULK_DENSITY_BASIS), so nothing checks this row. ","")&amp;IF(AND($L488&lt;&gt;"",LAB_BULK_DENSITY_BASIS&lt;&gt;"Not confirmed",$L488&lt;&gt;LAB_BULK_DENSITY_BASIS),"This row's bulk-density basis disagrees with the lab method on file. One of "&amp;"the two is wrong, and the coarse-fragment correction follows the row. ","")&amp;IF(AND(ISNUMBER($M488),OR($M488&lt;QC_BD_MIN,$M488&gt;QC_BD_MAX)),"Bulk density outside the plausible range for a mineral grassland soil. ","")&amp;IF(AND(ISNUMBER($N488),$N488&gt;QC_CARBON_PCT_MAX),"Organic carbon above the QC ceiling — check units, and whether this is an organic horizon. ","")&amp;IF(AND(ISNUMBER($J488),$J488&lt;QC_RECOVERY_MIN),"Recovered less than the QC minimum of the depth driven — the increments may not sit where you think. Do NOT stretch them back out. ","")&amp;IF(AND(ISNUMBER($K488),$K488&gt;0,$L488="Fine earth / total volume"),"Coarse fragments recorded and the lab basis already accounts for them — no further correction applied, which is correct. ",""))</f>
        <v/>
      </c>
      <c r="T488" s="6"/>
      <c r="U488" s="9" t="n">
        <f aca="false">IF($B488="",0,IF(COUNTIFS($B$5:$B488,$B488)=1,1,0))</f>
        <v>0</v>
      </c>
    </row>
    <row r="489" customFormat="false" ht="15" hidden="false" customHeight="false" outlineLevel="0" collapsed="false">
      <c r="A489" s="6"/>
      <c r="B489" s="6"/>
      <c r="C489" s="6"/>
      <c r="D489" s="6"/>
      <c r="E489" s="6"/>
      <c r="F489" s="9" t="str">
        <f aca="false">IF(OR($D489="",$E489=""),"",$E489-$D489)</f>
        <v/>
      </c>
      <c r="G489" s="6"/>
      <c r="H489" s="6"/>
      <c r="I489" s="6"/>
      <c r="J489" s="9" t="str">
        <f aca="false">IF(OR(NOT(ISNUMBER($H489)),NOT(ISNUMBER($I489)),$H489=0),"",$I489/$H489)</f>
        <v/>
      </c>
      <c r="K489" s="6"/>
      <c r="L489" s="8"/>
      <c r="M489" s="7"/>
      <c r="N489" s="7"/>
      <c r="O489" s="9" t="str">
        <f aca="false">IF(NOT(ISNUMBER($M489)),"",IF($L489="Fine earth / fine-earth volume",$M489*(1-IF(ISNUMBER($K489),$K489,0)/100),$M489))</f>
        <v/>
      </c>
      <c r="P489" s="9" t="str">
        <f aca="false">IF(OR(NOT(ISNUMBER($O489)),NOT(ISNUMBER($N489)),NOT(ISNUMBER($F489))),"",$O489*($N489/100)*$F489*10)</f>
        <v/>
      </c>
      <c r="Q489" s="9" t="str">
        <f aca="false">IF(OR(NOT(ISNUMBER($D489)),NOT(ISNUMBER($E489))),"",MAX(0,MIN($E489,SOIL_REPORTING_DEPTH_CM)-MIN($D489,SOIL_REPORTING_DEPTH_CM)))</f>
        <v/>
      </c>
      <c r="R489" s="9" t="str">
        <f aca="false">IF(OR(NOT(ISNUMBER($O489)),NOT(ISNUMBER($N489)),NOT(ISNUMBER($Q489))),"",$O489*($N489/100)*$Q489*10)</f>
        <v/>
      </c>
      <c r="S489" s="11" t="str">
        <f aca="false">IF(AND($A489="",$B489="",$D489=""),"",IF(AND($A489&lt;&gt;"",COUNTIF('1. Plot &amp; Site Log'!$A$5:$A$64,$A489)=0),"Plot ID not in the Plot &amp; Site Log. ","")&amp;IF(AND(ISNUMBER($D489),ISNUMBER($E489),$E489&lt;=$D489),"Bottom depth is not below top depth. ","")&amp;IF($L489="Not confirmed","Bulk-density basis not confirmed with the lab — the coarse-fragment correction may be wrong or doubled. ","")&amp;IF(LAB_BULK_DENSITY_BASIS="Not confirmed","No lab bulk-density basis is on file in Settings (LAB_BULK_DENSITY_BASIS), so nothing checks this row. ","")&amp;IF(AND($L489&lt;&gt;"",LAB_BULK_DENSITY_BASIS&lt;&gt;"Not confirmed",$L489&lt;&gt;LAB_BULK_DENSITY_BASIS),"This row's bulk-density basis disagrees with the lab method on file. One of "&amp;"the two is wrong, and the coarse-fragment correction follows the row. ","")&amp;IF(AND(ISNUMBER($M489),OR($M489&lt;QC_BD_MIN,$M489&gt;QC_BD_MAX)),"Bulk density outside the plausible range for a mineral grassland soil. ","")&amp;IF(AND(ISNUMBER($N489),$N489&gt;QC_CARBON_PCT_MAX),"Organic carbon above the QC ceiling — check units, and whether this is an organic horizon. ","")&amp;IF(AND(ISNUMBER($J489),$J489&lt;QC_RECOVERY_MIN),"Recovered less than the QC minimum of the depth driven — the increments may not sit where you think. Do NOT stretch them back out. ","")&amp;IF(AND(ISNUMBER($K489),$K489&gt;0,$L489="Fine earth / total volume"),"Coarse fragments recorded and the lab basis already accounts for them — no further correction applied, which is correct. ",""))</f>
        <v/>
      </c>
      <c r="T489" s="6"/>
      <c r="U489" s="9" t="n">
        <f aca="false">IF($B489="",0,IF(COUNTIFS($B$5:$B489,$B489)=1,1,0))</f>
        <v>0</v>
      </c>
    </row>
    <row r="490" customFormat="false" ht="15" hidden="false" customHeight="false" outlineLevel="0" collapsed="false">
      <c r="A490" s="6"/>
      <c r="B490" s="6"/>
      <c r="C490" s="6"/>
      <c r="D490" s="6"/>
      <c r="E490" s="6"/>
      <c r="F490" s="9" t="str">
        <f aca="false">IF(OR($D490="",$E490=""),"",$E490-$D490)</f>
        <v/>
      </c>
      <c r="G490" s="6"/>
      <c r="H490" s="6"/>
      <c r="I490" s="6"/>
      <c r="J490" s="9" t="str">
        <f aca="false">IF(OR(NOT(ISNUMBER($H490)),NOT(ISNUMBER($I490)),$H490=0),"",$I490/$H490)</f>
        <v/>
      </c>
      <c r="K490" s="6"/>
      <c r="L490" s="8"/>
      <c r="M490" s="7"/>
      <c r="N490" s="7"/>
      <c r="O490" s="9" t="str">
        <f aca="false">IF(NOT(ISNUMBER($M490)),"",IF($L490="Fine earth / fine-earth volume",$M490*(1-IF(ISNUMBER($K490),$K490,0)/100),$M490))</f>
        <v/>
      </c>
      <c r="P490" s="9" t="str">
        <f aca="false">IF(OR(NOT(ISNUMBER($O490)),NOT(ISNUMBER($N490)),NOT(ISNUMBER($F490))),"",$O490*($N490/100)*$F490*10)</f>
        <v/>
      </c>
      <c r="Q490" s="9" t="str">
        <f aca="false">IF(OR(NOT(ISNUMBER($D490)),NOT(ISNUMBER($E490))),"",MAX(0,MIN($E490,SOIL_REPORTING_DEPTH_CM)-MIN($D490,SOIL_REPORTING_DEPTH_CM)))</f>
        <v/>
      </c>
      <c r="R490" s="9" t="str">
        <f aca="false">IF(OR(NOT(ISNUMBER($O490)),NOT(ISNUMBER($N490)),NOT(ISNUMBER($Q490))),"",$O490*($N490/100)*$Q490*10)</f>
        <v/>
      </c>
      <c r="S490" s="11" t="str">
        <f aca="false">IF(AND($A490="",$B490="",$D490=""),"",IF(AND($A490&lt;&gt;"",COUNTIF('1. Plot &amp; Site Log'!$A$5:$A$64,$A490)=0),"Plot ID not in the Plot &amp; Site Log. ","")&amp;IF(AND(ISNUMBER($D490),ISNUMBER($E490),$E490&lt;=$D490),"Bottom depth is not below top depth. ","")&amp;IF($L490="Not confirmed","Bulk-density basis not confirmed with the lab — the coarse-fragment correction may be wrong or doubled. ","")&amp;IF(LAB_BULK_DENSITY_BASIS="Not confirmed","No lab bulk-density basis is on file in Settings (LAB_BULK_DENSITY_BASIS), so nothing checks this row. ","")&amp;IF(AND($L490&lt;&gt;"",LAB_BULK_DENSITY_BASIS&lt;&gt;"Not confirmed",$L490&lt;&gt;LAB_BULK_DENSITY_BASIS),"This row's bulk-density basis disagrees with the lab method on file. One of "&amp;"the two is wrong, and the coarse-fragment correction follows the row. ","")&amp;IF(AND(ISNUMBER($M490),OR($M490&lt;QC_BD_MIN,$M490&gt;QC_BD_MAX)),"Bulk density outside the plausible range for a mineral grassland soil. ","")&amp;IF(AND(ISNUMBER($N490),$N490&gt;QC_CARBON_PCT_MAX),"Organic carbon above the QC ceiling — check units, and whether this is an organic horizon. ","")&amp;IF(AND(ISNUMBER($J490),$J490&lt;QC_RECOVERY_MIN),"Recovered less than the QC minimum of the depth driven — the increments may not sit where you think. Do NOT stretch them back out. ","")&amp;IF(AND(ISNUMBER($K490),$K490&gt;0,$L490="Fine earth / total volume"),"Coarse fragments recorded and the lab basis already accounts for them — no further correction applied, which is correct. ",""))</f>
        <v/>
      </c>
      <c r="T490" s="6"/>
      <c r="U490" s="9" t="n">
        <f aca="false">IF($B490="",0,IF(COUNTIFS($B$5:$B490,$B490)=1,1,0))</f>
        <v>0</v>
      </c>
    </row>
    <row r="491" customFormat="false" ht="15" hidden="false" customHeight="false" outlineLevel="0" collapsed="false">
      <c r="A491" s="6"/>
      <c r="B491" s="6"/>
      <c r="C491" s="6"/>
      <c r="D491" s="6"/>
      <c r="E491" s="6"/>
      <c r="F491" s="9" t="str">
        <f aca="false">IF(OR($D491="",$E491=""),"",$E491-$D491)</f>
        <v/>
      </c>
      <c r="G491" s="6"/>
      <c r="H491" s="6"/>
      <c r="I491" s="6"/>
      <c r="J491" s="9" t="str">
        <f aca="false">IF(OR(NOT(ISNUMBER($H491)),NOT(ISNUMBER($I491)),$H491=0),"",$I491/$H491)</f>
        <v/>
      </c>
      <c r="K491" s="6"/>
      <c r="L491" s="8"/>
      <c r="M491" s="7"/>
      <c r="N491" s="7"/>
      <c r="O491" s="9" t="str">
        <f aca="false">IF(NOT(ISNUMBER($M491)),"",IF($L491="Fine earth / fine-earth volume",$M491*(1-IF(ISNUMBER($K491),$K491,0)/100),$M491))</f>
        <v/>
      </c>
      <c r="P491" s="9" t="str">
        <f aca="false">IF(OR(NOT(ISNUMBER($O491)),NOT(ISNUMBER($N491)),NOT(ISNUMBER($F491))),"",$O491*($N491/100)*$F491*10)</f>
        <v/>
      </c>
      <c r="Q491" s="9" t="str">
        <f aca="false">IF(OR(NOT(ISNUMBER($D491)),NOT(ISNUMBER($E491))),"",MAX(0,MIN($E491,SOIL_REPORTING_DEPTH_CM)-MIN($D491,SOIL_REPORTING_DEPTH_CM)))</f>
        <v/>
      </c>
      <c r="R491" s="9" t="str">
        <f aca="false">IF(OR(NOT(ISNUMBER($O491)),NOT(ISNUMBER($N491)),NOT(ISNUMBER($Q491))),"",$O491*($N491/100)*$Q491*10)</f>
        <v/>
      </c>
      <c r="S491" s="11" t="str">
        <f aca="false">IF(AND($A491="",$B491="",$D491=""),"",IF(AND($A491&lt;&gt;"",COUNTIF('1. Plot &amp; Site Log'!$A$5:$A$64,$A491)=0),"Plot ID not in the Plot &amp; Site Log. ","")&amp;IF(AND(ISNUMBER($D491),ISNUMBER($E491),$E491&lt;=$D491),"Bottom depth is not below top depth. ","")&amp;IF($L491="Not confirmed","Bulk-density basis not confirmed with the lab — the coarse-fragment correction may be wrong or doubled. ","")&amp;IF(LAB_BULK_DENSITY_BASIS="Not confirmed","No lab bulk-density basis is on file in Settings (LAB_BULK_DENSITY_BASIS), so nothing checks this row. ","")&amp;IF(AND($L491&lt;&gt;"",LAB_BULK_DENSITY_BASIS&lt;&gt;"Not confirmed",$L491&lt;&gt;LAB_BULK_DENSITY_BASIS),"This row's bulk-density basis disagrees with the lab method on file. One of "&amp;"the two is wrong, and the coarse-fragment correction follows the row. ","")&amp;IF(AND(ISNUMBER($M491),OR($M491&lt;QC_BD_MIN,$M491&gt;QC_BD_MAX)),"Bulk density outside the plausible range for a mineral grassland soil. ","")&amp;IF(AND(ISNUMBER($N491),$N491&gt;QC_CARBON_PCT_MAX),"Organic carbon above the QC ceiling — check units, and whether this is an organic horizon. ","")&amp;IF(AND(ISNUMBER($J491),$J491&lt;QC_RECOVERY_MIN),"Recovered less than the QC minimum of the depth driven — the increments may not sit where you think. Do NOT stretch them back out. ","")&amp;IF(AND(ISNUMBER($K491),$K491&gt;0,$L491="Fine earth / total volume"),"Coarse fragments recorded and the lab basis already accounts for them — no further correction applied, which is correct. ",""))</f>
        <v/>
      </c>
      <c r="T491" s="6"/>
      <c r="U491" s="9" t="n">
        <f aca="false">IF($B491="",0,IF(COUNTIFS($B$5:$B491,$B491)=1,1,0))</f>
        <v>0</v>
      </c>
    </row>
    <row r="492" customFormat="false" ht="15" hidden="false" customHeight="false" outlineLevel="0" collapsed="false">
      <c r="A492" s="6"/>
      <c r="B492" s="6"/>
      <c r="C492" s="6"/>
      <c r="D492" s="6"/>
      <c r="E492" s="6"/>
      <c r="F492" s="9" t="str">
        <f aca="false">IF(OR($D492="",$E492=""),"",$E492-$D492)</f>
        <v/>
      </c>
      <c r="G492" s="6"/>
      <c r="H492" s="6"/>
      <c r="I492" s="6"/>
      <c r="J492" s="9" t="str">
        <f aca="false">IF(OR(NOT(ISNUMBER($H492)),NOT(ISNUMBER($I492)),$H492=0),"",$I492/$H492)</f>
        <v/>
      </c>
      <c r="K492" s="6"/>
      <c r="L492" s="8"/>
      <c r="M492" s="7"/>
      <c r="N492" s="7"/>
      <c r="O492" s="9" t="str">
        <f aca="false">IF(NOT(ISNUMBER($M492)),"",IF($L492="Fine earth / fine-earth volume",$M492*(1-IF(ISNUMBER($K492),$K492,0)/100),$M492))</f>
        <v/>
      </c>
      <c r="P492" s="9" t="str">
        <f aca="false">IF(OR(NOT(ISNUMBER($O492)),NOT(ISNUMBER($N492)),NOT(ISNUMBER($F492))),"",$O492*($N492/100)*$F492*10)</f>
        <v/>
      </c>
      <c r="Q492" s="9" t="str">
        <f aca="false">IF(OR(NOT(ISNUMBER($D492)),NOT(ISNUMBER($E492))),"",MAX(0,MIN($E492,SOIL_REPORTING_DEPTH_CM)-MIN($D492,SOIL_REPORTING_DEPTH_CM)))</f>
        <v/>
      </c>
      <c r="R492" s="9" t="str">
        <f aca="false">IF(OR(NOT(ISNUMBER($O492)),NOT(ISNUMBER($N492)),NOT(ISNUMBER($Q492))),"",$O492*($N492/100)*$Q492*10)</f>
        <v/>
      </c>
      <c r="S492" s="11" t="str">
        <f aca="false">IF(AND($A492="",$B492="",$D492=""),"",IF(AND($A492&lt;&gt;"",COUNTIF('1. Plot &amp; Site Log'!$A$5:$A$64,$A492)=0),"Plot ID not in the Plot &amp; Site Log. ","")&amp;IF(AND(ISNUMBER($D492),ISNUMBER($E492),$E492&lt;=$D492),"Bottom depth is not below top depth. ","")&amp;IF($L492="Not confirmed","Bulk-density basis not confirmed with the lab — the coarse-fragment correction may be wrong or doubled. ","")&amp;IF(LAB_BULK_DENSITY_BASIS="Not confirmed","No lab bulk-density basis is on file in Settings (LAB_BULK_DENSITY_BASIS), so nothing checks this row. ","")&amp;IF(AND($L492&lt;&gt;"",LAB_BULK_DENSITY_BASIS&lt;&gt;"Not confirmed",$L492&lt;&gt;LAB_BULK_DENSITY_BASIS),"This row's bulk-density basis disagrees with the lab method on file. One of "&amp;"the two is wrong, and the coarse-fragment correction follows the row. ","")&amp;IF(AND(ISNUMBER($M492),OR($M492&lt;QC_BD_MIN,$M492&gt;QC_BD_MAX)),"Bulk density outside the plausible range for a mineral grassland soil. ","")&amp;IF(AND(ISNUMBER($N492),$N492&gt;QC_CARBON_PCT_MAX),"Organic carbon above the QC ceiling — check units, and whether this is an organic horizon. ","")&amp;IF(AND(ISNUMBER($J492),$J492&lt;QC_RECOVERY_MIN),"Recovered less than the QC minimum of the depth driven — the increments may not sit where you think. Do NOT stretch them back out. ","")&amp;IF(AND(ISNUMBER($K492),$K492&gt;0,$L492="Fine earth / total volume"),"Coarse fragments recorded and the lab basis already accounts for them — no further correction applied, which is correct. ",""))</f>
        <v/>
      </c>
      <c r="T492" s="6"/>
      <c r="U492" s="9" t="n">
        <f aca="false">IF($B492="",0,IF(COUNTIFS($B$5:$B492,$B492)=1,1,0))</f>
        <v>0</v>
      </c>
    </row>
    <row r="493" customFormat="false" ht="15" hidden="false" customHeight="false" outlineLevel="0" collapsed="false">
      <c r="A493" s="6"/>
      <c r="B493" s="6"/>
      <c r="C493" s="6"/>
      <c r="D493" s="6"/>
      <c r="E493" s="6"/>
      <c r="F493" s="9" t="str">
        <f aca="false">IF(OR($D493="",$E493=""),"",$E493-$D493)</f>
        <v/>
      </c>
      <c r="G493" s="6"/>
      <c r="H493" s="6"/>
      <c r="I493" s="6"/>
      <c r="J493" s="9" t="str">
        <f aca="false">IF(OR(NOT(ISNUMBER($H493)),NOT(ISNUMBER($I493)),$H493=0),"",$I493/$H493)</f>
        <v/>
      </c>
      <c r="K493" s="6"/>
      <c r="L493" s="8"/>
      <c r="M493" s="7"/>
      <c r="N493" s="7"/>
      <c r="O493" s="9" t="str">
        <f aca="false">IF(NOT(ISNUMBER($M493)),"",IF($L493="Fine earth / fine-earth volume",$M493*(1-IF(ISNUMBER($K493),$K493,0)/100),$M493))</f>
        <v/>
      </c>
      <c r="P493" s="9" t="str">
        <f aca="false">IF(OR(NOT(ISNUMBER($O493)),NOT(ISNUMBER($N493)),NOT(ISNUMBER($F493))),"",$O493*($N493/100)*$F493*10)</f>
        <v/>
      </c>
      <c r="Q493" s="9" t="str">
        <f aca="false">IF(OR(NOT(ISNUMBER($D493)),NOT(ISNUMBER($E493))),"",MAX(0,MIN($E493,SOIL_REPORTING_DEPTH_CM)-MIN($D493,SOIL_REPORTING_DEPTH_CM)))</f>
        <v/>
      </c>
      <c r="R493" s="9" t="str">
        <f aca="false">IF(OR(NOT(ISNUMBER($O493)),NOT(ISNUMBER($N493)),NOT(ISNUMBER($Q493))),"",$O493*($N493/100)*$Q493*10)</f>
        <v/>
      </c>
      <c r="S493" s="11" t="str">
        <f aca="false">IF(AND($A493="",$B493="",$D493=""),"",IF(AND($A493&lt;&gt;"",COUNTIF('1. Plot &amp; Site Log'!$A$5:$A$64,$A493)=0),"Plot ID not in the Plot &amp; Site Log. ","")&amp;IF(AND(ISNUMBER($D493),ISNUMBER($E493),$E493&lt;=$D493),"Bottom depth is not below top depth. ","")&amp;IF($L493="Not confirmed","Bulk-density basis not confirmed with the lab — the coarse-fragment correction may be wrong or doubled. ","")&amp;IF(LAB_BULK_DENSITY_BASIS="Not confirmed","No lab bulk-density basis is on file in Settings (LAB_BULK_DENSITY_BASIS), so nothing checks this row. ","")&amp;IF(AND($L493&lt;&gt;"",LAB_BULK_DENSITY_BASIS&lt;&gt;"Not confirmed",$L493&lt;&gt;LAB_BULK_DENSITY_BASIS),"This row's bulk-density basis disagrees with the lab method on file. One of "&amp;"the two is wrong, and the coarse-fragment correction follows the row. ","")&amp;IF(AND(ISNUMBER($M493),OR($M493&lt;QC_BD_MIN,$M493&gt;QC_BD_MAX)),"Bulk density outside the plausible range for a mineral grassland soil. ","")&amp;IF(AND(ISNUMBER($N493),$N493&gt;QC_CARBON_PCT_MAX),"Organic carbon above the QC ceiling — check units, and whether this is an organic horizon. ","")&amp;IF(AND(ISNUMBER($J493),$J493&lt;QC_RECOVERY_MIN),"Recovered less than the QC minimum of the depth driven — the increments may not sit where you think. Do NOT stretch them back out. ","")&amp;IF(AND(ISNUMBER($K493),$K493&gt;0,$L493="Fine earth / total volume"),"Coarse fragments recorded and the lab basis already accounts for them — no further correction applied, which is correct. ",""))</f>
        <v/>
      </c>
      <c r="T493" s="6"/>
      <c r="U493" s="9" t="n">
        <f aca="false">IF($B493="",0,IF(COUNTIFS($B$5:$B493,$B493)=1,1,0))</f>
        <v>0</v>
      </c>
    </row>
    <row r="494" customFormat="false" ht="15" hidden="false" customHeight="false" outlineLevel="0" collapsed="false">
      <c r="A494" s="6"/>
      <c r="B494" s="6"/>
      <c r="C494" s="6"/>
      <c r="D494" s="6"/>
      <c r="E494" s="6"/>
      <c r="F494" s="9" t="str">
        <f aca="false">IF(OR($D494="",$E494=""),"",$E494-$D494)</f>
        <v/>
      </c>
      <c r="G494" s="6"/>
      <c r="H494" s="6"/>
      <c r="I494" s="6"/>
      <c r="J494" s="9" t="str">
        <f aca="false">IF(OR(NOT(ISNUMBER($H494)),NOT(ISNUMBER($I494)),$H494=0),"",$I494/$H494)</f>
        <v/>
      </c>
      <c r="K494" s="6"/>
      <c r="L494" s="8"/>
      <c r="M494" s="7"/>
      <c r="N494" s="7"/>
      <c r="O494" s="9" t="str">
        <f aca="false">IF(NOT(ISNUMBER($M494)),"",IF($L494="Fine earth / fine-earth volume",$M494*(1-IF(ISNUMBER($K494),$K494,0)/100),$M494))</f>
        <v/>
      </c>
      <c r="P494" s="9" t="str">
        <f aca="false">IF(OR(NOT(ISNUMBER($O494)),NOT(ISNUMBER($N494)),NOT(ISNUMBER($F494))),"",$O494*($N494/100)*$F494*10)</f>
        <v/>
      </c>
      <c r="Q494" s="9" t="str">
        <f aca="false">IF(OR(NOT(ISNUMBER($D494)),NOT(ISNUMBER($E494))),"",MAX(0,MIN($E494,SOIL_REPORTING_DEPTH_CM)-MIN($D494,SOIL_REPORTING_DEPTH_CM)))</f>
        <v/>
      </c>
      <c r="R494" s="9" t="str">
        <f aca="false">IF(OR(NOT(ISNUMBER($O494)),NOT(ISNUMBER($N494)),NOT(ISNUMBER($Q494))),"",$O494*($N494/100)*$Q494*10)</f>
        <v/>
      </c>
      <c r="S494" s="11" t="str">
        <f aca="false">IF(AND($A494="",$B494="",$D494=""),"",IF(AND($A494&lt;&gt;"",COUNTIF('1. Plot &amp; Site Log'!$A$5:$A$64,$A494)=0),"Plot ID not in the Plot &amp; Site Log. ","")&amp;IF(AND(ISNUMBER($D494),ISNUMBER($E494),$E494&lt;=$D494),"Bottom depth is not below top depth. ","")&amp;IF($L494="Not confirmed","Bulk-density basis not confirmed with the lab — the coarse-fragment correction may be wrong or doubled. ","")&amp;IF(LAB_BULK_DENSITY_BASIS="Not confirmed","No lab bulk-density basis is on file in Settings (LAB_BULK_DENSITY_BASIS), so nothing checks this row. ","")&amp;IF(AND($L494&lt;&gt;"",LAB_BULK_DENSITY_BASIS&lt;&gt;"Not confirmed",$L494&lt;&gt;LAB_BULK_DENSITY_BASIS),"This row's bulk-density basis disagrees with the lab method on file. One of "&amp;"the two is wrong, and the coarse-fragment correction follows the row. ","")&amp;IF(AND(ISNUMBER($M494),OR($M494&lt;QC_BD_MIN,$M494&gt;QC_BD_MAX)),"Bulk density outside the plausible range for a mineral grassland soil. ","")&amp;IF(AND(ISNUMBER($N494),$N494&gt;QC_CARBON_PCT_MAX),"Organic carbon above the QC ceiling — check units, and whether this is an organic horizon. ","")&amp;IF(AND(ISNUMBER($J494),$J494&lt;QC_RECOVERY_MIN),"Recovered less than the QC minimum of the depth driven — the increments may not sit where you think. Do NOT stretch them back out. ","")&amp;IF(AND(ISNUMBER($K494),$K494&gt;0,$L494="Fine earth / total volume"),"Coarse fragments recorded and the lab basis already accounts for them — no further correction applied, which is correct. ",""))</f>
        <v/>
      </c>
      <c r="T494" s="6"/>
      <c r="U494" s="9" t="n">
        <f aca="false">IF($B494="",0,IF(COUNTIFS($B$5:$B494,$B494)=1,1,0))</f>
        <v>0</v>
      </c>
    </row>
    <row r="495" customFormat="false" ht="15" hidden="false" customHeight="false" outlineLevel="0" collapsed="false">
      <c r="A495" s="6"/>
      <c r="B495" s="6"/>
      <c r="C495" s="6"/>
      <c r="D495" s="6"/>
      <c r="E495" s="6"/>
      <c r="F495" s="9" t="str">
        <f aca="false">IF(OR($D495="",$E495=""),"",$E495-$D495)</f>
        <v/>
      </c>
      <c r="G495" s="6"/>
      <c r="H495" s="6"/>
      <c r="I495" s="6"/>
      <c r="J495" s="9" t="str">
        <f aca="false">IF(OR(NOT(ISNUMBER($H495)),NOT(ISNUMBER($I495)),$H495=0),"",$I495/$H495)</f>
        <v/>
      </c>
      <c r="K495" s="6"/>
      <c r="L495" s="8"/>
      <c r="M495" s="7"/>
      <c r="N495" s="7"/>
      <c r="O495" s="9" t="str">
        <f aca="false">IF(NOT(ISNUMBER($M495)),"",IF($L495="Fine earth / fine-earth volume",$M495*(1-IF(ISNUMBER($K495),$K495,0)/100),$M495))</f>
        <v/>
      </c>
      <c r="P495" s="9" t="str">
        <f aca="false">IF(OR(NOT(ISNUMBER($O495)),NOT(ISNUMBER($N495)),NOT(ISNUMBER($F495))),"",$O495*($N495/100)*$F495*10)</f>
        <v/>
      </c>
      <c r="Q495" s="9" t="str">
        <f aca="false">IF(OR(NOT(ISNUMBER($D495)),NOT(ISNUMBER($E495))),"",MAX(0,MIN($E495,SOIL_REPORTING_DEPTH_CM)-MIN($D495,SOIL_REPORTING_DEPTH_CM)))</f>
        <v/>
      </c>
      <c r="R495" s="9" t="str">
        <f aca="false">IF(OR(NOT(ISNUMBER($O495)),NOT(ISNUMBER($N495)),NOT(ISNUMBER($Q495))),"",$O495*($N495/100)*$Q495*10)</f>
        <v/>
      </c>
      <c r="S495" s="11" t="str">
        <f aca="false">IF(AND($A495="",$B495="",$D495=""),"",IF(AND($A495&lt;&gt;"",COUNTIF('1. Plot &amp; Site Log'!$A$5:$A$64,$A495)=0),"Plot ID not in the Plot &amp; Site Log. ","")&amp;IF(AND(ISNUMBER($D495),ISNUMBER($E495),$E495&lt;=$D495),"Bottom depth is not below top depth. ","")&amp;IF($L495="Not confirmed","Bulk-density basis not confirmed with the lab — the coarse-fragment correction may be wrong or doubled. ","")&amp;IF(LAB_BULK_DENSITY_BASIS="Not confirmed","No lab bulk-density basis is on file in Settings (LAB_BULK_DENSITY_BASIS), so nothing checks this row. ","")&amp;IF(AND($L495&lt;&gt;"",LAB_BULK_DENSITY_BASIS&lt;&gt;"Not confirmed",$L495&lt;&gt;LAB_BULK_DENSITY_BASIS),"This row's bulk-density basis disagrees with the lab method on file. One of "&amp;"the two is wrong, and the coarse-fragment correction follows the row. ","")&amp;IF(AND(ISNUMBER($M495),OR($M495&lt;QC_BD_MIN,$M495&gt;QC_BD_MAX)),"Bulk density outside the plausible range for a mineral grassland soil. ","")&amp;IF(AND(ISNUMBER($N495),$N495&gt;QC_CARBON_PCT_MAX),"Organic carbon above the QC ceiling — check units, and whether this is an organic horizon. ","")&amp;IF(AND(ISNUMBER($J495),$J495&lt;QC_RECOVERY_MIN),"Recovered less than the QC minimum of the depth driven — the increments may not sit where you think. Do NOT stretch them back out. ","")&amp;IF(AND(ISNUMBER($K495),$K495&gt;0,$L495="Fine earth / total volume"),"Coarse fragments recorded and the lab basis already accounts for them — no further correction applied, which is correct. ",""))</f>
        <v/>
      </c>
      <c r="T495" s="6"/>
      <c r="U495" s="9" t="n">
        <f aca="false">IF($B495="",0,IF(COUNTIFS($B$5:$B495,$B495)=1,1,0))</f>
        <v>0</v>
      </c>
    </row>
    <row r="496" customFormat="false" ht="15" hidden="false" customHeight="false" outlineLevel="0" collapsed="false">
      <c r="A496" s="6"/>
      <c r="B496" s="6"/>
      <c r="C496" s="6"/>
      <c r="D496" s="6"/>
      <c r="E496" s="6"/>
      <c r="F496" s="9" t="str">
        <f aca="false">IF(OR($D496="",$E496=""),"",$E496-$D496)</f>
        <v/>
      </c>
      <c r="G496" s="6"/>
      <c r="H496" s="6"/>
      <c r="I496" s="6"/>
      <c r="J496" s="9" t="str">
        <f aca="false">IF(OR(NOT(ISNUMBER($H496)),NOT(ISNUMBER($I496)),$H496=0),"",$I496/$H496)</f>
        <v/>
      </c>
      <c r="K496" s="6"/>
      <c r="L496" s="8"/>
      <c r="M496" s="7"/>
      <c r="N496" s="7"/>
      <c r="O496" s="9" t="str">
        <f aca="false">IF(NOT(ISNUMBER($M496)),"",IF($L496="Fine earth / fine-earth volume",$M496*(1-IF(ISNUMBER($K496),$K496,0)/100),$M496))</f>
        <v/>
      </c>
      <c r="P496" s="9" t="str">
        <f aca="false">IF(OR(NOT(ISNUMBER($O496)),NOT(ISNUMBER($N496)),NOT(ISNUMBER($F496))),"",$O496*($N496/100)*$F496*10)</f>
        <v/>
      </c>
      <c r="Q496" s="9" t="str">
        <f aca="false">IF(OR(NOT(ISNUMBER($D496)),NOT(ISNUMBER($E496))),"",MAX(0,MIN($E496,SOIL_REPORTING_DEPTH_CM)-MIN($D496,SOIL_REPORTING_DEPTH_CM)))</f>
        <v/>
      </c>
      <c r="R496" s="9" t="str">
        <f aca="false">IF(OR(NOT(ISNUMBER($O496)),NOT(ISNUMBER($N496)),NOT(ISNUMBER($Q496))),"",$O496*($N496/100)*$Q496*10)</f>
        <v/>
      </c>
      <c r="S496" s="11" t="str">
        <f aca="false">IF(AND($A496="",$B496="",$D496=""),"",IF(AND($A496&lt;&gt;"",COUNTIF('1. Plot &amp; Site Log'!$A$5:$A$64,$A496)=0),"Plot ID not in the Plot &amp; Site Log. ","")&amp;IF(AND(ISNUMBER($D496),ISNUMBER($E496),$E496&lt;=$D496),"Bottom depth is not below top depth. ","")&amp;IF($L496="Not confirmed","Bulk-density basis not confirmed with the lab — the coarse-fragment correction may be wrong or doubled. ","")&amp;IF(LAB_BULK_DENSITY_BASIS="Not confirmed","No lab bulk-density basis is on file in Settings (LAB_BULK_DENSITY_BASIS), so nothing checks this row. ","")&amp;IF(AND($L496&lt;&gt;"",LAB_BULK_DENSITY_BASIS&lt;&gt;"Not confirmed",$L496&lt;&gt;LAB_BULK_DENSITY_BASIS),"This row's bulk-density basis disagrees with the lab method on file. One of "&amp;"the two is wrong, and the coarse-fragment correction follows the row. ","")&amp;IF(AND(ISNUMBER($M496),OR($M496&lt;QC_BD_MIN,$M496&gt;QC_BD_MAX)),"Bulk density outside the plausible range for a mineral grassland soil. ","")&amp;IF(AND(ISNUMBER($N496),$N496&gt;QC_CARBON_PCT_MAX),"Organic carbon above the QC ceiling — check units, and whether this is an organic horizon. ","")&amp;IF(AND(ISNUMBER($J496),$J496&lt;QC_RECOVERY_MIN),"Recovered less than the QC minimum of the depth driven — the increments may not sit where you think. Do NOT stretch them back out. ","")&amp;IF(AND(ISNUMBER($K496),$K496&gt;0,$L496="Fine earth / total volume"),"Coarse fragments recorded and the lab basis already accounts for them — no further correction applied, which is correct. ",""))</f>
        <v/>
      </c>
      <c r="T496" s="6"/>
      <c r="U496" s="9" t="n">
        <f aca="false">IF($B496="",0,IF(COUNTIFS($B$5:$B496,$B496)=1,1,0))</f>
        <v>0</v>
      </c>
    </row>
    <row r="497" customFormat="false" ht="15" hidden="false" customHeight="false" outlineLevel="0" collapsed="false">
      <c r="A497" s="6"/>
      <c r="B497" s="6"/>
      <c r="C497" s="6"/>
      <c r="D497" s="6"/>
      <c r="E497" s="6"/>
      <c r="F497" s="9" t="str">
        <f aca="false">IF(OR($D497="",$E497=""),"",$E497-$D497)</f>
        <v/>
      </c>
      <c r="G497" s="6"/>
      <c r="H497" s="6"/>
      <c r="I497" s="6"/>
      <c r="J497" s="9" t="str">
        <f aca="false">IF(OR(NOT(ISNUMBER($H497)),NOT(ISNUMBER($I497)),$H497=0),"",$I497/$H497)</f>
        <v/>
      </c>
      <c r="K497" s="6"/>
      <c r="L497" s="8"/>
      <c r="M497" s="7"/>
      <c r="N497" s="7"/>
      <c r="O497" s="9" t="str">
        <f aca="false">IF(NOT(ISNUMBER($M497)),"",IF($L497="Fine earth / fine-earth volume",$M497*(1-IF(ISNUMBER($K497),$K497,0)/100),$M497))</f>
        <v/>
      </c>
      <c r="P497" s="9" t="str">
        <f aca="false">IF(OR(NOT(ISNUMBER($O497)),NOT(ISNUMBER($N497)),NOT(ISNUMBER($F497))),"",$O497*($N497/100)*$F497*10)</f>
        <v/>
      </c>
      <c r="Q497" s="9" t="str">
        <f aca="false">IF(OR(NOT(ISNUMBER($D497)),NOT(ISNUMBER($E497))),"",MAX(0,MIN($E497,SOIL_REPORTING_DEPTH_CM)-MIN($D497,SOIL_REPORTING_DEPTH_CM)))</f>
        <v/>
      </c>
      <c r="R497" s="9" t="str">
        <f aca="false">IF(OR(NOT(ISNUMBER($O497)),NOT(ISNUMBER($N497)),NOT(ISNUMBER($Q497))),"",$O497*($N497/100)*$Q497*10)</f>
        <v/>
      </c>
      <c r="S497" s="11" t="str">
        <f aca="false">IF(AND($A497="",$B497="",$D497=""),"",IF(AND($A497&lt;&gt;"",COUNTIF('1. Plot &amp; Site Log'!$A$5:$A$64,$A497)=0),"Plot ID not in the Plot &amp; Site Log. ","")&amp;IF(AND(ISNUMBER($D497),ISNUMBER($E497),$E497&lt;=$D497),"Bottom depth is not below top depth. ","")&amp;IF($L497="Not confirmed","Bulk-density basis not confirmed with the lab — the coarse-fragment correction may be wrong or doubled. ","")&amp;IF(LAB_BULK_DENSITY_BASIS="Not confirmed","No lab bulk-density basis is on file in Settings (LAB_BULK_DENSITY_BASIS), so nothing checks this row. ","")&amp;IF(AND($L497&lt;&gt;"",LAB_BULK_DENSITY_BASIS&lt;&gt;"Not confirmed",$L497&lt;&gt;LAB_BULK_DENSITY_BASIS),"This row's bulk-density basis disagrees with the lab method on file. One of "&amp;"the two is wrong, and the coarse-fragment correction follows the row. ","")&amp;IF(AND(ISNUMBER($M497),OR($M497&lt;QC_BD_MIN,$M497&gt;QC_BD_MAX)),"Bulk density outside the plausible range for a mineral grassland soil. ","")&amp;IF(AND(ISNUMBER($N497),$N497&gt;QC_CARBON_PCT_MAX),"Organic carbon above the QC ceiling — check units, and whether this is an organic horizon. ","")&amp;IF(AND(ISNUMBER($J497),$J497&lt;QC_RECOVERY_MIN),"Recovered less than the QC minimum of the depth driven — the increments may not sit where you think. Do NOT stretch them back out. ","")&amp;IF(AND(ISNUMBER($K497),$K497&gt;0,$L497="Fine earth / total volume"),"Coarse fragments recorded and the lab basis already accounts for them — no further correction applied, which is correct. ",""))</f>
        <v/>
      </c>
      <c r="T497" s="6"/>
      <c r="U497" s="9" t="n">
        <f aca="false">IF($B497="",0,IF(COUNTIFS($B$5:$B497,$B497)=1,1,0))</f>
        <v>0</v>
      </c>
    </row>
    <row r="498" customFormat="false" ht="15" hidden="false" customHeight="false" outlineLevel="0" collapsed="false">
      <c r="A498" s="6"/>
      <c r="B498" s="6"/>
      <c r="C498" s="6"/>
      <c r="D498" s="6"/>
      <c r="E498" s="6"/>
      <c r="F498" s="9" t="str">
        <f aca="false">IF(OR($D498="",$E498=""),"",$E498-$D498)</f>
        <v/>
      </c>
      <c r="G498" s="6"/>
      <c r="H498" s="6"/>
      <c r="I498" s="6"/>
      <c r="J498" s="9" t="str">
        <f aca="false">IF(OR(NOT(ISNUMBER($H498)),NOT(ISNUMBER($I498)),$H498=0),"",$I498/$H498)</f>
        <v/>
      </c>
      <c r="K498" s="6"/>
      <c r="L498" s="8"/>
      <c r="M498" s="7"/>
      <c r="N498" s="7"/>
      <c r="O498" s="9" t="str">
        <f aca="false">IF(NOT(ISNUMBER($M498)),"",IF($L498="Fine earth / fine-earth volume",$M498*(1-IF(ISNUMBER($K498),$K498,0)/100),$M498))</f>
        <v/>
      </c>
      <c r="P498" s="9" t="str">
        <f aca="false">IF(OR(NOT(ISNUMBER($O498)),NOT(ISNUMBER($N498)),NOT(ISNUMBER($F498))),"",$O498*($N498/100)*$F498*10)</f>
        <v/>
      </c>
      <c r="Q498" s="9" t="str">
        <f aca="false">IF(OR(NOT(ISNUMBER($D498)),NOT(ISNUMBER($E498))),"",MAX(0,MIN($E498,SOIL_REPORTING_DEPTH_CM)-MIN($D498,SOIL_REPORTING_DEPTH_CM)))</f>
        <v/>
      </c>
      <c r="R498" s="9" t="str">
        <f aca="false">IF(OR(NOT(ISNUMBER($O498)),NOT(ISNUMBER($N498)),NOT(ISNUMBER($Q498))),"",$O498*($N498/100)*$Q498*10)</f>
        <v/>
      </c>
      <c r="S498" s="11" t="str">
        <f aca="false">IF(AND($A498="",$B498="",$D498=""),"",IF(AND($A498&lt;&gt;"",COUNTIF('1. Plot &amp; Site Log'!$A$5:$A$64,$A498)=0),"Plot ID not in the Plot &amp; Site Log. ","")&amp;IF(AND(ISNUMBER($D498),ISNUMBER($E498),$E498&lt;=$D498),"Bottom depth is not below top depth. ","")&amp;IF($L498="Not confirmed","Bulk-density basis not confirmed with the lab — the coarse-fragment correction may be wrong or doubled. ","")&amp;IF(LAB_BULK_DENSITY_BASIS="Not confirmed","No lab bulk-density basis is on file in Settings (LAB_BULK_DENSITY_BASIS), so nothing checks this row. ","")&amp;IF(AND($L498&lt;&gt;"",LAB_BULK_DENSITY_BASIS&lt;&gt;"Not confirmed",$L498&lt;&gt;LAB_BULK_DENSITY_BASIS),"This row's bulk-density basis disagrees with the lab method on file. One of "&amp;"the two is wrong, and the coarse-fragment correction follows the row. ","")&amp;IF(AND(ISNUMBER($M498),OR($M498&lt;QC_BD_MIN,$M498&gt;QC_BD_MAX)),"Bulk density outside the plausible range for a mineral grassland soil. ","")&amp;IF(AND(ISNUMBER($N498),$N498&gt;QC_CARBON_PCT_MAX),"Organic carbon above the QC ceiling — check units, and whether this is an organic horizon. ","")&amp;IF(AND(ISNUMBER($J498),$J498&lt;QC_RECOVERY_MIN),"Recovered less than the QC minimum of the depth driven — the increments may not sit where you think. Do NOT stretch them back out. ","")&amp;IF(AND(ISNUMBER($K498),$K498&gt;0,$L498="Fine earth / total volume"),"Coarse fragments recorded and the lab basis already accounts for them — no further correction applied, which is correct. ",""))</f>
        <v/>
      </c>
      <c r="T498" s="6"/>
      <c r="U498" s="9" t="n">
        <f aca="false">IF($B498="",0,IF(COUNTIFS($B$5:$B498,$B498)=1,1,0))</f>
        <v>0</v>
      </c>
    </row>
    <row r="499" customFormat="false" ht="15" hidden="false" customHeight="false" outlineLevel="0" collapsed="false">
      <c r="A499" s="6"/>
      <c r="B499" s="6"/>
      <c r="C499" s="6"/>
      <c r="D499" s="6"/>
      <c r="E499" s="6"/>
      <c r="F499" s="9" t="str">
        <f aca="false">IF(OR($D499="",$E499=""),"",$E499-$D499)</f>
        <v/>
      </c>
      <c r="G499" s="6"/>
      <c r="H499" s="6"/>
      <c r="I499" s="6"/>
      <c r="J499" s="9" t="str">
        <f aca="false">IF(OR(NOT(ISNUMBER($H499)),NOT(ISNUMBER($I499)),$H499=0),"",$I499/$H499)</f>
        <v/>
      </c>
      <c r="K499" s="6"/>
      <c r="L499" s="8"/>
      <c r="M499" s="7"/>
      <c r="N499" s="7"/>
      <c r="O499" s="9" t="str">
        <f aca="false">IF(NOT(ISNUMBER($M499)),"",IF($L499="Fine earth / fine-earth volume",$M499*(1-IF(ISNUMBER($K499),$K499,0)/100),$M499))</f>
        <v/>
      </c>
      <c r="P499" s="9" t="str">
        <f aca="false">IF(OR(NOT(ISNUMBER($O499)),NOT(ISNUMBER($N499)),NOT(ISNUMBER($F499))),"",$O499*($N499/100)*$F499*10)</f>
        <v/>
      </c>
      <c r="Q499" s="9" t="str">
        <f aca="false">IF(OR(NOT(ISNUMBER($D499)),NOT(ISNUMBER($E499))),"",MAX(0,MIN($E499,SOIL_REPORTING_DEPTH_CM)-MIN($D499,SOIL_REPORTING_DEPTH_CM)))</f>
        <v/>
      </c>
      <c r="R499" s="9" t="str">
        <f aca="false">IF(OR(NOT(ISNUMBER($O499)),NOT(ISNUMBER($N499)),NOT(ISNUMBER($Q499))),"",$O499*($N499/100)*$Q499*10)</f>
        <v/>
      </c>
      <c r="S499" s="11" t="str">
        <f aca="false">IF(AND($A499="",$B499="",$D499=""),"",IF(AND($A499&lt;&gt;"",COUNTIF('1. Plot &amp; Site Log'!$A$5:$A$64,$A499)=0),"Plot ID not in the Plot &amp; Site Log. ","")&amp;IF(AND(ISNUMBER($D499),ISNUMBER($E499),$E499&lt;=$D499),"Bottom depth is not below top depth. ","")&amp;IF($L499="Not confirmed","Bulk-density basis not confirmed with the lab — the coarse-fragment correction may be wrong or doubled. ","")&amp;IF(LAB_BULK_DENSITY_BASIS="Not confirmed","No lab bulk-density basis is on file in Settings (LAB_BULK_DENSITY_BASIS), so nothing checks this row. ","")&amp;IF(AND($L499&lt;&gt;"",LAB_BULK_DENSITY_BASIS&lt;&gt;"Not confirmed",$L499&lt;&gt;LAB_BULK_DENSITY_BASIS),"This row's bulk-density basis disagrees with the lab method on file. One of "&amp;"the two is wrong, and the coarse-fragment correction follows the row. ","")&amp;IF(AND(ISNUMBER($M499),OR($M499&lt;QC_BD_MIN,$M499&gt;QC_BD_MAX)),"Bulk density outside the plausible range for a mineral grassland soil. ","")&amp;IF(AND(ISNUMBER($N499),$N499&gt;QC_CARBON_PCT_MAX),"Organic carbon above the QC ceiling — check units, and whether this is an organic horizon. ","")&amp;IF(AND(ISNUMBER($J499),$J499&lt;QC_RECOVERY_MIN),"Recovered less than the QC minimum of the depth driven — the increments may not sit where you think. Do NOT stretch them back out. ","")&amp;IF(AND(ISNUMBER($K499),$K499&gt;0,$L499="Fine earth / total volume"),"Coarse fragments recorded and the lab basis already accounts for them — no further correction applied, which is correct. ",""))</f>
        <v/>
      </c>
      <c r="T499" s="6"/>
      <c r="U499" s="9" t="n">
        <f aca="false">IF($B499="",0,IF(COUNTIFS($B$5:$B499,$B499)=1,1,0))</f>
        <v>0</v>
      </c>
    </row>
    <row r="500" customFormat="false" ht="15" hidden="false" customHeight="false" outlineLevel="0" collapsed="false">
      <c r="A500" s="6"/>
      <c r="B500" s="6"/>
      <c r="C500" s="6"/>
      <c r="D500" s="6"/>
      <c r="E500" s="6"/>
      <c r="F500" s="9" t="str">
        <f aca="false">IF(OR($D500="",$E500=""),"",$E500-$D500)</f>
        <v/>
      </c>
      <c r="G500" s="6"/>
      <c r="H500" s="6"/>
      <c r="I500" s="6"/>
      <c r="J500" s="9" t="str">
        <f aca="false">IF(OR(NOT(ISNUMBER($H500)),NOT(ISNUMBER($I500)),$H500=0),"",$I500/$H500)</f>
        <v/>
      </c>
      <c r="K500" s="6"/>
      <c r="L500" s="8"/>
      <c r="M500" s="7"/>
      <c r="N500" s="7"/>
      <c r="O500" s="9" t="str">
        <f aca="false">IF(NOT(ISNUMBER($M500)),"",IF($L500="Fine earth / fine-earth volume",$M500*(1-IF(ISNUMBER($K500),$K500,0)/100),$M500))</f>
        <v/>
      </c>
      <c r="P500" s="9" t="str">
        <f aca="false">IF(OR(NOT(ISNUMBER($O500)),NOT(ISNUMBER($N500)),NOT(ISNUMBER($F500))),"",$O500*($N500/100)*$F500*10)</f>
        <v/>
      </c>
      <c r="Q500" s="9" t="str">
        <f aca="false">IF(OR(NOT(ISNUMBER($D500)),NOT(ISNUMBER($E500))),"",MAX(0,MIN($E500,SOIL_REPORTING_DEPTH_CM)-MIN($D500,SOIL_REPORTING_DEPTH_CM)))</f>
        <v/>
      </c>
      <c r="R500" s="9" t="str">
        <f aca="false">IF(OR(NOT(ISNUMBER($O500)),NOT(ISNUMBER($N500)),NOT(ISNUMBER($Q500))),"",$O500*($N500/100)*$Q500*10)</f>
        <v/>
      </c>
      <c r="S500" s="11" t="str">
        <f aca="false">IF(AND($A500="",$B500="",$D500=""),"",IF(AND($A500&lt;&gt;"",COUNTIF('1. Plot &amp; Site Log'!$A$5:$A$64,$A500)=0),"Plot ID not in the Plot &amp; Site Log. ","")&amp;IF(AND(ISNUMBER($D500),ISNUMBER($E500),$E500&lt;=$D500),"Bottom depth is not below top depth. ","")&amp;IF($L500="Not confirmed","Bulk-density basis not confirmed with the lab — the coarse-fragment correction may be wrong or doubled. ","")&amp;IF(LAB_BULK_DENSITY_BASIS="Not confirmed","No lab bulk-density basis is on file in Settings (LAB_BULK_DENSITY_BASIS), so nothing checks this row. ","")&amp;IF(AND($L500&lt;&gt;"",LAB_BULK_DENSITY_BASIS&lt;&gt;"Not confirmed",$L500&lt;&gt;LAB_BULK_DENSITY_BASIS),"This row's bulk-density basis disagrees with the lab method on file. One of "&amp;"the two is wrong, and the coarse-fragment correction follows the row. ","")&amp;IF(AND(ISNUMBER($M500),OR($M500&lt;QC_BD_MIN,$M500&gt;QC_BD_MAX)),"Bulk density outside the plausible range for a mineral grassland soil. ","")&amp;IF(AND(ISNUMBER($N500),$N500&gt;QC_CARBON_PCT_MAX),"Organic carbon above the QC ceiling — check units, and whether this is an organic horizon. ","")&amp;IF(AND(ISNUMBER($J500),$J500&lt;QC_RECOVERY_MIN),"Recovered less than the QC minimum of the depth driven — the increments may not sit where you think. Do NOT stretch them back out. ","")&amp;IF(AND(ISNUMBER($K500),$K500&gt;0,$L500="Fine earth / total volume"),"Coarse fragments recorded and the lab basis already accounts for them — no further correction applied, which is correct. ",""))</f>
        <v/>
      </c>
      <c r="T500" s="6"/>
      <c r="U500" s="9" t="n">
        <f aca="false">IF($B500="",0,IF(COUNTIFS($B$5:$B500,$B500)=1,1,0))</f>
        <v>0</v>
      </c>
    </row>
    <row r="501" customFormat="false" ht="15" hidden="false" customHeight="false" outlineLevel="0" collapsed="false">
      <c r="A501" s="6"/>
      <c r="B501" s="6"/>
      <c r="C501" s="6"/>
      <c r="D501" s="6"/>
      <c r="E501" s="6"/>
      <c r="F501" s="9" t="str">
        <f aca="false">IF(OR($D501="",$E501=""),"",$E501-$D501)</f>
        <v/>
      </c>
      <c r="G501" s="6"/>
      <c r="H501" s="6"/>
      <c r="I501" s="6"/>
      <c r="J501" s="9" t="str">
        <f aca="false">IF(OR(NOT(ISNUMBER($H501)),NOT(ISNUMBER($I501)),$H501=0),"",$I501/$H501)</f>
        <v/>
      </c>
      <c r="K501" s="6"/>
      <c r="L501" s="8"/>
      <c r="M501" s="7"/>
      <c r="N501" s="7"/>
      <c r="O501" s="9" t="str">
        <f aca="false">IF(NOT(ISNUMBER($M501)),"",IF($L501="Fine earth / fine-earth volume",$M501*(1-IF(ISNUMBER($K501),$K501,0)/100),$M501))</f>
        <v/>
      </c>
      <c r="P501" s="9" t="str">
        <f aca="false">IF(OR(NOT(ISNUMBER($O501)),NOT(ISNUMBER($N501)),NOT(ISNUMBER($F501))),"",$O501*($N501/100)*$F501*10)</f>
        <v/>
      </c>
      <c r="Q501" s="9" t="str">
        <f aca="false">IF(OR(NOT(ISNUMBER($D501)),NOT(ISNUMBER($E501))),"",MAX(0,MIN($E501,SOIL_REPORTING_DEPTH_CM)-MIN($D501,SOIL_REPORTING_DEPTH_CM)))</f>
        <v/>
      </c>
      <c r="R501" s="9" t="str">
        <f aca="false">IF(OR(NOT(ISNUMBER($O501)),NOT(ISNUMBER($N501)),NOT(ISNUMBER($Q501))),"",$O501*($N501/100)*$Q501*10)</f>
        <v/>
      </c>
      <c r="S501" s="11" t="str">
        <f aca="false">IF(AND($A501="",$B501="",$D501=""),"",IF(AND($A501&lt;&gt;"",COUNTIF('1. Plot &amp; Site Log'!$A$5:$A$64,$A501)=0),"Plot ID not in the Plot &amp; Site Log. ","")&amp;IF(AND(ISNUMBER($D501),ISNUMBER($E501),$E501&lt;=$D501),"Bottom depth is not below top depth. ","")&amp;IF($L501="Not confirmed","Bulk-density basis not confirmed with the lab — the coarse-fragment correction may be wrong or doubled. ","")&amp;IF(LAB_BULK_DENSITY_BASIS="Not confirmed","No lab bulk-density basis is on file in Settings (LAB_BULK_DENSITY_BASIS), so nothing checks this row. ","")&amp;IF(AND($L501&lt;&gt;"",LAB_BULK_DENSITY_BASIS&lt;&gt;"Not confirmed",$L501&lt;&gt;LAB_BULK_DENSITY_BASIS),"This row's bulk-density basis disagrees with the lab method on file. One of "&amp;"the two is wrong, and the coarse-fragment correction follows the row. ","")&amp;IF(AND(ISNUMBER($M501),OR($M501&lt;QC_BD_MIN,$M501&gt;QC_BD_MAX)),"Bulk density outside the plausible range for a mineral grassland soil. ","")&amp;IF(AND(ISNUMBER($N501),$N501&gt;QC_CARBON_PCT_MAX),"Organic carbon above the QC ceiling — check units, and whether this is an organic horizon. ","")&amp;IF(AND(ISNUMBER($J501),$J501&lt;QC_RECOVERY_MIN),"Recovered less than the QC minimum of the depth driven — the increments may not sit where you think. Do NOT stretch them back out. ","")&amp;IF(AND(ISNUMBER($K501),$K501&gt;0,$L501="Fine earth / total volume"),"Coarse fragments recorded and the lab basis already accounts for them — no further correction applied, which is correct. ",""))</f>
        <v/>
      </c>
      <c r="T501" s="6"/>
      <c r="U501" s="9" t="n">
        <f aca="false">IF($B501="",0,IF(COUNTIFS($B$5:$B501,$B501)=1,1,0))</f>
        <v>0</v>
      </c>
    </row>
    <row r="502" customFormat="false" ht="15" hidden="false" customHeight="false" outlineLevel="0" collapsed="false">
      <c r="A502" s="6"/>
      <c r="B502" s="6"/>
      <c r="C502" s="6"/>
      <c r="D502" s="6"/>
      <c r="E502" s="6"/>
      <c r="F502" s="9" t="str">
        <f aca="false">IF(OR($D502="",$E502=""),"",$E502-$D502)</f>
        <v/>
      </c>
      <c r="G502" s="6"/>
      <c r="H502" s="6"/>
      <c r="I502" s="6"/>
      <c r="J502" s="9" t="str">
        <f aca="false">IF(OR(NOT(ISNUMBER($H502)),NOT(ISNUMBER($I502)),$H502=0),"",$I502/$H502)</f>
        <v/>
      </c>
      <c r="K502" s="6"/>
      <c r="L502" s="8"/>
      <c r="M502" s="7"/>
      <c r="N502" s="7"/>
      <c r="O502" s="9" t="str">
        <f aca="false">IF(NOT(ISNUMBER($M502)),"",IF($L502="Fine earth / fine-earth volume",$M502*(1-IF(ISNUMBER($K502),$K502,0)/100),$M502))</f>
        <v/>
      </c>
      <c r="P502" s="9" t="str">
        <f aca="false">IF(OR(NOT(ISNUMBER($O502)),NOT(ISNUMBER($N502)),NOT(ISNUMBER($F502))),"",$O502*($N502/100)*$F502*10)</f>
        <v/>
      </c>
      <c r="Q502" s="9" t="str">
        <f aca="false">IF(OR(NOT(ISNUMBER($D502)),NOT(ISNUMBER($E502))),"",MAX(0,MIN($E502,SOIL_REPORTING_DEPTH_CM)-MIN($D502,SOIL_REPORTING_DEPTH_CM)))</f>
        <v/>
      </c>
      <c r="R502" s="9" t="str">
        <f aca="false">IF(OR(NOT(ISNUMBER($O502)),NOT(ISNUMBER($N502)),NOT(ISNUMBER($Q502))),"",$O502*($N502/100)*$Q502*10)</f>
        <v/>
      </c>
      <c r="S502" s="11" t="str">
        <f aca="false">IF(AND($A502="",$B502="",$D502=""),"",IF(AND($A502&lt;&gt;"",COUNTIF('1. Plot &amp; Site Log'!$A$5:$A$64,$A502)=0),"Plot ID not in the Plot &amp; Site Log. ","")&amp;IF(AND(ISNUMBER($D502),ISNUMBER($E502),$E502&lt;=$D502),"Bottom depth is not below top depth. ","")&amp;IF($L502="Not confirmed","Bulk-density basis not confirmed with the lab — the coarse-fragment correction may be wrong or doubled. ","")&amp;IF(LAB_BULK_DENSITY_BASIS="Not confirmed","No lab bulk-density basis is on file in Settings (LAB_BULK_DENSITY_BASIS), so nothing checks this row. ","")&amp;IF(AND($L502&lt;&gt;"",LAB_BULK_DENSITY_BASIS&lt;&gt;"Not confirmed",$L502&lt;&gt;LAB_BULK_DENSITY_BASIS),"This row's bulk-density basis disagrees with the lab method on file. One of "&amp;"the two is wrong, and the coarse-fragment correction follows the row. ","")&amp;IF(AND(ISNUMBER($M502),OR($M502&lt;QC_BD_MIN,$M502&gt;QC_BD_MAX)),"Bulk density outside the plausible range for a mineral grassland soil. ","")&amp;IF(AND(ISNUMBER($N502),$N502&gt;QC_CARBON_PCT_MAX),"Organic carbon above the QC ceiling — check units, and whether this is an organic horizon. ","")&amp;IF(AND(ISNUMBER($J502),$J502&lt;QC_RECOVERY_MIN),"Recovered less than the QC minimum of the depth driven — the increments may not sit where you think. Do NOT stretch them back out. ","")&amp;IF(AND(ISNUMBER($K502),$K502&gt;0,$L502="Fine earth / total volume"),"Coarse fragments recorded and the lab basis already accounts for them — no further correction applied, which is correct. ",""))</f>
        <v/>
      </c>
      <c r="T502" s="6"/>
      <c r="U502" s="9" t="n">
        <f aca="false">IF($B502="",0,IF(COUNTIFS($B$5:$B502,$B502)=1,1,0))</f>
        <v>0</v>
      </c>
    </row>
    <row r="503" customFormat="false" ht="15" hidden="false" customHeight="false" outlineLevel="0" collapsed="false">
      <c r="A503" s="6"/>
      <c r="B503" s="6"/>
      <c r="C503" s="6"/>
      <c r="D503" s="6"/>
      <c r="E503" s="6"/>
      <c r="F503" s="9" t="str">
        <f aca="false">IF(OR($D503="",$E503=""),"",$E503-$D503)</f>
        <v/>
      </c>
      <c r="G503" s="6"/>
      <c r="H503" s="6"/>
      <c r="I503" s="6"/>
      <c r="J503" s="9" t="str">
        <f aca="false">IF(OR(NOT(ISNUMBER($H503)),NOT(ISNUMBER($I503)),$H503=0),"",$I503/$H503)</f>
        <v/>
      </c>
      <c r="K503" s="6"/>
      <c r="L503" s="8"/>
      <c r="M503" s="7"/>
      <c r="N503" s="7"/>
      <c r="O503" s="9" t="str">
        <f aca="false">IF(NOT(ISNUMBER($M503)),"",IF($L503="Fine earth / fine-earth volume",$M503*(1-IF(ISNUMBER($K503),$K503,0)/100),$M503))</f>
        <v/>
      </c>
      <c r="P503" s="9" t="str">
        <f aca="false">IF(OR(NOT(ISNUMBER($O503)),NOT(ISNUMBER($N503)),NOT(ISNUMBER($F503))),"",$O503*($N503/100)*$F503*10)</f>
        <v/>
      </c>
      <c r="Q503" s="9" t="str">
        <f aca="false">IF(OR(NOT(ISNUMBER($D503)),NOT(ISNUMBER($E503))),"",MAX(0,MIN($E503,SOIL_REPORTING_DEPTH_CM)-MIN($D503,SOIL_REPORTING_DEPTH_CM)))</f>
        <v/>
      </c>
      <c r="R503" s="9" t="str">
        <f aca="false">IF(OR(NOT(ISNUMBER($O503)),NOT(ISNUMBER($N503)),NOT(ISNUMBER($Q503))),"",$O503*($N503/100)*$Q503*10)</f>
        <v/>
      </c>
      <c r="S503" s="11" t="str">
        <f aca="false">IF(AND($A503="",$B503="",$D503=""),"",IF(AND($A503&lt;&gt;"",COUNTIF('1. Plot &amp; Site Log'!$A$5:$A$64,$A503)=0),"Plot ID not in the Plot &amp; Site Log. ","")&amp;IF(AND(ISNUMBER($D503),ISNUMBER($E503),$E503&lt;=$D503),"Bottom depth is not below top depth. ","")&amp;IF($L503="Not confirmed","Bulk-density basis not confirmed with the lab — the coarse-fragment correction may be wrong or doubled. ","")&amp;IF(LAB_BULK_DENSITY_BASIS="Not confirmed","No lab bulk-density basis is on file in Settings (LAB_BULK_DENSITY_BASIS), so nothing checks this row. ","")&amp;IF(AND($L503&lt;&gt;"",LAB_BULK_DENSITY_BASIS&lt;&gt;"Not confirmed",$L503&lt;&gt;LAB_BULK_DENSITY_BASIS),"This row's bulk-density basis disagrees with the lab method on file. One of "&amp;"the two is wrong, and the coarse-fragment correction follows the row. ","")&amp;IF(AND(ISNUMBER($M503),OR($M503&lt;QC_BD_MIN,$M503&gt;QC_BD_MAX)),"Bulk density outside the plausible range for a mineral grassland soil. ","")&amp;IF(AND(ISNUMBER($N503),$N503&gt;QC_CARBON_PCT_MAX),"Organic carbon above the QC ceiling — check units, and whether this is an organic horizon. ","")&amp;IF(AND(ISNUMBER($J503),$J503&lt;QC_RECOVERY_MIN),"Recovered less than the QC minimum of the depth driven — the increments may not sit where you think. Do NOT stretch them back out. ","")&amp;IF(AND(ISNUMBER($K503),$K503&gt;0,$L503="Fine earth / total volume"),"Coarse fragments recorded and the lab basis already accounts for them — no further correction applied, which is correct. ",""))</f>
        <v/>
      </c>
      <c r="T503" s="6"/>
      <c r="U503" s="9" t="n">
        <f aca="false">IF($B503="",0,IF(COUNTIFS($B$5:$B503,$B503)=1,1,0))</f>
        <v>0</v>
      </c>
    </row>
    <row r="504" customFormat="false" ht="15" hidden="false" customHeight="false" outlineLevel="0" collapsed="false">
      <c r="A504" s="6"/>
      <c r="B504" s="6"/>
      <c r="C504" s="6"/>
      <c r="D504" s="6"/>
      <c r="E504" s="6"/>
      <c r="F504" s="9" t="str">
        <f aca="false">IF(OR($D504="",$E504=""),"",$E504-$D504)</f>
        <v/>
      </c>
      <c r="G504" s="6"/>
      <c r="H504" s="6"/>
      <c r="I504" s="6"/>
      <c r="J504" s="9" t="str">
        <f aca="false">IF(OR(NOT(ISNUMBER($H504)),NOT(ISNUMBER($I504)),$H504=0),"",$I504/$H504)</f>
        <v/>
      </c>
      <c r="K504" s="6"/>
      <c r="L504" s="8"/>
      <c r="M504" s="7"/>
      <c r="N504" s="7"/>
      <c r="O504" s="9" t="str">
        <f aca="false">IF(NOT(ISNUMBER($M504)),"",IF($L504="Fine earth / fine-earth volume",$M504*(1-IF(ISNUMBER($K504),$K504,0)/100),$M504))</f>
        <v/>
      </c>
      <c r="P504" s="9" t="str">
        <f aca="false">IF(OR(NOT(ISNUMBER($O504)),NOT(ISNUMBER($N504)),NOT(ISNUMBER($F504))),"",$O504*($N504/100)*$F504*10)</f>
        <v/>
      </c>
      <c r="Q504" s="9" t="str">
        <f aca="false">IF(OR(NOT(ISNUMBER($D504)),NOT(ISNUMBER($E504))),"",MAX(0,MIN($E504,SOIL_REPORTING_DEPTH_CM)-MIN($D504,SOIL_REPORTING_DEPTH_CM)))</f>
        <v/>
      </c>
      <c r="R504" s="9" t="str">
        <f aca="false">IF(OR(NOT(ISNUMBER($O504)),NOT(ISNUMBER($N504)),NOT(ISNUMBER($Q504))),"",$O504*($N504/100)*$Q504*10)</f>
        <v/>
      </c>
      <c r="S504" s="11" t="str">
        <f aca="false">IF(AND($A504="",$B504="",$D504=""),"",IF(AND($A504&lt;&gt;"",COUNTIF('1. Plot &amp; Site Log'!$A$5:$A$64,$A504)=0),"Plot ID not in the Plot &amp; Site Log. ","")&amp;IF(AND(ISNUMBER($D504),ISNUMBER($E504),$E504&lt;=$D504),"Bottom depth is not below top depth. ","")&amp;IF($L504="Not confirmed","Bulk-density basis not confirmed with the lab — the coarse-fragment correction may be wrong or doubled. ","")&amp;IF(LAB_BULK_DENSITY_BASIS="Not confirmed","No lab bulk-density basis is on file in Settings (LAB_BULK_DENSITY_BASIS), so nothing checks this row. ","")&amp;IF(AND($L504&lt;&gt;"",LAB_BULK_DENSITY_BASIS&lt;&gt;"Not confirmed",$L504&lt;&gt;LAB_BULK_DENSITY_BASIS),"This row's bulk-density basis disagrees with the lab method on file. One of "&amp;"the two is wrong, and the coarse-fragment correction follows the row. ","")&amp;IF(AND(ISNUMBER($M504),OR($M504&lt;QC_BD_MIN,$M504&gt;QC_BD_MAX)),"Bulk density outside the plausible range for a mineral grassland soil. ","")&amp;IF(AND(ISNUMBER($N504),$N504&gt;QC_CARBON_PCT_MAX),"Organic carbon above the QC ceiling — check units, and whether this is an organic horizon. ","")&amp;IF(AND(ISNUMBER($J504),$J504&lt;QC_RECOVERY_MIN),"Recovered less than the QC minimum of the depth driven — the increments may not sit where you think. Do NOT stretch them back out. ","")&amp;IF(AND(ISNUMBER($K504),$K504&gt;0,$L504="Fine earth / total volume"),"Coarse fragments recorded and the lab basis already accounts for them — no further correction applied, which is correct. ",""))</f>
        <v/>
      </c>
      <c r="T504" s="6"/>
      <c r="U504" s="9" t="n">
        <f aca="false">IF($B504="",0,IF(COUNTIFS($B$5:$B504,$B504)=1,1,0))</f>
        <v>0</v>
      </c>
    </row>
    <row r="505" customFormat="false" ht="15" hidden="false" customHeight="false" outlineLevel="0" collapsed="false">
      <c r="A505" s="6"/>
      <c r="B505" s="6"/>
      <c r="C505" s="6"/>
      <c r="D505" s="6"/>
      <c r="E505" s="6"/>
      <c r="F505" s="9" t="str">
        <f aca="false">IF(OR($D505="",$E505=""),"",$E505-$D505)</f>
        <v/>
      </c>
      <c r="G505" s="6"/>
      <c r="H505" s="6"/>
      <c r="I505" s="6"/>
      <c r="J505" s="9" t="str">
        <f aca="false">IF(OR(NOT(ISNUMBER($H505)),NOT(ISNUMBER($I505)),$H505=0),"",$I505/$H505)</f>
        <v/>
      </c>
      <c r="K505" s="6"/>
      <c r="L505" s="8"/>
      <c r="M505" s="7"/>
      <c r="N505" s="7"/>
      <c r="O505" s="9" t="str">
        <f aca="false">IF(NOT(ISNUMBER($M505)),"",IF($L505="Fine earth / fine-earth volume",$M505*(1-IF(ISNUMBER($K505),$K505,0)/100),$M505))</f>
        <v/>
      </c>
      <c r="P505" s="9" t="str">
        <f aca="false">IF(OR(NOT(ISNUMBER($O505)),NOT(ISNUMBER($N505)),NOT(ISNUMBER($F505))),"",$O505*($N505/100)*$F505*10)</f>
        <v/>
      </c>
      <c r="Q505" s="9" t="str">
        <f aca="false">IF(OR(NOT(ISNUMBER($D505)),NOT(ISNUMBER($E505))),"",MAX(0,MIN($E505,SOIL_REPORTING_DEPTH_CM)-MIN($D505,SOIL_REPORTING_DEPTH_CM)))</f>
        <v/>
      </c>
      <c r="R505" s="9" t="str">
        <f aca="false">IF(OR(NOT(ISNUMBER($O505)),NOT(ISNUMBER($N505)),NOT(ISNUMBER($Q505))),"",$O505*($N505/100)*$Q505*10)</f>
        <v/>
      </c>
      <c r="S505" s="11" t="str">
        <f aca="false">IF(AND($A505="",$B505="",$D505=""),"",IF(AND($A505&lt;&gt;"",COUNTIF('1. Plot &amp; Site Log'!$A$5:$A$64,$A505)=0),"Plot ID not in the Plot &amp; Site Log. ","")&amp;IF(AND(ISNUMBER($D505),ISNUMBER($E505),$E505&lt;=$D505),"Bottom depth is not below top depth. ","")&amp;IF($L505="Not confirmed","Bulk-density basis not confirmed with the lab — the coarse-fragment correction may be wrong or doubled. ","")&amp;IF(LAB_BULK_DENSITY_BASIS="Not confirmed","No lab bulk-density basis is on file in Settings (LAB_BULK_DENSITY_BASIS), so nothing checks this row. ","")&amp;IF(AND($L505&lt;&gt;"",LAB_BULK_DENSITY_BASIS&lt;&gt;"Not confirmed",$L505&lt;&gt;LAB_BULK_DENSITY_BASIS),"This row's bulk-density basis disagrees with the lab method on file. One of "&amp;"the two is wrong, and the coarse-fragment correction follows the row. ","")&amp;IF(AND(ISNUMBER($M505),OR($M505&lt;QC_BD_MIN,$M505&gt;QC_BD_MAX)),"Bulk density outside the plausible range for a mineral grassland soil. ","")&amp;IF(AND(ISNUMBER($N505),$N505&gt;QC_CARBON_PCT_MAX),"Organic carbon above the QC ceiling — check units, and whether this is an organic horizon. ","")&amp;IF(AND(ISNUMBER($J505),$J505&lt;QC_RECOVERY_MIN),"Recovered less than the QC minimum of the depth driven — the increments may not sit where you think. Do NOT stretch them back out. ","")&amp;IF(AND(ISNUMBER($K505),$K505&gt;0,$L505="Fine earth / total volume"),"Coarse fragments recorded and the lab basis already accounts for them — no further correction applied, which is correct. ",""))</f>
        <v/>
      </c>
      <c r="T505" s="6"/>
      <c r="U505" s="9" t="n">
        <f aca="false">IF($B505="",0,IF(COUNTIFS($B$5:$B505,$B505)=1,1,0))</f>
        <v>0</v>
      </c>
    </row>
    <row r="506" customFormat="false" ht="15" hidden="false" customHeight="false" outlineLevel="0" collapsed="false">
      <c r="A506" s="6"/>
      <c r="B506" s="6"/>
      <c r="C506" s="6"/>
      <c r="D506" s="6"/>
      <c r="E506" s="6"/>
      <c r="F506" s="9" t="str">
        <f aca="false">IF(OR($D506="",$E506=""),"",$E506-$D506)</f>
        <v/>
      </c>
      <c r="G506" s="6"/>
      <c r="H506" s="6"/>
      <c r="I506" s="6"/>
      <c r="J506" s="9" t="str">
        <f aca="false">IF(OR(NOT(ISNUMBER($H506)),NOT(ISNUMBER($I506)),$H506=0),"",$I506/$H506)</f>
        <v/>
      </c>
      <c r="K506" s="6"/>
      <c r="L506" s="8"/>
      <c r="M506" s="7"/>
      <c r="N506" s="7"/>
      <c r="O506" s="9" t="str">
        <f aca="false">IF(NOT(ISNUMBER($M506)),"",IF($L506="Fine earth / fine-earth volume",$M506*(1-IF(ISNUMBER($K506),$K506,0)/100),$M506))</f>
        <v/>
      </c>
      <c r="P506" s="9" t="str">
        <f aca="false">IF(OR(NOT(ISNUMBER($O506)),NOT(ISNUMBER($N506)),NOT(ISNUMBER($F506))),"",$O506*($N506/100)*$F506*10)</f>
        <v/>
      </c>
      <c r="Q506" s="9" t="str">
        <f aca="false">IF(OR(NOT(ISNUMBER($D506)),NOT(ISNUMBER($E506))),"",MAX(0,MIN($E506,SOIL_REPORTING_DEPTH_CM)-MIN($D506,SOIL_REPORTING_DEPTH_CM)))</f>
        <v/>
      </c>
      <c r="R506" s="9" t="str">
        <f aca="false">IF(OR(NOT(ISNUMBER($O506)),NOT(ISNUMBER($N506)),NOT(ISNUMBER($Q506))),"",$O506*($N506/100)*$Q506*10)</f>
        <v/>
      </c>
      <c r="S506" s="11" t="str">
        <f aca="false">IF(AND($A506="",$B506="",$D506=""),"",IF(AND($A506&lt;&gt;"",COUNTIF('1. Plot &amp; Site Log'!$A$5:$A$64,$A506)=0),"Plot ID not in the Plot &amp; Site Log. ","")&amp;IF(AND(ISNUMBER($D506),ISNUMBER($E506),$E506&lt;=$D506),"Bottom depth is not below top depth. ","")&amp;IF($L506="Not confirmed","Bulk-density basis not confirmed with the lab — the coarse-fragment correction may be wrong or doubled. ","")&amp;IF(LAB_BULK_DENSITY_BASIS="Not confirmed","No lab bulk-density basis is on file in Settings (LAB_BULK_DENSITY_BASIS), so nothing checks this row. ","")&amp;IF(AND($L506&lt;&gt;"",LAB_BULK_DENSITY_BASIS&lt;&gt;"Not confirmed",$L506&lt;&gt;LAB_BULK_DENSITY_BASIS),"This row's bulk-density basis disagrees with the lab method on file. One of "&amp;"the two is wrong, and the coarse-fragment correction follows the row. ","")&amp;IF(AND(ISNUMBER($M506),OR($M506&lt;QC_BD_MIN,$M506&gt;QC_BD_MAX)),"Bulk density outside the plausible range for a mineral grassland soil. ","")&amp;IF(AND(ISNUMBER($N506),$N506&gt;QC_CARBON_PCT_MAX),"Organic carbon above the QC ceiling — check units, and whether this is an organic horizon. ","")&amp;IF(AND(ISNUMBER($J506),$J506&lt;QC_RECOVERY_MIN),"Recovered less than the QC minimum of the depth driven — the increments may not sit where you think. Do NOT stretch them back out. ","")&amp;IF(AND(ISNUMBER($K506),$K506&gt;0,$L506="Fine earth / total volume"),"Coarse fragments recorded and the lab basis already accounts for them — no further correction applied, which is correct. ",""))</f>
        <v/>
      </c>
      <c r="T506" s="6"/>
      <c r="U506" s="9" t="n">
        <f aca="false">IF($B506="",0,IF(COUNTIFS($B$5:$B506,$B506)=1,1,0))</f>
        <v>0</v>
      </c>
    </row>
    <row r="507" customFormat="false" ht="15" hidden="false" customHeight="false" outlineLevel="0" collapsed="false">
      <c r="A507" s="6"/>
      <c r="B507" s="6"/>
      <c r="C507" s="6"/>
      <c r="D507" s="6"/>
      <c r="E507" s="6"/>
      <c r="F507" s="9" t="str">
        <f aca="false">IF(OR($D507="",$E507=""),"",$E507-$D507)</f>
        <v/>
      </c>
      <c r="G507" s="6"/>
      <c r="H507" s="6"/>
      <c r="I507" s="6"/>
      <c r="J507" s="9" t="str">
        <f aca="false">IF(OR(NOT(ISNUMBER($H507)),NOT(ISNUMBER($I507)),$H507=0),"",$I507/$H507)</f>
        <v/>
      </c>
      <c r="K507" s="6"/>
      <c r="L507" s="8"/>
      <c r="M507" s="7"/>
      <c r="N507" s="7"/>
      <c r="O507" s="9" t="str">
        <f aca="false">IF(NOT(ISNUMBER($M507)),"",IF($L507="Fine earth / fine-earth volume",$M507*(1-IF(ISNUMBER($K507),$K507,0)/100),$M507))</f>
        <v/>
      </c>
      <c r="P507" s="9" t="str">
        <f aca="false">IF(OR(NOT(ISNUMBER($O507)),NOT(ISNUMBER($N507)),NOT(ISNUMBER($F507))),"",$O507*($N507/100)*$F507*10)</f>
        <v/>
      </c>
      <c r="Q507" s="9" t="str">
        <f aca="false">IF(OR(NOT(ISNUMBER($D507)),NOT(ISNUMBER($E507))),"",MAX(0,MIN($E507,SOIL_REPORTING_DEPTH_CM)-MIN($D507,SOIL_REPORTING_DEPTH_CM)))</f>
        <v/>
      </c>
      <c r="R507" s="9" t="str">
        <f aca="false">IF(OR(NOT(ISNUMBER($O507)),NOT(ISNUMBER($N507)),NOT(ISNUMBER($Q507))),"",$O507*($N507/100)*$Q507*10)</f>
        <v/>
      </c>
      <c r="S507" s="11" t="str">
        <f aca="false">IF(AND($A507="",$B507="",$D507=""),"",IF(AND($A507&lt;&gt;"",COUNTIF('1. Plot &amp; Site Log'!$A$5:$A$64,$A507)=0),"Plot ID not in the Plot &amp; Site Log. ","")&amp;IF(AND(ISNUMBER($D507),ISNUMBER($E507),$E507&lt;=$D507),"Bottom depth is not below top depth. ","")&amp;IF($L507="Not confirmed","Bulk-density basis not confirmed with the lab — the coarse-fragment correction may be wrong or doubled. ","")&amp;IF(LAB_BULK_DENSITY_BASIS="Not confirmed","No lab bulk-density basis is on file in Settings (LAB_BULK_DENSITY_BASIS), so nothing checks this row. ","")&amp;IF(AND($L507&lt;&gt;"",LAB_BULK_DENSITY_BASIS&lt;&gt;"Not confirmed",$L507&lt;&gt;LAB_BULK_DENSITY_BASIS),"This row's bulk-density basis disagrees with the lab method on file. One of "&amp;"the two is wrong, and the coarse-fragment correction follows the row. ","")&amp;IF(AND(ISNUMBER($M507),OR($M507&lt;QC_BD_MIN,$M507&gt;QC_BD_MAX)),"Bulk density outside the plausible range for a mineral grassland soil. ","")&amp;IF(AND(ISNUMBER($N507),$N507&gt;QC_CARBON_PCT_MAX),"Organic carbon above the QC ceiling — check units, and whether this is an organic horizon. ","")&amp;IF(AND(ISNUMBER($J507),$J507&lt;QC_RECOVERY_MIN),"Recovered less than the QC minimum of the depth driven — the increments may not sit where you think. Do NOT stretch them back out. ","")&amp;IF(AND(ISNUMBER($K507),$K507&gt;0,$L507="Fine earth / total volume"),"Coarse fragments recorded and the lab basis already accounts for them — no further correction applied, which is correct. ",""))</f>
        <v/>
      </c>
      <c r="T507" s="6"/>
      <c r="U507" s="9" t="n">
        <f aca="false">IF($B507="",0,IF(COUNTIFS($B$5:$B507,$B507)=1,1,0))</f>
        <v>0</v>
      </c>
    </row>
    <row r="508" customFormat="false" ht="15" hidden="false" customHeight="false" outlineLevel="0" collapsed="false">
      <c r="A508" s="6"/>
      <c r="B508" s="6"/>
      <c r="C508" s="6"/>
      <c r="D508" s="6"/>
      <c r="E508" s="6"/>
      <c r="F508" s="9" t="str">
        <f aca="false">IF(OR($D508="",$E508=""),"",$E508-$D508)</f>
        <v/>
      </c>
      <c r="G508" s="6"/>
      <c r="H508" s="6"/>
      <c r="I508" s="6"/>
      <c r="J508" s="9" t="str">
        <f aca="false">IF(OR(NOT(ISNUMBER($H508)),NOT(ISNUMBER($I508)),$H508=0),"",$I508/$H508)</f>
        <v/>
      </c>
      <c r="K508" s="6"/>
      <c r="L508" s="8"/>
      <c r="M508" s="7"/>
      <c r="N508" s="7"/>
      <c r="O508" s="9" t="str">
        <f aca="false">IF(NOT(ISNUMBER($M508)),"",IF($L508="Fine earth / fine-earth volume",$M508*(1-IF(ISNUMBER($K508),$K508,0)/100),$M508))</f>
        <v/>
      </c>
      <c r="P508" s="9" t="str">
        <f aca="false">IF(OR(NOT(ISNUMBER($O508)),NOT(ISNUMBER($N508)),NOT(ISNUMBER($F508))),"",$O508*($N508/100)*$F508*10)</f>
        <v/>
      </c>
      <c r="Q508" s="9" t="str">
        <f aca="false">IF(OR(NOT(ISNUMBER($D508)),NOT(ISNUMBER($E508))),"",MAX(0,MIN($E508,SOIL_REPORTING_DEPTH_CM)-MIN($D508,SOIL_REPORTING_DEPTH_CM)))</f>
        <v/>
      </c>
      <c r="R508" s="9" t="str">
        <f aca="false">IF(OR(NOT(ISNUMBER($O508)),NOT(ISNUMBER($N508)),NOT(ISNUMBER($Q508))),"",$O508*($N508/100)*$Q508*10)</f>
        <v/>
      </c>
      <c r="S508" s="11" t="str">
        <f aca="false">IF(AND($A508="",$B508="",$D508=""),"",IF(AND($A508&lt;&gt;"",COUNTIF('1. Plot &amp; Site Log'!$A$5:$A$64,$A508)=0),"Plot ID not in the Plot &amp; Site Log. ","")&amp;IF(AND(ISNUMBER($D508),ISNUMBER($E508),$E508&lt;=$D508),"Bottom depth is not below top depth. ","")&amp;IF($L508="Not confirmed","Bulk-density basis not confirmed with the lab — the coarse-fragment correction may be wrong or doubled. ","")&amp;IF(LAB_BULK_DENSITY_BASIS="Not confirmed","No lab bulk-density basis is on file in Settings (LAB_BULK_DENSITY_BASIS), so nothing checks this row. ","")&amp;IF(AND($L508&lt;&gt;"",LAB_BULK_DENSITY_BASIS&lt;&gt;"Not confirmed",$L508&lt;&gt;LAB_BULK_DENSITY_BASIS),"This row's bulk-density basis disagrees with the lab method on file. One of "&amp;"the two is wrong, and the coarse-fragment correction follows the row. ","")&amp;IF(AND(ISNUMBER($M508),OR($M508&lt;QC_BD_MIN,$M508&gt;QC_BD_MAX)),"Bulk density outside the plausible range for a mineral grassland soil. ","")&amp;IF(AND(ISNUMBER($N508),$N508&gt;QC_CARBON_PCT_MAX),"Organic carbon above the QC ceiling — check units, and whether this is an organic horizon. ","")&amp;IF(AND(ISNUMBER($J508),$J508&lt;QC_RECOVERY_MIN),"Recovered less than the QC minimum of the depth driven — the increments may not sit where you think. Do NOT stretch them back out. ","")&amp;IF(AND(ISNUMBER($K508),$K508&gt;0,$L508="Fine earth / total volume"),"Coarse fragments recorded and the lab basis already accounts for them — no further correction applied, which is correct. ",""))</f>
        <v/>
      </c>
      <c r="T508" s="6"/>
      <c r="U508" s="9" t="n">
        <f aca="false">IF($B508="",0,IF(COUNTIFS($B$5:$B508,$B508)=1,1,0))</f>
        <v>0</v>
      </c>
    </row>
    <row r="509" customFormat="false" ht="15" hidden="false" customHeight="false" outlineLevel="0" collapsed="false">
      <c r="A509" s="6"/>
      <c r="B509" s="6"/>
      <c r="C509" s="6"/>
      <c r="D509" s="6"/>
      <c r="E509" s="6"/>
      <c r="F509" s="9" t="str">
        <f aca="false">IF(OR($D509="",$E509=""),"",$E509-$D509)</f>
        <v/>
      </c>
      <c r="G509" s="6"/>
      <c r="H509" s="6"/>
      <c r="I509" s="6"/>
      <c r="J509" s="9" t="str">
        <f aca="false">IF(OR(NOT(ISNUMBER($H509)),NOT(ISNUMBER($I509)),$H509=0),"",$I509/$H509)</f>
        <v/>
      </c>
      <c r="K509" s="6"/>
      <c r="L509" s="8"/>
      <c r="M509" s="7"/>
      <c r="N509" s="7"/>
      <c r="O509" s="9" t="str">
        <f aca="false">IF(NOT(ISNUMBER($M509)),"",IF($L509="Fine earth / fine-earth volume",$M509*(1-IF(ISNUMBER($K509),$K509,0)/100),$M509))</f>
        <v/>
      </c>
      <c r="P509" s="9" t="str">
        <f aca="false">IF(OR(NOT(ISNUMBER($O509)),NOT(ISNUMBER($N509)),NOT(ISNUMBER($F509))),"",$O509*($N509/100)*$F509*10)</f>
        <v/>
      </c>
      <c r="Q509" s="9" t="str">
        <f aca="false">IF(OR(NOT(ISNUMBER($D509)),NOT(ISNUMBER($E509))),"",MAX(0,MIN($E509,SOIL_REPORTING_DEPTH_CM)-MIN($D509,SOIL_REPORTING_DEPTH_CM)))</f>
        <v/>
      </c>
      <c r="R509" s="9" t="str">
        <f aca="false">IF(OR(NOT(ISNUMBER($O509)),NOT(ISNUMBER($N509)),NOT(ISNUMBER($Q509))),"",$O509*($N509/100)*$Q509*10)</f>
        <v/>
      </c>
      <c r="S509" s="11" t="str">
        <f aca="false">IF(AND($A509="",$B509="",$D509=""),"",IF(AND($A509&lt;&gt;"",COUNTIF('1. Plot &amp; Site Log'!$A$5:$A$64,$A509)=0),"Plot ID not in the Plot &amp; Site Log. ","")&amp;IF(AND(ISNUMBER($D509),ISNUMBER($E509),$E509&lt;=$D509),"Bottom depth is not below top depth. ","")&amp;IF($L509="Not confirmed","Bulk-density basis not confirmed with the lab — the coarse-fragment correction may be wrong or doubled. ","")&amp;IF(LAB_BULK_DENSITY_BASIS="Not confirmed","No lab bulk-density basis is on file in Settings (LAB_BULK_DENSITY_BASIS), so nothing checks this row. ","")&amp;IF(AND($L509&lt;&gt;"",LAB_BULK_DENSITY_BASIS&lt;&gt;"Not confirmed",$L509&lt;&gt;LAB_BULK_DENSITY_BASIS),"This row's bulk-density basis disagrees with the lab method on file. One of "&amp;"the two is wrong, and the coarse-fragment correction follows the row. ","")&amp;IF(AND(ISNUMBER($M509),OR($M509&lt;QC_BD_MIN,$M509&gt;QC_BD_MAX)),"Bulk density outside the plausible range for a mineral grassland soil. ","")&amp;IF(AND(ISNUMBER($N509),$N509&gt;QC_CARBON_PCT_MAX),"Organic carbon above the QC ceiling — check units, and whether this is an organic horizon. ","")&amp;IF(AND(ISNUMBER($J509),$J509&lt;QC_RECOVERY_MIN),"Recovered less than the QC minimum of the depth driven — the increments may not sit where you think. Do NOT stretch them back out. ","")&amp;IF(AND(ISNUMBER($K509),$K509&gt;0,$L509="Fine earth / total volume"),"Coarse fragments recorded and the lab basis already accounts for them — no further correction applied, which is correct. ",""))</f>
        <v/>
      </c>
      <c r="T509" s="6"/>
      <c r="U509" s="9" t="n">
        <f aca="false">IF($B509="",0,IF(COUNTIFS($B$5:$B509,$B509)=1,1,0))</f>
        <v>0</v>
      </c>
    </row>
    <row r="510" customFormat="false" ht="15" hidden="false" customHeight="false" outlineLevel="0" collapsed="false">
      <c r="A510" s="6"/>
      <c r="B510" s="6"/>
      <c r="C510" s="6"/>
      <c r="D510" s="6"/>
      <c r="E510" s="6"/>
      <c r="F510" s="9" t="str">
        <f aca="false">IF(OR($D510="",$E510=""),"",$E510-$D510)</f>
        <v/>
      </c>
      <c r="G510" s="6"/>
      <c r="H510" s="6"/>
      <c r="I510" s="6"/>
      <c r="J510" s="9" t="str">
        <f aca="false">IF(OR(NOT(ISNUMBER($H510)),NOT(ISNUMBER($I510)),$H510=0),"",$I510/$H510)</f>
        <v/>
      </c>
      <c r="K510" s="6"/>
      <c r="L510" s="8"/>
      <c r="M510" s="7"/>
      <c r="N510" s="7"/>
      <c r="O510" s="9" t="str">
        <f aca="false">IF(NOT(ISNUMBER($M510)),"",IF($L510="Fine earth / fine-earth volume",$M510*(1-IF(ISNUMBER($K510),$K510,0)/100),$M510))</f>
        <v/>
      </c>
      <c r="P510" s="9" t="str">
        <f aca="false">IF(OR(NOT(ISNUMBER($O510)),NOT(ISNUMBER($N510)),NOT(ISNUMBER($F510))),"",$O510*($N510/100)*$F510*10)</f>
        <v/>
      </c>
      <c r="Q510" s="9" t="str">
        <f aca="false">IF(OR(NOT(ISNUMBER($D510)),NOT(ISNUMBER($E510))),"",MAX(0,MIN($E510,SOIL_REPORTING_DEPTH_CM)-MIN($D510,SOIL_REPORTING_DEPTH_CM)))</f>
        <v/>
      </c>
      <c r="R510" s="9" t="str">
        <f aca="false">IF(OR(NOT(ISNUMBER($O510)),NOT(ISNUMBER($N510)),NOT(ISNUMBER($Q510))),"",$O510*($N510/100)*$Q510*10)</f>
        <v/>
      </c>
      <c r="S510" s="11" t="str">
        <f aca="false">IF(AND($A510="",$B510="",$D510=""),"",IF(AND($A510&lt;&gt;"",COUNTIF('1. Plot &amp; Site Log'!$A$5:$A$64,$A510)=0),"Plot ID not in the Plot &amp; Site Log. ","")&amp;IF(AND(ISNUMBER($D510),ISNUMBER($E510),$E510&lt;=$D510),"Bottom depth is not below top depth. ","")&amp;IF($L510="Not confirmed","Bulk-density basis not confirmed with the lab — the coarse-fragment correction may be wrong or doubled. ","")&amp;IF(LAB_BULK_DENSITY_BASIS="Not confirmed","No lab bulk-density basis is on file in Settings (LAB_BULK_DENSITY_BASIS), so nothing checks this row. ","")&amp;IF(AND($L510&lt;&gt;"",LAB_BULK_DENSITY_BASIS&lt;&gt;"Not confirmed",$L510&lt;&gt;LAB_BULK_DENSITY_BASIS),"This row's bulk-density basis disagrees with the lab method on file. One of "&amp;"the two is wrong, and the coarse-fragment correction follows the row. ","")&amp;IF(AND(ISNUMBER($M510),OR($M510&lt;QC_BD_MIN,$M510&gt;QC_BD_MAX)),"Bulk density outside the plausible range for a mineral grassland soil. ","")&amp;IF(AND(ISNUMBER($N510),$N510&gt;QC_CARBON_PCT_MAX),"Organic carbon above the QC ceiling — check units, and whether this is an organic horizon. ","")&amp;IF(AND(ISNUMBER($J510),$J510&lt;QC_RECOVERY_MIN),"Recovered less than the QC minimum of the depth driven — the increments may not sit where you think. Do NOT stretch them back out. ","")&amp;IF(AND(ISNUMBER($K510),$K510&gt;0,$L510="Fine earth / total volume"),"Coarse fragments recorded and the lab basis already accounts for them — no further correction applied, which is correct. ",""))</f>
        <v/>
      </c>
      <c r="T510" s="6"/>
      <c r="U510" s="9" t="n">
        <f aca="false">IF($B510="",0,IF(COUNTIFS($B$5:$B510,$B510)=1,1,0))</f>
        <v>0</v>
      </c>
    </row>
    <row r="511" customFormat="false" ht="15" hidden="false" customHeight="false" outlineLevel="0" collapsed="false">
      <c r="A511" s="6"/>
      <c r="B511" s="6"/>
      <c r="C511" s="6"/>
      <c r="D511" s="6"/>
      <c r="E511" s="6"/>
      <c r="F511" s="9" t="str">
        <f aca="false">IF(OR($D511="",$E511=""),"",$E511-$D511)</f>
        <v/>
      </c>
      <c r="G511" s="6"/>
      <c r="H511" s="6"/>
      <c r="I511" s="6"/>
      <c r="J511" s="9" t="str">
        <f aca="false">IF(OR(NOT(ISNUMBER($H511)),NOT(ISNUMBER($I511)),$H511=0),"",$I511/$H511)</f>
        <v/>
      </c>
      <c r="K511" s="6"/>
      <c r="L511" s="8"/>
      <c r="M511" s="7"/>
      <c r="N511" s="7"/>
      <c r="O511" s="9" t="str">
        <f aca="false">IF(NOT(ISNUMBER($M511)),"",IF($L511="Fine earth / fine-earth volume",$M511*(1-IF(ISNUMBER($K511),$K511,0)/100),$M511))</f>
        <v/>
      </c>
      <c r="P511" s="9" t="str">
        <f aca="false">IF(OR(NOT(ISNUMBER($O511)),NOT(ISNUMBER($N511)),NOT(ISNUMBER($F511))),"",$O511*($N511/100)*$F511*10)</f>
        <v/>
      </c>
      <c r="Q511" s="9" t="str">
        <f aca="false">IF(OR(NOT(ISNUMBER($D511)),NOT(ISNUMBER($E511))),"",MAX(0,MIN($E511,SOIL_REPORTING_DEPTH_CM)-MIN($D511,SOIL_REPORTING_DEPTH_CM)))</f>
        <v/>
      </c>
      <c r="R511" s="9" t="str">
        <f aca="false">IF(OR(NOT(ISNUMBER($O511)),NOT(ISNUMBER($N511)),NOT(ISNUMBER($Q511))),"",$O511*($N511/100)*$Q511*10)</f>
        <v/>
      </c>
      <c r="S511" s="11" t="str">
        <f aca="false">IF(AND($A511="",$B511="",$D511=""),"",IF(AND($A511&lt;&gt;"",COUNTIF('1. Plot &amp; Site Log'!$A$5:$A$64,$A511)=0),"Plot ID not in the Plot &amp; Site Log. ","")&amp;IF(AND(ISNUMBER($D511),ISNUMBER($E511),$E511&lt;=$D511),"Bottom depth is not below top depth. ","")&amp;IF($L511="Not confirmed","Bulk-density basis not confirmed with the lab — the coarse-fragment correction may be wrong or doubled. ","")&amp;IF(LAB_BULK_DENSITY_BASIS="Not confirmed","No lab bulk-density basis is on file in Settings (LAB_BULK_DENSITY_BASIS), so nothing checks this row. ","")&amp;IF(AND($L511&lt;&gt;"",LAB_BULK_DENSITY_BASIS&lt;&gt;"Not confirmed",$L511&lt;&gt;LAB_BULK_DENSITY_BASIS),"This row's bulk-density basis disagrees with the lab method on file. One of "&amp;"the two is wrong, and the coarse-fragment correction follows the row. ","")&amp;IF(AND(ISNUMBER($M511),OR($M511&lt;QC_BD_MIN,$M511&gt;QC_BD_MAX)),"Bulk density outside the plausible range for a mineral grassland soil. ","")&amp;IF(AND(ISNUMBER($N511),$N511&gt;QC_CARBON_PCT_MAX),"Organic carbon above the QC ceiling — check units, and whether this is an organic horizon. ","")&amp;IF(AND(ISNUMBER($J511),$J511&lt;QC_RECOVERY_MIN),"Recovered less than the QC minimum of the depth driven — the increments may not sit where you think. Do NOT stretch them back out. ","")&amp;IF(AND(ISNUMBER($K511),$K511&gt;0,$L511="Fine earth / total volume"),"Coarse fragments recorded and the lab basis already accounts for them — no further correction applied, which is correct. ",""))</f>
        <v/>
      </c>
      <c r="T511" s="6"/>
      <c r="U511" s="9" t="n">
        <f aca="false">IF($B511="",0,IF(COUNTIFS($B$5:$B511,$B511)=1,1,0))</f>
        <v>0</v>
      </c>
    </row>
    <row r="512" customFormat="false" ht="15" hidden="false" customHeight="false" outlineLevel="0" collapsed="false">
      <c r="A512" s="6"/>
      <c r="B512" s="6"/>
      <c r="C512" s="6"/>
      <c r="D512" s="6"/>
      <c r="E512" s="6"/>
      <c r="F512" s="9" t="str">
        <f aca="false">IF(OR($D512="",$E512=""),"",$E512-$D512)</f>
        <v/>
      </c>
      <c r="G512" s="6"/>
      <c r="H512" s="6"/>
      <c r="I512" s="6"/>
      <c r="J512" s="9" t="str">
        <f aca="false">IF(OR(NOT(ISNUMBER($H512)),NOT(ISNUMBER($I512)),$H512=0),"",$I512/$H512)</f>
        <v/>
      </c>
      <c r="K512" s="6"/>
      <c r="L512" s="8"/>
      <c r="M512" s="7"/>
      <c r="N512" s="7"/>
      <c r="O512" s="9" t="str">
        <f aca="false">IF(NOT(ISNUMBER($M512)),"",IF($L512="Fine earth / fine-earth volume",$M512*(1-IF(ISNUMBER($K512),$K512,0)/100),$M512))</f>
        <v/>
      </c>
      <c r="P512" s="9" t="str">
        <f aca="false">IF(OR(NOT(ISNUMBER($O512)),NOT(ISNUMBER($N512)),NOT(ISNUMBER($F512))),"",$O512*($N512/100)*$F512*10)</f>
        <v/>
      </c>
      <c r="Q512" s="9" t="str">
        <f aca="false">IF(OR(NOT(ISNUMBER($D512)),NOT(ISNUMBER($E512))),"",MAX(0,MIN($E512,SOIL_REPORTING_DEPTH_CM)-MIN($D512,SOIL_REPORTING_DEPTH_CM)))</f>
        <v/>
      </c>
      <c r="R512" s="9" t="str">
        <f aca="false">IF(OR(NOT(ISNUMBER($O512)),NOT(ISNUMBER($N512)),NOT(ISNUMBER($Q512))),"",$O512*($N512/100)*$Q512*10)</f>
        <v/>
      </c>
      <c r="S512" s="11" t="str">
        <f aca="false">IF(AND($A512="",$B512="",$D512=""),"",IF(AND($A512&lt;&gt;"",COUNTIF('1. Plot &amp; Site Log'!$A$5:$A$64,$A512)=0),"Plot ID not in the Plot &amp; Site Log. ","")&amp;IF(AND(ISNUMBER($D512),ISNUMBER($E512),$E512&lt;=$D512),"Bottom depth is not below top depth. ","")&amp;IF($L512="Not confirmed","Bulk-density basis not confirmed with the lab — the coarse-fragment correction may be wrong or doubled. ","")&amp;IF(LAB_BULK_DENSITY_BASIS="Not confirmed","No lab bulk-density basis is on file in Settings (LAB_BULK_DENSITY_BASIS), so nothing checks this row. ","")&amp;IF(AND($L512&lt;&gt;"",LAB_BULK_DENSITY_BASIS&lt;&gt;"Not confirmed",$L512&lt;&gt;LAB_BULK_DENSITY_BASIS),"This row's bulk-density basis disagrees with the lab method on file. One of "&amp;"the two is wrong, and the coarse-fragment correction follows the row. ","")&amp;IF(AND(ISNUMBER($M512),OR($M512&lt;QC_BD_MIN,$M512&gt;QC_BD_MAX)),"Bulk density outside the plausible range for a mineral grassland soil. ","")&amp;IF(AND(ISNUMBER($N512),$N512&gt;QC_CARBON_PCT_MAX),"Organic carbon above the QC ceiling — check units, and whether this is an organic horizon. ","")&amp;IF(AND(ISNUMBER($J512),$J512&lt;QC_RECOVERY_MIN),"Recovered less than the QC minimum of the depth driven — the increments may not sit where you think. Do NOT stretch them back out. ","")&amp;IF(AND(ISNUMBER($K512),$K512&gt;0,$L512="Fine earth / total volume"),"Coarse fragments recorded and the lab basis already accounts for them — no further correction applied, which is correct. ",""))</f>
        <v/>
      </c>
      <c r="T512" s="6"/>
      <c r="U512" s="9" t="n">
        <f aca="false">IF($B512="",0,IF(COUNTIFS($B$5:$B512,$B512)=1,1,0))</f>
        <v>0</v>
      </c>
    </row>
    <row r="513" customFormat="false" ht="15" hidden="false" customHeight="false" outlineLevel="0" collapsed="false">
      <c r="A513" s="6"/>
      <c r="B513" s="6"/>
      <c r="C513" s="6"/>
      <c r="D513" s="6"/>
      <c r="E513" s="6"/>
      <c r="F513" s="9" t="str">
        <f aca="false">IF(OR($D513="",$E513=""),"",$E513-$D513)</f>
        <v/>
      </c>
      <c r="G513" s="6"/>
      <c r="H513" s="6"/>
      <c r="I513" s="6"/>
      <c r="J513" s="9" t="str">
        <f aca="false">IF(OR(NOT(ISNUMBER($H513)),NOT(ISNUMBER($I513)),$H513=0),"",$I513/$H513)</f>
        <v/>
      </c>
      <c r="K513" s="6"/>
      <c r="L513" s="8"/>
      <c r="M513" s="7"/>
      <c r="N513" s="7"/>
      <c r="O513" s="9" t="str">
        <f aca="false">IF(NOT(ISNUMBER($M513)),"",IF($L513="Fine earth / fine-earth volume",$M513*(1-IF(ISNUMBER($K513),$K513,0)/100),$M513))</f>
        <v/>
      </c>
      <c r="P513" s="9" t="str">
        <f aca="false">IF(OR(NOT(ISNUMBER($O513)),NOT(ISNUMBER($N513)),NOT(ISNUMBER($F513))),"",$O513*($N513/100)*$F513*10)</f>
        <v/>
      </c>
      <c r="Q513" s="9" t="str">
        <f aca="false">IF(OR(NOT(ISNUMBER($D513)),NOT(ISNUMBER($E513))),"",MAX(0,MIN($E513,SOIL_REPORTING_DEPTH_CM)-MIN($D513,SOIL_REPORTING_DEPTH_CM)))</f>
        <v/>
      </c>
      <c r="R513" s="9" t="str">
        <f aca="false">IF(OR(NOT(ISNUMBER($O513)),NOT(ISNUMBER($N513)),NOT(ISNUMBER($Q513))),"",$O513*($N513/100)*$Q513*10)</f>
        <v/>
      </c>
      <c r="S513" s="11" t="str">
        <f aca="false">IF(AND($A513="",$B513="",$D513=""),"",IF(AND($A513&lt;&gt;"",COUNTIF('1. Plot &amp; Site Log'!$A$5:$A$64,$A513)=0),"Plot ID not in the Plot &amp; Site Log. ","")&amp;IF(AND(ISNUMBER($D513),ISNUMBER($E513),$E513&lt;=$D513),"Bottom depth is not below top depth. ","")&amp;IF($L513="Not confirmed","Bulk-density basis not confirmed with the lab — the coarse-fragment correction may be wrong or doubled. ","")&amp;IF(LAB_BULK_DENSITY_BASIS="Not confirmed","No lab bulk-density basis is on file in Settings (LAB_BULK_DENSITY_BASIS), so nothing checks this row. ","")&amp;IF(AND($L513&lt;&gt;"",LAB_BULK_DENSITY_BASIS&lt;&gt;"Not confirmed",$L513&lt;&gt;LAB_BULK_DENSITY_BASIS),"This row's bulk-density basis disagrees with the lab method on file. One of "&amp;"the two is wrong, and the coarse-fragment correction follows the row. ","")&amp;IF(AND(ISNUMBER($M513),OR($M513&lt;QC_BD_MIN,$M513&gt;QC_BD_MAX)),"Bulk density outside the plausible range for a mineral grassland soil. ","")&amp;IF(AND(ISNUMBER($N513),$N513&gt;QC_CARBON_PCT_MAX),"Organic carbon above the QC ceiling — check units, and whether this is an organic horizon. ","")&amp;IF(AND(ISNUMBER($J513),$J513&lt;QC_RECOVERY_MIN),"Recovered less than the QC minimum of the depth driven — the increments may not sit where you think. Do NOT stretch them back out. ","")&amp;IF(AND(ISNUMBER($K513),$K513&gt;0,$L513="Fine earth / total volume"),"Coarse fragments recorded and the lab basis already accounts for them — no further correction applied, which is correct. ",""))</f>
        <v/>
      </c>
      <c r="T513" s="6"/>
      <c r="U513" s="9" t="n">
        <f aca="false">IF($B513="",0,IF(COUNTIFS($B$5:$B513,$B513)=1,1,0))</f>
        <v>0</v>
      </c>
    </row>
    <row r="514" customFormat="false" ht="15" hidden="false" customHeight="false" outlineLevel="0" collapsed="false">
      <c r="A514" s="6"/>
      <c r="B514" s="6"/>
      <c r="C514" s="6"/>
      <c r="D514" s="6"/>
      <c r="E514" s="6"/>
      <c r="F514" s="9" t="str">
        <f aca="false">IF(OR($D514="",$E514=""),"",$E514-$D514)</f>
        <v/>
      </c>
      <c r="G514" s="6"/>
      <c r="H514" s="6"/>
      <c r="I514" s="6"/>
      <c r="J514" s="9" t="str">
        <f aca="false">IF(OR(NOT(ISNUMBER($H514)),NOT(ISNUMBER($I514)),$H514=0),"",$I514/$H514)</f>
        <v/>
      </c>
      <c r="K514" s="6"/>
      <c r="L514" s="8"/>
      <c r="M514" s="7"/>
      <c r="N514" s="7"/>
      <c r="O514" s="9" t="str">
        <f aca="false">IF(NOT(ISNUMBER($M514)),"",IF($L514="Fine earth / fine-earth volume",$M514*(1-IF(ISNUMBER($K514),$K514,0)/100),$M514))</f>
        <v/>
      </c>
      <c r="P514" s="9" t="str">
        <f aca="false">IF(OR(NOT(ISNUMBER($O514)),NOT(ISNUMBER($N514)),NOT(ISNUMBER($F514))),"",$O514*($N514/100)*$F514*10)</f>
        <v/>
      </c>
      <c r="Q514" s="9" t="str">
        <f aca="false">IF(OR(NOT(ISNUMBER($D514)),NOT(ISNUMBER($E514))),"",MAX(0,MIN($E514,SOIL_REPORTING_DEPTH_CM)-MIN($D514,SOIL_REPORTING_DEPTH_CM)))</f>
        <v/>
      </c>
      <c r="R514" s="9" t="str">
        <f aca="false">IF(OR(NOT(ISNUMBER($O514)),NOT(ISNUMBER($N514)),NOT(ISNUMBER($Q514))),"",$O514*($N514/100)*$Q514*10)</f>
        <v/>
      </c>
      <c r="S514" s="11" t="str">
        <f aca="false">IF(AND($A514="",$B514="",$D514=""),"",IF(AND($A514&lt;&gt;"",COUNTIF('1. Plot &amp; Site Log'!$A$5:$A$64,$A514)=0),"Plot ID not in the Plot &amp; Site Log. ","")&amp;IF(AND(ISNUMBER($D514),ISNUMBER($E514),$E514&lt;=$D514),"Bottom depth is not below top depth. ","")&amp;IF($L514="Not confirmed","Bulk-density basis not confirmed with the lab — the coarse-fragment correction may be wrong or doubled. ","")&amp;IF(LAB_BULK_DENSITY_BASIS="Not confirmed","No lab bulk-density basis is on file in Settings (LAB_BULK_DENSITY_BASIS), so nothing checks this row. ","")&amp;IF(AND($L514&lt;&gt;"",LAB_BULK_DENSITY_BASIS&lt;&gt;"Not confirmed",$L514&lt;&gt;LAB_BULK_DENSITY_BASIS),"This row's bulk-density basis disagrees with the lab method on file. One of "&amp;"the two is wrong, and the coarse-fragment correction follows the row. ","")&amp;IF(AND(ISNUMBER($M514),OR($M514&lt;QC_BD_MIN,$M514&gt;QC_BD_MAX)),"Bulk density outside the plausible range for a mineral grassland soil. ","")&amp;IF(AND(ISNUMBER($N514),$N514&gt;QC_CARBON_PCT_MAX),"Organic carbon above the QC ceiling — check units, and whether this is an organic horizon. ","")&amp;IF(AND(ISNUMBER($J514),$J514&lt;QC_RECOVERY_MIN),"Recovered less than the QC minimum of the depth driven — the increments may not sit where you think. Do NOT stretch them back out. ","")&amp;IF(AND(ISNUMBER($K514),$K514&gt;0,$L514="Fine earth / total volume"),"Coarse fragments recorded and the lab basis already accounts for them — no further correction applied, which is correct. ",""))</f>
        <v/>
      </c>
      <c r="T514" s="6"/>
      <c r="U514" s="9" t="n">
        <f aca="false">IF($B514="",0,IF(COUNTIFS($B$5:$B514,$B514)=1,1,0))</f>
        <v>0</v>
      </c>
    </row>
    <row r="515" customFormat="false" ht="15" hidden="false" customHeight="false" outlineLevel="0" collapsed="false">
      <c r="A515" s="6"/>
      <c r="B515" s="6"/>
      <c r="C515" s="6"/>
      <c r="D515" s="6"/>
      <c r="E515" s="6"/>
      <c r="F515" s="9" t="str">
        <f aca="false">IF(OR($D515="",$E515=""),"",$E515-$D515)</f>
        <v/>
      </c>
      <c r="G515" s="6"/>
      <c r="H515" s="6"/>
      <c r="I515" s="6"/>
      <c r="J515" s="9" t="str">
        <f aca="false">IF(OR(NOT(ISNUMBER($H515)),NOT(ISNUMBER($I515)),$H515=0),"",$I515/$H515)</f>
        <v/>
      </c>
      <c r="K515" s="6"/>
      <c r="L515" s="8"/>
      <c r="M515" s="7"/>
      <c r="N515" s="7"/>
      <c r="O515" s="9" t="str">
        <f aca="false">IF(NOT(ISNUMBER($M515)),"",IF($L515="Fine earth / fine-earth volume",$M515*(1-IF(ISNUMBER($K515),$K515,0)/100),$M515))</f>
        <v/>
      </c>
      <c r="P515" s="9" t="str">
        <f aca="false">IF(OR(NOT(ISNUMBER($O515)),NOT(ISNUMBER($N515)),NOT(ISNUMBER($F515))),"",$O515*($N515/100)*$F515*10)</f>
        <v/>
      </c>
      <c r="Q515" s="9" t="str">
        <f aca="false">IF(OR(NOT(ISNUMBER($D515)),NOT(ISNUMBER($E515))),"",MAX(0,MIN($E515,SOIL_REPORTING_DEPTH_CM)-MIN($D515,SOIL_REPORTING_DEPTH_CM)))</f>
        <v/>
      </c>
      <c r="R515" s="9" t="str">
        <f aca="false">IF(OR(NOT(ISNUMBER($O515)),NOT(ISNUMBER($N515)),NOT(ISNUMBER($Q515))),"",$O515*($N515/100)*$Q515*10)</f>
        <v/>
      </c>
      <c r="S515" s="11" t="str">
        <f aca="false">IF(AND($A515="",$B515="",$D515=""),"",IF(AND($A515&lt;&gt;"",COUNTIF('1. Plot &amp; Site Log'!$A$5:$A$64,$A515)=0),"Plot ID not in the Plot &amp; Site Log. ","")&amp;IF(AND(ISNUMBER($D515),ISNUMBER($E515),$E515&lt;=$D515),"Bottom depth is not below top depth. ","")&amp;IF($L515="Not confirmed","Bulk-density basis not confirmed with the lab — the coarse-fragment correction may be wrong or doubled. ","")&amp;IF(LAB_BULK_DENSITY_BASIS="Not confirmed","No lab bulk-density basis is on file in Settings (LAB_BULK_DENSITY_BASIS), so nothing checks this row. ","")&amp;IF(AND($L515&lt;&gt;"",LAB_BULK_DENSITY_BASIS&lt;&gt;"Not confirmed",$L515&lt;&gt;LAB_BULK_DENSITY_BASIS),"This row's bulk-density basis disagrees with the lab method on file. One of "&amp;"the two is wrong, and the coarse-fragment correction follows the row. ","")&amp;IF(AND(ISNUMBER($M515),OR($M515&lt;QC_BD_MIN,$M515&gt;QC_BD_MAX)),"Bulk density outside the plausible range for a mineral grassland soil. ","")&amp;IF(AND(ISNUMBER($N515),$N515&gt;QC_CARBON_PCT_MAX),"Organic carbon above the QC ceiling — check units, and whether this is an organic horizon. ","")&amp;IF(AND(ISNUMBER($J515),$J515&lt;QC_RECOVERY_MIN),"Recovered less than the QC minimum of the depth driven — the increments may not sit where you think. Do NOT stretch them back out. ","")&amp;IF(AND(ISNUMBER($K515),$K515&gt;0,$L515="Fine earth / total volume"),"Coarse fragments recorded and the lab basis already accounts for them — no further correction applied, which is correct. ",""))</f>
        <v/>
      </c>
      <c r="T515" s="6"/>
      <c r="U515" s="9" t="n">
        <f aca="false">IF($B515="",0,IF(COUNTIFS($B$5:$B515,$B515)=1,1,0))</f>
        <v>0</v>
      </c>
    </row>
    <row r="516" customFormat="false" ht="15" hidden="false" customHeight="false" outlineLevel="0" collapsed="false">
      <c r="A516" s="6"/>
      <c r="B516" s="6"/>
      <c r="C516" s="6"/>
      <c r="D516" s="6"/>
      <c r="E516" s="6"/>
      <c r="F516" s="9" t="str">
        <f aca="false">IF(OR($D516="",$E516=""),"",$E516-$D516)</f>
        <v/>
      </c>
      <c r="G516" s="6"/>
      <c r="H516" s="6"/>
      <c r="I516" s="6"/>
      <c r="J516" s="9" t="str">
        <f aca="false">IF(OR(NOT(ISNUMBER($H516)),NOT(ISNUMBER($I516)),$H516=0),"",$I516/$H516)</f>
        <v/>
      </c>
      <c r="K516" s="6"/>
      <c r="L516" s="8"/>
      <c r="M516" s="7"/>
      <c r="N516" s="7"/>
      <c r="O516" s="9" t="str">
        <f aca="false">IF(NOT(ISNUMBER($M516)),"",IF($L516="Fine earth / fine-earth volume",$M516*(1-IF(ISNUMBER($K516),$K516,0)/100),$M516))</f>
        <v/>
      </c>
      <c r="P516" s="9" t="str">
        <f aca="false">IF(OR(NOT(ISNUMBER($O516)),NOT(ISNUMBER($N516)),NOT(ISNUMBER($F516))),"",$O516*($N516/100)*$F516*10)</f>
        <v/>
      </c>
      <c r="Q516" s="9" t="str">
        <f aca="false">IF(OR(NOT(ISNUMBER($D516)),NOT(ISNUMBER($E516))),"",MAX(0,MIN($E516,SOIL_REPORTING_DEPTH_CM)-MIN($D516,SOIL_REPORTING_DEPTH_CM)))</f>
        <v/>
      </c>
      <c r="R516" s="9" t="str">
        <f aca="false">IF(OR(NOT(ISNUMBER($O516)),NOT(ISNUMBER($N516)),NOT(ISNUMBER($Q516))),"",$O516*($N516/100)*$Q516*10)</f>
        <v/>
      </c>
      <c r="S516" s="11" t="str">
        <f aca="false">IF(AND($A516="",$B516="",$D516=""),"",IF(AND($A516&lt;&gt;"",COUNTIF('1. Plot &amp; Site Log'!$A$5:$A$64,$A516)=0),"Plot ID not in the Plot &amp; Site Log. ","")&amp;IF(AND(ISNUMBER($D516),ISNUMBER($E516),$E516&lt;=$D516),"Bottom depth is not below top depth. ","")&amp;IF($L516="Not confirmed","Bulk-density basis not confirmed with the lab — the coarse-fragment correction may be wrong or doubled. ","")&amp;IF(LAB_BULK_DENSITY_BASIS="Not confirmed","No lab bulk-density basis is on file in Settings (LAB_BULK_DENSITY_BASIS), so nothing checks this row. ","")&amp;IF(AND($L516&lt;&gt;"",LAB_BULK_DENSITY_BASIS&lt;&gt;"Not confirmed",$L516&lt;&gt;LAB_BULK_DENSITY_BASIS),"This row's bulk-density basis disagrees with the lab method on file. One of "&amp;"the two is wrong, and the coarse-fragment correction follows the row. ","")&amp;IF(AND(ISNUMBER($M516),OR($M516&lt;QC_BD_MIN,$M516&gt;QC_BD_MAX)),"Bulk density outside the plausible range for a mineral grassland soil. ","")&amp;IF(AND(ISNUMBER($N516),$N516&gt;QC_CARBON_PCT_MAX),"Organic carbon above the QC ceiling — check units, and whether this is an organic horizon. ","")&amp;IF(AND(ISNUMBER($J516),$J516&lt;QC_RECOVERY_MIN),"Recovered less than the QC minimum of the depth driven — the increments may not sit where you think. Do NOT stretch them back out. ","")&amp;IF(AND(ISNUMBER($K516),$K516&gt;0,$L516="Fine earth / total volume"),"Coarse fragments recorded and the lab basis already accounts for them — no further correction applied, which is correct. ",""))</f>
        <v/>
      </c>
      <c r="T516" s="6"/>
      <c r="U516" s="9" t="n">
        <f aca="false">IF($B516="",0,IF(COUNTIFS($B$5:$B516,$B516)=1,1,0))</f>
        <v>0</v>
      </c>
    </row>
    <row r="517" customFormat="false" ht="15" hidden="false" customHeight="false" outlineLevel="0" collapsed="false">
      <c r="A517" s="6"/>
      <c r="B517" s="6"/>
      <c r="C517" s="6"/>
      <c r="D517" s="6"/>
      <c r="E517" s="6"/>
      <c r="F517" s="9" t="str">
        <f aca="false">IF(OR($D517="",$E517=""),"",$E517-$D517)</f>
        <v/>
      </c>
      <c r="G517" s="6"/>
      <c r="H517" s="6"/>
      <c r="I517" s="6"/>
      <c r="J517" s="9" t="str">
        <f aca="false">IF(OR(NOT(ISNUMBER($H517)),NOT(ISNUMBER($I517)),$H517=0),"",$I517/$H517)</f>
        <v/>
      </c>
      <c r="K517" s="6"/>
      <c r="L517" s="8"/>
      <c r="M517" s="7"/>
      <c r="N517" s="7"/>
      <c r="O517" s="9" t="str">
        <f aca="false">IF(NOT(ISNUMBER($M517)),"",IF($L517="Fine earth / fine-earth volume",$M517*(1-IF(ISNUMBER($K517),$K517,0)/100),$M517))</f>
        <v/>
      </c>
      <c r="P517" s="9" t="str">
        <f aca="false">IF(OR(NOT(ISNUMBER($O517)),NOT(ISNUMBER($N517)),NOT(ISNUMBER($F517))),"",$O517*($N517/100)*$F517*10)</f>
        <v/>
      </c>
      <c r="Q517" s="9" t="str">
        <f aca="false">IF(OR(NOT(ISNUMBER($D517)),NOT(ISNUMBER($E517))),"",MAX(0,MIN($E517,SOIL_REPORTING_DEPTH_CM)-MIN($D517,SOIL_REPORTING_DEPTH_CM)))</f>
        <v/>
      </c>
      <c r="R517" s="9" t="str">
        <f aca="false">IF(OR(NOT(ISNUMBER($O517)),NOT(ISNUMBER($N517)),NOT(ISNUMBER($Q517))),"",$O517*($N517/100)*$Q517*10)</f>
        <v/>
      </c>
      <c r="S517" s="11" t="str">
        <f aca="false">IF(AND($A517="",$B517="",$D517=""),"",IF(AND($A517&lt;&gt;"",COUNTIF('1. Plot &amp; Site Log'!$A$5:$A$64,$A517)=0),"Plot ID not in the Plot &amp; Site Log. ","")&amp;IF(AND(ISNUMBER($D517),ISNUMBER($E517),$E517&lt;=$D517),"Bottom depth is not below top depth. ","")&amp;IF($L517="Not confirmed","Bulk-density basis not confirmed with the lab — the coarse-fragment correction may be wrong or doubled. ","")&amp;IF(LAB_BULK_DENSITY_BASIS="Not confirmed","No lab bulk-density basis is on file in Settings (LAB_BULK_DENSITY_BASIS), so nothing checks this row. ","")&amp;IF(AND($L517&lt;&gt;"",LAB_BULK_DENSITY_BASIS&lt;&gt;"Not confirmed",$L517&lt;&gt;LAB_BULK_DENSITY_BASIS),"This row's bulk-density basis disagrees with the lab method on file. One of "&amp;"the two is wrong, and the coarse-fragment correction follows the row. ","")&amp;IF(AND(ISNUMBER($M517),OR($M517&lt;QC_BD_MIN,$M517&gt;QC_BD_MAX)),"Bulk density outside the plausible range for a mineral grassland soil. ","")&amp;IF(AND(ISNUMBER($N517),$N517&gt;QC_CARBON_PCT_MAX),"Organic carbon above the QC ceiling — check units, and whether this is an organic horizon. ","")&amp;IF(AND(ISNUMBER($J517),$J517&lt;QC_RECOVERY_MIN),"Recovered less than the QC minimum of the depth driven — the increments may not sit where you think. Do NOT stretch them back out. ","")&amp;IF(AND(ISNUMBER($K517),$K517&gt;0,$L517="Fine earth / total volume"),"Coarse fragments recorded and the lab basis already accounts for them — no further correction applied, which is correct. ",""))</f>
        <v/>
      </c>
      <c r="T517" s="6"/>
      <c r="U517" s="9" t="n">
        <f aca="false">IF($B517="",0,IF(COUNTIFS($B$5:$B517,$B517)=1,1,0))</f>
        <v>0</v>
      </c>
    </row>
    <row r="518" customFormat="false" ht="15" hidden="false" customHeight="false" outlineLevel="0" collapsed="false">
      <c r="A518" s="6"/>
      <c r="B518" s="6"/>
      <c r="C518" s="6"/>
      <c r="D518" s="6"/>
      <c r="E518" s="6"/>
      <c r="F518" s="9" t="str">
        <f aca="false">IF(OR($D518="",$E518=""),"",$E518-$D518)</f>
        <v/>
      </c>
      <c r="G518" s="6"/>
      <c r="H518" s="6"/>
      <c r="I518" s="6"/>
      <c r="J518" s="9" t="str">
        <f aca="false">IF(OR(NOT(ISNUMBER($H518)),NOT(ISNUMBER($I518)),$H518=0),"",$I518/$H518)</f>
        <v/>
      </c>
      <c r="K518" s="6"/>
      <c r="L518" s="8"/>
      <c r="M518" s="7"/>
      <c r="N518" s="7"/>
      <c r="O518" s="9" t="str">
        <f aca="false">IF(NOT(ISNUMBER($M518)),"",IF($L518="Fine earth / fine-earth volume",$M518*(1-IF(ISNUMBER($K518),$K518,0)/100),$M518))</f>
        <v/>
      </c>
      <c r="P518" s="9" t="str">
        <f aca="false">IF(OR(NOT(ISNUMBER($O518)),NOT(ISNUMBER($N518)),NOT(ISNUMBER($F518))),"",$O518*($N518/100)*$F518*10)</f>
        <v/>
      </c>
      <c r="Q518" s="9" t="str">
        <f aca="false">IF(OR(NOT(ISNUMBER($D518)),NOT(ISNUMBER($E518))),"",MAX(0,MIN($E518,SOIL_REPORTING_DEPTH_CM)-MIN($D518,SOIL_REPORTING_DEPTH_CM)))</f>
        <v/>
      </c>
      <c r="R518" s="9" t="str">
        <f aca="false">IF(OR(NOT(ISNUMBER($O518)),NOT(ISNUMBER($N518)),NOT(ISNUMBER($Q518))),"",$O518*($N518/100)*$Q518*10)</f>
        <v/>
      </c>
      <c r="S518" s="11" t="str">
        <f aca="false">IF(AND($A518="",$B518="",$D518=""),"",IF(AND($A518&lt;&gt;"",COUNTIF('1. Plot &amp; Site Log'!$A$5:$A$64,$A518)=0),"Plot ID not in the Plot &amp; Site Log. ","")&amp;IF(AND(ISNUMBER($D518),ISNUMBER($E518),$E518&lt;=$D518),"Bottom depth is not below top depth. ","")&amp;IF($L518="Not confirmed","Bulk-density basis not confirmed with the lab — the coarse-fragment correction may be wrong or doubled. ","")&amp;IF(LAB_BULK_DENSITY_BASIS="Not confirmed","No lab bulk-density basis is on file in Settings (LAB_BULK_DENSITY_BASIS), so nothing checks this row. ","")&amp;IF(AND($L518&lt;&gt;"",LAB_BULK_DENSITY_BASIS&lt;&gt;"Not confirmed",$L518&lt;&gt;LAB_BULK_DENSITY_BASIS),"This row's bulk-density basis disagrees with the lab method on file. One of "&amp;"the two is wrong, and the coarse-fragment correction follows the row. ","")&amp;IF(AND(ISNUMBER($M518),OR($M518&lt;QC_BD_MIN,$M518&gt;QC_BD_MAX)),"Bulk density outside the plausible range for a mineral grassland soil. ","")&amp;IF(AND(ISNUMBER($N518),$N518&gt;QC_CARBON_PCT_MAX),"Organic carbon above the QC ceiling — check units, and whether this is an organic horizon. ","")&amp;IF(AND(ISNUMBER($J518),$J518&lt;QC_RECOVERY_MIN),"Recovered less than the QC minimum of the depth driven — the increments may not sit where you think. Do NOT stretch them back out. ","")&amp;IF(AND(ISNUMBER($K518),$K518&gt;0,$L518="Fine earth / total volume"),"Coarse fragments recorded and the lab basis already accounts for them — no further correction applied, which is correct. ",""))</f>
        <v/>
      </c>
      <c r="T518" s="6"/>
      <c r="U518" s="9" t="n">
        <f aca="false">IF($B518="",0,IF(COUNTIFS($B$5:$B518,$B518)=1,1,0))</f>
        <v>0</v>
      </c>
    </row>
    <row r="519" customFormat="false" ht="15" hidden="false" customHeight="false" outlineLevel="0" collapsed="false">
      <c r="A519" s="6"/>
      <c r="B519" s="6"/>
      <c r="C519" s="6"/>
      <c r="D519" s="6"/>
      <c r="E519" s="6"/>
      <c r="F519" s="9" t="str">
        <f aca="false">IF(OR($D519="",$E519=""),"",$E519-$D519)</f>
        <v/>
      </c>
      <c r="G519" s="6"/>
      <c r="H519" s="6"/>
      <c r="I519" s="6"/>
      <c r="J519" s="9" t="str">
        <f aca="false">IF(OR(NOT(ISNUMBER($H519)),NOT(ISNUMBER($I519)),$H519=0),"",$I519/$H519)</f>
        <v/>
      </c>
      <c r="K519" s="6"/>
      <c r="L519" s="8"/>
      <c r="M519" s="7"/>
      <c r="N519" s="7"/>
      <c r="O519" s="9" t="str">
        <f aca="false">IF(NOT(ISNUMBER($M519)),"",IF($L519="Fine earth / fine-earth volume",$M519*(1-IF(ISNUMBER($K519),$K519,0)/100),$M519))</f>
        <v/>
      </c>
      <c r="P519" s="9" t="str">
        <f aca="false">IF(OR(NOT(ISNUMBER($O519)),NOT(ISNUMBER($N519)),NOT(ISNUMBER($F519))),"",$O519*($N519/100)*$F519*10)</f>
        <v/>
      </c>
      <c r="Q519" s="9" t="str">
        <f aca="false">IF(OR(NOT(ISNUMBER($D519)),NOT(ISNUMBER($E519))),"",MAX(0,MIN($E519,SOIL_REPORTING_DEPTH_CM)-MIN($D519,SOIL_REPORTING_DEPTH_CM)))</f>
        <v/>
      </c>
      <c r="R519" s="9" t="str">
        <f aca="false">IF(OR(NOT(ISNUMBER($O519)),NOT(ISNUMBER($N519)),NOT(ISNUMBER($Q519))),"",$O519*($N519/100)*$Q519*10)</f>
        <v/>
      </c>
      <c r="S519" s="11" t="str">
        <f aca="false">IF(AND($A519="",$B519="",$D519=""),"",IF(AND($A519&lt;&gt;"",COUNTIF('1. Plot &amp; Site Log'!$A$5:$A$64,$A519)=0),"Plot ID not in the Plot &amp; Site Log. ","")&amp;IF(AND(ISNUMBER($D519),ISNUMBER($E519),$E519&lt;=$D519),"Bottom depth is not below top depth. ","")&amp;IF($L519="Not confirmed","Bulk-density basis not confirmed with the lab — the coarse-fragment correction may be wrong or doubled. ","")&amp;IF(LAB_BULK_DENSITY_BASIS="Not confirmed","No lab bulk-density basis is on file in Settings (LAB_BULK_DENSITY_BASIS), so nothing checks this row. ","")&amp;IF(AND($L519&lt;&gt;"",LAB_BULK_DENSITY_BASIS&lt;&gt;"Not confirmed",$L519&lt;&gt;LAB_BULK_DENSITY_BASIS),"This row's bulk-density basis disagrees with the lab method on file. One of "&amp;"the two is wrong, and the coarse-fragment correction follows the row. ","")&amp;IF(AND(ISNUMBER($M519),OR($M519&lt;QC_BD_MIN,$M519&gt;QC_BD_MAX)),"Bulk density outside the plausible range for a mineral grassland soil. ","")&amp;IF(AND(ISNUMBER($N519),$N519&gt;QC_CARBON_PCT_MAX),"Organic carbon above the QC ceiling — check units, and whether this is an organic horizon. ","")&amp;IF(AND(ISNUMBER($J519),$J519&lt;QC_RECOVERY_MIN),"Recovered less than the QC minimum of the depth driven — the increments may not sit where you think. Do NOT stretch them back out. ","")&amp;IF(AND(ISNUMBER($K519),$K519&gt;0,$L519="Fine earth / total volume"),"Coarse fragments recorded and the lab basis already accounts for them — no further correction applied, which is correct. ",""))</f>
        <v/>
      </c>
      <c r="T519" s="6"/>
      <c r="U519" s="9" t="n">
        <f aca="false">IF($B519="",0,IF(COUNTIFS($B$5:$B519,$B519)=1,1,0))</f>
        <v>0</v>
      </c>
    </row>
    <row r="520" customFormat="false" ht="15" hidden="false" customHeight="false" outlineLevel="0" collapsed="false">
      <c r="A520" s="6"/>
      <c r="B520" s="6"/>
      <c r="C520" s="6"/>
      <c r="D520" s="6"/>
      <c r="E520" s="6"/>
      <c r="F520" s="9" t="str">
        <f aca="false">IF(OR($D520="",$E520=""),"",$E520-$D520)</f>
        <v/>
      </c>
      <c r="G520" s="6"/>
      <c r="H520" s="6"/>
      <c r="I520" s="6"/>
      <c r="J520" s="9" t="str">
        <f aca="false">IF(OR(NOT(ISNUMBER($H520)),NOT(ISNUMBER($I520)),$H520=0),"",$I520/$H520)</f>
        <v/>
      </c>
      <c r="K520" s="6"/>
      <c r="L520" s="8"/>
      <c r="M520" s="7"/>
      <c r="N520" s="7"/>
      <c r="O520" s="9" t="str">
        <f aca="false">IF(NOT(ISNUMBER($M520)),"",IF($L520="Fine earth / fine-earth volume",$M520*(1-IF(ISNUMBER($K520),$K520,0)/100),$M520))</f>
        <v/>
      </c>
      <c r="P520" s="9" t="str">
        <f aca="false">IF(OR(NOT(ISNUMBER($O520)),NOT(ISNUMBER($N520)),NOT(ISNUMBER($F520))),"",$O520*($N520/100)*$F520*10)</f>
        <v/>
      </c>
      <c r="Q520" s="9" t="str">
        <f aca="false">IF(OR(NOT(ISNUMBER($D520)),NOT(ISNUMBER($E520))),"",MAX(0,MIN($E520,SOIL_REPORTING_DEPTH_CM)-MIN($D520,SOIL_REPORTING_DEPTH_CM)))</f>
        <v/>
      </c>
      <c r="R520" s="9" t="str">
        <f aca="false">IF(OR(NOT(ISNUMBER($O520)),NOT(ISNUMBER($N520)),NOT(ISNUMBER($Q520))),"",$O520*($N520/100)*$Q520*10)</f>
        <v/>
      </c>
      <c r="S520" s="11" t="str">
        <f aca="false">IF(AND($A520="",$B520="",$D520=""),"",IF(AND($A520&lt;&gt;"",COUNTIF('1. Plot &amp; Site Log'!$A$5:$A$64,$A520)=0),"Plot ID not in the Plot &amp; Site Log. ","")&amp;IF(AND(ISNUMBER($D520),ISNUMBER($E520),$E520&lt;=$D520),"Bottom depth is not below top depth. ","")&amp;IF($L520="Not confirmed","Bulk-density basis not confirmed with the lab — the coarse-fragment correction may be wrong or doubled. ","")&amp;IF(LAB_BULK_DENSITY_BASIS="Not confirmed","No lab bulk-density basis is on file in Settings (LAB_BULK_DENSITY_BASIS), so nothing checks this row. ","")&amp;IF(AND($L520&lt;&gt;"",LAB_BULK_DENSITY_BASIS&lt;&gt;"Not confirmed",$L520&lt;&gt;LAB_BULK_DENSITY_BASIS),"This row's bulk-density basis disagrees with the lab method on file. One of "&amp;"the two is wrong, and the coarse-fragment correction follows the row. ","")&amp;IF(AND(ISNUMBER($M520),OR($M520&lt;QC_BD_MIN,$M520&gt;QC_BD_MAX)),"Bulk density outside the plausible range for a mineral grassland soil. ","")&amp;IF(AND(ISNUMBER($N520),$N520&gt;QC_CARBON_PCT_MAX),"Organic carbon above the QC ceiling — check units, and whether this is an organic horizon. ","")&amp;IF(AND(ISNUMBER($J520),$J520&lt;QC_RECOVERY_MIN),"Recovered less than the QC minimum of the depth driven — the increments may not sit where you think. Do NOT stretch them back out. ","")&amp;IF(AND(ISNUMBER($K520),$K520&gt;0,$L520="Fine earth / total volume"),"Coarse fragments recorded and the lab basis already accounts for them — no further correction applied, which is correct. ",""))</f>
        <v/>
      </c>
      <c r="T520" s="6"/>
      <c r="U520" s="9" t="n">
        <f aca="false">IF($B520="",0,IF(COUNTIFS($B$5:$B520,$B520)=1,1,0))</f>
        <v>0</v>
      </c>
    </row>
    <row r="521" customFormat="false" ht="15" hidden="false" customHeight="false" outlineLevel="0" collapsed="false">
      <c r="A521" s="6"/>
      <c r="B521" s="6"/>
      <c r="C521" s="6"/>
      <c r="D521" s="6"/>
      <c r="E521" s="6"/>
      <c r="F521" s="9" t="str">
        <f aca="false">IF(OR($D521="",$E521=""),"",$E521-$D521)</f>
        <v/>
      </c>
      <c r="G521" s="6"/>
      <c r="H521" s="6"/>
      <c r="I521" s="6"/>
      <c r="J521" s="9" t="str">
        <f aca="false">IF(OR(NOT(ISNUMBER($H521)),NOT(ISNUMBER($I521)),$H521=0),"",$I521/$H521)</f>
        <v/>
      </c>
      <c r="K521" s="6"/>
      <c r="L521" s="8"/>
      <c r="M521" s="7"/>
      <c r="N521" s="7"/>
      <c r="O521" s="9" t="str">
        <f aca="false">IF(NOT(ISNUMBER($M521)),"",IF($L521="Fine earth / fine-earth volume",$M521*(1-IF(ISNUMBER($K521),$K521,0)/100),$M521))</f>
        <v/>
      </c>
      <c r="P521" s="9" t="str">
        <f aca="false">IF(OR(NOT(ISNUMBER($O521)),NOT(ISNUMBER($N521)),NOT(ISNUMBER($F521))),"",$O521*($N521/100)*$F521*10)</f>
        <v/>
      </c>
      <c r="Q521" s="9" t="str">
        <f aca="false">IF(OR(NOT(ISNUMBER($D521)),NOT(ISNUMBER($E521))),"",MAX(0,MIN($E521,SOIL_REPORTING_DEPTH_CM)-MIN($D521,SOIL_REPORTING_DEPTH_CM)))</f>
        <v/>
      </c>
      <c r="R521" s="9" t="str">
        <f aca="false">IF(OR(NOT(ISNUMBER($O521)),NOT(ISNUMBER($N521)),NOT(ISNUMBER($Q521))),"",$O521*($N521/100)*$Q521*10)</f>
        <v/>
      </c>
      <c r="S521" s="11" t="str">
        <f aca="false">IF(AND($A521="",$B521="",$D521=""),"",IF(AND($A521&lt;&gt;"",COUNTIF('1. Plot &amp; Site Log'!$A$5:$A$64,$A521)=0),"Plot ID not in the Plot &amp; Site Log. ","")&amp;IF(AND(ISNUMBER($D521),ISNUMBER($E521),$E521&lt;=$D521),"Bottom depth is not below top depth. ","")&amp;IF($L521="Not confirmed","Bulk-density basis not confirmed with the lab — the coarse-fragment correction may be wrong or doubled. ","")&amp;IF(LAB_BULK_DENSITY_BASIS="Not confirmed","No lab bulk-density basis is on file in Settings (LAB_BULK_DENSITY_BASIS), so nothing checks this row. ","")&amp;IF(AND($L521&lt;&gt;"",LAB_BULK_DENSITY_BASIS&lt;&gt;"Not confirmed",$L521&lt;&gt;LAB_BULK_DENSITY_BASIS),"This row's bulk-density basis disagrees with the lab method on file. One of "&amp;"the two is wrong, and the coarse-fragment correction follows the row. ","")&amp;IF(AND(ISNUMBER($M521),OR($M521&lt;QC_BD_MIN,$M521&gt;QC_BD_MAX)),"Bulk density outside the plausible range for a mineral grassland soil. ","")&amp;IF(AND(ISNUMBER($N521),$N521&gt;QC_CARBON_PCT_MAX),"Organic carbon above the QC ceiling — check units, and whether this is an organic horizon. ","")&amp;IF(AND(ISNUMBER($J521),$J521&lt;QC_RECOVERY_MIN),"Recovered less than the QC minimum of the depth driven — the increments may not sit where you think. Do NOT stretch them back out. ","")&amp;IF(AND(ISNUMBER($K521),$K521&gt;0,$L521="Fine earth / total volume"),"Coarse fragments recorded and the lab basis already accounts for them — no further correction applied, which is correct. ",""))</f>
        <v/>
      </c>
      <c r="T521" s="6"/>
      <c r="U521" s="9" t="n">
        <f aca="false">IF($B521="",0,IF(COUNTIFS($B$5:$B521,$B521)=1,1,0))</f>
        <v>0</v>
      </c>
    </row>
    <row r="522" customFormat="false" ht="15" hidden="false" customHeight="false" outlineLevel="0" collapsed="false">
      <c r="A522" s="6"/>
      <c r="B522" s="6"/>
      <c r="C522" s="6"/>
      <c r="D522" s="6"/>
      <c r="E522" s="6"/>
      <c r="F522" s="9" t="str">
        <f aca="false">IF(OR($D522="",$E522=""),"",$E522-$D522)</f>
        <v/>
      </c>
      <c r="G522" s="6"/>
      <c r="H522" s="6"/>
      <c r="I522" s="6"/>
      <c r="J522" s="9" t="str">
        <f aca="false">IF(OR(NOT(ISNUMBER($H522)),NOT(ISNUMBER($I522)),$H522=0),"",$I522/$H522)</f>
        <v/>
      </c>
      <c r="K522" s="6"/>
      <c r="L522" s="8"/>
      <c r="M522" s="7"/>
      <c r="N522" s="7"/>
      <c r="O522" s="9" t="str">
        <f aca="false">IF(NOT(ISNUMBER($M522)),"",IF($L522="Fine earth / fine-earth volume",$M522*(1-IF(ISNUMBER($K522),$K522,0)/100),$M522))</f>
        <v/>
      </c>
      <c r="P522" s="9" t="str">
        <f aca="false">IF(OR(NOT(ISNUMBER($O522)),NOT(ISNUMBER($N522)),NOT(ISNUMBER($F522))),"",$O522*($N522/100)*$F522*10)</f>
        <v/>
      </c>
      <c r="Q522" s="9" t="str">
        <f aca="false">IF(OR(NOT(ISNUMBER($D522)),NOT(ISNUMBER($E522))),"",MAX(0,MIN($E522,SOIL_REPORTING_DEPTH_CM)-MIN($D522,SOIL_REPORTING_DEPTH_CM)))</f>
        <v/>
      </c>
      <c r="R522" s="9" t="str">
        <f aca="false">IF(OR(NOT(ISNUMBER($O522)),NOT(ISNUMBER($N522)),NOT(ISNUMBER($Q522))),"",$O522*($N522/100)*$Q522*10)</f>
        <v/>
      </c>
      <c r="S522" s="11" t="str">
        <f aca="false">IF(AND($A522="",$B522="",$D522=""),"",IF(AND($A522&lt;&gt;"",COUNTIF('1. Plot &amp; Site Log'!$A$5:$A$64,$A522)=0),"Plot ID not in the Plot &amp; Site Log. ","")&amp;IF(AND(ISNUMBER($D522),ISNUMBER($E522),$E522&lt;=$D522),"Bottom depth is not below top depth. ","")&amp;IF($L522="Not confirmed","Bulk-density basis not confirmed with the lab — the coarse-fragment correction may be wrong or doubled. ","")&amp;IF(LAB_BULK_DENSITY_BASIS="Not confirmed","No lab bulk-density basis is on file in Settings (LAB_BULK_DENSITY_BASIS), so nothing checks this row. ","")&amp;IF(AND($L522&lt;&gt;"",LAB_BULK_DENSITY_BASIS&lt;&gt;"Not confirmed",$L522&lt;&gt;LAB_BULK_DENSITY_BASIS),"This row's bulk-density basis disagrees with the lab method on file. One of "&amp;"the two is wrong, and the coarse-fragment correction follows the row. ","")&amp;IF(AND(ISNUMBER($M522),OR($M522&lt;QC_BD_MIN,$M522&gt;QC_BD_MAX)),"Bulk density outside the plausible range for a mineral grassland soil. ","")&amp;IF(AND(ISNUMBER($N522),$N522&gt;QC_CARBON_PCT_MAX),"Organic carbon above the QC ceiling — check units, and whether this is an organic horizon. ","")&amp;IF(AND(ISNUMBER($J522),$J522&lt;QC_RECOVERY_MIN),"Recovered less than the QC minimum of the depth driven — the increments may not sit where you think. Do NOT stretch them back out. ","")&amp;IF(AND(ISNUMBER($K522),$K522&gt;0,$L522="Fine earth / total volume"),"Coarse fragments recorded and the lab basis already accounts for them — no further correction applied, which is correct. ",""))</f>
        <v/>
      </c>
      <c r="T522" s="6"/>
      <c r="U522" s="9" t="n">
        <f aca="false">IF($B522="",0,IF(COUNTIFS($B$5:$B522,$B522)=1,1,0))</f>
        <v>0</v>
      </c>
    </row>
    <row r="523" customFormat="false" ht="15" hidden="false" customHeight="false" outlineLevel="0" collapsed="false">
      <c r="A523" s="6"/>
      <c r="B523" s="6"/>
      <c r="C523" s="6"/>
      <c r="D523" s="6"/>
      <c r="E523" s="6"/>
      <c r="F523" s="9" t="str">
        <f aca="false">IF(OR($D523="",$E523=""),"",$E523-$D523)</f>
        <v/>
      </c>
      <c r="G523" s="6"/>
      <c r="H523" s="6"/>
      <c r="I523" s="6"/>
      <c r="J523" s="9" t="str">
        <f aca="false">IF(OR(NOT(ISNUMBER($H523)),NOT(ISNUMBER($I523)),$H523=0),"",$I523/$H523)</f>
        <v/>
      </c>
      <c r="K523" s="6"/>
      <c r="L523" s="8"/>
      <c r="M523" s="7"/>
      <c r="N523" s="7"/>
      <c r="O523" s="9" t="str">
        <f aca="false">IF(NOT(ISNUMBER($M523)),"",IF($L523="Fine earth / fine-earth volume",$M523*(1-IF(ISNUMBER($K523),$K523,0)/100),$M523))</f>
        <v/>
      </c>
      <c r="P523" s="9" t="str">
        <f aca="false">IF(OR(NOT(ISNUMBER($O523)),NOT(ISNUMBER($N523)),NOT(ISNUMBER($F523))),"",$O523*($N523/100)*$F523*10)</f>
        <v/>
      </c>
      <c r="Q523" s="9" t="str">
        <f aca="false">IF(OR(NOT(ISNUMBER($D523)),NOT(ISNUMBER($E523))),"",MAX(0,MIN($E523,SOIL_REPORTING_DEPTH_CM)-MIN($D523,SOIL_REPORTING_DEPTH_CM)))</f>
        <v/>
      </c>
      <c r="R523" s="9" t="str">
        <f aca="false">IF(OR(NOT(ISNUMBER($O523)),NOT(ISNUMBER($N523)),NOT(ISNUMBER($Q523))),"",$O523*($N523/100)*$Q523*10)</f>
        <v/>
      </c>
      <c r="S523" s="11" t="str">
        <f aca="false">IF(AND($A523="",$B523="",$D523=""),"",IF(AND($A523&lt;&gt;"",COUNTIF('1. Plot &amp; Site Log'!$A$5:$A$64,$A523)=0),"Plot ID not in the Plot &amp; Site Log. ","")&amp;IF(AND(ISNUMBER($D523),ISNUMBER($E523),$E523&lt;=$D523),"Bottom depth is not below top depth. ","")&amp;IF($L523="Not confirmed","Bulk-density basis not confirmed with the lab — the coarse-fragment correction may be wrong or doubled. ","")&amp;IF(LAB_BULK_DENSITY_BASIS="Not confirmed","No lab bulk-density basis is on file in Settings (LAB_BULK_DENSITY_BASIS), so nothing checks this row. ","")&amp;IF(AND($L523&lt;&gt;"",LAB_BULK_DENSITY_BASIS&lt;&gt;"Not confirmed",$L523&lt;&gt;LAB_BULK_DENSITY_BASIS),"This row's bulk-density basis disagrees with the lab method on file. One of "&amp;"the two is wrong, and the coarse-fragment correction follows the row. ","")&amp;IF(AND(ISNUMBER($M523),OR($M523&lt;QC_BD_MIN,$M523&gt;QC_BD_MAX)),"Bulk density outside the plausible range for a mineral grassland soil. ","")&amp;IF(AND(ISNUMBER($N523),$N523&gt;QC_CARBON_PCT_MAX),"Organic carbon above the QC ceiling — check units, and whether this is an organic horizon. ","")&amp;IF(AND(ISNUMBER($J523),$J523&lt;QC_RECOVERY_MIN),"Recovered less than the QC minimum of the depth driven — the increments may not sit where you think. Do NOT stretch them back out. ","")&amp;IF(AND(ISNUMBER($K523),$K523&gt;0,$L523="Fine earth / total volume"),"Coarse fragments recorded and the lab basis already accounts for them — no further correction applied, which is correct. ",""))</f>
        <v/>
      </c>
      <c r="T523" s="6"/>
      <c r="U523" s="9" t="n">
        <f aca="false">IF($B523="",0,IF(COUNTIFS($B$5:$B523,$B523)=1,1,0))</f>
        <v>0</v>
      </c>
    </row>
    <row r="524" customFormat="false" ht="15" hidden="false" customHeight="false" outlineLevel="0" collapsed="false">
      <c r="A524" s="6"/>
      <c r="B524" s="6"/>
      <c r="C524" s="6"/>
      <c r="D524" s="6"/>
      <c r="E524" s="6"/>
      <c r="F524" s="9" t="str">
        <f aca="false">IF(OR($D524="",$E524=""),"",$E524-$D524)</f>
        <v/>
      </c>
      <c r="G524" s="6"/>
      <c r="H524" s="6"/>
      <c r="I524" s="6"/>
      <c r="J524" s="9" t="str">
        <f aca="false">IF(OR(NOT(ISNUMBER($H524)),NOT(ISNUMBER($I524)),$H524=0),"",$I524/$H524)</f>
        <v/>
      </c>
      <c r="K524" s="6"/>
      <c r="L524" s="8"/>
      <c r="M524" s="7"/>
      <c r="N524" s="7"/>
      <c r="O524" s="9" t="str">
        <f aca="false">IF(NOT(ISNUMBER($M524)),"",IF($L524="Fine earth / fine-earth volume",$M524*(1-IF(ISNUMBER($K524),$K524,0)/100),$M524))</f>
        <v/>
      </c>
      <c r="P524" s="9" t="str">
        <f aca="false">IF(OR(NOT(ISNUMBER($O524)),NOT(ISNUMBER($N524)),NOT(ISNUMBER($F524))),"",$O524*($N524/100)*$F524*10)</f>
        <v/>
      </c>
      <c r="Q524" s="9" t="str">
        <f aca="false">IF(OR(NOT(ISNUMBER($D524)),NOT(ISNUMBER($E524))),"",MAX(0,MIN($E524,SOIL_REPORTING_DEPTH_CM)-MIN($D524,SOIL_REPORTING_DEPTH_CM)))</f>
        <v/>
      </c>
      <c r="R524" s="9" t="str">
        <f aca="false">IF(OR(NOT(ISNUMBER($O524)),NOT(ISNUMBER($N524)),NOT(ISNUMBER($Q524))),"",$O524*($N524/100)*$Q524*10)</f>
        <v/>
      </c>
      <c r="S524" s="11" t="str">
        <f aca="false">IF(AND($A524="",$B524="",$D524=""),"",IF(AND($A524&lt;&gt;"",COUNTIF('1. Plot &amp; Site Log'!$A$5:$A$64,$A524)=0),"Plot ID not in the Plot &amp; Site Log. ","")&amp;IF(AND(ISNUMBER($D524),ISNUMBER($E524),$E524&lt;=$D524),"Bottom depth is not below top depth. ","")&amp;IF($L524="Not confirmed","Bulk-density basis not confirmed with the lab — the coarse-fragment correction may be wrong or doubled. ","")&amp;IF(LAB_BULK_DENSITY_BASIS="Not confirmed","No lab bulk-density basis is on file in Settings (LAB_BULK_DENSITY_BASIS), so nothing checks this row. ","")&amp;IF(AND($L524&lt;&gt;"",LAB_BULK_DENSITY_BASIS&lt;&gt;"Not confirmed",$L524&lt;&gt;LAB_BULK_DENSITY_BASIS),"This row's bulk-density basis disagrees with the lab method on file. One of "&amp;"the two is wrong, and the coarse-fragment correction follows the row. ","")&amp;IF(AND(ISNUMBER($M524),OR($M524&lt;QC_BD_MIN,$M524&gt;QC_BD_MAX)),"Bulk density outside the plausible range for a mineral grassland soil. ","")&amp;IF(AND(ISNUMBER($N524),$N524&gt;QC_CARBON_PCT_MAX),"Organic carbon above the QC ceiling — check units, and whether this is an organic horizon. ","")&amp;IF(AND(ISNUMBER($J524),$J524&lt;QC_RECOVERY_MIN),"Recovered less than the QC minimum of the depth driven — the increments may not sit where you think. Do NOT stretch them back out. ","")&amp;IF(AND(ISNUMBER($K524),$K524&gt;0,$L524="Fine earth / total volume"),"Coarse fragments recorded and the lab basis already accounts for them — no further correction applied, which is correct. ",""))</f>
        <v/>
      </c>
      <c r="T524" s="6"/>
      <c r="U524" s="9" t="n">
        <f aca="false">IF($B524="",0,IF(COUNTIFS($B$5:$B524,$B524)=1,1,0))</f>
        <v>0</v>
      </c>
    </row>
    <row r="525" customFormat="false" ht="15" hidden="false" customHeight="false" outlineLevel="0" collapsed="false">
      <c r="A525" s="6"/>
      <c r="B525" s="6"/>
      <c r="C525" s="6"/>
      <c r="D525" s="6"/>
      <c r="E525" s="6"/>
      <c r="F525" s="9" t="str">
        <f aca="false">IF(OR($D525="",$E525=""),"",$E525-$D525)</f>
        <v/>
      </c>
      <c r="G525" s="6"/>
      <c r="H525" s="6"/>
      <c r="I525" s="6"/>
      <c r="J525" s="9" t="str">
        <f aca="false">IF(OR(NOT(ISNUMBER($H525)),NOT(ISNUMBER($I525)),$H525=0),"",$I525/$H525)</f>
        <v/>
      </c>
      <c r="K525" s="6"/>
      <c r="L525" s="8"/>
      <c r="M525" s="7"/>
      <c r="N525" s="7"/>
      <c r="O525" s="9" t="str">
        <f aca="false">IF(NOT(ISNUMBER($M525)),"",IF($L525="Fine earth / fine-earth volume",$M525*(1-IF(ISNUMBER($K525),$K525,0)/100),$M525))</f>
        <v/>
      </c>
      <c r="P525" s="9" t="str">
        <f aca="false">IF(OR(NOT(ISNUMBER($O525)),NOT(ISNUMBER($N525)),NOT(ISNUMBER($F525))),"",$O525*($N525/100)*$F525*10)</f>
        <v/>
      </c>
      <c r="Q525" s="9" t="str">
        <f aca="false">IF(OR(NOT(ISNUMBER($D525)),NOT(ISNUMBER($E525))),"",MAX(0,MIN($E525,SOIL_REPORTING_DEPTH_CM)-MIN($D525,SOIL_REPORTING_DEPTH_CM)))</f>
        <v/>
      </c>
      <c r="R525" s="9" t="str">
        <f aca="false">IF(OR(NOT(ISNUMBER($O525)),NOT(ISNUMBER($N525)),NOT(ISNUMBER($Q525))),"",$O525*($N525/100)*$Q525*10)</f>
        <v/>
      </c>
      <c r="S525" s="11" t="str">
        <f aca="false">IF(AND($A525="",$B525="",$D525=""),"",IF(AND($A525&lt;&gt;"",COUNTIF('1. Plot &amp; Site Log'!$A$5:$A$64,$A525)=0),"Plot ID not in the Plot &amp; Site Log. ","")&amp;IF(AND(ISNUMBER($D525),ISNUMBER($E525),$E525&lt;=$D525),"Bottom depth is not below top depth. ","")&amp;IF($L525="Not confirmed","Bulk-density basis not confirmed with the lab — the coarse-fragment correction may be wrong or doubled. ","")&amp;IF(LAB_BULK_DENSITY_BASIS="Not confirmed","No lab bulk-density basis is on file in Settings (LAB_BULK_DENSITY_BASIS), so nothing checks this row. ","")&amp;IF(AND($L525&lt;&gt;"",LAB_BULK_DENSITY_BASIS&lt;&gt;"Not confirmed",$L525&lt;&gt;LAB_BULK_DENSITY_BASIS),"This row's bulk-density basis disagrees with the lab method on file. One of "&amp;"the two is wrong, and the coarse-fragment correction follows the row. ","")&amp;IF(AND(ISNUMBER($M525),OR($M525&lt;QC_BD_MIN,$M525&gt;QC_BD_MAX)),"Bulk density outside the plausible range for a mineral grassland soil. ","")&amp;IF(AND(ISNUMBER($N525),$N525&gt;QC_CARBON_PCT_MAX),"Organic carbon above the QC ceiling — check units, and whether this is an organic horizon. ","")&amp;IF(AND(ISNUMBER($J525),$J525&lt;QC_RECOVERY_MIN),"Recovered less than the QC minimum of the depth driven — the increments may not sit where you think. Do NOT stretch them back out. ","")&amp;IF(AND(ISNUMBER($K525),$K525&gt;0,$L525="Fine earth / total volume"),"Coarse fragments recorded and the lab basis already accounts for them — no further correction applied, which is correct. ",""))</f>
        <v/>
      </c>
      <c r="T525" s="6"/>
      <c r="U525" s="9" t="n">
        <f aca="false">IF($B525="",0,IF(COUNTIFS($B$5:$B525,$B525)=1,1,0))</f>
        <v>0</v>
      </c>
    </row>
    <row r="526" customFormat="false" ht="15" hidden="false" customHeight="false" outlineLevel="0" collapsed="false">
      <c r="A526" s="6"/>
      <c r="B526" s="6"/>
      <c r="C526" s="6"/>
      <c r="D526" s="6"/>
      <c r="E526" s="6"/>
      <c r="F526" s="9" t="str">
        <f aca="false">IF(OR($D526="",$E526=""),"",$E526-$D526)</f>
        <v/>
      </c>
      <c r="G526" s="6"/>
      <c r="H526" s="6"/>
      <c r="I526" s="6"/>
      <c r="J526" s="9" t="str">
        <f aca="false">IF(OR(NOT(ISNUMBER($H526)),NOT(ISNUMBER($I526)),$H526=0),"",$I526/$H526)</f>
        <v/>
      </c>
      <c r="K526" s="6"/>
      <c r="L526" s="8"/>
      <c r="M526" s="7"/>
      <c r="N526" s="7"/>
      <c r="O526" s="9" t="str">
        <f aca="false">IF(NOT(ISNUMBER($M526)),"",IF($L526="Fine earth / fine-earth volume",$M526*(1-IF(ISNUMBER($K526),$K526,0)/100),$M526))</f>
        <v/>
      </c>
      <c r="P526" s="9" t="str">
        <f aca="false">IF(OR(NOT(ISNUMBER($O526)),NOT(ISNUMBER($N526)),NOT(ISNUMBER($F526))),"",$O526*($N526/100)*$F526*10)</f>
        <v/>
      </c>
      <c r="Q526" s="9" t="str">
        <f aca="false">IF(OR(NOT(ISNUMBER($D526)),NOT(ISNUMBER($E526))),"",MAX(0,MIN($E526,SOIL_REPORTING_DEPTH_CM)-MIN($D526,SOIL_REPORTING_DEPTH_CM)))</f>
        <v/>
      </c>
      <c r="R526" s="9" t="str">
        <f aca="false">IF(OR(NOT(ISNUMBER($O526)),NOT(ISNUMBER($N526)),NOT(ISNUMBER($Q526))),"",$O526*($N526/100)*$Q526*10)</f>
        <v/>
      </c>
      <c r="S526" s="11" t="str">
        <f aca="false">IF(AND($A526="",$B526="",$D526=""),"",IF(AND($A526&lt;&gt;"",COUNTIF('1. Plot &amp; Site Log'!$A$5:$A$64,$A526)=0),"Plot ID not in the Plot &amp; Site Log. ","")&amp;IF(AND(ISNUMBER($D526),ISNUMBER($E526),$E526&lt;=$D526),"Bottom depth is not below top depth. ","")&amp;IF($L526="Not confirmed","Bulk-density basis not confirmed with the lab — the coarse-fragment correction may be wrong or doubled. ","")&amp;IF(LAB_BULK_DENSITY_BASIS="Not confirmed","No lab bulk-density basis is on file in Settings (LAB_BULK_DENSITY_BASIS), so nothing checks this row. ","")&amp;IF(AND($L526&lt;&gt;"",LAB_BULK_DENSITY_BASIS&lt;&gt;"Not confirmed",$L526&lt;&gt;LAB_BULK_DENSITY_BASIS),"This row's bulk-density basis disagrees with the lab method on file. One of "&amp;"the two is wrong, and the coarse-fragment correction follows the row. ","")&amp;IF(AND(ISNUMBER($M526),OR($M526&lt;QC_BD_MIN,$M526&gt;QC_BD_MAX)),"Bulk density outside the plausible range for a mineral grassland soil. ","")&amp;IF(AND(ISNUMBER($N526),$N526&gt;QC_CARBON_PCT_MAX),"Organic carbon above the QC ceiling — check units, and whether this is an organic horizon. ","")&amp;IF(AND(ISNUMBER($J526),$J526&lt;QC_RECOVERY_MIN),"Recovered less than the QC minimum of the depth driven — the increments may not sit where you think. Do NOT stretch them back out. ","")&amp;IF(AND(ISNUMBER($K526),$K526&gt;0,$L526="Fine earth / total volume"),"Coarse fragments recorded and the lab basis already accounts for them — no further correction applied, which is correct. ",""))</f>
        <v/>
      </c>
      <c r="T526" s="6"/>
      <c r="U526" s="9" t="n">
        <f aca="false">IF($B526="",0,IF(COUNTIFS($B$5:$B526,$B526)=1,1,0))</f>
        <v>0</v>
      </c>
    </row>
    <row r="527" customFormat="false" ht="15" hidden="false" customHeight="false" outlineLevel="0" collapsed="false">
      <c r="A527" s="6"/>
      <c r="B527" s="6"/>
      <c r="C527" s="6"/>
      <c r="D527" s="6"/>
      <c r="E527" s="6"/>
      <c r="F527" s="9" t="str">
        <f aca="false">IF(OR($D527="",$E527=""),"",$E527-$D527)</f>
        <v/>
      </c>
      <c r="G527" s="6"/>
      <c r="H527" s="6"/>
      <c r="I527" s="6"/>
      <c r="J527" s="9" t="str">
        <f aca="false">IF(OR(NOT(ISNUMBER($H527)),NOT(ISNUMBER($I527)),$H527=0),"",$I527/$H527)</f>
        <v/>
      </c>
      <c r="K527" s="6"/>
      <c r="L527" s="8"/>
      <c r="M527" s="7"/>
      <c r="N527" s="7"/>
      <c r="O527" s="9" t="str">
        <f aca="false">IF(NOT(ISNUMBER($M527)),"",IF($L527="Fine earth / fine-earth volume",$M527*(1-IF(ISNUMBER($K527),$K527,0)/100),$M527))</f>
        <v/>
      </c>
      <c r="P527" s="9" t="str">
        <f aca="false">IF(OR(NOT(ISNUMBER($O527)),NOT(ISNUMBER($N527)),NOT(ISNUMBER($F527))),"",$O527*($N527/100)*$F527*10)</f>
        <v/>
      </c>
      <c r="Q527" s="9" t="str">
        <f aca="false">IF(OR(NOT(ISNUMBER($D527)),NOT(ISNUMBER($E527))),"",MAX(0,MIN($E527,SOIL_REPORTING_DEPTH_CM)-MIN($D527,SOIL_REPORTING_DEPTH_CM)))</f>
        <v/>
      </c>
      <c r="R527" s="9" t="str">
        <f aca="false">IF(OR(NOT(ISNUMBER($O527)),NOT(ISNUMBER($N527)),NOT(ISNUMBER($Q527))),"",$O527*($N527/100)*$Q527*10)</f>
        <v/>
      </c>
      <c r="S527" s="11" t="str">
        <f aca="false">IF(AND($A527="",$B527="",$D527=""),"",IF(AND($A527&lt;&gt;"",COUNTIF('1. Plot &amp; Site Log'!$A$5:$A$64,$A527)=0),"Plot ID not in the Plot &amp; Site Log. ","")&amp;IF(AND(ISNUMBER($D527),ISNUMBER($E527),$E527&lt;=$D527),"Bottom depth is not below top depth. ","")&amp;IF($L527="Not confirmed","Bulk-density basis not confirmed with the lab — the coarse-fragment correction may be wrong or doubled. ","")&amp;IF(LAB_BULK_DENSITY_BASIS="Not confirmed","No lab bulk-density basis is on file in Settings (LAB_BULK_DENSITY_BASIS), so nothing checks this row. ","")&amp;IF(AND($L527&lt;&gt;"",LAB_BULK_DENSITY_BASIS&lt;&gt;"Not confirmed",$L527&lt;&gt;LAB_BULK_DENSITY_BASIS),"This row's bulk-density basis disagrees with the lab method on file. One of "&amp;"the two is wrong, and the coarse-fragment correction follows the row. ","")&amp;IF(AND(ISNUMBER($M527),OR($M527&lt;QC_BD_MIN,$M527&gt;QC_BD_MAX)),"Bulk density outside the plausible range for a mineral grassland soil. ","")&amp;IF(AND(ISNUMBER($N527),$N527&gt;QC_CARBON_PCT_MAX),"Organic carbon above the QC ceiling — check units, and whether this is an organic horizon. ","")&amp;IF(AND(ISNUMBER($J527),$J527&lt;QC_RECOVERY_MIN),"Recovered less than the QC minimum of the depth driven — the increments may not sit where you think. Do NOT stretch them back out. ","")&amp;IF(AND(ISNUMBER($K527),$K527&gt;0,$L527="Fine earth / total volume"),"Coarse fragments recorded and the lab basis already accounts for them — no further correction applied, which is correct. ",""))</f>
        <v/>
      </c>
      <c r="T527" s="6"/>
      <c r="U527" s="9" t="n">
        <f aca="false">IF($B527="",0,IF(COUNTIFS($B$5:$B527,$B527)=1,1,0))</f>
        <v>0</v>
      </c>
    </row>
    <row r="528" customFormat="false" ht="15" hidden="false" customHeight="false" outlineLevel="0" collapsed="false">
      <c r="A528" s="6"/>
      <c r="B528" s="6"/>
      <c r="C528" s="6"/>
      <c r="D528" s="6"/>
      <c r="E528" s="6"/>
      <c r="F528" s="9" t="str">
        <f aca="false">IF(OR($D528="",$E528=""),"",$E528-$D528)</f>
        <v/>
      </c>
      <c r="G528" s="6"/>
      <c r="H528" s="6"/>
      <c r="I528" s="6"/>
      <c r="J528" s="9" t="str">
        <f aca="false">IF(OR(NOT(ISNUMBER($H528)),NOT(ISNUMBER($I528)),$H528=0),"",$I528/$H528)</f>
        <v/>
      </c>
      <c r="K528" s="6"/>
      <c r="L528" s="8"/>
      <c r="M528" s="7"/>
      <c r="N528" s="7"/>
      <c r="O528" s="9" t="str">
        <f aca="false">IF(NOT(ISNUMBER($M528)),"",IF($L528="Fine earth / fine-earth volume",$M528*(1-IF(ISNUMBER($K528),$K528,0)/100),$M528))</f>
        <v/>
      </c>
      <c r="P528" s="9" t="str">
        <f aca="false">IF(OR(NOT(ISNUMBER($O528)),NOT(ISNUMBER($N528)),NOT(ISNUMBER($F528))),"",$O528*($N528/100)*$F528*10)</f>
        <v/>
      </c>
      <c r="Q528" s="9" t="str">
        <f aca="false">IF(OR(NOT(ISNUMBER($D528)),NOT(ISNUMBER($E528))),"",MAX(0,MIN($E528,SOIL_REPORTING_DEPTH_CM)-MIN($D528,SOIL_REPORTING_DEPTH_CM)))</f>
        <v/>
      </c>
      <c r="R528" s="9" t="str">
        <f aca="false">IF(OR(NOT(ISNUMBER($O528)),NOT(ISNUMBER($N528)),NOT(ISNUMBER($Q528))),"",$O528*($N528/100)*$Q528*10)</f>
        <v/>
      </c>
      <c r="S528" s="11" t="str">
        <f aca="false">IF(AND($A528="",$B528="",$D528=""),"",IF(AND($A528&lt;&gt;"",COUNTIF('1. Plot &amp; Site Log'!$A$5:$A$64,$A528)=0),"Plot ID not in the Plot &amp; Site Log. ","")&amp;IF(AND(ISNUMBER($D528),ISNUMBER($E528),$E528&lt;=$D528),"Bottom depth is not below top depth. ","")&amp;IF($L528="Not confirmed","Bulk-density basis not confirmed with the lab — the coarse-fragment correction may be wrong or doubled. ","")&amp;IF(LAB_BULK_DENSITY_BASIS="Not confirmed","No lab bulk-density basis is on file in Settings (LAB_BULK_DENSITY_BASIS), so nothing checks this row. ","")&amp;IF(AND($L528&lt;&gt;"",LAB_BULK_DENSITY_BASIS&lt;&gt;"Not confirmed",$L528&lt;&gt;LAB_BULK_DENSITY_BASIS),"This row's bulk-density basis disagrees with the lab method on file. One of "&amp;"the two is wrong, and the coarse-fragment correction follows the row. ","")&amp;IF(AND(ISNUMBER($M528),OR($M528&lt;QC_BD_MIN,$M528&gt;QC_BD_MAX)),"Bulk density outside the plausible range for a mineral grassland soil. ","")&amp;IF(AND(ISNUMBER($N528),$N528&gt;QC_CARBON_PCT_MAX),"Organic carbon above the QC ceiling — check units, and whether this is an organic horizon. ","")&amp;IF(AND(ISNUMBER($J528),$J528&lt;QC_RECOVERY_MIN),"Recovered less than the QC minimum of the depth driven — the increments may not sit where you think. Do NOT stretch them back out. ","")&amp;IF(AND(ISNUMBER($K528),$K528&gt;0,$L528="Fine earth / total volume"),"Coarse fragments recorded and the lab basis already accounts for them — no further correction applied, which is correct. ",""))</f>
        <v/>
      </c>
      <c r="T528" s="6"/>
      <c r="U528" s="9" t="n">
        <f aca="false">IF($B528="",0,IF(COUNTIFS($B$5:$B528,$B528)=1,1,0))</f>
        <v>0</v>
      </c>
    </row>
    <row r="529" customFormat="false" ht="15" hidden="false" customHeight="false" outlineLevel="0" collapsed="false">
      <c r="A529" s="6"/>
      <c r="B529" s="6"/>
      <c r="C529" s="6"/>
      <c r="D529" s="6"/>
      <c r="E529" s="6"/>
      <c r="F529" s="9" t="str">
        <f aca="false">IF(OR($D529="",$E529=""),"",$E529-$D529)</f>
        <v/>
      </c>
      <c r="G529" s="6"/>
      <c r="H529" s="6"/>
      <c r="I529" s="6"/>
      <c r="J529" s="9" t="str">
        <f aca="false">IF(OR(NOT(ISNUMBER($H529)),NOT(ISNUMBER($I529)),$H529=0),"",$I529/$H529)</f>
        <v/>
      </c>
      <c r="K529" s="6"/>
      <c r="L529" s="8"/>
      <c r="M529" s="7"/>
      <c r="N529" s="7"/>
      <c r="O529" s="9" t="str">
        <f aca="false">IF(NOT(ISNUMBER($M529)),"",IF($L529="Fine earth / fine-earth volume",$M529*(1-IF(ISNUMBER($K529),$K529,0)/100),$M529))</f>
        <v/>
      </c>
      <c r="P529" s="9" t="str">
        <f aca="false">IF(OR(NOT(ISNUMBER($O529)),NOT(ISNUMBER($N529)),NOT(ISNUMBER($F529))),"",$O529*($N529/100)*$F529*10)</f>
        <v/>
      </c>
      <c r="Q529" s="9" t="str">
        <f aca="false">IF(OR(NOT(ISNUMBER($D529)),NOT(ISNUMBER($E529))),"",MAX(0,MIN($E529,SOIL_REPORTING_DEPTH_CM)-MIN($D529,SOIL_REPORTING_DEPTH_CM)))</f>
        <v/>
      </c>
      <c r="R529" s="9" t="str">
        <f aca="false">IF(OR(NOT(ISNUMBER($O529)),NOT(ISNUMBER($N529)),NOT(ISNUMBER($Q529))),"",$O529*($N529/100)*$Q529*10)</f>
        <v/>
      </c>
      <c r="S529" s="11" t="str">
        <f aca="false">IF(AND($A529="",$B529="",$D529=""),"",IF(AND($A529&lt;&gt;"",COUNTIF('1. Plot &amp; Site Log'!$A$5:$A$64,$A529)=0),"Plot ID not in the Plot &amp; Site Log. ","")&amp;IF(AND(ISNUMBER($D529),ISNUMBER($E529),$E529&lt;=$D529),"Bottom depth is not below top depth. ","")&amp;IF($L529="Not confirmed","Bulk-density basis not confirmed with the lab — the coarse-fragment correction may be wrong or doubled. ","")&amp;IF(LAB_BULK_DENSITY_BASIS="Not confirmed","No lab bulk-density basis is on file in Settings (LAB_BULK_DENSITY_BASIS), so nothing checks this row. ","")&amp;IF(AND($L529&lt;&gt;"",LAB_BULK_DENSITY_BASIS&lt;&gt;"Not confirmed",$L529&lt;&gt;LAB_BULK_DENSITY_BASIS),"This row's bulk-density basis disagrees with the lab method on file. One of "&amp;"the two is wrong, and the coarse-fragment correction follows the row. ","")&amp;IF(AND(ISNUMBER($M529),OR($M529&lt;QC_BD_MIN,$M529&gt;QC_BD_MAX)),"Bulk density outside the plausible range for a mineral grassland soil. ","")&amp;IF(AND(ISNUMBER($N529),$N529&gt;QC_CARBON_PCT_MAX),"Organic carbon above the QC ceiling — check units, and whether this is an organic horizon. ","")&amp;IF(AND(ISNUMBER($J529),$J529&lt;QC_RECOVERY_MIN),"Recovered less than the QC minimum of the depth driven — the increments may not sit where you think. Do NOT stretch them back out. ","")&amp;IF(AND(ISNUMBER($K529),$K529&gt;0,$L529="Fine earth / total volume"),"Coarse fragments recorded and the lab basis already accounts for them — no further correction applied, which is correct. ",""))</f>
        <v/>
      </c>
      <c r="T529" s="6"/>
      <c r="U529" s="9" t="n">
        <f aca="false">IF($B529="",0,IF(COUNTIFS($B$5:$B529,$B529)=1,1,0))</f>
        <v>0</v>
      </c>
    </row>
    <row r="530" customFormat="false" ht="15" hidden="false" customHeight="false" outlineLevel="0" collapsed="false">
      <c r="A530" s="6"/>
      <c r="B530" s="6"/>
      <c r="C530" s="6"/>
      <c r="D530" s="6"/>
      <c r="E530" s="6"/>
      <c r="F530" s="9" t="str">
        <f aca="false">IF(OR($D530="",$E530=""),"",$E530-$D530)</f>
        <v/>
      </c>
      <c r="G530" s="6"/>
      <c r="H530" s="6"/>
      <c r="I530" s="6"/>
      <c r="J530" s="9" t="str">
        <f aca="false">IF(OR(NOT(ISNUMBER($H530)),NOT(ISNUMBER($I530)),$H530=0),"",$I530/$H530)</f>
        <v/>
      </c>
      <c r="K530" s="6"/>
      <c r="L530" s="8"/>
      <c r="M530" s="7"/>
      <c r="N530" s="7"/>
      <c r="O530" s="9" t="str">
        <f aca="false">IF(NOT(ISNUMBER($M530)),"",IF($L530="Fine earth / fine-earth volume",$M530*(1-IF(ISNUMBER($K530),$K530,0)/100),$M530))</f>
        <v/>
      </c>
      <c r="P530" s="9" t="str">
        <f aca="false">IF(OR(NOT(ISNUMBER($O530)),NOT(ISNUMBER($N530)),NOT(ISNUMBER($F530))),"",$O530*($N530/100)*$F530*10)</f>
        <v/>
      </c>
      <c r="Q530" s="9" t="str">
        <f aca="false">IF(OR(NOT(ISNUMBER($D530)),NOT(ISNUMBER($E530))),"",MAX(0,MIN($E530,SOIL_REPORTING_DEPTH_CM)-MIN($D530,SOIL_REPORTING_DEPTH_CM)))</f>
        <v/>
      </c>
      <c r="R530" s="9" t="str">
        <f aca="false">IF(OR(NOT(ISNUMBER($O530)),NOT(ISNUMBER($N530)),NOT(ISNUMBER($Q530))),"",$O530*($N530/100)*$Q530*10)</f>
        <v/>
      </c>
      <c r="S530" s="11" t="str">
        <f aca="false">IF(AND($A530="",$B530="",$D530=""),"",IF(AND($A530&lt;&gt;"",COUNTIF('1. Plot &amp; Site Log'!$A$5:$A$64,$A530)=0),"Plot ID not in the Plot &amp; Site Log. ","")&amp;IF(AND(ISNUMBER($D530),ISNUMBER($E530),$E530&lt;=$D530),"Bottom depth is not below top depth. ","")&amp;IF($L530="Not confirmed","Bulk-density basis not confirmed with the lab — the coarse-fragment correction may be wrong or doubled. ","")&amp;IF(LAB_BULK_DENSITY_BASIS="Not confirmed","No lab bulk-density basis is on file in Settings (LAB_BULK_DENSITY_BASIS), so nothing checks this row. ","")&amp;IF(AND($L530&lt;&gt;"",LAB_BULK_DENSITY_BASIS&lt;&gt;"Not confirmed",$L530&lt;&gt;LAB_BULK_DENSITY_BASIS),"This row's bulk-density basis disagrees with the lab method on file. One of "&amp;"the two is wrong, and the coarse-fragment correction follows the row. ","")&amp;IF(AND(ISNUMBER($M530),OR($M530&lt;QC_BD_MIN,$M530&gt;QC_BD_MAX)),"Bulk density outside the plausible range for a mineral grassland soil. ","")&amp;IF(AND(ISNUMBER($N530),$N530&gt;QC_CARBON_PCT_MAX),"Organic carbon above the QC ceiling — check units, and whether this is an organic horizon. ","")&amp;IF(AND(ISNUMBER($J530),$J530&lt;QC_RECOVERY_MIN),"Recovered less than the QC minimum of the depth driven — the increments may not sit where you think. Do NOT stretch them back out. ","")&amp;IF(AND(ISNUMBER($K530),$K530&gt;0,$L530="Fine earth / total volume"),"Coarse fragments recorded and the lab basis already accounts for them — no further correction applied, which is correct. ",""))</f>
        <v/>
      </c>
      <c r="T530" s="6"/>
      <c r="U530" s="9" t="n">
        <f aca="false">IF($B530="",0,IF(COUNTIFS($B$5:$B530,$B530)=1,1,0))</f>
        <v>0</v>
      </c>
    </row>
    <row r="531" customFormat="false" ht="15" hidden="false" customHeight="false" outlineLevel="0" collapsed="false">
      <c r="A531" s="6"/>
      <c r="B531" s="6"/>
      <c r="C531" s="6"/>
      <c r="D531" s="6"/>
      <c r="E531" s="6"/>
      <c r="F531" s="9" t="str">
        <f aca="false">IF(OR($D531="",$E531=""),"",$E531-$D531)</f>
        <v/>
      </c>
      <c r="G531" s="6"/>
      <c r="H531" s="6"/>
      <c r="I531" s="6"/>
      <c r="J531" s="9" t="str">
        <f aca="false">IF(OR(NOT(ISNUMBER($H531)),NOT(ISNUMBER($I531)),$H531=0),"",$I531/$H531)</f>
        <v/>
      </c>
      <c r="K531" s="6"/>
      <c r="L531" s="8"/>
      <c r="M531" s="7"/>
      <c r="N531" s="7"/>
      <c r="O531" s="9" t="str">
        <f aca="false">IF(NOT(ISNUMBER($M531)),"",IF($L531="Fine earth / fine-earth volume",$M531*(1-IF(ISNUMBER($K531),$K531,0)/100),$M531))</f>
        <v/>
      </c>
      <c r="P531" s="9" t="str">
        <f aca="false">IF(OR(NOT(ISNUMBER($O531)),NOT(ISNUMBER($N531)),NOT(ISNUMBER($F531))),"",$O531*($N531/100)*$F531*10)</f>
        <v/>
      </c>
      <c r="Q531" s="9" t="str">
        <f aca="false">IF(OR(NOT(ISNUMBER($D531)),NOT(ISNUMBER($E531))),"",MAX(0,MIN($E531,SOIL_REPORTING_DEPTH_CM)-MIN($D531,SOIL_REPORTING_DEPTH_CM)))</f>
        <v/>
      </c>
      <c r="R531" s="9" t="str">
        <f aca="false">IF(OR(NOT(ISNUMBER($O531)),NOT(ISNUMBER($N531)),NOT(ISNUMBER($Q531))),"",$O531*($N531/100)*$Q531*10)</f>
        <v/>
      </c>
      <c r="S531" s="11" t="str">
        <f aca="false">IF(AND($A531="",$B531="",$D531=""),"",IF(AND($A531&lt;&gt;"",COUNTIF('1. Plot &amp; Site Log'!$A$5:$A$64,$A531)=0),"Plot ID not in the Plot &amp; Site Log. ","")&amp;IF(AND(ISNUMBER($D531),ISNUMBER($E531),$E531&lt;=$D531),"Bottom depth is not below top depth. ","")&amp;IF($L531="Not confirmed","Bulk-density basis not confirmed with the lab — the coarse-fragment correction may be wrong or doubled. ","")&amp;IF(LAB_BULK_DENSITY_BASIS="Not confirmed","No lab bulk-density basis is on file in Settings (LAB_BULK_DENSITY_BASIS), so nothing checks this row. ","")&amp;IF(AND($L531&lt;&gt;"",LAB_BULK_DENSITY_BASIS&lt;&gt;"Not confirmed",$L531&lt;&gt;LAB_BULK_DENSITY_BASIS),"This row's bulk-density basis disagrees with the lab method on file. One of "&amp;"the two is wrong, and the coarse-fragment correction follows the row. ","")&amp;IF(AND(ISNUMBER($M531),OR($M531&lt;QC_BD_MIN,$M531&gt;QC_BD_MAX)),"Bulk density outside the plausible range for a mineral grassland soil. ","")&amp;IF(AND(ISNUMBER($N531),$N531&gt;QC_CARBON_PCT_MAX),"Organic carbon above the QC ceiling — check units, and whether this is an organic horizon. ","")&amp;IF(AND(ISNUMBER($J531),$J531&lt;QC_RECOVERY_MIN),"Recovered less than the QC minimum of the depth driven — the increments may not sit where you think. Do NOT stretch them back out. ","")&amp;IF(AND(ISNUMBER($K531),$K531&gt;0,$L531="Fine earth / total volume"),"Coarse fragments recorded and the lab basis already accounts for them — no further correction applied, which is correct. ",""))</f>
        <v/>
      </c>
      <c r="T531" s="6"/>
      <c r="U531" s="9" t="n">
        <f aca="false">IF($B531="",0,IF(COUNTIFS($B$5:$B531,$B531)=1,1,0))</f>
        <v>0</v>
      </c>
    </row>
    <row r="532" customFormat="false" ht="15" hidden="false" customHeight="false" outlineLevel="0" collapsed="false">
      <c r="A532" s="6"/>
      <c r="B532" s="6"/>
      <c r="C532" s="6"/>
      <c r="D532" s="6"/>
      <c r="E532" s="6"/>
      <c r="F532" s="9" t="str">
        <f aca="false">IF(OR($D532="",$E532=""),"",$E532-$D532)</f>
        <v/>
      </c>
      <c r="G532" s="6"/>
      <c r="H532" s="6"/>
      <c r="I532" s="6"/>
      <c r="J532" s="9" t="str">
        <f aca="false">IF(OR(NOT(ISNUMBER($H532)),NOT(ISNUMBER($I532)),$H532=0),"",$I532/$H532)</f>
        <v/>
      </c>
      <c r="K532" s="6"/>
      <c r="L532" s="8"/>
      <c r="M532" s="7"/>
      <c r="N532" s="7"/>
      <c r="O532" s="9" t="str">
        <f aca="false">IF(NOT(ISNUMBER($M532)),"",IF($L532="Fine earth / fine-earth volume",$M532*(1-IF(ISNUMBER($K532),$K532,0)/100),$M532))</f>
        <v/>
      </c>
      <c r="P532" s="9" t="str">
        <f aca="false">IF(OR(NOT(ISNUMBER($O532)),NOT(ISNUMBER($N532)),NOT(ISNUMBER($F532))),"",$O532*($N532/100)*$F532*10)</f>
        <v/>
      </c>
      <c r="Q532" s="9" t="str">
        <f aca="false">IF(OR(NOT(ISNUMBER($D532)),NOT(ISNUMBER($E532))),"",MAX(0,MIN($E532,SOIL_REPORTING_DEPTH_CM)-MIN($D532,SOIL_REPORTING_DEPTH_CM)))</f>
        <v/>
      </c>
      <c r="R532" s="9" t="str">
        <f aca="false">IF(OR(NOT(ISNUMBER($O532)),NOT(ISNUMBER($N532)),NOT(ISNUMBER($Q532))),"",$O532*($N532/100)*$Q532*10)</f>
        <v/>
      </c>
      <c r="S532" s="11" t="str">
        <f aca="false">IF(AND($A532="",$B532="",$D532=""),"",IF(AND($A532&lt;&gt;"",COUNTIF('1. Plot &amp; Site Log'!$A$5:$A$64,$A532)=0),"Plot ID not in the Plot &amp; Site Log. ","")&amp;IF(AND(ISNUMBER($D532),ISNUMBER($E532),$E532&lt;=$D532),"Bottom depth is not below top depth. ","")&amp;IF($L532="Not confirmed","Bulk-density basis not confirmed with the lab — the coarse-fragment correction may be wrong or doubled. ","")&amp;IF(LAB_BULK_DENSITY_BASIS="Not confirmed","No lab bulk-density basis is on file in Settings (LAB_BULK_DENSITY_BASIS), so nothing checks this row. ","")&amp;IF(AND($L532&lt;&gt;"",LAB_BULK_DENSITY_BASIS&lt;&gt;"Not confirmed",$L532&lt;&gt;LAB_BULK_DENSITY_BASIS),"This row's bulk-density basis disagrees with the lab method on file. One of "&amp;"the two is wrong, and the coarse-fragment correction follows the row. ","")&amp;IF(AND(ISNUMBER($M532),OR($M532&lt;QC_BD_MIN,$M532&gt;QC_BD_MAX)),"Bulk density outside the plausible range for a mineral grassland soil. ","")&amp;IF(AND(ISNUMBER($N532),$N532&gt;QC_CARBON_PCT_MAX),"Organic carbon above the QC ceiling — check units, and whether this is an organic horizon. ","")&amp;IF(AND(ISNUMBER($J532),$J532&lt;QC_RECOVERY_MIN),"Recovered less than the QC minimum of the depth driven — the increments may not sit where you think. Do NOT stretch them back out. ","")&amp;IF(AND(ISNUMBER($K532),$K532&gt;0,$L532="Fine earth / total volume"),"Coarse fragments recorded and the lab basis already accounts for them — no further correction applied, which is correct. ",""))</f>
        <v/>
      </c>
      <c r="T532" s="6"/>
      <c r="U532" s="9" t="n">
        <f aca="false">IF($B532="",0,IF(COUNTIFS($B$5:$B532,$B532)=1,1,0))</f>
        <v>0</v>
      </c>
    </row>
    <row r="533" customFormat="false" ht="15" hidden="false" customHeight="false" outlineLevel="0" collapsed="false">
      <c r="A533" s="6"/>
      <c r="B533" s="6"/>
      <c r="C533" s="6"/>
      <c r="D533" s="6"/>
      <c r="E533" s="6"/>
      <c r="F533" s="9" t="str">
        <f aca="false">IF(OR($D533="",$E533=""),"",$E533-$D533)</f>
        <v/>
      </c>
      <c r="G533" s="6"/>
      <c r="H533" s="6"/>
      <c r="I533" s="6"/>
      <c r="J533" s="9" t="str">
        <f aca="false">IF(OR(NOT(ISNUMBER($H533)),NOT(ISNUMBER($I533)),$H533=0),"",$I533/$H533)</f>
        <v/>
      </c>
      <c r="K533" s="6"/>
      <c r="L533" s="8"/>
      <c r="M533" s="7"/>
      <c r="N533" s="7"/>
      <c r="O533" s="9" t="str">
        <f aca="false">IF(NOT(ISNUMBER($M533)),"",IF($L533="Fine earth / fine-earth volume",$M533*(1-IF(ISNUMBER($K533),$K533,0)/100),$M533))</f>
        <v/>
      </c>
      <c r="P533" s="9" t="str">
        <f aca="false">IF(OR(NOT(ISNUMBER($O533)),NOT(ISNUMBER($N533)),NOT(ISNUMBER($F533))),"",$O533*($N533/100)*$F533*10)</f>
        <v/>
      </c>
      <c r="Q533" s="9" t="str">
        <f aca="false">IF(OR(NOT(ISNUMBER($D533)),NOT(ISNUMBER($E533))),"",MAX(0,MIN($E533,SOIL_REPORTING_DEPTH_CM)-MIN($D533,SOIL_REPORTING_DEPTH_CM)))</f>
        <v/>
      </c>
      <c r="R533" s="9" t="str">
        <f aca="false">IF(OR(NOT(ISNUMBER($O533)),NOT(ISNUMBER($N533)),NOT(ISNUMBER($Q533))),"",$O533*($N533/100)*$Q533*10)</f>
        <v/>
      </c>
      <c r="S533" s="11" t="str">
        <f aca="false">IF(AND($A533="",$B533="",$D533=""),"",IF(AND($A533&lt;&gt;"",COUNTIF('1. Plot &amp; Site Log'!$A$5:$A$64,$A533)=0),"Plot ID not in the Plot &amp; Site Log. ","")&amp;IF(AND(ISNUMBER($D533),ISNUMBER($E533),$E533&lt;=$D533),"Bottom depth is not below top depth. ","")&amp;IF($L533="Not confirmed","Bulk-density basis not confirmed with the lab — the coarse-fragment correction may be wrong or doubled. ","")&amp;IF(LAB_BULK_DENSITY_BASIS="Not confirmed","No lab bulk-density basis is on file in Settings (LAB_BULK_DENSITY_BASIS), so nothing checks this row. ","")&amp;IF(AND($L533&lt;&gt;"",LAB_BULK_DENSITY_BASIS&lt;&gt;"Not confirmed",$L533&lt;&gt;LAB_BULK_DENSITY_BASIS),"This row's bulk-density basis disagrees with the lab method on file. One of "&amp;"the two is wrong, and the coarse-fragment correction follows the row. ","")&amp;IF(AND(ISNUMBER($M533),OR($M533&lt;QC_BD_MIN,$M533&gt;QC_BD_MAX)),"Bulk density outside the plausible range for a mineral grassland soil. ","")&amp;IF(AND(ISNUMBER($N533),$N533&gt;QC_CARBON_PCT_MAX),"Organic carbon above the QC ceiling — check units, and whether this is an organic horizon. ","")&amp;IF(AND(ISNUMBER($J533),$J533&lt;QC_RECOVERY_MIN),"Recovered less than the QC minimum of the depth driven — the increments may not sit where you think. Do NOT stretch them back out. ","")&amp;IF(AND(ISNUMBER($K533),$K533&gt;0,$L533="Fine earth / total volume"),"Coarse fragments recorded and the lab basis already accounts for them — no further correction applied, which is correct. ",""))</f>
        <v/>
      </c>
      <c r="T533" s="6"/>
      <c r="U533" s="9" t="n">
        <f aca="false">IF($B533="",0,IF(COUNTIFS($B$5:$B533,$B533)=1,1,0))</f>
        <v>0</v>
      </c>
    </row>
    <row r="534" customFormat="false" ht="15" hidden="false" customHeight="false" outlineLevel="0" collapsed="false">
      <c r="A534" s="6"/>
      <c r="B534" s="6"/>
      <c r="C534" s="6"/>
      <c r="D534" s="6"/>
      <c r="E534" s="6"/>
      <c r="F534" s="9" t="str">
        <f aca="false">IF(OR($D534="",$E534=""),"",$E534-$D534)</f>
        <v/>
      </c>
      <c r="G534" s="6"/>
      <c r="H534" s="6"/>
      <c r="I534" s="6"/>
      <c r="J534" s="9" t="str">
        <f aca="false">IF(OR(NOT(ISNUMBER($H534)),NOT(ISNUMBER($I534)),$H534=0),"",$I534/$H534)</f>
        <v/>
      </c>
      <c r="K534" s="6"/>
      <c r="L534" s="8"/>
      <c r="M534" s="7"/>
      <c r="N534" s="7"/>
      <c r="O534" s="9" t="str">
        <f aca="false">IF(NOT(ISNUMBER($M534)),"",IF($L534="Fine earth / fine-earth volume",$M534*(1-IF(ISNUMBER($K534),$K534,0)/100),$M534))</f>
        <v/>
      </c>
      <c r="P534" s="9" t="str">
        <f aca="false">IF(OR(NOT(ISNUMBER($O534)),NOT(ISNUMBER($N534)),NOT(ISNUMBER($F534))),"",$O534*($N534/100)*$F534*10)</f>
        <v/>
      </c>
      <c r="Q534" s="9" t="str">
        <f aca="false">IF(OR(NOT(ISNUMBER($D534)),NOT(ISNUMBER($E534))),"",MAX(0,MIN($E534,SOIL_REPORTING_DEPTH_CM)-MIN($D534,SOIL_REPORTING_DEPTH_CM)))</f>
        <v/>
      </c>
      <c r="R534" s="9" t="str">
        <f aca="false">IF(OR(NOT(ISNUMBER($O534)),NOT(ISNUMBER($N534)),NOT(ISNUMBER($Q534))),"",$O534*($N534/100)*$Q534*10)</f>
        <v/>
      </c>
      <c r="S534" s="11" t="str">
        <f aca="false">IF(AND($A534="",$B534="",$D534=""),"",IF(AND($A534&lt;&gt;"",COUNTIF('1. Plot &amp; Site Log'!$A$5:$A$64,$A534)=0),"Plot ID not in the Plot &amp; Site Log. ","")&amp;IF(AND(ISNUMBER($D534),ISNUMBER($E534),$E534&lt;=$D534),"Bottom depth is not below top depth. ","")&amp;IF($L534="Not confirmed","Bulk-density basis not confirmed with the lab — the coarse-fragment correction may be wrong or doubled. ","")&amp;IF(LAB_BULK_DENSITY_BASIS="Not confirmed","No lab bulk-density basis is on file in Settings (LAB_BULK_DENSITY_BASIS), so nothing checks this row. ","")&amp;IF(AND($L534&lt;&gt;"",LAB_BULK_DENSITY_BASIS&lt;&gt;"Not confirmed",$L534&lt;&gt;LAB_BULK_DENSITY_BASIS),"This row's bulk-density basis disagrees with the lab method on file. One of "&amp;"the two is wrong, and the coarse-fragment correction follows the row. ","")&amp;IF(AND(ISNUMBER($M534),OR($M534&lt;QC_BD_MIN,$M534&gt;QC_BD_MAX)),"Bulk density outside the plausible range for a mineral grassland soil. ","")&amp;IF(AND(ISNUMBER($N534),$N534&gt;QC_CARBON_PCT_MAX),"Organic carbon above the QC ceiling — check units, and whether this is an organic horizon. ","")&amp;IF(AND(ISNUMBER($J534),$J534&lt;QC_RECOVERY_MIN),"Recovered less than the QC minimum of the depth driven — the increments may not sit where you think. Do NOT stretch them back out. ","")&amp;IF(AND(ISNUMBER($K534),$K534&gt;0,$L534="Fine earth / total volume"),"Coarse fragments recorded and the lab basis already accounts for them — no further correction applied, which is correct. ",""))</f>
        <v/>
      </c>
      <c r="T534" s="6"/>
      <c r="U534" s="9" t="n">
        <f aca="false">IF($B534="",0,IF(COUNTIFS($B$5:$B534,$B534)=1,1,0))</f>
        <v>0</v>
      </c>
    </row>
    <row r="535" customFormat="false" ht="15" hidden="false" customHeight="false" outlineLevel="0" collapsed="false">
      <c r="A535" s="6"/>
      <c r="B535" s="6"/>
      <c r="C535" s="6"/>
      <c r="D535" s="6"/>
      <c r="E535" s="6"/>
      <c r="F535" s="9" t="str">
        <f aca="false">IF(OR($D535="",$E535=""),"",$E535-$D535)</f>
        <v/>
      </c>
      <c r="G535" s="6"/>
      <c r="H535" s="6"/>
      <c r="I535" s="6"/>
      <c r="J535" s="9" t="str">
        <f aca="false">IF(OR(NOT(ISNUMBER($H535)),NOT(ISNUMBER($I535)),$H535=0),"",$I535/$H535)</f>
        <v/>
      </c>
      <c r="K535" s="6"/>
      <c r="L535" s="8"/>
      <c r="M535" s="7"/>
      <c r="N535" s="7"/>
      <c r="O535" s="9" t="str">
        <f aca="false">IF(NOT(ISNUMBER($M535)),"",IF($L535="Fine earth / fine-earth volume",$M535*(1-IF(ISNUMBER($K535),$K535,0)/100),$M535))</f>
        <v/>
      </c>
      <c r="P535" s="9" t="str">
        <f aca="false">IF(OR(NOT(ISNUMBER($O535)),NOT(ISNUMBER($N535)),NOT(ISNUMBER($F535))),"",$O535*($N535/100)*$F535*10)</f>
        <v/>
      </c>
      <c r="Q535" s="9" t="str">
        <f aca="false">IF(OR(NOT(ISNUMBER($D535)),NOT(ISNUMBER($E535))),"",MAX(0,MIN($E535,SOIL_REPORTING_DEPTH_CM)-MIN($D535,SOIL_REPORTING_DEPTH_CM)))</f>
        <v/>
      </c>
      <c r="R535" s="9" t="str">
        <f aca="false">IF(OR(NOT(ISNUMBER($O535)),NOT(ISNUMBER($N535)),NOT(ISNUMBER($Q535))),"",$O535*($N535/100)*$Q535*10)</f>
        <v/>
      </c>
      <c r="S535" s="11" t="str">
        <f aca="false">IF(AND($A535="",$B535="",$D535=""),"",IF(AND($A535&lt;&gt;"",COUNTIF('1. Plot &amp; Site Log'!$A$5:$A$64,$A535)=0),"Plot ID not in the Plot &amp; Site Log. ","")&amp;IF(AND(ISNUMBER($D535),ISNUMBER($E535),$E535&lt;=$D535),"Bottom depth is not below top depth. ","")&amp;IF($L535="Not confirmed","Bulk-density basis not confirmed with the lab — the coarse-fragment correction may be wrong or doubled. ","")&amp;IF(LAB_BULK_DENSITY_BASIS="Not confirmed","No lab bulk-density basis is on file in Settings (LAB_BULK_DENSITY_BASIS), so nothing checks this row. ","")&amp;IF(AND($L535&lt;&gt;"",LAB_BULK_DENSITY_BASIS&lt;&gt;"Not confirmed",$L535&lt;&gt;LAB_BULK_DENSITY_BASIS),"This row's bulk-density basis disagrees with the lab method on file. One of "&amp;"the two is wrong, and the coarse-fragment correction follows the row. ","")&amp;IF(AND(ISNUMBER($M535),OR($M535&lt;QC_BD_MIN,$M535&gt;QC_BD_MAX)),"Bulk density outside the plausible range for a mineral grassland soil. ","")&amp;IF(AND(ISNUMBER($N535),$N535&gt;QC_CARBON_PCT_MAX),"Organic carbon above the QC ceiling — check units, and whether this is an organic horizon. ","")&amp;IF(AND(ISNUMBER($J535),$J535&lt;QC_RECOVERY_MIN),"Recovered less than the QC minimum of the depth driven — the increments may not sit where you think. Do NOT stretch them back out. ","")&amp;IF(AND(ISNUMBER($K535),$K535&gt;0,$L535="Fine earth / total volume"),"Coarse fragments recorded and the lab basis already accounts for them — no further correction applied, which is correct. ",""))</f>
        <v/>
      </c>
      <c r="T535" s="6"/>
      <c r="U535" s="9" t="n">
        <f aca="false">IF($B535="",0,IF(COUNTIFS($B$5:$B535,$B535)=1,1,0))</f>
        <v>0</v>
      </c>
    </row>
    <row r="536" customFormat="false" ht="15" hidden="false" customHeight="false" outlineLevel="0" collapsed="false">
      <c r="A536" s="6"/>
      <c r="B536" s="6"/>
      <c r="C536" s="6"/>
      <c r="D536" s="6"/>
      <c r="E536" s="6"/>
      <c r="F536" s="9" t="str">
        <f aca="false">IF(OR($D536="",$E536=""),"",$E536-$D536)</f>
        <v/>
      </c>
      <c r="G536" s="6"/>
      <c r="H536" s="6"/>
      <c r="I536" s="6"/>
      <c r="J536" s="9" t="str">
        <f aca="false">IF(OR(NOT(ISNUMBER($H536)),NOT(ISNUMBER($I536)),$H536=0),"",$I536/$H536)</f>
        <v/>
      </c>
      <c r="K536" s="6"/>
      <c r="L536" s="8"/>
      <c r="M536" s="7"/>
      <c r="N536" s="7"/>
      <c r="O536" s="9" t="str">
        <f aca="false">IF(NOT(ISNUMBER($M536)),"",IF($L536="Fine earth / fine-earth volume",$M536*(1-IF(ISNUMBER($K536),$K536,0)/100),$M536))</f>
        <v/>
      </c>
      <c r="P536" s="9" t="str">
        <f aca="false">IF(OR(NOT(ISNUMBER($O536)),NOT(ISNUMBER($N536)),NOT(ISNUMBER($F536))),"",$O536*($N536/100)*$F536*10)</f>
        <v/>
      </c>
      <c r="Q536" s="9" t="str">
        <f aca="false">IF(OR(NOT(ISNUMBER($D536)),NOT(ISNUMBER($E536))),"",MAX(0,MIN($E536,SOIL_REPORTING_DEPTH_CM)-MIN($D536,SOIL_REPORTING_DEPTH_CM)))</f>
        <v/>
      </c>
      <c r="R536" s="9" t="str">
        <f aca="false">IF(OR(NOT(ISNUMBER($O536)),NOT(ISNUMBER($N536)),NOT(ISNUMBER($Q536))),"",$O536*($N536/100)*$Q536*10)</f>
        <v/>
      </c>
      <c r="S536" s="11" t="str">
        <f aca="false">IF(AND($A536="",$B536="",$D536=""),"",IF(AND($A536&lt;&gt;"",COUNTIF('1. Plot &amp; Site Log'!$A$5:$A$64,$A536)=0),"Plot ID not in the Plot &amp; Site Log. ","")&amp;IF(AND(ISNUMBER($D536),ISNUMBER($E536),$E536&lt;=$D536),"Bottom depth is not below top depth. ","")&amp;IF($L536="Not confirmed","Bulk-density basis not confirmed with the lab — the coarse-fragment correction may be wrong or doubled. ","")&amp;IF(LAB_BULK_DENSITY_BASIS="Not confirmed","No lab bulk-density basis is on file in Settings (LAB_BULK_DENSITY_BASIS), so nothing checks this row. ","")&amp;IF(AND($L536&lt;&gt;"",LAB_BULK_DENSITY_BASIS&lt;&gt;"Not confirmed",$L536&lt;&gt;LAB_BULK_DENSITY_BASIS),"This row's bulk-density basis disagrees with the lab method on file. One of "&amp;"the two is wrong, and the coarse-fragment correction follows the row. ","")&amp;IF(AND(ISNUMBER($M536),OR($M536&lt;QC_BD_MIN,$M536&gt;QC_BD_MAX)),"Bulk density outside the plausible range for a mineral grassland soil. ","")&amp;IF(AND(ISNUMBER($N536),$N536&gt;QC_CARBON_PCT_MAX),"Organic carbon above the QC ceiling — check units, and whether this is an organic horizon. ","")&amp;IF(AND(ISNUMBER($J536),$J536&lt;QC_RECOVERY_MIN),"Recovered less than the QC minimum of the depth driven — the increments may not sit where you think. Do NOT stretch them back out. ","")&amp;IF(AND(ISNUMBER($K536),$K536&gt;0,$L536="Fine earth / total volume"),"Coarse fragments recorded and the lab basis already accounts for them — no further correction applied, which is correct. ",""))</f>
        <v/>
      </c>
      <c r="T536" s="6"/>
      <c r="U536" s="9" t="n">
        <f aca="false">IF($B536="",0,IF(COUNTIFS($B$5:$B536,$B536)=1,1,0))</f>
        <v>0</v>
      </c>
    </row>
    <row r="537" customFormat="false" ht="15" hidden="false" customHeight="false" outlineLevel="0" collapsed="false">
      <c r="A537" s="6"/>
      <c r="B537" s="6"/>
      <c r="C537" s="6"/>
      <c r="D537" s="6"/>
      <c r="E537" s="6"/>
      <c r="F537" s="9" t="str">
        <f aca="false">IF(OR($D537="",$E537=""),"",$E537-$D537)</f>
        <v/>
      </c>
      <c r="G537" s="6"/>
      <c r="H537" s="6"/>
      <c r="I537" s="6"/>
      <c r="J537" s="9" t="str">
        <f aca="false">IF(OR(NOT(ISNUMBER($H537)),NOT(ISNUMBER($I537)),$H537=0),"",$I537/$H537)</f>
        <v/>
      </c>
      <c r="K537" s="6"/>
      <c r="L537" s="8"/>
      <c r="M537" s="7"/>
      <c r="N537" s="7"/>
      <c r="O537" s="9" t="str">
        <f aca="false">IF(NOT(ISNUMBER($M537)),"",IF($L537="Fine earth / fine-earth volume",$M537*(1-IF(ISNUMBER($K537),$K537,0)/100),$M537))</f>
        <v/>
      </c>
      <c r="P537" s="9" t="str">
        <f aca="false">IF(OR(NOT(ISNUMBER($O537)),NOT(ISNUMBER($N537)),NOT(ISNUMBER($F537))),"",$O537*($N537/100)*$F537*10)</f>
        <v/>
      </c>
      <c r="Q537" s="9" t="str">
        <f aca="false">IF(OR(NOT(ISNUMBER($D537)),NOT(ISNUMBER($E537))),"",MAX(0,MIN($E537,SOIL_REPORTING_DEPTH_CM)-MIN($D537,SOIL_REPORTING_DEPTH_CM)))</f>
        <v/>
      </c>
      <c r="R537" s="9" t="str">
        <f aca="false">IF(OR(NOT(ISNUMBER($O537)),NOT(ISNUMBER($N537)),NOT(ISNUMBER($Q537))),"",$O537*($N537/100)*$Q537*10)</f>
        <v/>
      </c>
      <c r="S537" s="11" t="str">
        <f aca="false">IF(AND($A537="",$B537="",$D537=""),"",IF(AND($A537&lt;&gt;"",COUNTIF('1. Plot &amp; Site Log'!$A$5:$A$64,$A537)=0),"Plot ID not in the Plot &amp; Site Log. ","")&amp;IF(AND(ISNUMBER($D537),ISNUMBER($E537),$E537&lt;=$D537),"Bottom depth is not below top depth. ","")&amp;IF($L537="Not confirmed","Bulk-density basis not confirmed with the lab — the coarse-fragment correction may be wrong or doubled. ","")&amp;IF(LAB_BULK_DENSITY_BASIS="Not confirmed","No lab bulk-density basis is on file in Settings (LAB_BULK_DENSITY_BASIS), so nothing checks this row. ","")&amp;IF(AND($L537&lt;&gt;"",LAB_BULK_DENSITY_BASIS&lt;&gt;"Not confirmed",$L537&lt;&gt;LAB_BULK_DENSITY_BASIS),"This row's bulk-density basis disagrees with the lab method on file. One of "&amp;"the two is wrong, and the coarse-fragment correction follows the row. ","")&amp;IF(AND(ISNUMBER($M537),OR($M537&lt;QC_BD_MIN,$M537&gt;QC_BD_MAX)),"Bulk density outside the plausible range for a mineral grassland soil. ","")&amp;IF(AND(ISNUMBER($N537),$N537&gt;QC_CARBON_PCT_MAX),"Organic carbon above the QC ceiling — check units, and whether this is an organic horizon. ","")&amp;IF(AND(ISNUMBER($J537),$J537&lt;QC_RECOVERY_MIN),"Recovered less than the QC minimum of the depth driven — the increments may not sit where you think. Do NOT stretch them back out. ","")&amp;IF(AND(ISNUMBER($K537),$K537&gt;0,$L537="Fine earth / total volume"),"Coarse fragments recorded and the lab basis already accounts for them — no further correction applied, which is correct. ",""))</f>
        <v/>
      </c>
      <c r="T537" s="6"/>
      <c r="U537" s="9" t="n">
        <f aca="false">IF($B537="",0,IF(COUNTIFS($B$5:$B537,$B537)=1,1,0))</f>
        <v>0</v>
      </c>
    </row>
    <row r="538" customFormat="false" ht="15" hidden="false" customHeight="false" outlineLevel="0" collapsed="false">
      <c r="A538" s="6"/>
      <c r="B538" s="6"/>
      <c r="C538" s="6"/>
      <c r="D538" s="6"/>
      <c r="E538" s="6"/>
      <c r="F538" s="9" t="str">
        <f aca="false">IF(OR($D538="",$E538=""),"",$E538-$D538)</f>
        <v/>
      </c>
      <c r="G538" s="6"/>
      <c r="H538" s="6"/>
      <c r="I538" s="6"/>
      <c r="J538" s="9" t="str">
        <f aca="false">IF(OR(NOT(ISNUMBER($H538)),NOT(ISNUMBER($I538)),$H538=0),"",$I538/$H538)</f>
        <v/>
      </c>
      <c r="K538" s="6"/>
      <c r="L538" s="8"/>
      <c r="M538" s="7"/>
      <c r="N538" s="7"/>
      <c r="O538" s="9" t="str">
        <f aca="false">IF(NOT(ISNUMBER($M538)),"",IF($L538="Fine earth / fine-earth volume",$M538*(1-IF(ISNUMBER($K538),$K538,0)/100),$M538))</f>
        <v/>
      </c>
      <c r="P538" s="9" t="str">
        <f aca="false">IF(OR(NOT(ISNUMBER($O538)),NOT(ISNUMBER($N538)),NOT(ISNUMBER($F538))),"",$O538*($N538/100)*$F538*10)</f>
        <v/>
      </c>
      <c r="Q538" s="9" t="str">
        <f aca="false">IF(OR(NOT(ISNUMBER($D538)),NOT(ISNUMBER($E538))),"",MAX(0,MIN($E538,SOIL_REPORTING_DEPTH_CM)-MIN($D538,SOIL_REPORTING_DEPTH_CM)))</f>
        <v/>
      </c>
      <c r="R538" s="9" t="str">
        <f aca="false">IF(OR(NOT(ISNUMBER($O538)),NOT(ISNUMBER($N538)),NOT(ISNUMBER($Q538))),"",$O538*($N538/100)*$Q538*10)</f>
        <v/>
      </c>
      <c r="S538" s="11" t="str">
        <f aca="false">IF(AND($A538="",$B538="",$D538=""),"",IF(AND($A538&lt;&gt;"",COUNTIF('1. Plot &amp; Site Log'!$A$5:$A$64,$A538)=0),"Plot ID not in the Plot &amp; Site Log. ","")&amp;IF(AND(ISNUMBER($D538),ISNUMBER($E538),$E538&lt;=$D538),"Bottom depth is not below top depth. ","")&amp;IF($L538="Not confirmed","Bulk-density basis not confirmed with the lab — the coarse-fragment correction may be wrong or doubled. ","")&amp;IF(LAB_BULK_DENSITY_BASIS="Not confirmed","No lab bulk-density basis is on file in Settings (LAB_BULK_DENSITY_BASIS), so nothing checks this row. ","")&amp;IF(AND($L538&lt;&gt;"",LAB_BULK_DENSITY_BASIS&lt;&gt;"Not confirmed",$L538&lt;&gt;LAB_BULK_DENSITY_BASIS),"This row's bulk-density basis disagrees with the lab method on file. One of "&amp;"the two is wrong, and the coarse-fragment correction follows the row. ","")&amp;IF(AND(ISNUMBER($M538),OR($M538&lt;QC_BD_MIN,$M538&gt;QC_BD_MAX)),"Bulk density outside the plausible range for a mineral grassland soil. ","")&amp;IF(AND(ISNUMBER($N538),$N538&gt;QC_CARBON_PCT_MAX),"Organic carbon above the QC ceiling — check units, and whether this is an organic horizon. ","")&amp;IF(AND(ISNUMBER($J538),$J538&lt;QC_RECOVERY_MIN),"Recovered less than the QC minimum of the depth driven — the increments may not sit where you think. Do NOT stretch them back out. ","")&amp;IF(AND(ISNUMBER($K538),$K538&gt;0,$L538="Fine earth / total volume"),"Coarse fragments recorded and the lab basis already accounts for them — no further correction applied, which is correct. ",""))</f>
        <v/>
      </c>
      <c r="T538" s="6"/>
      <c r="U538" s="9" t="n">
        <f aca="false">IF($B538="",0,IF(COUNTIFS($B$5:$B538,$B538)=1,1,0))</f>
        <v>0</v>
      </c>
    </row>
    <row r="539" customFormat="false" ht="15" hidden="false" customHeight="false" outlineLevel="0" collapsed="false">
      <c r="A539" s="6"/>
      <c r="B539" s="6"/>
      <c r="C539" s="6"/>
      <c r="D539" s="6"/>
      <c r="E539" s="6"/>
      <c r="F539" s="9" t="str">
        <f aca="false">IF(OR($D539="",$E539=""),"",$E539-$D539)</f>
        <v/>
      </c>
      <c r="G539" s="6"/>
      <c r="H539" s="6"/>
      <c r="I539" s="6"/>
      <c r="J539" s="9" t="str">
        <f aca="false">IF(OR(NOT(ISNUMBER($H539)),NOT(ISNUMBER($I539)),$H539=0),"",$I539/$H539)</f>
        <v/>
      </c>
      <c r="K539" s="6"/>
      <c r="L539" s="8"/>
      <c r="M539" s="7"/>
      <c r="N539" s="7"/>
      <c r="O539" s="9" t="str">
        <f aca="false">IF(NOT(ISNUMBER($M539)),"",IF($L539="Fine earth / fine-earth volume",$M539*(1-IF(ISNUMBER($K539),$K539,0)/100),$M539))</f>
        <v/>
      </c>
      <c r="P539" s="9" t="str">
        <f aca="false">IF(OR(NOT(ISNUMBER($O539)),NOT(ISNUMBER($N539)),NOT(ISNUMBER($F539))),"",$O539*($N539/100)*$F539*10)</f>
        <v/>
      </c>
      <c r="Q539" s="9" t="str">
        <f aca="false">IF(OR(NOT(ISNUMBER($D539)),NOT(ISNUMBER($E539))),"",MAX(0,MIN($E539,SOIL_REPORTING_DEPTH_CM)-MIN($D539,SOIL_REPORTING_DEPTH_CM)))</f>
        <v/>
      </c>
      <c r="R539" s="9" t="str">
        <f aca="false">IF(OR(NOT(ISNUMBER($O539)),NOT(ISNUMBER($N539)),NOT(ISNUMBER($Q539))),"",$O539*($N539/100)*$Q539*10)</f>
        <v/>
      </c>
      <c r="S539" s="11" t="str">
        <f aca="false">IF(AND($A539="",$B539="",$D539=""),"",IF(AND($A539&lt;&gt;"",COUNTIF('1. Plot &amp; Site Log'!$A$5:$A$64,$A539)=0),"Plot ID not in the Plot &amp; Site Log. ","")&amp;IF(AND(ISNUMBER($D539),ISNUMBER($E539),$E539&lt;=$D539),"Bottom depth is not below top depth. ","")&amp;IF($L539="Not confirmed","Bulk-density basis not confirmed with the lab — the coarse-fragment correction may be wrong or doubled. ","")&amp;IF(LAB_BULK_DENSITY_BASIS="Not confirmed","No lab bulk-density basis is on file in Settings (LAB_BULK_DENSITY_BASIS), so nothing checks this row. ","")&amp;IF(AND($L539&lt;&gt;"",LAB_BULK_DENSITY_BASIS&lt;&gt;"Not confirmed",$L539&lt;&gt;LAB_BULK_DENSITY_BASIS),"This row's bulk-density basis disagrees with the lab method on file. One of "&amp;"the two is wrong, and the coarse-fragment correction follows the row. ","")&amp;IF(AND(ISNUMBER($M539),OR($M539&lt;QC_BD_MIN,$M539&gt;QC_BD_MAX)),"Bulk density outside the plausible range for a mineral grassland soil. ","")&amp;IF(AND(ISNUMBER($N539),$N539&gt;QC_CARBON_PCT_MAX),"Organic carbon above the QC ceiling — check units, and whether this is an organic horizon. ","")&amp;IF(AND(ISNUMBER($J539),$J539&lt;QC_RECOVERY_MIN),"Recovered less than the QC minimum of the depth driven — the increments may not sit where you think. Do NOT stretch them back out. ","")&amp;IF(AND(ISNUMBER($K539),$K539&gt;0,$L539="Fine earth / total volume"),"Coarse fragments recorded and the lab basis already accounts for them — no further correction applied, which is correct. ",""))</f>
        <v/>
      </c>
      <c r="T539" s="6"/>
      <c r="U539" s="9" t="n">
        <f aca="false">IF($B539="",0,IF(COUNTIFS($B$5:$B539,$B539)=1,1,0))</f>
        <v>0</v>
      </c>
    </row>
    <row r="540" customFormat="false" ht="15" hidden="false" customHeight="false" outlineLevel="0" collapsed="false">
      <c r="A540" s="6"/>
      <c r="B540" s="6"/>
      <c r="C540" s="6"/>
      <c r="D540" s="6"/>
      <c r="E540" s="6"/>
      <c r="F540" s="9" t="str">
        <f aca="false">IF(OR($D540="",$E540=""),"",$E540-$D540)</f>
        <v/>
      </c>
      <c r="G540" s="6"/>
      <c r="H540" s="6"/>
      <c r="I540" s="6"/>
      <c r="J540" s="9" t="str">
        <f aca="false">IF(OR(NOT(ISNUMBER($H540)),NOT(ISNUMBER($I540)),$H540=0),"",$I540/$H540)</f>
        <v/>
      </c>
      <c r="K540" s="6"/>
      <c r="L540" s="8"/>
      <c r="M540" s="7"/>
      <c r="N540" s="7"/>
      <c r="O540" s="9" t="str">
        <f aca="false">IF(NOT(ISNUMBER($M540)),"",IF($L540="Fine earth / fine-earth volume",$M540*(1-IF(ISNUMBER($K540),$K540,0)/100),$M540))</f>
        <v/>
      </c>
      <c r="P540" s="9" t="str">
        <f aca="false">IF(OR(NOT(ISNUMBER($O540)),NOT(ISNUMBER($N540)),NOT(ISNUMBER($F540))),"",$O540*($N540/100)*$F540*10)</f>
        <v/>
      </c>
      <c r="Q540" s="9" t="str">
        <f aca="false">IF(OR(NOT(ISNUMBER($D540)),NOT(ISNUMBER($E540))),"",MAX(0,MIN($E540,SOIL_REPORTING_DEPTH_CM)-MIN($D540,SOIL_REPORTING_DEPTH_CM)))</f>
        <v/>
      </c>
      <c r="R540" s="9" t="str">
        <f aca="false">IF(OR(NOT(ISNUMBER($O540)),NOT(ISNUMBER($N540)),NOT(ISNUMBER($Q540))),"",$O540*($N540/100)*$Q540*10)</f>
        <v/>
      </c>
      <c r="S540" s="11" t="str">
        <f aca="false">IF(AND($A540="",$B540="",$D540=""),"",IF(AND($A540&lt;&gt;"",COUNTIF('1. Plot &amp; Site Log'!$A$5:$A$64,$A540)=0),"Plot ID not in the Plot &amp; Site Log. ","")&amp;IF(AND(ISNUMBER($D540),ISNUMBER($E540),$E540&lt;=$D540),"Bottom depth is not below top depth. ","")&amp;IF($L540="Not confirmed","Bulk-density basis not confirmed with the lab — the coarse-fragment correction may be wrong or doubled. ","")&amp;IF(LAB_BULK_DENSITY_BASIS="Not confirmed","No lab bulk-density basis is on file in Settings (LAB_BULK_DENSITY_BASIS), so nothing checks this row. ","")&amp;IF(AND($L540&lt;&gt;"",LAB_BULK_DENSITY_BASIS&lt;&gt;"Not confirmed",$L540&lt;&gt;LAB_BULK_DENSITY_BASIS),"This row's bulk-density basis disagrees with the lab method on file. One of "&amp;"the two is wrong, and the coarse-fragment correction follows the row. ","")&amp;IF(AND(ISNUMBER($M540),OR($M540&lt;QC_BD_MIN,$M540&gt;QC_BD_MAX)),"Bulk density outside the plausible range for a mineral grassland soil. ","")&amp;IF(AND(ISNUMBER($N540),$N540&gt;QC_CARBON_PCT_MAX),"Organic carbon above the QC ceiling — check units, and whether this is an organic horizon. ","")&amp;IF(AND(ISNUMBER($J540),$J540&lt;QC_RECOVERY_MIN),"Recovered less than the QC minimum of the depth driven — the increments may not sit where you think. Do NOT stretch them back out. ","")&amp;IF(AND(ISNUMBER($K540),$K540&gt;0,$L540="Fine earth / total volume"),"Coarse fragments recorded and the lab basis already accounts for them — no further correction applied, which is correct. ",""))</f>
        <v/>
      </c>
      <c r="T540" s="6"/>
      <c r="U540" s="9" t="n">
        <f aca="false">IF($B540="",0,IF(COUNTIFS($B$5:$B540,$B540)=1,1,0))</f>
        <v>0</v>
      </c>
    </row>
    <row r="541" customFormat="false" ht="15" hidden="false" customHeight="false" outlineLevel="0" collapsed="false">
      <c r="A541" s="6"/>
      <c r="B541" s="6"/>
      <c r="C541" s="6"/>
      <c r="D541" s="6"/>
      <c r="E541" s="6"/>
      <c r="F541" s="9" t="str">
        <f aca="false">IF(OR($D541="",$E541=""),"",$E541-$D541)</f>
        <v/>
      </c>
      <c r="G541" s="6"/>
      <c r="H541" s="6"/>
      <c r="I541" s="6"/>
      <c r="J541" s="9" t="str">
        <f aca="false">IF(OR(NOT(ISNUMBER($H541)),NOT(ISNUMBER($I541)),$H541=0),"",$I541/$H541)</f>
        <v/>
      </c>
      <c r="K541" s="6"/>
      <c r="L541" s="8"/>
      <c r="M541" s="7"/>
      <c r="N541" s="7"/>
      <c r="O541" s="9" t="str">
        <f aca="false">IF(NOT(ISNUMBER($M541)),"",IF($L541="Fine earth / fine-earth volume",$M541*(1-IF(ISNUMBER($K541),$K541,0)/100),$M541))</f>
        <v/>
      </c>
      <c r="P541" s="9" t="str">
        <f aca="false">IF(OR(NOT(ISNUMBER($O541)),NOT(ISNUMBER($N541)),NOT(ISNUMBER($F541))),"",$O541*($N541/100)*$F541*10)</f>
        <v/>
      </c>
      <c r="Q541" s="9" t="str">
        <f aca="false">IF(OR(NOT(ISNUMBER($D541)),NOT(ISNUMBER($E541))),"",MAX(0,MIN($E541,SOIL_REPORTING_DEPTH_CM)-MIN($D541,SOIL_REPORTING_DEPTH_CM)))</f>
        <v/>
      </c>
      <c r="R541" s="9" t="str">
        <f aca="false">IF(OR(NOT(ISNUMBER($O541)),NOT(ISNUMBER($N541)),NOT(ISNUMBER($Q541))),"",$O541*($N541/100)*$Q541*10)</f>
        <v/>
      </c>
      <c r="S541" s="11" t="str">
        <f aca="false">IF(AND($A541="",$B541="",$D541=""),"",IF(AND($A541&lt;&gt;"",COUNTIF('1. Plot &amp; Site Log'!$A$5:$A$64,$A541)=0),"Plot ID not in the Plot &amp; Site Log. ","")&amp;IF(AND(ISNUMBER($D541),ISNUMBER($E541),$E541&lt;=$D541),"Bottom depth is not below top depth. ","")&amp;IF($L541="Not confirmed","Bulk-density basis not confirmed with the lab — the coarse-fragment correction may be wrong or doubled. ","")&amp;IF(LAB_BULK_DENSITY_BASIS="Not confirmed","No lab bulk-density basis is on file in Settings (LAB_BULK_DENSITY_BASIS), so nothing checks this row. ","")&amp;IF(AND($L541&lt;&gt;"",LAB_BULK_DENSITY_BASIS&lt;&gt;"Not confirmed",$L541&lt;&gt;LAB_BULK_DENSITY_BASIS),"This row's bulk-density basis disagrees with the lab method on file. One of "&amp;"the two is wrong, and the coarse-fragment correction follows the row. ","")&amp;IF(AND(ISNUMBER($M541),OR($M541&lt;QC_BD_MIN,$M541&gt;QC_BD_MAX)),"Bulk density outside the plausible range for a mineral grassland soil. ","")&amp;IF(AND(ISNUMBER($N541),$N541&gt;QC_CARBON_PCT_MAX),"Organic carbon above the QC ceiling — check units, and whether this is an organic horizon. ","")&amp;IF(AND(ISNUMBER($J541),$J541&lt;QC_RECOVERY_MIN),"Recovered less than the QC minimum of the depth driven — the increments may not sit where you think. Do NOT stretch them back out. ","")&amp;IF(AND(ISNUMBER($K541),$K541&gt;0,$L541="Fine earth / total volume"),"Coarse fragments recorded and the lab basis already accounts for them — no further correction applied, which is correct. ",""))</f>
        <v/>
      </c>
      <c r="T541" s="6"/>
      <c r="U541" s="9" t="n">
        <f aca="false">IF($B541="",0,IF(COUNTIFS($B$5:$B541,$B541)=1,1,0))</f>
        <v>0</v>
      </c>
    </row>
    <row r="542" customFormat="false" ht="15" hidden="false" customHeight="false" outlineLevel="0" collapsed="false">
      <c r="A542" s="6"/>
      <c r="B542" s="6"/>
      <c r="C542" s="6"/>
      <c r="D542" s="6"/>
      <c r="E542" s="6"/>
      <c r="F542" s="9" t="str">
        <f aca="false">IF(OR($D542="",$E542=""),"",$E542-$D542)</f>
        <v/>
      </c>
      <c r="G542" s="6"/>
      <c r="H542" s="6"/>
      <c r="I542" s="6"/>
      <c r="J542" s="9" t="str">
        <f aca="false">IF(OR(NOT(ISNUMBER($H542)),NOT(ISNUMBER($I542)),$H542=0),"",$I542/$H542)</f>
        <v/>
      </c>
      <c r="K542" s="6"/>
      <c r="L542" s="8"/>
      <c r="M542" s="7"/>
      <c r="N542" s="7"/>
      <c r="O542" s="9" t="str">
        <f aca="false">IF(NOT(ISNUMBER($M542)),"",IF($L542="Fine earth / fine-earth volume",$M542*(1-IF(ISNUMBER($K542),$K542,0)/100),$M542))</f>
        <v/>
      </c>
      <c r="P542" s="9" t="str">
        <f aca="false">IF(OR(NOT(ISNUMBER($O542)),NOT(ISNUMBER($N542)),NOT(ISNUMBER($F542))),"",$O542*($N542/100)*$F542*10)</f>
        <v/>
      </c>
      <c r="Q542" s="9" t="str">
        <f aca="false">IF(OR(NOT(ISNUMBER($D542)),NOT(ISNUMBER($E542))),"",MAX(0,MIN($E542,SOIL_REPORTING_DEPTH_CM)-MIN($D542,SOIL_REPORTING_DEPTH_CM)))</f>
        <v/>
      </c>
      <c r="R542" s="9" t="str">
        <f aca="false">IF(OR(NOT(ISNUMBER($O542)),NOT(ISNUMBER($N542)),NOT(ISNUMBER($Q542))),"",$O542*($N542/100)*$Q542*10)</f>
        <v/>
      </c>
      <c r="S542" s="11" t="str">
        <f aca="false">IF(AND($A542="",$B542="",$D542=""),"",IF(AND($A542&lt;&gt;"",COUNTIF('1. Plot &amp; Site Log'!$A$5:$A$64,$A542)=0),"Plot ID not in the Plot &amp; Site Log. ","")&amp;IF(AND(ISNUMBER($D542),ISNUMBER($E542),$E542&lt;=$D542),"Bottom depth is not below top depth. ","")&amp;IF($L542="Not confirmed","Bulk-density basis not confirmed with the lab — the coarse-fragment correction may be wrong or doubled. ","")&amp;IF(LAB_BULK_DENSITY_BASIS="Not confirmed","No lab bulk-density basis is on file in Settings (LAB_BULK_DENSITY_BASIS), so nothing checks this row. ","")&amp;IF(AND($L542&lt;&gt;"",LAB_BULK_DENSITY_BASIS&lt;&gt;"Not confirmed",$L542&lt;&gt;LAB_BULK_DENSITY_BASIS),"This row's bulk-density basis disagrees with the lab method on file. One of "&amp;"the two is wrong, and the coarse-fragment correction follows the row. ","")&amp;IF(AND(ISNUMBER($M542),OR($M542&lt;QC_BD_MIN,$M542&gt;QC_BD_MAX)),"Bulk density outside the plausible range for a mineral grassland soil. ","")&amp;IF(AND(ISNUMBER($N542),$N542&gt;QC_CARBON_PCT_MAX),"Organic carbon above the QC ceiling — check units, and whether this is an organic horizon. ","")&amp;IF(AND(ISNUMBER($J542),$J542&lt;QC_RECOVERY_MIN),"Recovered less than the QC minimum of the depth driven — the increments may not sit where you think. Do NOT stretch them back out. ","")&amp;IF(AND(ISNUMBER($K542),$K542&gt;0,$L542="Fine earth / total volume"),"Coarse fragments recorded and the lab basis already accounts for them — no further correction applied, which is correct. ",""))</f>
        <v/>
      </c>
      <c r="T542" s="6"/>
      <c r="U542" s="9" t="n">
        <f aca="false">IF($B542="",0,IF(COUNTIFS($B$5:$B542,$B542)=1,1,0))</f>
        <v>0</v>
      </c>
    </row>
    <row r="543" customFormat="false" ht="15" hidden="false" customHeight="false" outlineLevel="0" collapsed="false">
      <c r="A543" s="6"/>
      <c r="B543" s="6"/>
      <c r="C543" s="6"/>
      <c r="D543" s="6"/>
      <c r="E543" s="6"/>
      <c r="F543" s="9" t="str">
        <f aca="false">IF(OR($D543="",$E543=""),"",$E543-$D543)</f>
        <v/>
      </c>
      <c r="G543" s="6"/>
      <c r="H543" s="6"/>
      <c r="I543" s="6"/>
      <c r="J543" s="9" t="str">
        <f aca="false">IF(OR(NOT(ISNUMBER($H543)),NOT(ISNUMBER($I543)),$H543=0),"",$I543/$H543)</f>
        <v/>
      </c>
      <c r="K543" s="6"/>
      <c r="L543" s="8"/>
      <c r="M543" s="7"/>
      <c r="N543" s="7"/>
      <c r="O543" s="9" t="str">
        <f aca="false">IF(NOT(ISNUMBER($M543)),"",IF($L543="Fine earth / fine-earth volume",$M543*(1-IF(ISNUMBER($K543),$K543,0)/100),$M543))</f>
        <v/>
      </c>
      <c r="P543" s="9" t="str">
        <f aca="false">IF(OR(NOT(ISNUMBER($O543)),NOT(ISNUMBER($N543)),NOT(ISNUMBER($F543))),"",$O543*($N543/100)*$F543*10)</f>
        <v/>
      </c>
      <c r="Q543" s="9" t="str">
        <f aca="false">IF(OR(NOT(ISNUMBER($D543)),NOT(ISNUMBER($E543))),"",MAX(0,MIN($E543,SOIL_REPORTING_DEPTH_CM)-MIN($D543,SOIL_REPORTING_DEPTH_CM)))</f>
        <v/>
      </c>
      <c r="R543" s="9" t="str">
        <f aca="false">IF(OR(NOT(ISNUMBER($O543)),NOT(ISNUMBER($N543)),NOT(ISNUMBER($Q543))),"",$O543*($N543/100)*$Q543*10)</f>
        <v/>
      </c>
      <c r="S543" s="11" t="str">
        <f aca="false">IF(AND($A543="",$B543="",$D543=""),"",IF(AND($A543&lt;&gt;"",COUNTIF('1. Plot &amp; Site Log'!$A$5:$A$64,$A543)=0),"Plot ID not in the Plot &amp; Site Log. ","")&amp;IF(AND(ISNUMBER($D543),ISNUMBER($E543),$E543&lt;=$D543),"Bottom depth is not below top depth. ","")&amp;IF($L543="Not confirmed","Bulk-density basis not confirmed with the lab — the coarse-fragment correction may be wrong or doubled. ","")&amp;IF(LAB_BULK_DENSITY_BASIS="Not confirmed","No lab bulk-density basis is on file in Settings (LAB_BULK_DENSITY_BASIS), so nothing checks this row. ","")&amp;IF(AND($L543&lt;&gt;"",LAB_BULK_DENSITY_BASIS&lt;&gt;"Not confirmed",$L543&lt;&gt;LAB_BULK_DENSITY_BASIS),"This row's bulk-density basis disagrees with the lab method on file. One of "&amp;"the two is wrong, and the coarse-fragment correction follows the row. ","")&amp;IF(AND(ISNUMBER($M543),OR($M543&lt;QC_BD_MIN,$M543&gt;QC_BD_MAX)),"Bulk density outside the plausible range for a mineral grassland soil. ","")&amp;IF(AND(ISNUMBER($N543),$N543&gt;QC_CARBON_PCT_MAX),"Organic carbon above the QC ceiling — check units, and whether this is an organic horizon. ","")&amp;IF(AND(ISNUMBER($J543),$J543&lt;QC_RECOVERY_MIN),"Recovered less than the QC minimum of the depth driven — the increments may not sit where you think. Do NOT stretch them back out. ","")&amp;IF(AND(ISNUMBER($K543),$K543&gt;0,$L543="Fine earth / total volume"),"Coarse fragments recorded and the lab basis already accounts for them — no further correction applied, which is correct. ",""))</f>
        <v/>
      </c>
      <c r="T543" s="6"/>
      <c r="U543" s="9" t="n">
        <f aca="false">IF($B543="",0,IF(COUNTIFS($B$5:$B543,$B543)=1,1,0))</f>
        <v>0</v>
      </c>
    </row>
    <row r="544" customFormat="false" ht="15" hidden="false" customHeight="false" outlineLevel="0" collapsed="false">
      <c r="A544" s="6"/>
      <c r="B544" s="6"/>
      <c r="C544" s="6"/>
      <c r="D544" s="6"/>
      <c r="E544" s="6"/>
      <c r="F544" s="9" t="str">
        <f aca="false">IF(OR($D544="",$E544=""),"",$E544-$D544)</f>
        <v/>
      </c>
      <c r="G544" s="6"/>
      <c r="H544" s="6"/>
      <c r="I544" s="6"/>
      <c r="J544" s="9" t="str">
        <f aca="false">IF(OR(NOT(ISNUMBER($H544)),NOT(ISNUMBER($I544)),$H544=0),"",$I544/$H544)</f>
        <v/>
      </c>
      <c r="K544" s="6"/>
      <c r="L544" s="8"/>
      <c r="M544" s="7"/>
      <c r="N544" s="7"/>
      <c r="O544" s="9" t="str">
        <f aca="false">IF(NOT(ISNUMBER($M544)),"",IF($L544="Fine earth / fine-earth volume",$M544*(1-IF(ISNUMBER($K544),$K544,0)/100),$M544))</f>
        <v/>
      </c>
      <c r="P544" s="9" t="str">
        <f aca="false">IF(OR(NOT(ISNUMBER($O544)),NOT(ISNUMBER($N544)),NOT(ISNUMBER($F544))),"",$O544*($N544/100)*$F544*10)</f>
        <v/>
      </c>
      <c r="Q544" s="9" t="str">
        <f aca="false">IF(OR(NOT(ISNUMBER($D544)),NOT(ISNUMBER($E544))),"",MAX(0,MIN($E544,SOIL_REPORTING_DEPTH_CM)-MIN($D544,SOIL_REPORTING_DEPTH_CM)))</f>
        <v/>
      </c>
      <c r="R544" s="9" t="str">
        <f aca="false">IF(OR(NOT(ISNUMBER($O544)),NOT(ISNUMBER($N544)),NOT(ISNUMBER($Q544))),"",$O544*($N544/100)*$Q544*10)</f>
        <v/>
      </c>
      <c r="S544" s="11" t="str">
        <f aca="false">IF(AND($A544="",$B544="",$D544=""),"",IF(AND($A544&lt;&gt;"",COUNTIF('1. Plot &amp; Site Log'!$A$5:$A$64,$A544)=0),"Plot ID not in the Plot &amp; Site Log. ","")&amp;IF(AND(ISNUMBER($D544),ISNUMBER($E544),$E544&lt;=$D544),"Bottom depth is not below top depth. ","")&amp;IF($L544="Not confirmed","Bulk-density basis not confirmed with the lab — the coarse-fragment correction may be wrong or doubled. ","")&amp;IF(LAB_BULK_DENSITY_BASIS="Not confirmed","No lab bulk-density basis is on file in Settings (LAB_BULK_DENSITY_BASIS), so nothing checks this row. ","")&amp;IF(AND($L544&lt;&gt;"",LAB_BULK_DENSITY_BASIS&lt;&gt;"Not confirmed",$L544&lt;&gt;LAB_BULK_DENSITY_BASIS),"This row's bulk-density basis disagrees with the lab method on file. One of "&amp;"the two is wrong, and the coarse-fragment correction follows the row. ","")&amp;IF(AND(ISNUMBER($M544),OR($M544&lt;QC_BD_MIN,$M544&gt;QC_BD_MAX)),"Bulk density outside the plausible range for a mineral grassland soil. ","")&amp;IF(AND(ISNUMBER($N544),$N544&gt;QC_CARBON_PCT_MAX),"Organic carbon above the QC ceiling — check units, and whether this is an organic horizon. ","")&amp;IF(AND(ISNUMBER($J544),$J544&lt;QC_RECOVERY_MIN),"Recovered less than the QC minimum of the depth driven — the increments may not sit where you think. Do NOT stretch them back out. ","")&amp;IF(AND(ISNUMBER($K544),$K544&gt;0,$L544="Fine earth / total volume"),"Coarse fragments recorded and the lab basis already accounts for them — no further correction applied, which is correct. ",""))</f>
        <v/>
      </c>
      <c r="T544" s="6"/>
      <c r="U544" s="9" t="n">
        <f aca="false">IF($B544="",0,IF(COUNTIFS($B$5:$B544,$B544)=1,1,0))</f>
        <v>0</v>
      </c>
    </row>
    <row r="545" customFormat="false" ht="15" hidden="false" customHeight="false" outlineLevel="0" collapsed="false">
      <c r="A545" s="6"/>
      <c r="B545" s="6"/>
      <c r="C545" s="6"/>
      <c r="D545" s="6"/>
      <c r="E545" s="6"/>
      <c r="F545" s="9" t="str">
        <f aca="false">IF(OR($D545="",$E545=""),"",$E545-$D545)</f>
        <v/>
      </c>
      <c r="G545" s="6"/>
      <c r="H545" s="6"/>
      <c r="I545" s="6"/>
      <c r="J545" s="9" t="str">
        <f aca="false">IF(OR(NOT(ISNUMBER($H545)),NOT(ISNUMBER($I545)),$H545=0),"",$I545/$H545)</f>
        <v/>
      </c>
      <c r="K545" s="6"/>
      <c r="L545" s="8"/>
      <c r="M545" s="7"/>
      <c r="N545" s="7"/>
      <c r="O545" s="9" t="str">
        <f aca="false">IF(NOT(ISNUMBER($M545)),"",IF($L545="Fine earth / fine-earth volume",$M545*(1-IF(ISNUMBER($K545),$K545,0)/100),$M545))</f>
        <v/>
      </c>
      <c r="P545" s="9" t="str">
        <f aca="false">IF(OR(NOT(ISNUMBER($O545)),NOT(ISNUMBER($N545)),NOT(ISNUMBER($F545))),"",$O545*($N545/100)*$F545*10)</f>
        <v/>
      </c>
      <c r="Q545" s="9" t="str">
        <f aca="false">IF(OR(NOT(ISNUMBER($D545)),NOT(ISNUMBER($E545))),"",MAX(0,MIN($E545,SOIL_REPORTING_DEPTH_CM)-MIN($D545,SOIL_REPORTING_DEPTH_CM)))</f>
        <v/>
      </c>
      <c r="R545" s="9" t="str">
        <f aca="false">IF(OR(NOT(ISNUMBER($O545)),NOT(ISNUMBER($N545)),NOT(ISNUMBER($Q545))),"",$O545*($N545/100)*$Q545*10)</f>
        <v/>
      </c>
      <c r="S545" s="11" t="str">
        <f aca="false">IF(AND($A545="",$B545="",$D545=""),"",IF(AND($A545&lt;&gt;"",COUNTIF('1. Plot &amp; Site Log'!$A$5:$A$64,$A545)=0),"Plot ID not in the Plot &amp; Site Log. ","")&amp;IF(AND(ISNUMBER($D545),ISNUMBER($E545),$E545&lt;=$D545),"Bottom depth is not below top depth. ","")&amp;IF($L545="Not confirmed","Bulk-density basis not confirmed with the lab — the coarse-fragment correction may be wrong or doubled. ","")&amp;IF(LAB_BULK_DENSITY_BASIS="Not confirmed","No lab bulk-density basis is on file in Settings (LAB_BULK_DENSITY_BASIS), so nothing checks this row. ","")&amp;IF(AND($L545&lt;&gt;"",LAB_BULK_DENSITY_BASIS&lt;&gt;"Not confirmed",$L545&lt;&gt;LAB_BULK_DENSITY_BASIS),"This row's bulk-density basis disagrees with the lab method on file. One of "&amp;"the two is wrong, and the coarse-fragment correction follows the row. ","")&amp;IF(AND(ISNUMBER($M545),OR($M545&lt;QC_BD_MIN,$M545&gt;QC_BD_MAX)),"Bulk density outside the plausible range for a mineral grassland soil. ","")&amp;IF(AND(ISNUMBER($N545),$N545&gt;QC_CARBON_PCT_MAX),"Organic carbon above the QC ceiling — check units, and whether this is an organic horizon. ","")&amp;IF(AND(ISNUMBER($J545),$J545&lt;QC_RECOVERY_MIN),"Recovered less than the QC minimum of the depth driven — the increments may not sit where you think. Do NOT stretch them back out. ","")&amp;IF(AND(ISNUMBER($K545),$K545&gt;0,$L545="Fine earth / total volume"),"Coarse fragments recorded and the lab basis already accounts for them — no further correction applied, which is correct. ",""))</f>
        <v/>
      </c>
      <c r="T545" s="6"/>
      <c r="U545" s="9" t="n">
        <f aca="false">IF($B545="",0,IF(COUNTIFS($B$5:$B545,$B545)=1,1,0))</f>
        <v>0</v>
      </c>
    </row>
    <row r="546" customFormat="false" ht="15" hidden="false" customHeight="false" outlineLevel="0" collapsed="false">
      <c r="A546" s="6"/>
      <c r="B546" s="6"/>
      <c r="C546" s="6"/>
      <c r="D546" s="6"/>
      <c r="E546" s="6"/>
      <c r="F546" s="9" t="str">
        <f aca="false">IF(OR($D546="",$E546=""),"",$E546-$D546)</f>
        <v/>
      </c>
      <c r="G546" s="6"/>
      <c r="H546" s="6"/>
      <c r="I546" s="6"/>
      <c r="J546" s="9" t="str">
        <f aca="false">IF(OR(NOT(ISNUMBER($H546)),NOT(ISNUMBER($I546)),$H546=0),"",$I546/$H546)</f>
        <v/>
      </c>
      <c r="K546" s="6"/>
      <c r="L546" s="8"/>
      <c r="M546" s="7"/>
      <c r="N546" s="7"/>
      <c r="O546" s="9" t="str">
        <f aca="false">IF(NOT(ISNUMBER($M546)),"",IF($L546="Fine earth / fine-earth volume",$M546*(1-IF(ISNUMBER($K546),$K546,0)/100),$M546))</f>
        <v/>
      </c>
      <c r="P546" s="9" t="str">
        <f aca="false">IF(OR(NOT(ISNUMBER($O546)),NOT(ISNUMBER($N546)),NOT(ISNUMBER($F546))),"",$O546*($N546/100)*$F546*10)</f>
        <v/>
      </c>
      <c r="Q546" s="9" t="str">
        <f aca="false">IF(OR(NOT(ISNUMBER($D546)),NOT(ISNUMBER($E546))),"",MAX(0,MIN($E546,SOIL_REPORTING_DEPTH_CM)-MIN($D546,SOIL_REPORTING_DEPTH_CM)))</f>
        <v/>
      </c>
      <c r="R546" s="9" t="str">
        <f aca="false">IF(OR(NOT(ISNUMBER($O546)),NOT(ISNUMBER($N546)),NOT(ISNUMBER($Q546))),"",$O546*($N546/100)*$Q546*10)</f>
        <v/>
      </c>
      <c r="S546" s="11" t="str">
        <f aca="false">IF(AND($A546="",$B546="",$D546=""),"",IF(AND($A546&lt;&gt;"",COUNTIF('1. Plot &amp; Site Log'!$A$5:$A$64,$A546)=0),"Plot ID not in the Plot &amp; Site Log. ","")&amp;IF(AND(ISNUMBER($D546),ISNUMBER($E546),$E546&lt;=$D546),"Bottom depth is not below top depth. ","")&amp;IF($L546="Not confirmed","Bulk-density basis not confirmed with the lab — the coarse-fragment correction may be wrong or doubled. ","")&amp;IF(LAB_BULK_DENSITY_BASIS="Not confirmed","No lab bulk-density basis is on file in Settings (LAB_BULK_DENSITY_BASIS), so nothing checks this row. ","")&amp;IF(AND($L546&lt;&gt;"",LAB_BULK_DENSITY_BASIS&lt;&gt;"Not confirmed",$L546&lt;&gt;LAB_BULK_DENSITY_BASIS),"This row's bulk-density basis disagrees with the lab method on file. One of "&amp;"the two is wrong, and the coarse-fragment correction follows the row. ","")&amp;IF(AND(ISNUMBER($M546),OR($M546&lt;QC_BD_MIN,$M546&gt;QC_BD_MAX)),"Bulk density outside the plausible range for a mineral grassland soil. ","")&amp;IF(AND(ISNUMBER($N546),$N546&gt;QC_CARBON_PCT_MAX),"Organic carbon above the QC ceiling — check units, and whether this is an organic horizon. ","")&amp;IF(AND(ISNUMBER($J546),$J546&lt;QC_RECOVERY_MIN),"Recovered less than the QC minimum of the depth driven — the increments may not sit where you think. Do NOT stretch them back out. ","")&amp;IF(AND(ISNUMBER($K546),$K546&gt;0,$L546="Fine earth / total volume"),"Coarse fragments recorded and the lab basis already accounts for them — no further correction applied, which is correct. ",""))</f>
        <v/>
      </c>
      <c r="T546" s="6"/>
      <c r="U546" s="9" t="n">
        <f aca="false">IF($B546="",0,IF(COUNTIFS($B$5:$B546,$B546)=1,1,0))</f>
        <v>0</v>
      </c>
    </row>
    <row r="547" customFormat="false" ht="15" hidden="false" customHeight="false" outlineLevel="0" collapsed="false">
      <c r="A547" s="6"/>
      <c r="B547" s="6"/>
      <c r="C547" s="6"/>
      <c r="D547" s="6"/>
      <c r="E547" s="6"/>
      <c r="F547" s="9" t="str">
        <f aca="false">IF(OR($D547="",$E547=""),"",$E547-$D547)</f>
        <v/>
      </c>
      <c r="G547" s="6"/>
      <c r="H547" s="6"/>
      <c r="I547" s="6"/>
      <c r="J547" s="9" t="str">
        <f aca="false">IF(OR(NOT(ISNUMBER($H547)),NOT(ISNUMBER($I547)),$H547=0),"",$I547/$H547)</f>
        <v/>
      </c>
      <c r="K547" s="6"/>
      <c r="L547" s="8"/>
      <c r="M547" s="7"/>
      <c r="N547" s="7"/>
      <c r="O547" s="9" t="str">
        <f aca="false">IF(NOT(ISNUMBER($M547)),"",IF($L547="Fine earth / fine-earth volume",$M547*(1-IF(ISNUMBER($K547),$K547,0)/100),$M547))</f>
        <v/>
      </c>
      <c r="P547" s="9" t="str">
        <f aca="false">IF(OR(NOT(ISNUMBER($O547)),NOT(ISNUMBER($N547)),NOT(ISNUMBER($F547))),"",$O547*($N547/100)*$F547*10)</f>
        <v/>
      </c>
      <c r="Q547" s="9" t="str">
        <f aca="false">IF(OR(NOT(ISNUMBER($D547)),NOT(ISNUMBER($E547))),"",MAX(0,MIN($E547,SOIL_REPORTING_DEPTH_CM)-MIN($D547,SOIL_REPORTING_DEPTH_CM)))</f>
        <v/>
      </c>
      <c r="R547" s="9" t="str">
        <f aca="false">IF(OR(NOT(ISNUMBER($O547)),NOT(ISNUMBER($N547)),NOT(ISNUMBER($Q547))),"",$O547*($N547/100)*$Q547*10)</f>
        <v/>
      </c>
      <c r="S547" s="11" t="str">
        <f aca="false">IF(AND($A547="",$B547="",$D547=""),"",IF(AND($A547&lt;&gt;"",COUNTIF('1. Plot &amp; Site Log'!$A$5:$A$64,$A547)=0),"Plot ID not in the Plot &amp; Site Log. ","")&amp;IF(AND(ISNUMBER($D547),ISNUMBER($E547),$E547&lt;=$D547),"Bottom depth is not below top depth. ","")&amp;IF($L547="Not confirmed","Bulk-density basis not confirmed with the lab — the coarse-fragment correction may be wrong or doubled. ","")&amp;IF(LAB_BULK_DENSITY_BASIS="Not confirmed","No lab bulk-density basis is on file in Settings (LAB_BULK_DENSITY_BASIS), so nothing checks this row. ","")&amp;IF(AND($L547&lt;&gt;"",LAB_BULK_DENSITY_BASIS&lt;&gt;"Not confirmed",$L547&lt;&gt;LAB_BULK_DENSITY_BASIS),"This row's bulk-density basis disagrees with the lab method on file. One of "&amp;"the two is wrong, and the coarse-fragment correction follows the row. ","")&amp;IF(AND(ISNUMBER($M547),OR($M547&lt;QC_BD_MIN,$M547&gt;QC_BD_MAX)),"Bulk density outside the plausible range for a mineral grassland soil. ","")&amp;IF(AND(ISNUMBER($N547),$N547&gt;QC_CARBON_PCT_MAX),"Organic carbon above the QC ceiling — check units, and whether this is an organic horizon. ","")&amp;IF(AND(ISNUMBER($J547),$J547&lt;QC_RECOVERY_MIN),"Recovered less than the QC minimum of the depth driven — the increments may not sit where you think. Do NOT stretch them back out. ","")&amp;IF(AND(ISNUMBER($K547),$K547&gt;0,$L547="Fine earth / total volume"),"Coarse fragments recorded and the lab basis already accounts for them — no further correction applied, which is correct. ",""))</f>
        <v/>
      </c>
      <c r="T547" s="6"/>
      <c r="U547" s="9" t="n">
        <f aca="false">IF($B547="",0,IF(COUNTIFS($B$5:$B547,$B547)=1,1,0))</f>
        <v>0</v>
      </c>
    </row>
    <row r="548" customFormat="false" ht="15" hidden="false" customHeight="false" outlineLevel="0" collapsed="false">
      <c r="A548" s="6"/>
      <c r="B548" s="6"/>
      <c r="C548" s="6"/>
      <c r="D548" s="6"/>
      <c r="E548" s="6"/>
      <c r="F548" s="9" t="str">
        <f aca="false">IF(OR($D548="",$E548=""),"",$E548-$D548)</f>
        <v/>
      </c>
      <c r="G548" s="6"/>
      <c r="H548" s="6"/>
      <c r="I548" s="6"/>
      <c r="J548" s="9" t="str">
        <f aca="false">IF(OR(NOT(ISNUMBER($H548)),NOT(ISNUMBER($I548)),$H548=0),"",$I548/$H548)</f>
        <v/>
      </c>
      <c r="K548" s="6"/>
      <c r="L548" s="8"/>
      <c r="M548" s="7"/>
      <c r="N548" s="7"/>
      <c r="O548" s="9" t="str">
        <f aca="false">IF(NOT(ISNUMBER($M548)),"",IF($L548="Fine earth / fine-earth volume",$M548*(1-IF(ISNUMBER($K548),$K548,0)/100),$M548))</f>
        <v/>
      </c>
      <c r="P548" s="9" t="str">
        <f aca="false">IF(OR(NOT(ISNUMBER($O548)),NOT(ISNUMBER($N548)),NOT(ISNUMBER($F548))),"",$O548*($N548/100)*$F548*10)</f>
        <v/>
      </c>
      <c r="Q548" s="9" t="str">
        <f aca="false">IF(OR(NOT(ISNUMBER($D548)),NOT(ISNUMBER($E548))),"",MAX(0,MIN($E548,SOIL_REPORTING_DEPTH_CM)-MIN($D548,SOIL_REPORTING_DEPTH_CM)))</f>
        <v/>
      </c>
      <c r="R548" s="9" t="str">
        <f aca="false">IF(OR(NOT(ISNUMBER($O548)),NOT(ISNUMBER($N548)),NOT(ISNUMBER($Q548))),"",$O548*($N548/100)*$Q548*10)</f>
        <v/>
      </c>
      <c r="S548" s="11" t="str">
        <f aca="false">IF(AND($A548="",$B548="",$D548=""),"",IF(AND($A548&lt;&gt;"",COUNTIF('1. Plot &amp; Site Log'!$A$5:$A$64,$A548)=0),"Plot ID not in the Plot &amp; Site Log. ","")&amp;IF(AND(ISNUMBER($D548),ISNUMBER($E548),$E548&lt;=$D548),"Bottom depth is not below top depth. ","")&amp;IF($L548="Not confirmed","Bulk-density basis not confirmed with the lab — the coarse-fragment correction may be wrong or doubled. ","")&amp;IF(LAB_BULK_DENSITY_BASIS="Not confirmed","No lab bulk-density basis is on file in Settings (LAB_BULK_DENSITY_BASIS), so nothing checks this row. ","")&amp;IF(AND($L548&lt;&gt;"",LAB_BULK_DENSITY_BASIS&lt;&gt;"Not confirmed",$L548&lt;&gt;LAB_BULK_DENSITY_BASIS),"This row's bulk-density basis disagrees with the lab method on file. One of "&amp;"the two is wrong, and the coarse-fragment correction follows the row. ","")&amp;IF(AND(ISNUMBER($M548),OR($M548&lt;QC_BD_MIN,$M548&gt;QC_BD_MAX)),"Bulk density outside the plausible range for a mineral grassland soil. ","")&amp;IF(AND(ISNUMBER($N548),$N548&gt;QC_CARBON_PCT_MAX),"Organic carbon above the QC ceiling — check units, and whether this is an organic horizon. ","")&amp;IF(AND(ISNUMBER($J548),$J548&lt;QC_RECOVERY_MIN),"Recovered less than the QC minimum of the depth driven — the increments may not sit where you think. Do NOT stretch them back out. ","")&amp;IF(AND(ISNUMBER($K548),$K548&gt;0,$L548="Fine earth / total volume"),"Coarse fragments recorded and the lab basis already accounts for them — no further correction applied, which is correct. ",""))</f>
        <v/>
      </c>
      <c r="T548" s="6"/>
      <c r="U548" s="9" t="n">
        <f aca="false">IF($B548="",0,IF(COUNTIFS($B$5:$B548,$B548)=1,1,0))</f>
        <v>0</v>
      </c>
    </row>
    <row r="549" customFormat="false" ht="15" hidden="false" customHeight="false" outlineLevel="0" collapsed="false">
      <c r="A549" s="6"/>
      <c r="B549" s="6"/>
      <c r="C549" s="6"/>
      <c r="D549" s="6"/>
      <c r="E549" s="6"/>
      <c r="F549" s="9" t="str">
        <f aca="false">IF(OR($D549="",$E549=""),"",$E549-$D549)</f>
        <v/>
      </c>
      <c r="G549" s="6"/>
      <c r="H549" s="6"/>
      <c r="I549" s="6"/>
      <c r="J549" s="9" t="str">
        <f aca="false">IF(OR(NOT(ISNUMBER($H549)),NOT(ISNUMBER($I549)),$H549=0),"",$I549/$H549)</f>
        <v/>
      </c>
      <c r="K549" s="6"/>
      <c r="L549" s="8"/>
      <c r="M549" s="7"/>
      <c r="N549" s="7"/>
      <c r="O549" s="9" t="str">
        <f aca="false">IF(NOT(ISNUMBER($M549)),"",IF($L549="Fine earth / fine-earth volume",$M549*(1-IF(ISNUMBER($K549),$K549,0)/100),$M549))</f>
        <v/>
      </c>
      <c r="P549" s="9" t="str">
        <f aca="false">IF(OR(NOT(ISNUMBER($O549)),NOT(ISNUMBER($N549)),NOT(ISNUMBER($F549))),"",$O549*($N549/100)*$F549*10)</f>
        <v/>
      </c>
      <c r="Q549" s="9" t="str">
        <f aca="false">IF(OR(NOT(ISNUMBER($D549)),NOT(ISNUMBER($E549))),"",MAX(0,MIN($E549,SOIL_REPORTING_DEPTH_CM)-MIN($D549,SOIL_REPORTING_DEPTH_CM)))</f>
        <v/>
      </c>
      <c r="R549" s="9" t="str">
        <f aca="false">IF(OR(NOT(ISNUMBER($O549)),NOT(ISNUMBER($N549)),NOT(ISNUMBER($Q549))),"",$O549*($N549/100)*$Q549*10)</f>
        <v/>
      </c>
      <c r="S549" s="11" t="str">
        <f aca="false">IF(AND($A549="",$B549="",$D549=""),"",IF(AND($A549&lt;&gt;"",COUNTIF('1. Plot &amp; Site Log'!$A$5:$A$64,$A549)=0),"Plot ID not in the Plot &amp; Site Log. ","")&amp;IF(AND(ISNUMBER($D549),ISNUMBER($E549),$E549&lt;=$D549),"Bottom depth is not below top depth. ","")&amp;IF($L549="Not confirmed","Bulk-density basis not confirmed with the lab — the coarse-fragment correction may be wrong or doubled. ","")&amp;IF(LAB_BULK_DENSITY_BASIS="Not confirmed","No lab bulk-density basis is on file in Settings (LAB_BULK_DENSITY_BASIS), so nothing checks this row. ","")&amp;IF(AND($L549&lt;&gt;"",LAB_BULK_DENSITY_BASIS&lt;&gt;"Not confirmed",$L549&lt;&gt;LAB_BULK_DENSITY_BASIS),"This row's bulk-density basis disagrees with the lab method on file. One of "&amp;"the two is wrong, and the coarse-fragment correction follows the row. ","")&amp;IF(AND(ISNUMBER($M549),OR($M549&lt;QC_BD_MIN,$M549&gt;QC_BD_MAX)),"Bulk density outside the plausible range for a mineral grassland soil. ","")&amp;IF(AND(ISNUMBER($N549),$N549&gt;QC_CARBON_PCT_MAX),"Organic carbon above the QC ceiling — check units, and whether this is an organic horizon. ","")&amp;IF(AND(ISNUMBER($J549),$J549&lt;QC_RECOVERY_MIN),"Recovered less than the QC minimum of the depth driven — the increments may not sit where you think. Do NOT stretch them back out. ","")&amp;IF(AND(ISNUMBER($K549),$K549&gt;0,$L549="Fine earth / total volume"),"Coarse fragments recorded and the lab basis already accounts for them — no further correction applied, which is correct. ",""))</f>
        <v/>
      </c>
      <c r="T549" s="6"/>
      <c r="U549" s="9" t="n">
        <f aca="false">IF($B549="",0,IF(COUNTIFS($B$5:$B549,$B549)=1,1,0))</f>
        <v>0</v>
      </c>
    </row>
    <row r="550" customFormat="false" ht="15" hidden="false" customHeight="false" outlineLevel="0" collapsed="false">
      <c r="A550" s="6"/>
      <c r="B550" s="6"/>
      <c r="C550" s="6"/>
      <c r="D550" s="6"/>
      <c r="E550" s="6"/>
      <c r="F550" s="9" t="str">
        <f aca="false">IF(OR($D550="",$E550=""),"",$E550-$D550)</f>
        <v/>
      </c>
      <c r="G550" s="6"/>
      <c r="H550" s="6"/>
      <c r="I550" s="6"/>
      <c r="J550" s="9" t="str">
        <f aca="false">IF(OR(NOT(ISNUMBER($H550)),NOT(ISNUMBER($I550)),$H550=0),"",$I550/$H550)</f>
        <v/>
      </c>
      <c r="K550" s="6"/>
      <c r="L550" s="8"/>
      <c r="M550" s="7"/>
      <c r="N550" s="7"/>
      <c r="O550" s="9" t="str">
        <f aca="false">IF(NOT(ISNUMBER($M550)),"",IF($L550="Fine earth / fine-earth volume",$M550*(1-IF(ISNUMBER($K550),$K550,0)/100),$M550))</f>
        <v/>
      </c>
      <c r="P550" s="9" t="str">
        <f aca="false">IF(OR(NOT(ISNUMBER($O550)),NOT(ISNUMBER($N550)),NOT(ISNUMBER($F550))),"",$O550*($N550/100)*$F550*10)</f>
        <v/>
      </c>
      <c r="Q550" s="9" t="str">
        <f aca="false">IF(OR(NOT(ISNUMBER($D550)),NOT(ISNUMBER($E550))),"",MAX(0,MIN($E550,SOIL_REPORTING_DEPTH_CM)-MIN($D550,SOIL_REPORTING_DEPTH_CM)))</f>
        <v/>
      </c>
      <c r="R550" s="9" t="str">
        <f aca="false">IF(OR(NOT(ISNUMBER($O550)),NOT(ISNUMBER($N550)),NOT(ISNUMBER($Q550))),"",$O550*($N550/100)*$Q550*10)</f>
        <v/>
      </c>
      <c r="S550" s="11" t="str">
        <f aca="false">IF(AND($A550="",$B550="",$D550=""),"",IF(AND($A550&lt;&gt;"",COUNTIF('1. Plot &amp; Site Log'!$A$5:$A$64,$A550)=0),"Plot ID not in the Plot &amp; Site Log. ","")&amp;IF(AND(ISNUMBER($D550),ISNUMBER($E550),$E550&lt;=$D550),"Bottom depth is not below top depth. ","")&amp;IF($L550="Not confirmed","Bulk-density basis not confirmed with the lab — the coarse-fragment correction may be wrong or doubled. ","")&amp;IF(LAB_BULK_DENSITY_BASIS="Not confirmed","No lab bulk-density basis is on file in Settings (LAB_BULK_DENSITY_BASIS), so nothing checks this row. ","")&amp;IF(AND($L550&lt;&gt;"",LAB_BULK_DENSITY_BASIS&lt;&gt;"Not confirmed",$L550&lt;&gt;LAB_BULK_DENSITY_BASIS),"This row's bulk-density basis disagrees with the lab method on file. One of "&amp;"the two is wrong, and the coarse-fragment correction follows the row. ","")&amp;IF(AND(ISNUMBER($M550),OR($M550&lt;QC_BD_MIN,$M550&gt;QC_BD_MAX)),"Bulk density outside the plausible range for a mineral grassland soil. ","")&amp;IF(AND(ISNUMBER($N550),$N550&gt;QC_CARBON_PCT_MAX),"Organic carbon above the QC ceiling — check units, and whether this is an organic horizon. ","")&amp;IF(AND(ISNUMBER($J550),$J550&lt;QC_RECOVERY_MIN),"Recovered less than the QC minimum of the depth driven — the increments may not sit where you think. Do NOT stretch them back out. ","")&amp;IF(AND(ISNUMBER($K550),$K550&gt;0,$L550="Fine earth / total volume"),"Coarse fragments recorded and the lab basis already accounts for them — no further correction applied, which is correct. ",""))</f>
        <v/>
      </c>
      <c r="T550" s="6"/>
      <c r="U550" s="9" t="n">
        <f aca="false">IF($B550="",0,IF(COUNTIFS($B$5:$B550,$B550)=1,1,0))</f>
        <v>0</v>
      </c>
    </row>
    <row r="551" customFormat="false" ht="15" hidden="false" customHeight="false" outlineLevel="0" collapsed="false">
      <c r="A551" s="6"/>
      <c r="B551" s="6"/>
      <c r="C551" s="6"/>
      <c r="D551" s="6"/>
      <c r="E551" s="6"/>
      <c r="F551" s="9" t="str">
        <f aca="false">IF(OR($D551="",$E551=""),"",$E551-$D551)</f>
        <v/>
      </c>
      <c r="G551" s="6"/>
      <c r="H551" s="6"/>
      <c r="I551" s="6"/>
      <c r="J551" s="9" t="str">
        <f aca="false">IF(OR(NOT(ISNUMBER($H551)),NOT(ISNUMBER($I551)),$H551=0),"",$I551/$H551)</f>
        <v/>
      </c>
      <c r="K551" s="6"/>
      <c r="L551" s="8"/>
      <c r="M551" s="7"/>
      <c r="N551" s="7"/>
      <c r="O551" s="9" t="str">
        <f aca="false">IF(NOT(ISNUMBER($M551)),"",IF($L551="Fine earth / fine-earth volume",$M551*(1-IF(ISNUMBER($K551),$K551,0)/100),$M551))</f>
        <v/>
      </c>
      <c r="P551" s="9" t="str">
        <f aca="false">IF(OR(NOT(ISNUMBER($O551)),NOT(ISNUMBER($N551)),NOT(ISNUMBER($F551))),"",$O551*($N551/100)*$F551*10)</f>
        <v/>
      </c>
      <c r="Q551" s="9" t="str">
        <f aca="false">IF(OR(NOT(ISNUMBER($D551)),NOT(ISNUMBER($E551))),"",MAX(0,MIN($E551,SOIL_REPORTING_DEPTH_CM)-MIN($D551,SOIL_REPORTING_DEPTH_CM)))</f>
        <v/>
      </c>
      <c r="R551" s="9" t="str">
        <f aca="false">IF(OR(NOT(ISNUMBER($O551)),NOT(ISNUMBER($N551)),NOT(ISNUMBER($Q551))),"",$O551*($N551/100)*$Q551*10)</f>
        <v/>
      </c>
      <c r="S551" s="11" t="str">
        <f aca="false">IF(AND($A551="",$B551="",$D551=""),"",IF(AND($A551&lt;&gt;"",COUNTIF('1. Plot &amp; Site Log'!$A$5:$A$64,$A551)=0),"Plot ID not in the Plot &amp; Site Log. ","")&amp;IF(AND(ISNUMBER($D551),ISNUMBER($E551),$E551&lt;=$D551),"Bottom depth is not below top depth. ","")&amp;IF($L551="Not confirmed","Bulk-density basis not confirmed with the lab — the coarse-fragment correction may be wrong or doubled. ","")&amp;IF(LAB_BULK_DENSITY_BASIS="Not confirmed","No lab bulk-density basis is on file in Settings (LAB_BULK_DENSITY_BASIS), so nothing checks this row. ","")&amp;IF(AND($L551&lt;&gt;"",LAB_BULK_DENSITY_BASIS&lt;&gt;"Not confirmed",$L551&lt;&gt;LAB_BULK_DENSITY_BASIS),"This row's bulk-density basis disagrees with the lab method on file. One of "&amp;"the two is wrong, and the coarse-fragment correction follows the row. ","")&amp;IF(AND(ISNUMBER($M551),OR($M551&lt;QC_BD_MIN,$M551&gt;QC_BD_MAX)),"Bulk density outside the plausible range for a mineral grassland soil. ","")&amp;IF(AND(ISNUMBER($N551),$N551&gt;QC_CARBON_PCT_MAX),"Organic carbon above the QC ceiling — check units, and whether this is an organic horizon. ","")&amp;IF(AND(ISNUMBER($J551),$J551&lt;QC_RECOVERY_MIN),"Recovered less than the QC minimum of the depth driven — the increments may not sit where you think. Do NOT stretch them back out. ","")&amp;IF(AND(ISNUMBER($K551),$K551&gt;0,$L551="Fine earth / total volume"),"Coarse fragments recorded and the lab basis already accounts for them — no further correction applied, which is correct. ",""))</f>
        <v/>
      </c>
      <c r="T551" s="6"/>
      <c r="U551" s="9" t="n">
        <f aca="false">IF($B551="",0,IF(COUNTIFS($B$5:$B551,$B551)=1,1,0))</f>
        <v>0</v>
      </c>
    </row>
    <row r="552" customFormat="false" ht="15" hidden="false" customHeight="false" outlineLevel="0" collapsed="false">
      <c r="A552" s="6"/>
      <c r="B552" s="6"/>
      <c r="C552" s="6"/>
      <c r="D552" s="6"/>
      <c r="E552" s="6"/>
      <c r="F552" s="9" t="str">
        <f aca="false">IF(OR($D552="",$E552=""),"",$E552-$D552)</f>
        <v/>
      </c>
      <c r="G552" s="6"/>
      <c r="H552" s="6"/>
      <c r="I552" s="6"/>
      <c r="J552" s="9" t="str">
        <f aca="false">IF(OR(NOT(ISNUMBER($H552)),NOT(ISNUMBER($I552)),$H552=0),"",$I552/$H552)</f>
        <v/>
      </c>
      <c r="K552" s="6"/>
      <c r="L552" s="8"/>
      <c r="M552" s="7"/>
      <c r="N552" s="7"/>
      <c r="O552" s="9" t="str">
        <f aca="false">IF(NOT(ISNUMBER($M552)),"",IF($L552="Fine earth / fine-earth volume",$M552*(1-IF(ISNUMBER($K552),$K552,0)/100),$M552))</f>
        <v/>
      </c>
      <c r="P552" s="9" t="str">
        <f aca="false">IF(OR(NOT(ISNUMBER($O552)),NOT(ISNUMBER($N552)),NOT(ISNUMBER($F552))),"",$O552*($N552/100)*$F552*10)</f>
        <v/>
      </c>
      <c r="Q552" s="9" t="str">
        <f aca="false">IF(OR(NOT(ISNUMBER($D552)),NOT(ISNUMBER($E552))),"",MAX(0,MIN($E552,SOIL_REPORTING_DEPTH_CM)-MIN($D552,SOIL_REPORTING_DEPTH_CM)))</f>
        <v/>
      </c>
      <c r="R552" s="9" t="str">
        <f aca="false">IF(OR(NOT(ISNUMBER($O552)),NOT(ISNUMBER($N552)),NOT(ISNUMBER($Q552))),"",$O552*($N552/100)*$Q552*10)</f>
        <v/>
      </c>
      <c r="S552" s="11" t="str">
        <f aca="false">IF(AND($A552="",$B552="",$D552=""),"",IF(AND($A552&lt;&gt;"",COUNTIF('1. Plot &amp; Site Log'!$A$5:$A$64,$A552)=0),"Plot ID not in the Plot &amp; Site Log. ","")&amp;IF(AND(ISNUMBER($D552),ISNUMBER($E552),$E552&lt;=$D552),"Bottom depth is not below top depth. ","")&amp;IF($L552="Not confirmed","Bulk-density basis not confirmed with the lab — the coarse-fragment correction may be wrong or doubled. ","")&amp;IF(LAB_BULK_DENSITY_BASIS="Not confirmed","No lab bulk-density basis is on file in Settings (LAB_BULK_DENSITY_BASIS), so nothing checks this row. ","")&amp;IF(AND($L552&lt;&gt;"",LAB_BULK_DENSITY_BASIS&lt;&gt;"Not confirmed",$L552&lt;&gt;LAB_BULK_DENSITY_BASIS),"This row's bulk-density basis disagrees with the lab method on file. One of "&amp;"the two is wrong, and the coarse-fragment correction follows the row. ","")&amp;IF(AND(ISNUMBER($M552),OR($M552&lt;QC_BD_MIN,$M552&gt;QC_BD_MAX)),"Bulk density outside the plausible range for a mineral grassland soil. ","")&amp;IF(AND(ISNUMBER($N552),$N552&gt;QC_CARBON_PCT_MAX),"Organic carbon above the QC ceiling — check units, and whether this is an organic horizon. ","")&amp;IF(AND(ISNUMBER($J552),$J552&lt;QC_RECOVERY_MIN),"Recovered less than the QC minimum of the depth driven — the increments may not sit where you think. Do NOT stretch them back out. ","")&amp;IF(AND(ISNUMBER($K552),$K552&gt;0,$L552="Fine earth / total volume"),"Coarse fragments recorded and the lab basis already accounts for them — no further correction applied, which is correct. ",""))</f>
        <v/>
      </c>
      <c r="T552" s="6"/>
      <c r="U552" s="9" t="n">
        <f aca="false">IF($B552="",0,IF(COUNTIFS($B$5:$B552,$B552)=1,1,0))</f>
        <v>0</v>
      </c>
    </row>
    <row r="553" customFormat="false" ht="15" hidden="false" customHeight="false" outlineLevel="0" collapsed="false">
      <c r="A553" s="6"/>
      <c r="B553" s="6"/>
      <c r="C553" s="6"/>
      <c r="D553" s="6"/>
      <c r="E553" s="6"/>
      <c r="F553" s="9" t="str">
        <f aca="false">IF(OR($D553="",$E553=""),"",$E553-$D553)</f>
        <v/>
      </c>
      <c r="G553" s="6"/>
      <c r="H553" s="6"/>
      <c r="I553" s="6"/>
      <c r="J553" s="9" t="str">
        <f aca="false">IF(OR(NOT(ISNUMBER($H553)),NOT(ISNUMBER($I553)),$H553=0),"",$I553/$H553)</f>
        <v/>
      </c>
      <c r="K553" s="6"/>
      <c r="L553" s="8"/>
      <c r="M553" s="7"/>
      <c r="N553" s="7"/>
      <c r="O553" s="9" t="str">
        <f aca="false">IF(NOT(ISNUMBER($M553)),"",IF($L553="Fine earth / fine-earth volume",$M553*(1-IF(ISNUMBER($K553),$K553,0)/100),$M553))</f>
        <v/>
      </c>
      <c r="P553" s="9" t="str">
        <f aca="false">IF(OR(NOT(ISNUMBER($O553)),NOT(ISNUMBER($N553)),NOT(ISNUMBER($F553))),"",$O553*($N553/100)*$F553*10)</f>
        <v/>
      </c>
      <c r="Q553" s="9" t="str">
        <f aca="false">IF(OR(NOT(ISNUMBER($D553)),NOT(ISNUMBER($E553))),"",MAX(0,MIN($E553,SOIL_REPORTING_DEPTH_CM)-MIN($D553,SOIL_REPORTING_DEPTH_CM)))</f>
        <v/>
      </c>
      <c r="R553" s="9" t="str">
        <f aca="false">IF(OR(NOT(ISNUMBER($O553)),NOT(ISNUMBER($N553)),NOT(ISNUMBER($Q553))),"",$O553*($N553/100)*$Q553*10)</f>
        <v/>
      </c>
      <c r="S553" s="11" t="str">
        <f aca="false">IF(AND($A553="",$B553="",$D553=""),"",IF(AND($A553&lt;&gt;"",COUNTIF('1. Plot &amp; Site Log'!$A$5:$A$64,$A553)=0),"Plot ID not in the Plot &amp; Site Log. ","")&amp;IF(AND(ISNUMBER($D553),ISNUMBER($E553),$E553&lt;=$D553),"Bottom depth is not below top depth. ","")&amp;IF($L553="Not confirmed","Bulk-density basis not confirmed with the lab — the coarse-fragment correction may be wrong or doubled. ","")&amp;IF(LAB_BULK_DENSITY_BASIS="Not confirmed","No lab bulk-density basis is on file in Settings (LAB_BULK_DENSITY_BASIS), so nothing checks this row. ","")&amp;IF(AND($L553&lt;&gt;"",LAB_BULK_DENSITY_BASIS&lt;&gt;"Not confirmed",$L553&lt;&gt;LAB_BULK_DENSITY_BASIS),"This row's bulk-density basis disagrees with the lab method on file. One of "&amp;"the two is wrong, and the coarse-fragment correction follows the row. ","")&amp;IF(AND(ISNUMBER($M553),OR($M553&lt;QC_BD_MIN,$M553&gt;QC_BD_MAX)),"Bulk density outside the plausible range for a mineral grassland soil. ","")&amp;IF(AND(ISNUMBER($N553),$N553&gt;QC_CARBON_PCT_MAX),"Organic carbon above the QC ceiling — check units, and whether this is an organic horizon. ","")&amp;IF(AND(ISNUMBER($J553),$J553&lt;QC_RECOVERY_MIN),"Recovered less than the QC minimum of the depth driven — the increments may not sit where you think. Do NOT stretch them back out. ","")&amp;IF(AND(ISNUMBER($K553),$K553&gt;0,$L553="Fine earth / total volume"),"Coarse fragments recorded and the lab basis already accounts for them — no further correction applied, which is correct. ",""))</f>
        <v/>
      </c>
      <c r="T553" s="6"/>
      <c r="U553" s="9" t="n">
        <f aca="false">IF($B553="",0,IF(COUNTIFS($B$5:$B553,$B553)=1,1,0))</f>
        <v>0</v>
      </c>
    </row>
    <row r="554" customFormat="false" ht="15" hidden="false" customHeight="false" outlineLevel="0" collapsed="false">
      <c r="A554" s="6"/>
      <c r="B554" s="6"/>
      <c r="C554" s="6"/>
      <c r="D554" s="6"/>
      <c r="E554" s="6"/>
      <c r="F554" s="9" t="str">
        <f aca="false">IF(OR($D554="",$E554=""),"",$E554-$D554)</f>
        <v/>
      </c>
      <c r="G554" s="6"/>
      <c r="H554" s="6"/>
      <c r="I554" s="6"/>
      <c r="J554" s="9" t="str">
        <f aca="false">IF(OR(NOT(ISNUMBER($H554)),NOT(ISNUMBER($I554)),$H554=0),"",$I554/$H554)</f>
        <v/>
      </c>
      <c r="K554" s="6"/>
      <c r="L554" s="8"/>
      <c r="M554" s="7"/>
      <c r="N554" s="7"/>
      <c r="O554" s="9" t="str">
        <f aca="false">IF(NOT(ISNUMBER($M554)),"",IF($L554="Fine earth / fine-earth volume",$M554*(1-IF(ISNUMBER($K554),$K554,0)/100),$M554))</f>
        <v/>
      </c>
      <c r="P554" s="9" t="str">
        <f aca="false">IF(OR(NOT(ISNUMBER($O554)),NOT(ISNUMBER($N554)),NOT(ISNUMBER($F554))),"",$O554*($N554/100)*$F554*10)</f>
        <v/>
      </c>
      <c r="Q554" s="9" t="str">
        <f aca="false">IF(OR(NOT(ISNUMBER($D554)),NOT(ISNUMBER($E554))),"",MAX(0,MIN($E554,SOIL_REPORTING_DEPTH_CM)-MIN($D554,SOIL_REPORTING_DEPTH_CM)))</f>
        <v/>
      </c>
      <c r="R554" s="9" t="str">
        <f aca="false">IF(OR(NOT(ISNUMBER($O554)),NOT(ISNUMBER($N554)),NOT(ISNUMBER($Q554))),"",$O554*($N554/100)*$Q554*10)</f>
        <v/>
      </c>
      <c r="S554" s="11" t="str">
        <f aca="false">IF(AND($A554="",$B554="",$D554=""),"",IF(AND($A554&lt;&gt;"",COUNTIF('1. Plot &amp; Site Log'!$A$5:$A$64,$A554)=0),"Plot ID not in the Plot &amp; Site Log. ","")&amp;IF(AND(ISNUMBER($D554),ISNUMBER($E554),$E554&lt;=$D554),"Bottom depth is not below top depth. ","")&amp;IF($L554="Not confirmed","Bulk-density basis not confirmed with the lab — the coarse-fragment correction may be wrong or doubled. ","")&amp;IF(LAB_BULK_DENSITY_BASIS="Not confirmed","No lab bulk-density basis is on file in Settings (LAB_BULK_DENSITY_BASIS), so nothing checks this row. ","")&amp;IF(AND($L554&lt;&gt;"",LAB_BULK_DENSITY_BASIS&lt;&gt;"Not confirmed",$L554&lt;&gt;LAB_BULK_DENSITY_BASIS),"This row's bulk-density basis disagrees with the lab method on file. One of "&amp;"the two is wrong, and the coarse-fragment correction follows the row. ","")&amp;IF(AND(ISNUMBER($M554),OR($M554&lt;QC_BD_MIN,$M554&gt;QC_BD_MAX)),"Bulk density outside the plausible range for a mineral grassland soil. ","")&amp;IF(AND(ISNUMBER($N554),$N554&gt;QC_CARBON_PCT_MAX),"Organic carbon above the QC ceiling — check units, and whether this is an organic horizon. ","")&amp;IF(AND(ISNUMBER($J554),$J554&lt;QC_RECOVERY_MIN),"Recovered less than the QC minimum of the depth driven — the increments may not sit where you think. Do NOT stretch them back out. ","")&amp;IF(AND(ISNUMBER($K554),$K554&gt;0,$L554="Fine earth / total volume"),"Coarse fragments recorded and the lab basis already accounts for them — no further correction applied, which is correct. ",""))</f>
        <v/>
      </c>
      <c r="T554" s="6"/>
      <c r="U554" s="9" t="n">
        <f aca="false">IF($B554="",0,IF(COUNTIFS($B$5:$B554,$B554)=1,1,0))</f>
        <v>0</v>
      </c>
    </row>
    <row r="555" customFormat="false" ht="15" hidden="false" customHeight="false" outlineLevel="0" collapsed="false">
      <c r="A555" s="6"/>
      <c r="B555" s="6"/>
      <c r="C555" s="6"/>
      <c r="D555" s="6"/>
      <c r="E555" s="6"/>
      <c r="F555" s="9" t="str">
        <f aca="false">IF(OR($D555="",$E555=""),"",$E555-$D555)</f>
        <v/>
      </c>
      <c r="G555" s="6"/>
      <c r="H555" s="6"/>
      <c r="I555" s="6"/>
      <c r="J555" s="9" t="str">
        <f aca="false">IF(OR(NOT(ISNUMBER($H555)),NOT(ISNUMBER($I555)),$H555=0),"",$I555/$H555)</f>
        <v/>
      </c>
      <c r="K555" s="6"/>
      <c r="L555" s="8"/>
      <c r="M555" s="7"/>
      <c r="N555" s="7"/>
      <c r="O555" s="9" t="str">
        <f aca="false">IF(NOT(ISNUMBER($M555)),"",IF($L555="Fine earth / fine-earth volume",$M555*(1-IF(ISNUMBER($K555),$K555,0)/100),$M555))</f>
        <v/>
      </c>
      <c r="P555" s="9" t="str">
        <f aca="false">IF(OR(NOT(ISNUMBER($O555)),NOT(ISNUMBER($N555)),NOT(ISNUMBER($F555))),"",$O555*($N555/100)*$F555*10)</f>
        <v/>
      </c>
      <c r="Q555" s="9" t="str">
        <f aca="false">IF(OR(NOT(ISNUMBER($D555)),NOT(ISNUMBER($E555))),"",MAX(0,MIN($E555,SOIL_REPORTING_DEPTH_CM)-MIN($D555,SOIL_REPORTING_DEPTH_CM)))</f>
        <v/>
      </c>
      <c r="R555" s="9" t="str">
        <f aca="false">IF(OR(NOT(ISNUMBER($O555)),NOT(ISNUMBER($N555)),NOT(ISNUMBER($Q555))),"",$O555*($N555/100)*$Q555*10)</f>
        <v/>
      </c>
      <c r="S555" s="11" t="str">
        <f aca="false">IF(AND($A555="",$B555="",$D555=""),"",IF(AND($A555&lt;&gt;"",COUNTIF('1. Plot &amp; Site Log'!$A$5:$A$64,$A555)=0),"Plot ID not in the Plot &amp; Site Log. ","")&amp;IF(AND(ISNUMBER($D555),ISNUMBER($E555),$E555&lt;=$D555),"Bottom depth is not below top depth. ","")&amp;IF($L555="Not confirmed","Bulk-density basis not confirmed with the lab — the coarse-fragment correction may be wrong or doubled. ","")&amp;IF(LAB_BULK_DENSITY_BASIS="Not confirmed","No lab bulk-density basis is on file in Settings (LAB_BULK_DENSITY_BASIS), so nothing checks this row. ","")&amp;IF(AND($L555&lt;&gt;"",LAB_BULK_DENSITY_BASIS&lt;&gt;"Not confirmed",$L555&lt;&gt;LAB_BULK_DENSITY_BASIS),"This row's bulk-density basis disagrees with the lab method on file. One of "&amp;"the two is wrong, and the coarse-fragment correction follows the row. ","")&amp;IF(AND(ISNUMBER($M555),OR($M555&lt;QC_BD_MIN,$M555&gt;QC_BD_MAX)),"Bulk density outside the plausible range for a mineral grassland soil. ","")&amp;IF(AND(ISNUMBER($N555),$N555&gt;QC_CARBON_PCT_MAX),"Organic carbon above the QC ceiling — check units, and whether this is an organic horizon. ","")&amp;IF(AND(ISNUMBER($J555),$J555&lt;QC_RECOVERY_MIN),"Recovered less than the QC minimum of the depth driven — the increments may not sit where you think. Do NOT stretch them back out. ","")&amp;IF(AND(ISNUMBER($K555),$K555&gt;0,$L555="Fine earth / total volume"),"Coarse fragments recorded and the lab basis already accounts for them — no further correction applied, which is correct. ",""))</f>
        <v/>
      </c>
      <c r="T555" s="6"/>
      <c r="U555" s="9" t="n">
        <f aca="false">IF($B555="",0,IF(COUNTIFS($B$5:$B555,$B555)=1,1,0))</f>
        <v>0</v>
      </c>
    </row>
    <row r="556" customFormat="false" ht="15" hidden="false" customHeight="false" outlineLevel="0" collapsed="false">
      <c r="A556" s="6"/>
      <c r="B556" s="6"/>
      <c r="C556" s="6"/>
      <c r="D556" s="6"/>
      <c r="E556" s="6"/>
      <c r="F556" s="9" t="str">
        <f aca="false">IF(OR($D556="",$E556=""),"",$E556-$D556)</f>
        <v/>
      </c>
      <c r="G556" s="6"/>
      <c r="H556" s="6"/>
      <c r="I556" s="6"/>
      <c r="J556" s="9" t="str">
        <f aca="false">IF(OR(NOT(ISNUMBER($H556)),NOT(ISNUMBER($I556)),$H556=0),"",$I556/$H556)</f>
        <v/>
      </c>
      <c r="K556" s="6"/>
      <c r="L556" s="8"/>
      <c r="M556" s="7"/>
      <c r="N556" s="7"/>
      <c r="O556" s="9" t="str">
        <f aca="false">IF(NOT(ISNUMBER($M556)),"",IF($L556="Fine earth / fine-earth volume",$M556*(1-IF(ISNUMBER($K556),$K556,0)/100),$M556))</f>
        <v/>
      </c>
      <c r="P556" s="9" t="str">
        <f aca="false">IF(OR(NOT(ISNUMBER($O556)),NOT(ISNUMBER($N556)),NOT(ISNUMBER($F556))),"",$O556*($N556/100)*$F556*10)</f>
        <v/>
      </c>
      <c r="Q556" s="9" t="str">
        <f aca="false">IF(OR(NOT(ISNUMBER($D556)),NOT(ISNUMBER($E556))),"",MAX(0,MIN($E556,SOIL_REPORTING_DEPTH_CM)-MIN($D556,SOIL_REPORTING_DEPTH_CM)))</f>
        <v/>
      </c>
      <c r="R556" s="9" t="str">
        <f aca="false">IF(OR(NOT(ISNUMBER($O556)),NOT(ISNUMBER($N556)),NOT(ISNUMBER($Q556))),"",$O556*($N556/100)*$Q556*10)</f>
        <v/>
      </c>
      <c r="S556" s="11" t="str">
        <f aca="false">IF(AND($A556="",$B556="",$D556=""),"",IF(AND($A556&lt;&gt;"",COUNTIF('1. Plot &amp; Site Log'!$A$5:$A$64,$A556)=0),"Plot ID not in the Plot &amp; Site Log. ","")&amp;IF(AND(ISNUMBER($D556),ISNUMBER($E556),$E556&lt;=$D556),"Bottom depth is not below top depth. ","")&amp;IF($L556="Not confirmed","Bulk-density basis not confirmed with the lab — the coarse-fragment correction may be wrong or doubled. ","")&amp;IF(LAB_BULK_DENSITY_BASIS="Not confirmed","No lab bulk-density basis is on file in Settings (LAB_BULK_DENSITY_BASIS), so nothing checks this row. ","")&amp;IF(AND($L556&lt;&gt;"",LAB_BULK_DENSITY_BASIS&lt;&gt;"Not confirmed",$L556&lt;&gt;LAB_BULK_DENSITY_BASIS),"This row's bulk-density basis disagrees with the lab method on file. One of "&amp;"the two is wrong, and the coarse-fragment correction follows the row. ","")&amp;IF(AND(ISNUMBER($M556),OR($M556&lt;QC_BD_MIN,$M556&gt;QC_BD_MAX)),"Bulk density outside the plausible range for a mineral grassland soil. ","")&amp;IF(AND(ISNUMBER($N556),$N556&gt;QC_CARBON_PCT_MAX),"Organic carbon above the QC ceiling — check units, and whether this is an organic horizon. ","")&amp;IF(AND(ISNUMBER($J556),$J556&lt;QC_RECOVERY_MIN),"Recovered less than the QC minimum of the depth driven — the increments may not sit where you think. Do NOT stretch them back out. ","")&amp;IF(AND(ISNUMBER($K556),$K556&gt;0,$L556="Fine earth / total volume"),"Coarse fragments recorded and the lab basis already accounts for them — no further correction applied, which is correct. ",""))</f>
        <v/>
      </c>
      <c r="T556" s="6"/>
      <c r="U556" s="9" t="n">
        <f aca="false">IF($B556="",0,IF(COUNTIFS($B$5:$B556,$B556)=1,1,0))</f>
        <v>0</v>
      </c>
    </row>
    <row r="557" customFormat="false" ht="15" hidden="false" customHeight="false" outlineLevel="0" collapsed="false">
      <c r="A557" s="6"/>
      <c r="B557" s="6"/>
      <c r="C557" s="6"/>
      <c r="D557" s="6"/>
      <c r="E557" s="6"/>
      <c r="F557" s="9" t="str">
        <f aca="false">IF(OR($D557="",$E557=""),"",$E557-$D557)</f>
        <v/>
      </c>
      <c r="G557" s="6"/>
      <c r="H557" s="6"/>
      <c r="I557" s="6"/>
      <c r="J557" s="9" t="str">
        <f aca="false">IF(OR(NOT(ISNUMBER($H557)),NOT(ISNUMBER($I557)),$H557=0),"",$I557/$H557)</f>
        <v/>
      </c>
      <c r="K557" s="6"/>
      <c r="L557" s="8"/>
      <c r="M557" s="7"/>
      <c r="N557" s="7"/>
      <c r="O557" s="9" t="str">
        <f aca="false">IF(NOT(ISNUMBER($M557)),"",IF($L557="Fine earth / fine-earth volume",$M557*(1-IF(ISNUMBER($K557),$K557,0)/100),$M557))</f>
        <v/>
      </c>
      <c r="P557" s="9" t="str">
        <f aca="false">IF(OR(NOT(ISNUMBER($O557)),NOT(ISNUMBER($N557)),NOT(ISNUMBER($F557))),"",$O557*($N557/100)*$F557*10)</f>
        <v/>
      </c>
      <c r="Q557" s="9" t="str">
        <f aca="false">IF(OR(NOT(ISNUMBER($D557)),NOT(ISNUMBER($E557))),"",MAX(0,MIN($E557,SOIL_REPORTING_DEPTH_CM)-MIN($D557,SOIL_REPORTING_DEPTH_CM)))</f>
        <v/>
      </c>
      <c r="R557" s="9" t="str">
        <f aca="false">IF(OR(NOT(ISNUMBER($O557)),NOT(ISNUMBER($N557)),NOT(ISNUMBER($Q557))),"",$O557*($N557/100)*$Q557*10)</f>
        <v/>
      </c>
      <c r="S557" s="11" t="str">
        <f aca="false">IF(AND($A557="",$B557="",$D557=""),"",IF(AND($A557&lt;&gt;"",COUNTIF('1. Plot &amp; Site Log'!$A$5:$A$64,$A557)=0),"Plot ID not in the Plot &amp; Site Log. ","")&amp;IF(AND(ISNUMBER($D557),ISNUMBER($E557),$E557&lt;=$D557),"Bottom depth is not below top depth. ","")&amp;IF($L557="Not confirmed","Bulk-density basis not confirmed with the lab — the coarse-fragment correction may be wrong or doubled. ","")&amp;IF(LAB_BULK_DENSITY_BASIS="Not confirmed","No lab bulk-density basis is on file in Settings (LAB_BULK_DENSITY_BASIS), so nothing checks this row. ","")&amp;IF(AND($L557&lt;&gt;"",LAB_BULK_DENSITY_BASIS&lt;&gt;"Not confirmed",$L557&lt;&gt;LAB_BULK_DENSITY_BASIS),"This row's bulk-density basis disagrees with the lab method on file. One of "&amp;"the two is wrong, and the coarse-fragment correction follows the row. ","")&amp;IF(AND(ISNUMBER($M557),OR($M557&lt;QC_BD_MIN,$M557&gt;QC_BD_MAX)),"Bulk density outside the plausible range for a mineral grassland soil. ","")&amp;IF(AND(ISNUMBER($N557),$N557&gt;QC_CARBON_PCT_MAX),"Organic carbon above the QC ceiling — check units, and whether this is an organic horizon. ","")&amp;IF(AND(ISNUMBER($J557),$J557&lt;QC_RECOVERY_MIN),"Recovered less than the QC minimum of the depth driven — the increments may not sit where you think. Do NOT stretch them back out. ","")&amp;IF(AND(ISNUMBER($K557),$K557&gt;0,$L557="Fine earth / total volume"),"Coarse fragments recorded and the lab basis already accounts for them — no further correction applied, which is correct. ",""))</f>
        <v/>
      </c>
      <c r="T557" s="6"/>
      <c r="U557" s="9" t="n">
        <f aca="false">IF($B557="",0,IF(COUNTIFS($B$5:$B557,$B557)=1,1,0))</f>
        <v>0</v>
      </c>
    </row>
    <row r="558" customFormat="false" ht="15" hidden="false" customHeight="false" outlineLevel="0" collapsed="false">
      <c r="A558" s="6"/>
      <c r="B558" s="6"/>
      <c r="C558" s="6"/>
      <c r="D558" s="6"/>
      <c r="E558" s="6"/>
      <c r="F558" s="9" t="str">
        <f aca="false">IF(OR($D558="",$E558=""),"",$E558-$D558)</f>
        <v/>
      </c>
      <c r="G558" s="6"/>
      <c r="H558" s="6"/>
      <c r="I558" s="6"/>
      <c r="J558" s="9" t="str">
        <f aca="false">IF(OR(NOT(ISNUMBER($H558)),NOT(ISNUMBER($I558)),$H558=0),"",$I558/$H558)</f>
        <v/>
      </c>
      <c r="K558" s="6"/>
      <c r="L558" s="8"/>
      <c r="M558" s="7"/>
      <c r="N558" s="7"/>
      <c r="O558" s="9" t="str">
        <f aca="false">IF(NOT(ISNUMBER($M558)),"",IF($L558="Fine earth / fine-earth volume",$M558*(1-IF(ISNUMBER($K558),$K558,0)/100),$M558))</f>
        <v/>
      </c>
      <c r="P558" s="9" t="str">
        <f aca="false">IF(OR(NOT(ISNUMBER($O558)),NOT(ISNUMBER($N558)),NOT(ISNUMBER($F558))),"",$O558*($N558/100)*$F558*10)</f>
        <v/>
      </c>
      <c r="Q558" s="9" t="str">
        <f aca="false">IF(OR(NOT(ISNUMBER($D558)),NOT(ISNUMBER($E558))),"",MAX(0,MIN($E558,SOIL_REPORTING_DEPTH_CM)-MIN($D558,SOIL_REPORTING_DEPTH_CM)))</f>
        <v/>
      </c>
      <c r="R558" s="9" t="str">
        <f aca="false">IF(OR(NOT(ISNUMBER($O558)),NOT(ISNUMBER($N558)),NOT(ISNUMBER($Q558))),"",$O558*($N558/100)*$Q558*10)</f>
        <v/>
      </c>
      <c r="S558" s="11" t="str">
        <f aca="false">IF(AND($A558="",$B558="",$D558=""),"",IF(AND($A558&lt;&gt;"",COUNTIF('1. Plot &amp; Site Log'!$A$5:$A$64,$A558)=0),"Plot ID not in the Plot &amp; Site Log. ","")&amp;IF(AND(ISNUMBER($D558),ISNUMBER($E558),$E558&lt;=$D558),"Bottom depth is not below top depth. ","")&amp;IF($L558="Not confirmed","Bulk-density basis not confirmed with the lab — the coarse-fragment correction may be wrong or doubled. ","")&amp;IF(LAB_BULK_DENSITY_BASIS="Not confirmed","No lab bulk-density basis is on file in Settings (LAB_BULK_DENSITY_BASIS), so nothing checks this row. ","")&amp;IF(AND($L558&lt;&gt;"",LAB_BULK_DENSITY_BASIS&lt;&gt;"Not confirmed",$L558&lt;&gt;LAB_BULK_DENSITY_BASIS),"This row's bulk-density basis disagrees with the lab method on file. One of "&amp;"the two is wrong, and the coarse-fragment correction follows the row. ","")&amp;IF(AND(ISNUMBER($M558),OR($M558&lt;QC_BD_MIN,$M558&gt;QC_BD_MAX)),"Bulk density outside the plausible range for a mineral grassland soil. ","")&amp;IF(AND(ISNUMBER($N558),$N558&gt;QC_CARBON_PCT_MAX),"Organic carbon above the QC ceiling — check units, and whether this is an organic horizon. ","")&amp;IF(AND(ISNUMBER($J558),$J558&lt;QC_RECOVERY_MIN),"Recovered less than the QC minimum of the depth driven — the increments may not sit where you think. Do NOT stretch them back out. ","")&amp;IF(AND(ISNUMBER($K558),$K558&gt;0,$L558="Fine earth / total volume"),"Coarse fragments recorded and the lab basis already accounts for them — no further correction applied, which is correct. ",""))</f>
        <v/>
      </c>
      <c r="T558" s="6"/>
      <c r="U558" s="9" t="n">
        <f aca="false">IF($B558="",0,IF(COUNTIFS($B$5:$B558,$B558)=1,1,0))</f>
        <v>0</v>
      </c>
    </row>
    <row r="559" customFormat="false" ht="15" hidden="false" customHeight="false" outlineLevel="0" collapsed="false">
      <c r="A559" s="6"/>
      <c r="B559" s="6"/>
      <c r="C559" s="6"/>
      <c r="D559" s="6"/>
      <c r="E559" s="6"/>
      <c r="F559" s="9" t="str">
        <f aca="false">IF(OR($D559="",$E559=""),"",$E559-$D559)</f>
        <v/>
      </c>
      <c r="G559" s="6"/>
      <c r="H559" s="6"/>
      <c r="I559" s="6"/>
      <c r="J559" s="9" t="str">
        <f aca="false">IF(OR(NOT(ISNUMBER($H559)),NOT(ISNUMBER($I559)),$H559=0),"",$I559/$H559)</f>
        <v/>
      </c>
      <c r="K559" s="6"/>
      <c r="L559" s="8"/>
      <c r="M559" s="7"/>
      <c r="N559" s="7"/>
      <c r="O559" s="9" t="str">
        <f aca="false">IF(NOT(ISNUMBER($M559)),"",IF($L559="Fine earth / fine-earth volume",$M559*(1-IF(ISNUMBER($K559),$K559,0)/100),$M559))</f>
        <v/>
      </c>
      <c r="P559" s="9" t="str">
        <f aca="false">IF(OR(NOT(ISNUMBER($O559)),NOT(ISNUMBER($N559)),NOT(ISNUMBER($F559))),"",$O559*($N559/100)*$F559*10)</f>
        <v/>
      </c>
      <c r="Q559" s="9" t="str">
        <f aca="false">IF(OR(NOT(ISNUMBER($D559)),NOT(ISNUMBER($E559))),"",MAX(0,MIN($E559,SOIL_REPORTING_DEPTH_CM)-MIN($D559,SOIL_REPORTING_DEPTH_CM)))</f>
        <v/>
      </c>
      <c r="R559" s="9" t="str">
        <f aca="false">IF(OR(NOT(ISNUMBER($O559)),NOT(ISNUMBER($N559)),NOT(ISNUMBER($Q559))),"",$O559*($N559/100)*$Q559*10)</f>
        <v/>
      </c>
      <c r="S559" s="11" t="str">
        <f aca="false">IF(AND($A559="",$B559="",$D559=""),"",IF(AND($A559&lt;&gt;"",COUNTIF('1. Plot &amp; Site Log'!$A$5:$A$64,$A559)=0),"Plot ID not in the Plot &amp; Site Log. ","")&amp;IF(AND(ISNUMBER($D559),ISNUMBER($E559),$E559&lt;=$D559),"Bottom depth is not below top depth. ","")&amp;IF($L559="Not confirmed","Bulk-density basis not confirmed with the lab — the coarse-fragment correction may be wrong or doubled. ","")&amp;IF(LAB_BULK_DENSITY_BASIS="Not confirmed","No lab bulk-density basis is on file in Settings (LAB_BULK_DENSITY_BASIS), so nothing checks this row. ","")&amp;IF(AND($L559&lt;&gt;"",LAB_BULK_DENSITY_BASIS&lt;&gt;"Not confirmed",$L559&lt;&gt;LAB_BULK_DENSITY_BASIS),"This row's bulk-density basis disagrees with the lab method on file. One of "&amp;"the two is wrong, and the coarse-fragment correction follows the row. ","")&amp;IF(AND(ISNUMBER($M559),OR($M559&lt;QC_BD_MIN,$M559&gt;QC_BD_MAX)),"Bulk density outside the plausible range for a mineral grassland soil. ","")&amp;IF(AND(ISNUMBER($N559),$N559&gt;QC_CARBON_PCT_MAX),"Organic carbon above the QC ceiling — check units, and whether this is an organic horizon. ","")&amp;IF(AND(ISNUMBER($J559),$J559&lt;QC_RECOVERY_MIN),"Recovered less than the QC minimum of the depth driven — the increments may not sit where you think. Do NOT stretch them back out. ","")&amp;IF(AND(ISNUMBER($K559),$K559&gt;0,$L559="Fine earth / total volume"),"Coarse fragments recorded and the lab basis already accounts for them — no further correction applied, which is correct. ",""))</f>
        <v/>
      </c>
      <c r="T559" s="6"/>
      <c r="U559" s="9" t="n">
        <f aca="false">IF($B559="",0,IF(COUNTIFS($B$5:$B559,$B559)=1,1,0))</f>
        <v>0</v>
      </c>
    </row>
    <row r="560" customFormat="false" ht="15" hidden="false" customHeight="false" outlineLevel="0" collapsed="false">
      <c r="A560" s="6"/>
      <c r="B560" s="6"/>
      <c r="C560" s="6"/>
      <c r="D560" s="6"/>
      <c r="E560" s="6"/>
      <c r="F560" s="9" t="str">
        <f aca="false">IF(OR($D560="",$E560=""),"",$E560-$D560)</f>
        <v/>
      </c>
      <c r="G560" s="6"/>
      <c r="H560" s="6"/>
      <c r="I560" s="6"/>
      <c r="J560" s="9" t="str">
        <f aca="false">IF(OR(NOT(ISNUMBER($H560)),NOT(ISNUMBER($I560)),$H560=0),"",$I560/$H560)</f>
        <v/>
      </c>
      <c r="K560" s="6"/>
      <c r="L560" s="8"/>
      <c r="M560" s="7"/>
      <c r="N560" s="7"/>
      <c r="O560" s="9" t="str">
        <f aca="false">IF(NOT(ISNUMBER($M560)),"",IF($L560="Fine earth / fine-earth volume",$M560*(1-IF(ISNUMBER($K560),$K560,0)/100),$M560))</f>
        <v/>
      </c>
      <c r="P560" s="9" t="str">
        <f aca="false">IF(OR(NOT(ISNUMBER($O560)),NOT(ISNUMBER($N560)),NOT(ISNUMBER($F560))),"",$O560*($N560/100)*$F560*10)</f>
        <v/>
      </c>
      <c r="Q560" s="9" t="str">
        <f aca="false">IF(OR(NOT(ISNUMBER($D560)),NOT(ISNUMBER($E560))),"",MAX(0,MIN($E560,SOIL_REPORTING_DEPTH_CM)-MIN($D560,SOIL_REPORTING_DEPTH_CM)))</f>
        <v/>
      </c>
      <c r="R560" s="9" t="str">
        <f aca="false">IF(OR(NOT(ISNUMBER($O560)),NOT(ISNUMBER($N560)),NOT(ISNUMBER($Q560))),"",$O560*($N560/100)*$Q560*10)</f>
        <v/>
      </c>
      <c r="S560" s="11" t="str">
        <f aca="false">IF(AND($A560="",$B560="",$D560=""),"",IF(AND($A560&lt;&gt;"",COUNTIF('1. Plot &amp; Site Log'!$A$5:$A$64,$A560)=0),"Plot ID not in the Plot &amp; Site Log. ","")&amp;IF(AND(ISNUMBER($D560),ISNUMBER($E560),$E560&lt;=$D560),"Bottom depth is not below top depth. ","")&amp;IF($L560="Not confirmed","Bulk-density basis not confirmed with the lab — the coarse-fragment correction may be wrong or doubled. ","")&amp;IF(LAB_BULK_DENSITY_BASIS="Not confirmed","No lab bulk-density basis is on file in Settings (LAB_BULK_DENSITY_BASIS), so nothing checks this row. ","")&amp;IF(AND($L560&lt;&gt;"",LAB_BULK_DENSITY_BASIS&lt;&gt;"Not confirmed",$L560&lt;&gt;LAB_BULK_DENSITY_BASIS),"This row's bulk-density basis disagrees with the lab method on file. One of "&amp;"the two is wrong, and the coarse-fragment correction follows the row. ","")&amp;IF(AND(ISNUMBER($M560),OR($M560&lt;QC_BD_MIN,$M560&gt;QC_BD_MAX)),"Bulk density outside the plausible range for a mineral grassland soil. ","")&amp;IF(AND(ISNUMBER($N560),$N560&gt;QC_CARBON_PCT_MAX),"Organic carbon above the QC ceiling — check units, and whether this is an organic horizon. ","")&amp;IF(AND(ISNUMBER($J560),$J560&lt;QC_RECOVERY_MIN),"Recovered less than the QC minimum of the depth driven — the increments may not sit where you think. Do NOT stretch them back out. ","")&amp;IF(AND(ISNUMBER($K560),$K560&gt;0,$L560="Fine earth / total volume"),"Coarse fragments recorded and the lab basis already accounts for them — no further correction applied, which is correct. ",""))</f>
        <v/>
      </c>
      <c r="T560" s="6"/>
      <c r="U560" s="9" t="n">
        <f aca="false">IF($B560="",0,IF(COUNTIFS($B$5:$B560,$B560)=1,1,0))</f>
        <v>0</v>
      </c>
    </row>
    <row r="561" customFormat="false" ht="15" hidden="false" customHeight="false" outlineLevel="0" collapsed="false">
      <c r="A561" s="6"/>
      <c r="B561" s="6"/>
      <c r="C561" s="6"/>
      <c r="D561" s="6"/>
      <c r="E561" s="6"/>
      <c r="F561" s="9" t="str">
        <f aca="false">IF(OR($D561="",$E561=""),"",$E561-$D561)</f>
        <v/>
      </c>
      <c r="G561" s="6"/>
      <c r="H561" s="6"/>
      <c r="I561" s="6"/>
      <c r="J561" s="9" t="str">
        <f aca="false">IF(OR(NOT(ISNUMBER($H561)),NOT(ISNUMBER($I561)),$H561=0),"",$I561/$H561)</f>
        <v/>
      </c>
      <c r="K561" s="6"/>
      <c r="L561" s="8"/>
      <c r="M561" s="7"/>
      <c r="N561" s="7"/>
      <c r="O561" s="9" t="str">
        <f aca="false">IF(NOT(ISNUMBER($M561)),"",IF($L561="Fine earth / fine-earth volume",$M561*(1-IF(ISNUMBER($K561),$K561,0)/100),$M561))</f>
        <v/>
      </c>
      <c r="P561" s="9" t="str">
        <f aca="false">IF(OR(NOT(ISNUMBER($O561)),NOT(ISNUMBER($N561)),NOT(ISNUMBER($F561))),"",$O561*($N561/100)*$F561*10)</f>
        <v/>
      </c>
      <c r="Q561" s="9" t="str">
        <f aca="false">IF(OR(NOT(ISNUMBER($D561)),NOT(ISNUMBER($E561))),"",MAX(0,MIN($E561,SOIL_REPORTING_DEPTH_CM)-MIN($D561,SOIL_REPORTING_DEPTH_CM)))</f>
        <v/>
      </c>
      <c r="R561" s="9" t="str">
        <f aca="false">IF(OR(NOT(ISNUMBER($O561)),NOT(ISNUMBER($N561)),NOT(ISNUMBER($Q561))),"",$O561*($N561/100)*$Q561*10)</f>
        <v/>
      </c>
      <c r="S561" s="11" t="str">
        <f aca="false">IF(AND($A561="",$B561="",$D561=""),"",IF(AND($A561&lt;&gt;"",COUNTIF('1. Plot &amp; Site Log'!$A$5:$A$64,$A561)=0),"Plot ID not in the Plot &amp; Site Log. ","")&amp;IF(AND(ISNUMBER($D561),ISNUMBER($E561),$E561&lt;=$D561),"Bottom depth is not below top depth. ","")&amp;IF($L561="Not confirmed","Bulk-density basis not confirmed with the lab — the coarse-fragment correction may be wrong or doubled. ","")&amp;IF(LAB_BULK_DENSITY_BASIS="Not confirmed","No lab bulk-density basis is on file in Settings (LAB_BULK_DENSITY_BASIS), so nothing checks this row. ","")&amp;IF(AND($L561&lt;&gt;"",LAB_BULK_DENSITY_BASIS&lt;&gt;"Not confirmed",$L561&lt;&gt;LAB_BULK_DENSITY_BASIS),"This row's bulk-density basis disagrees with the lab method on file. One of "&amp;"the two is wrong, and the coarse-fragment correction follows the row. ","")&amp;IF(AND(ISNUMBER($M561),OR($M561&lt;QC_BD_MIN,$M561&gt;QC_BD_MAX)),"Bulk density outside the plausible range for a mineral grassland soil. ","")&amp;IF(AND(ISNUMBER($N561),$N561&gt;QC_CARBON_PCT_MAX),"Organic carbon above the QC ceiling — check units, and whether this is an organic horizon. ","")&amp;IF(AND(ISNUMBER($J561),$J561&lt;QC_RECOVERY_MIN),"Recovered less than the QC minimum of the depth driven — the increments may not sit where you think. Do NOT stretch them back out. ","")&amp;IF(AND(ISNUMBER($K561),$K561&gt;0,$L561="Fine earth / total volume"),"Coarse fragments recorded and the lab basis already accounts for them — no further correction applied, which is correct. ",""))</f>
        <v/>
      </c>
      <c r="T561" s="6"/>
      <c r="U561" s="9" t="n">
        <f aca="false">IF($B561="",0,IF(COUNTIFS($B$5:$B561,$B561)=1,1,0))</f>
        <v>0</v>
      </c>
    </row>
    <row r="562" customFormat="false" ht="15" hidden="false" customHeight="false" outlineLevel="0" collapsed="false">
      <c r="A562" s="6"/>
      <c r="B562" s="6"/>
      <c r="C562" s="6"/>
      <c r="D562" s="6"/>
      <c r="E562" s="6"/>
      <c r="F562" s="9" t="str">
        <f aca="false">IF(OR($D562="",$E562=""),"",$E562-$D562)</f>
        <v/>
      </c>
      <c r="G562" s="6"/>
      <c r="H562" s="6"/>
      <c r="I562" s="6"/>
      <c r="J562" s="9" t="str">
        <f aca="false">IF(OR(NOT(ISNUMBER($H562)),NOT(ISNUMBER($I562)),$H562=0),"",$I562/$H562)</f>
        <v/>
      </c>
      <c r="K562" s="6"/>
      <c r="L562" s="8"/>
      <c r="M562" s="7"/>
      <c r="N562" s="7"/>
      <c r="O562" s="9" t="str">
        <f aca="false">IF(NOT(ISNUMBER($M562)),"",IF($L562="Fine earth / fine-earth volume",$M562*(1-IF(ISNUMBER($K562),$K562,0)/100),$M562))</f>
        <v/>
      </c>
      <c r="P562" s="9" t="str">
        <f aca="false">IF(OR(NOT(ISNUMBER($O562)),NOT(ISNUMBER($N562)),NOT(ISNUMBER($F562))),"",$O562*($N562/100)*$F562*10)</f>
        <v/>
      </c>
      <c r="Q562" s="9" t="str">
        <f aca="false">IF(OR(NOT(ISNUMBER($D562)),NOT(ISNUMBER($E562))),"",MAX(0,MIN($E562,SOIL_REPORTING_DEPTH_CM)-MIN($D562,SOIL_REPORTING_DEPTH_CM)))</f>
        <v/>
      </c>
      <c r="R562" s="9" t="str">
        <f aca="false">IF(OR(NOT(ISNUMBER($O562)),NOT(ISNUMBER($N562)),NOT(ISNUMBER($Q562))),"",$O562*($N562/100)*$Q562*10)</f>
        <v/>
      </c>
      <c r="S562" s="11" t="str">
        <f aca="false">IF(AND($A562="",$B562="",$D562=""),"",IF(AND($A562&lt;&gt;"",COUNTIF('1. Plot &amp; Site Log'!$A$5:$A$64,$A562)=0),"Plot ID not in the Plot &amp; Site Log. ","")&amp;IF(AND(ISNUMBER($D562),ISNUMBER($E562),$E562&lt;=$D562),"Bottom depth is not below top depth. ","")&amp;IF($L562="Not confirmed","Bulk-density basis not confirmed with the lab — the coarse-fragment correction may be wrong or doubled. ","")&amp;IF(LAB_BULK_DENSITY_BASIS="Not confirmed","No lab bulk-density basis is on file in Settings (LAB_BULK_DENSITY_BASIS), so nothing checks this row. ","")&amp;IF(AND($L562&lt;&gt;"",LAB_BULK_DENSITY_BASIS&lt;&gt;"Not confirmed",$L562&lt;&gt;LAB_BULK_DENSITY_BASIS),"This row's bulk-density basis disagrees with the lab method on file. One of "&amp;"the two is wrong, and the coarse-fragment correction follows the row. ","")&amp;IF(AND(ISNUMBER($M562),OR($M562&lt;QC_BD_MIN,$M562&gt;QC_BD_MAX)),"Bulk density outside the plausible range for a mineral grassland soil. ","")&amp;IF(AND(ISNUMBER($N562),$N562&gt;QC_CARBON_PCT_MAX),"Organic carbon above the QC ceiling — check units, and whether this is an organic horizon. ","")&amp;IF(AND(ISNUMBER($J562),$J562&lt;QC_RECOVERY_MIN),"Recovered less than the QC minimum of the depth driven — the increments may not sit where you think. Do NOT stretch them back out. ","")&amp;IF(AND(ISNUMBER($K562),$K562&gt;0,$L562="Fine earth / total volume"),"Coarse fragments recorded and the lab basis already accounts for them — no further correction applied, which is correct. ",""))</f>
        <v/>
      </c>
      <c r="T562" s="6"/>
      <c r="U562" s="9" t="n">
        <f aca="false">IF($B562="",0,IF(COUNTIFS($B$5:$B562,$B562)=1,1,0))</f>
        <v>0</v>
      </c>
    </row>
    <row r="563" customFormat="false" ht="15" hidden="false" customHeight="false" outlineLevel="0" collapsed="false">
      <c r="A563" s="6"/>
      <c r="B563" s="6"/>
      <c r="C563" s="6"/>
      <c r="D563" s="6"/>
      <c r="E563" s="6"/>
      <c r="F563" s="9" t="str">
        <f aca="false">IF(OR($D563="",$E563=""),"",$E563-$D563)</f>
        <v/>
      </c>
      <c r="G563" s="6"/>
      <c r="H563" s="6"/>
      <c r="I563" s="6"/>
      <c r="J563" s="9" t="str">
        <f aca="false">IF(OR(NOT(ISNUMBER($H563)),NOT(ISNUMBER($I563)),$H563=0),"",$I563/$H563)</f>
        <v/>
      </c>
      <c r="K563" s="6"/>
      <c r="L563" s="8"/>
      <c r="M563" s="7"/>
      <c r="N563" s="7"/>
      <c r="O563" s="9" t="str">
        <f aca="false">IF(NOT(ISNUMBER($M563)),"",IF($L563="Fine earth / fine-earth volume",$M563*(1-IF(ISNUMBER($K563),$K563,0)/100),$M563))</f>
        <v/>
      </c>
      <c r="P563" s="9" t="str">
        <f aca="false">IF(OR(NOT(ISNUMBER($O563)),NOT(ISNUMBER($N563)),NOT(ISNUMBER($F563))),"",$O563*($N563/100)*$F563*10)</f>
        <v/>
      </c>
      <c r="Q563" s="9" t="str">
        <f aca="false">IF(OR(NOT(ISNUMBER($D563)),NOT(ISNUMBER($E563))),"",MAX(0,MIN($E563,SOIL_REPORTING_DEPTH_CM)-MIN($D563,SOIL_REPORTING_DEPTH_CM)))</f>
        <v/>
      </c>
      <c r="R563" s="9" t="str">
        <f aca="false">IF(OR(NOT(ISNUMBER($O563)),NOT(ISNUMBER($N563)),NOT(ISNUMBER($Q563))),"",$O563*($N563/100)*$Q563*10)</f>
        <v/>
      </c>
      <c r="S563" s="11" t="str">
        <f aca="false">IF(AND($A563="",$B563="",$D563=""),"",IF(AND($A563&lt;&gt;"",COUNTIF('1. Plot &amp; Site Log'!$A$5:$A$64,$A563)=0),"Plot ID not in the Plot &amp; Site Log. ","")&amp;IF(AND(ISNUMBER($D563),ISNUMBER($E563),$E563&lt;=$D563),"Bottom depth is not below top depth. ","")&amp;IF($L563="Not confirmed","Bulk-density basis not confirmed with the lab — the coarse-fragment correction may be wrong or doubled. ","")&amp;IF(LAB_BULK_DENSITY_BASIS="Not confirmed","No lab bulk-density basis is on file in Settings (LAB_BULK_DENSITY_BASIS), so nothing checks this row. ","")&amp;IF(AND($L563&lt;&gt;"",LAB_BULK_DENSITY_BASIS&lt;&gt;"Not confirmed",$L563&lt;&gt;LAB_BULK_DENSITY_BASIS),"This row's bulk-density basis disagrees with the lab method on file. One of "&amp;"the two is wrong, and the coarse-fragment correction follows the row. ","")&amp;IF(AND(ISNUMBER($M563),OR($M563&lt;QC_BD_MIN,$M563&gt;QC_BD_MAX)),"Bulk density outside the plausible range for a mineral grassland soil. ","")&amp;IF(AND(ISNUMBER($N563),$N563&gt;QC_CARBON_PCT_MAX),"Organic carbon above the QC ceiling — check units, and whether this is an organic horizon. ","")&amp;IF(AND(ISNUMBER($J563),$J563&lt;QC_RECOVERY_MIN),"Recovered less than the QC minimum of the depth driven — the increments may not sit where you think. Do NOT stretch them back out. ","")&amp;IF(AND(ISNUMBER($K563),$K563&gt;0,$L563="Fine earth / total volume"),"Coarse fragments recorded and the lab basis already accounts for them — no further correction applied, which is correct. ",""))</f>
        <v/>
      </c>
      <c r="T563" s="6"/>
      <c r="U563" s="9" t="n">
        <f aca="false">IF($B563="",0,IF(COUNTIFS($B$5:$B563,$B563)=1,1,0))</f>
        <v>0</v>
      </c>
    </row>
    <row r="564" customFormat="false" ht="15" hidden="false" customHeight="false" outlineLevel="0" collapsed="false">
      <c r="A564" s="6"/>
      <c r="B564" s="6"/>
      <c r="C564" s="6"/>
      <c r="D564" s="6"/>
      <c r="E564" s="6"/>
      <c r="F564" s="9" t="str">
        <f aca="false">IF(OR($D564="",$E564=""),"",$E564-$D564)</f>
        <v/>
      </c>
      <c r="G564" s="6"/>
      <c r="H564" s="6"/>
      <c r="I564" s="6"/>
      <c r="J564" s="9" t="str">
        <f aca="false">IF(OR(NOT(ISNUMBER($H564)),NOT(ISNUMBER($I564)),$H564=0),"",$I564/$H564)</f>
        <v/>
      </c>
      <c r="K564" s="6"/>
      <c r="L564" s="8"/>
      <c r="M564" s="7"/>
      <c r="N564" s="7"/>
      <c r="O564" s="9" t="str">
        <f aca="false">IF(NOT(ISNUMBER($M564)),"",IF($L564="Fine earth / fine-earth volume",$M564*(1-IF(ISNUMBER($K564),$K564,0)/100),$M564))</f>
        <v/>
      </c>
      <c r="P564" s="9" t="str">
        <f aca="false">IF(OR(NOT(ISNUMBER($O564)),NOT(ISNUMBER($N564)),NOT(ISNUMBER($F564))),"",$O564*($N564/100)*$F564*10)</f>
        <v/>
      </c>
      <c r="Q564" s="9" t="str">
        <f aca="false">IF(OR(NOT(ISNUMBER($D564)),NOT(ISNUMBER($E564))),"",MAX(0,MIN($E564,SOIL_REPORTING_DEPTH_CM)-MIN($D564,SOIL_REPORTING_DEPTH_CM)))</f>
        <v/>
      </c>
      <c r="R564" s="9" t="str">
        <f aca="false">IF(OR(NOT(ISNUMBER($O564)),NOT(ISNUMBER($N564)),NOT(ISNUMBER($Q564))),"",$O564*($N564/100)*$Q564*10)</f>
        <v/>
      </c>
      <c r="S564" s="11" t="str">
        <f aca="false">IF(AND($A564="",$B564="",$D564=""),"",IF(AND($A564&lt;&gt;"",COUNTIF('1. Plot &amp; Site Log'!$A$5:$A$64,$A564)=0),"Plot ID not in the Plot &amp; Site Log. ","")&amp;IF(AND(ISNUMBER($D564),ISNUMBER($E564),$E564&lt;=$D564),"Bottom depth is not below top depth. ","")&amp;IF($L564="Not confirmed","Bulk-density basis not confirmed with the lab — the coarse-fragment correction may be wrong or doubled. ","")&amp;IF(LAB_BULK_DENSITY_BASIS="Not confirmed","No lab bulk-density basis is on file in Settings (LAB_BULK_DENSITY_BASIS), so nothing checks this row. ","")&amp;IF(AND($L564&lt;&gt;"",LAB_BULK_DENSITY_BASIS&lt;&gt;"Not confirmed",$L564&lt;&gt;LAB_BULK_DENSITY_BASIS),"This row's bulk-density basis disagrees with the lab method on file. One of "&amp;"the two is wrong, and the coarse-fragment correction follows the row. ","")&amp;IF(AND(ISNUMBER($M564),OR($M564&lt;QC_BD_MIN,$M564&gt;QC_BD_MAX)),"Bulk density outside the plausible range for a mineral grassland soil. ","")&amp;IF(AND(ISNUMBER($N564),$N564&gt;QC_CARBON_PCT_MAX),"Organic carbon above the QC ceiling — check units, and whether this is an organic horizon. ","")&amp;IF(AND(ISNUMBER($J564),$J564&lt;QC_RECOVERY_MIN),"Recovered less than the QC minimum of the depth driven — the increments may not sit where you think. Do NOT stretch them back out. ","")&amp;IF(AND(ISNUMBER($K564),$K564&gt;0,$L564="Fine earth / total volume"),"Coarse fragments recorded and the lab basis already accounts for them — no further correction applied, which is correct. ",""))</f>
        <v/>
      </c>
      <c r="T564" s="6"/>
      <c r="U564" s="9" t="n">
        <f aca="false">IF($B564="",0,IF(COUNTIFS($B$5:$B564,$B564)=1,1,0))</f>
        <v>0</v>
      </c>
    </row>
    <row r="565" customFormat="false" ht="15" hidden="false" customHeight="false" outlineLevel="0" collapsed="false">
      <c r="A565" s="6"/>
      <c r="B565" s="6"/>
      <c r="C565" s="6"/>
      <c r="D565" s="6"/>
      <c r="E565" s="6"/>
      <c r="F565" s="9" t="str">
        <f aca="false">IF(OR($D565="",$E565=""),"",$E565-$D565)</f>
        <v/>
      </c>
      <c r="G565" s="6"/>
      <c r="H565" s="6"/>
      <c r="I565" s="6"/>
      <c r="J565" s="9" t="str">
        <f aca="false">IF(OR(NOT(ISNUMBER($H565)),NOT(ISNUMBER($I565)),$H565=0),"",$I565/$H565)</f>
        <v/>
      </c>
      <c r="K565" s="6"/>
      <c r="L565" s="8"/>
      <c r="M565" s="7"/>
      <c r="N565" s="7"/>
      <c r="O565" s="9" t="str">
        <f aca="false">IF(NOT(ISNUMBER($M565)),"",IF($L565="Fine earth / fine-earth volume",$M565*(1-IF(ISNUMBER($K565),$K565,0)/100),$M565))</f>
        <v/>
      </c>
      <c r="P565" s="9" t="str">
        <f aca="false">IF(OR(NOT(ISNUMBER($O565)),NOT(ISNUMBER($N565)),NOT(ISNUMBER($F565))),"",$O565*($N565/100)*$F565*10)</f>
        <v/>
      </c>
      <c r="Q565" s="9" t="str">
        <f aca="false">IF(OR(NOT(ISNUMBER($D565)),NOT(ISNUMBER($E565))),"",MAX(0,MIN($E565,SOIL_REPORTING_DEPTH_CM)-MIN($D565,SOIL_REPORTING_DEPTH_CM)))</f>
        <v/>
      </c>
      <c r="R565" s="9" t="str">
        <f aca="false">IF(OR(NOT(ISNUMBER($O565)),NOT(ISNUMBER($N565)),NOT(ISNUMBER($Q565))),"",$O565*($N565/100)*$Q565*10)</f>
        <v/>
      </c>
      <c r="S565" s="11" t="str">
        <f aca="false">IF(AND($A565="",$B565="",$D565=""),"",IF(AND($A565&lt;&gt;"",COUNTIF('1. Plot &amp; Site Log'!$A$5:$A$64,$A565)=0),"Plot ID not in the Plot &amp; Site Log. ","")&amp;IF(AND(ISNUMBER($D565),ISNUMBER($E565),$E565&lt;=$D565),"Bottom depth is not below top depth. ","")&amp;IF($L565="Not confirmed","Bulk-density basis not confirmed with the lab — the coarse-fragment correction may be wrong or doubled. ","")&amp;IF(LAB_BULK_DENSITY_BASIS="Not confirmed","No lab bulk-density basis is on file in Settings (LAB_BULK_DENSITY_BASIS), so nothing checks this row. ","")&amp;IF(AND($L565&lt;&gt;"",LAB_BULK_DENSITY_BASIS&lt;&gt;"Not confirmed",$L565&lt;&gt;LAB_BULK_DENSITY_BASIS),"This row's bulk-density basis disagrees with the lab method on file. One of "&amp;"the two is wrong, and the coarse-fragment correction follows the row. ","")&amp;IF(AND(ISNUMBER($M565),OR($M565&lt;QC_BD_MIN,$M565&gt;QC_BD_MAX)),"Bulk density outside the plausible range for a mineral grassland soil. ","")&amp;IF(AND(ISNUMBER($N565),$N565&gt;QC_CARBON_PCT_MAX),"Organic carbon above the QC ceiling — check units, and whether this is an organic horizon. ","")&amp;IF(AND(ISNUMBER($J565),$J565&lt;QC_RECOVERY_MIN),"Recovered less than the QC minimum of the depth driven — the increments may not sit where you think. Do NOT stretch them back out. ","")&amp;IF(AND(ISNUMBER($K565),$K565&gt;0,$L565="Fine earth / total volume"),"Coarse fragments recorded and the lab basis already accounts for them — no further correction applied, which is correct. ",""))</f>
        <v/>
      </c>
      <c r="T565" s="6"/>
      <c r="U565" s="9" t="n">
        <f aca="false">IF($B565="",0,IF(COUNTIFS($B$5:$B565,$B565)=1,1,0))</f>
        <v>0</v>
      </c>
    </row>
    <row r="566" customFormat="false" ht="15" hidden="false" customHeight="false" outlineLevel="0" collapsed="false">
      <c r="A566" s="6"/>
      <c r="B566" s="6"/>
      <c r="C566" s="6"/>
      <c r="D566" s="6"/>
      <c r="E566" s="6"/>
      <c r="F566" s="9" t="str">
        <f aca="false">IF(OR($D566="",$E566=""),"",$E566-$D566)</f>
        <v/>
      </c>
      <c r="G566" s="6"/>
      <c r="H566" s="6"/>
      <c r="I566" s="6"/>
      <c r="J566" s="9" t="str">
        <f aca="false">IF(OR(NOT(ISNUMBER($H566)),NOT(ISNUMBER($I566)),$H566=0),"",$I566/$H566)</f>
        <v/>
      </c>
      <c r="K566" s="6"/>
      <c r="L566" s="8"/>
      <c r="M566" s="7"/>
      <c r="N566" s="7"/>
      <c r="O566" s="9" t="str">
        <f aca="false">IF(NOT(ISNUMBER($M566)),"",IF($L566="Fine earth / fine-earth volume",$M566*(1-IF(ISNUMBER($K566),$K566,0)/100),$M566))</f>
        <v/>
      </c>
      <c r="P566" s="9" t="str">
        <f aca="false">IF(OR(NOT(ISNUMBER($O566)),NOT(ISNUMBER($N566)),NOT(ISNUMBER($F566))),"",$O566*($N566/100)*$F566*10)</f>
        <v/>
      </c>
      <c r="Q566" s="9" t="str">
        <f aca="false">IF(OR(NOT(ISNUMBER($D566)),NOT(ISNUMBER($E566))),"",MAX(0,MIN($E566,SOIL_REPORTING_DEPTH_CM)-MIN($D566,SOIL_REPORTING_DEPTH_CM)))</f>
        <v/>
      </c>
      <c r="R566" s="9" t="str">
        <f aca="false">IF(OR(NOT(ISNUMBER($O566)),NOT(ISNUMBER($N566)),NOT(ISNUMBER($Q566))),"",$O566*($N566/100)*$Q566*10)</f>
        <v/>
      </c>
      <c r="S566" s="11" t="str">
        <f aca="false">IF(AND($A566="",$B566="",$D566=""),"",IF(AND($A566&lt;&gt;"",COUNTIF('1. Plot &amp; Site Log'!$A$5:$A$64,$A566)=0),"Plot ID not in the Plot &amp; Site Log. ","")&amp;IF(AND(ISNUMBER($D566),ISNUMBER($E566),$E566&lt;=$D566),"Bottom depth is not below top depth. ","")&amp;IF($L566="Not confirmed","Bulk-density basis not confirmed with the lab — the coarse-fragment correction may be wrong or doubled. ","")&amp;IF(LAB_BULK_DENSITY_BASIS="Not confirmed","No lab bulk-density basis is on file in Settings (LAB_BULK_DENSITY_BASIS), so nothing checks this row. ","")&amp;IF(AND($L566&lt;&gt;"",LAB_BULK_DENSITY_BASIS&lt;&gt;"Not confirmed",$L566&lt;&gt;LAB_BULK_DENSITY_BASIS),"This row's bulk-density basis disagrees with the lab method on file. One of "&amp;"the two is wrong, and the coarse-fragment correction follows the row. ","")&amp;IF(AND(ISNUMBER($M566),OR($M566&lt;QC_BD_MIN,$M566&gt;QC_BD_MAX)),"Bulk density outside the plausible range for a mineral grassland soil. ","")&amp;IF(AND(ISNUMBER($N566),$N566&gt;QC_CARBON_PCT_MAX),"Organic carbon above the QC ceiling — check units, and whether this is an organic horizon. ","")&amp;IF(AND(ISNUMBER($J566),$J566&lt;QC_RECOVERY_MIN),"Recovered less than the QC minimum of the depth driven — the increments may not sit where you think. Do NOT stretch them back out. ","")&amp;IF(AND(ISNUMBER($K566),$K566&gt;0,$L566="Fine earth / total volume"),"Coarse fragments recorded and the lab basis already accounts for them — no further correction applied, which is correct. ",""))</f>
        <v/>
      </c>
      <c r="T566" s="6"/>
      <c r="U566" s="9" t="n">
        <f aca="false">IF($B566="",0,IF(COUNTIFS($B$5:$B566,$B566)=1,1,0))</f>
        <v>0</v>
      </c>
    </row>
    <row r="567" customFormat="false" ht="15" hidden="false" customHeight="false" outlineLevel="0" collapsed="false">
      <c r="A567" s="6"/>
      <c r="B567" s="6"/>
      <c r="C567" s="6"/>
      <c r="D567" s="6"/>
      <c r="E567" s="6"/>
      <c r="F567" s="9" t="str">
        <f aca="false">IF(OR($D567="",$E567=""),"",$E567-$D567)</f>
        <v/>
      </c>
      <c r="G567" s="6"/>
      <c r="H567" s="6"/>
      <c r="I567" s="6"/>
      <c r="J567" s="9" t="str">
        <f aca="false">IF(OR(NOT(ISNUMBER($H567)),NOT(ISNUMBER($I567)),$H567=0),"",$I567/$H567)</f>
        <v/>
      </c>
      <c r="K567" s="6"/>
      <c r="L567" s="8"/>
      <c r="M567" s="7"/>
      <c r="N567" s="7"/>
      <c r="O567" s="9" t="str">
        <f aca="false">IF(NOT(ISNUMBER($M567)),"",IF($L567="Fine earth / fine-earth volume",$M567*(1-IF(ISNUMBER($K567),$K567,0)/100),$M567))</f>
        <v/>
      </c>
      <c r="P567" s="9" t="str">
        <f aca="false">IF(OR(NOT(ISNUMBER($O567)),NOT(ISNUMBER($N567)),NOT(ISNUMBER($F567))),"",$O567*($N567/100)*$F567*10)</f>
        <v/>
      </c>
      <c r="Q567" s="9" t="str">
        <f aca="false">IF(OR(NOT(ISNUMBER($D567)),NOT(ISNUMBER($E567))),"",MAX(0,MIN($E567,SOIL_REPORTING_DEPTH_CM)-MIN($D567,SOIL_REPORTING_DEPTH_CM)))</f>
        <v/>
      </c>
      <c r="R567" s="9" t="str">
        <f aca="false">IF(OR(NOT(ISNUMBER($O567)),NOT(ISNUMBER($N567)),NOT(ISNUMBER($Q567))),"",$O567*($N567/100)*$Q567*10)</f>
        <v/>
      </c>
      <c r="S567" s="11" t="str">
        <f aca="false">IF(AND($A567="",$B567="",$D567=""),"",IF(AND($A567&lt;&gt;"",COUNTIF('1. Plot &amp; Site Log'!$A$5:$A$64,$A567)=0),"Plot ID not in the Plot &amp; Site Log. ","")&amp;IF(AND(ISNUMBER($D567),ISNUMBER($E567),$E567&lt;=$D567),"Bottom depth is not below top depth. ","")&amp;IF($L567="Not confirmed","Bulk-density basis not confirmed with the lab — the coarse-fragment correction may be wrong or doubled. ","")&amp;IF(LAB_BULK_DENSITY_BASIS="Not confirmed","No lab bulk-density basis is on file in Settings (LAB_BULK_DENSITY_BASIS), so nothing checks this row. ","")&amp;IF(AND($L567&lt;&gt;"",LAB_BULK_DENSITY_BASIS&lt;&gt;"Not confirmed",$L567&lt;&gt;LAB_BULK_DENSITY_BASIS),"This row's bulk-density basis disagrees with the lab method on file. One of "&amp;"the two is wrong, and the coarse-fragment correction follows the row. ","")&amp;IF(AND(ISNUMBER($M567),OR($M567&lt;QC_BD_MIN,$M567&gt;QC_BD_MAX)),"Bulk density outside the plausible range for a mineral grassland soil. ","")&amp;IF(AND(ISNUMBER($N567),$N567&gt;QC_CARBON_PCT_MAX),"Organic carbon above the QC ceiling — check units, and whether this is an organic horizon. ","")&amp;IF(AND(ISNUMBER($J567),$J567&lt;QC_RECOVERY_MIN),"Recovered less than the QC minimum of the depth driven — the increments may not sit where you think. Do NOT stretch them back out. ","")&amp;IF(AND(ISNUMBER($K567),$K567&gt;0,$L567="Fine earth / total volume"),"Coarse fragments recorded and the lab basis already accounts for them — no further correction applied, which is correct. ",""))</f>
        <v/>
      </c>
      <c r="T567" s="6"/>
      <c r="U567" s="9" t="n">
        <f aca="false">IF($B567="",0,IF(COUNTIFS($B$5:$B567,$B567)=1,1,0))</f>
        <v>0</v>
      </c>
    </row>
    <row r="568" customFormat="false" ht="15" hidden="false" customHeight="false" outlineLevel="0" collapsed="false">
      <c r="A568" s="6"/>
      <c r="B568" s="6"/>
      <c r="C568" s="6"/>
      <c r="D568" s="6"/>
      <c r="E568" s="6"/>
      <c r="F568" s="9" t="str">
        <f aca="false">IF(OR($D568="",$E568=""),"",$E568-$D568)</f>
        <v/>
      </c>
      <c r="G568" s="6"/>
      <c r="H568" s="6"/>
      <c r="I568" s="6"/>
      <c r="J568" s="9" t="str">
        <f aca="false">IF(OR(NOT(ISNUMBER($H568)),NOT(ISNUMBER($I568)),$H568=0),"",$I568/$H568)</f>
        <v/>
      </c>
      <c r="K568" s="6"/>
      <c r="L568" s="8"/>
      <c r="M568" s="7"/>
      <c r="N568" s="7"/>
      <c r="O568" s="9" t="str">
        <f aca="false">IF(NOT(ISNUMBER($M568)),"",IF($L568="Fine earth / fine-earth volume",$M568*(1-IF(ISNUMBER($K568),$K568,0)/100),$M568))</f>
        <v/>
      </c>
      <c r="P568" s="9" t="str">
        <f aca="false">IF(OR(NOT(ISNUMBER($O568)),NOT(ISNUMBER($N568)),NOT(ISNUMBER($F568))),"",$O568*($N568/100)*$F568*10)</f>
        <v/>
      </c>
      <c r="Q568" s="9" t="str">
        <f aca="false">IF(OR(NOT(ISNUMBER($D568)),NOT(ISNUMBER($E568))),"",MAX(0,MIN($E568,SOIL_REPORTING_DEPTH_CM)-MIN($D568,SOIL_REPORTING_DEPTH_CM)))</f>
        <v/>
      </c>
      <c r="R568" s="9" t="str">
        <f aca="false">IF(OR(NOT(ISNUMBER($O568)),NOT(ISNUMBER($N568)),NOT(ISNUMBER($Q568))),"",$O568*($N568/100)*$Q568*10)</f>
        <v/>
      </c>
      <c r="S568" s="11" t="str">
        <f aca="false">IF(AND($A568="",$B568="",$D568=""),"",IF(AND($A568&lt;&gt;"",COUNTIF('1. Plot &amp; Site Log'!$A$5:$A$64,$A568)=0),"Plot ID not in the Plot &amp; Site Log. ","")&amp;IF(AND(ISNUMBER($D568),ISNUMBER($E568),$E568&lt;=$D568),"Bottom depth is not below top depth. ","")&amp;IF($L568="Not confirmed","Bulk-density basis not confirmed with the lab — the coarse-fragment correction may be wrong or doubled. ","")&amp;IF(LAB_BULK_DENSITY_BASIS="Not confirmed","No lab bulk-density basis is on file in Settings (LAB_BULK_DENSITY_BASIS), so nothing checks this row. ","")&amp;IF(AND($L568&lt;&gt;"",LAB_BULK_DENSITY_BASIS&lt;&gt;"Not confirmed",$L568&lt;&gt;LAB_BULK_DENSITY_BASIS),"This row's bulk-density basis disagrees with the lab method on file. One of "&amp;"the two is wrong, and the coarse-fragment correction follows the row. ","")&amp;IF(AND(ISNUMBER($M568),OR($M568&lt;QC_BD_MIN,$M568&gt;QC_BD_MAX)),"Bulk density outside the plausible range for a mineral grassland soil. ","")&amp;IF(AND(ISNUMBER($N568),$N568&gt;QC_CARBON_PCT_MAX),"Organic carbon above the QC ceiling — check units, and whether this is an organic horizon. ","")&amp;IF(AND(ISNUMBER($J568),$J568&lt;QC_RECOVERY_MIN),"Recovered less than the QC minimum of the depth driven — the increments may not sit where you think. Do NOT stretch them back out. ","")&amp;IF(AND(ISNUMBER($K568),$K568&gt;0,$L568="Fine earth / total volume"),"Coarse fragments recorded and the lab basis already accounts for them — no further correction applied, which is correct. ",""))</f>
        <v/>
      </c>
      <c r="T568" s="6"/>
      <c r="U568" s="9" t="n">
        <f aca="false">IF($B568="",0,IF(COUNTIFS($B$5:$B568,$B568)=1,1,0))</f>
        <v>0</v>
      </c>
    </row>
    <row r="569" customFormat="false" ht="15" hidden="false" customHeight="false" outlineLevel="0" collapsed="false">
      <c r="A569" s="6"/>
      <c r="B569" s="6"/>
      <c r="C569" s="6"/>
      <c r="D569" s="6"/>
      <c r="E569" s="6"/>
      <c r="F569" s="9" t="str">
        <f aca="false">IF(OR($D569="",$E569=""),"",$E569-$D569)</f>
        <v/>
      </c>
      <c r="G569" s="6"/>
      <c r="H569" s="6"/>
      <c r="I569" s="6"/>
      <c r="J569" s="9" t="str">
        <f aca="false">IF(OR(NOT(ISNUMBER($H569)),NOT(ISNUMBER($I569)),$H569=0),"",$I569/$H569)</f>
        <v/>
      </c>
      <c r="K569" s="6"/>
      <c r="L569" s="8"/>
      <c r="M569" s="7"/>
      <c r="N569" s="7"/>
      <c r="O569" s="9" t="str">
        <f aca="false">IF(NOT(ISNUMBER($M569)),"",IF($L569="Fine earth / fine-earth volume",$M569*(1-IF(ISNUMBER($K569),$K569,0)/100),$M569))</f>
        <v/>
      </c>
      <c r="P569" s="9" t="str">
        <f aca="false">IF(OR(NOT(ISNUMBER($O569)),NOT(ISNUMBER($N569)),NOT(ISNUMBER($F569))),"",$O569*($N569/100)*$F569*10)</f>
        <v/>
      </c>
      <c r="Q569" s="9" t="str">
        <f aca="false">IF(OR(NOT(ISNUMBER($D569)),NOT(ISNUMBER($E569))),"",MAX(0,MIN($E569,SOIL_REPORTING_DEPTH_CM)-MIN($D569,SOIL_REPORTING_DEPTH_CM)))</f>
        <v/>
      </c>
      <c r="R569" s="9" t="str">
        <f aca="false">IF(OR(NOT(ISNUMBER($O569)),NOT(ISNUMBER($N569)),NOT(ISNUMBER($Q569))),"",$O569*($N569/100)*$Q569*10)</f>
        <v/>
      </c>
      <c r="S569" s="11" t="str">
        <f aca="false">IF(AND($A569="",$B569="",$D569=""),"",IF(AND($A569&lt;&gt;"",COUNTIF('1. Plot &amp; Site Log'!$A$5:$A$64,$A569)=0),"Plot ID not in the Plot &amp; Site Log. ","")&amp;IF(AND(ISNUMBER($D569),ISNUMBER($E569),$E569&lt;=$D569),"Bottom depth is not below top depth. ","")&amp;IF($L569="Not confirmed","Bulk-density basis not confirmed with the lab — the coarse-fragment correction may be wrong or doubled. ","")&amp;IF(LAB_BULK_DENSITY_BASIS="Not confirmed","No lab bulk-density basis is on file in Settings (LAB_BULK_DENSITY_BASIS), so nothing checks this row. ","")&amp;IF(AND($L569&lt;&gt;"",LAB_BULK_DENSITY_BASIS&lt;&gt;"Not confirmed",$L569&lt;&gt;LAB_BULK_DENSITY_BASIS),"This row's bulk-density basis disagrees with the lab method on file. One of "&amp;"the two is wrong, and the coarse-fragment correction follows the row. ","")&amp;IF(AND(ISNUMBER($M569),OR($M569&lt;QC_BD_MIN,$M569&gt;QC_BD_MAX)),"Bulk density outside the plausible range for a mineral grassland soil. ","")&amp;IF(AND(ISNUMBER($N569),$N569&gt;QC_CARBON_PCT_MAX),"Organic carbon above the QC ceiling — check units, and whether this is an organic horizon. ","")&amp;IF(AND(ISNUMBER($J569),$J569&lt;QC_RECOVERY_MIN),"Recovered less than the QC minimum of the depth driven — the increments may not sit where you think. Do NOT stretch them back out. ","")&amp;IF(AND(ISNUMBER($K569),$K569&gt;0,$L569="Fine earth / total volume"),"Coarse fragments recorded and the lab basis already accounts for them — no further correction applied, which is correct. ",""))</f>
        <v/>
      </c>
      <c r="T569" s="6"/>
      <c r="U569" s="9" t="n">
        <f aca="false">IF($B569="",0,IF(COUNTIFS($B$5:$B569,$B569)=1,1,0))</f>
        <v>0</v>
      </c>
    </row>
    <row r="570" customFormat="false" ht="15" hidden="false" customHeight="false" outlineLevel="0" collapsed="false">
      <c r="A570" s="6"/>
      <c r="B570" s="6"/>
      <c r="C570" s="6"/>
      <c r="D570" s="6"/>
      <c r="E570" s="6"/>
      <c r="F570" s="9" t="str">
        <f aca="false">IF(OR($D570="",$E570=""),"",$E570-$D570)</f>
        <v/>
      </c>
      <c r="G570" s="6"/>
      <c r="H570" s="6"/>
      <c r="I570" s="6"/>
      <c r="J570" s="9" t="str">
        <f aca="false">IF(OR(NOT(ISNUMBER($H570)),NOT(ISNUMBER($I570)),$H570=0),"",$I570/$H570)</f>
        <v/>
      </c>
      <c r="K570" s="6"/>
      <c r="L570" s="8"/>
      <c r="M570" s="7"/>
      <c r="N570" s="7"/>
      <c r="O570" s="9" t="str">
        <f aca="false">IF(NOT(ISNUMBER($M570)),"",IF($L570="Fine earth / fine-earth volume",$M570*(1-IF(ISNUMBER($K570),$K570,0)/100),$M570))</f>
        <v/>
      </c>
      <c r="P570" s="9" t="str">
        <f aca="false">IF(OR(NOT(ISNUMBER($O570)),NOT(ISNUMBER($N570)),NOT(ISNUMBER($F570))),"",$O570*($N570/100)*$F570*10)</f>
        <v/>
      </c>
      <c r="Q570" s="9" t="str">
        <f aca="false">IF(OR(NOT(ISNUMBER($D570)),NOT(ISNUMBER($E570))),"",MAX(0,MIN($E570,SOIL_REPORTING_DEPTH_CM)-MIN($D570,SOIL_REPORTING_DEPTH_CM)))</f>
        <v/>
      </c>
      <c r="R570" s="9" t="str">
        <f aca="false">IF(OR(NOT(ISNUMBER($O570)),NOT(ISNUMBER($N570)),NOT(ISNUMBER($Q570))),"",$O570*($N570/100)*$Q570*10)</f>
        <v/>
      </c>
      <c r="S570" s="11" t="str">
        <f aca="false">IF(AND($A570="",$B570="",$D570=""),"",IF(AND($A570&lt;&gt;"",COUNTIF('1. Plot &amp; Site Log'!$A$5:$A$64,$A570)=0),"Plot ID not in the Plot &amp; Site Log. ","")&amp;IF(AND(ISNUMBER($D570),ISNUMBER($E570),$E570&lt;=$D570),"Bottom depth is not below top depth. ","")&amp;IF($L570="Not confirmed","Bulk-density basis not confirmed with the lab — the coarse-fragment correction may be wrong or doubled. ","")&amp;IF(LAB_BULK_DENSITY_BASIS="Not confirmed","No lab bulk-density basis is on file in Settings (LAB_BULK_DENSITY_BASIS), so nothing checks this row. ","")&amp;IF(AND($L570&lt;&gt;"",LAB_BULK_DENSITY_BASIS&lt;&gt;"Not confirmed",$L570&lt;&gt;LAB_BULK_DENSITY_BASIS),"This row's bulk-density basis disagrees with the lab method on file. One of "&amp;"the two is wrong, and the coarse-fragment correction follows the row. ","")&amp;IF(AND(ISNUMBER($M570),OR($M570&lt;QC_BD_MIN,$M570&gt;QC_BD_MAX)),"Bulk density outside the plausible range for a mineral grassland soil. ","")&amp;IF(AND(ISNUMBER($N570),$N570&gt;QC_CARBON_PCT_MAX),"Organic carbon above the QC ceiling — check units, and whether this is an organic horizon. ","")&amp;IF(AND(ISNUMBER($J570),$J570&lt;QC_RECOVERY_MIN),"Recovered less than the QC minimum of the depth driven — the increments may not sit where you think. Do NOT stretch them back out. ","")&amp;IF(AND(ISNUMBER($K570),$K570&gt;0,$L570="Fine earth / total volume"),"Coarse fragments recorded and the lab basis already accounts for them — no further correction applied, which is correct. ",""))</f>
        <v/>
      </c>
      <c r="T570" s="6"/>
      <c r="U570" s="9" t="n">
        <f aca="false">IF($B570="",0,IF(COUNTIFS($B$5:$B570,$B570)=1,1,0))</f>
        <v>0</v>
      </c>
    </row>
    <row r="571" customFormat="false" ht="15" hidden="false" customHeight="false" outlineLevel="0" collapsed="false">
      <c r="A571" s="6"/>
      <c r="B571" s="6"/>
      <c r="C571" s="6"/>
      <c r="D571" s="6"/>
      <c r="E571" s="6"/>
      <c r="F571" s="9" t="str">
        <f aca="false">IF(OR($D571="",$E571=""),"",$E571-$D571)</f>
        <v/>
      </c>
      <c r="G571" s="6"/>
      <c r="H571" s="6"/>
      <c r="I571" s="6"/>
      <c r="J571" s="9" t="str">
        <f aca="false">IF(OR(NOT(ISNUMBER($H571)),NOT(ISNUMBER($I571)),$H571=0),"",$I571/$H571)</f>
        <v/>
      </c>
      <c r="K571" s="6"/>
      <c r="L571" s="8"/>
      <c r="M571" s="7"/>
      <c r="N571" s="7"/>
      <c r="O571" s="9" t="str">
        <f aca="false">IF(NOT(ISNUMBER($M571)),"",IF($L571="Fine earth / fine-earth volume",$M571*(1-IF(ISNUMBER($K571),$K571,0)/100),$M571))</f>
        <v/>
      </c>
      <c r="P571" s="9" t="str">
        <f aca="false">IF(OR(NOT(ISNUMBER($O571)),NOT(ISNUMBER($N571)),NOT(ISNUMBER($F571))),"",$O571*($N571/100)*$F571*10)</f>
        <v/>
      </c>
      <c r="Q571" s="9" t="str">
        <f aca="false">IF(OR(NOT(ISNUMBER($D571)),NOT(ISNUMBER($E571))),"",MAX(0,MIN($E571,SOIL_REPORTING_DEPTH_CM)-MIN($D571,SOIL_REPORTING_DEPTH_CM)))</f>
        <v/>
      </c>
      <c r="R571" s="9" t="str">
        <f aca="false">IF(OR(NOT(ISNUMBER($O571)),NOT(ISNUMBER($N571)),NOT(ISNUMBER($Q571))),"",$O571*($N571/100)*$Q571*10)</f>
        <v/>
      </c>
      <c r="S571" s="11" t="str">
        <f aca="false">IF(AND($A571="",$B571="",$D571=""),"",IF(AND($A571&lt;&gt;"",COUNTIF('1. Plot &amp; Site Log'!$A$5:$A$64,$A571)=0),"Plot ID not in the Plot &amp; Site Log. ","")&amp;IF(AND(ISNUMBER($D571),ISNUMBER($E571),$E571&lt;=$D571),"Bottom depth is not below top depth. ","")&amp;IF($L571="Not confirmed","Bulk-density basis not confirmed with the lab — the coarse-fragment correction may be wrong or doubled. ","")&amp;IF(LAB_BULK_DENSITY_BASIS="Not confirmed","No lab bulk-density basis is on file in Settings (LAB_BULK_DENSITY_BASIS), so nothing checks this row. ","")&amp;IF(AND($L571&lt;&gt;"",LAB_BULK_DENSITY_BASIS&lt;&gt;"Not confirmed",$L571&lt;&gt;LAB_BULK_DENSITY_BASIS),"This row's bulk-density basis disagrees with the lab method on file. One of "&amp;"the two is wrong, and the coarse-fragment correction follows the row. ","")&amp;IF(AND(ISNUMBER($M571),OR($M571&lt;QC_BD_MIN,$M571&gt;QC_BD_MAX)),"Bulk density outside the plausible range for a mineral grassland soil. ","")&amp;IF(AND(ISNUMBER($N571),$N571&gt;QC_CARBON_PCT_MAX),"Organic carbon above the QC ceiling — check units, and whether this is an organic horizon. ","")&amp;IF(AND(ISNUMBER($J571),$J571&lt;QC_RECOVERY_MIN),"Recovered less than the QC minimum of the depth driven — the increments may not sit where you think. Do NOT stretch them back out. ","")&amp;IF(AND(ISNUMBER($K571),$K571&gt;0,$L571="Fine earth / total volume"),"Coarse fragments recorded and the lab basis already accounts for them — no further correction applied, which is correct. ",""))</f>
        <v/>
      </c>
      <c r="T571" s="6"/>
      <c r="U571" s="9" t="n">
        <f aca="false">IF($B571="",0,IF(COUNTIFS($B$5:$B571,$B571)=1,1,0))</f>
        <v>0</v>
      </c>
    </row>
    <row r="572" customFormat="false" ht="15" hidden="false" customHeight="false" outlineLevel="0" collapsed="false">
      <c r="A572" s="6"/>
      <c r="B572" s="6"/>
      <c r="C572" s="6"/>
      <c r="D572" s="6"/>
      <c r="E572" s="6"/>
      <c r="F572" s="9" t="str">
        <f aca="false">IF(OR($D572="",$E572=""),"",$E572-$D572)</f>
        <v/>
      </c>
      <c r="G572" s="6"/>
      <c r="H572" s="6"/>
      <c r="I572" s="6"/>
      <c r="J572" s="9" t="str">
        <f aca="false">IF(OR(NOT(ISNUMBER($H572)),NOT(ISNUMBER($I572)),$H572=0),"",$I572/$H572)</f>
        <v/>
      </c>
      <c r="K572" s="6"/>
      <c r="L572" s="8"/>
      <c r="M572" s="7"/>
      <c r="N572" s="7"/>
      <c r="O572" s="9" t="str">
        <f aca="false">IF(NOT(ISNUMBER($M572)),"",IF($L572="Fine earth / fine-earth volume",$M572*(1-IF(ISNUMBER($K572),$K572,0)/100),$M572))</f>
        <v/>
      </c>
      <c r="P572" s="9" t="str">
        <f aca="false">IF(OR(NOT(ISNUMBER($O572)),NOT(ISNUMBER($N572)),NOT(ISNUMBER($F572))),"",$O572*($N572/100)*$F572*10)</f>
        <v/>
      </c>
      <c r="Q572" s="9" t="str">
        <f aca="false">IF(OR(NOT(ISNUMBER($D572)),NOT(ISNUMBER($E572))),"",MAX(0,MIN($E572,SOIL_REPORTING_DEPTH_CM)-MIN($D572,SOIL_REPORTING_DEPTH_CM)))</f>
        <v/>
      </c>
      <c r="R572" s="9" t="str">
        <f aca="false">IF(OR(NOT(ISNUMBER($O572)),NOT(ISNUMBER($N572)),NOT(ISNUMBER($Q572))),"",$O572*($N572/100)*$Q572*10)</f>
        <v/>
      </c>
      <c r="S572" s="11" t="str">
        <f aca="false">IF(AND($A572="",$B572="",$D572=""),"",IF(AND($A572&lt;&gt;"",COUNTIF('1. Plot &amp; Site Log'!$A$5:$A$64,$A572)=0),"Plot ID not in the Plot &amp; Site Log. ","")&amp;IF(AND(ISNUMBER($D572),ISNUMBER($E572),$E572&lt;=$D572),"Bottom depth is not below top depth. ","")&amp;IF($L572="Not confirmed","Bulk-density basis not confirmed with the lab — the coarse-fragment correction may be wrong or doubled. ","")&amp;IF(LAB_BULK_DENSITY_BASIS="Not confirmed","No lab bulk-density basis is on file in Settings (LAB_BULK_DENSITY_BASIS), so nothing checks this row. ","")&amp;IF(AND($L572&lt;&gt;"",LAB_BULK_DENSITY_BASIS&lt;&gt;"Not confirmed",$L572&lt;&gt;LAB_BULK_DENSITY_BASIS),"This row's bulk-density basis disagrees with the lab method on file. One of "&amp;"the two is wrong, and the coarse-fragment correction follows the row. ","")&amp;IF(AND(ISNUMBER($M572),OR($M572&lt;QC_BD_MIN,$M572&gt;QC_BD_MAX)),"Bulk density outside the plausible range for a mineral grassland soil. ","")&amp;IF(AND(ISNUMBER($N572),$N572&gt;QC_CARBON_PCT_MAX),"Organic carbon above the QC ceiling — check units, and whether this is an organic horizon. ","")&amp;IF(AND(ISNUMBER($J572),$J572&lt;QC_RECOVERY_MIN),"Recovered less than the QC minimum of the depth driven — the increments may not sit where you think. Do NOT stretch them back out. ","")&amp;IF(AND(ISNUMBER($K572),$K572&gt;0,$L572="Fine earth / total volume"),"Coarse fragments recorded and the lab basis already accounts for them — no further correction applied, which is correct. ",""))</f>
        <v/>
      </c>
      <c r="T572" s="6"/>
      <c r="U572" s="9" t="n">
        <f aca="false">IF($B572="",0,IF(COUNTIFS($B$5:$B572,$B572)=1,1,0))</f>
        <v>0</v>
      </c>
    </row>
    <row r="573" customFormat="false" ht="15" hidden="false" customHeight="false" outlineLevel="0" collapsed="false">
      <c r="A573" s="6"/>
      <c r="B573" s="6"/>
      <c r="C573" s="6"/>
      <c r="D573" s="6"/>
      <c r="E573" s="6"/>
      <c r="F573" s="9" t="str">
        <f aca="false">IF(OR($D573="",$E573=""),"",$E573-$D573)</f>
        <v/>
      </c>
      <c r="G573" s="6"/>
      <c r="H573" s="6"/>
      <c r="I573" s="6"/>
      <c r="J573" s="9" t="str">
        <f aca="false">IF(OR(NOT(ISNUMBER($H573)),NOT(ISNUMBER($I573)),$H573=0),"",$I573/$H573)</f>
        <v/>
      </c>
      <c r="K573" s="6"/>
      <c r="L573" s="8"/>
      <c r="M573" s="7"/>
      <c r="N573" s="7"/>
      <c r="O573" s="9" t="str">
        <f aca="false">IF(NOT(ISNUMBER($M573)),"",IF($L573="Fine earth / fine-earth volume",$M573*(1-IF(ISNUMBER($K573),$K573,0)/100),$M573))</f>
        <v/>
      </c>
      <c r="P573" s="9" t="str">
        <f aca="false">IF(OR(NOT(ISNUMBER($O573)),NOT(ISNUMBER($N573)),NOT(ISNUMBER($F573))),"",$O573*($N573/100)*$F573*10)</f>
        <v/>
      </c>
      <c r="Q573" s="9" t="str">
        <f aca="false">IF(OR(NOT(ISNUMBER($D573)),NOT(ISNUMBER($E573))),"",MAX(0,MIN($E573,SOIL_REPORTING_DEPTH_CM)-MIN($D573,SOIL_REPORTING_DEPTH_CM)))</f>
        <v/>
      </c>
      <c r="R573" s="9" t="str">
        <f aca="false">IF(OR(NOT(ISNUMBER($O573)),NOT(ISNUMBER($N573)),NOT(ISNUMBER($Q573))),"",$O573*($N573/100)*$Q573*10)</f>
        <v/>
      </c>
      <c r="S573" s="11" t="str">
        <f aca="false">IF(AND($A573="",$B573="",$D573=""),"",IF(AND($A573&lt;&gt;"",COUNTIF('1. Plot &amp; Site Log'!$A$5:$A$64,$A573)=0),"Plot ID not in the Plot &amp; Site Log. ","")&amp;IF(AND(ISNUMBER($D573),ISNUMBER($E573),$E573&lt;=$D573),"Bottom depth is not below top depth. ","")&amp;IF($L573="Not confirmed","Bulk-density basis not confirmed with the lab — the coarse-fragment correction may be wrong or doubled. ","")&amp;IF(LAB_BULK_DENSITY_BASIS="Not confirmed","No lab bulk-density basis is on file in Settings (LAB_BULK_DENSITY_BASIS), so nothing checks this row. ","")&amp;IF(AND($L573&lt;&gt;"",LAB_BULK_DENSITY_BASIS&lt;&gt;"Not confirmed",$L573&lt;&gt;LAB_BULK_DENSITY_BASIS),"This row's bulk-density basis disagrees with the lab method on file. One of "&amp;"the two is wrong, and the coarse-fragment correction follows the row. ","")&amp;IF(AND(ISNUMBER($M573),OR($M573&lt;QC_BD_MIN,$M573&gt;QC_BD_MAX)),"Bulk density outside the plausible range for a mineral grassland soil. ","")&amp;IF(AND(ISNUMBER($N573),$N573&gt;QC_CARBON_PCT_MAX),"Organic carbon above the QC ceiling — check units, and whether this is an organic horizon. ","")&amp;IF(AND(ISNUMBER($J573),$J573&lt;QC_RECOVERY_MIN),"Recovered less than the QC minimum of the depth driven — the increments may not sit where you think. Do NOT stretch them back out. ","")&amp;IF(AND(ISNUMBER($K573),$K573&gt;0,$L573="Fine earth / total volume"),"Coarse fragments recorded and the lab basis already accounts for them — no further correction applied, which is correct. ",""))</f>
        <v/>
      </c>
      <c r="T573" s="6"/>
      <c r="U573" s="9" t="n">
        <f aca="false">IF($B573="",0,IF(COUNTIFS($B$5:$B573,$B573)=1,1,0))</f>
        <v>0</v>
      </c>
    </row>
    <row r="574" customFormat="false" ht="15" hidden="false" customHeight="false" outlineLevel="0" collapsed="false">
      <c r="A574" s="6"/>
      <c r="B574" s="6"/>
      <c r="C574" s="6"/>
      <c r="D574" s="6"/>
      <c r="E574" s="6"/>
      <c r="F574" s="9" t="str">
        <f aca="false">IF(OR($D574="",$E574=""),"",$E574-$D574)</f>
        <v/>
      </c>
      <c r="G574" s="6"/>
      <c r="H574" s="6"/>
      <c r="I574" s="6"/>
      <c r="J574" s="9" t="str">
        <f aca="false">IF(OR(NOT(ISNUMBER($H574)),NOT(ISNUMBER($I574)),$H574=0),"",$I574/$H574)</f>
        <v/>
      </c>
      <c r="K574" s="6"/>
      <c r="L574" s="8"/>
      <c r="M574" s="7"/>
      <c r="N574" s="7"/>
      <c r="O574" s="9" t="str">
        <f aca="false">IF(NOT(ISNUMBER($M574)),"",IF($L574="Fine earth / fine-earth volume",$M574*(1-IF(ISNUMBER($K574),$K574,0)/100),$M574))</f>
        <v/>
      </c>
      <c r="P574" s="9" t="str">
        <f aca="false">IF(OR(NOT(ISNUMBER($O574)),NOT(ISNUMBER($N574)),NOT(ISNUMBER($F574))),"",$O574*($N574/100)*$F574*10)</f>
        <v/>
      </c>
      <c r="Q574" s="9" t="str">
        <f aca="false">IF(OR(NOT(ISNUMBER($D574)),NOT(ISNUMBER($E574))),"",MAX(0,MIN($E574,SOIL_REPORTING_DEPTH_CM)-MIN($D574,SOIL_REPORTING_DEPTH_CM)))</f>
        <v/>
      </c>
      <c r="R574" s="9" t="str">
        <f aca="false">IF(OR(NOT(ISNUMBER($O574)),NOT(ISNUMBER($N574)),NOT(ISNUMBER($Q574))),"",$O574*($N574/100)*$Q574*10)</f>
        <v/>
      </c>
      <c r="S574" s="11" t="str">
        <f aca="false">IF(AND($A574="",$B574="",$D574=""),"",IF(AND($A574&lt;&gt;"",COUNTIF('1. Plot &amp; Site Log'!$A$5:$A$64,$A574)=0),"Plot ID not in the Plot &amp; Site Log. ","")&amp;IF(AND(ISNUMBER($D574),ISNUMBER($E574),$E574&lt;=$D574),"Bottom depth is not below top depth. ","")&amp;IF($L574="Not confirmed","Bulk-density basis not confirmed with the lab — the coarse-fragment correction may be wrong or doubled. ","")&amp;IF(LAB_BULK_DENSITY_BASIS="Not confirmed","No lab bulk-density basis is on file in Settings (LAB_BULK_DENSITY_BASIS), so nothing checks this row. ","")&amp;IF(AND($L574&lt;&gt;"",LAB_BULK_DENSITY_BASIS&lt;&gt;"Not confirmed",$L574&lt;&gt;LAB_BULK_DENSITY_BASIS),"This row's bulk-density basis disagrees with the lab method on file. One of "&amp;"the two is wrong, and the coarse-fragment correction follows the row. ","")&amp;IF(AND(ISNUMBER($M574),OR($M574&lt;QC_BD_MIN,$M574&gt;QC_BD_MAX)),"Bulk density outside the plausible range for a mineral grassland soil. ","")&amp;IF(AND(ISNUMBER($N574),$N574&gt;QC_CARBON_PCT_MAX),"Organic carbon above the QC ceiling — check units, and whether this is an organic horizon. ","")&amp;IF(AND(ISNUMBER($J574),$J574&lt;QC_RECOVERY_MIN),"Recovered less than the QC minimum of the depth driven — the increments may not sit where you think. Do NOT stretch them back out. ","")&amp;IF(AND(ISNUMBER($K574),$K574&gt;0,$L574="Fine earth / total volume"),"Coarse fragments recorded and the lab basis already accounts for them — no further correction applied, which is correct. ",""))</f>
        <v/>
      </c>
      <c r="T574" s="6"/>
      <c r="U574" s="9" t="n">
        <f aca="false">IF($B574="",0,IF(COUNTIFS($B$5:$B574,$B574)=1,1,0))</f>
        <v>0</v>
      </c>
    </row>
    <row r="575" customFormat="false" ht="15" hidden="false" customHeight="false" outlineLevel="0" collapsed="false">
      <c r="A575" s="6"/>
      <c r="B575" s="6"/>
      <c r="C575" s="6"/>
      <c r="D575" s="6"/>
      <c r="E575" s="6"/>
      <c r="F575" s="9" t="str">
        <f aca="false">IF(OR($D575="",$E575=""),"",$E575-$D575)</f>
        <v/>
      </c>
      <c r="G575" s="6"/>
      <c r="H575" s="6"/>
      <c r="I575" s="6"/>
      <c r="J575" s="9" t="str">
        <f aca="false">IF(OR(NOT(ISNUMBER($H575)),NOT(ISNUMBER($I575)),$H575=0),"",$I575/$H575)</f>
        <v/>
      </c>
      <c r="K575" s="6"/>
      <c r="L575" s="8"/>
      <c r="M575" s="7"/>
      <c r="N575" s="7"/>
      <c r="O575" s="9" t="str">
        <f aca="false">IF(NOT(ISNUMBER($M575)),"",IF($L575="Fine earth / fine-earth volume",$M575*(1-IF(ISNUMBER($K575),$K575,0)/100),$M575))</f>
        <v/>
      </c>
      <c r="P575" s="9" t="str">
        <f aca="false">IF(OR(NOT(ISNUMBER($O575)),NOT(ISNUMBER($N575)),NOT(ISNUMBER($F575))),"",$O575*($N575/100)*$F575*10)</f>
        <v/>
      </c>
      <c r="Q575" s="9" t="str">
        <f aca="false">IF(OR(NOT(ISNUMBER($D575)),NOT(ISNUMBER($E575))),"",MAX(0,MIN($E575,SOIL_REPORTING_DEPTH_CM)-MIN($D575,SOIL_REPORTING_DEPTH_CM)))</f>
        <v/>
      </c>
      <c r="R575" s="9" t="str">
        <f aca="false">IF(OR(NOT(ISNUMBER($O575)),NOT(ISNUMBER($N575)),NOT(ISNUMBER($Q575))),"",$O575*($N575/100)*$Q575*10)</f>
        <v/>
      </c>
      <c r="S575" s="11" t="str">
        <f aca="false">IF(AND($A575="",$B575="",$D575=""),"",IF(AND($A575&lt;&gt;"",COUNTIF('1. Plot &amp; Site Log'!$A$5:$A$64,$A575)=0),"Plot ID not in the Plot &amp; Site Log. ","")&amp;IF(AND(ISNUMBER($D575),ISNUMBER($E575),$E575&lt;=$D575),"Bottom depth is not below top depth. ","")&amp;IF($L575="Not confirmed","Bulk-density basis not confirmed with the lab — the coarse-fragment correction may be wrong or doubled. ","")&amp;IF(LAB_BULK_DENSITY_BASIS="Not confirmed","No lab bulk-density basis is on file in Settings (LAB_BULK_DENSITY_BASIS), so nothing checks this row. ","")&amp;IF(AND($L575&lt;&gt;"",LAB_BULK_DENSITY_BASIS&lt;&gt;"Not confirmed",$L575&lt;&gt;LAB_BULK_DENSITY_BASIS),"This row's bulk-density basis disagrees with the lab method on file. One of "&amp;"the two is wrong, and the coarse-fragment correction follows the row. ","")&amp;IF(AND(ISNUMBER($M575),OR($M575&lt;QC_BD_MIN,$M575&gt;QC_BD_MAX)),"Bulk density outside the plausible range for a mineral grassland soil. ","")&amp;IF(AND(ISNUMBER($N575),$N575&gt;QC_CARBON_PCT_MAX),"Organic carbon above the QC ceiling — check units, and whether this is an organic horizon. ","")&amp;IF(AND(ISNUMBER($J575),$J575&lt;QC_RECOVERY_MIN),"Recovered less than the QC minimum of the depth driven — the increments may not sit where you think. Do NOT stretch them back out. ","")&amp;IF(AND(ISNUMBER($K575),$K575&gt;0,$L575="Fine earth / total volume"),"Coarse fragments recorded and the lab basis already accounts for them — no further correction applied, which is correct. ",""))</f>
        <v/>
      </c>
      <c r="T575" s="6"/>
      <c r="U575" s="9" t="n">
        <f aca="false">IF($B575="",0,IF(COUNTIFS($B$5:$B575,$B575)=1,1,0))</f>
        <v>0</v>
      </c>
    </row>
    <row r="576" customFormat="false" ht="15" hidden="false" customHeight="false" outlineLevel="0" collapsed="false">
      <c r="A576" s="6"/>
      <c r="B576" s="6"/>
      <c r="C576" s="6"/>
      <c r="D576" s="6"/>
      <c r="E576" s="6"/>
      <c r="F576" s="9" t="str">
        <f aca="false">IF(OR($D576="",$E576=""),"",$E576-$D576)</f>
        <v/>
      </c>
      <c r="G576" s="6"/>
      <c r="H576" s="6"/>
      <c r="I576" s="6"/>
      <c r="J576" s="9" t="str">
        <f aca="false">IF(OR(NOT(ISNUMBER($H576)),NOT(ISNUMBER($I576)),$H576=0),"",$I576/$H576)</f>
        <v/>
      </c>
      <c r="K576" s="6"/>
      <c r="L576" s="8"/>
      <c r="M576" s="7"/>
      <c r="N576" s="7"/>
      <c r="O576" s="9" t="str">
        <f aca="false">IF(NOT(ISNUMBER($M576)),"",IF($L576="Fine earth / fine-earth volume",$M576*(1-IF(ISNUMBER($K576),$K576,0)/100),$M576))</f>
        <v/>
      </c>
      <c r="P576" s="9" t="str">
        <f aca="false">IF(OR(NOT(ISNUMBER($O576)),NOT(ISNUMBER($N576)),NOT(ISNUMBER($F576))),"",$O576*($N576/100)*$F576*10)</f>
        <v/>
      </c>
      <c r="Q576" s="9" t="str">
        <f aca="false">IF(OR(NOT(ISNUMBER($D576)),NOT(ISNUMBER($E576))),"",MAX(0,MIN($E576,SOIL_REPORTING_DEPTH_CM)-MIN($D576,SOIL_REPORTING_DEPTH_CM)))</f>
        <v/>
      </c>
      <c r="R576" s="9" t="str">
        <f aca="false">IF(OR(NOT(ISNUMBER($O576)),NOT(ISNUMBER($N576)),NOT(ISNUMBER($Q576))),"",$O576*($N576/100)*$Q576*10)</f>
        <v/>
      </c>
      <c r="S576" s="11" t="str">
        <f aca="false">IF(AND($A576="",$B576="",$D576=""),"",IF(AND($A576&lt;&gt;"",COUNTIF('1. Plot &amp; Site Log'!$A$5:$A$64,$A576)=0),"Plot ID not in the Plot &amp; Site Log. ","")&amp;IF(AND(ISNUMBER($D576),ISNUMBER($E576),$E576&lt;=$D576),"Bottom depth is not below top depth. ","")&amp;IF($L576="Not confirmed","Bulk-density basis not confirmed with the lab — the coarse-fragment correction may be wrong or doubled. ","")&amp;IF(LAB_BULK_DENSITY_BASIS="Not confirmed","No lab bulk-density basis is on file in Settings (LAB_BULK_DENSITY_BASIS), so nothing checks this row. ","")&amp;IF(AND($L576&lt;&gt;"",LAB_BULK_DENSITY_BASIS&lt;&gt;"Not confirmed",$L576&lt;&gt;LAB_BULK_DENSITY_BASIS),"This row's bulk-density basis disagrees with the lab method on file. One of "&amp;"the two is wrong, and the coarse-fragment correction follows the row. ","")&amp;IF(AND(ISNUMBER($M576),OR($M576&lt;QC_BD_MIN,$M576&gt;QC_BD_MAX)),"Bulk density outside the plausible range for a mineral grassland soil. ","")&amp;IF(AND(ISNUMBER($N576),$N576&gt;QC_CARBON_PCT_MAX),"Organic carbon above the QC ceiling — check units, and whether this is an organic horizon. ","")&amp;IF(AND(ISNUMBER($J576),$J576&lt;QC_RECOVERY_MIN),"Recovered less than the QC minimum of the depth driven — the increments may not sit where you think. Do NOT stretch them back out. ","")&amp;IF(AND(ISNUMBER($K576),$K576&gt;0,$L576="Fine earth / total volume"),"Coarse fragments recorded and the lab basis already accounts for them — no further correction applied, which is correct. ",""))</f>
        <v/>
      </c>
      <c r="T576" s="6"/>
      <c r="U576" s="9" t="n">
        <f aca="false">IF($B576="",0,IF(COUNTIFS($B$5:$B576,$B576)=1,1,0))</f>
        <v>0</v>
      </c>
    </row>
    <row r="577" customFormat="false" ht="15" hidden="false" customHeight="false" outlineLevel="0" collapsed="false">
      <c r="A577" s="6"/>
      <c r="B577" s="6"/>
      <c r="C577" s="6"/>
      <c r="D577" s="6"/>
      <c r="E577" s="6"/>
      <c r="F577" s="9" t="str">
        <f aca="false">IF(OR($D577="",$E577=""),"",$E577-$D577)</f>
        <v/>
      </c>
      <c r="G577" s="6"/>
      <c r="H577" s="6"/>
      <c r="I577" s="6"/>
      <c r="J577" s="9" t="str">
        <f aca="false">IF(OR(NOT(ISNUMBER($H577)),NOT(ISNUMBER($I577)),$H577=0),"",$I577/$H577)</f>
        <v/>
      </c>
      <c r="K577" s="6"/>
      <c r="L577" s="8"/>
      <c r="M577" s="7"/>
      <c r="N577" s="7"/>
      <c r="O577" s="9" t="str">
        <f aca="false">IF(NOT(ISNUMBER($M577)),"",IF($L577="Fine earth / fine-earth volume",$M577*(1-IF(ISNUMBER($K577),$K577,0)/100),$M577))</f>
        <v/>
      </c>
      <c r="P577" s="9" t="str">
        <f aca="false">IF(OR(NOT(ISNUMBER($O577)),NOT(ISNUMBER($N577)),NOT(ISNUMBER($F577))),"",$O577*($N577/100)*$F577*10)</f>
        <v/>
      </c>
      <c r="Q577" s="9" t="str">
        <f aca="false">IF(OR(NOT(ISNUMBER($D577)),NOT(ISNUMBER($E577))),"",MAX(0,MIN($E577,SOIL_REPORTING_DEPTH_CM)-MIN($D577,SOIL_REPORTING_DEPTH_CM)))</f>
        <v/>
      </c>
      <c r="R577" s="9" t="str">
        <f aca="false">IF(OR(NOT(ISNUMBER($O577)),NOT(ISNUMBER($N577)),NOT(ISNUMBER($Q577))),"",$O577*($N577/100)*$Q577*10)</f>
        <v/>
      </c>
      <c r="S577" s="11" t="str">
        <f aca="false">IF(AND($A577="",$B577="",$D577=""),"",IF(AND($A577&lt;&gt;"",COUNTIF('1. Plot &amp; Site Log'!$A$5:$A$64,$A577)=0),"Plot ID not in the Plot &amp; Site Log. ","")&amp;IF(AND(ISNUMBER($D577),ISNUMBER($E577),$E577&lt;=$D577),"Bottom depth is not below top depth. ","")&amp;IF($L577="Not confirmed","Bulk-density basis not confirmed with the lab — the coarse-fragment correction may be wrong or doubled. ","")&amp;IF(LAB_BULK_DENSITY_BASIS="Not confirmed","No lab bulk-density basis is on file in Settings (LAB_BULK_DENSITY_BASIS), so nothing checks this row. ","")&amp;IF(AND($L577&lt;&gt;"",LAB_BULK_DENSITY_BASIS&lt;&gt;"Not confirmed",$L577&lt;&gt;LAB_BULK_DENSITY_BASIS),"This row's bulk-density basis disagrees with the lab method on file. One of "&amp;"the two is wrong, and the coarse-fragment correction follows the row. ","")&amp;IF(AND(ISNUMBER($M577),OR($M577&lt;QC_BD_MIN,$M577&gt;QC_BD_MAX)),"Bulk density outside the plausible range for a mineral grassland soil. ","")&amp;IF(AND(ISNUMBER($N577),$N577&gt;QC_CARBON_PCT_MAX),"Organic carbon above the QC ceiling — check units, and whether this is an organic horizon. ","")&amp;IF(AND(ISNUMBER($J577),$J577&lt;QC_RECOVERY_MIN),"Recovered less than the QC minimum of the depth driven — the increments may not sit where you think. Do NOT stretch them back out. ","")&amp;IF(AND(ISNUMBER($K577),$K577&gt;0,$L577="Fine earth / total volume"),"Coarse fragments recorded and the lab basis already accounts for them — no further correction applied, which is correct. ",""))</f>
        <v/>
      </c>
      <c r="T577" s="6"/>
      <c r="U577" s="9" t="n">
        <f aca="false">IF($B577="",0,IF(COUNTIFS($B$5:$B577,$B577)=1,1,0))</f>
        <v>0</v>
      </c>
    </row>
    <row r="578" customFormat="false" ht="15" hidden="false" customHeight="false" outlineLevel="0" collapsed="false">
      <c r="A578" s="6"/>
      <c r="B578" s="6"/>
      <c r="C578" s="6"/>
      <c r="D578" s="6"/>
      <c r="E578" s="6"/>
      <c r="F578" s="9" t="str">
        <f aca="false">IF(OR($D578="",$E578=""),"",$E578-$D578)</f>
        <v/>
      </c>
      <c r="G578" s="6"/>
      <c r="H578" s="6"/>
      <c r="I578" s="6"/>
      <c r="J578" s="9" t="str">
        <f aca="false">IF(OR(NOT(ISNUMBER($H578)),NOT(ISNUMBER($I578)),$H578=0),"",$I578/$H578)</f>
        <v/>
      </c>
      <c r="K578" s="6"/>
      <c r="L578" s="8"/>
      <c r="M578" s="7"/>
      <c r="N578" s="7"/>
      <c r="O578" s="9" t="str">
        <f aca="false">IF(NOT(ISNUMBER($M578)),"",IF($L578="Fine earth / fine-earth volume",$M578*(1-IF(ISNUMBER($K578),$K578,0)/100),$M578))</f>
        <v/>
      </c>
      <c r="P578" s="9" t="str">
        <f aca="false">IF(OR(NOT(ISNUMBER($O578)),NOT(ISNUMBER($N578)),NOT(ISNUMBER($F578))),"",$O578*($N578/100)*$F578*10)</f>
        <v/>
      </c>
      <c r="Q578" s="9" t="str">
        <f aca="false">IF(OR(NOT(ISNUMBER($D578)),NOT(ISNUMBER($E578))),"",MAX(0,MIN($E578,SOIL_REPORTING_DEPTH_CM)-MIN($D578,SOIL_REPORTING_DEPTH_CM)))</f>
        <v/>
      </c>
      <c r="R578" s="9" t="str">
        <f aca="false">IF(OR(NOT(ISNUMBER($O578)),NOT(ISNUMBER($N578)),NOT(ISNUMBER($Q578))),"",$O578*($N578/100)*$Q578*10)</f>
        <v/>
      </c>
      <c r="S578" s="11" t="str">
        <f aca="false">IF(AND($A578="",$B578="",$D578=""),"",IF(AND($A578&lt;&gt;"",COUNTIF('1. Plot &amp; Site Log'!$A$5:$A$64,$A578)=0),"Plot ID not in the Plot &amp; Site Log. ","")&amp;IF(AND(ISNUMBER($D578),ISNUMBER($E578),$E578&lt;=$D578),"Bottom depth is not below top depth. ","")&amp;IF($L578="Not confirmed","Bulk-density basis not confirmed with the lab — the coarse-fragment correction may be wrong or doubled. ","")&amp;IF(LAB_BULK_DENSITY_BASIS="Not confirmed","No lab bulk-density basis is on file in Settings (LAB_BULK_DENSITY_BASIS), so nothing checks this row. ","")&amp;IF(AND($L578&lt;&gt;"",LAB_BULK_DENSITY_BASIS&lt;&gt;"Not confirmed",$L578&lt;&gt;LAB_BULK_DENSITY_BASIS),"This row's bulk-density basis disagrees with the lab method on file. One of "&amp;"the two is wrong, and the coarse-fragment correction follows the row. ","")&amp;IF(AND(ISNUMBER($M578),OR($M578&lt;QC_BD_MIN,$M578&gt;QC_BD_MAX)),"Bulk density outside the plausible range for a mineral grassland soil. ","")&amp;IF(AND(ISNUMBER($N578),$N578&gt;QC_CARBON_PCT_MAX),"Organic carbon above the QC ceiling — check units, and whether this is an organic horizon. ","")&amp;IF(AND(ISNUMBER($J578),$J578&lt;QC_RECOVERY_MIN),"Recovered less than the QC minimum of the depth driven — the increments may not sit where you think. Do NOT stretch them back out. ","")&amp;IF(AND(ISNUMBER($K578),$K578&gt;0,$L578="Fine earth / total volume"),"Coarse fragments recorded and the lab basis already accounts for them — no further correction applied, which is correct. ",""))</f>
        <v/>
      </c>
      <c r="T578" s="6"/>
      <c r="U578" s="9" t="n">
        <f aca="false">IF($B578="",0,IF(COUNTIFS($B$5:$B578,$B578)=1,1,0))</f>
        <v>0</v>
      </c>
    </row>
    <row r="579" customFormat="false" ht="15" hidden="false" customHeight="false" outlineLevel="0" collapsed="false">
      <c r="A579" s="6"/>
      <c r="B579" s="6"/>
      <c r="C579" s="6"/>
      <c r="D579" s="6"/>
      <c r="E579" s="6"/>
      <c r="F579" s="9" t="str">
        <f aca="false">IF(OR($D579="",$E579=""),"",$E579-$D579)</f>
        <v/>
      </c>
      <c r="G579" s="6"/>
      <c r="H579" s="6"/>
      <c r="I579" s="6"/>
      <c r="J579" s="9" t="str">
        <f aca="false">IF(OR(NOT(ISNUMBER($H579)),NOT(ISNUMBER($I579)),$H579=0),"",$I579/$H579)</f>
        <v/>
      </c>
      <c r="K579" s="6"/>
      <c r="L579" s="8"/>
      <c r="M579" s="7"/>
      <c r="N579" s="7"/>
      <c r="O579" s="9" t="str">
        <f aca="false">IF(NOT(ISNUMBER($M579)),"",IF($L579="Fine earth / fine-earth volume",$M579*(1-IF(ISNUMBER($K579),$K579,0)/100),$M579))</f>
        <v/>
      </c>
      <c r="P579" s="9" t="str">
        <f aca="false">IF(OR(NOT(ISNUMBER($O579)),NOT(ISNUMBER($N579)),NOT(ISNUMBER($F579))),"",$O579*($N579/100)*$F579*10)</f>
        <v/>
      </c>
      <c r="Q579" s="9" t="str">
        <f aca="false">IF(OR(NOT(ISNUMBER($D579)),NOT(ISNUMBER($E579))),"",MAX(0,MIN($E579,SOIL_REPORTING_DEPTH_CM)-MIN($D579,SOIL_REPORTING_DEPTH_CM)))</f>
        <v/>
      </c>
      <c r="R579" s="9" t="str">
        <f aca="false">IF(OR(NOT(ISNUMBER($O579)),NOT(ISNUMBER($N579)),NOT(ISNUMBER($Q579))),"",$O579*($N579/100)*$Q579*10)</f>
        <v/>
      </c>
      <c r="S579" s="11" t="str">
        <f aca="false">IF(AND($A579="",$B579="",$D579=""),"",IF(AND($A579&lt;&gt;"",COUNTIF('1. Plot &amp; Site Log'!$A$5:$A$64,$A579)=0),"Plot ID not in the Plot &amp; Site Log. ","")&amp;IF(AND(ISNUMBER($D579),ISNUMBER($E579),$E579&lt;=$D579),"Bottom depth is not below top depth. ","")&amp;IF($L579="Not confirmed","Bulk-density basis not confirmed with the lab — the coarse-fragment correction may be wrong or doubled. ","")&amp;IF(LAB_BULK_DENSITY_BASIS="Not confirmed","No lab bulk-density basis is on file in Settings (LAB_BULK_DENSITY_BASIS), so nothing checks this row. ","")&amp;IF(AND($L579&lt;&gt;"",LAB_BULK_DENSITY_BASIS&lt;&gt;"Not confirmed",$L579&lt;&gt;LAB_BULK_DENSITY_BASIS),"This row's bulk-density basis disagrees with the lab method on file. One of "&amp;"the two is wrong, and the coarse-fragment correction follows the row. ","")&amp;IF(AND(ISNUMBER($M579),OR($M579&lt;QC_BD_MIN,$M579&gt;QC_BD_MAX)),"Bulk density outside the plausible range for a mineral grassland soil. ","")&amp;IF(AND(ISNUMBER($N579),$N579&gt;QC_CARBON_PCT_MAX),"Organic carbon above the QC ceiling — check units, and whether this is an organic horizon. ","")&amp;IF(AND(ISNUMBER($J579),$J579&lt;QC_RECOVERY_MIN),"Recovered less than the QC minimum of the depth driven — the increments may not sit where you think. Do NOT stretch them back out. ","")&amp;IF(AND(ISNUMBER($K579),$K579&gt;0,$L579="Fine earth / total volume"),"Coarse fragments recorded and the lab basis already accounts for them — no further correction applied, which is correct. ",""))</f>
        <v/>
      </c>
      <c r="T579" s="6"/>
      <c r="U579" s="9" t="n">
        <f aca="false">IF($B579="",0,IF(COUNTIFS($B$5:$B579,$B579)=1,1,0))</f>
        <v>0</v>
      </c>
    </row>
    <row r="580" customFormat="false" ht="15" hidden="false" customHeight="false" outlineLevel="0" collapsed="false">
      <c r="A580" s="6"/>
      <c r="B580" s="6"/>
      <c r="C580" s="6"/>
      <c r="D580" s="6"/>
      <c r="E580" s="6"/>
      <c r="F580" s="9" t="str">
        <f aca="false">IF(OR($D580="",$E580=""),"",$E580-$D580)</f>
        <v/>
      </c>
      <c r="G580" s="6"/>
      <c r="H580" s="6"/>
      <c r="I580" s="6"/>
      <c r="J580" s="9" t="str">
        <f aca="false">IF(OR(NOT(ISNUMBER($H580)),NOT(ISNUMBER($I580)),$H580=0),"",$I580/$H580)</f>
        <v/>
      </c>
      <c r="K580" s="6"/>
      <c r="L580" s="8"/>
      <c r="M580" s="7"/>
      <c r="N580" s="7"/>
      <c r="O580" s="9" t="str">
        <f aca="false">IF(NOT(ISNUMBER($M580)),"",IF($L580="Fine earth / fine-earth volume",$M580*(1-IF(ISNUMBER($K580),$K580,0)/100),$M580))</f>
        <v/>
      </c>
      <c r="P580" s="9" t="str">
        <f aca="false">IF(OR(NOT(ISNUMBER($O580)),NOT(ISNUMBER($N580)),NOT(ISNUMBER($F580))),"",$O580*($N580/100)*$F580*10)</f>
        <v/>
      </c>
      <c r="Q580" s="9" t="str">
        <f aca="false">IF(OR(NOT(ISNUMBER($D580)),NOT(ISNUMBER($E580))),"",MAX(0,MIN($E580,SOIL_REPORTING_DEPTH_CM)-MIN($D580,SOIL_REPORTING_DEPTH_CM)))</f>
        <v/>
      </c>
      <c r="R580" s="9" t="str">
        <f aca="false">IF(OR(NOT(ISNUMBER($O580)),NOT(ISNUMBER($N580)),NOT(ISNUMBER($Q580))),"",$O580*($N580/100)*$Q580*10)</f>
        <v/>
      </c>
      <c r="S580" s="11" t="str">
        <f aca="false">IF(AND($A580="",$B580="",$D580=""),"",IF(AND($A580&lt;&gt;"",COUNTIF('1. Plot &amp; Site Log'!$A$5:$A$64,$A580)=0),"Plot ID not in the Plot &amp; Site Log. ","")&amp;IF(AND(ISNUMBER($D580),ISNUMBER($E580),$E580&lt;=$D580),"Bottom depth is not below top depth. ","")&amp;IF($L580="Not confirmed","Bulk-density basis not confirmed with the lab — the coarse-fragment correction may be wrong or doubled. ","")&amp;IF(LAB_BULK_DENSITY_BASIS="Not confirmed","No lab bulk-density basis is on file in Settings (LAB_BULK_DENSITY_BASIS), so nothing checks this row. ","")&amp;IF(AND($L580&lt;&gt;"",LAB_BULK_DENSITY_BASIS&lt;&gt;"Not confirmed",$L580&lt;&gt;LAB_BULK_DENSITY_BASIS),"This row's bulk-density basis disagrees with the lab method on file. One of "&amp;"the two is wrong, and the coarse-fragment correction follows the row. ","")&amp;IF(AND(ISNUMBER($M580),OR($M580&lt;QC_BD_MIN,$M580&gt;QC_BD_MAX)),"Bulk density outside the plausible range for a mineral grassland soil. ","")&amp;IF(AND(ISNUMBER($N580),$N580&gt;QC_CARBON_PCT_MAX),"Organic carbon above the QC ceiling — check units, and whether this is an organic horizon. ","")&amp;IF(AND(ISNUMBER($J580),$J580&lt;QC_RECOVERY_MIN),"Recovered less than the QC minimum of the depth driven — the increments may not sit where you think. Do NOT stretch them back out. ","")&amp;IF(AND(ISNUMBER($K580),$K580&gt;0,$L580="Fine earth / total volume"),"Coarse fragments recorded and the lab basis already accounts for them — no further correction applied, which is correct. ",""))</f>
        <v/>
      </c>
      <c r="T580" s="6"/>
      <c r="U580" s="9" t="n">
        <f aca="false">IF($B580="",0,IF(COUNTIFS($B$5:$B580,$B580)=1,1,0))</f>
        <v>0</v>
      </c>
    </row>
    <row r="581" customFormat="false" ht="15" hidden="false" customHeight="false" outlineLevel="0" collapsed="false">
      <c r="A581" s="6"/>
      <c r="B581" s="6"/>
      <c r="C581" s="6"/>
      <c r="D581" s="6"/>
      <c r="E581" s="6"/>
      <c r="F581" s="9" t="str">
        <f aca="false">IF(OR($D581="",$E581=""),"",$E581-$D581)</f>
        <v/>
      </c>
      <c r="G581" s="6"/>
      <c r="H581" s="6"/>
      <c r="I581" s="6"/>
      <c r="J581" s="9" t="str">
        <f aca="false">IF(OR(NOT(ISNUMBER($H581)),NOT(ISNUMBER($I581)),$H581=0),"",$I581/$H581)</f>
        <v/>
      </c>
      <c r="K581" s="6"/>
      <c r="L581" s="8"/>
      <c r="M581" s="7"/>
      <c r="N581" s="7"/>
      <c r="O581" s="9" t="str">
        <f aca="false">IF(NOT(ISNUMBER($M581)),"",IF($L581="Fine earth / fine-earth volume",$M581*(1-IF(ISNUMBER($K581),$K581,0)/100),$M581))</f>
        <v/>
      </c>
      <c r="P581" s="9" t="str">
        <f aca="false">IF(OR(NOT(ISNUMBER($O581)),NOT(ISNUMBER($N581)),NOT(ISNUMBER($F581))),"",$O581*($N581/100)*$F581*10)</f>
        <v/>
      </c>
      <c r="Q581" s="9" t="str">
        <f aca="false">IF(OR(NOT(ISNUMBER($D581)),NOT(ISNUMBER($E581))),"",MAX(0,MIN($E581,SOIL_REPORTING_DEPTH_CM)-MIN($D581,SOIL_REPORTING_DEPTH_CM)))</f>
        <v/>
      </c>
      <c r="R581" s="9" t="str">
        <f aca="false">IF(OR(NOT(ISNUMBER($O581)),NOT(ISNUMBER($N581)),NOT(ISNUMBER($Q581))),"",$O581*($N581/100)*$Q581*10)</f>
        <v/>
      </c>
      <c r="S581" s="11" t="str">
        <f aca="false">IF(AND($A581="",$B581="",$D581=""),"",IF(AND($A581&lt;&gt;"",COUNTIF('1. Plot &amp; Site Log'!$A$5:$A$64,$A581)=0),"Plot ID not in the Plot &amp; Site Log. ","")&amp;IF(AND(ISNUMBER($D581),ISNUMBER($E581),$E581&lt;=$D581),"Bottom depth is not below top depth. ","")&amp;IF($L581="Not confirmed","Bulk-density basis not confirmed with the lab — the coarse-fragment correction may be wrong or doubled. ","")&amp;IF(LAB_BULK_DENSITY_BASIS="Not confirmed","No lab bulk-density basis is on file in Settings (LAB_BULK_DENSITY_BASIS), so nothing checks this row. ","")&amp;IF(AND($L581&lt;&gt;"",LAB_BULK_DENSITY_BASIS&lt;&gt;"Not confirmed",$L581&lt;&gt;LAB_BULK_DENSITY_BASIS),"This row's bulk-density basis disagrees with the lab method on file. One of "&amp;"the two is wrong, and the coarse-fragment correction follows the row. ","")&amp;IF(AND(ISNUMBER($M581),OR($M581&lt;QC_BD_MIN,$M581&gt;QC_BD_MAX)),"Bulk density outside the plausible range for a mineral grassland soil. ","")&amp;IF(AND(ISNUMBER($N581),$N581&gt;QC_CARBON_PCT_MAX),"Organic carbon above the QC ceiling — check units, and whether this is an organic horizon. ","")&amp;IF(AND(ISNUMBER($J581),$J581&lt;QC_RECOVERY_MIN),"Recovered less than the QC minimum of the depth driven — the increments may not sit where you think. Do NOT stretch them back out. ","")&amp;IF(AND(ISNUMBER($K581),$K581&gt;0,$L581="Fine earth / total volume"),"Coarse fragments recorded and the lab basis already accounts for them — no further correction applied, which is correct. ",""))</f>
        <v/>
      </c>
      <c r="T581" s="6"/>
      <c r="U581" s="9" t="n">
        <f aca="false">IF($B581="",0,IF(COUNTIFS($B$5:$B581,$B581)=1,1,0))</f>
        <v>0</v>
      </c>
    </row>
    <row r="582" customFormat="false" ht="15" hidden="false" customHeight="false" outlineLevel="0" collapsed="false">
      <c r="A582" s="6"/>
      <c r="B582" s="6"/>
      <c r="C582" s="6"/>
      <c r="D582" s="6"/>
      <c r="E582" s="6"/>
      <c r="F582" s="9" t="str">
        <f aca="false">IF(OR($D582="",$E582=""),"",$E582-$D582)</f>
        <v/>
      </c>
      <c r="G582" s="6"/>
      <c r="H582" s="6"/>
      <c r="I582" s="6"/>
      <c r="J582" s="9" t="str">
        <f aca="false">IF(OR(NOT(ISNUMBER($H582)),NOT(ISNUMBER($I582)),$H582=0),"",$I582/$H582)</f>
        <v/>
      </c>
      <c r="K582" s="6"/>
      <c r="L582" s="8"/>
      <c r="M582" s="7"/>
      <c r="N582" s="7"/>
      <c r="O582" s="9" t="str">
        <f aca="false">IF(NOT(ISNUMBER($M582)),"",IF($L582="Fine earth / fine-earth volume",$M582*(1-IF(ISNUMBER($K582),$K582,0)/100),$M582))</f>
        <v/>
      </c>
      <c r="P582" s="9" t="str">
        <f aca="false">IF(OR(NOT(ISNUMBER($O582)),NOT(ISNUMBER($N582)),NOT(ISNUMBER($F582))),"",$O582*($N582/100)*$F582*10)</f>
        <v/>
      </c>
      <c r="Q582" s="9" t="str">
        <f aca="false">IF(OR(NOT(ISNUMBER($D582)),NOT(ISNUMBER($E582))),"",MAX(0,MIN($E582,SOIL_REPORTING_DEPTH_CM)-MIN($D582,SOIL_REPORTING_DEPTH_CM)))</f>
        <v/>
      </c>
      <c r="R582" s="9" t="str">
        <f aca="false">IF(OR(NOT(ISNUMBER($O582)),NOT(ISNUMBER($N582)),NOT(ISNUMBER($Q582))),"",$O582*($N582/100)*$Q582*10)</f>
        <v/>
      </c>
      <c r="S582" s="11" t="str">
        <f aca="false">IF(AND($A582="",$B582="",$D582=""),"",IF(AND($A582&lt;&gt;"",COUNTIF('1. Plot &amp; Site Log'!$A$5:$A$64,$A582)=0),"Plot ID not in the Plot &amp; Site Log. ","")&amp;IF(AND(ISNUMBER($D582),ISNUMBER($E582),$E582&lt;=$D582),"Bottom depth is not below top depth. ","")&amp;IF($L582="Not confirmed","Bulk-density basis not confirmed with the lab — the coarse-fragment correction may be wrong or doubled. ","")&amp;IF(LAB_BULK_DENSITY_BASIS="Not confirmed","No lab bulk-density basis is on file in Settings (LAB_BULK_DENSITY_BASIS), so nothing checks this row. ","")&amp;IF(AND($L582&lt;&gt;"",LAB_BULK_DENSITY_BASIS&lt;&gt;"Not confirmed",$L582&lt;&gt;LAB_BULK_DENSITY_BASIS),"This row's bulk-density basis disagrees with the lab method on file. One of "&amp;"the two is wrong, and the coarse-fragment correction follows the row. ","")&amp;IF(AND(ISNUMBER($M582),OR($M582&lt;QC_BD_MIN,$M582&gt;QC_BD_MAX)),"Bulk density outside the plausible range for a mineral grassland soil. ","")&amp;IF(AND(ISNUMBER($N582),$N582&gt;QC_CARBON_PCT_MAX),"Organic carbon above the QC ceiling — check units, and whether this is an organic horizon. ","")&amp;IF(AND(ISNUMBER($J582),$J582&lt;QC_RECOVERY_MIN),"Recovered less than the QC minimum of the depth driven — the increments may not sit where you think. Do NOT stretch them back out. ","")&amp;IF(AND(ISNUMBER($K582),$K582&gt;0,$L582="Fine earth / total volume"),"Coarse fragments recorded and the lab basis already accounts for them — no further correction applied, which is correct. ",""))</f>
        <v/>
      </c>
      <c r="T582" s="6"/>
      <c r="U582" s="9" t="n">
        <f aca="false">IF($B582="",0,IF(COUNTIFS($B$5:$B582,$B582)=1,1,0))</f>
        <v>0</v>
      </c>
    </row>
    <row r="583" customFormat="false" ht="15" hidden="false" customHeight="false" outlineLevel="0" collapsed="false">
      <c r="A583" s="6"/>
      <c r="B583" s="6"/>
      <c r="C583" s="6"/>
      <c r="D583" s="6"/>
      <c r="E583" s="6"/>
      <c r="F583" s="9" t="str">
        <f aca="false">IF(OR($D583="",$E583=""),"",$E583-$D583)</f>
        <v/>
      </c>
      <c r="G583" s="6"/>
      <c r="H583" s="6"/>
      <c r="I583" s="6"/>
      <c r="J583" s="9" t="str">
        <f aca="false">IF(OR(NOT(ISNUMBER($H583)),NOT(ISNUMBER($I583)),$H583=0),"",$I583/$H583)</f>
        <v/>
      </c>
      <c r="K583" s="6"/>
      <c r="L583" s="8"/>
      <c r="M583" s="7"/>
      <c r="N583" s="7"/>
      <c r="O583" s="9" t="str">
        <f aca="false">IF(NOT(ISNUMBER($M583)),"",IF($L583="Fine earth / fine-earth volume",$M583*(1-IF(ISNUMBER($K583),$K583,0)/100),$M583))</f>
        <v/>
      </c>
      <c r="P583" s="9" t="str">
        <f aca="false">IF(OR(NOT(ISNUMBER($O583)),NOT(ISNUMBER($N583)),NOT(ISNUMBER($F583))),"",$O583*($N583/100)*$F583*10)</f>
        <v/>
      </c>
      <c r="Q583" s="9" t="str">
        <f aca="false">IF(OR(NOT(ISNUMBER($D583)),NOT(ISNUMBER($E583))),"",MAX(0,MIN($E583,SOIL_REPORTING_DEPTH_CM)-MIN($D583,SOIL_REPORTING_DEPTH_CM)))</f>
        <v/>
      </c>
      <c r="R583" s="9" t="str">
        <f aca="false">IF(OR(NOT(ISNUMBER($O583)),NOT(ISNUMBER($N583)),NOT(ISNUMBER($Q583))),"",$O583*($N583/100)*$Q583*10)</f>
        <v/>
      </c>
      <c r="S583" s="11" t="str">
        <f aca="false">IF(AND($A583="",$B583="",$D583=""),"",IF(AND($A583&lt;&gt;"",COUNTIF('1. Plot &amp; Site Log'!$A$5:$A$64,$A583)=0),"Plot ID not in the Plot &amp; Site Log. ","")&amp;IF(AND(ISNUMBER($D583),ISNUMBER($E583),$E583&lt;=$D583),"Bottom depth is not below top depth. ","")&amp;IF($L583="Not confirmed","Bulk-density basis not confirmed with the lab — the coarse-fragment correction may be wrong or doubled. ","")&amp;IF(LAB_BULK_DENSITY_BASIS="Not confirmed","No lab bulk-density basis is on file in Settings (LAB_BULK_DENSITY_BASIS), so nothing checks this row. ","")&amp;IF(AND($L583&lt;&gt;"",LAB_BULK_DENSITY_BASIS&lt;&gt;"Not confirmed",$L583&lt;&gt;LAB_BULK_DENSITY_BASIS),"This row's bulk-density basis disagrees with the lab method on file. One of "&amp;"the two is wrong, and the coarse-fragment correction follows the row. ","")&amp;IF(AND(ISNUMBER($M583),OR($M583&lt;QC_BD_MIN,$M583&gt;QC_BD_MAX)),"Bulk density outside the plausible range for a mineral grassland soil. ","")&amp;IF(AND(ISNUMBER($N583),$N583&gt;QC_CARBON_PCT_MAX),"Organic carbon above the QC ceiling — check units, and whether this is an organic horizon. ","")&amp;IF(AND(ISNUMBER($J583),$J583&lt;QC_RECOVERY_MIN),"Recovered less than the QC minimum of the depth driven — the increments may not sit where you think. Do NOT stretch them back out. ","")&amp;IF(AND(ISNUMBER($K583),$K583&gt;0,$L583="Fine earth / total volume"),"Coarse fragments recorded and the lab basis already accounts for them — no further correction applied, which is correct. ",""))</f>
        <v/>
      </c>
      <c r="T583" s="6"/>
      <c r="U583" s="9" t="n">
        <f aca="false">IF($B583="",0,IF(COUNTIFS($B$5:$B583,$B583)=1,1,0))</f>
        <v>0</v>
      </c>
    </row>
    <row r="584" customFormat="false" ht="15" hidden="false" customHeight="false" outlineLevel="0" collapsed="false">
      <c r="A584" s="6"/>
      <c r="B584" s="6"/>
      <c r="C584" s="6"/>
      <c r="D584" s="6"/>
      <c r="E584" s="6"/>
      <c r="F584" s="9" t="str">
        <f aca="false">IF(OR($D584="",$E584=""),"",$E584-$D584)</f>
        <v/>
      </c>
      <c r="G584" s="6"/>
      <c r="H584" s="6"/>
      <c r="I584" s="6"/>
      <c r="J584" s="9" t="str">
        <f aca="false">IF(OR(NOT(ISNUMBER($H584)),NOT(ISNUMBER($I584)),$H584=0),"",$I584/$H584)</f>
        <v/>
      </c>
      <c r="K584" s="6"/>
      <c r="L584" s="8"/>
      <c r="M584" s="7"/>
      <c r="N584" s="7"/>
      <c r="O584" s="9" t="str">
        <f aca="false">IF(NOT(ISNUMBER($M584)),"",IF($L584="Fine earth / fine-earth volume",$M584*(1-IF(ISNUMBER($K584),$K584,0)/100),$M584))</f>
        <v/>
      </c>
      <c r="P584" s="9" t="str">
        <f aca="false">IF(OR(NOT(ISNUMBER($O584)),NOT(ISNUMBER($N584)),NOT(ISNUMBER($F584))),"",$O584*($N584/100)*$F584*10)</f>
        <v/>
      </c>
      <c r="Q584" s="9" t="str">
        <f aca="false">IF(OR(NOT(ISNUMBER($D584)),NOT(ISNUMBER($E584))),"",MAX(0,MIN($E584,SOIL_REPORTING_DEPTH_CM)-MIN($D584,SOIL_REPORTING_DEPTH_CM)))</f>
        <v/>
      </c>
      <c r="R584" s="9" t="str">
        <f aca="false">IF(OR(NOT(ISNUMBER($O584)),NOT(ISNUMBER($N584)),NOT(ISNUMBER($Q584))),"",$O584*($N584/100)*$Q584*10)</f>
        <v/>
      </c>
      <c r="S584" s="11" t="str">
        <f aca="false">IF(AND($A584="",$B584="",$D584=""),"",IF(AND($A584&lt;&gt;"",COUNTIF('1. Plot &amp; Site Log'!$A$5:$A$64,$A584)=0),"Plot ID not in the Plot &amp; Site Log. ","")&amp;IF(AND(ISNUMBER($D584),ISNUMBER($E584),$E584&lt;=$D584),"Bottom depth is not below top depth. ","")&amp;IF($L584="Not confirmed","Bulk-density basis not confirmed with the lab — the coarse-fragment correction may be wrong or doubled. ","")&amp;IF(LAB_BULK_DENSITY_BASIS="Not confirmed","No lab bulk-density basis is on file in Settings (LAB_BULK_DENSITY_BASIS), so nothing checks this row. ","")&amp;IF(AND($L584&lt;&gt;"",LAB_BULK_DENSITY_BASIS&lt;&gt;"Not confirmed",$L584&lt;&gt;LAB_BULK_DENSITY_BASIS),"This row's bulk-density basis disagrees with the lab method on file. One of "&amp;"the two is wrong, and the coarse-fragment correction follows the row. ","")&amp;IF(AND(ISNUMBER($M584),OR($M584&lt;QC_BD_MIN,$M584&gt;QC_BD_MAX)),"Bulk density outside the plausible range for a mineral grassland soil. ","")&amp;IF(AND(ISNUMBER($N584),$N584&gt;QC_CARBON_PCT_MAX),"Organic carbon above the QC ceiling — check units, and whether this is an organic horizon. ","")&amp;IF(AND(ISNUMBER($J584),$J584&lt;QC_RECOVERY_MIN),"Recovered less than the QC minimum of the depth driven — the increments may not sit where you think. Do NOT stretch them back out. ","")&amp;IF(AND(ISNUMBER($K584),$K584&gt;0,$L584="Fine earth / total volume"),"Coarse fragments recorded and the lab basis already accounts for them — no further correction applied, which is correct. ",""))</f>
        <v/>
      </c>
      <c r="T584" s="6"/>
      <c r="U584" s="9" t="n">
        <f aca="false">IF($B584="",0,IF(COUNTIFS($B$5:$B584,$B584)=1,1,0))</f>
        <v>0</v>
      </c>
    </row>
    <row r="585" customFormat="false" ht="15" hidden="false" customHeight="false" outlineLevel="0" collapsed="false">
      <c r="A585" s="6"/>
      <c r="B585" s="6"/>
      <c r="C585" s="6"/>
      <c r="D585" s="6"/>
      <c r="E585" s="6"/>
      <c r="F585" s="9" t="str">
        <f aca="false">IF(OR($D585="",$E585=""),"",$E585-$D585)</f>
        <v/>
      </c>
      <c r="G585" s="6"/>
      <c r="H585" s="6"/>
      <c r="I585" s="6"/>
      <c r="J585" s="9" t="str">
        <f aca="false">IF(OR(NOT(ISNUMBER($H585)),NOT(ISNUMBER($I585)),$H585=0),"",$I585/$H585)</f>
        <v/>
      </c>
      <c r="K585" s="6"/>
      <c r="L585" s="8"/>
      <c r="M585" s="7"/>
      <c r="N585" s="7"/>
      <c r="O585" s="9" t="str">
        <f aca="false">IF(NOT(ISNUMBER($M585)),"",IF($L585="Fine earth / fine-earth volume",$M585*(1-IF(ISNUMBER($K585),$K585,0)/100),$M585))</f>
        <v/>
      </c>
      <c r="P585" s="9" t="str">
        <f aca="false">IF(OR(NOT(ISNUMBER($O585)),NOT(ISNUMBER($N585)),NOT(ISNUMBER($F585))),"",$O585*($N585/100)*$F585*10)</f>
        <v/>
      </c>
      <c r="Q585" s="9" t="str">
        <f aca="false">IF(OR(NOT(ISNUMBER($D585)),NOT(ISNUMBER($E585))),"",MAX(0,MIN($E585,SOIL_REPORTING_DEPTH_CM)-MIN($D585,SOIL_REPORTING_DEPTH_CM)))</f>
        <v/>
      </c>
      <c r="R585" s="9" t="str">
        <f aca="false">IF(OR(NOT(ISNUMBER($O585)),NOT(ISNUMBER($N585)),NOT(ISNUMBER($Q585))),"",$O585*($N585/100)*$Q585*10)</f>
        <v/>
      </c>
      <c r="S585" s="11" t="str">
        <f aca="false">IF(AND($A585="",$B585="",$D585=""),"",IF(AND($A585&lt;&gt;"",COUNTIF('1. Plot &amp; Site Log'!$A$5:$A$64,$A585)=0),"Plot ID not in the Plot &amp; Site Log. ","")&amp;IF(AND(ISNUMBER($D585),ISNUMBER($E585),$E585&lt;=$D585),"Bottom depth is not below top depth. ","")&amp;IF($L585="Not confirmed","Bulk-density basis not confirmed with the lab — the coarse-fragment correction may be wrong or doubled. ","")&amp;IF(LAB_BULK_DENSITY_BASIS="Not confirmed","No lab bulk-density basis is on file in Settings (LAB_BULK_DENSITY_BASIS), so nothing checks this row. ","")&amp;IF(AND($L585&lt;&gt;"",LAB_BULK_DENSITY_BASIS&lt;&gt;"Not confirmed",$L585&lt;&gt;LAB_BULK_DENSITY_BASIS),"This row's bulk-density basis disagrees with the lab method on file. One of "&amp;"the two is wrong, and the coarse-fragment correction follows the row. ","")&amp;IF(AND(ISNUMBER($M585),OR($M585&lt;QC_BD_MIN,$M585&gt;QC_BD_MAX)),"Bulk density outside the plausible range for a mineral grassland soil. ","")&amp;IF(AND(ISNUMBER($N585),$N585&gt;QC_CARBON_PCT_MAX),"Organic carbon above the QC ceiling — check units, and whether this is an organic horizon. ","")&amp;IF(AND(ISNUMBER($J585),$J585&lt;QC_RECOVERY_MIN),"Recovered less than the QC minimum of the depth driven — the increments may not sit where you think. Do NOT stretch them back out. ","")&amp;IF(AND(ISNUMBER($K585),$K585&gt;0,$L585="Fine earth / total volume"),"Coarse fragments recorded and the lab basis already accounts for them — no further correction applied, which is correct. ",""))</f>
        <v/>
      </c>
      <c r="T585" s="6"/>
      <c r="U585" s="9" t="n">
        <f aca="false">IF($B585="",0,IF(COUNTIFS($B$5:$B585,$B585)=1,1,0))</f>
        <v>0</v>
      </c>
    </row>
    <row r="586" customFormat="false" ht="15" hidden="false" customHeight="false" outlineLevel="0" collapsed="false">
      <c r="A586" s="6"/>
      <c r="B586" s="6"/>
      <c r="C586" s="6"/>
      <c r="D586" s="6"/>
      <c r="E586" s="6"/>
      <c r="F586" s="9" t="str">
        <f aca="false">IF(OR($D586="",$E586=""),"",$E586-$D586)</f>
        <v/>
      </c>
      <c r="G586" s="6"/>
      <c r="H586" s="6"/>
      <c r="I586" s="6"/>
      <c r="J586" s="9" t="str">
        <f aca="false">IF(OR(NOT(ISNUMBER($H586)),NOT(ISNUMBER($I586)),$H586=0),"",$I586/$H586)</f>
        <v/>
      </c>
      <c r="K586" s="6"/>
      <c r="L586" s="8"/>
      <c r="M586" s="7"/>
      <c r="N586" s="7"/>
      <c r="O586" s="9" t="str">
        <f aca="false">IF(NOT(ISNUMBER($M586)),"",IF($L586="Fine earth / fine-earth volume",$M586*(1-IF(ISNUMBER($K586),$K586,0)/100),$M586))</f>
        <v/>
      </c>
      <c r="P586" s="9" t="str">
        <f aca="false">IF(OR(NOT(ISNUMBER($O586)),NOT(ISNUMBER($N586)),NOT(ISNUMBER($F586))),"",$O586*($N586/100)*$F586*10)</f>
        <v/>
      </c>
      <c r="Q586" s="9" t="str">
        <f aca="false">IF(OR(NOT(ISNUMBER($D586)),NOT(ISNUMBER($E586))),"",MAX(0,MIN($E586,SOIL_REPORTING_DEPTH_CM)-MIN($D586,SOIL_REPORTING_DEPTH_CM)))</f>
        <v/>
      </c>
      <c r="R586" s="9" t="str">
        <f aca="false">IF(OR(NOT(ISNUMBER($O586)),NOT(ISNUMBER($N586)),NOT(ISNUMBER($Q586))),"",$O586*($N586/100)*$Q586*10)</f>
        <v/>
      </c>
      <c r="S586" s="11" t="str">
        <f aca="false">IF(AND($A586="",$B586="",$D586=""),"",IF(AND($A586&lt;&gt;"",COUNTIF('1. Plot &amp; Site Log'!$A$5:$A$64,$A586)=0),"Plot ID not in the Plot &amp; Site Log. ","")&amp;IF(AND(ISNUMBER($D586),ISNUMBER($E586),$E586&lt;=$D586),"Bottom depth is not below top depth. ","")&amp;IF($L586="Not confirmed","Bulk-density basis not confirmed with the lab — the coarse-fragment correction may be wrong or doubled. ","")&amp;IF(LAB_BULK_DENSITY_BASIS="Not confirmed","No lab bulk-density basis is on file in Settings (LAB_BULK_DENSITY_BASIS), so nothing checks this row. ","")&amp;IF(AND($L586&lt;&gt;"",LAB_BULK_DENSITY_BASIS&lt;&gt;"Not confirmed",$L586&lt;&gt;LAB_BULK_DENSITY_BASIS),"This row's bulk-density basis disagrees with the lab method on file. One of "&amp;"the two is wrong, and the coarse-fragment correction follows the row. ","")&amp;IF(AND(ISNUMBER($M586),OR($M586&lt;QC_BD_MIN,$M586&gt;QC_BD_MAX)),"Bulk density outside the plausible range for a mineral grassland soil. ","")&amp;IF(AND(ISNUMBER($N586),$N586&gt;QC_CARBON_PCT_MAX),"Organic carbon above the QC ceiling — check units, and whether this is an organic horizon. ","")&amp;IF(AND(ISNUMBER($J586),$J586&lt;QC_RECOVERY_MIN),"Recovered less than the QC minimum of the depth driven — the increments may not sit where you think. Do NOT stretch them back out. ","")&amp;IF(AND(ISNUMBER($K586),$K586&gt;0,$L586="Fine earth / total volume"),"Coarse fragments recorded and the lab basis already accounts for them — no further correction applied, which is correct. ",""))</f>
        <v/>
      </c>
      <c r="T586" s="6"/>
      <c r="U586" s="9" t="n">
        <f aca="false">IF($B586="",0,IF(COUNTIFS($B$5:$B586,$B586)=1,1,0))</f>
        <v>0</v>
      </c>
    </row>
    <row r="587" customFormat="false" ht="15" hidden="false" customHeight="false" outlineLevel="0" collapsed="false">
      <c r="A587" s="6"/>
      <c r="B587" s="6"/>
      <c r="C587" s="6"/>
      <c r="D587" s="6"/>
      <c r="E587" s="6"/>
      <c r="F587" s="9" t="str">
        <f aca="false">IF(OR($D587="",$E587=""),"",$E587-$D587)</f>
        <v/>
      </c>
      <c r="G587" s="6"/>
      <c r="H587" s="6"/>
      <c r="I587" s="6"/>
      <c r="J587" s="9" t="str">
        <f aca="false">IF(OR(NOT(ISNUMBER($H587)),NOT(ISNUMBER($I587)),$H587=0),"",$I587/$H587)</f>
        <v/>
      </c>
      <c r="K587" s="6"/>
      <c r="L587" s="8"/>
      <c r="M587" s="7"/>
      <c r="N587" s="7"/>
      <c r="O587" s="9" t="str">
        <f aca="false">IF(NOT(ISNUMBER($M587)),"",IF($L587="Fine earth / fine-earth volume",$M587*(1-IF(ISNUMBER($K587),$K587,0)/100),$M587))</f>
        <v/>
      </c>
      <c r="P587" s="9" t="str">
        <f aca="false">IF(OR(NOT(ISNUMBER($O587)),NOT(ISNUMBER($N587)),NOT(ISNUMBER($F587))),"",$O587*($N587/100)*$F587*10)</f>
        <v/>
      </c>
      <c r="Q587" s="9" t="str">
        <f aca="false">IF(OR(NOT(ISNUMBER($D587)),NOT(ISNUMBER($E587))),"",MAX(0,MIN($E587,SOIL_REPORTING_DEPTH_CM)-MIN($D587,SOIL_REPORTING_DEPTH_CM)))</f>
        <v/>
      </c>
      <c r="R587" s="9" t="str">
        <f aca="false">IF(OR(NOT(ISNUMBER($O587)),NOT(ISNUMBER($N587)),NOT(ISNUMBER($Q587))),"",$O587*($N587/100)*$Q587*10)</f>
        <v/>
      </c>
      <c r="S587" s="11" t="str">
        <f aca="false">IF(AND($A587="",$B587="",$D587=""),"",IF(AND($A587&lt;&gt;"",COUNTIF('1. Plot &amp; Site Log'!$A$5:$A$64,$A587)=0),"Plot ID not in the Plot &amp; Site Log. ","")&amp;IF(AND(ISNUMBER($D587),ISNUMBER($E587),$E587&lt;=$D587),"Bottom depth is not below top depth. ","")&amp;IF($L587="Not confirmed","Bulk-density basis not confirmed with the lab — the coarse-fragment correction may be wrong or doubled. ","")&amp;IF(LAB_BULK_DENSITY_BASIS="Not confirmed","No lab bulk-density basis is on file in Settings (LAB_BULK_DENSITY_BASIS), so nothing checks this row. ","")&amp;IF(AND($L587&lt;&gt;"",LAB_BULK_DENSITY_BASIS&lt;&gt;"Not confirmed",$L587&lt;&gt;LAB_BULK_DENSITY_BASIS),"This row's bulk-density basis disagrees with the lab method on file. One of "&amp;"the two is wrong, and the coarse-fragment correction follows the row. ","")&amp;IF(AND(ISNUMBER($M587),OR($M587&lt;QC_BD_MIN,$M587&gt;QC_BD_MAX)),"Bulk density outside the plausible range for a mineral grassland soil. ","")&amp;IF(AND(ISNUMBER($N587),$N587&gt;QC_CARBON_PCT_MAX),"Organic carbon above the QC ceiling — check units, and whether this is an organic horizon. ","")&amp;IF(AND(ISNUMBER($J587),$J587&lt;QC_RECOVERY_MIN),"Recovered less than the QC minimum of the depth driven — the increments may not sit where you think. Do NOT stretch them back out. ","")&amp;IF(AND(ISNUMBER($K587),$K587&gt;0,$L587="Fine earth / total volume"),"Coarse fragments recorded and the lab basis already accounts for them — no further correction applied, which is correct. ",""))</f>
        <v/>
      </c>
      <c r="T587" s="6"/>
      <c r="U587" s="9" t="n">
        <f aca="false">IF($B587="",0,IF(COUNTIFS($B$5:$B587,$B587)=1,1,0))</f>
        <v>0</v>
      </c>
    </row>
    <row r="588" customFormat="false" ht="15" hidden="false" customHeight="false" outlineLevel="0" collapsed="false">
      <c r="A588" s="6"/>
      <c r="B588" s="6"/>
      <c r="C588" s="6"/>
      <c r="D588" s="6"/>
      <c r="E588" s="6"/>
      <c r="F588" s="9" t="str">
        <f aca="false">IF(OR($D588="",$E588=""),"",$E588-$D588)</f>
        <v/>
      </c>
      <c r="G588" s="6"/>
      <c r="H588" s="6"/>
      <c r="I588" s="6"/>
      <c r="J588" s="9" t="str">
        <f aca="false">IF(OR(NOT(ISNUMBER($H588)),NOT(ISNUMBER($I588)),$H588=0),"",$I588/$H588)</f>
        <v/>
      </c>
      <c r="K588" s="6"/>
      <c r="L588" s="8"/>
      <c r="M588" s="7"/>
      <c r="N588" s="7"/>
      <c r="O588" s="9" t="str">
        <f aca="false">IF(NOT(ISNUMBER($M588)),"",IF($L588="Fine earth / fine-earth volume",$M588*(1-IF(ISNUMBER($K588),$K588,0)/100),$M588))</f>
        <v/>
      </c>
      <c r="P588" s="9" t="str">
        <f aca="false">IF(OR(NOT(ISNUMBER($O588)),NOT(ISNUMBER($N588)),NOT(ISNUMBER($F588))),"",$O588*($N588/100)*$F588*10)</f>
        <v/>
      </c>
      <c r="Q588" s="9" t="str">
        <f aca="false">IF(OR(NOT(ISNUMBER($D588)),NOT(ISNUMBER($E588))),"",MAX(0,MIN($E588,SOIL_REPORTING_DEPTH_CM)-MIN($D588,SOIL_REPORTING_DEPTH_CM)))</f>
        <v/>
      </c>
      <c r="R588" s="9" t="str">
        <f aca="false">IF(OR(NOT(ISNUMBER($O588)),NOT(ISNUMBER($N588)),NOT(ISNUMBER($Q588))),"",$O588*($N588/100)*$Q588*10)</f>
        <v/>
      </c>
      <c r="S588" s="11" t="str">
        <f aca="false">IF(AND($A588="",$B588="",$D588=""),"",IF(AND($A588&lt;&gt;"",COUNTIF('1. Plot &amp; Site Log'!$A$5:$A$64,$A588)=0),"Plot ID not in the Plot &amp; Site Log. ","")&amp;IF(AND(ISNUMBER($D588),ISNUMBER($E588),$E588&lt;=$D588),"Bottom depth is not below top depth. ","")&amp;IF($L588="Not confirmed","Bulk-density basis not confirmed with the lab — the coarse-fragment correction may be wrong or doubled. ","")&amp;IF(LAB_BULK_DENSITY_BASIS="Not confirmed","No lab bulk-density basis is on file in Settings (LAB_BULK_DENSITY_BASIS), so nothing checks this row. ","")&amp;IF(AND($L588&lt;&gt;"",LAB_BULK_DENSITY_BASIS&lt;&gt;"Not confirmed",$L588&lt;&gt;LAB_BULK_DENSITY_BASIS),"This row's bulk-density basis disagrees with the lab method on file. One of "&amp;"the two is wrong, and the coarse-fragment correction follows the row. ","")&amp;IF(AND(ISNUMBER($M588),OR($M588&lt;QC_BD_MIN,$M588&gt;QC_BD_MAX)),"Bulk density outside the plausible range for a mineral grassland soil. ","")&amp;IF(AND(ISNUMBER($N588),$N588&gt;QC_CARBON_PCT_MAX),"Organic carbon above the QC ceiling — check units, and whether this is an organic horizon. ","")&amp;IF(AND(ISNUMBER($J588),$J588&lt;QC_RECOVERY_MIN),"Recovered less than the QC minimum of the depth driven — the increments may not sit where you think. Do NOT stretch them back out. ","")&amp;IF(AND(ISNUMBER($K588),$K588&gt;0,$L588="Fine earth / total volume"),"Coarse fragments recorded and the lab basis already accounts for them — no further correction applied, which is correct. ",""))</f>
        <v/>
      </c>
      <c r="T588" s="6"/>
      <c r="U588" s="9" t="n">
        <f aca="false">IF($B588="",0,IF(COUNTIFS($B$5:$B588,$B588)=1,1,0))</f>
        <v>0</v>
      </c>
    </row>
    <row r="589" customFormat="false" ht="15" hidden="false" customHeight="false" outlineLevel="0" collapsed="false">
      <c r="A589" s="6"/>
      <c r="B589" s="6"/>
      <c r="C589" s="6"/>
      <c r="D589" s="6"/>
      <c r="E589" s="6"/>
      <c r="F589" s="9" t="str">
        <f aca="false">IF(OR($D589="",$E589=""),"",$E589-$D589)</f>
        <v/>
      </c>
      <c r="G589" s="6"/>
      <c r="H589" s="6"/>
      <c r="I589" s="6"/>
      <c r="J589" s="9" t="str">
        <f aca="false">IF(OR(NOT(ISNUMBER($H589)),NOT(ISNUMBER($I589)),$H589=0),"",$I589/$H589)</f>
        <v/>
      </c>
      <c r="K589" s="6"/>
      <c r="L589" s="8"/>
      <c r="M589" s="7"/>
      <c r="N589" s="7"/>
      <c r="O589" s="9" t="str">
        <f aca="false">IF(NOT(ISNUMBER($M589)),"",IF($L589="Fine earth / fine-earth volume",$M589*(1-IF(ISNUMBER($K589),$K589,0)/100),$M589))</f>
        <v/>
      </c>
      <c r="P589" s="9" t="str">
        <f aca="false">IF(OR(NOT(ISNUMBER($O589)),NOT(ISNUMBER($N589)),NOT(ISNUMBER($F589))),"",$O589*($N589/100)*$F589*10)</f>
        <v/>
      </c>
      <c r="Q589" s="9" t="str">
        <f aca="false">IF(OR(NOT(ISNUMBER($D589)),NOT(ISNUMBER($E589))),"",MAX(0,MIN($E589,SOIL_REPORTING_DEPTH_CM)-MIN($D589,SOIL_REPORTING_DEPTH_CM)))</f>
        <v/>
      </c>
      <c r="R589" s="9" t="str">
        <f aca="false">IF(OR(NOT(ISNUMBER($O589)),NOT(ISNUMBER($N589)),NOT(ISNUMBER($Q589))),"",$O589*($N589/100)*$Q589*10)</f>
        <v/>
      </c>
      <c r="S589" s="11" t="str">
        <f aca="false">IF(AND($A589="",$B589="",$D589=""),"",IF(AND($A589&lt;&gt;"",COUNTIF('1. Plot &amp; Site Log'!$A$5:$A$64,$A589)=0),"Plot ID not in the Plot &amp; Site Log. ","")&amp;IF(AND(ISNUMBER($D589),ISNUMBER($E589),$E589&lt;=$D589),"Bottom depth is not below top depth. ","")&amp;IF($L589="Not confirmed","Bulk-density basis not confirmed with the lab — the coarse-fragment correction may be wrong or doubled. ","")&amp;IF(LAB_BULK_DENSITY_BASIS="Not confirmed","No lab bulk-density basis is on file in Settings (LAB_BULK_DENSITY_BASIS), so nothing checks this row. ","")&amp;IF(AND($L589&lt;&gt;"",LAB_BULK_DENSITY_BASIS&lt;&gt;"Not confirmed",$L589&lt;&gt;LAB_BULK_DENSITY_BASIS),"This row's bulk-density basis disagrees with the lab method on file. One of "&amp;"the two is wrong, and the coarse-fragment correction follows the row. ","")&amp;IF(AND(ISNUMBER($M589),OR($M589&lt;QC_BD_MIN,$M589&gt;QC_BD_MAX)),"Bulk density outside the plausible range for a mineral grassland soil. ","")&amp;IF(AND(ISNUMBER($N589),$N589&gt;QC_CARBON_PCT_MAX),"Organic carbon above the QC ceiling — check units, and whether this is an organic horizon. ","")&amp;IF(AND(ISNUMBER($J589),$J589&lt;QC_RECOVERY_MIN),"Recovered less than the QC minimum of the depth driven — the increments may not sit where you think. Do NOT stretch them back out. ","")&amp;IF(AND(ISNUMBER($K589),$K589&gt;0,$L589="Fine earth / total volume"),"Coarse fragments recorded and the lab basis already accounts for them — no further correction applied, which is correct. ",""))</f>
        <v/>
      </c>
      <c r="T589" s="6"/>
      <c r="U589" s="9" t="n">
        <f aca="false">IF($B589="",0,IF(COUNTIFS($B$5:$B589,$B589)=1,1,0))</f>
        <v>0</v>
      </c>
    </row>
    <row r="590" customFormat="false" ht="15" hidden="false" customHeight="false" outlineLevel="0" collapsed="false">
      <c r="A590" s="6"/>
      <c r="B590" s="6"/>
      <c r="C590" s="6"/>
      <c r="D590" s="6"/>
      <c r="E590" s="6"/>
      <c r="F590" s="9" t="str">
        <f aca="false">IF(OR($D590="",$E590=""),"",$E590-$D590)</f>
        <v/>
      </c>
      <c r="G590" s="6"/>
      <c r="H590" s="6"/>
      <c r="I590" s="6"/>
      <c r="J590" s="9" t="str">
        <f aca="false">IF(OR(NOT(ISNUMBER($H590)),NOT(ISNUMBER($I590)),$H590=0),"",$I590/$H590)</f>
        <v/>
      </c>
      <c r="K590" s="6"/>
      <c r="L590" s="8"/>
      <c r="M590" s="7"/>
      <c r="N590" s="7"/>
      <c r="O590" s="9" t="str">
        <f aca="false">IF(NOT(ISNUMBER($M590)),"",IF($L590="Fine earth / fine-earth volume",$M590*(1-IF(ISNUMBER($K590),$K590,0)/100),$M590))</f>
        <v/>
      </c>
      <c r="P590" s="9" t="str">
        <f aca="false">IF(OR(NOT(ISNUMBER($O590)),NOT(ISNUMBER($N590)),NOT(ISNUMBER($F590))),"",$O590*($N590/100)*$F590*10)</f>
        <v/>
      </c>
      <c r="Q590" s="9" t="str">
        <f aca="false">IF(OR(NOT(ISNUMBER($D590)),NOT(ISNUMBER($E590))),"",MAX(0,MIN($E590,SOIL_REPORTING_DEPTH_CM)-MIN($D590,SOIL_REPORTING_DEPTH_CM)))</f>
        <v/>
      </c>
      <c r="R590" s="9" t="str">
        <f aca="false">IF(OR(NOT(ISNUMBER($O590)),NOT(ISNUMBER($N590)),NOT(ISNUMBER($Q590))),"",$O590*($N590/100)*$Q590*10)</f>
        <v/>
      </c>
      <c r="S590" s="11" t="str">
        <f aca="false">IF(AND($A590="",$B590="",$D590=""),"",IF(AND($A590&lt;&gt;"",COUNTIF('1. Plot &amp; Site Log'!$A$5:$A$64,$A590)=0),"Plot ID not in the Plot &amp; Site Log. ","")&amp;IF(AND(ISNUMBER($D590),ISNUMBER($E590),$E590&lt;=$D590),"Bottom depth is not below top depth. ","")&amp;IF($L590="Not confirmed","Bulk-density basis not confirmed with the lab — the coarse-fragment correction may be wrong or doubled. ","")&amp;IF(LAB_BULK_DENSITY_BASIS="Not confirmed","No lab bulk-density basis is on file in Settings (LAB_BULK_DENSITY_BASIS), so nothing checks this row. ","")&amp;IF(AND($L590&lt;&gt;"",LAB_BULK_DENSITY_BASIS&lt;&gt;"Not confirmed",$L590&lt;&gt;LAB_BULK_DENSITY_BASIS),"This row's bulk-density basis disagrees with the lab method on file. One of "&amp;"the two is wrong, and the coarse-fragment correction follows the row. ","")&amp;IF(AND(ISNUMBER($M590),OR($M590&lt;QC_BD_MIN,$M590&gt;QC_BD_MAX)),"Bulk density outside the plausible range for a mineral grassland soil. ","")&amp;IF(AND(ISNUMBER($N590),$N590&gt;QC_CARBON_PCT_MAX),"Organic carbon above the QC ceiling — check units, and whether this is an organic horizon. ","")&amp;IF(AND(ISNUMBER($J590),$J590&lt;QC_RECOVERY_MIN),"Recovered less than the QC minimum of the depth driven — the increments may not sit where you think. Do NOT stretch them back out. ","")&amp;IF(AND(ISNUMBER($K590),$K590&gt;0,$L590="Fine earth / total volume"),"Coarse fragments recorded and the lab basis already accounts for them — no further correction applied, which is correct. ",""))</f>
        <v/>
      </c>
      <c r="T590" s="6"/>
      <c r="U590" s="9" t="n">
        <f aca="false">IF($B590="",0,IF(COUNTIFS($B$5:$B590,$B590)=1,1,0))</f>
        <v>0</v>
      </c>
    </row>
    <row r="591" customFormat="false" ht="15" hidden="false" customHeight="false" outlineLevel="0" collapsed="false">
      <c r="A591" s="6"/>
      <c r="B591" s="6"/>
      <c r="C591" s="6"/>
      <c r="D591" s="6"/>
      <c r="E591" s="6"/>
      <c r="F591" s="9" t="str">
        <f aca="false">IF(OR($D591="",$E591=""),"",$E591-$D591)</f>
        <v/>
      </c>
      <c r="G591" s="6"/>
      <c r="H591" s="6"/>
      <c r="I591" s="6"/>
      <c r="J591" s="9" t="str">
        <f aca="false">IF(OR(NOT(ISNUMBER($H591)),NOT(ISNUMBER($I591)),$H591=0),"",$I591/$H591)</f>
        <v/>
      </c>
      <c r="K591" s="6"/>
      <c r="L591" s="8"/>
      <c r="M591" s="7"/>
      <c r="N591" s="7"/>
      <c r="O591" s="9" t="str">
        <f aca="false">IF(NOT(ISNUMBER($M591)),"",IF($L591="Fine earth / fine-earth volume",$M591*(1-IF(ISNUMBER($K591),$K591,0)/100),$M591))</f>
        <v/>
      </c>
      <c r="P591" s="9" t="str">
        <f aca="false">IF(OR(NOT(ISNUMBER($O591)),NOT(ISNUMBER($N591)),NOT(ISNUMBER($F591))),"",$O591*($N591/100)*$F591*10)</f>
        <v/>
      </c>
      <c r="Q591" s="9" t="str">
        <f aca="false">IF(OR(NOT(ISNUMBER($D591)),NOT(ISNUMBER($E591))),"",MAX(0,MIN($E591,SOIL_REPORTING_DEPTH_CM)-MIN($D591,SOIL_REPORTING_DEPTH_CM)))</f>
        <v/>
      </c>
      <c r="R591" s="9" t="str">
        <f aca="false">IF(OR(NOT(ISNUMBER($O591)),NOT(ISNUMBER($N591)),NOT(ISNUMBER($Q591))),"",$O591*($N591/100)*$Q591*10)</f>
        <v/>
      </c>
      <c r="S591" s="11" t="str">
        <f aca="false">IF(AND($A591="",$B591="",$D591=""),"",IF(AND($A591&lt;&gt;"",COUNTIF('1. Plot &amp; Site Log'!$A$5:$A$64,$A591)=0),"Plot ID not in the Plot &amp; Site Log. ","")&amp;IF(AND(ISNUMBER($D591),ISNUMBER($E591),$E591&lt;=$D591),"Bottom depth is not below top depth. ","")&amp;IF($L591="Not confirmed","Bulk-density basis not confirmed with the lab — the coarse-fragment correction may be wrong or doubled. ","")&amp;IF(LAB_BULK_DENSITY_BASIS="Not confirmed","No lab bulk-density basis is on file in Settings (LAB_BULK_DENSITY_BASIS), so nothing checks this row. ","")&amp;IF(AND($L591&lt;&gt;"",LAB_BULK_DENSITY_BASIS&lt;&gt;"Not confirmed",$L591&lt;&gt;LAB_BULK_DENSITY_BASIS),"This row's bulk-density basis disagrees with the lab method on file. One of "&amp;"the two is wrong, and the coarse-fragment correction follows the row. ","")&amp;IF(AND(ISNUMBER($M591),OR($M591&lt;QC_BD_MIN,$M591&gt;QC_BD_MAX)),"Bulk density outside the plausible range for a mineral grassland soil. ","")&amp;IF(AND(ISNUMBER($N591),$N591&gt;QC_CARBON_PCT_MAX),"Organic carbon above the QC ceiling — check units, and whether this is an organic horizon. ","")&amp;IF(AND(ISNUMBER($J591),$J591&lt;QC_RECOVERY_MIN),"Recovered less than the QC minimum of the depth driven — the increments may not sit where you think. Do NOT stretch them back out. ","")&amp;IF(AND(ISNUMBER($K591),$K591&gt;0,$L591="Fine earth / total volume"),"Coarse fragments recorded and the lab basis already accounts for them — no further correction applied, which is correct. ",""))</f>
        <v/>
      </c>
      <c r="T591" s="6"/>
      <c r="U591" s="9" t="n">
        <f aca="false">IF($B591="",0,IF(COUNTIFS($B$5:$B591,$B591)=1,1,0))</f>
        <v>0</v>
      </c>
    </row>
    <row r="592" customFormat="false" ht="15" hidden="false" customHeight="false" outlineLevel="0" collapsed="false">
      <c r="A592" s="6"/>
      <c r="B592" s="6"/>
      <c r="C592" s="6"/>
      <c r="D592" s="6"/>
      <c r="E592" s="6"/>
      <c r="F592" s="9" t="str">
        <f aca="false">IF(OR($D592="",$E592=""),"",$E592-$D592)</f>
        <v/>
      </c>
      <c r="G592" s="6"/>
      <c r="H592" s="6"/>
      <c r="I592" s="6"/>
      <c r="J592" s="9" t="str">
        <f aca="false">IF(OR(NOT(ISNUMBER($H592)),NOT(ISNUMBER($I592)),$H592=0),"",$I592/$H592)</f>
        <v/>
      </c>
      <c r="K592" s="6"/>
      <c r="L592" s="8"/>
      <c r="M592" s="7"/>
      <c r="N592" s="7"/>
      <c r="O592" s="9" t="str">
        <f aca="false">IF(NOT(ISNUMBER($M592)),"",IF($L592="Fine earth / fine-earth volume",$M592*(1-IF(ISNUMBER($K592),$K592,0)/100),$M592))</f>
        <v/>
      </c>
      <c r="P592" s="9" t="str">
        <f aca="false">IF(OR(NOT(ISNUMBER($O592)),NOT(ISNUMBER($N592)),NOT(ISNUMBER($F592))),"",$O592*($N592/100)*$F592*10)</f>
        <v/>
      </c>
      <c r="Q592" s="9" t="str">
        <f aca="false">IF(OR(NOT(ISNUMBER($D592)),NOT(ISNUMBER($E592))),"",MAX(0,MIN($E592,SOIL_REPORTING_DEPTH_CM)-MIN($D592,SOIL_REPORTING_DEPTH_CM)))</f>
        <v/>
      </c>
      <c r="R592" s="9" t="str">
        <f aca="false">IF(OR(NOT(ISNUMBER($O592)),NOT(ISNUMBER($N592)),NOT(ISNUMBER($Q592))),"",$O592*($N592/100)*$Q592*10)</f>
        <v/>
      </c>
      <c r="S592" s="11" t="str">
        <f aca="false">IF(AND($A592="",$B592="",$D592=""),"",IF(AND($A592&lt;&gt;"",COUNTIF('1. Plot &amp; Site Log'!$A$5:$A$64,$A592)=0),"Plot ID not in the Plot &amp; Site Log. ","")&amp;IF(AND(ISNUMBER($D592),ISNUMBER($E592),$E592&lt;=$D592),"Bottom depth is not below top depth. ","")&amp;IF($L592="Not confirmed","Bulk-density basis not confirmed with the lab — the coarse-fragment correction may be wrong or doubled. ","")&amp;IF(LAB_BULK_DENSITY_BASIS="Not confirmed","No lab bulk-density basis is on file in Settings (LAB_BULK_DENSITY_BASIS), so nothing checks this row. ","")&amp;IF(AND($L592&lt;&gt;"",LAB_BULK_DENSITY_BASIS&lt;&gt;"Not confirmed",$L592&lt;&gt;LAB_BULK_DENSITY_BASIS),"This row's bulk-density basis disagrees with the lab method on file. One of "&amp;"the two is wrong, and the coarse-fragment correction follows the row. ","")&amp;IF(AND(ISNUMBER($M592),OR($M592&lt;QC_BD_MIN,$M592&gt;QC_BD_MAX)),"Bulk density outside the plausible range for a mineral grassland soil. ","")&amp;IF(AND(ISNUMBER($N592),$N592&gt;QC_CARBON_PCT_MAX),"Organic carbon above the QC ceiling — check units, and whether this is an organic horizon. ","")&amp;IF(AND(ISNUMBER($J592),$J592&lt;QC_RECOVERY_MIN),"Recovered less than the QC minimum of the depth driven — the increments may not sit where you think. Do NOT stretch them back out. ","")&amp;IF(AND(ISNUMBER($K592),$K592&gt;0,$L592="Fine earth / total volume"),"Coarse fragments recorded and the lab basis already accounts for them — no further correction applied, which is correct. ",""))</f>
        <v/>
      </c>
      <c r="T592" s="6"/>
      <c r="U592" s="9" t="n">
        <f aca="false">IF($B592="",0,IF(COUNTIFS($B$5:$B592,$B592)=1,1,0))</f>
        <v>0</v>
      </c>
    </row>
    <row r="593" customFormat="false" ht="15" hidden="false" customHeight="false" outlineLevel="0" collapsed="false">
      <c r="A593" s="6"/>
      <c r="B593" s="6"/>
      <c r="C593" s="6"/>
      <c r="D593" s="6"/>
      <c r="E593" s="6"/>
      <c r="F593" s="9" t="str">
        <f aca="false">IF(OR($D593="",$E593=""),"",$E593-$D593)</f>
        <v/>
      </c>
      <c r="G593" s="6"/>
      <c r="H593" s="6"/>
      <c r="I593" s="6"/>
      <c r="J593" s="9" t="str">
        <f aca="false">IF(OR(NOT(ISNUMBER($H593)),NOT(ISNUMBER($I593)),$H593=0),"",$I593/$H593)</f>
        <v/>
      </c>
      <c r="K593" s="6"/>
      <c r="L593" s="8"/>
      <c r="M593" s="7"/>
      <c r="N593" s="7"/>
      <c r="O593" s="9" t="str">
        <f aca="false">IF(NOT(ISNUMBER($M593)),"",IF($L593="Fine earth / fine-earth volume",$M593*(1-IF(ISNUMBER($K593),$K593,0)/100),$M593))</f>
        <v/>
      </c>
      <c r="P593" s="9" t="str">
        <f aca="false">IF(OR(NOT(ISNUMBER($O593)),NOT(ISNUMBER($N593)),NOT(ISNUMBER($F593))),"",$O593*($N593/100)*$F593*10)</f>
        <v/>
      </c>
      <c r="Q593" s="9" t="str">
        <f aca="false">IF(OR(NOT(ISNUMBER($D593)),NOT(ISNUMBER($E593))),"",MAX(0,MIN($E593,SOIL_REPORTING_DEPTH_CM)-MIN($D593,SOIL_REPORTING_DEPTH_CM)))</f>
        <v/>
      </c>
      <c r="R593" s="9" t="str">
        <f aca="false">IF(OR(NOT(ISNUMBER($O593)),NOT(ISNUMBER($N593)),NOT(ISNUMBER($Q593))),"",$O593*($N593/100)*$Q593*10)</f>
        <v/>
      </c>
      <c r="S593" s="11" t="str">
        <f aca="false">IF(AND($A593="",$B593="",$D593=""),"",IF(AND($A593&lt;&gt;"",COUNTIF('1. Plot &amp; Site Log'!$A$5:$A$64,$A593)=0),"Plot ID not in the Plot &amp; Site Log. ","")&amp;IF(AND(ISNUMBER($D593),ISNUMBER($E593),$E593&lt;=$D593),"Bottom depth is not below top depth. ","")&amp;IF($L593="Not confirmed","Bulk-density basis not confirmed with the lab — the coarse-fragment correction may be wrong or doubled. ","")&amp;IF(LAB_BULK_DENSITY_BASIS="Not confirmed","No lab bulk-density basis is on file in Settings (LAB_BULK_DENSITY_BASIS), so nothing checks this row. ","")&amp;IF(AND($L593&lt;&gt;"",LAB_BULK_DENSITY_BASIS&lt;&gt;"Not confirmed",$L593&lt;&gt;LAB_BULK_DENSITY_BASIS),"This row's bulk-density basis disagrees with the lab method on file. One of "&amp;"the two is wrong, and the coarse-fragment correction follows the row. ","")&amp;IF(AND(ISNUMBER($M593),OR($M593&lt;QC_BD_MIN,$M593&gt;QC_BD_MAX)),"Bulk density outside the plausible range for a mineral grassland soil. ","")&amp;IF(AND(ISNUMBER($N593),$N593&gt;QC_CARBON_PCT_MAX),"Organic carbon above the QC ceiling — check units, and whether this is an organic horizon. ","")&amp;IF(AND(ISNUMBER($J593),$J593&lt;QC_RECOVERY_MIN),"Recovered less than the QC minimum of the depth driven — the increments may not sit where you think. Do NOT stretch them back out. ","")&amp;IF(AND(ISNUMBER($K593),$K593&gt;0,$L593="Fine earth / total volume"),"Coarse fragments recorded and the lab basis already accounts for them — no further correction applied, which is correct. ",""))</f>
        <v/>
      </c>
      <c r="T593" s="6"/>
      <c r="U593" s="9" t="n">
        <f aca="false">IF($B593="",0,IF(COUNTIFS($B$5:$B593,$B593)=1,1,0))</f>
        <v>0</v>
      </c>
    </row>
    <row r="594" customFormat="false" ht="15" hidden="false" customHeight="false" outlineLevel="0" collapsed="false">
      <c r="A594" s="6"/>
      <c r="B594" s="6"/>
      <c r="C594" s="6"/>
      <c r="D594" s="6"/>
      <c r="E594" s="6"/>
      <c r="F594" s="9" t="str">
        <f aca="false">IF(OR($D594="",$E594=""),"",$E594-$D594)</f>
        <v/>
      </c>
      <c r="G594" s="6"/>
      <c r="H594" s="6"/>
      <c r="I594" s="6"/>
      <c r="J594" s="9" t="str">
        <f aca="false">IF(OR(NOT(ISNUMBER($H594)),NOT(ISNUMBER($I594)),$H594=0),"",$I594/$H594)</f>
        <v/>
      </c>
      <c r="K594" s="6"/>
      <c r="L594" s="8"/>
      <c r="M594" s="7"/>
      <c r="N594" s="7"/>
      <c r="O594" s="9" t="str">
        <f aca="false">IF(NOT(ISNUMBER($M594)),"",IF($L594="Fine earth / fine-earth volume",$M594*(1-IF(ISNUMBER($K594),$K594,0)/100),$M594))</f>
        <v/>
      </c>
      <c r="P594" s="9" t="str">
        <f aca="false">IF(OR(NOT(ISNUMBER($O594)),NOT(ISNUMBER($N594)),NOT(ISNUMBER($F594))),"",$O594*($N594/100)*$F594*10)</f>
        <v/>
      </c>
      <c r="Q594" s="9" t="str">
        <f aca="false">IF(OR(NOT(ISNUMBER($D594)),NOT(ISNUMBER($E594))),"",MAX(0,MIN($E594,SOIL_REPORTING_DEPTH_CM)-MIN($D594,SOIL_REPORTING_DEPTH_CM)))</f>
        <v/>
      </c>
      <c r="R594" s="9" t="str">
        <f aca="false">IF(OR(NOT(ISNUMBER($O594)),NOT(ISNUMBER($N594)),NOT(ISNUMBER($Q594))),"",$O594*($N594/100)*$Q594*10)</f>
        <v/>
      </c>
      <c r="S594" s="11" t="str">
        <f aca="false">IF(AND($A594="",$B594="",$D594=""),"",IF(AND($A594&lt;&gt;"",COUNTIF('1. Plot &amp; Site Log'!$A$5:$A$64,$A594)=0),"Plot ID not in the Plot &amp; Site Log. ","")&amp;IF(AND(ISNUMBER($D594),ISNUMBER($E594),$E594&lt;=$D594),"Bottom depth is not below top depth. ","")&amp;IF($L594="Not confirmed","Bulk-density basis not confirmed with the lab — the coarse-fragment correction may be wrong or doubled. ","")&amp;IF(LAB_BULK_DENSITY_BASIS="Not confirmed","No lab bulk-density basis is on file in Settings (LAB_BULK_DENSITY_BASIS), so nothing checks this row. ","")&amp;IF(AND($L594&lt;&gt;"",LAB_BULK_DENSITY_BASIS&lt;&gt;"Not confirmed",$L594&lt;&gt;LAB_BULK_DENSITY_BASIS),"This row's bulk-density basis disagrees with the lab method on file. One of "&amp;"the two is wrong, and the coarse-fragment correction follows the row. ","")&amp;IF(AND(ISNUMBER($M594),OR($M594&lt;QC_BD_MIN,$M594&gt;QC_BD_MAX)),"Bulk density outside the plausible range for a mineral grassland soil. ","")&amp;IF(AND(ISNUMBER($N594),$N594&gt;QC_CARBON_PCT_MAX),"Organic carbon above the QC ceiling — check units, and whether this is an organic horizon. ","")&amp;IF(AND(ISNUMBER($J594),$J594&lt;QC_RECOVERY_MIN),"Recovered less than the QC minimum of the depth driven — the increments may not sit where you think. Do NOT stretch them back out. ","")&amp;IF(AND(ISNUMBER($K594),$K594&gt;0,$L594="Fine earth / total volume"),"Coarse fragments recorded and the lab basis already accounts for them — no further correction applied, which is correct. ",""))</f>
        <v/>
      </c>
      <c r="T594" s="6"/>
      <c r="U594" s="9" t="n">
        <f aca="false">IF($B594="",0,IF(COUNTIFS($B$5:$B594,$B594)=1,1,0))</f>
        <v>0</v>
      </c>
    </row>
    <row r="595" customFormat="false" ht="15" hidden="false" customHeight="false" outlineLevel="0" collapsed="false">
      <c r="A595" s="6"/>
      <c r="B595" s="6"/>
      <c r="C595" s="6"/>
      <c r="D595" s="6"/>
      <c r="E595" s="6"/>
      <c r="F595" s="9" t="str">
        <f aca="false">IF(OR($D595="",$E595=""),"",$E595-$D595)</f>
        <v/>
      </c>
      <c r="G595" s="6"/>
      <c r="H595" s="6"/>
      <c r="I595" s="6"/>
      <c r="J595" s="9" t="str">
        <f aca="false">IF(OR(NOT(ISNUMBER($H595)),NOT(ISNUMBER($I595)),$H595=0),"",$I595/$H595)</f>
        <v/>
      </c>
      <c r="K595" s="6"/>
      <c r="L595" s="8"/>
      <c r="M595" s="7"/>
      <c r="N595" s="7"/>
      <c r="O595" s="9" t="str">
        <f aca="false">IF(NOT(ISNUMBER($M595)),"",IF($L595="Fine earth / fine-earth volume",$M595*(1-IF(ISNUMBER($K595),$K595,0)/100),$M595))</f>
        <v/>
      </c>
      <c r="P595" s="9" t="str">
        <f aca="false">IF(OR(NOT(ISNUMBER($O595)),NOT(ISNUMBER($N595)),NOT(ISNUMBER($F595))),"",$O595*($N595/100)*$F595*10)</f>
        <v/>
      </c>
      <c r="Q595" s="9" t="str">
        <f aca="false">IF(OR(NOT(ISNUMBER($D595)),NOT(ISNUMBER($E595))),"",MAX(0,MIN($E595,SOIL_REPORTING_DEPTH_CM)-MIN($D595,SOIL_REPORTING_DEPTH_CM)))</f>
        <v/>
      </c>
      <c r="R595" s="9" t="str">
        <f aca="false">IF(OR(NOT(ISNUMBER($O595)),NOT(ISNUMBER($N595)),NOT(ISNUMBER($Q595))),"",$O595*($N595/100)*$Q595*10)</f>
        <v/>
      </c>
      <c r="S595" s="11" t="str">
        <f aca="false">IF(AND($A595="",$B595="",$D595=""),"",IF(AND($A595&lt;&gt;"",COUNTIF('1. Plot &amp; Site Log'!$A$5:$A$64,$A595)=0),"Plot ID not in the Plot &amp; Site Log. ","")&amp;IF(AND(ISNUMBER($D595),ISNUMBER($E595),$E595&lt;=$D595),"Bottom depth is not below top depth. ","")&amp;IF($L595="Not confirmed","Bulk-density basis not confirmed with the lab — the coarse-fragment correction may be wrong or doubled. ","")&amp;IF(LAB_BULK_DENSITY_BASIS="Not confirmed","No lab bulk-density basis is on file in Settings (LAB_BULK_DENSITY_BASIS), so nothing checks this row. ","")&amp;IF(AND($L595&lt;&gt;"",LAB_BULK_DENSITY_BASIS&lt;&gt;"Not confirmed",$L595&lt;&gt;LAB_BULK_DENSITY_BASIS),"This row's bulk-density basis disagrees with the lab method on file. One of "&amp;"the two is wrong, and the coarse-fragment correction follows the row. ","")&amp;IF(AND(ISNUMBER($M595),OR($M595&lt;QC_BD_MIN,$M595&gt;QC_BD_MAX)),"Bulk density outside the plausible range for a mineral grassland soil. ","")&amp;IF(AND(ISNUMBER($N595),$N595&gt;QC_CARBON_PCT_MAX),"Organic carbon above the QC ceiling — check units, and whether this is an organic horizon. ","")&amp;IF(AND(ISNUMBER($J595),$J595&lt;QC_RECOVERY_MIN),"Recovered less than the QC minimum of the depth driven — the increments may not sit where you think. Do NOT stretch them back out. ","")&amp;IF(AND(ISNUMBER($K595),$K595&gt;0,$L595="Fine earth / total volume"),"Coarse fragments recorded and the lab basis already accounts for them — no further correction applied, which is correct. ",""))</f>
        <v/>
      </c>
      <c r="T595" s="6"/>
      <c r="U595" s="9" t="n">
        <f aca="false">IF($B595="",0,IF(COUNTIFS($B$5:$B595,$B595)=1,1,0))</f>
        <v>0</v>
      </c>
    </row>
    <row r="596" customFormat="false" ht="15" hidden="false" customHeight="false" outlineLevel="0" collapsed="false">
      <c r="A596" s="6"/>
      <c r="B596" s="6"/>
      <c r="C596" s="6"/>
      <c r="D596" s="6"/>
      <c r="E596" s="6"/>
      <c r="F596" s="9" t="str">
        <f aca="false">IF(OR($D596="",$E596=""),"",$E596-$D596)</f>
        <v/>
      </c>
      <c r="G596" s="6"/>
      <c r="H596" s="6"/>
      <c r="I596" s="6"/>
      <c r="J596" s="9" t="str">
        <f aca="false">IF(OR(NOT(ISNUMBER($H596)),NOT(ISNUMBER($I596)),$H596=0),"",$I596/$H596)</f>
        <v/>
      </c>
      <c r="K596" s="6"/>
      <c r="L596" s="8"/>
      <c r="M596" s="7"/>
      <c r="N596" s="7"/>
      <c r="O596" s="9" t="str">
        <f aca="false">IF(NOT(ISNUMBER($M596)),"",IF($L596="Fine earth / fine-earth volume",$M596*(1-IF(ISNUMBER($K596),$K596,0)/100),$M596))</f>
        <v/>
      </c>
      <c r="P596" s="9" t="str">
        <f aca="false">IF(OR(NOT(ISNUMBER($O596)),NOT(ISNUMBER($N596)),NOT(ISNUMBER($F596))),"",$O596*($N596/100)*$F596*10)</f>
        <v/>
      </c>
      <c r="Q596" s="9" t="str">
        <f aca="false">IF(OR(NOT(ISNUMBER($D596)),NOT(ISNUMBER($E596))),"",MAX(0,MIN($E596,SOIL_REPORTING_DEPTH_CM)-MIN($D596,SOIL_REPORTING_DEPTH_CM)))</f>
        <v/>
      </c>
      <c r="R596" s="9" t="str">
        <f aca="false">IF(OR(NOT(ISNUMBER($O596)),NOT(ISNUMBER($N596)),NOT(ISNUMBER($Q596))),"",$O596*($N596/100)*$Q596*10)</f>
        <v/>
      </c>
      <c r="S596" s="11" t="str">
        <f aca="false">IF(AND($A596="",$B596="",$D596=""),"",IF(AND($A596&lt;&gt;"",COUNTIF('1. Plot &amp; Site Log'!$A$5:$A$64,$A596)=0),"Plot ID not in the Plot &amp; Site Log. ","")&amp;IF(AND(ISNUMBER($D596),ISNUMBER($E596),$E596&lt;=$D596),"Bottom depth is not below top depth. ","")&amp;IF($L596="Not confirmed","Bulk-density basis not confirmed with the lab — the coarse-fragment correction may be wrong or doubled. ","")&amp;IF(LAB_BULK_DENSITY_BASIS="Not confirmed","No lab bulk-density basis is on file in Settings (LAB_BULK_DENSITY_BASIS), so nothing checks this row. ","")&amp;IF(AND($L596&lt;&gt;"",LAB_BULK_DENSITY_BASIS&lt;&gt;"Not confirmed",$L596&lt;&gt;LAB_BULK_DENSITY_BASIS),"This row's bulk-density basis disagrees with the lab method on file. One of "&amp;"the two is wrong, and the coarse-fragment correction follows the row. ","")&amp;IF(AND(ISNUMBER($M596),OR($M596&lt;QC_BD_MIN,$M596&gt;QC_BD_MAX)),"Bulk density outside the plausible range for a mineral grassland soil. ","")&amp;IF(AND(ISNUMBER($N596),$N596&gt;QC_CARBON_PCT_MAX),"Organic carbon above the QC ceiling — check units, and whether this is an organic horizon. ","")&amp;IF(AND(ISNUMBER($J596),$J596&lt;QC_RECOVERY_MIN),"Recovered less than the QC minimum of the depth driven — the increments may not sit where you think. Do NOT stretch them back out. ","")&amp;IF(AND(ISNUMBER($K596),$K596&gt;0,$L596="Fine earth / total volume"),"Coarse fragments recorded and the lab basis already accounts for them — no further correction applied, which is correct. ",""))</f>
        <v/>
      </c>
      <c r="T596" s="6"/>
      <c r="U596" s="9" t="n">
        <f aca="false">IF($B596="",0,IF(COUNTIFS($B$5:$B596,$B596)=1,1,0))</f>
        <v>0</v>
      </c>
    </row>
    <row r="597" customFormat="false" ht="15" hidden="false" customHeight="false" outlineLevel="0" collapsed="false">
      <c r="A597" s="6"/>
      <c r="B597" s="6"/>
      <c r="C597" s="6"/>
      <c r="D597" s="6"/>
      <c r="E597" s="6"/>
      <c r="F597" s="9" t="str">
        <f aca="false">IF(OR($D597="",$E597=""),"",$E597-$D597)</f>
        <v/>
      </c>
      <c r="G597" s="6"/>
      <c r="H597" s="6"/>
      <c r="I597" s="6"/>
      <c r="J597" s="9" t="str">
        <f aca="false">IF(OR(NOT(ISNUMBER($H597)),NOT(ISNUMBER($I597)),$H597=0),"",$I597/$H597)</f>
        <v/>
      </c>
      <c r="K597" s="6"/>
      <c r="L597" s="8"/>
      <c r="M597" s="7"/>
      <c r="N597" s="7"/>
      <c r="O597" s="9" t="str">
        <f aca="false">IF(NOT(ISNUMBER($M597)),"",IF($L597="Fine earth / fine-earth volume",$M597*(1-IF(ISNUMBER($K597),$K597,0)/100),$M597))</f>
        <v/>
      </c>
      <c r="P597" s="9" t="str">
        <f aca="false">IF(OR(NOT(ISNUMBER($O597)),NOT(ISNUMBER($N597)),NOT(ISNUMBER($F597))),"",$O597*($N597/100)*$F597*10)</f>
        <v/>
      </c>
      <c r="Q597" s="9" t="str">
        <f aca="false">IF(OR(NOT(ISNUMBER($D597)),NOT(ISNUMBER($E597))),"",MAX(0,MIN($E597,SOIL_REPORTING_DEPTH_CM)-MIN($D597,SOIL_REPORTING_DEPTH_CM)))</f>
        <v/>
      </c>
      <c r="R597" s="9" t="str">
        <f aca="false">IF(OR(NOT(ISNUMBER($O597)),NOT(ISNUMBER($N597)),NOT(ISNUMBER($Q597))),"",$O597*($N597/100)*$Q597*10)</f>
        <v/>
      </c>
      <c r="S597" s="11" t="str">
        <f aca="false">IF(AND($A597="",$B597="",$D597=""),"",IF(AND($A597&lt;&gt;"",COUNTIF('1. Plot &amp; Site Log'!$A$5:$A$64,$A597)=0),"Plot ID not in the Plot &amp; Site Log. ","")&amp;IF(AND(ISNUMBER($D597),ISNUMBER($E597),$E597&lt;=$D597),"Bottom depth is not below top depth. ","")&amp;IF($L597="Not confirmed","Bulk-density basis not confirmed with the lab — the coarse-fragment correction may be wrong or doubled. ","")&amp;IF(LAB_BULK_DENSITY_BASIS="Not confirmed","No lab bulk-density basis is on file in Settings (LAB_BULK_DENSITY_BASIS), so nothing checks this row. ","")&amp;IF(AND($L597&lt;&gt;"",LAB_BULK_DENSITY_BASIS&lt;&gt;"Not confirmed",$L597&lt;&gt;LAB_BULK_DENSITY_BASIS),"This row's bulk-density basis disagrees with the lab method on file. One of "&amp;"the two is wrong, and the coarse-fragment correction follows the row. ","")&amp;IF(AND(ISNUMBER($M597),OR($M597&lt;QC_BD_MIN,$M597&gt;QC_BD_MAX)),"Bulk density outside the plausible range for a mineral grassland soil. ","")&amp;IF(AND(ISNUMBER($N597),$N597&gt;QC_CARBON_PCT_MAX),"Organic carbon above the QC ceiling — check units, and whether this is an organic horizon. ","")&amp;IF(AND(ISNUMBER($J597),$J597&lt;QC_RECOVERY_MIN),"Recovered less than the QC minimum of the depth driven — the increments may not sit where you think. Do NOT stretch them back out. ","")&amp;IF(AND(ISNUMBER($K597),$K597&gt;0,$L597="Fine earth / total volume"),"Coarse fragments recorded and the lab basis already accounts for them — no further correction applied, which is correct. ",""))</f>
        <v/>
      </c>
      <c r="T597" s="6"/>
      <c r="U597" s="9" t="n">
        <f aca="false">IF($B597="",0,IF(COUNTIFS($B$5:$B597,$B597)=1,1,0))</f>
        <v>0</v>
      </c>
    </row>
    <row r="598" customFormat="false" ht="15" hidden="false" customHeight="false" outlineLevel="0" collapsed="false">
      <c r="A598" s="6"/>
      <c r="B598" s="6"/>
      <c r="C598" s="6"/>
      <c r="D598" s="6"/>
      <c r="E598" s="6"/>
      <c r="F598" s="9" t="str">
        <f aca="false">IF(OR($D598="",$E598=""),"",$E598-$D598)</f>
        <v/>
      </c>
      <c r="G598" s="6"/>
      <c r="H598" s="6"/>
      <c r="I598" s="6"/>
      <c r="J598" s="9" t="str">
        <f aca="false">IF(OR(NOT(ISNUMBER($H598)),NOT(ISNUMBER($I598)),$H598=0),"",$I598/$H598)</f>
        <v/>
      </c>
      <c r="K598" s="6"/>
      <c r="L598" s="8"/>
      <c r="M598" s="7"/>
      <c r="N598" s="7"/>
      <c r="O598" s="9" t="str">
        <f aca="false">IF(NOT(ISNUMBER($M598)),"",IF($L598="Fine earth / fine-earth volume",$M598*(1-IF(ISNUMBER($K598),$K598,0)/100),$M598))</f>
        <v/>
      </c>
      <c r="P598" s="9" t="str">
        <f aca="false">IF(OR(NOT(ISNUMBER($O598)),NOT(ISNUMBER($N598)),NOT(ISNUMBER($F598))),"",$O598*($N598/100)*$F598*10)</f>
        <v/>
      </c>
      <c r="Q598" s="9" t="str">
        <f aca="false">IF(OR(NOT(ISNUMBER($D598)),NOT(ISNUMBER($E598))),"",MAX(0,MIN($E598,SOIL_REPORTING_DEPTH_CM)-MIN($D598,SOIL_REPORTING_DEPTH_CM)))</f>
        <v/>
      </c>
      <c r="R598" s="9" t="str">
        <f aca="false">IF(OR(NOT(ISNUMBER($O598)),NOT(ISNUMBER($N598)),NOT(ISNUMBER($Q598))),"",$O598*($N598/100)*$Q598*10)</f>
        <v/>
      </c>
      <c r="S598" s="11" t="str">
        <f aca="false">IF(AND($A598="",$B598="",$D598=""),"",IF(AND($A598&lt;&gt;"",COUNTIF('1. Plot &amp; Site Log'!$A$5:$A$64,$A598)=0),"Plot ID not in the Plot &amp; Site Log. ","")&amp;IF(AND(ISNUMBER($D598),ISNUMBER($E598),$E598&lt;=$D598),"Bottom depth is not below top depth. ","")&amp;IF($L598="Not confirmed","Bulk-density basis not confirmed with the lab — the coarse-fragment correction may be wrong or doubled. ","")&amp;IF(LAB_BULK_DENSITY_BASIS="Not confirmed","No lab bulk-density basis is on file in Settings (LAB_BULK_DENSITY_BASIS), so nothing checks this row. ","")&amp;IF(AND($L598&lt;&gt;"",LAB_BULK_DENSITY_BASIS&lt;&gt;"Not confirmed",$L598&lt;&gt;LAB_BULK_DENSITY_BASIS),"This row's bulk-density basis disagrees with the lab method on file. One of "&amp;"the two is wrong, and the coarse-fragment correction follows the row. ","")&amp;IF(AND(ISNUMBER($M598),OR($M598&lt;QC_BD_MIN,$M598&gt;QC_BD_MAX)),"Bulk density outside the plausible range for a mineral grassland soil. ","")&amp;IF(AND(ISNUMBER($N598),$N598&gt;QC_CARBON_PCT_MAX),"Organic carbon above the QC ceiling — check units, and whether this is an organic horizon. ","")&amp;IF(AND(ISNUMBER($J598),$J598&lt;QC_RECOVERY_MIN),"Recovered less than the QC minimum of the depth driven — the increments may not sit where you think. Do NOT stretch them back out. ","")&amp;IF(AND(ISNUMBER($K598),$K598&gt;0,$L598="Fine earth / total volume"),"Coarse fragments recorded and the lab basis already accounts for them — no further correction applied, which is correct. ",""))</f>
        <v/>
      </c>
      <c r="T598" s="6"/>
      <c r="U598" s="9" t="n">
        <f aca="false">IF($B598="",0,IF(COUNTIFS($B$5:$B598,$B598)=1,1,0))</f>
        <v>0</v>
      </c>
    </row>
    <row r="599" customFormat="false" ht="15" hidden="false" customHeight="false" outlineLevel="0" collapsed="false">
      <c r="A599" s="6"/>
      <c r="B599" s="6"/>
      <c r="C599" s="6"/>
      <c r="D599" s="6"/>
      <c r="E599" s="6"/>
      <c r="F599" s="9" t="str">
        <f aca="false">IF(OR($D599="",$E599=""),"",$E599-$D599)</f>
        <v/>
      </c>
      <c r="G599" s="6"/>
      <c r="H599" s="6"/>
      <c r="I599" s="6"/>
      <c r="J599" s="9" t="str">
        <f aca="false">IF(OR(NOT(ISNUMBER($H599)),NOT(ISNUMBER($I599)),$H599=0),"",$I599/$H599)</f>
        <v/>
      </c>
      <c r="K599" s="6"/>
      <c r="L599" s="8"/>
      <c r="M599" s="7"/>
      <c r="N599" s="7"/>
      <c r="O599" s="9" t="str">
        <f aca="false">IF(NOT(ISNUMBER($M599)),"",IF($L599="Fine earth / fine-earth volume",$M599*(1-IF(ISNUMBER($K599),$K599,0)/100),$M599))</f>
        <v/>
      </c>
      <c r="P599" s="9" t="str">
        <f aca="false">IF(OR(NOT(ISNUMBER($O599)),NOT(ISNUMBER($N599)),NOT(ISNUMBER($F599))),"",$O599*($N599/100)*$F599*10)</f>
        <v/>
      </c>
      <c r="Q599" s="9" t="str">
        <f aca="false">IF(OR(NOT(ISNUMBER($D599)),NOT(ISNUMBER($E599))),"",MAX(0,MIN($E599,SOIL_REPORTING_DEPTH_CM)-MIN($D599,SOIL_REPORTING_DEPTH_CM)))</f>
        <v/>
      </c>
      <c r="R599" s="9" t="str">
        <f aca="false">IF(OR(NOT(ISNUMBER($O599)),NOT(ISNUMBER($N599)),NOT(ISNUMBER($Q599))),"",$O599*($N599/100)*$Q599*10)</f>
        <v/>
      </c>
      <c r="S599" s="11" t="str">
        <f aca="false">IF(AND($A599="",$B599="",$D599=""),"",IF(AND($A599&lt;&gt;"",COUNTIF('1. Plot &amp; Site Log'!$A$5:$A$64,$A599)=0),"Plot ID not in the Plot &amp; Site Log. ","")&amp;IF(AND(ISNUMBER($D599),ISNUMBER($E599),$E599&lt;=$D599),"Bottom depth is not below top depth. ","")&amp;IF($L599="Not confirmed","Bulk-density basis not confirmed with the lab — the coarse-fragment correction may be wrong or doubled. ","")&amp;IF(LAB_BULK_DENSITY_BASIS="Not confirmed","No lab bulk-density basis is on file in Settings (LAB_BULK_DENSITY_BASIS), so nothing checks this row. ","")&amp;IF(AND($L599&lt;&gt;"",LAB_BULK_DENSITY_BASIS&lt;&gt;"Not confirmed",$L599&lt;&gt;LAB_BULK_DENSITY_BASIS),"This row's bulk-density basis disagrees with the lab method on file. One of "&amp;"the two is wrong, and the coarse-fragment correction follows the row. ","")&amp;IF(AND(ISNUMBER($M599),OR($M599&lt;QC_BD_MIN,$M599&gt;QC_BD_MAX)),"Bulk density outside the plausible range for a mineral grassland soil. ","")&amp;IF(AND(ISNUMBER($N599),$N599&gt;QC_CARBON_PCT_MAX),"Organic carbon above the QC ceiling — check units, and whether this is an organic horizon. ","")&amp;IF(AND(ISNUMBER($J599),$J599&lt;QC_RECOVERY_MIN),"Recovered less than the QC minimum of the depth driven — the increments may not sit where you think. Do NOT stretch them back out. ","")&amp;IF(AND(ISNUMBER($K599),$K599&gt;0,$L599="Fine earth / total volume"),"Coarse fragments recorded and the lab basis already accounts for them — no further correction applied, which is correct. ",""))</f>
        <v/>
      </c>
      <c r="T599" s="6"/>
      <c r="U599" s="9" t="n">
        <f aca="false">IF($B599="",0,IF(COUNTIFS($B$5:$B599,$B599)=1,1,0))</f>
        <v>0</v>
      </c>
    </row>
    <row r="600" customFormat="false" ht="15" hidden="false" customHeight="false" outlineLevel="0" collapsed="false">
      <c r="A600" s="6"/>
      <c r="B600" s="6"/>
      <c r="C600" s="6"/>
      <c r="D600" s="6"/>
      <c r="E600" s="6"/>
      <c r="F600" s="9" t="str">
        <f aca="false">IF(OR($D600="",$E600=""),"",$E600-$D600)</f>
        <v/>
      </c>
      <c r="G600" s="6"/>
      <c r="H600" s="6"/>
      <c r="I600" s="6"/>
      <c r="J600" s="9" t="str">
        <f aca="false">IF(OR(NOT(ISNUMBER($H600)),NOT(ISNUMBER($I600)),$H600=0),"",$I600/$H600)</f>
        <v/>
      </c>
      <c r="K600" s="6"/>
      <c r="L600" s="8"/>
      <c r="M600" s="7"/>
      <c r="N600" s="7"/>
      <c r="O600" s="9" t="str">
        <f aca="false">IF(NOT(ISNUMBER($M600)),"",IF($L600="Fine earth / fine-earth volume",$M600*(1-IF(ISNUMBER($K600),$K600,0)/100),$M600))</f>
        <v/>
      </c>
      <c r="P600" s="9" t="str">
        <f aca="false">IF(OR(NOT(ISNUMBER($O600)),NOT(ISNUMBER($N600)),NOT(ISNUMBER($F600))),"",$O600*($N600/100)*$F600*10)</f>
        <v/>
      </c>
      <c r="Q600" s="9" t="str">
        <f aca="false">IF(OR(NOT(ISNUMBER($D600)),NOT(ISNUMBER($E600))),"",MAX(0,MIN($E600,SOIL_REPORTING_DEPTH_CM)-MIN($D600,SOIL_REPORTING_DEPTH_CM)))</f>
        <v/>
      </c>
      <c r="R600" s="9" t="str">
        <f aca="false">IF(OR(NOT(ISNUMBER($O600)),NOT(ISNUMBER($N600)),NOT(ISNUMBER($Q600))),"",$O600*($N600/100)*$Q600*10)</f>
        <v/>
      </c>
      <c r="S600" s="11" t="str">
        <f aca="false">IF(AND($A600="",$B600="",$D600=""),"",IF(AND($A600&lt;&gt;"",COUNTIF('1. Plot &amp; Site Log'!$A$5:$A$64,$A600)=0),"Plot ID not in the Plot &amp; Site Log. ","")&amp;IF(AND(ISNUMBER($D600),ISNUMBER($E600),$E600&lt;=$D600),"Bottom depth is not below top depth. ","")&amp;IF($L600="Not confirmed","Bulk-density basis not confirmed with the lab — the coarse-fragment correction may be wrong or doubled. ","")&amp;IF(LAB_BULK_DENSITY_BASIS="Not confirmed","No lab bulk-density basis is on file in Settings (LAB_BULK_DENSITY_BASIS), so nothing checks this row. ","")&amp;IF(AND($L600&lt;&gt;"",LAB_BULK_DENSITY_BASIS&lt;&gt;"Not confirmed",$L600&lt;&gt;LAB_BULK_DENSITY_BASIS),"This row's bulk-density basis disagrees with the lab method on file. One of "&amp;"the two is wrong, and the coarse-fragment correction follows the row. ","")&amp;IF(AND(ISNUMBER($M600),OR($M600&lt;QC_BD_MIN,$M600&gt;QC_BD_MAX)),"Bulk density outside the plausible range for a mineral grassland soil. ","")&amp;IF(AND(ISNUMBER($N600),$N600&gt;QC_CARBON_PCT_MAX),"Organic carbon above the QC ceiling — check units, and whether this is an organic horizon. ","")&amp;IF(AND(ISNUMBER($J600),$J600&lt;QC_RECOVERY_MIN),"Recovered less than the QC minimum of the depth driven — the increments may not sit where you think. Do NOT stretch them back out. ","")&amp;IF(AND(ISNUMBER($K600),$K600&gt;0,$L600="Fine earth / total volume"),"Coarse fragments recorded and the lab basis already accounts for them — no further correction applied, which is correct. ",""))</f>
        <v/>
      </c>
      <c r="T600" s="6"/>
      <c r="U600" s="9" t="n">
        <f aca="false">IF($B600="",0,IF(COUNTIFS($B$5:$B600,$B600)=1,1,0))</f>
        <v>0</v>
      </c>
    </row>
    <row r="601" customFormat="false" ht="15" hidden="false" customHeight="false" outlineLevel="0" collapsed="false">
      <c r="A601" s="6"/>
      <c r="B601" s="6"/>
      <c r="C601" s="6"/>
      <c r="D601" s="6"/>
      <c r="E601" s="6"/>
      <c r="F601" s="9" t="str">
        <f aca="false">IF(OR($D601="",$E601=""),"",$E601-$D601)</f>
        <v/>
      </c>
      <c r="G601" s="6"/>
      <c r="H601" s="6"/>
      <c r="I601" s="6"/>
      <c r="J601" s="9" t="str">
        <f aca="false">IF(OR(NOT(ISNUMBER($H601)),NOT(ISNUMBER($I601)),$H601=0),"",$I601/$H601)</f>
        <v/>
      </c>
      <c r="K601" s="6"/>
      <c r="L601" s="8"/>
      <c r="M601" s="7"/>
      <c r="N601" s="7"/>
      <c r="O601" s="9" t="str">
        <f aca="false">IF(NOT(ISNUMBER($M601)),"",IF($L601="Fine earth / fine-earth volume",$M601*(1-IF(ISNUMBER($K601),$K601,0)/100),$M601))</f>
        <v/>
      </c>
      <c r="P601" s="9" t="str">
        <f aca="false">IF(OR(NOT(ISNUMBER($O601)),NOT(ISNUMBER($N601)),NOT(ISNUMBER($F601))),"",$O601*($N601/100)*$F601*10)</f>
        <v/>
      </c>
      <c r="Q601" s="9" t="str">
        <f aca="false">IF(OR(NOT(ISNUMBER($D601)),NOT(ISNUMBER($E601))),"",MAX(0,MIN($E601,SOIL_REPORTING_DEPTH_CM)-MIN($D601,SOIL_REPORTING_DEPTH_CM)))</f>
        <v/>
      </c>
      <c r="R601" s="9" t="str">
        <f aca="false">IF(OR(NOT(ISNUMBER($O601)),NOT(ISNUMBER($N601)),NOT(ISNUMBER($Q601))),"",$O601*($N601/100)*$Q601*10)</f>
        <v/>
      </c>
      <c r="S601" s="11" t="str">
        <f aca="false">IF(AND($A601="",$B601="",$D601=""),"",IF(AND($A601&lt;&gt;"",COUNTIF('1. Plot &amp; Site Log'!$A$5:$A$64,$A601)=0),"Plot ID not in the Plot &amp; Site Log. ","")&amp;IF(AND(ISNUMBER($D601),ISNUMBER($E601),$E601&lt;=$D601),"Bottom depth is not below top depth. ","")&amp;IF($L601="Not confirmed","Bulk-density basis not confirmed with the lab — the coarse-fragment correction may be wrong or doubled. ","")&amp;IF(LAB_BULK_DENSITY_BASIS="Not confirmed","No lab bulk-density basis is on file in Settings (LAB_BULK_DENSITY_BASIS), so nothing checks this row. ","")&amp;IF(AND($L601&lt;&gt;"",LAB_BULK_DENSITY_BASIS&lt;&gt;"Not confirmed",$L601&lt;&gt;LAB_BULK_DENSITY_BASIS),"This row's bulk-density basis disagrees with the lab method on file. One of "&amp;"the two is wrong, and the coarse-fragment correction follows the row. ","")&amp;IF(AND(ISNUMBER($M601),OR($M601&lt;QC_BD_MIN,$M601&gt;QC_BD_MAX)),"Bulk density outside the plausible range for a mineral grassland soil. ","")&amp;IF(AND(ISNUMBER($N601),$N601&gt;QC_CARBON_PCT_MAX),"Organic carbon above the QC ceiling — check units, and whether this is an organic horizon. ","")&amp;IF(AND(ISNUMBER($J601),$J601&lt;QC_RECOVERY_MIN),"Recovered less than the QC minimum of the depth driven — the increments may not sit where you think. Do NOT stretch them back out. ","")&amp;IF(AND(ISNUMBER($K601),$K601&gt;0,$L601="Fine earth / total volume"),"Coarse fragments recorded and the lab basis already accounts for them — no further correction applied, which is correct. ",""))</f>
        <v/>
      </c>
      <c r="T601" s="6"/>
      <c r="U601" s="9" t="n">
        <f aca="false">IF($B601="",0,IF(COUNTIFS($B$5:$B601,$B601)=1,1,0))</f>
        <v>0</v>
      </c>
    </row>
    <row r="602" customFormat="false" ht="15" hidden="false" customHeight="false" outlineLevel="0" collapsed="false">
      <c r="A602" s="6"/>
      <c r="B602" s="6"/>
      <c r="C602" s="6"/>
      <c r="D602" s="6"/>
      <c r="E602" s="6"/>
      <c r="F602" s="9" t="str">
        <f aca="false">IF(OR($D602="",$E602=""),"",$E602-$D602)</f>
        <v/>
      </c>
      <c r="G602" s="6"/>
      <c r="H602" s="6"/>
      <c r="I602" s="6"/>
      <c r="J602" s="9" t="str">
        <f aca="false">IF(OR(NOT(ISNUMBER($H602)),NOT(ISNUMBER($I602)),$H602=0),"",$I602/$H602)</f>
        <v/>
      </c>
      <c r="K602" s="6"/>
      <c r="L602" s="8"/>
      <c r="M602" s="7"/>
      <c r="N602" s="7"/>
      <c r="O602" s="9" t="str">
        <f aca="false">IF(NOT(ISNUMBER($M602)),"",IF($L602="Fine earth / fine-earth volume",$M602*(1-IF(ISNUMBER($K602),$K602,0)/100),$M602))</f>
        <v/>
      </c>
      <c r="P602" s="9" t="str">
        <f aca="false">IF(OR(NOT(ISNUMBER($O602)),NOT(ISNUMBER($N602)),NOT(ISNUMBER($F602))),"",$O602*($N602/100)*$F602*10)</f>
        <v/>
      </c>
      <c r="Q602" s="9" t="str">
        <f aca="false">IF(OR(NOT(ISNUMBER($D602)),NOT(ISNUMBER($E602))),"",MAX(0,MIN($E602,SOIL_REPORTING_DEPTH_CM)-MIN($D602,SOIL_REPORTING_DEPTH_CM)))</f>
        <v/>
      </c>
      <c r="R602" s="9" t="str">
        <f aca="false">IF(OR(NOT(ISNUMBER($O602)),NOT(ISNUMBER($N602)),NOT(ISNUMBER($Q602))),"",$O602*($N602/100)*$Q602*10)</f>
        <v/>
      </c>
      <c r="S602" s="11" t="str">
        <f aca="false">IF(AND($A602="",$B602="",$D602=""),"",IF(AND($A602&lt;&gt;"",COUNTIF('1. Plot &amp; Site Log'!$A$5:$A$64,$A602)=0),"Plot ID not in the Plot &amp; Site Log. ","")&amp;IF(AND(ISNUMBER($D602),ISNUMBER($E602),$E602&lt;=$D602),"Bottom depth is not below top depth. ","")&amp;IF($L602="Not confirmed","Bulk-density basis not confirmed with the lab — the coarse-fragment correction may be wrong or doubled. ","")&amp;IF(LAB_BULK_DENSITY_BASIS="Not confirmed","No lab bulk-density basis is on file in Settings (LAB_BULK_DENSITY_BASIS), so nothing checks this row. ","")&amp;IF(AND($L602&lt;&gt;"",LAB_BULK_DENSITY_BASIS&lt;&gt;"Not confirmed",$L602&lt;&gt;LAB_BULK_DENSITY_BASIS),"This row's bulk-density basis disagrees with the lab method on file. One of "&amp;"the two is wrong, and the coarse-fragment correction follows the row. ","")&amp;IF(AND(ISNUMBER($M602),OR($M602&lt;QC_BD_MIN,$M602&gt;QC_BD_MAX)),"Bulk density outside the plausible range for a mineral grassland soil. ","")&amp;IF(AND(ISNUMBER($N602),$N602&gt;QC_CARBON_PCT_MAX),"Organic carbon above the QC ceiling — check units, and whether this is an organic horizon. ","")&amp;IF(AND(ISNUMBER($J602),$J602&lt;QC_RECOVERY_MIN),"Recovered less than the QC minimum of the depth driven — the increments may not sit where you think. Do NOT stretch them back out. ","")&amp;IF(AND(ISNUMBER($K602),$K602&gt;0,$L602="Fine earth / total volume"),"Coarse fragments recorded and the lab basis already accounts for them — no further correction applied, which is correct. ",""))</f>
        <v/>
      </c>
      <c r="T602" s="6"/>
      <c r="U602" s="9" t="n">
        <f aca="false">IF($B602="",0,IF(COUNTIFS($B$5:$B602,$B602)=1,1,0))</f>
        <v>0</v>
      </c>
    </row>
    <row r="603" customFormat="false" ht="15" hidden="false" customHeight="false" outlineLevel="0" collapsed="false">
      <c r="A603" s="6"/>
      <c r="B603" s="6"/>
      <c r="C603" s="6"/>
      <c r="D603" s="6"/>
      <c r="E603" s="6"/>
      <c r="F603" s="9" t="str">
        <f aca="false">IF(OR($D603="",$E603=""),"",$E603-$D603)</f>
        <v/>
      </c>
      <c r="G603" s="6"/>
      <c r="H603" s="6"/>
      <c r="I603" s="6"/>
      <c r="J603" s="9" t="str">
        <f aca="false">IF(OR(NOT(ISNUMBER($H603)),NOT(ISNUMBER($I603)),$H603=0),"",$I603/$H603)</f>
        <v/>
      </c>
      <c r="K603" s="6"/>
      <c r="L603" s="8"/>
      <c r="M603" s="7"/>
      <c r="N603" s="7"/>
      <c r="O603" s="9" t="str">
        <f aca="false">IF(NOT(ISNUMBER($M603)),"",IF($L603="Fine earth / fine-earth volume",$M603*(1-IF(ISNUMBER($K603),$K603,0)/100),$M603))</f>
        <v/>
      </c>
      <c r="P603" s="9" t="str">
        <f aca="false">IF(OR(NOT(ISNUMBER($O603)),NOT(ISNUMBER($N603)),NOT(ISNUMBER($F603))),"",$O603*($N603/100)*$F603*10)</f>
        <v/>
      </c>
      <c r="Q603" s="9" t="str">
        <f aca="false">IF(OR(NOT(ISNUMBER($D603)),NOT(ISNUMBER($E603))),"",MAX(0,MIN($E603,SOIL_REPORTING_DEPTH_CM)-MIN($D603,SOIL_REPORTING_DEPTH_CM)))</f>
        <v/>
      </c>
      <c r="R603" s="9" t="str">
        <f aca="false">IF(OR(NOT(ISNUMBER($O603)),NOT(ISNUMBER($N603)),NOT(ISNUMBER($Q603))),"",$O603*($N603/100)*$Q603*10)</f>
        <v/>
      </c>
      <c r="S603" s="11" t="str">
        <f aca="false">IF(AND($A603="",$B603="",$D603=""),"",IF(AND($A603&lt;&gt;"",COUNTIF('1. Plot &amp; Site Log'!$A$5:$A$64,$A603)=0),"Plot ID not in the Plot &amp; Site Log. ","")&amp;IF(AND(ISNUMBER($D603),ISNUMBER($E603),$E603&lt;=$D603),"Bottom depth is not below top depth. ","")&amp;IF($L603="Not confirmed","Bulk-density basis not confirmed with the lab — the coarse-fragment correction may be wrong or doubled. ","")&amp;IF(LAB_BULK_DENSITY_BASIS="Not confirmed","No lab bulk-density basis is on file in Settings (LAB_BULK_DENSITY_BASIS), so nothing checks this row. ","")&amp;IF(AND($L603&lt;&gt;"",LAB_BULK_DENSITY_BASIS&lt;&gt;"Not confirmed",$L603&lt;&gt;LAB_BULK_DENSITY_BASIS),"This row's bulk-density basis disagrees with the lab method on file. One of "&amp;"the two is wrong, and the coarse-fragment correction follows the row. ","")&amp;IF(AND(ISNUMBER($M603),OR($M603&lt;QC_BD_MIN,$M603&gt;QC_BD_MAX)),"Bulk density outside the plausible range for a mineral grassland soil. ","")&amp;IF(AND(ISNUMBER($N603),$N603&gt;QC_CARBON_PCT_MAX),"Organic carbon above the QC ceiling — check units, and whether this is an organic horizon. ","")&amp;IF(AND(ISNUMBER($J603),$J603&lt;QC_RECOVERY_MIN),"Recovered less than the QC minimum of the depth driven — the increments may not sit where you think. Do NOT stretch them back out. ","")&amp;IF(AND(ISNUMBER($K603),$K603&gt;0,$L603="Fine earth / total volume"),"Coarse fragments recorded and the lab basis already accounts for them — no further correction applied, which is correct. ",""))</f>
        <v/>
      </c>
      <c r="T603" s="6"/>
      <c r="U603" s="9" t="n">
        <f aca="false">IF($B603="",0,IF(COUNTIFS($B$5:$B603,$B603)=1,1,0))</f>
        <v>0</v>
      </c>
    </row>
    <row r="604" customFormat="false" ht="15" hidden="false" customHeight="false" outlineLevel="0" collapsed="false">
      <c r="A604" s="6"/>
      <c r="B604" s="6"/>
      <c r="C604" s="6"/>
      <c r="D604" s="6"/>
      <c r="E604" s="6"/>
      <c r="F604" s="9" t="str">
        <f aca="false">IF(OR($D604="",$E604=""),"",$E604-$D604)</f>
        <v/>
      </c>
      <c r="G604" s="6"/>
      <c r="H604" s="6"/>
      <c r="I604" s="6"/>
      <c r="J604" s="9" t="str">
        <f aca="false">IF(OR(NOT(ISNUMBER($H604)),NOT(ISNUMBER($I604)),$H604=0),"",$I604/$H604)</f>
        <v/>
      </c>
      <c r="K604" s="6"/>
      <c r="L604" s="8"/>
      <c r="M604" s="7"/>
      <c r="N604" s="7"/>
      <c r="O604" s="9" t="str">
        <f aca="false">IF(NOT(ISNUMBER($M604)),"",IF($L604="Fine earth / fine-earth volume",$M604*(1-IF(ISNUMBER($K604),$K604,0)/100),$M604))</f>
        <v/>
      </c>
      <c r="P604" s="9" t="str">
        <f aca="false">IF(OR(NOT(ISNUMBER($O604)),NOT(ISNUMBER($N604)),NOT(ISNUMBER($F604))),"",$O604*($N604/100)*$F604*10)</f>
        <v/>
      </c>
      <c r="Q604" s="9" t="str">
        <f aca="false">IF(OR(NOT(ISNUMBER($D604)),NOT(ISNUMBER($E604))),"",MAX(0,MIN($E604,SOIL_REPORTING_DEPTH_CM)-MIN($D604,SOIL_REPORTING_DEPTH_CM)))</f>
        <v/>
      </c>
      <c r="R604" s="9" t="str">
        <f aca="false">IF(OR(NOT(ISNUMBER($O604)),NOT(ISNUMBER($N604)),NOT(ISNUMBER($Q604))),"",$O604*($N604/100)*$Q604*10)</f>
        <v/>
      </c>
      <c r="S604" s="11" t="str">
        <f aca="false">IF(AND($A604="",$B604="",$D604=""),"",IF(AND($A604&lt;&gt;"",COUNTIF('1. Plot &amp; Site Log'!$A$5:$A$64,$A604)=0),"Plot ID not in the Plot &amp; Site Log. ","")&amp;IF(AND(ISNUMBER($D604),ISNUMBER($E604),$E604&lt;=$D604),"Bottom depth is not below top depth. ","")&amp;IF($L604="Not confirmed","Bulk-density basis not confirmed with the lab — the coarse-fragment correction may be wrong or doubled. ","")&amp;IF(LAB_BULK_DENSITY_BASIS="Not confirmed","No lab bulk-density basis is on file in Settings (LAB_BULK_DENSITY_BASIS), so nothing checks this row. ","")&amp;IF(AND($L604&lt;&gt;"",LAB_BULK_DENSITY_BASIS&lt;&gt;"Not confirmed",$L604&lt;&gt;LAB_BULK_DENSITY_BASIS),"This row's bulk-density basis disagrees with the lab method on file. One of "&amp;"the two is wrong, and the coarse-fragment correction follows the row. ","")&amp;IF(AND(ISNUMBER($M604),OR($M604&lt;QC_BD_MIN,$M604&gt;QC_BD_MAX)),"Bulk density outside the plausible range for a mineral grassland soil. ","")&amp;IF(AND(ISNUMBER($N604),$N604&gt;QC_CARBON_PCT_MAX),"Organic carbon above the QC ceiling — check units, and whether this is an organic horizon. ","")&amp;IF(AND(ISNUMBER($J604),$J604&lt;QC_RECOVERY_MIN),"Recovered less than the QC minimum of the depth driven — the increments may not sit where you think. Do NOT stretch them back out. ","")&amp;IF(AND(ISNUMBER($K604),$K604&gt;0,$L604="Fine earth / total volume"),"Coarse fragments recorded and the lab basis already accounts for them — no further correction applied, which is correct. ",""))</f>
        <v/>
      </c>
      <c r="T604" s="6"/>
      <c r="U604" s="9" t="n">
        <f aca="false">IF($B604="",0,IF(COUNTIFS($B$5:$B604,$B604)=1,1,0))</f>
        <v>0</v>
      </c>
    </row>
  </sheetData>
  <mergeCells count="2">
    <mergeCell ref="A1:U1"/>
    <mergeCell ref="A2:U2"/>
  </mergeCells>
  <dataValidations count="1">
    <dataValidation allowBlank="true" errorStyle="stop" operator="between" showDropDown="false" showErrorMessage="false" showInputMessage="false" sqref="L5:L604" type="list">
      <formula1>"Fine earth / total volume,Fine earth / fine-earth volume,Not confirmed"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1"/>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8" min="7" style="0" width="13"/>
    <col collapsed="false" customWidth="true" hidden="false" outlineLevel="0" max="9" min="9" style="0" width="12"/>
    <col collapsed="false" customWidth="true" hidden="false" outlineLevel="0" max="10" min="10" style="0" width="13"/>
    <col collapsed="false" customWidth="true" hidden="false" outlineLevel="0" max="12" min="11" style="0" width="12"/>
    <col collapsed="false" customWidth="true" hidden="false" outlineLevel="0" max="13" min="13" style="0" width="13"/>
    <col collapsed="false" customWidth="true" hidden="false" outlineLevel="0" max="14" min="14" style="0" width="14"/>
    <col collapsed="false" customWidth="true" hidden="false" outlineLevel="0" max="15" min="15" style="0" width="46"/>
    <col collapsed="false" customWidth="true" hidden="false" outlineLevel="0" max="16" min="16" style="0" width="30"/>
    <col collapsed="false" customWidth="true" hidden="false" outlineLevel="0" max="17" min="17" style="0" width="8"/>
  </cols>
  <sheetData>
    <row r="1" customFormat="false" ht="17.35" hidden="false" customHeight="false" outlineLevel="0" collapsed="false">
      <c r="A1" s="1" t="s">
        <v>122</v>
      </c>
      <c r="B1" s="1"/>
      <c r="C1" s="1"/>
      <c r="D1" s="1"/>
      <c r="E1" s="1"/>
      <c r="F1" s="1"/>
      <c r="G1" s="1"/>
      <c r="H1" s="1"/>
      <c r="I1" s="1"/>
      <c r="J1" s="1"/>
      <c r="K1" s="1"/>
      <c r="L1" s="1"/>
      <c r="M1" s="1"/>
      <c r="N1" s="1"/>
      <c r="O1" s="1"/>
      <c r="P1" s="1"/>
      <c r="Q1" s="1"/>
    </row>
    <row r="2" customFormat="false" ht="31.5" hidden="false" customHeight="true" outlineLevel="0" collapsed="false">
      <c r="A2" s="2" t="s">
        <v>123</v>
      </c>
      <c r="B2" s="2"/>
      <c r="C2" s="2"/>
      <c r="D2" s="2"/>
      <c r="E2" s="2"/>
      <c r="F2" s="2"/>
      <c r="G2" s="2"/>
      <c r="H2" s="2"/>
      <c r="I2" s="2"/>
      <c r="J2" s="2"/>
      <c r="K2" s="2"/>
      <c r="L2" s="2"/>
      <c r="M2" s="2"/>
      <c r="N2" s="2"/>
      <c r="O2" s="2"/>
      <c r="P2" s="2"/>
      <c r="Q2" s="2"/>
    </row>
    <row r="4" customFormat="false" ht="45.75" hidden="false" customHeight="true" outlineLevel="0" collapsed="false">
      <c r="A4" s="14" t="s">
        <v>45</v>
      </c>
      <c r="B4" s="14" t="s">
        <v>91</v>
      </c>
      <c r="C4" s="14" t="s">
        <v>93</v>
      </c>
      <c r="D4" s="14" t="s">
        <v>94</v>
      </c>
      <c r="E4" s="14" t="s">
        <v>124</v>
      </c>
      <c r="F4" s="14" t="s">
        <v>125</v>
      </c>
      <c r="G4" s="14" t="s">
        <v>126</v>
      </c>
      <c r="H4" s="14" t="s">
        <v>127</v>
      </c>
      <c r="I4" s="14" t="s">
        <v>128</v>
      </c>
      <c r="J4" s="14" t="s">
        <v>129</v>
      </c>
      <c r="K4" s="14" t="s">
        <v>96</v>
      </c>
      <c r="L4" s="14" t="s">
        <v>130</v>
      </c>
      <c r="M4" s="14" t="s">
        <v>131</v>
      </c>
      <c r="N4" s="14" t="s">
        <v>132</v>
      </c>
      <c r="O4" s="14" t="s">
        <v>108</v>
      </c>
      <c r="P4" s="14" t="s">
        <v>64</v>
      </c>
      <c r="Q4" s="14" t="s">
        <v>109</v>
      </c>
    </row>
    <row r="5" customFormat="false" ht="15" hidden="false" customHeight="false" outlineLevel="0" collapsed="false">
      <c r="A5" s="6" t="s">
        <v>65</v>
      </c>
      <c r="B5" s="6" t="s">
        <v>110</v>
      </c>
      <c r="C5" s="6" t="n">
        <v>0</v>
      </c>
      <c r="D5" s="6" t="n">
        <v>10</v>
      </c>
      <c r="E5" s="6" t="s">
        <v>133</v>
      </c>
      <c r="F5" s="6" t="s">
        <v>134</v>
      </c>
      <c r="G5" s="7" t="n">
        <v>1.8414</v>
      </c>
      <c r="H5" s="7" t="n">
        <v>0.082</v>
      </c>
      <c r="I5" s="6" t="n">
        <v>0.5</v>
      </c>
      <c r="J5" s="9" t="n">
        <f aca="false">IF(NOT(ISNUMBER($G5)),"",IF(AND(ASH_CORRECTED="Yes",ISNUMBER($H5)),$G5*(1-$H5),$G5))</f>
        <v>1.6904052</v>
      </c>
      <c r="K5" s="9" t="n">
        <f aca="false">IF($B5="","",IFERROR(AVERAGEIFS('2. Soil Data'!$G$5:$G$604,'2. Soil Data'!$B$5:$B$604,$B5),""))</f>
        <v>5</v>
      </c>
      <c r="L5" s="9" t="n">
        <f aca="false">IF(NOT(ISNUMBER($K5)),"",PI()*($K5/2)^2)</f>
        <v>19.6349540849362</v>
      </c>
      <c r="M5" s="9" t="n">
        <f aca="false">IF(OR(NOT(ISNUMBER($J5)),NOT(ISNUMBER($L5)),$L5=0),"",$J5/$L5*10000)</f>
        <v>860.916298906381</v>
      </c>
      <c r="N5" s="9" t="n">
        <f aca="false">IF(NOT(ISNUMBER($M5)),"",$M5*CARBON_FRACTION_ROOT/1000)</f>
        <v>0.43045814945319</v>
      </c>
      <c r="O5" s="11" t="str">
        <f aca="false">IF(AND($A5="",$B5="",$G5=""),"",IF(AND($B5&lt;&gt;"",COUNTIFS('2. Soil Data'!$B$5:$B$604,$B5)=0),"Core ID not found in Soil Data, so the corer diameter cannot be looked up. ","")&amp;IF(ASH_CORRECTED&lt;&gt;"Yes","Root mass is NOT ash-corrected, so it includes adhering mineral soil and is too high. Set ASH_CORRECTED once you have done it. ","")&amp;IF(AND(ASH_CORRECTED="Yes",NOT(ISNUMBER($H5))),"Ash correction is switched on but no ash fraction is given for this row. ","")&amp;IF($I5="","Sieve mesh not recorded — a fine-root figure cannot be interpreted without it. ","")&amp;IF(AND(ISNUMBER($H5),$H5&gt;0.5),"Ash fraction above 0.5 — over half this sample was mineral soil. Re-wash. ","")&amp;IF($F5="Not separated","Live and dead not separated. Fine for a stock, but "&amp;"note it in reporting. ",""))</f>
        <v/>
      </c>
      <c r="P5" s="6"/>
      <c r="Q5" s="9" t="n">
        <f aca="false">IF($B5="",0,IF(COUNTIFS($B$5:$B5,$B5)=1,1,0))</f>
        <v>1</v>
      </c>
    </row>
    <row r="6" customFormat="false" ht="15" hidden="false" customHeight="false" outlineLevel="0" collapsed="false">
      <c r="A6" s="6" t="s">
        <v>65</v>
      </c>
      <c r="B6" s="6" t="s">
        <v>110</v>
      </c>
      <c r="C6" s="6" t="n">
        <v>0</v>
      </c>
      <c r="D6" s="6" t="n">
        <v>10</v>
      </c>
      <c r="E6" s="6" t="s">
        <v>135</v>
      </c>
      <c r="F6" s="6" t="s">
        <v>134</v>
      </c>
      <c r="G6" s="7" t="n">
        <v>0.4602</v>
      </c>
      <c r="H6" s="7" t="n">
        <v>0.14</v>
      </c>
      <c r="I6" s="6" t="n">
        <v>0.5</v>
      </c>
      <c r="J6" s="9" t="n">
        <f aca="false">IF(NOT(ISNUMBER($G6)),"",IF(AND(ASH_CORRECTED="Yes",ISNUMBER($H6)),$G6*(1-$H6),$G6))</f>
        <v>0.395772</v>
      </c>
      <c r="K6" s="9" t="n">
        <f aca="false">IF($B6="","",IFERROR(AVERAGEIFS('2. Soil Data'!$G$5:$G$604,'2. Soil Data'!$B$5:$B$604,$B6),""))</f>
        <v>5</v>
      </c>
      <c r="L6" s="9" t="n">
        <f aca="false">IF(NOT(ISNUMBER($K6)),"",PI()*($K6/2)^2)</f>
        <v>19.6349540849362</v>
      </c>
      <c r="M6" s="9" t="n">
        <f aca="false">IF(OR(NOT(ISNUMBER($J6)),NOT(ISNUMBER($L6)),$L6=0),"",$J6/$L6*10000)</f>
        <v>201.56502443957</v>
      </c>
      <c r="N6" s="9" t="n">
        <f aca="false">IF(NOT(ISNUMBER($M6)),"",$M6*CARBON_FRACTION_ROOT/1000)</f>
        <v>0.100782512219785</v>
      </c>
      <c r="O6" s="11" t="str">
        <f aca="false">IF(AND($A6="",$B6="",$G6=""),"",IF(AND($B6&lt;&gt;"",COUNTIFS('2. Soil Data'!$B$5:$B$604,$B6)=0),"Core ID not found in Soil Data, so the corer diameter cannot be looked up. ","")&amp;IF(ASH_CORRECTED&lt;&gt;"Yes","Root mass is NOT ash-corrected, so it includes adhering mineral soil and is too high. Set ASH_CORRECTED once you have done it. ","")&amp;IF(AND(ASH_CORRECTED="Yes",NOT(ISNUMBER($H6))),"Ash correction is switched on but no ash fraction is given for this row. ","")&amp;IF($I6="","Sieve mesh not recorded — a fine-root figure cannot be interpreted without it. ","")&amp;IF(AND(ISNUMBER($H6),$H6&gt;0.5),"Ash fraction above 0.5 — over half this sample was mineral soil. Re-wash. ","")&amp;IF($F6="Not separated","Live and dead not separated. Fine for a stock, but "&amp;"note it in reporting. ",""))</f>
        <v/>
      </c>
      <c r="P6" s="6"/>
      <c r="Q6" s="9" t="n">
        <f aca="false">IF($B6="",0,IF(COUNTIFS($B$5:$B6,$B6)=1,1,0))</f>
        <v>0</v>
      </c>
    </row>
    <row r="7" customFormat="false" ht="15" hidden="false" customHeight="false" outlineLevel="0" collapsed="false">
      <c r="A7" s="6" t="s">
        <v>65</v>
      </c>
      <c r="B7" s="6" t="s">
        <v>110</v>
      </c>
      <c r="C7" s="6" t="n">
        <v>10</v>
      </c>
      <c r="D7" s="6" t="n">
        <v>20</v>
      </c>
      <c r="E7" s="6" t="s">
        <v>133</v>
      </c>
      <c r="F7" s="6" t="s">
        <v>134</v>
      </c>
      <c r="G7" s="7" t="n">
        <v>0.9853</v>
      </c>
      <c r="H7" s="7" t="n">
        <v>0.117</v>
      </c>
      <c r="I7" s="6" t="n">
        <v>0.5</v>
      </c>
      <c r="J7" s="9" t="n">
        <f aca="false">IF(NOT(ISNUMBER($G7)),"",IF(AND(ASH_CORRECTED="Yes",ISNUMBER($H7)),$G7*(1-$H7),$G7))</f>
        <v>0.8700199</v>
      </c>
      <c r="K7" s="9" t="n">
        <f aca="false">IF($B7="","",IFERROR(AVERAGEIFS('2. Soil Data'!$G$5:$G$604,'2. Soil Data'!$B$5:$B$604,$B7),""))</f>
        <v>5</v>
      </c>
      <c r="L7" s="9" t="n">
        <f aca="false">IF(NOT(ISNUMBER($K7)),"",PI()*($K7/2)^2)</f>
        <v>19.6349540849362</v>
      </c>
      <c r="M7" s="9" t="n">
        <f aca="false">IF(OR(NOT(ISNUMBER($J7)),NOT(ISNUMBER($L7)),$L7=0),"",$J7/$L7*10000)</f>
        <v>443.097496554613</v>
      </c>
      <c r="N7" s="9" t="n">
        <f aca="false">IF(NOT(ISNUMBER($M7)),"",$M7*CARBON_FRACTION_ROOT/1000)</f>
        <v>0.221548748277306</v>
      </c>
      <c r="O7" s="11" t="str">
        <f aca="false">IF(AND($A7="",$B7="",$G7=""),"",IF(AND($B7&lt;&gt;"",COUNTIFS('2. Soil Data'!$B$5:$B$604,$B7)=0),"Core ID not found in Soil Data, so the corer diameter cannot be looked up. ","")&amp;IF(ASH_CORRECTED&lt;&gt;"Yes","Root mass is NOT ash-corrected, so it includes adhering mineral soil and is too high. Set ASH_CORRECTED once you have done it. ","")&amp;IF(AND(ASH_CORRECTED="Yes",NOT(ISNUMBER($H7))),"Ash correction is switched on but no ash fraction is given for this row. ","")&amp;IF($I7="","Sieve mesh not recorded — a fine-root figure cannot be interpreted without it. ","")&amp;IF(AND(ISNUMBER($H7),$H7&gt;0.5),"Ash fraction above 0.5 — over half this sample was mineral soil. Re-wash. ","")&amp;IF($F7="Not separated","Live and dead not separated. Fine for a stock, but "&amp;"note it in reporting. ",""))</f>
        <v/>
      </c>
      <c r="P7" s="6"/>
      <c r="Q7" s="9" t="n">
        <f aca="false">IF($B7="",0,IF(COUNTIFS($B$5:$B7,$B7)=1,1,0))</f>
        <v>0</v>
      </c>
    </row>
    <row r="8" customFormat="false" ht="15" hidden="false" customHeight="false" outlineLevel="0" collapsed="false">
      <c r="A8" s="6" t="s">
        <v>65</v>
      </c>
      <c r="B8" s="6" t="s">
        <v>110</v>
      </c>
      <c r="C8" s="6" t="n">
        <v>10</v>
      </c>
      <c r="D8" s="6" t="n">
        <v>20</v>
      </c>
      <c r="E8" s="6" t="s">
        <v>135</v>
      </c>
      <c r="F8" s="6" t="s">
        <v>134</v>
      </c>
      <c r="G8" s="7" t="n">
        <v>0.188</v>
      </c>
      <c r="H8" s="7" t="n">
        <v>0.078</v>
      </c>
      <c r="I8" s="6" t="n">
        <v>0.5</v>
      </c>
      <c r="J8" s="9" t="n">
        <f aca="false">IF(NOT(ISNUMBER($G8)),"",IF(AND(ASH_CORRECTED="Yes",ISNUMBER($H8)),$G8*(1-$H8),$G8))</f>
        <v>0.173336</v>
      </c>
      <c r="K8" s="9" t="n">
        <f aca="false">IF($B8="","",IFERROR(AVERAGEIFS('2. Soil Data'!$G$5:$G$604,'2. Soil Data'!$B$5:$B$604,$B8),""))</f>
        <v>5</v>
      </c>
      <c r="L8" s="9" t="n">
        <f aca="false">IF(NOT(ISNUMBER($K8)),"",PI()*($K8/2)^2)</f>
        <v>19.6349540849362</v>
      </c>
      <c r="M8" s="9" t="n">
        <f aca="false">IF(OR(NOT(ISNUMBER($J8)),NOT(ISNUMBER($L8)),$L8=0),"",$J8/$L8*10000)</f>
        <v>88.2792998904857</v>
      </c>
      <c r="N8" s="9" t="n">
        <f aca="false">IF(NOT(ISNUMBER($M8)),"",$M8*CARBON_FRACTION_ROOT/1000)</f>
        <v>0.0441396499452428</v>
      </c>
      <c r="O8" s="11" t="str">
        <f aca="false">IF(AND($A8="",$B8="",$G8=""),"",IF(AND($B8&lt;&gt;"",COUNTIFS('2. Soil Data'!$B$5:$B$604,$B8)=0),"Core ID not found in Soil Data, so the corer diameter cannot be looked up. ","")&amp;IF(ASH_CORRECTED&lt;&gt;"Yes","Root mass is NOT ash-corrected, so it includes adhering mineral soil and is too high. Set ASH_CORRECTED once you have done it. ","")&amp;IF(AND(ASH_CORRECTED="Yes",NOT(ISNUMBER($H8))),"Ash correction is switched on but no ash fraction is given for this row. ","")&amp;IF($I8="","Sieve mesh not recorded — a fine-root figure cannot be interpreted without it. ","")&amp;IF(AND(ISNUMBER($H8),$H8&gt;0.5),"Ash fraction above 0.5 — over half this sample was mineral soil. Re-wash. ","")&amp;IF($F8="Not separated","Live and dead not separated. Fine for a stock, but "&amp;"note it in reporting. ",""))</f>
        <v/>
      </c>
      <c r="P8" s="6"/>
      <c r="Q8" s="9" t="n">
        <f aca="false">IF($B8="",0,IF(COUNTIFS($B$5:$B8,$B8)=1,1,0))</f>
        <v>0</v>
      </c>
    </row>
    <row r="9" customFormat="false" ht="15" hidden="false" customHeight="false" outlineLevel="0" collapsed="false">
      <c r="A9" s="6" t="s">
        <v>65</v>
      </c>
      <c r="B9" s="6" t="s">
        <v>110</v>
      </c>
      <c r="C9" s="6" t="n">
        <v>20</v>
      </c>
      <c r="D9" s="6" t="n">
        <v>30</v>
      </c>
      <c r="E9" s="6" t="s">
        <v>133</v>
      </c>
      <c r="F9" s="6" t="s">
        <v>134</v>
      </c>
      <c r="G9" s="7" t="n">
        <v>0.4662</v>
      </c>
      <c r="H9" s="7" t="n">
        <v>0.066</v>
      </c>
      <c r="I9" s="6" t="n">
        <v>0.5</v>
      </c>
      <c r="J9" s="9" t="n">
        <f aca="false">IF(NOT(ISNUMBER($G9)),"",IF(AND(ASH_CORRECTED="Yes",ISNUMBER($H9)),$G9*(1-$H9),$G9))</f>
        <v>0.4354308</v>
      </c>
      <c r="K9" s="9" t="n">
        <f aca="false">IF($B9="","",IFERROR(AVERAGEIFS('2. Soil Data'!$G$5:$G$604,'2. Soil Data'!$B$5:$B$604,$B9),""))</f>
        <v>5</v>
      </c>
      <c r="L9" s="9" t="n">
        <f aca="false">IF(NOT(ISNUMBER($K9)),"",PI()*($K9/2)^2)</f>
        <v>19.6349540849362</v>
      </c>
      <c r="M9" s="9" t="n">
        <f aca="false">IF(OR(NOT(ISNUMBER($J9)),NOT(ISNUMBER($L9)),$L9=0),"",$J9/$L9*10000)</f>
        <v>221.763085422267</v>
      </c>
      <c r="N9" s="9" t="n">
        <f aca="false">IF(NOT(ISNUMBER($M9)),"",$M9*CARBON_FRACTION_ROOT/1000)</f>
        <v>0.110881542711134</v>
      </c>
      <c r="O9" s="11" t="str">
        <f aca="false">IF(AND($A9="",$B9="",$G9=""),"",IF(AND($B9&lt;&gt;"",COUNTIFS('2. Soil Data'!$B$5:$B$604,$B9)=0),"Core ID not found in Soil Data, so the corer diameter cannot be looked up. ","")&amp;IF(ASH_CORRECTED&lt;&gt;"Yes","Root mass is NOT ash-corrected, so it includes adhering mineral soil and is too high. Set ASH_CORRECTED once you have done it. ","")&amp;IF(AND(ASH_CORRECTED="Yes",NOT(ISNUMBER($H9))),"Ash correction is switched on but no ash fraction is given for this row. ","")&amp;IF($I9="","Sieve mesh not recorded — a fine-root figure cannot be interpreted without it. ","")&amp;IF(AND(ISNUMBER($H9),$H9&gt;0.5),"Ash fraction above 0.5 — over half this sample was mineral soil. Re-wash. ","")&amp;IF($F9="Not separated","Live and dead not separated. Fine for a stock, but "&amp;"note it in reporting. ",""))</f>
        <v/>
      </c>
      <c r="P9" s="6"/>
      <c r="Q9" s="9" t="n">
        <f aca="false">IF($B9="",0,IF(COUNTIFS($B$5:$B9,$B9)=1,1,0))</f>
        <v>0</v>
      </c>
    </row>
    <row r="10" customFormat="false" ht="15" hidden="false" customHeight="false" outlineLevel="0" collapsed="false">
      <c r="A10" s="6" t="s">
        <v>65</v>
      </c>
      <c r="B10" s="6" t="s">
        <v>110</v>
      </c>
      <c r="C10" s="6" t="n">
        <v>20</v>
      </c>
      <c r="D10" s="6" t="n">
        <v>30</v>
      </c>
      <c r="E10" s="6" t="s">
        <v>135</v>
      </c>
      <c r="F10" s="6" t="s">
        <v>134</v>
      </c>
      <c r="G10" s="7" t="n">
        <v>0.1209</v>
      </c>
      <c r="H10" s="7" t="n">
        <v>0.092</v>
      </c>
      <c r="I10" s="6" t="n">
        <v>0.5</v>
      </c>
      <c r="J10" s="9" t="n">
        <f aca="false">IF(NOT(ISNUMBER($G10)),"",IF(AND(ASH_CORRECTED="Yes",ISNUMBER($H10)),$G10*(1-$H10),$G10))</f>
        <v>0.1097772</v>
      </c>
      <c r="K10" s="9" t="n">
        <f aca="false">IF($B10="","",IFERROR(AVERAGEIFS('2. Soil Data'!$G$5:$G$604,'2. Soil Data'!$B$5:$B$604,$B10),""))</f>
        <v>5</v>
      </c>
      <c r="L10" s="9" t="n">
        <f aca="false">IF(NOT(ISNUMBER($K10)),"",PI()*($K10/2)^2)</f>
        <v>19.6349540849362</v>
      </c>
      <c r="M10" s="9" t="n">
        <f aca="false">IF(OR(NOT(ISNUMBER($J10)),NOT(ISNUMBER($L10)),$L10=0),"",$J10/$L10*10000)</f>
        <v>55.9090688601204</v>
      </c>
      <c r="N10" s="9" t="n">
        <f aca="false">IF(NOT(ISNUMBER($M10)),"",$M10*CARBON_FRACTION_ROOT/1000)</f>
        <v>0.0279545344300602</v>
      </c>
      <c r="O10" s="11" t="str">
        <f aca="false">IF(AND($A10="",$B10="",$G10=""),"",IF(AND($B10&lt;&gt;"",COUNTIFS('2. Soil Data'!$B$5:$B$604,$B10)=0),"Core ID not found in Soil Data, so the corer diameter cannot be looked up. ","")&amp;IF(ASH_CORRECTED&lt;&gt;"Yes","Root mass is NOT ash-corrected, so it includes adhering mineral soil and is too high. Set ASH_CORRECTED once you have done it. ","")&amp;IF(AND(ASH_CORRECTED="Yes",NOT(ISNUMBER($H10))),"Ash correction is switched on but no ash fraction is given for this row. ","")&amp;IF($I10="","Sieve mesh not recorded — a fine-root figure cannot be interpreted without it. ","")&amp;IF(AND(ISNUMBER($H10),$H10&gt;0.5),"Ash fraction above 0.5 — over half this sample was mineral soil. Re-wash. ","")&amp;IF($F10="Not separated","Live and dead not separated. Fine for a stock, but "&amp;"note it in reporting. ",""))</f>
        <v/>
      </c>
      <c r="P10" s="6"/>
      <c r="Q10" s="9" t="n">
        <f aca="false">IF($B10="",0,IF(COUNTIFS($B$5:$B10,$B10)=1,1,0))</f>
        <v>0</v>
      </c>
    </row>
    <row r="11" customFormat="false" ht="15" hidden="false" customHeight="false" outlineLevel="0" collapsed="false">
      <c r="A11" s="6" t="s">
        <v>65</v>
      </c>
      <c r="B11" s="6" t="s">
        <v>110</v>
      </c>
      <c r="C11" s="6" t="n">
        <v>30</v>
      </c>
      <c r="D11" s="6" t="n">
        <v>60</v>
      </c>
      <c r="E11" s="6" t="s">
        <v>133</v>
      </c>
      <c r="F11" s="6" t="s">
        <v>134</v>
      </c>
      <c r="G11" s="7" t="n">
        <v>1.4039</v>
      </c>
      <c r="H11" s="7" t="n">
        <v>0.091</v>
      </c>
      <c r="I11" s="6" t="n">
        <v>0.5</v>
      </c>
      <c r="J11" s="9" t="n">
        <f aca="false">IF(NOT(ISNUMBER($G11)),"",IF(AND(ASH_CORRECTED="Yes",ISNUMBER($H11)),$G11*(1-$H11),$G11))</f>
        <v>1.2761451</v>
      </c>
      <c r="K11" s="9" t="n">
        <f aca="false">IF($B11="","",IFERROR(AVERAGEIFS('2. Soil Data'!$G$5:$G$604,'2. Soil Data'!$B$5:$B$604,$B11),""))</f>
        <v>5</v>
      </c>
      <c r="L11" s="9" t="n">
        <f aca="false">IF(NOT(ISNUMBER($K11)),"",PI()*($K11/2)^2)</f>
        <v>19.6349540849362</v>
      </c>
      <c r="M11" s="9" t="n">
        <f aca="false">IF(OR(NOT(ISNUMBER($J11)),NOT(ISNUMBER($L11)),$L11=0),"",$J11/$L11*10000)</f>
        <v>649.935362456003</v>
      </c>
      <c r="N11" s="9" t="n">
        <f aca="false">IF(NOT(ISNUMBER($M11)),"",$M11*CARBON_FRACTION_ROOT/1000)</f>
        <v>0.324967681228002</v>
      </c>
      <c r="O11" s="11" t="str">
        <f aca="false">IF(AND($A11="",$B11="",$G11=""),"",IF(AND($B11&lt;&gt;"",COUNTIFS('2. Soil Data'!$B$5:$B$604,$B11)=0),"Core ID not found in Soil Data, so the corer diameter cannot be looked up. ","")&amp;IF(ASH_CORRECTED&lt;&gt;"Yes","Root mass is NOT ash-corrected, so it includes adhering mineral soil and is too high. Set ASH_CORRECTED once you have done it. ","")&amp;IF(AND(ASH_CORRECTED="Yes",NOT(ISNUMBER($H11))),"Ash correction is switched on but no ash fraction is given for this row. ","")&amp;IF($I11="","Sieve mesh not recorded — a fine-root figure cannot be interpreted without it. ","")&amp;IF(AND(ISNUMBER($H11),$H11&gt;0.5),"Ash fraction above 0.5 — over half this sample was mineral soil. Re-wash. ","")&amp;IF($F11="Not separated","Live and dead not separated. Fine for a stock, but "&amp;"note it in reporting. ",""))</f>
        <v/>
      </c>
      <c r="P11" s="6"/>
      <c r="Q11" s="9" t="n">
        <f aca="false">IF($B11="",0,IF(COUNTIFS($B$5:$B11,$B11)=1,1,0))</f>
        <v>0</v>
      </c>
    </row>
    <row r="12" customFormat="false" ht="15" hidden="false" customHeight="false" outlineLevel="0" collapsed="false">
      <c r="A12" s="6" t="s">
        <v>65</v>
      </c>
      <c r="B12" s="6" t="s">
        <v>110</v>
      </c>
      <c r="C12" s="6" t="n">
        <v>30</v>
      </c>
      <c r="D12" s="6" t="n">
        <v>60</v>
      </c>
      <c r="E12" s="6" t="s">
        <v>135</v>
      </c>
      <c r="F12" s="6" t="s">
        <v>134</v>
      </c>
      <c r="G12" s="7" t="n">
        <v>0.3415</v>
      </c>
      <c r="H12" s="7" t="n">
        <v>0.128</v>
      </c>
      <c r="I12" s="6" t="n">
        <v>0.5</v>
      </c>
      <c r="J12" s="9" t="n">
        <f aca="false">IF(NOT(ISNUMBER($G12)),"",IF(AND(ASH_CORRECTED="Yes",ISNUMBER($H12)),$G12*(1-$H12),$G12))</f>
        <v>0.297788</v>
      </c>
      <c r="K12" s="9" t="n">
        <f aca="false">IF($B12="","",IFERROR(AVERAGEIFS('2. Soil Data'!$G$5:$G$604,'2. Soil Data'!$B$5:$B$604,$B12),""))</f>
        <v>5</v>
      </c>
      <c r="L12" s="9" t="n">
        <f aca="false">IF(NOT(ISNUMBER($K12)),"",PI()*($K12/2)^2)</f>
        <v>19.6349540849362</v>
      </c>
      <c r="M12" s="9" t="n">
        <f aca="false">IF(OR(NOT(ISNUMBER($J12)),NOT(ISNUMBER($L12)),$L12=0),"",$J12/$L12*10000)</f>
        <v>151.662183019038</v>
      </c>
      <c r="N12" s="9" t="n">
        <f aca="false">IF(NOT(ISNUMBER($M12)),"",$M12*CARBON_FRACTION_ROOT/1000)</f>
        <v>0.0758310915095189</v>
      </c>
      <c r="O12" s="11" t="str">
        <f aca="false">IF(AND($A12="",$B12="",$G12=""),"",IF(AND($B12&lt;&gt;"",COUNTIFS('2. Soil Data'!$B$5:$B$604,$B12)=0),"Core ID not found in Soil Data, so the corer diameter cannot be looked up. ","")&amp;IF(ASH_CORRECTED&lt;&gt;"Yes","Root mass is NOT ash-corrected, so it includes adhering mineral soil and is too high. Set ASH_CORRECTED once you have done it. ","")&amp;IF(AND(ASH_CORRECTED="Yes",NOT(ISNUMBER($H12))),"Ash correction is switched on but no ash fraction is given for this row. ","")&amp;IF($I12="","Sieve mesh not recorded — a fine-root figure cannot be interpreted without it. ","")&amp;IF(AND(ISNUMBER($H12),$H12&gt;0.5),"Ash fraction above 0.5 — over half this sample was mineral soil. Re-wash. ","")&amp;IF($F12="Not separated","Live and dead not separated. Fine for a stock, but "&amp;"note it in reporting. ",""))</f>
        <v/>
      </c>
      <c r="P12" s="6"/>
      <c r="Q12" s="9" t="n">
        <f aca="false">IF($B12="",0,IF(COUNTIFS($B$5:$B12,$B12)=1,1,0))</f>
        <v>0</v>
      </c>
    </row>
    <row r="13" customFormat="false" ht="15" hidden="false" customHeight="false" outlineLevel="0" collapsed="false">
      <c r="A13" s="6" t="s">
        <v>76</v>
      </c>
      <c r="B13" s="6" t="s">
        <v>112</v>
      </c>
      <c r="C13" s="6" t="n">
        <v>0</v>
      </c>
      <c r="D13" s="6" t="n">
        <v>10</v>
      </c>
      <c r="E13" s="6" t="s">
        <v>133</v>
      </c>
      <c r="F13" s="6" t="s">
        <v>134</v>
      </c>
      <c r="G13" s="7" t="n">
        <v>0.881</v>
      </c>
      <c r="H13" s="7" t="n">
        <v>0.077</v>
      </c>
      <c r="I13" s="6" t="n">
        <v>0.5</v>
      </c>
      <c r="J13" s="9" t="n">
        <f aca="false">IF(NOT(ISNUMBER($G13)),"",IF(AND(ASH_CORRECTED="Yes",ISNUMBER($H13)),$G13*(1-$H13),$G13))</f>
        <v>0.813163</v>
      </c>
      <c r="K13" s="9" t="n">
        <f aca="false">IF($B13="","",IFERROR(AVERAGEIFS('2. Soil Data'!$G$5:$G$604,'2. Soil Data'!$B$5:$B$604,$B13),""))</f>
        <v>5</v>
      </c>
      <c r="L13" s="9" t="n">
        <f aca="false">IF(NOT(ISNUMBER($K13)),"",PI()*($K13/2)^2)</f>
        <v>19.6349540849362</v>
      </c>
      <c r="M13" s="9" t="n">
        <f aca="false">IF(OR(NOT(ISNUMBER($J13)),NOT(ISNUMBER($L13)),$L13=0),"",$J13/$L13*10000)</f>
        <v>414.140515166192</v>
      </c>
      <c r="N13" s="9" t="n">
        <f aca="false">IF(NOT(ISNUMBER($M13)),"",$M13*CARBON_FRACTION_ROOT/1000)</f>
        <v>0.207070257583096</v>
      </c>
      <c r="O13" s="11" t="str">
        <f aca="false">IF(AND($A13="",$B13="",$G13=""),"",IF(AND($B13&lt;&gt;"",COUNTIFS('2. Soil Data'!$B$5:$B$604,$B13)=0),"Core ID not found in Soil Data, so the corer diameter cannot be looked up. ","")&amp;IF(ASH_CORRECTED&lt;&gt;"Yes","Root mass is NOT ash-corrected, so it includes adhering mineral soil and is too high. Set ASH_CORRECTED once you have done it. ","")&amp;IF(AND(ASH_CORRECTED="Yes",NOT(ISNUMBER($H13))),"Ash correction is switched on but no ash fraction is given for this row. ","")&amp;IF($I13="","Sieve mesh not recorded — a fine-root figure cannot be interpreted without it. ","")&amp;IF(AND(ISNUMBER($H13),$H13&gt;0.5),"Ash fraction above 0.5 — over half this sample was mineral soil. Re-wash. ","")&amp;IF($F13="Not separated","Live and dead not separated. Fine for a stock, but "&amp;"note it in reporting. ",""))</f>
        <v/>
      </c>
      <c r="P13" s="6"/>
      <c r="Q13" s="9" t="n">
        <f aca="false">IF($B13="",0,IF(COUNTIFS($B$5:$B13,$B13)=1,1,0))</f>
        <v>1</v>
      </c>
    </row>
    <row r="14" customFormat="false" ht="15" hidden="false" customHeight="false" outlineLevel="0" collapsed="false">
      <c r="A14" s="6" t="s">
        <v>76</v>
      </c>
      <c r="B14" s="6" t="s">
        <v>112</v>
      </c>
      <c r="C14" s="6" t="n">
        <v>0</v>
      </c>
      <c r="D14" s="6" t="n">
        <v>10</v>
      </c>
      <c r="E14" s="6" t="s">
        <v>135</v>
      </c>
      <c r="F14" s="6" t="s">
        <v>134</v>
      </c>
      <c r="G14" s="7" t="n">
        <v>0.2288</v>
      </c>
      <c r="H14" s="7" t="n">
        <v>0.098</v>
      </c>
      <c r="I14" s="6" t="n">
        <v>0.5</v>
      </c>
      <c r="J14" s="9" t="n">
        <f aca="false">IF(NOT(ISNUMBER($G14)),"",IF(AND(ASH_CORRECTED="Yes",ISNUMBER($H14)),$G14*(1-$H14),$G14))</f>
        <v>0.2063776</v>
      </c>
      <c r="K14" s="9" t="n">
        <f aca="false">IF($B14="","",IFERROR(AVERAGEIFS('2. Soil Data'!$G$5:$G$604,'2. Soil Data'!$B$5:$B$604,$B14),""))</f>
        <v>5</v>
      </c>
      <c r="L14" s="9" t="n">
        <f aca="false">IF(NOT(ISNUMBER($K14)),"",PI()*($K14/2)^2)</f>
        <v>19.6349540849362</v>
      </c>
      <c r="M14" s="9" t="n">
        <f aca="false">IF(OR(NOT(ISNUMBER($J14)),NOT(ISNUMBER($L14)),$L14=0),"",$J14/$L14*10000)</f>
        <v>105.107248587014</v>
      </c>
      <c r="N14" s="9" t="n">
        <f aca="false">IF(NOT(ISNUMBER($M14)),"",$M14*CARBON_FRACTION_ROOT/1000)</f>
        <v>0.0525536242935071</v>
      </c>
      <c r="O14" s="11" t="str">
        <f aca="false">IF(AND($A14="",$B14="",$G14=""),"",IF(AND($B14&lt;&gt;"",COUNTIFS('2. Soil Data'!$B$5:$B$604,$B14)=0),"Core ID not found in Soil Data, so the corer diameter cannot be looked up. ","")&amp;IF(ASH_CORRECTED&lt;&gt;"Yes","Root mass is NOT ash-corrected, so it includes adhering mineral soil and is too high. Set ASH_CORRECTED once you have done it. ","")&amp;IF(AND(ASH_CORRECTED="Yes",NOT(ISNUMBER($H14))),"Ash correction is switched on but no ash fraction is given for this row. ","")&amp;IF($I14="","Sieve mesh not recorded — a fine-root figure cannot be interpreted without it. ","")&amp;IF(AND(ISNUMBER($H14),$H14&gt;0.5),"Ash fraction above 0.5 — over half this sample was mineral soil. Re-wash. ","")&amp;IF($F14="Not separated","Live and dead not separated. Fine for a stock, but "&amp;"note it in reporting. ",""))</f>
        <v/>
      </c>
      <c r="P14" s="6"/>
      <c r="Q14" s="9" t="n">
        <f aca="false">IF($B14="",0,IF(COUNTIFS($B$5:$B14,$B14)=1,1,0))</f>
        <v>0</v>
      </c>
    </row>
    <row r="15" customFormat="false" ht="15" hidden="false" customHeight="false" outlineLevel="0" collapsed="false">
      <c r="A15" s="6" t="s">
        <v>76</v>
      </c>
      <c r="B15" s="6" t="s">
        <v>112</v>
      </c>
      <c r="C15" s="6" t="n">
        <v>10</v>
      </c>
      <c r="D15" s="6" t="n">
        <v>20</v>
      </c>
      <c r="E15" s="6" t="s">
        <v>133</v>
      </c>
      <c r="F15" s="6" t="s">
        <v>134</v>
      </c>
      <c r="G15" s="7" t="n">
        <v>0.521</v>
      </c>
      <c r="H15" s="7" t="n">
        <v>0.092</v>
      </c>
      <c r="I15" s="6" t="n">
        <v>0.5</v>
      </c>
      <c r="J15" s="9" t="n">
        <f aca="false">IF(NOT(ISNUMBER($G15)),"",IF(AND(ASH_CORRECTED="Yes",ISNUMBER($H15)),$G15*(1-$H15),$G15))</f>
        <v>0.473068</v>
      </c>
      <c r="K15" s="9" t="n">
        <f aca="false">IF($B15="","",IFERROR(AVERAGEIFS('2. Soil Data'!$G$5:$G$604,'2. Soil Data'!$B$5:$B$604,$B15),""))</f>
        <v>5</v>
      </c>
      <c r="L15" s="9" t="n">
        <f aca="false">IF(NOT(ISNUMBER($K15)),"",PI()*($K15/2)^2)</f>
        <v>19.6349540849362</v>
      </c>
      <c r="M15" s="9" t="n">
        <f aca="false">IF(OR(NOT(ISNUMBER($J15)),NOT(ISNUMBER($L15)),$L15=0),"",$J15/$L15*10000)</f>
        <v>240.93155397951</v>
      </c>
      <c r="N15" s="9" t="n">
        <f aca="false">IF(NOT(ISNUMBER($M15)),"",$M15*CARBON_FRACTION_ROOT/1000)</f>
        <v>0.120465776989755</v>
      </c>
      <c r="O15" s="11" t="str">
        <f aca="false">IF(AND($A15="",$B15="",$G15=""),"",IF(AND($B15&lt;&gt;"",COUNTIFS('2. Soil Data'!$B$5:$B$604,$B15)=0),"Core ID not found in Soil Data, so the corer diameter cannot be looked up. ","")&amp;IF(ASH_CORRECTED&lt;&gt;"Yes","Root mass is NOT ash-corrected, so it includes adhering mineral soil and is too high. Set ASH_CORRECTED once you have done it. ","")&amp;IF(AND(ASH_CORRECTED="Yes",NOT(ISNUMBER($H15))),"Ash correction is switched on but no ash fraction is given for this row. ","")&amp;IF($I15="","Sieve mesh not recorded — a fine-root figure cannot be interpreted without it. ","")&amp;IF(AND(ISNUMBER($H15),$H15&gt;0.5),"Ash fraction above 0.5 — over half this sample was mineral soil. Re-wash. ","")&amp;IF($F15="Not separated","Live and dead not separated. Fine for a stock, but "&amp;"note it in reporting. ",""))</f>
        <v/>
      </c>
      <c r="P15" s="6"/>
      <c r="Q15" s="9" t="n">
        <f aca="false">IF($B15="",0,IF(COUNTIFS($B$5:$B15,$B15)=1,1,0))</f>
        <v>0</v>
      </c>
    </row>
    <row r="16" customFormat="false" ht="15" hidden="false" customHeight="false" outlineLevel="0" collapsed="false">
      <c r="A16" s="6" t="s">
        <v>76</v>
      </c>
      <c r="B16" s="6" t="s">
        <v>112</v>
      </c>
      <c r="C16" s="6" t="n">
        <v>10</v>
      </c>
      <c r="D16" s="6" t="n">
        <v>20</v>
      </c>
      <c r="E16" s="6" t="s">
        <v>135</v>
      </c>
      <c r="F16" s="6" t="s">
        <v>134</v>
      </c>
      <c r="G16" s="7" t="n">
        <v>0.098</v>
      </c>
      <c r="H16" s="7" t="n">
        <v>0.11</v>
      </c>
      <c r="I16" s="6" t="n">
        <v>0.5</v>
      </c>
      <c r="J16" s="9" t="n">
        <f aca="false">IF(NOT(ISNUMBER($G16)),"",IF(AND(ASH_CORRECTED="Yes",ISNUMBER($H16)),$G16*(1-$H16),$G16))</f>
        <v>0.08722</v>
      </c>
      <c r="K16" s="9" t="n">
        <f aca="false">IF($B16="","",IFERROR(AVERAGEIFS('2. Soil Data'!$G$5:$G$604,'2. Soil Data'!$B$5:$B$604,$B16),""))</f>
        <v>5</v>
      </c>
      <c r="L16" s="9" t="n">
        <f aca="false">IF(NOT(ISNUMBER($K16)),"",PI()*($K16/2)^2)</f>
        <v>19.6349540849362</v>
      </c>
      <c r="M16" s="9" t="n">
        <f aca="false">IF(OR(NOT(ISNUMBER($J16)),NOT(ISNUMBER($L16)),$L16=0),"",$J16/$L16*10000)</f>
        <v>44.4207812367204</v>
      </c>
      <c r="N16" s="9" t="n">
        <f aca="false">IF(NOT(ISNUMBER($M16)),"",$M16*CARBON_FRACTION_ROOT/1000)</f>
        <v>0.0222103906183602</v>
      </c>
      <c r="O16" s="11" t="str">
        <f aca="false">IF(AND($A16="",$B16="",$G16=""),"",IF(AND($B16&lt;&gt;"",COUNTIFS('2. Soil Data'!$B$5:$B$604,$B16)=0),"Core ID not found in Soil Data, so the corer diameter cannot be looked up. ","")&amp;IF(ASH_CORRECTED&lt;&gt;"Yes","Root mass is NOT ash-corrected, so it includes adhering mineral soil and is too high. Set ASH_CORRECTED once you have done it. ","")&amp;IF(AND(ASH_CORRECTED="Yes",NOT(ISNUMBER($H16))),"Ash correction is switched on but no ash fraction is given for this row. ","")&amp;IF($I16="","Sieve mesh not recorded — a fine-root figure cannot be interpreted without it. ","")&amp;IF(AND(ISNUMBER($H16),$H16&gt;0.5),"Ash fraction above 0.5 — over half this sample was mineral soil. Re-wash. ","")&amp;IF($F16="Not separated","Live and dead not separated. Fine for a stock, but "&amp;"note it in reporting. ",""))</f>
        <v/>
      </c>
      <c r="P16" s="6"/>
      <c r="Q16" s="9" t="n">
        <f aca="false">IF($B16="",0,IF(COUNTIFS($B$5:$B16,$B16)=1,1,0))</f>
        <v>0</v>
      </c>
    </row>
    <row r="17" customFormat="false" ht="15" hidden="false" customHeight="false" outlineLevel="0" collapsed="false">
      <c r="A17" s="6" t="s">
        <v>76</v>
      </c>
      <c r="B17" s="6" t="s">
        <v>112</v>
      </c>
      <c r="C17" s="6" t="n">
        <v>20</v>
      </c>
      <c r="D17" s="6" t="n">
        <v>30</v>
      </c>
      <c r="E17" s="6" t="s">
        <v>133</v>
      </c>
      <c r="F17" s="6" t="s">
        <v>134</v>
      </c>
      <c r="G17" s="7" t="n">
        <v>0.277</v>
      </c>
      <c r="H17" s="7" t="n">
        <v>0.082</v>
      </c>
      <c r="I17" s="6" t="n">
        <v>0.5</v>
      </c>
      <c r="J17" s="9" t="n">
        <f aca="false">IF(NOT(ISNUMBER($G17)),"",IF(AND(ASH_CORRECTED="Yes",ISNUMBER($H17)),$G17*(1-$H17),$G17))</f>
        <v>0.254286</v>
      </c>
      <c r="K17" s="9" t="n">
        <f aca="false">IF($B17="","",IFERROR(AVERAGEIFS('2. Soil Data'!$G$5:$G$604,'2. Soil Data'!$B$5:$B$604,$B17),""))</f>
        <v>5</v>
      </c>
      <c r="L17" s="9" t="n">
        <f aca="false">IF(NOT(ISNUMBER($K17)),"",PI()*($K17/2)^2)</f>
        <v>19.6349540849362</v>
      </c>
      <c r="M17" s="9" t="n">
        <f aca="false">IF(OR(NOT(ISNUMBER($J17)),NOT(ISNUMBER($L17)),$L17=0),"",$J17/$L17*10000)</f>
        <v>129.50679634901</v>
      </c>
      <c r="N17" s="9" t="n">
        <f aca="false">IF(NOT(ISNUMBER($M17)),"",$M17*CARBON_FRACTION_ROOT/1000)</f>
        <v>0.0647533981745051</v>
      </c>
      <c r="O17" s="11" t="str">
        <f aca="false">IF(AND($A17="",$B17="",$G17=""),"",IF(AND($B17&lt;&gt;"",COUNTIFS('2. Soil Data'!$B$5:$B$604,$B17)=0),"Core ID not found in Soil Data, so the corer diameter cannot be looked up. ","")&amp;IF(ASH_CORRECTED&lt;&gt;"Yes","Root mass is NOT ash-corrected, so it includes adhering mineral soil and is too high. Set ASH_CORRECTED once you have done it. ","")&amp;IF(AND(ASH_CORRECTED="Yes",NOT(ISNUMBER($H17))),"Ash correction is switched on but no ash fraction is given for this row. ","")&amp;IF($I17="","Sieve mesh not recorded — a fine-root figure cannot be interpreted without it. ","")&amp;IF(AND(ISNUMBER($H17),$H17&gt;0.5),"Ash fraction above 0.5 — over half this sample was mineral soil. Re-wash. ","")&amp;IF($F17="Not separated","Live and dead not separated. Fine for a stock, but "&amp;"note it in reporting. ",""))</f>
        <v/>
      </c>
      <c r="P17" s="6"/>
      <c r="Q17" s="9" t="n">
        <f aca="false">IF($B17="",0,IF(COUNTIFS($B$5:$B17,$B17)=1,1,0))</f>
        <v>0</v>
      </c>
    </row>
    <row r="18" customFormat="false" ht="15" hidden="false" customHeight="false" outlineLevel="0" collapsed="false">
      <c r="A18" s="6" t="s">
        <v>76</v>
      </c>
      <c r="B18" s="6" t="s">
        <v>112</v>
      </c>
      <c r="C18" s="6" t="n">
        <v>20</v>
      </c>
      <c r="D18" s="6" t="n">
        <v>30</v>
      </c>
      <c r="E18" s="6" t="s">
        <v>135</v>
      </c>
      <c r="F18" s="6" t="s">
        <v>134</v>
      </c>
      <c r="G18" s="7" t="n">
        <v>0.0555</v>
      </c>
      <c r="H18" s="7" t="n">
        <v>0.087</v>
      </c>
      <c r="I18" s="6" t="n">
        <v>0.5</v>
      </c>
      <c r="J18" s="9" t="n">
        <f aca="false">IF(NOT(ISNUMBER($G18)),"",IF(AND(ASH_CORRECTED="Yes",ISNUMBER($H18)),$G18*(1-$H18),$G18))</f>
        <v>0.0506715</v>
      </c>
      <c r="K18" s="9" t="n">
        <f aca="false">IF($B18="","",IFERROR(AVERAGEIFS('2. Soil Data'!$G$5:$G$604,'2. Soil Data'!$B$5:$B$604,$B18),""))</f>
        <v>5</v>
      </c>
      <c r="L18" s="9" t="n">
        <f aca="false">IF(NOT(ISNUMBER($K18)),"",PI()*($K18/2)^2)</f>
        <v>19.6349540849362</v>
      </c>
      <c r="M18" s="9" t="n">
        <f aca="false">IF(OR(NOT(ISNUMBER($J18)),NOT(ISNUMBER($L18)),$L18=0),"",$J18/$L18*10000)</f>
        <v>25.8067830364191</v>
      </c>
      <c r="N18" s="9" t="n">
        <f aca="false">IF(NOT(ISNUMBER($M18)),"",$M18*CARBON_FRACTION_ROOT/1000)</f>
        <v>0.0129033915182096</v>
      </c>
      <c r="O18" s="11" t="str">
        <f aca="false">IF(AND($A18="",$B18="",$G18=""),"",IF(AND($B18&lt;&gt;"",COUNTIFS('2. Soil Data'!$B$5:$B$604,$B18)=0),"Core ID not found in Soil Data, so the corer diameter cannot be looked up. ","")&amp;IF(ASH_CORRECTED&lt;&gt;"Yes","Root mass is NOT ash-corrected, so it includes adhering mineral soil and is too high. Set ASH_CORRECTED once you have done it. ","")&amp;IF(AND(ASH_CORRECTED="Yes",NOT(ISNUMBER($H18))),"Ash correction is switched on but no ash fraction is given for this row. ","")&amp;IF($I18="","Sieve mesh not recorded — a fine-root figure cannot be interpreted without it. ","")&amp;IF(AND(ISNUMBER($H18),$H18&gt;0.5),"Ash fraction above 0.5 — over half this sample was mineral soil. Re-wash. ","")&amp;IF($F18="Not separated","Live and dead not separated. Fine for a stock, but "&amp;"note it in reporting. ",""))</f>
        <v/>
      </c>
      <c r="P18" s="6"/>
      <c r="Q18" s="9" t="n">
        <f aca="false">IF($B18="",0,IF(COUNTIFS($B$5:$B18,$B18)=1,1,0))</f>
        <v>0</v>
      </c>
    </row>
    <row r="19" customFormat="false" ht="15" hidden="false" customHeight="false" outlineLevel="0" collapsed="false">
      <c r="A19" s="6" t="s">
        <v>76</v>
      </c>
      <c r="B19" s="6" t="s">
        <v>112</v>
      </c>
      <c r="C19" s="6" t="n">
        <v>30</v>
      </c>
      <c r="D19" s="6" t="n">
        <v>60</v>
      </c>
      <c r="E19" s="6" t="s">
        <v>133</v>
      </c>
      <c r="F19" s="6" t="s">
        <v>134</v>
      </c>
      <c r="G19" s="7" t="n">
        <v>0.7862</v>
      </c>
      <c r="H19" s="7" t="n">
        <v>0.121</v>
      </c>
      <c r="I19" s="6" t="n">
        <v>0.5</v>
      </c>
      <c r="J19" s="9" t="n">
        <f aca="false">IF(NOT(ISNUMBER($G19)),"",IF(AND(ASH_CORRECTED="Yes",ISNUMBER($H19)),$G19*(1-$H19),$G19))</f>
        <v>0.6910698</v>
      </c>
      <c r="K19" s="9" t="n">
        <f aca="false">IF($B19="","",IFERROR(AVERAGEIFS('2. Soil Data'!$G$5:$G$604,'2. Soil Data'!$B$5:$B$604,$B19),""))</f>
        <v>5</v>
      </c>
      <c r="L19" s="9" t="n">
        <f aca="false">IF(NOT(ISNUMBER($K19)),"",PI()*($K19/2)^2)</f>
        <v>19.6349540849362</v>
      </c>
      <c r="M19" s="9" t="n">
        <f aca="false">IF(OR(NOT(ISNUMBER($J19)),NOT(ISNUMBER($L19)),$L19=0),"",$J19/$L19*10000)</f>
        <v>351.958959012888</v>
      </c>
      <c r="N19" s="9" t="n">
        <f aca="false">IF(NOT(ISNUMBER($M19)),"",$M19*CARBON_FRACTION_ROOT/1000)</f>
        <v>0.175979479506444</v>
      </c>
      <c r="O19" s="11" t="str">
        <f aca="false">IF(AND($A19="",$B19="",$G19=""),"",IF(AND($B19&lt;&gt;"",COUNTIFS('2. Soil Data'!$B$5:$B$604,$B19)=0),"Core ID not found in Soil Data, so the corer diameter cannot be looked up. ","")&amp;IF(ASH_CORRECTED&lt;&gt;"Yes","Root mass is NOT ash-corrected, so it includes adhering mineral soil and is too high. Set ASH_CORRECTED once you have done it. ","")&amp;IF(AND(ASH_CORRECTED="Yes",NOT(ISNUMBER($H19))),"Ash correction is switched on but no ash fraction is given for this row. ","")&amp;IF($I19="","Sieve mesh not recorded — a fine-root figure cannot be interpreted without it. ","")&amp;IF(AND(ISNUMBER($H19),$H19&gt;0.5),"Ash fraction above 0.5 — over half this sample was mineral soil. Re-wash. ","")&amp;IF($F19="Not separated","Live and dead not separated. Fine for a stock, but "&amp;"note it in reporting. ",""))</f>
        <v/>
      </c>
      <c r="P19" s="6"/>
      <c r="Q19" s="9" t="n">
        <f aca="false">IF($B19="",0,IF(COUNTIFS($B$5:$B19,$B19)=1,1,0))</f>
        <v>0</v>
      </c>
    </row>
    <row r="20" customFormat="false" ht="15" hidden="false" customHeight="false" outlineLevel="0" collapsed="false">
      <c r="A20" s="6" t="s">
        <v>76</v>
      </c>
      <c r="B20" s="6" t="s">
        <v>112</v>
      </c>
      <c r="C20" s="6" t="n">
        <v>30</v>
      </c>
      <c r="D20" s="6" t="n">
        <v>60</v>
      </c>
      <c r="E20" s="6" t="s">
        <v>135</v>
      </c>
      <c r="F20" s="6" t="s">
        <v>134</v>
      </c>
      <c r="G20" s="7" t="n">
        <v>0.1451</v>
      </c>
      <c r="H20" s="7" t="n">
        <v>0.08</v>
      </c>
      <c r="I20" s="6" t="n">
        <v>0.5</v>
      </c>
      <c r="J20" s="9" t="n">
        <f aca="false">IF(NOT(ISNUMBER($G20)),"",IF(AND(ASH_CORRECTED="Yes",ISNUMBER($H20)),$G20*(1-$H20),$G20))</f>
        <v>0.133492</v>
      </c>
      <c r="K20" s="9" t="n">
        <f aca="false">IF($B20="","",IFERROR(AVERAGEIFS('2. Soil Data'!$G$5:$G$604,'2. Soil Data'!$B$5:$B$604,$B20),""))</f>
        <v>5</v>
      </c>
      <c r="L20" s="9" t="n">
        <f aca="false">IF(NOT(ISNUMBER($K20)),"",PI()*($K20/2)^2)</f>
        <v>19.6349540849362</v>
      </c>
      <c r="M20" s="9" t="n">
        <f aca="false">IF(OR(NOT(ISNUMBER($J20)),NOT(ISNUMBER($L20)),$L20=0),"",$J20/$L20*10000)</f>
        <v>67.9869173223145</v>
      </c>
      <c r="N20" s="9" t="n">
        <f aca="false">IF(NOT(ISNUMBER($M20)),"",$M20*CARBON_FRACTION_ROOT/1000)</f>
        <v>0.0339934586611573</v>
      </c>
      <c r="O20" s="11" t="str">
        <f aca="false">IF(AND($A20="",$B20="",$G20=""),"",IF(AND($B20&lt;&gt;"",COUNTIFS('2. Soil Data'!$B$5:$B$604,$B20)=0),"Core ID not found in Soil Data, so the corer diameter cannot be looked up. ","")&amp;IF(ASH_CORRECTED&lt;&gt;"Yes","Root mass is NOT ash-corrected, so it includes adhering mineral soil and is too high. Set ASH_CORRECTED once you have done it. ","")&amp;IF(AND(ASH_CORRECTED="Yes",NOT(ISNUMBER($H20))),"Ash correction is switched on but no ash fraction is given for this row. ","")&amp;IF($I20="","Sieve mesh not recorded — a fine-root figure cannot be interpreted without it. ","")&amp;IF(AND(ISNUMBER($H20),$H20&gt;0.5),"Ash fraction above 0.5 — over half this sample was mineral soil. Re-wash. ","")&amp;IF($F20="Not separated","Live and dead not separated. Fine for a stock, but "&amp;"note it in reporting. ",""))</f>
        <v/>
      </c>
      <c r="P20" s="6"/>
      <c r="Q20" s="9" t="n">
        <f aca="false">IF($B20="",0,IF(COUNTIFS($B$5:$B20,$B20)=1,1,0))</f>
        <v>0</v>
      </c>
    </row>
    <row r="21" customFormat="false" ht="15" hidden="false" customHeight="false" outlineLevel="0" collapsed="false">
      <c r="A21" s="6" t="s">
        <v>77</v>
      </c>
      <c r="B21" s="6" t="s">
        <v>114</v>
      </c>
      <c r="C21" s="6" t="n">
        <v>0</v>
      </c>
      <c r="D21" s="6" t="n">
        <v>10</v>
      </c>
      <c r="E21" s="6" t="s">
        <v>133</v>
      </c>
      <c r="F21" s="6" t="s">
        <v>134</v>
      </c>
      <c r="G21" s="7" t="n">
        <v>1.1896</v>
      </c>
      <c r="H21" s="7" t="n">
        <v>0.065</v>
      </c>
      <c r="I21" s="6" t="n">
        <v>0.5</v>
      </c>
      <c r="J21" s="9" t="n">
        <f aca="false">IF(NOT(ISNUMBER($G21)),"",IF(AND(ASH_CORRECTED="Yes",ISNUMBER($H21)),$G21*(1-$H21),$G21))</f>
        <v>1.112276</v>
      </c>
      <c r="K21" s="9" t="n">
        <f aca="false">IF($B21="","",IFERROR(AVERAGEIFS('2. Soil Data'!$G$5:$G$604,'2. Soil Data'!$B$5:$B$604,$B21),""))</f>
        <v>5</v>
      </c>
      <c r="L21" s="9" t="n">
        <f aca="false">IF(NOT(ISNUMBER($K21)),"",PI()*($K21/2)^2)</f>
        <v>19.6349540849362</v>
      </c>
      <c r="M21" s="9" t="n">
        <f aca="false">IF(OR(NOT(ISNUMBER($J21)),NOT(ISNUMBER($L21)),$L21=0),"",$J21/$L21*10000)</f>
        <v>566.477515143939</v>
      </c>
      <c r="N21" s="9" t="n">
        <f aca="false">IF(NOT(ISNUMBER($M21)),"",$M21*CARBON_FRACTION_ROOT/1000)</f>
        <v>0.28323875757197</v>
      </c>
      <c r="O21" s="11" t="str">
        <f aca="false">IF(AND($A21="",$B21="",$G21=""),"",IF(AND($B21&lt;&gt;"",COUNTIFS('2. Soil Data'!$B$5:$B$604,$B21)=0),"Core ID not found in Soil Data, so the corer diameter cannot be looked up. ","")&amp;IF(ASH_CORRECTED&lt;&gt;"Yes","Root mass is NOT ash-corrected, so it includes adhering mineral soil and is too high. Set ASH_CORRECTED once you have done it. ","")&amp;IF(AND(ASH_CORRECTED="Yes",NOT(ISNUMBER($H21))),"Ash correction is switched on but no ash fraction is given for this row. ","")&amp;IF($I21="","Sieve mesh not recorded — a fine-root figure cannot be interpreted without it. ","")&amp;IF(AND(ISNUMBER($H21),$H21&gt;0.5),"Ash fraction above 0.5 — over half this sample was mineral soil. Re-wash. ","")&amp;IF($F21="Not separated","Live and dead not separated. Fine for a stock, but "&amp;"note it in reporting. ",""))</f>
        <v/>
      </c>
      <c r="P21" s="6"/>
      <c r="Q21" s="9" t="n">
        <f aca="false">IF($B21="",0,IF(COUNTIFS($B$5:$B21,$B21)=1,1,0))</f>
        <v>1</v>
      </c>
    </row>
    <row r="22" customFormat="false" ht="15" hidden="false" customHeight="false" outlineLevel="0" collapsed="false">
      <c r="A22" s="6" t="s">
        <v>77</v>
      </c>
      <c r="B22" s="6" t="s">
        <v>114</v>
      </c>
      <c r="C22" s="6" t="n">
        <v>0</v>
      </c>
      <c r="D22" s="6" t="n">
        <v>10</v>
      </c>
      <c r="E22" s="6" t="s">
        <v>135</v>
      </c>
      <c r="F22" s="6" t="s">
        <v>134</v>
      </c>
      <c r="G22" s="7" t="n">
        <v>0.2919</v>
      </c>
      <c r="H22" s="7" t="n">
        <v>0.074</v>
      </c>
      <c r="I22" s="6" t="n">
        <v>0.5</v>
      </c>
      <c r="J22" s="9" t="n">
        <f aca="false">IF(NOT(ISNUMBER($G22)),"",IF(AND(ASH_CORRECTED="Yes",ISNUMBER($H22)),$G22*(1-$H22),$G22))</f>
        <v>0.2702994</v>
      </c>
      <c r="K22" s="9" t="n">
        <f aca="false">IF($B22="","",IFERROR(AVERAGEIFS('2. Soil Data'!$G$5:$G$604,'2. Soil Data'!$B$5:$B$604,$B22),""))</f>
        <v>5</v>
      </c>
      <c r="L22" s="9" t="n">
        <f aca="false">IF(NOT(ISNUMBER($K22)),"",PI()*($K22/2)^2)</f>
        <v>19.6349540849362</v>
      </c>
      <c r="M22" s="9" t="n">
        <f aca="false">IF(OR(NOT(ISNUMBER($J22)),NOT(ISNUMBER($L22)),$L22=0),"",$J22/$L22*10000)</f>
        <v>137.662353999275</v>
      </c>
      <c r="N22" s="9" t="n">
        <f aca="false">IF(NOT(ISNUMBER($M22)),"",$M22*CARBON_FRACTION_ROOT/1000)</f>
        <v>0.0688311769996375</v>
      </c>
      <c r="O22" s="11" t="str">
        <f aca="false">IF(AND($A22="",$B22="",$G22=""),"",IF(AND($B22&lt;&gt;"",COUNTIFS('2. Soil Data'!$B$5:$B$604,$B22)=0),"Core ID not found in Soil Data, so the corer diameter cannot be looked up. ","")&amp;IF(ASH_CORRECTED&lt;&gt;"Yes","Root mass is NOT ash-corrected, so it includes adhering mineral soil and is too high. Set ASH_CORRECTED once you have done it. ","")&amp;IF(AND(ASH_CORRECTED="Yes",NOT(ISNUMBER($H22))),"Ash correction is switched on but no ash fraction is given for this row. ","")&amp;IF($I22="","Sieve mesh not recorded — a fine-root figure cannot be interpreted without it. ","")&amp;IF(AND(ISNUMBER($H22),$H22&gt;0.5),"Ash fraction above 0.5 — over half this sample was mineral soil. Re-wash. ","")&amp;IF($F22="Not separated","Live and dead not separated. Fine for a stock, but "&amp;"note it in reporting. ",""))</f>
        <v/>
      </c>
      <c r="P22" s="6"/>
      <c r="Q22" s="9" t="n">
        <f aca="false">IF($B22="",0,IF(COUNTIFS($B$5:$B22,$B22)=1,1,0))</f>
        <v>0</v>
      </c>
    </row>
    <row r="23" customFormat="false" ht="15" hidden="false" customHeight="false" outlineLevel="0" collapsed="false">
      <c r="A23" s="6" t="s">
        <v>77</v>
      </c>
      <c r="B23" s="6" t="s">
        <v>114</v>
      </c>
      <c r="C23" s="6" t="n">
        <v>10</v>
      </c>
      <c r="D23" s="6" t="n">
        <v>20</v>
      </c>
      <c r="E23" s="6" t="s">
        <v>133</v>
      </c>
      <c r="F23" s="6" t="s">
        <v>134</v>
      </c>
      <c r="G23" s="7" t="n">
        <v>0.6464</v>
      </c>
      <c r="H23" s="7" t="n">
        <v>0.096</v>
      </c>
      <c r="I23" s="6" t="n">
        <v>0.5</v>
      </c>
      <c r="J23" s="9" t="n">
        <f aca="false">IF(NOT(ISNUMBER($G23)),"",IF(AND(ASH_CORRECTED="Yes",ISNUMBER($H23)),$G23*(1-$H23),$G23))</f>
        <v>0.5843456</v>
      </c>
      <c r="K23" s="9" t="n">
        <f aca="false">IF($B23="","",IFERROR(AVERAGEIFS('2. Soil Data'!$G$5:$G$604,'2. Soil Data'!$B$5:$B$604,$B23),""))</f>
        <v>5</v>
      </c>
      <c r="L23" s="9" t="n">
        <f aca="false">IF(NOT(ISNUMBER($K23)),"",PI()*($K23/2)^2)</f>
        <v>19.6349540849362</v>
      </c>
      <c r="M23" s="9" t="n">
        <f aca="false">IF(OR(NOT(ISNUMBER($J23)),NOT(ISNUMBER($L23)),$L23=0),"",$J23/$L23*10000)</f>
        <v>297.604770284798</v>
      </c>
      <c r="N23" s="9" t="n">
        <f aca="false">IF(NOT(ISNUMBER($M23)),"",$M23*CARBON_FRACTION_ROOT/1000)</f>
        <v>0.148802385142399</v>
      </c>
      <c r="O23" s="11" t="str">
        <f aca="false">IF(AND($A23="",$B23="",$G23=""),"",IF(AND($B23&lt;&gt;"",COUNTIFS('2. Soil Data'!$B$5:$B$604,$B23)=0),"Core ID not found in Soil Data, so the corer diameter cannot be looked up. ","")&amp;IF(ASH_CORRECTED&lt;&gt;"Yes","Root mass is NOT ash-corrected, so it includes adhering mineral soil and is too high. Set ASH_CORRECTED once you have done it. ","")&amp;IF(AND(ASH_CORRECTED="Yes",NOT(ISNUMBER($H23))),"Ash correction is switched on but no ash fraction is given for this row. ","")&amp;IF($I23="","Sieve mesh not recorded — a fine-root figure cannot be interpreted without it. ","")&amp;IF(AND(ISNUMBER($H23),$H23&gt;0.5),"Ash fraction above 0.5 — over half this sample was mineral soil. Re-wash. ","")&amp;IF($F23="Not separated","Live and dead not separated. Fine for a stock, but "&amp;"note it in reporting. ",""))</f>
        <v/>
      </c>
      <c r="P23" s="6"/>
      <c r="Q23" s="9" t="n">
        <f aca="false">IF($B23="",0,IF(COUNTIFS($B$5:$B23,$B23)=1,1,0))</f>
        <v>0</v>
      </c>
    </row>
    <row r="24" customFormat="false" ht="15" hidden="false" customHeight="false" outlineLevel="0" collapsed="false">
      <c r="A24" s="6" t="s">
        <v>77</v>
      </c>
      <c r="B24" s="6" t="s">
        <v>114</v>
      </c>
      <c r="C24" s="6" t="n">
        <v>10</v>
      </c>
      <c r="D24" s="6" t="n">
        <v>20</v>
      </c>
      <c r="E24" s="6" t="s">
        <v>135</v>
      </c>
      <c r="F24" s="6" t="s">
        <v>134</v>
      </c>
      <c r="G24" s="7" t="n">
        <v>0.1359</v>
      </c>
      <c r="H24" s="7" t="n">
        <v>0.119</v>
      </c>
      <c r="I24" s="6" t="n">
        <v>0.5</v>
      </c>
      <c r="J24" s="9" t="n">
        <f aca="false">IF(NOT(ISNUMBER($G24)),"",IF(AND(ASH_CORRECTED="Yes",ISNUMBER($H24)),$G24*(1-$H24),$G24))</f>
        <v>0.1197279</v>
      </c>
      <c r="K24" s="9" t="n">
        <f aca="false">IF($B24="","",IFERROR(AVERAGEIFS('2. Soil Data'!$G$5:$G$604,'2. Soil Data'!$B$5:$B$604,$B24),""))</f>
        <v>5</v>
      </c>
      <c r="L24" s="9" t="n">
        <f aca="false">IF(NOT(ISNUMBER($K24)),"",PI()*($K24/2)^2)</f>
        <v>19.6349540849362</v>
      </c>
      <c r="M24" s="9" t="n">
        <f aca="false">IF(OR(NOT(ISNUMBER($J24)),NOT(ISNUMBER($L24)),$L24=0),"",$J24/$L24*10000)</f>
        <v>60.9769187552388</v>
      </c>
      <c r="N24" s="9" t="n">
        <f aca="false">IF(NOT(ISNUMBER($M24)),"",$M24*CARBON_FRACTION_ROOT/1000)</f>
        <v>0.0304884593776194</v>
      </c>
      <c r="O24" s="11" t="str">
        <f aca="false">IF(AND($A24="",$B24="",$G24=""),"",IF(AND($B24&lt;&gt;"",COUNTIFS('2. Soil Data'!$B$5:$B$604,$B24)=0),"Core ID not found in Soil Data, so the corer diameter cannot be looked up. ","")&amp;IF(ASH_CORRECTED&lt;&gt;"Yes","Root mass is NOT ash-corrected, so it includes adhering mineral soil and is too high. Set ASH_CORRECTED once you have done it. ","")&amp;IF(AND(ASH_CORRECTED="Yes",NOT(ISNUMBER($H24))),"Ash correction is switched on but no ash fraction is given for this row. ","")&amp;IF($I24="","Sieve mesh not recorded — a fine-root figure cannot be interpreted without it. ","")&amp;IF(AND(ISNUMBER($H24),$H24&gt;0.5),"Ash fraction above 0.5 — over half this sample was mineral soil. Re-wash. ","")&amp;IF($F24="Not separated","Live and dead not separated. Fine for a stock, but "&amp;"note it in reporting. ",""))</f>
        <v/>
      </c>
      <c r="P24" s="6"/>
      <c r="Q24" s="9" t="n">
        <f aca="false">IF($B24="",0,IF(COUNTIFS($B$5:$B24,$B24)=1,1,0))</f>
        <v>0</v>
      </c>
    </row>
    <row r="25" customFormat="false" ht="15" hidden="false" customHeight="false" outlineLevel="0" collapsed="false">
      <c r="A25" s="6" t="s">
        <v>77</v>
      </c>
      <c r="B25" s="6" t="s">
        <v>114</v>
      </c>
      <c r="C25" s="6" t="n">
        <v>20</v>
      </c>
      <c r="D25" s="6" t="n">
        <v>30</v>
      </c>
      <c r="E25" s="6" t="s">
        <v>133</v>
      </c>
      <c r="F25" s="6" t="s">
        <v>134</v>
      </c>
      <c r="G25" s="7" t="n">
        <v>0.3358</v>
      </c>
      <c r="H25" s="7" t="n">
        <v>0.111</v>
      </c>
      <c r="I25" s="6" t="n">
        <v>0.5</v>
      </c>
      <c r="J25" s="9" t="n">
        <f aca="false">IF(NOT(ISNUMBER($G25)),"",IF(AND(ASH_CORRECTED="Yes",ISNUMBER($H25)),$G25*(1-$H25),$G25))</f>
        <v>0.2985262</v>
      </c>
      <c r="K25" s="9" t="n">
        <f aca="false">IF($B25="","",IFERROR(AVERAGEIFS('2. Soil Data'!$G$5:$G$604,'2. Soil Data'!$B$5:$B$604,$B25),""))</f>
        <v>5</v>
      </c>
      <c r="L25" s="9" t="n">
        <f aca="false">IF(NOT(ISNUMBER($K25)),"",PI()*($K25/2)^2)</f>
        <v>19.6349540849362</v>
      </c>
      <c r="M25" s="9" t="n">
        <f aca="false">IF(OR(NOT(ISNUMBER($J25)),NOT(ISNUMBER($L25)),$L25=0),"",$J25/$L25*10000)</f>
        <v>152.038145191807</v>
      </c>
      <c r="N25" s="9" t="n">
        <f aca="false">IF(NOT(ISNUMBER($M25)),"",$M25*CARBON_FRACTION_ROOT/1000)</f>
        <v>0.0760190725959036</v>
      </c>
      <c r="O25" s="11" t="str">
        <f aca="false">IF(AND($A25="",$B25="",$G25=""),"",IF(AND($B25&lt;&gt;"",COUNTIFS('2. Soil Data'!$B$5:$B$604,$B25)=0),"Core ID not found in Soil Data, so the corer diameter cannot be looked up. ","")&amp;IF(ASH_CORRECTED&lt;&gt;"Yes","Root mass is NOT ash-corrected, so it includes adhering mineral soil and is too high. Set ASH_CORRECTED once you have done it. ","")&amp;IF(AND(ASH_CORRECTED="Yes",NOT(ISNUMBER($H25))),"Ash correction is switched on but no ash fraction is given for this row. ","")&amp;IF($I25="","Sieve mesh not recorded — a fine-root figure cannot be interpreted without it. ","")&amp;IF(AND(ISNUMBER($H25),$H25&gt;0.5),"Ash fraction above 0.5 — over half this sample was mineral soil. Re-wash. ","")&amp;IF($F25="Not separated","Live and dead not separated. Fine for a stock, but "&amp;"note it in reporting. ",""))</f>
        <v/>
      </c>
      <c r="P25" s="6"/>
      <c r="Q25" s="9" t="n">
        <f aca="false">IF($B25="",0,IF(COUNTIFS($B$5:$B25,$B25)=1,1,0))</f>
        <v>0</v>
      </c>
    </row>
    <row r="26" customFormat="false" ht="15" hidden="false" customHeight="false" outlineLevel="0" collapsed="false">
      <c r="A26" s="6" t="s">
        <v>77</v>
      </c>
      <c r="B26" s="6" t="s">
        <v>114</v>
      </c>
      <c r="C26" s="6" t="n">
        <v>20</v>
      </c>
      <c r="D26" s="6" t="n">
        <v>30</v>
      </c>
      <c r="E26" s="6" t="s">
        <v>135</v>
      </c>
      <c r="F26" s="6" t="s">
        <v>134</v>
      </c>
      <c r="G26" s="7" t="n">
        <v>0.0753</v>
      </c>
      <c r="H26" s="7" t="n">
        <v>0.094</v>
      </c>
      <c r="I26" s="6" t="n">
        <v>0.5</v>
      </c>
      <c r="J26" s="9" t="n">
        <f aca="false">IF(NOT(ISNUMBER($G26)),"",IF(AND(ASH_CORRECTED="Yes",ISNUMBER($H26)),$G26*(1-$H26),$G26))</f>
        <v>0.0682218</v>
      </c>
      <c r="K26" s="9" t="n">
        <f aca="false">IF($B26="","",IFERROR(AVERAGEIFS('2. Soil Data'!$G$5:$G$604,'2. Soil Data'!$B$5:$B$604,$B26),""))</f>
        <v>5</v>
      </c>
      <c r="L26" s="9" t="n">
        <f aca="false">IF(NOT(ISNUMBER($K26)),"",PI()*($K26/2)^2)</f>
        <v>19.6349540849362</v>
      </c>
      <c r="M26" s="9" t="n">
        <f aca="false">IF(OR(NOT(ISNUMBER($J26)),NOT(ISNUMBER($L26)),$L26=0),"",$J26/$L26*10000)</f>
        <v>34.7450774292053</v>
      </c>
      <c r="N26" s="9" t="n">
        <f aca="false">IF(NOT(ISNUMBER($M26)),"",$M26*CARBON_FRACTION_ROOT/1000)</f>
        <v>0.0173725387146027</v>
      </c>
      <c r="O26" s="11" t="str">
        <f aca="false">IF(AND($A26="",$B26="",$G26=""),"",IF(AND($B26&lt;&gt;"",COUNTIFS('2. Soil Data'!$B$5:$B$604,$B26)=0),"Core ID not found in Soil Data, so the corer diameter cannot be looked up. ","")&amp;IF(ASH_CORRECTED&lt;&gt;"Yes","Root mass is NOT ash-corrected, so it includes adhering mineral soil and is too high. Set ASH_CORRECTED once you have done it. ","")&amp;IF(AND(ASH_CORRECTED="Yes",NOT(ISNUMBER($H26))),"Ash correction is switched on but no ash fraction is given for this row. ","")&amp;IF($I26="","Sieve mesh not recorded — a fine-root figure cannot be interpreted without it. ","")&amp;IF(AND(ISNUMBER($H26),$H26&gt;0.5),"Ash fraction above 0.5 — over half this sample was mineral soil. Re-wash. ","")&amp;IF($F26="Not separated","Live and dead not separated. Fine for a stock, but "&amp;"note it in reporting. ",""))</f>
        <v/>
      </c>
      <c r="P26" s="6"/>
      <c r="Q26" s="9" t="n">
        <f aca="false">IF($B26="",0,IF(COUNTIFS($B$5:$B26,$B26)=1,1,0))</f>
        <v>0</v>
      </c>
    </row>
    <row r="27" customFormat="false" ht="15" hidden="false" customHeight="false" outlineLevel="0" collapsed="false">
      <c r="A27" s="6" t="s">
        <v>77</v>
      </c>
      <c r="B27" s="6" t="s">
        <v>114</v>
      </c>
      <c r="C27" s="6" t="n">
        <v>30</v>
      </c>
      <c r="D27" s="6" t="n">
        <v>60</v>
      </c>
      <c r="E27" s="6" t="s">
        <v>133</v>
      </c>
      <c r="F27" s="6" t="s">
        <v>134</v>
      </c>
      <c r="G27" s="7" t="n">
        <v>0.8688</v>
      </c>
      <c r="H27" s="7" t="n">
        <v>0.082</v>
      </c>
      <c r="I27" s="6" t="n">
        <v>0.5</v>
      </c>
      <c r="J27" s="9" t="n">
        <f aca="false">IF(NOT(ISNUMBER($G27)),"",IF(AND(ASH_CORRECTED="Yes",ISNUMBER($H27)),$G27*(1-$H27),$G27))</f>
        <v>0.7975584</v>
      </c>
      <c r="K27" s="9" t="n">
        <f aca="false">IF($B27="","",IFERROR(AVERAGEIFS('2. Soil Data'!$G$5:$G$604,'2. Soil Data'!$B$5:$B$604,$B27),""))</f>
        <v>5</v>
      </c>
      <c r="L27" s="9" t="n">
        <f aca="false">IF(NOT(ISNUMBER($K27)),"",PI()*($K27/2)^2)</f>
        <v>19.6349540849362</v>
      </c>
      <c r="M27" s="9" t="n">
        <f aca="false">IF(OR(NOT(ISNUMBER($J27)),NOT(ISNUMBER($L27)),$L27=0),"",$J27/$L27*10000)</f>
        <v>406.193157646282</v>
      </c>
      <c r="N27" s="9" t="n">
        <f aca="false">IF(NOT(ISNUMBER($M27)),"",$M27*CARBON_FRACTION_ROOT/1000)</f>
        <v>0.203096578823141</v>
      </c>
      <c r="O27" s="11" t="str">
        <f aca="false">IF(AND($A27="",$B27="",$G27=""),"",IF(AND($B27&lt;&gt;"",COUNTIFS('2. Soil Data'!$B$5:$B$604,$B27)=0),"Core ID not found in Soil Data, so the corer diameter cannot be looked up. ","")&amp;IF(ASH_CORRECTED&lt;&gt;"Yes","Root mass is NOT ash-corrected, so it includes adhering mineral soil and is too high. Set ASH_CORRECTED once you have done it. ","")&amp;IF(AND(ASH_CORRECTED="Yes",NOT(ISNUMBER($H27))),"Ash correction is switched on but no ash fraction is given for this row. ","")&amp;IF($I27="","Sieve mesh not recorded — a fine-root figure cannot be interpreted without it. ","")&amp;IF(AND(ISNUMBER($H27),$H27&gt;0.5),"Ash fraction above 0.5 — over half this sample was mineral soil. Re-wash. ","")&amp;IF($F27="Not separated","Live and dead not separated. Fine for a stock, but "&amp;"note it in reporting. ",""))</f>
        <v/>
      </c>
      <c r="P27" s="6"/>
      <c r="Q27" s="9" t="n">
        <f aca="false">IF($B27="",0,IF(COUNTIFS($B$5:$B27,$B27)=1,1,0))</f>
        <v>0</v>
      </c>
    </row>
    <row r="28" customFormat="false" ht="15" hidden="false" customHeight="false" outlineLevel="0" collapsed="false">
      <c r="A28" s="6" t="s">
        <v>77</v>
      </c>
      <c r="B28" s="6" t="s">
        <v>114</v>
      </c>
      <c r="C28" s="6" t="n">
        <v>30</v>
      </c>
      <c r="D28" s="6" t="n">
        <v>60</v>
      </c>
      <c r="E28" s="6" t="s">
        <v>135</v>
      </c>
      <c r="F28" s="6" t="s">
        <v>134</v>
      </c>
      <c r="G28" s="7" t="n">
        <v>0.2416</v>
      </c>
      <c r="H28" s="7" t="n">
        <v>0.124</v>
      </c>
      <c r="I28" s="6" t="n">
        <v>0.5</v>
      </c>
      <c r="J28" s="9" t="n">
        <f aca="false">IF(NOT(ISNUMBER($G28)),"",IF(AND(ASH_CORRECTED="Yes",ISNUMBER($H28)),$G28*(1-$H28),$G28))</f>
        <v>0.2116416</v>
      </c>
      <c r="K28" s="9" t="n">
        <f aca="false">IF($B28="","",IFERROR(AVERAGEIFS('2. Soil Data'!$G$5:$G$604,'2. Soil Data'!$B$5:$B$604,$B28),""))</f>
        <v>5</v>
      </c>
      <c r="L28" s="9" t="n">
        <f aca="false">IF(NOT(ISNUMBER($K28)),"",PI()*($K28/2)^2)</f>
        <v>19.6349540849362</v>
      </c>
      <c r="M28" s="9" t="n">
        <f aca="false">IF(OR(NOT(ISNUMBER($J28)),NOT(ISNUMBER($L28)),$L28=0),"",$J28/$L28*10000)</f>
        <v>107.788181772409</v>
      </c>
      <c r="N28" s="9" t="n">
        <f aca="false">IF(NOT(ISNUMBER($M28)),"",$M28*CARBON_FRACTION_ROOT/1000)</f>
        <v>0.0538940908862043</v>
      </c>
      <c r="O28" s="11" t="str">
        <f aca="false">IF(AND($A28="",$B28="",$G28=""),"",IF(AND($B28&lt;&gt;"",COUNTIFS('2. Soil Data'!$B$5:$B$604,$B28)=0),"Core ID not found in Soil Data, so the corer diameter cannot be looked up. ","")&amp;IF(ASH_CORRECTED&lt;&gt;"Yes","Root mass is NOT ash-corrected, so it includes adhering mineral soil and is too high. Set ASH_CORRECTED once you have done it. ","")&amp;IF(AND(ASH_CORRECTED="Yes",NOT(ISNUMBER($H28))),"Ash correction is switched on but no ash fraction is given for this row. ","")&amp;IF($I28="","Sieve mesh not recorded — a fine-root figure cannot be interpreted without it. ","")&amp;IF(AND(ISNUMBER($H28),$H28&gt;0.5),"Ash fraction above 0.5 — over half this sample was mineral soil. Re-wash. ","")&amp;IF($F28="Not separated","Live and dead not separated. Fine for a stock, but "&amp;"note it in reporting. ",""))</f>
        <v/>
      </c>
      <c r="P28" s="6"/>
      <c r="Q28" s="9" t="n">
        <f aca="false">IF($B28="",0,IF(COUNTIFS($B$5:$B28,$B28)=1,1,0))</f>
        <v>0</v>
      </c>
    </row>
    <row r="29" customFormat="false" ht="15" hidden="false" customHeight="false" outlineLevel="0" collapsed="false">
      <c r="A29" s="6" t="s">
        <v>78</v>
      </c>
      <c r="B29" s="6" t="s">
        <v>115</v>
      </c>
      <c r="C29" s="6" t="n">
        <v>0</v>
      </c>
      <c r="D29" s="6" t="n">
        <v>10</v>
      </c>
      <c r="E29" s="6" t="s">
        <v>133</v>
      </c>
      <c r="F29" s="6" t="s">
        <v>134</v>
      </c>
      <c r="G29" s="7" t="n">
        <v>2.3837</v>
      </c>
      <c r="H29" s="7" t="n">
        <v>0.131</v>
      </c>
      <c r="I29" s="6" t="n">
        <v>0.5</v>
      </c>
      <c r="J29" s="9" t="n">
        <f aca="false">IF(NOT(ISNUMBER($G29)),"",IF(AND(ASH_CORRECTED="Yes",ISNUMBER($H29)),$G29*(1-$H29),$G29))</f>
        <v>2.0714353</v>
      </c>
      <c r="K29" s="9" t="n">
        <f aca="false">IF($B29="","",IFERROR(AVERAGEIFS('2. Soil Data'!$G$5:$G$604,'2. Soil Data'!$B$5:$B$604,$B29),""))</f>
        <v>5</v>
      </c>
      <c r="L29" s="9" t="n">
        <f aca="false">IF(NOT(ISNUMBER($K29)),"",PI()*($K29/2)^2)</f>
        <v>19.6349540849362</v>
      </c>
      <c r="M29" s="9" t="n">
        <f aca="false">IF(OR(NOT(ISNUMBER($J29)),NOT(ISNUMBER($L29)),$L29=0),"",$J29/$L29*10000)</f>
        <v>1054.97333532814</v>
      </c>
      <c r="N29" s="9" t="n">
        <f aca="false">IF(NOT(ISNUMBER($M29)),"",$M29*CARBON_FRACTION_ROOT/1000)</f>
        <v>0.527486667664069</v>
      </c>
      <c r="O29" s="11" t="str">
        <f aca="false">IF(AND($A29="",$B29="",$G29=""),"",IF(AND($B29&lt;&gt;"",COUNTIFS('2. Soil Data'!$B$5:$B$604,$B29)=0),"Core ID not found in Soil Data, so the corer diameter cannot be looked up. ","")&amp;IF(ASH_CORRECTED&lt;&gt;"Yes","Root mass is NOT ash-corrected, so it includes adhering mineral soil and is too high. Set ASH_CORRECTED once you have done it. ","")&amp;IF(AND(ASH_CORRECTED="Yes",NOT(ISNUMBER($H29))),"Ash correction is switched on but no ash fraction is given for this row. ","")&amp;IF($I29="","Sieve mesh not recorded — a fine-root figure cannot be interpreted without it. ","")&amp;IF(AND(ISNUMBER($H29),$H29&gt;0.5),"Ash fraction above 0.5 — over half this sample was mineral soil. Re-wash. ","")&amp;IF($F29="Not separated","Live and dead not separated. Fine for a stock, but "&amp;"note it in reporting. ",""))</f>
        <v/>
      </c>
      <c r="P29" s="6"/>
      <c r="Q29" s="9" t="n">
        <f aca="false">IF($B29="",0,IF(COUNTIFS($B$5:$B29,$B29)=1,1,0))</f>
        <v>1</v>
      </c>
    </row>
    <row r="30" customFormat="false" ht="15" hidden="false" customHeight="false" outlineLevel="0" collapsed="false">
      <c r="A30" s="6" t="s">
        <v>78</v>
      </c>
      <c r="B30" s="6" t="s">
        <v>115</v>
      </c>
      <c r="C30" s="6" t="n">
        <v>0</v>
      </c>
      <c r="D30" s="6" t="n">
        <v>10</v>
      </c>
      <c r="E30" s="6" t="s">
        <v>135</v>
      </c>
      <c r="F30" s="6" t="s">
        <v>134</v>
      </c>
      <c r="G30" s="7" t="n">
        <v>0.4723</v>
      </c>
      <c r="H30" s="7" t="n">
        <v>0.092</v>
      </c>
      <c r="I30" s="6" t="n">
        <v>0.5</v>
      </c>
      <c r="J30" s="9" t="n">
        <f aca="false">IF(NOT(ISNUMBER($G30)),"",IF(AND(ASH_CORRECTED="Yes",ISNUMBER($H30)),$G30*(1-$H30),$G30))</f>
        <v>0.4288484</v>
      </c>
      <c r="K30" s="9" t="n">
        <f aca="false">IF($B30="","",IFERROR(AVERAGEIFS('2. Soil Data'!$G$5:$G$604,'2. Soil Data'!$B$5:$B$604,$B30),""))</f>
        <v>5</v>
      </c>
      <c r="L30" s="9" t="n">
        <f aca="false">IF(NOT(ISNUMBER($K30)),"",PI()*($K30/2)^2)</f>
        <v>19.6349540849362</v>
      </c>
      <c r="M30" s="9" t="n">
        <f aca="false">IF(OR(NOT(ISNUMBER($J30)),NOT(ISNUMBER($L30)),$L30=0),"",$J30/$L30*10000)</f>
        <v>218.410696630561</v>
      </c>
      <c r="N30" s="9" t="n">
        <f aca="false">IF(NOT(ISNUMBER($M30)),"",$M30*CARBON_FRACTION_ROOT/1000)</f>
        <v>0.109205348315281</v>
      </c>
      <c r="O30" s="11" t="str">
        <f aca="false">IF(AND($A30="",$B30="",$G30=""),"",IF(AND($B30&lt;&gt;"",COUNTIFS('2. Soil Data'!$B$5:$B$604,$B30)=0),"Core ID not found in Soil Data, so the corer diameter cannot be looked up. ","")&amp;IF(ASH_CORRECTED&lt;&gt;"Yes","Root mass is NOT ash-corrected, so it includes adhering mineral soil and is too high. Set ASH_CORRECTED once you have done it. ","")&amp;IF(AND(ASH_CORRECTED="Yes",NOT(ISNUMBER($H30))),"Ash correction is switched on but no ash fraction is given for this row. ","")&amp;IF($I30="","Sieve mesh not recorded — a fine-root figure cannot be interpreted without it. ","")&amp;IF(AND(ISNUMBER($H30),$H30&gt;0.5),"Ash fraction above 0.5 — over half this sample was mineral soil. Re-wash. ","")&amp;IF($F30="Not separated","Live and dead not separated. Fine for a stock, but "&amp;"note it in reporting. ",""))</f>
        <v/>
      </c>
      <c r="P30" s="6"/>
      <c r="Q30" s="9" t="n">
        <f aca="false">IF($B30="",0,IF(COUNTIFS($B$5:$B30,$B30)=1,1,0))</f>
        <v>0</v>
      </c>
    </row>
    <row r="31" customFormat="false" ht="15" hidden="false" customHeight="false" outlineLevel="0" collapsed="false">
      <c r="A31" s="6" t="s">
        <v>78</v>
      </c>
      <c r="B31" s="6" t="s">
        <v>115</v>
      </c>
      <c r="C31" s="6" t="n">
        <v>10</v>
      </c>
      <c r="D31" s="6" t="n">
        <v>20</v>
      </c>
      <c r="E31" s="6" t="s">
        <v>133</v>
      </c>
      <c r="F31" s="6" t="s">
        <v>134</v>
      </c>
      <c r="G31" s="7" t="n">
        <v>1.2408</v>
      </c>
      <c r="H31" s="7" t="n">
        <v>0.111</v>
      </c>
      <c r="I31" s="6" t="n">
        <v>0.5</v>
      </c>
      <c r="J31" s="9" t="n">
        <f aca="false">IF(NOT(ISNUMBER($G31)),"",IF(AND(ASH_CORRECTED="Yes",ISNUMBER($H31)),$G31*(1-$H31),$G31))</f>
        <v>1.1030712</v>
      </c>
      <c r="K31" s="9" t="n">
        <f aca="false">IF($B31="","",IFERROR(AVERAGEIFS('2. Soil Data'!$G$5:$G$604,'2. Soil Data'!$B$5:$B$604,$B31),""))</f>
        <v>5</v>
      </c>
      <c r="L31" s="9" t="n">
        <f aca="false">IF(NOT(ISNUMBER($K31)),"",PI()*($K31/2)^2)</f>
        <v>19.6349540849362</v>
      </c>
      <c r="M31" s="9" t="n">
        <f aca="false">IF(OR(NOT(ISNUMBER($J31)),NOT(ISNUMBER($L31)),$L31=0),"",$J31/$L31*10000)</f>
        <v>561.789548999388</v>
      </c>
      <c r="N31" s="9" t="n">
        <f aca="false">IF(NOT(ISNUMBER($M31)),"",$M31*CARBON_FRACTION_ROOT/1000)</f>
        <v>0.280894774499694</v>
      </c>
      <c r="O31" s="11" t="str">
        <f aca="false">IF(AND($A31="",$B31="",$G31=""),"",IF(AND($B31&lt;&gt;"",COUNTIFS('2. Soil Data'!$B$5:$B$604,$B31)=0),"Core ID not found in Soil Data, so the corer diameter cannot be looked up. ","")&amp;IF(ASH_CORRECTED&lt;&gt;"Yes","Root mass is NOT ash-corrected, so it includes adhering mineral soil and is too high. Set ASH_CORRECTED once you have done it. ","")&amp;IF(AND(ASH_CORRECTED="Yes",NOT(ISNUMBER($H31))),"Ash correction is switched on but no ash fraction is given for this row. ","")&amp;IF($I31="","Sieve mesh not recorded — a fine-root figure cannot be interpreted without it. ","")&amp;IF(AND(ISNUMBER($H31),$H31&gt;0.5),"Ash fraction above 0.5 — over half this sample was mineral soil. Re-wash. ","")&amp;IF($F31="Not separated","Live and dead not separated. Fine for a stock, but "&amp;"note it in reporting. ",""))</f>
        <v/>
      </c>
      <c r="P31" s="6"/>
      <c r="Q31" s="9" t="n">
        <f aca="false">IF($B31="",0,IF(COUNTIFS($B$5:$B31,$B31)=1,1,0))</f>
        <v>0</v>
      </c>
    </row>
    <row r="32" customFormat="false" ht="15" hidden="false" customHeight="false" outlineLevel="0" collapsed="false">
      <c r="A32" s="6" t="s">
        <v>78</v>
      </c>
      <c r="B32" s="6" t="s">
        <v>115</v>
      </c>
      <c r="C32" s="6" t="n">
        <v>10</v>
      </c>
      <c r="D32" s="6" t="n">
        <v>20</v>
      </c>
      <c r="E32" s="6" t="s">
        <v>135</v>
      </c>
      <c r="F32" s="6" t="s">
        <v>134</v>
      </c>
      <c r="G32" s="7" t="n">
        <v>0.2432</v>
      </c>
      <c r="H32" s="7" t="n">
        <v>0.139</v>
      </c>
      <c r="I32" s="6" t="n">
        <v>0.5</v>
      </c>
      <c r="J32" s="9" t="n">
        <f aca="false">IF(NOT(ISNUMBER($G32)),"",IF(AND(ASH_CORRECTED="Yes",ISNUMBER($H32)),$G32*(1-$H32),$G32))</f>
        <v>0.2093952</v>
      </c>
      <c r="K32" s="9" t="n">
        <f aca="false">IF($B32="","",IFERROR(AVERAGEIFS('2. Soil Data'!$G$5:$G$604,'2. Soil Data'!$B$5:$B$604,$B32),""))</f>
        <v>5</v>
      </c>
      <c r="L32" s="9" t="n">
        <f aca="false">IF(NOT(ISNUMBER($K32)),"",PI()*($K32/2)^2)</f>
        <v>19.6349540849362</v>
      </c>
      <c r="M32" s="9" t="n">
        <f aca="false">IF(OR(NOT(ISNUMBER($J32)),NOT(ISNUMBER($L32)),$L32=0),"",$J32/$L32*10000)</f>
        <v>106.644099647091</v>
      </c>
      <c r="N32" s="9" t="n">
        <f aca="false">IF(NOT(ISNUMBER($M32)),"",$M32*CARBON_FRACTION_ROOT/1000)</f>
        <v>0.0533220498235457</v>
      </c>
      <c r="O32" s="11" t="str">
        <f aca="false">IF(AND($A32="",$B32="",$G32=""),"",IF(AND($B32&lt;&gt;"",COUNTIFS('2. Soil Data'!$B$5:$B$604,$B32)=0),"Core ID not found in Soil Data, so the corer diameter cannot be looked up. ","")&amp;IF(ASH_CORRECTED&lt;&gt;"Yes","Root mass is NOT ash-corrected, so it includes adhering mineral soil and is too high. Set ASH_CORRECTED once you have done it. ","")&amp;IF(AND(ASH_CORRECTED="Yes",NOT(ISNUMBER($H32))),"Ash correction is switched on but no ash fraction is given for this row. ","")&amp;IF($I32="","Sieve mesh not recorded — a fine-root figure cannot be interpreted without it. ","")&amp;IF(AND(ISNUMBER($H32),$H32&gt;0.5),"Ash fraction above 0.5 — over half this sample was mineral soil. Re-wash. ","")&amp;IF($F32="Not separated","Live and dead not separated. Fine for a stock, but "&amp;"note it in reporting. ",""))</f>
        <v/>
      </c>
      <c r="P32" s="6"/>
      <c r="Q32" s="9" t="n">
        <f aca="false">IF($B32="",0,IF(COUNTIFS($B$5:$B32,$B32)=1,1,0))</f>
        <v>0</v>
      </c>
    </row>
    <row r="33" customFormat="false" ht="15" hidden="false" customHeight="false" outlineLevel="0" collapsed="false">
      <c r="A33" s="6" t="s">
        <v>78</v>
      </c>
      <c r="B33" s="6" t="s">
        <v>115</v>
      </c>
      <c r="C33" s="6" t="n">
        <v>20</v>
      </c>
      <c r="D33" s="6" t="n">
        <v>30</v>
      </c>
      <c r="E33" s="6" t="s">
        <v>133</v>
      </c>
      <c r="F33" s="6" t="s">
        <v>134</v>
      </c>
      <c r="G33" s="7" t="n">
        <v>0.5897</v>
      </c>
      <c r="H33" s="7" t="n">
        <v>0.081</v>
      </c>
      <c r="I33" s="6" t="n">
        <v>0.5</v>
      </c>
      <c r="J33" s="9" t="n">
        <f aca="false">IF(NOT(ISNUMBER($G33)),"",IF(AND(ASH_CORRECTED="Yes",ISNUMBER($H33)),$G33*(1-$H33),$G33))</f>
        <v>0.5419343</v>
      </c>
      <c r="K33" s="9" t="n">
        <f aca="false">IF($B33="","",IFERROR(AVERAGEIFS('2. Soil Data'!$G$5:$G$604,'2. Soil Data'!$B$5:$B$604,$B33),""))</f>
        <v>5</v>
      </c>
      <c r="L33" s="9" t="n">
        <f aca="false">IF(NOT(ISNUMBER($K33)),"",PI()*($K33/2)^2)</f>
        <v>19.6349540849362</v>
      </c>
      <c r="M33" s="9" t="n">
        <f aca="false">IF(OR(NOT(ISNUMBER($J33)),NOT(ISNUMBER($L33)),$L33=0),"",$J33/$L33*10000)</f>
        <v>276.004872563348</v>
      </c>
      <c r="N33" s="9" t="n">
        <f aca="false">IF(NOT(ISNUMBER($M33)),"",$M33*CARBON_FRACTION_ROOT/1000)</f>
        <v>0.138002436281674</v>
      </c>
      <c r="O33" s="11" t="str">
        <f aca="false">IF(AND($A33="",$B33="",$G33=""),"",IF(AND($B33&lt;&gt;"",COUNTIFS('2. Soil Data'!$B$5:$B$604,$B33)=0),"Core ID not found in Soil Data, so the corer diameter cannot be looked up. ","")&amp;IF(ASH_CORRECTED&lt;&gt;"Yes","Root mass is NOT ash-corrected, so it includes adhering mineral soil and is too high. Set ASH_CORRECTED once you have done it. ","")&amp;IF(AND(ASH_CORRECTED="Yes",NOT(ISNUMBER($H33))),"Ash correction is switched on but no ash fraction is given for this row. ","")&amp;IF($I33="","Sieve mesh not recorded — a fine-root figure cannot be interpreted without it. ","")&amp;IF(AND(ISNUMBER($H33),$H33&gt;0.5),"Ash fraction above 0.5 — over half this sample was mineral soil. Re-wash. ","")&amp;IF($F33="Not separated","Live and dead not separated. Fine for a stock, but "&amp;"note it in reporting. ",""))</f>
        <v/>
      </c>
      <c r="P33" s="6"/>
      <c r="Q33" s="9" t="n">
        <f aca="false">IF($B33="",0,IF(COUNTIFS($B$5:$B33,$B33)=1,1,0))</f>
        <v>0</v>
      </c>
    </row>
    <row r="34" customFormat="false" ht="15" hidden="false" customHeight="false" outlineLevel="0" collapsed="false">
      <c r="A34" s="6" t="s">
        <v>78</v>
      </c>
      <c r="B34" s="6" t="s">
        <v>115</v>
      </c>
      <c r="C34" s="6" t="n">
        <v>20</v>
      </c>
      <c r="D34" s="6" t="n">
        <v>30</v>
      </c>
      <c r="E34" s="6" t="s">
        <v>135</v>
      </c>
      <c r="F34" s="6" t="s">
        <v>134</v>
      </c>
      <c r="G34" s="7" t="n">
        <v>0.152</v>
      </c>
      <c r="H34" s="7" t="n">
        <v>0.086</v>
      </c>
      <c r="I34" s="6" t="n">
        <v>0.5</v>
      </c>
      <c r="J34" s="9" t="n">
        <f aca="false">IF(NOT(ISNUMBER($G34)),"",IF(AND(ASH_CORRECTED="Yes",ISNUMBER($H34)),$G34*(1-$H34),$G34))</f>
        <v>0.138928</v>
      </c>
      <c r="K34" s="9" t="n">
        <f aca="false">IF($B34="","",IFERROR(AVERAGEIFS('2. Soil Data'!$G$5:$G$604,'2. Soil Data'!$B$5:$B$604,$B34),""))</f>
        <v>5</v>
      </c>
      <c r="L34" s="9" t="n">
        <f aca="false">IF(NOT(ISNUMBER($K34)),"",PI()*($K34/2)^2)</f>
        <v>19.6349540849362</v>
      </c>
      <c r="M34" s="9" t="n">
        <f aca="false">IF(OR(NOT(ISNUMBER($J34)),NOT(ISNUMBER($L34)),$L34=0),"",$J34/$L34*10000)</f>
        <v>70.7554493883867</v>
      </c>
      <c r="N34" s="9" t="n">
        <f aca="false">IF(NOT(ISNUMBER($M34)),"",$M34*CARBON_FRACTION_ROOT/1000)</f>
        <v>0.0353777246941933</v>
      </c>
      <c r="O34" s="11" t="str">
        <f aca="false">IF(AND($A34="",$B34="",$G34=""),"",IF(AND($B34&lt;&gt;"",COUNTIFS('2. Soil Data'!$B$5:$B$604,$B34)=0),"Core ID not found in Soil Data, so the corer diameter cannot be looked up. ","")&amp;IF(ASH_CORRECTED&lt;&gt;"Yes","Root mass is NOT ash-corrected, so it includes adhering mineral soil and is too high. Set ASH_CORRECTED once you have done it. ","")&amp;IF(AND(ASH_CORRECTED="Yes",NOT(ISNUMBER($H34))),"Ash correction is switched on but no ash fraction is given for this row. ","")&amp;IF($I34="","Sieve mesh not recorded — a fine-root figure cannot be interpreted without it. ","")&amp;IF(AND(ISNUMBER($H34),$H34&gt;0.5),"Ash fraction above 0.5 — over half this sample was mineral soil. Re-wash. ","")&amp;IF($F34="Not separated","Live and dead not separated. Fine for a stock, but "&amp;"note it in reporting. ",""))</f>
        <v/>
      </c>
      <c r="P34" s="6"/>
      <c r="Q34" s="9" t="n">
        <f aca="false">IF($B34="",0,IF(COUNTIFS($B$5:$B34,$B34)=1,1,0))</f>
        <v>0</v>
      </c>
    </row>
    <row r="35" customFormat="false" ht="15" hidden="false" customHeight="false" outlineLevel="0" collapsed="false">
      <c r="A35" s="6" t="s">
        <v>78</v>
      </c>
      <c r="B35" s="6" t="s">
        <v>115</v>
      </c>
      <c r="C35" s="6" t="n">
        <v>30</v>
      </c>
      <c r="D35" s="6" t="n">
        <v>60</v>
      </c>
      <c r="E35" s="6" t="s">
        <v>133</v>
      </c>
      <c r="F35" s="6" t="s">
        <v>134</v>
      </c>
      <c r="G35" s="7" t="n">
        <v>1.55</v>
      </c>
      <c r="H35" s="7" t="n">
        <v>0.066</v>
      </c>
      <c r="I35" s="6" t="n">
        <v>0.5</v>
      </c>
      <c r="J35" s="9" t="n">
        <f aca="false">IF(NOT(ISNUMBER($G35)),"",IF(AND(ASH_CORRECTED="Yes",ISNUMBER($H35)),$G35*(1-$H35),$G35))</f>
        <v>1.4477</v>
      </c>
      <c r="K35" s="9" t="n">
        <f aca="false">IF($B35="","",IFERROR(AVERAGEIFS('2. Soil Data'!$G$5:$G$604,'2. Soil Data'!$B$5:$B$604,$B35),""))</f>
        <v>5</v>
      </c>
      <c r="L35" s="9" t="n">
        <f aca="false">IF(NOT(ISNUMBER($K35)),"",PI()*($K35/2)^2)</f>
        <v>19.6349540849362</v>
      </c>
      <c r="M35" s="9" t="n">
        <f aca="false">IF(OR(NOT(ISNUMBER($J35)),NOT(ISNUMBER($L35)),$L35=0),"",$J35/$L35*10000)</f>
        <v>737.307555565238</v>
      </c>
      <c r="N35" s="9" t="n">
        <f aca="false">IF(NOT(ISNUMBER($M35)),"",$M35*CARBON_FRACTION_ROOT/1000)</f>
        <v>0.368653777782619</v>
      </c>
      <c r="O35" s="11" t="str">
        <f aca="false">IF(AND($A35="",$B35="",$G35=""),"",IF(AND($B35&lt;&gt;"",COUNTIFS('2. Soil Data'!$B$5:$B$604,$B35)=0),"Core ID not found in Soil Data, so the corer diameter cannot be looked up. ","")&amp;IF(ASH_CORRECTED&lt;&gt;"Yes","Root mass is NOT ash-corrected, so it includes adhering mineral soil and is too high. Set ASH_CORRECTED once you have done it. ","")&amp;IF(AND(ASH_CORRECTED="Yes",NOT(ISNUMBER($H35))),"Ash correction is switched on but no ash fraction is given for this row. ","")&amp;IF($I35="","Sieve mesh not recorded — a fine-root figure cannot be interpreted without it. ","")&amp;IF(AND(ISNUMBER($H35),$H35&gt;0.5),"Ash fraction above 0.5 — over half this sample was mineral soil. Re-wash. ","")&amp;IF($F35="Not separated","Live and dead not separated. Fine for a stock, but "&amp;"note it in reporting. ",""))</f>
        <v/>
      </c>
      <c r="P35" s="6"/>
      <c r="Q35" s="9" t="n">
        <f aca="false">IF($B35="",0,IF(COUNTIFS($B$5:$B35,$B35)=1,1,0))</f>
        <v>0</v>
      </c>
    </row>
    <row r="36" customFormat="false" ht="15" hidden="false" customHeight="false" outlineLevel="0" collapsed="false">
      <c r="A36" s="6" t="s">
        <v>78</v>
      </c>
      <c r="B36" s="6" t="s">
        <v>115</v>
      </c>
      <c r="C36" s="6" t="n">
        <v>30</v>
      </c>
      <c r="D36" s="6" t="n">
        <v>60</v>
      </c>
      <c r="E36" s="6" t="s">
        <v>135</v>
      </c>
      <c r="F36" s="6" t="s">
        <v>134</v>
      </c>
      <c r="G36" s="7" t="n">
        <v>0.3546</v>
      </c>
      <c r="H36" s="7" t="n">
        <v>0.107</v>
      </c>
      <c r="I36" s="6" t="n">
        <v>0.5</v>
      </c>
      <c r="J36" s="9" t="n">
        <f aca="false">IF(NOT(ISNUMBER($G36)),"",IF(AND(ASH_CORRECTED="Yes",ISNUMBER($H36)),$G36*(1-$H36),$G36))</f>
        <v>0.3166578</v>
      </c>
      <c r="K36" s="9" t="n">
        <f aca="false">IF($B36="","",IFERROR(AVERAGEIFS('2. Soil Data'!$G$5:$G$604,'2. Soil Data'!$B$5:$B$604,$B36),""))</f>
        <v>5</v>
      </c>
      <c r="L36" s="9" t="n">
        <f aca="false">IF(NOT(ISNUMBER($K36)),"",PI()*($K36/2)^2)</f>
        <v>19.6349540849362</v>
      </c>
      <c r="M36" s="9" t="n">
        <f aca="false">IF(OR(NOT(ISNUMBER($J36)),NOT(ISNUMBER($L36)),$L36=0),"",$J36/$L36*10000)</f>
        <v>161.272493243535</v>
      </c>
      <c r="N36" s="9" t="n">
        <f aca="false">IF(NOT(ISNUMBER($M36)),"",$M36*CARBON_FRACTION_ROOT/1000)</f>
        <v>0.0806362466217677</v>
      </c>
      <c r="O36" s="11" t="str">
        <f aca="false">IF(AND($A36="",$B36="",$G36=""),"",IF(AND($B36&lt;&gt;"",COUNTIFS('2. Soil Data'!$B$5:$B$604,$B36)=0),"Core ID not found in Soil Data, so the corer diameter cannot be looked up. ","")&amp;IF(ASH_CORRECTED&lt;&gt;"Yes","Root mass is NOT ash-corrected, so it includes adhering mineral soil and is too high. Set ASH_CORRECTED once you have done it. ","")&amp;IF(AND(ASH_CORRECTED="Yes",NOT(ISNUMBER($H36))),"Ash correction is switched on but no ash fraction is given for this row. ","")&amp;IF($I36="","Sieve mesh not recorded — a fine-root figure cannot be interpreted without it. ","")&amp;IF(AND(ISNUMBER($H36),$H36&gt;0.5),"Ash fraction above 0.5 — over half this sample was mineral soil. Re-wash. ","")&amp;IF($F36="Not separated","Live and dead not separated. Fine for a stock, but "&amp;"note it in reporting. ",""))</f>
        <v/>
      </c>
      <c r="P36" s="6"/>
      <c r="Q36" s="9" t="n">
        <f aca="false">IF($B36="",0,IF(COUNTIFS($B$5:$B36,$B36)=1,1,0))</f>
        <v>0</v>
      </c>
    </row>
    <row r="37" customFormat="false" ht="15" hidden="false" customHeight="false" outlineLevel="0" collapsed="false">
      <c r="A37" s="6" t="s">
        <v>81</v>
      </c>
      <c r="B37" s="6" t="s">
        <v>116</v>
      </c>
      <c r="C37" s="6" t="n">
        <v>0</v>
      </c>
      <c r="D37" s="6" t="n">
        <v>10</v>
      </c>
      <c r="E37" s="6" t="s">
        <v>133</v>
      </c>
      <c r="F37" s="6" t="s">
        <v>134</v>
      </c>
      <c r="G37" s="7" t="n">
        <v>1.1652</v>
      </c>
      <c r="H37" s="7" t="n">
        <v>0.108</v>
      </c>
      <c r="I37" s="6" t="n">
        <v>0.5</v>
      </c>
      <c r="J37" s="9" t="n">
        <f aca="false">IF(NOT(ISNUMBER($G37)),"",IF(AND(ASH_CORRECTED="Yes",ISNUMBER($H37)),$G37*(1-$H37),$G37))</f>
        <v>1.0393584</v>
      </c>
      <c r="K37" s="9" t="n">
        <f aca="false">IF($B37="","",IFERROR(AVERAGEIFS('2. Soil Data'!$G$5:$G$604,'2. Soil Data'!$B$5:$B$604,$B37),""))</f>
        <v>5</v>
      </c>
      <c r="L37" s="9" t="n">
        <f aca="false">IF(NOT(ISNUMBER($K37)),"",PI()*($K37/2)^2)</f>
        <v>19.6349540849362</v>
      </c>
      <c r="M37" s="9" t="n">
        <f aca="false">IF(OR(NOT(ISNUMBER($J37)),NOT(ISNUMBER($L37)),$L37=0),"",$J37/$L37*10000)</f>
        <v>529.340886413067</v>
      </c>
      <c r="N37" s="9" t="n">
        <f aca="false">IF(NOT(ISNUMBER($M37)),"",$M37*CARBON_FRACTION_ROOT/1000)</f>
        <v>0.264670443206533</v>
      </c>
      <c r="O37" s="11" t="str">
        <f aca="false">IF(AND($A37="",$B37="",$G37=""),"",IF(AND($B37&lt;&gt;"",COUNTIFS('2. Soil Data'!$B$5:$B$604,$B37)=0),"Core ID not found in Soil Data, so the corer diameter cannot be looked up. ","")&amp;IF(ASH_CORRECTED&lt;&gt;"Yes","Root mass is NOT ash-corrected, so it includes adhering mineral soil and is too high. Set ASH_CORRECTED once you have done it. ","")&amp;IF(AND(ASH_CORRECTED="Yes",NOT(ISNUMBER($H37))),"Ash correction is switched on but no ash fraction is given for this row. ","")&amp;IF($I37="","Sieve mesh not recorded — a fine-root figure cannot be interpreted without it. ","")&amp;IF(AND(ISNUMBER($H37),$H37&gt;0.5),"Ash fraction above 0.5 — over half this sample was mineral soil. Re-wash. ","")&amp;IF($F37="Not separated","Live and dead not separated. Fine for a stock, but "&amp;"note it in reporting. ",""))</f>
        <v/>
      </c>
      <c r="P37" s="6"/>
      <c r="Q37" s="9" t="n">
        <f aca="false">IF($B37="",0,IF(COUNTIFS($B$5:$B37,$B37)=1,1,0))</f>
        <v>1</v>
      </c>
    </row>
    <row r="38" customFormat="false" ht="15" hidden="false" customHeight="false" outlineLevel="0" collapsed="false">
      <c r="A38" s="6" t="s">
        <v>81</v>
      </c>
      <c r="B38" s="6" t="s">
        <v>116</v>
      </c>
      <c r="C38" s="6" t="n">
        <v>0</v>
      </c>
      <c r="D38" s="6" t="n">
        <v>10</v>
      </c>
      <c r="E38" s="6" t="s">
        <v>135</v>
      </c>
      <c r="F38" s="6" t="s">
        <v>134</v>
      </c>
      <c r="G38" s="7" t="n">
        <v>0.2493</v>
      </c>
      <c r="H38" s="7" t="n">
        <v>0.096</v>
      </c>
      <c r="I38" s="6" t="n">
        <v>0.5</v>
      </c>
      <c r="J38" s="9" t="n">
        <f aca="false">IF(NOT(ISNUMBER($G38)),"",IF(AND(ASH_CORRECTED="Yes",ISNUMBER($H38)),$G38*(1-$H38),$G38))</f>
        <v>0.2253672</v>
      </c>
      <c r="K38" s="9" t="n">
        <f aca="false">IF($B38="","",IFERROR(AVERAGEIFS('2. Soil Data'!$G$5:$G$604,'2. Soil Data'!$B$5:$B$604,$B38),""))</f>
        <v>5</v>
      </c>
      <c r="L38" s="9" t="n">
        <f aca="false">IF(NOT(ISNUMBER($K38)),"",PI()*($K38/2)^2)</f>
        <v>19.6349540849362</v>
      </c>
      <c r="M38" s="9" t="n">
        <f aca="false">IF(OR(NOT(ISNUMBER($J38)),NOT(ISNUMBER($L38)),$L38=0),"",$J38/$L38*10000)</f>
        <v>114.778572450495</v>
      </c>
      <c r="N38" s="9" t="n">
        <f aca="false">IF(NOT(ISNUMBER($M38)),"",$M38*CARBON_FRACTION_ROOT/1000)</f>
        <v>0.0573892862252477</v>
      </c>
      <c r="O38" s="11" t="str">
        <f aca="false">IF(AND($A38="",$B38="",$G38=""),"",IF(AND($B38&lt;&gt;"",COUNTIFS('2. Soil Data'!$B$5:$B$604,$B38)=0),"Core ID not found in Soil Data, so the corer diameter cannot be looked up. ","")&amp;IF(ASH_CORRECTED&lt;&gt;"Yes","Root mass is NOT ash-corrected, so it includes adhering mineral soil and is too high. Set ASH_CORRECTED once you have done it. ","")&amp;IF(AND(ASH_CORRECTED="Yes",NOT(ISNUMBER($H38))),"Ash correction is switched on but no ash fraction is given for this row. ","")&amp;IF($I38="","Sieve mesh not recorded — a fine-root figure cannot be interpreted without it. ","")&amp;IF(AND(ISNUMBER($H38),$H38&gt;0.5),"Ash fraction above 0.5 — over half this sample was mineral soil. Re-wash. ","")&amp;IF($F38="Not separated","Live and dead not separated. Fine for a stock, but "&amp;"note it in reporting. ",""))</f>
        <v/>
      </c>
      <c r="P38" s="6"/>
      <c r="Q38" s="9" t="n">
        <f aca="false">IF($B38="",0,IF(COUNTIFS($B$5:$B38,$B38)=1,1,0))</f>
        <v>0</v>
      </c>
    </row>
    <row r="39" customFormat="false" ht="15" hidden="false" customHeight="false" outlineLevel="0" collapsed="false">
      <c r="A39" s="6" t="s">
        <v>81</v>
      </c>
      <c r="B39" s="6" t="s">
        <v>116</v>
      </c>
      <c r="C39" s="6" t="n">
        <v>10</v>
      </c>
      <c r="D39" s="6" t="n">
        <v>20</v>
      </c>
      <c r="E39" s="6" t="s">
        <v>133</v>
      </c>
      <c r="F39" s="6" t="s">
        <v>134</v>
      </c>
      <c r="G39" s="7" t="n">
        <v>0.6343</v>
      </c>
      <c r="H39" s="7" t="n">
        <v>0.099</v>
      </c>
      <c r="I39" s="6" t="n">
        <v>0.5</v>
      </c>
      <c r="J39" s="9" t="n">
        <f aca="false">IF(NOT(ISNUMBER($G39)),"",IF(AND(ASH_CORRECTED="Yes",ISNUMBER($H39)),$G39*(1-$H39),$G39))</f>
        <v>0.5715043</v>
      </c>
      <c r="K39" s="9" t="n">
        <f aca="false">IF($B39="","",IFERROR(AVERAGEIFS('2. Soil Data'!$G$5:$G$604,'2. Soil Data'!$B$5:$B$604,$B39),""))</f>
        <v>5</v>
      </c>
      <c r="L39" s="9" t="n">
        <f aca="false">IF(NOT(ISNUMBER($K39)),"",PI()*($K39/2)^2)</f>
        <v>19.6349540849362</v>
      </c>
      <c r="M39" s="9" t="n">
        <f aca="false">IF(OR(NOT(ISNUMBER($J39)),NOT(ISNUMBER($L39)),$L39=0),"",$J39/$L39*10000)</f>
        <v>291.064749898475</v>
      </c>
      <c r="N39" s="9" t="n">
        <f aca="false">IF(NOT(ISNUMBER($M39)),"",$M39*CARBON_FRACTION_ROOT/1000)</f>
        <v>0.145532374949238</v>
      </c>
      <c r="O39" s="11" t="str">
        <f aca="false">IF(AND($A39="",$B39="",$G39=""),"",IF(AND($B39&lt;&gt;"",COUNTIFS('2. Soil Data'!$B$5:$B$604,$B39)=0),"Core ID not found in Soil Data, so the corer diameter cannot be looked up. ","")&amp;IF(ASH_CORRECTED&lt;&gt;"Yes","Root mass is NOT ash-corrected, so it includes adhering mineral soil and is too high. Set ASH_CORRECTED once you have done it. ","")&amp;IF(AND(ASH_CORRECTED="Yes",NOT(ISNUMBER($H39))),"Ash correction is switched on but no ash fraction is given for this row. ","")&amp;IF($I39="","Sieve mesh not recorded — a fine-root figure cannot be interpreted without it. ","")&amp;IF(AND(ISNUMBER($H39),$H39&gt;0.5),"Ash fraction above 0.5 — over half this sample was mineral soil. Re-wash. ","")&amp;IF($F39="Not separated","Live and dead not separated. Fine for a stock, but "&amp;"note it in reporting. ",""))</f>
        <v/>
      </c>
      <c r="P39" s="6"/>
      <c r="Q39" s="9" t="n">
        <f aca="false">IF($B39="",0,IF(COUNTIFS($B$5:$B39,$B39)=1,1,0))</f>
        <v>0</v>
      </c>
    </row>
    <row r="40" customFormat="false" ht="15" hidden="false" customHeight="false" outlineLevel="0" collapsed="false">
      <c r="A40" s="6" t="s">
        <v>81</v>
      </c>
      <c r="B40" s="6" t="s">
        <v>116</v>
      </c>
      <c r="C40" s="6" t="n">
        <v>10</v>
      </c>
      <c r="D40" s="6" t="n">
        <v>20</v>
      </c>
      <c r="E40" s="6" t="s">
        <v>135</v>
      </c>
      <c r="F40" s="6" t="s">
        <v>134</v>
      </c>
      <c r="G40" s="7" t="n">
        <v>0.1348</v>
      </c>
      <c r="H40" s="7" t="n">
        <v>0.129</v>
      </c>
      <c r="I40" s="6" t="n">
        <v>0.5</v>
      </c>
      <c r="J40" s="9" t="n">
        <f aca="false">IF(NOT(ISNUMBER($G40)),"",IF(AND(ASH_CORRECTED="Yes",ISNUMBER($H40)),$G40*(1-$H40),$G40))</f>
        <v>0.1174108</v>
      </c>
      <c r="K40" s="9" t="n">
        <f aca="false">IF($B40="","",IFERROR(AVERAGEIFS('2. Soil Data'!$G$5:$G$604,'2. Soil Data'!$B$5:$B$604,$B40),""))</f>
        <v>5</v>
      </c>
      <c r="L40" s="9" t="n">
        <f aca="false">IF(NOT(ISNUMBER($K40)),"",PI()*($K40/2)^2)</f>
        <v>19.6349540849362</v>
      </c>
      <c r="M40" s="9" t="n">
        <f aca="false">IF(OR(NOT(ISNUMBER($J40)),NOT(ISNUMBER($L40)),$L40=0),"",$J40/$L40*10000)</f>
        <v>59.7968294155965</v>
      </c>
      <c r="N40" s="9" t="n">
        <f aca="false">IF(NOT(ISNUMBER($M40)),"",$M40*CARBON_FRACTION_ROOT/1000)</f>
        <v>0.0298984147077982</v>
      </c>
      <c r="O40" s="11" t="str">
        <f aca="false">IF(AND($A40="",$B40="",$G40=""),"",IF(AND($B40&lt;&gt;"",COUNTIFS('2. Soil Data'!$B$5:$B$604,$B40)=0),"Core ID not found in Soil Data, so the corer diameter cannot be looked up. ","")&amp;IF(ASH_CORRECTED&lt;&gt;"Yes","Root mass is NOT ash-corrected, so it includes adhering mineral soil and is too high. Set ASH_CORRECTED once you have done it. ","")&amp;IF(AND(ASH_CORRECTED="Yes",NOT(ISNUMBER($H40))),"Ash correction is switched on but no ash fraction is given for this row. ","")&amp;IF($I40="","Sieve mesh not recorded — a fine-root figure cannot be interpreted without it. ","")&amp;IF(AND(ISNUMBER($H40),$H40&gt;0.5),"Ash fraction above 0.5 — over half this sample was mineral soil. Re-wash. ","")&amp;IF($F40="Not separated","Live and dead not separated. Fine for a stock, but "&amp;"note it in reporting. ",""))</f>
        <v/>
      </c>
      <c r="P40" s="6"/>
      <c r="Q40" s="9" t="n">
        <f aca="false">IF($B40="",0,IF(COUNTIFS($B$5:$B40,$B40)=1,1,0))</f>
        <v>0</v>
      </c>
    </row>
    <row r="41" customFormat="false" ht="15" hidden="false" customHeight="false" outlineLevel="0" collapsed="false">
      <c r="A41" s="6" t="s">
        <v>81</v>
      </c>
      <c r="B41" s="6" t="s">
        <v>116</v>
      </c>
      <c r="C41" s="6" t="n">
        <v>20</v>
      </c>
      <c r="D41" s="6" t="n">
        <v>30</v>
      </c>
      <c r="E41" s="6" t="s">
        <v>133</v>
      </c>
      <c r="F41" s="6" t="s">
        <v>134</v>
      </c>
      <c r="G41" s="7" t="n">
        <v>0.2949</v>
      </c>
      <c r="H41" s="7" t="n">
        <v>0.072</v>
      </c>
      <c r="I41" s="6" t="n">
        <v>0.5</v>
      </c>
      <c r="J41" s="9" t="n">
        <f aca="false">IF(NOT(ISNUMBER($G41)),"",IF(AND(ASH_CORRECTED="Yes",ISNUMBER($H41)),$G41*(1-$H41),$G41))</f>
        <v>0.2736672</v>
      </c>
      <c r="K41" s="9" t="n">
        <f aca="false">IF($B41="","",IFERROR(AVERAGEIFS('2. Soil Data'!$G$5:$G$604,'2. Soil Data'!$B$5:$B$604,$B41),""))</f>
        <v>5</v>
      </c>
      <c r="L41" s="9" t="n">
        <f aca="false">IF(NOT(ISNUMBER($K41)),"",PI()*($K41/2)^2)</f>
        <v>19.6349540849362</v>
      </c>
      <c r="M41" s="9" t="n">
        <f aca="false">IF(OR(NOT(ISNUMBER($J41)),NOT(ISNUMBER($L41)),$L41=0),"",$J41/$L41*10000)</f>
        <v>139.377560454779</v>
      </c>
      <c r="N41" s="9" t="n">
        <f aca="false">IF(NOT(ISNUMBER($M41)),"",$M41*CARBON_FRACTION_ROOT/1000)</f>
        <v>0.0696887802273894</v>
      </c>
      <c r="O41" s="11" t="str">
        <f aca="false">IF(AND($A41="",$B41="",$G41=""),"",IF(AND($B41&lt;&gt;"",COUNTIFS('2. Soil Data'!$B$5:$B$604,$B41)=0),"Core ID not found in Soil Data, so the corer diameter cannot be looked up. ","")&amp;IF(ASH_CORRECTED&lt;&gt;"Yes","Root mass is NOT ash-corrected, so it includes adhering mineral soil and is too high. Set ASH_CORRECTED once you have done it. ","")&amp;IF(AND(ASH_CORRECTED="Yes",NOT(ISNUMBER($H41))),"Ash correction is switched on but no ash fraction is given for this row. ","")&amp;IF($I41="","Sieve mesh not recorded — a fine-root figure cannot be interpreted without it. ","")&amp;IF(AND(ISNUMBER($H41),$H41&gt;0.5),"Ash fraction above 0.5 — over half this sample was mineral soil. Re-wash. ","")&amp;IF($F41="Not separated","Live and dead not separated. Fine for a stock, but "&amp;"note it in reporting. ",""))</f>
        <v/>
      </c>
      <c r="P41" s="6"/>
      <c r="Q41" s="9" t="n">
        <f aca="false">IF($B41="",0,IF(COUNTIFS($B$5:$B41,$B41)=1,1,0))</f>
        <v>0</v>
      </c>
    </row>
    <row r="42" customFormat="false" ht="15" hidden="false" customHeight="false" outlineLevel="0" collapsed="false">
      <c r="A42" s="6" t="s">
        <v>81</v>
      </c>
      <c r="B42" s="6" t="s">
        <v>116</v>
      </c>
      <c r="C42" s="6" t="n">
        <v>20</v>
      </c>
      <c r="D42" s="6" t="n">
        <v>30</v>
      </c>
      <c r="E42" s="6" t="s">
        <v>135</v>
      </c>
      <c r="F42" s="6" t="s">
        <v>134</v>
      </c>
      <c r="G42" s="7" t="n">
        <v>0.0828</v>
      </c>
      <c r="H42" s="7" t="n">
        <v>0.125</v>
      </c>
      <c r="I42" s="6" t="n">
        <v>0.5</v>
      </c>
      <c r="J42" s="9" t="n">
        <f aca="false">IF(NOT(ISNUMBER($G42)),"",IF(AND(ASH_CORRECTED="Yes",ISNUMBER($H42)),$G42*(1-$H42),$G42))</f>
        <v>0.07245</v>
      </c>
      <c r="K42" s="9" t="n">
        <f aca="false">IF($B42="","",IFERROR(AVERAGEIFS('2. Soil Data'!$G$5:$G$604,'2. Soil Data'!$B$5:$B$604,$B42),""))</f>
        <v>5</v>
      </c>
      <c r="L42" s="9" t="n">
        <f aca="false">IF(NOT(ISNUMBER($K42)),"",PI()*($K42/2)^2)</f>
        <v>19.6349540849362</v>
      </c>
      <c r="M42" s="9" t="n">
        <f aca="false">IF(OR(NOT(ISNUMBER($J42)),NOT(ISNUMBER($L42)),$L42=0),"",$J42/$L42*10000)</f>
        <v>36.898482006425</v>
      </c>
      <c r="N42" s="9" t="n">
        <f aca="false">IF(NOT(ISNUMBER($M42)),"",$M42*CARBON_FRACTION_ROOT/1000)</f>
        <v>0.0184492410032125</v>
      </c>
      <c r="O42" s="11" t="str">
        <f aca="false">IF(AND($A42="",$B42="",$G42=""),"",IF(AND($B42&lt;&gt;"",COUNTIFS('2. Soil Data'!$B$5:$B$604,$B42)=0),"Core ID not found in Soil Data, so the corer diameter cannot be looked up. ","")&amp;IF(ASH_CORRECTED&lt;&gt;"Yes","Root mass is NOT ash-corrected, so it includes adhering mineral soil and is too high. Set ASH_CORRECTED once you have done it. ","")&amp;IF(AND(ASH_CORRECTED="Yes",NOT(ISNUMBER($H42))),"Ash correction is switched on but no ash fraction is given for this row. ","")&amp;IF($I42="","Sieve mesh not recorded — a fine-root figure cannot be interpreted without it. ","")&amp;IF(AND(ISNUMBER($H42),$H42&gt;0.5),"Ash fraction above 0.5 — over half this sample was mineral soil. Re-wash. ","")&amp;IF($F42="Not separated","Live and dead not separated. Fine for a stock, but "&amp;"note it in reporting. ",""))</f>
        <v/>
      </c>
      <c r="P42" s="6"/>
      <c r="Q42" s="9" t="n">
        <f aca="false">IF($B42="",0,IF(COUNTIFS($B$5:$B42,$B42)=1,1,0))</f>
        <v>0</v>
      </c>
    </row>
    <row r="43" customFormat="false" ht="15" hidden="false" customHeight="false" outlineLevel="0" collapsed="false">
      <c r="A43" s="6" t="s">
        <v>81</v>
      </c>
      <c r="B43" s="6" t="s">
        <v>116</v>
      </c>
      <c r="C43" s="6" t="n">
        <v>30</v>
      </c>
      <c r="D43" s="6" t="n">
        <v>60</v>
      </c>
      <c r="E43" s="6" t="s">
        <v>133</v>
      </c>
      <c r="F43" s="6" t="s">
        <v>134</v>
      </c>
      <c r="G43" s="7" t="n">
        <v>0.7876</v>
      </c>
      <c r="H43" s="7" t="n">
        <v>0.075</v>
      </c>
      <c r="I43" s="6" t="n">
        <v>0.5</v>
      </c>
      <c r="J43" s="9" t="n">
        <f aca="false">IF(NOT(ISNUMBER($G43)),"",IF(AND(ASH_CORRECTED="Yes",ISNUMBER($H43)),$G43*(1-$H43),$G43))</f>
        <v>0.72853</v>
      </c>
      <c r="K43" s="9" t="n">
        <f aca="false">IF($B43="","",IFERROR(AVERAGEIFS('2. Soil Data'!$G$5:$G$604,'2. Soil Data'!$B$5:$B$604,$B43),""))</f>
        <v>5</v>
      </c>
      <c r="L43" s="9" t="n">
        <f aca="false">IF(NOT(ISNUMBER($K43)),"",PI()*($K43/2)^2)</f>
        <v>19.6349540849362</v>
      </c>
      <c r="M43" s="9" t="n">
        <f aca="false">IF(OR(NOT(ISNUMBER($J43)),NOT(ISNUMBER($L43)),$L43=0),"",$J43/$L43*10000)</f>
        <v>371.037282210363</v>
      </c>
      <c r="N43" s="9" t="n">
        <f aca="false">IF(NOT(ISNUMBER($M43)),"",$M43*CARBON_FRACTION_ROOT/1000)</f>
        <v>0.185518641105182</v>
      </c>
      <c r="O43" s="11" t="str">
        <f aca="false">IF(AND($A43="",$B43="",$G43=""),"",IF(AND($B43&lt;&gt;"",COUNTIFS('2. Soil Data'!$B$5:$B$604,$B43)=0),"Core ID not found in Soil Data, so the corer diameter cannot be looked up. ","")&amp;IF(ASH_CORRECTED&lt;&gt;"Yes","Root mass is NOT ash-corrected, so it includes adhering mineral soil and is too high. Set ASH_CORRECTED once you have done it. ","")&amp;IF(AND(ASH_CORRECTED="Yes",NOT(ISNUMBER($H43))),"Ash correction is switched on but no ash fraction is given for this row. ","")&amp;IF($I43="","Sieve mesh not recorded — a fine-root figure cannot be interpreted without it. ","")&amp;IF(AND(ISNUMBER($H43),$H43&gt;0.5),"Ash fraction above 0.5 — over half this sample was mineral soil. Re-wash. ","")&amp;IF($F43="Not separated","Live and dead not separated. Fine for a stock, but "&amp;"note it in reporting. ",""))</f>
        <v/>
      </c>
      <c r="P43" s="6"/>
      <c r="Q43" s="9" t="n">
        <f aca="false">IF($B43="",0,IF(COUNTIFS($B$5:$B43,$B43)=1,1,0))</f>
        <v>0</v>
      </c>
    </row>
    <row r="44" customFormat="false" ht="15" hidden="false" customHeight="false" outlineLevel="0" collapsed="false">
      <c r="A44" s="6" t="s">
        <v>81</v>
      </c>
      <c r="B44" s="6" t="s">
        <v>116</v>
      </c>
      <c r="C44" s="6" t="n">
        <v>30</v>
      </c>
      <c r="D44" s="6" t="n">
        <v>60</v>
      </c>
      <c r="E44" s="6" t="s">
        <v>135</v>
      </c>
      <c r="F44" s="6" t="s">
        <v>134</v>
      </c>
      <c r="G44" s="7" t="n">
        <v>0.2124</v>
      </c>
      <c r="H44" s="7" t="n">
        <v>0.135</v>
      </c>
      <c r="I44" s="6" t="n">
        <v>0.5</v>
      </c>
      <c r="J44" s="9" t="n">
        <f aca="false">IF(NOT(ISNUMBER($G44)),"",IF(AND(ASH_CORRECTED="Yes",ISNUMBER($H44)),$G44*(1-$H44),$G44))</f>
        <v>0.183726</v>
      </c>
      <c r="K44" s="9" t="n">
        <f aca="false">IF($B44="","",IFERROR(AVERAGEIFS('2. Soil Data'!$G$5:$G$604,'2. Soil Data'!$B$5:$B$604,$B44),""))</f>
        <v>5</v>
      </c>
      <c r="L44" s="9" t="n">
        <f aca="false">IF(NOT(ISNUMBER($K44)),"",PI()*($K44/2)^2)</f>
        <v>19.6349540849362</v>
      </c>
      <c r="M44" s="9" t="n">
        <f aca="false">IF(OR(NOT(ISNUMBER($J44)),NOT(ISNUMBER($L44)),$L44=0),"",$J44/$L44*10000)</f>
        <v>93.570883438405</v>
      </c>
      <c r="N44" s="9" t="n">
        <f aca="false">IF(NOT(ISNUMBER($M44)),"",$M44*CARBON_FRACTION_ROOT/1000)</f>
        <v>0.0467854417192025</v>
      </c>
      <c r="O44" s="11" t="str">
        <f aca="false">IF(AND($A44="",$B44="",$G44=""),"",IF(AND($B44&lt;&gt;"",COUNTIFS('2. Soil Data'!$B$5:$B$604,$B44)=0),"Core ID not found in Soil Data, so the corer diameter cannot be looked up. ","")&amp;IF(ASH_CORRECTED&lt;&gt;"Yes","Root mass is NOT ash-corrected, so it includes adhering mineral soil and is too high. Set ASH_CORRECTED once you have done it. ","")&amp;IF(AND(ASH_CORRECTED="Yes",NOT(ISNUMBER($H44))),"Ash correction is switched on but no ash fraction is given for this row. ","")&amp;IF($I44="","Sieve mesh not recorded — a fine-root figure cannot be interpreted without it. ","")&amp;IF(AND(ISNUMBER($H44),$H44&gt;0.5),"Ash fraction above 0.5 — over half this sample was mineral soil. Re-wash. ","")&amp;IF($F44="Not separated","Live and dead not separated. Fine for a stock, but "&amp;"note it in reporting. ",""))</f>
        <v/>
      </c>
      <c r="P44" s="6"/>
      <c r="Q44" s="9" t="n">
        <f aca="false">IF($B44="",0,IF(COUNTIFS($B$5:$B44,$B44)=1,1,0))</f>
        <v>0</v>
      </c>
    </row>
    <row r="45" customFormat="false" ht="15" hidden="false" customHeight="false" outlineLevel="0" collapsed="false">
      <c r="A45" s="6" t="s">
        <v>82</v>
      </c>
      <c r="B45" s="6" t="s">
        <v>117</v>
      </c>
      <c r="C45" s="6" t="n">
        <v>0</v>
      </c>
      <c r="D45" s="6" t="n">
        <v>10</v>
      </c>
      <c r="E45" s="6" t="s">
        <v>133</v>
      </c>
      <c r="F45" s="6" t="s">
        <v>134</v>
      </c>
      <c r="G45" s="7" t="n">
        <v>2.2286</v>
      </c>
      <c r="H45" s="7" t="n">
        <v>0.136</v>
      </c>
      <c r="I45" s="6" t="n">
        <v>0.5</v>
      </c>
      <c r="J45" s="9" t="n">
        <f aca="false">IF(NOT(ISNUMBER($G45)),"",IF(AND(ASH_CORRECTED="Yes",ISNUMBER($H45)),$G45*(1-$H45),$G45))</f>
        <v>1.9255104</v>
      </c>
      <c r="K45" s="9" t="n">
        <f aca="false">IF($B45="","",IFERROR(AVERAGEIFS('2. Soil Data'!$G$5:$G$604,'2. Soil Data'!$B$5:$B$604,$B45),""))</f>
        <v>5</v>
      </c>
      <c r="L45" s="9" t="n">
        <f aca="false">IF(NOT(ISNUMBER($K45)),"",PI()*($K45/2)^2)</f>
        <v>19.6349540849362</v>
      </c>
      <c r="M45" s="9" t="n">
        <f aca="false">IF(OR(NOT(ISNUMBER($J45)),NOT(ISNUMBER($L45)),$L45=0),"",$J45/$L45*10000)</f>
        <v>980.654394031529</v>
      </c>
      <c r="N45" s="9" t="n">
        <f aca="false">IF(NOT(ISNUMBER($M45)),"",$M45*CARBON_FRACTION_ROOT/1000)</f>
        <v>0.490327197015764</v>
      </c>
      <c r="O45" s="11" t="str">
        <f aca="false">IF(AND($A45="",$B45="",$G45=""),"",IF(AND($B45&lt;&gt;"",COUNTIFS('2. Soil Data'!$B$5:$B$604,$B45)=0),"Core ID not found in Soil Data, so the corer diameter cannot be looked up. ","")&amp;IF(ASH_CORRECTED&lt;&gt;"Yes","Root mass is NOT ash-corrected, so it includes adhering mineral soil and is too high. Set ASH_CORRECTED once you have done it. ","")&amp;IF(AND(ASH_CORRECTED="Yes",NOT(ISNUMBER($H45))),"Ash correction is switched on but no ash fraction is given for this row. ","")&amp;IF($I45="","Sieve mesh not recorded — a fine-root figure cannot be interpreted without it. ","")&amp;IF(AND(ISNUMBER($H45),$H45&gt;0.5),"Ash fraction above 0.5 — over half this sample was mineral soil. Re-wash. ","")&amp;IF($F45="Not separated","Live and dead not separated. Fine for a stock, but "&amp;"note it in reporting. ",""))</f>
        <v/>
      </c>
      <c r="P45" s="6"/>
      <c r="Q45" s="9" t="n">
        <f aca="false">IF($B45="",0,IF(COUNTIFS($B$5:$B45,$B45)=1,1,0))</f>
        <v>1</v>
      </c>
    </row>
    <row r="46" customFormat="false" ht="15" hidden="false" customHeight="false" outlineLevel="0" collapsed="false">
      <c r="A46" s="6" t="s">
        <v>82</v>
      </c>
      <c r="B46" s="6" t="s">
        <v>117</v>
      </c>
      <c r="C46" s="6" t="n">
        <v>0</v>
      </c>
      <c r="D46" s="6" t="n">
        <v>10</v>
      </c>
      <c r="E46" s="6" t="s">
        <v>135</v>
      </c>
      <c r="F46" s="6" t="s">
        <v>134</v>
      </c>
      <c r="G46" s="7" t="n">
        <v>0.5222</v>
      </c>
      <c r="H46" s="7" t="n">
        <v>0.108</v>
      </c>
      <c r="I46" s="6" t="n">
        <v>0.5</v>
      </c>
      <c r="J46" s="9" t="n">
        <f aca="false">IF(NOT(ISNUMBER($G46)),"",IF(AND(ASH_CORRECTED="Yes",ISNUMBER($H46)),$G46*(1-$H46),$G46))</f>
        <v>0.4658024</v>
      </c>
      <c r="K46" s="9" t="n">
        <f aca="false">IF($B46="","",IFERROR(AVERAGEIFS('2. Soil Data'!$G$5:$G$604,'2. Soil Data'!$B$5:$B$604,$B46),""))</f>
        <v>5</v>
      </c>
      <c r="L46" s="9" t="n">
        <f aca="false">IF(NOT(ISNUMBER($K46)),"",PI()*($K46/2)^2)</f>
        <v>19.6349540849362</v>
      </c>
      <c r="M46" s="9" t="n">
        <f aca="false">IF(OR(NOT(ISNUMBER($J46)),NOT(ISNUMBER($L46)),$L46=0),"",$J46/$L46*10000)</f>
        <v>237.231214285018</v>
      </c>
      <c r="N46" s="9" t="n">
        <f aca="false">IF(NOT(ISNUMBER($M46)),"",$M46*CARBON_FRACTION_ROOT/1000)</f>
        <v>0.118615607142509</v>
      </c>
      <c r="O46" s="11" t="str">
        <f aca="false">IF(AND($A46="",$B46="",$G46=""),"",IF(AND($B46&lt;&gt;"",COUNTIFS('2. Soil Data'!$B$5:$B$604,$B46)=0),"Core ID not found in Soil Data, so the corer diameter cannot be looked up. ","")&amp;IF(ASH_CORRECTED&lt;&gt;"Yes","Root mass is NOT ash-corrected, so it includes adhering mineral soil and is too high. Set ASH_CORRECTED once you have done it. ","")&amp;IF(AND(ASH_CORRECTED="Yes",NOT(ISNUMBER($H46))),"Ash correction is switched on but no ash fraction is given for this row. ","")&amp;IF($I46="","Sieve mesh not recorded — a fine-root figure cannot be interpreted without it. ","")&amp;IF(AND(ISNUMBER($H46),$H46&gt;0.5),"Ash fraction above 0.5 — over half this sample was mineral soil. Re-wash. ","")&amp;IF($F46="Not separated","Live and dead not separated. Fine for a stock, but "&amp;"note it in reporting. ",""))</f>
        <v/>
      </c>
      <c r="P46" s="6"/>
      <c r="Q46" s="9" t="n">
        <f aca="false">IF($B46="",0,IF(COUNTIFS($B$5:$B46,$B46)=1,1,0))</f>
        <v>0</v>
      </c>
    </row>
    <row r="47" customFormat="false" ht="15" hidden="false" customHeight="false" outlineLevel="0" collapsed="false">
      <c r="A47" s="6" t="s">
        <v>82</v>
      </c>
      <c r="B47" s="6" t="s">
        <v>117</v>
      </c>
      <c r="C47" s="6" t="n">
        <v>10</v>
      </c>
      <c r="D47" s="6" t="n">
        <v>20</v>
      </c>
      <c r="E47" s="6" t="s">
        <v>133</v>
      </c>
      <c r="F47" s="6" t="s">
        <v>134</v>
      </c>
      <c r="G47" s="7" t="n">
        <v>1.0343</v>
      </c>
      <c r="H47" s="7" t="n">
        <v>0.068</v>
      </c>
      <c r="I47" s="6" t="n">
        <v>0.5</v>
      </c>
      <c r="J47" s="9" t="n">
        <f aca="false">IF(NOT(ISNUMBER($G47)),"",IF(AND(ASH_CORRECTED="Yes",ISNUMBER($H47)),$G47*(1-$H47),$G47))</f>
        <v>0.9639676</v>
      </c>
      <c r="K47" s="9" t="n">
        <f aca="false">IF($B47="","",IFERROR(AVERAGEIFS('2. Soil Data'!$G$5:$G$604,'2. Soil Data'!$B$5:$B$604,$B47),""))</f>
        <v>5</v>
      </c>
      <c r="L47" s="9" t="n">
        <f aca="false">IF(NOT(ISNUMBER($K47)),"",PI()*($K47/2)^2)</f>
        <v>19.6349540849362</v>
      </c>
      <c r="M47" s="9" t="n">
        <f aca="false">IF(OR(NOT(ISNUMBER($J47)),NOT(ISNUMBER($L47)),$L47=0),"",$J47/$L47*10000)</f>
        <v>490.944667265379</v>
      </c>
      <c r="N47" s="9" t="n">
        <f aca="false">IF(NOT(ISNUMBER($M47)),"",$M47*CARBON_FRACTION_ROOT/1000)</f>
        <v>0.245472333632689</v>
      </c>
      <c r="O47" s="11" t="str">
        <f aca="false">IF(AND($A47="",$B47="",$G47=""),"",IF(AND($B47&lt;&gt;"",COUNTIFS('2. Soil Data'!$B$5:$B$604,$B47)=0),"Core ID not found in Soil Data, so the corer diameter cannot be looked up. ","")&amp;IF(ASH_CORRECTED&lt;&gt;"Yes","Root mass is NOT ash-corrected, so it includes adhering mineral soil and is too high. Set ASH_CORRECTED once you have done it. ","")&amp;IF(AND(ASH_CORRECTED="Yes",NOT(ISNUMBER($H47))),"Ash correction is switched on but no ash fraction is given for this row. ","")&amp;IF($I47="","Sieve mesh not recorded — a fine-root figure cannot be interpreted without it. ","")&amp;IF(AND(ISNUMBER($H47),$H47&gt;0.5),"Ash fraction above 0.5 — over half this sample was mineral soil. Re-wash. ","")&amp;IF($F47="Not separated","Live and dead not separated. Fine for a stock, but "&amp;"note it in reporting. ",""))</f>
        <v/>
      </c>
      <c r="P47" s="6"/>
      <c r="Q47" s="9" t="n">
        <f aca="false">IF($B47="",0,IF(COUNTIFS($B$5:$B47,$B47)=1,1,0))</f>
        <v>0</v>
      </c>
    </row>
    <row r="48" customFormat="false" ht="15" hidden="false" customHeight="false" outlineLevel="0" collapsed="false">
      <c r="A48" s="6" t="s">
        <v>82</v>
      </c>
      <c r="B48" s="6" t="s">
        <v>117</v>
      </c>
      <c r="C48" s="6" t="n">
        <v>10</v>
      </c>
      <c r="D48" s="6" t="n">
        <v>20</v>
      </c>
      <c r="E48" s="6" t="s">
        <v>135</v>
      </c>
      <c r="F48" s="6" t="s">
        <v>134</v>
      </c>
      <c r="G48" s="7" t="n">
        <v>0.2276</v>
      </c>
      <c r="H48" s="7" t="n">
        <v>0.137</v>
      </c>
      <c r="I48" s="6" t="n">
        <v>0.5</v>
      </c>
      <c r="J48" s="9" t="n">
        <f aca="false">IF(NOT(ISNUMBER($G48)),"",IF(AND(ASH_CORRECTED="Yes",ISNUMBER($H48)),$G48*(1-$H48),$G48))</f>
        <v>0.1964188</v>
      </c>
      <c r="K48" s="9" t="n">
        <f aca="false">IF($B48="","",IFERROR(AVERAGEIFS('2. Soil Data'!$G$5:$G$604,'2. Soil Data'!$B$5:$B$604,$B48),""))</f>
        <v>5</v>
      </c>
      <c r="L48" s="9" t="n">
        <f aca="false">IF(NOT(ISNUMBER($K48)),"",PI()*($K48/2)^2)</f>
        <v>19.6349540849362</v>
      </c>
      <c r="M48" s="9" t="n">
        <f aca="false">IF(OR(NOT(ISNUMBER($J48)),NOT(ISNUMBER($L48)),$L48=0),"",$J48/$L48*10000)</f>
        <v>100.035273395771</v>
      </c>
      <c r="N48" s="9" t="n">
        <f aca="false">IF(NOT(ISNUMBER($M48)),"",$M48*CARBON_FRACTION_ROOT/1000)</f>
        <v>0.0500176366978854</v>
      </c>
      <c r="O48" s="11" t="str">
        <f aca="false">IF(AND($A48="",$B48="",$G48=""),"",IF(AND($B48&lt;&gt;"",COUNTIFS('2. Soil Data'!$B$5:$B$604,$B48)=0),"Core ID not found in Soil Data, so the corer diameter cannot be looked up. ","")&amp;IF(ASH_CORRECTED&lt;&gt;"Yes","Root mass is NOT ash-corrected, so it includes adhering mineral soil and is too high. Set ASH_CORRECTED once you have done it. ","")&amp;IF(AND(ASH_CORRECTED="Yes",NOT(ISNUMBER($H48))),"Ash correction is switched on but no ash fraction is given for this row. ","")&amp;IF($I48="","Sieve mesh not recorded — a fine-root figure cannot be interpreted without it. ","")&amp;IF(AND(ISNUMBER($H48),$H48&gt;0.5),"Ash fraction above 0.5 — over half this sample was mineral soil. Re-wash. ","")&amp;IF($F48="Not separated","Live and dead not separated. Fine for a stock, but "&amp;"note it in reporting. ",""))</f>
        <v/>
      </c>
      <c r="P48" s="6"/>
      <c r="Q48" s="9" t="n">
        <f aca="false">IF($B48="",0,IF(COUNTIFS($B$5:$B48,$B48)=1,1,0))</f>
        <v>0</v>
      </c>
    </row>
    <row r="49" customFormat="false" ht="15" hidden="false" customHeight="false" outlineLevel="0" collapsed="false">
      <c r="A49" s="6" t="s">
        <v>82</v>
      </c>
      <c r="B49" s="6" t="s">
        <v>117</v>
      </c>
      <c r="C49" s="6" t="n">
        <v>20</v>
      </c>
      <c r="D49" s="6" t="n">
        <v>30</v>
      </c>
      <c r="E49" s="6" t="s">
        <v>133</v>
      </c>
      <c r="F49" s="6" t="s">
        <v>134</v>
      </c>
      <c r="G49" s="7" t="n">
        <v>0.586</v>
      </c>
      <c r="H49" s="7" t="n">
        <v>0.116</v>
      </c>
      <c r="I49" s="6" t="n">
        <v>0.5</v>
      </c>
      <c r="J49" s="9" t="n">
        <f aca="false">IF(NOT(ISNUMBER($G49)),"",IF(AND(ASH_CORRECTED="Yes",ISNUMBER($H49)),$G49*(1-$H49),$G49))</f>
        <v>0.518024</v>
      </c>
      <c r="K49" s="9" t="n">
        <f aca="false">IF($B49="","",IFERROR(AVERAGEIFS('2. Soil Data'!$G$5:$G$604,'2. Soil Data'!$B$5:$B$604,$B49),""))</f>
        <v>5</v>
      </c>
      <c r="L49" s="9" t="n">
        <f aca="false">IF(NOT(ISNUMBER($K49)),"",PI()*($K49/2)^2)</f>
        <v>19.6349540849362</v>
      </c>
      <c r="M49" s="9" t="n">
        <f aca="false">IF(OR(NOT(ISNUMBER($J49)),NOT(ISNUMBER($L49)),$L49=0),"",$J49/$L49*10000)</f>
        <v>263.827456768755</v>
      </c>
      <c r="N49" s="9" t="n">
        <f aca="false">IF(NOT(ISNUMBER($M49)),"",$M49*CARBON_FRACTION_ROOT/1000)</f>
        <v>0.131913728384378</v>
      </c>
      <c r="O49" s="11" t="str">
        <f aca="false">IF(AND($A49="",$B49="",$G49=""),"",IF(AND($B49&lt;&gt;"",COUNTIFS('2. Soil Data'!$B$5:$B$604,$B49)=0),"Core ID not found in Soil Data, so the corer diameter cannot be looked up. ","")&amp;IF(ASH_CORRECTED&lt;&gt;"Yes","Root mass is NOT ash-corrected, so it includes adhering mineral soil and is too high. Set ASH_CORRECTED once you have done it. ","")&amp;IF(AND(ASH_CORRECTED="Yes",NOT(ISNUMBER($H49))),"Ash correction is switched on but no ash fraction is given for this row. ","")&amp;IF($I49="","Sieve mesh not recorded — a fine-root figure cannot be interpreted without it. ","")&amp;IF(AND(ISNUMBER($H49),$H49&gt;0.5),"Ash fraction above 0.5 — over half this sample was mineral soil. Re-wash. ","")&amp;IF($F49="Not separated","Live and dead not separated. Fine for a stock, but "&amp;"note it in reporting. ",""))</f>
        <v/>
      </c>
      <c r="P49" s="6"/>
      <c r="Q49" s="9" t="n">
        <f aca="false">IF($B49="",0,IF(COUNTIFS($B$5:$B49,$B49)=1,1,0))</f>
        <v>0</v>
      </c>
    </row>
    <row r="50" customFormat="false" ht="15" hidden="false" customHeight="false" outlineLevel="0" collapsed="false">
      <c r="A50" s="6" t="s">
        <v>82</v>
      </c>
      <c r="B50" s="6" t="s">
        <v>117</v>
      </c>
      <c r="C50" s="6" t="n">
        <v>20</v>
      </c>
      <c r="D50" s="6" t="n">
        <v>30</v>
      </c>
      <c r="E50" s="6" t="s">
        <v>135</v>
      </c>
      <c r="F50" s="6" t="s">
        <v>134</v>
      </c>
      <c r="G50" s="7" t="n">
        <v>0.1364</v>
      </c>
      <c r="H50" s="7" t="n">
        <v>0.126</v>
      </c>
      <c r="I50" s="6" t="n">
        <v>0.5</v>
      </c>
      <c r="J50" s="9" t="n">
        <f aca="false">IF(NOT(ISNUMBER($G50)),"",IF(AND(ASH_CORRECTED="Yes",ISNUMBER($H50)),$G50*(1-$H50),$G50))</f>
        <v>0.1192136</v>
      </c>
      <c r="K50" s="9" t="n">
        <f aca="false">IF($B50="","",IFERROR(AVERAGEIFS('2. Soil Data'!$G$5:$G$604,'2. Soil Data'!$B$5:$B$604,$B50),""))</f>
        <v>5</v>
      </c>
      <c r="L50" s="9" t="n">
        <f aca="false">IF(NOT(ISNUMBER($K50)),"",PI()*($K50/2)^2)</f>
        <v>19.6349540849362</v>
      </c>
      <c r="M50" s="9" t="n">
        <f aca="false">IF(OR(NOT(ISNUMBER($J50)),NOT(ISNUMBER($L50)),$L50=0),"",$J50/$L50*10000)</f>
        <v>60.7149879160959</v>
      </c>
      <c r="N50" s="9" t="n">
        <f aca="false">IF(NOT(ISNUMBER($M50)),"",$M50*CARBON_FRACTION_ROOT/1000)</f>
        <v>0.030357493958048</v>
      </c>
      <c r="O50" s="11" t="str">
        <f aca="false">IF(AND($A50="",$B50="",$G50=""),"",IF(AND($B50&lt;&gt;"",COUNTIFS('2. Soil Data'!$B$5:$B$604,$B50)=0),"Core ID not found in Soil Data, so the corer diameter cannot be looked up. ","")&amp;IF(ASH_CORRECTED&lt;&gt;"Yes","Root mass is NOT ash-corrected, so it includes adhering mineral soil and is too high. Set ASH_CORRECTED once you have done it. ","")&amp;IF(AND(ASH_CORRECTED="Yes",NOT(ISNUMBER($H50))),"Ash correction is switched on but no ash fraction is given for this row. ","")&amp;IF($I50="","Sieve mesh not recorded — a fine-root figure cannot be interpreted without it. ","")&amp;IF(AND(ISNUMBER($H50),$H50&gt;0.5),"Ash fraction above 0.5 — over half this sample was mineral soil. Re-wash. ","")&amp;IF($F50="Not separated","Live and dead not separated. Fine for a stock, but "&amp;"note it in reporting. ",""))</f>
        <v/>
      </c>
      <c r="P50" s="6"/>
      <c r="Q50" s="9" t="n">
        <f aca="false">IF($B50="",0,IF(COUNTIFS($B$5:$B50,$B50)=1,1,0))</f>
        <v>0</v>
      </c>
    </row>
    <row r="51" customFormat="false" ht="15" hidden="false" customHeight="false" outlineLevel="0" collapsed="false">
      <c r="A51" s="6" t="s">
        <v>83</v>
      </c>
      <c r="B51" s="6" t="s">
        <v>118</v>
      </c>
      <c r="C51" s="6" t="n">
        <v>0</v>
      </c>
      <c r="D51" s="6" t="n">
        <v>10</v>
      </c>
      <c r="E51" s="6" t="s">
        <v>133</v>
      </c>
      <c r="F51" s="6" t="s">
        <v>134</v>
      </c>
      <c r="G51" s="7" t="n">
        <v>0.8886</v>
      </c>
      <c r="H51" s="7" t="n">
        <v>0.083</v>
      </c>
      <c r="I51" s="6" t="n">
        <v>0.5</v>
      </c>
      <c r="J51" s="9" t="n">
        <f aca="false">IF(NOT(ISNUMBER($G51)),"",IF(AND(ASH_CORRECTED="Yes",ISNUMBER($H51)),$G51*(1-$H51),$G51))</f>
        <v>0.8148462</v>
      </c>
      <c r="K51" s="9" t="n">
        <f aca="false">IF($B51="","",IFERROR(AVERAGEIFS('2. Soil Data'!$G$5:$G$604,'2. Soil Data'!$B$5:$B$604,$B51),""))</f>
        <v>5</v>
      </c>
      <c r="L51" s="9" t="n">
        <f aca="false">IF(NOT(ISNUMBER($K51)),"",PI()*($K51/2)^2)</f>
        <v>19.6349540849362</v>
      </c>
      <c r="M51" s="9" t="n">
        <f aca="false">IF(OR(NOT(ISNUMBER($J51)),NOT(ISNUMBER($L51)),$L51=0),"",$J51/$L51*10000)</f>
        <v>414.997761886871</v>
      </c>
      <c r="N51" s="9" t="n">
        <f aca="false">IF(NOT(ISNUMBER($M51)),"",$M51*CARBON_FRACTION_ROOT/1000)</f>
        <v>0.207498880943435</v>
      </c>
      <c r="O51" s="11" t="str">
        <f aca="false">IF(AND($A51="",$B51="",$G51=""),"",IF(AND($B51&lt;&gt;"",COUNTIFS('2. Soil Data'!$B$5:$B$604,$B51)=0),"Core ID not found in Soil Data, so the corer diameter cannot be looked up. ","")&amp;IF(ASH_CORRECTED&lt;&gt;"Yes","Root mass is NOT ash-corrected, so it includes adhering mineral soil and is too high. Set ASH_CORRECTED once you have done it. ","")&amp;IF(AND(ASH_CORRECTED="Yes",NOT(ISNUMBER($H51))),"Ash correction is switched on but no ash fraction is given for this row. ","")&amp;IF($I51="","Sieve mesh not recorded — a fine-root figure cannot be interpreted without it. ","")&amp;IF(AND(ISNUMBER($H51),$H51&gt;0.5),"Ash fraction above 0.5 — over half this sample was mineral soil. Re-wash. ","")&amp;IF($F51="Not separated","Live and dead not separated. Fine for a stock, but "&amp;"note it in reporting. ",""))</f>
        <v/>
      </c>
      <c r="P51" s="6"/>
      <c r="Q51" s="9" t="n">
        <f aca="false">IF($B51="",0,IF(COUNTIFS($B$5:$B51,$B51)=1,1,0))</f>
        <v>1</v>
      </c>
    </row>
    <row r="52" customFormat="false" ht="15" hidden="false" customHeight="false" outlineLevel="0" collapsed="false">
      <c r="A52" s="6" t="s">
        <v>83</v>
      </c>
      <c r="B52" s="6" t="s">
        <v>118</v>
      </c>
      <c r="C52" s="6" t="n">
        <v>0</v>
      </c>
      <c r="D52" s="6" t="n">
        <v>10</v>
      </c>
      <c r="E52" s="6" t="s">
        <v>135</v>
      </c>
      <c r="F52" s="6" t="s">
        <v>134</v>
      </c>
      <c r="G52" s="7" t="n">
        <v>0.1789</v>
      </c>
      <c r="H52" s="7" t="n">
        <v>0.118</v>
      </c>
      <c r="I52" s="6" t="n">
        <v>0.5</v>
      </c>
      <c r="J52" s="9" t="n">
        <f aca="false">IF(NOT(ISNUMBER($G52)),"",IF(AND(ASH_CORRECTED="Yes",ISNUMBER($H52)),$G52*(1-$H52),$G52))</f>
        <v>0.1577898</v>
      </c>
      <c r="K52" s="9" t="n">
        <f aca="false">IF($B52="","",IFERROR(AVERAGEIFS('2. Soil Data'!$G$5:$G$604,'2. Soil Data'!$B$5:$B$604,$B52),""))</f>
        <v>5</v>
      </c>
      <c r="L52" s="9" t="n">
        <f aca="false">IF(NOT(ISNUMBER($K52)),"",PI()*($K52/2)^2)</f>
        <v>19.6349540849362</v>
      </c>
      <c r="M52" s="9" t="n">
        <f aca="false">IF(OR(NOT(ISNUMBER($J52)),NOT(ISNUMBER($L52)),$L52=0),"",$J52/$L52*10000)</f>
        <v>80.3616852463409</v>
      </c>
      <c r="N52" s="9" t="n">
        <f aca="false">IF(NOT(ISNUMBER($M52)),"",$M52*CARBON_FRACTION_ROOT/1000)</f>
        <v>0.0401808426231705</v>
      </c>
      <c r="O52" s="11" t="str">
        <f aca="false">IF(AND($A52="",$B52="",$G52=""),"",IF(AND($B52&lt;&gt;"",COUNTIFS('2. Soil Data'!$B$5:$B$604,$B52)=0),"Core ID not found in Soil Data, so the corer diameter cannot be looked up. ","")&amp;IF(ASH_CORRECTED&lt;&gt;"Yes","Root mass is NOT ash-corrected, so it includes adhering mineral soil and is too high. Set ASH_CORRECTED once you have done it. ","")&amp;IF(AND(ASH_CORRECTED="Yes",NOT(ISNUMBER($H52))),"Ash correction is switched on but no ash fraction is given for this row. ","")&amp;IF($I52="","Sieve mesh not recorded — a fine-root figure cannot be interpreted without it. ","")&amp;IF(AND(ISNUMBER($H52),$H52&gt;0.5),"Ash fraction above 0.5 — over half this sample was mineral soil. Re-wash. ","")&amp;IF($F52="Not separated","Live and dead not separated. Fine for a stock, but "&amp;"note it in reporting. ",""))</f>
        <v/>
      </c>
      <c r="P52" s="6"/>
      <c r="Q52" s="9" t="n">
        <f aca="false">IF($B52="",0,IF(COUNTIFS($B$5:$B52,$B52)=1,1,0))</f>
        <v>0</v>
      </c>
    </row>
    <row r="53" customFormat="false" ht="15" hidden="false" customHeight="false" outlineLevel="0" collapsed="false">
      <c r="A53" s="6" t="s">
        <v>83</v>
      </c>
      <c r="B53" s="6" t="s">
        <v>118</v>
      </c>
      <c r="C53" s="6" t="n">
        <v>10</v>
      </c>
      <c r="D53" s="6" t="n">
        <v>20</v>
      </c>
      <c r="E53" s="6" t="s">
        <v>133</v>
      </c>
      <c r="F53" s="6" t="s">
        <v>134</v>
      </c>
      <c r="G53" s="7" t="n">
        <v>0.3785</v>
      </c>
      <c r="H53" s="7" t="n">
        <v>0.078</v>
      </c>
      <c r="I53" s="6" t="n">
        <v>0.5</v>
      </c>
      <c r="J53" s="9" t="n">
        <f aca="false">IF(NOT(ISNUMBER($G53)),"",IF(AND(ASH_CORRECTED="Yes",ISNUMBER($H53)),$G53*(1-$H53),$G53))</f>
        <v>0.348977</v>
      </c>
      <c r="K53" s="9" t="n">
        <f aca="false">IF($B53="","",IFERROR(AVERAGEIFS('2. Soil Data'!$G$5:$G$604,'2. Soil Data'!$B$5:$B$604,$B53),""))</f>
        <v>5</v>
      </c>
      <c r="L53" s="9" t="n">
        <f aca="false">IF(NOT(ISNUMBER($K53)),"",PI()*($K53/2)^2)</f>
        <v>19.6349540849362</v>
      </c>
      <c r="M53" s="9" t="n">
        <f aca="false">IF(OR(NOT(ISNUMBER($J53)),NOT(ISNUMBER($L53)),$L53=0),"",$J53/$L53*10000)</f>
        <v>177.732526641217</v>
      </c>
      <c r="N53" s="9" t="n">
        <f aca="false">IF(NOT(ISNUMBER($M53)),"",$M53*CARBON_FRACTION_ROOT/1000)</f>
        <v>0.0888662633206086</v>
      </c>
      <c r="O53" s="11" t="str">
        <f aca="false">IF(AND($A53="",$B53="",$G53=""),"",IF(AND($B53&lt;&gt;"",COUNTIFS('2. Soil Data'!$B$5:$B$604,$B53)=0),"Core ID not found in Soil Data, so the corer diameter cannot be looked up. ","")&amp;IF(ASH_CORRECTED&lt;&gt;"Yes","Root mass is NOT ash-corrected, so it includes adhering mineral soil and is too high. Set ASH_CORRECTED once you have done it. ","")&amp;IF(AND(ASH_CORRECTED="Yes",NOT(ISNUMBER($H53))),"Ash correction is switched on but no ash fraction is given for this row. ","")&amp;IF($I53="","Sieve mesh not recorded — a fine-root figure cannot be interpreted without it. ","")&amp;IF(AND(ISNUMBER($H53),$H53&gt;0.5),"Ash fraction above 0.5 — over half this sample was mineral soil. Re-wash. ","")&amp;IF($F53="Not separated","Live and dead not separated. Fine for a stock, but "&amp;"note it in reporting. ",""))</f>
        <v/>
      </c>
      <c r="P53" s="6"/>
      <c r="Q53" s="9" t="n">
        <f aca="false">IF($B53="",0,IF(COUNTIFS($B$5:$B53,$B53)=1,1,0))</f>
        <v>0</v>
      </c>
    </row>
    <row r="54" customFormat="false" ht="15" hidden="false" customHeight="false" outlineLevel="0" collapsed="false">
      <c r="A54" s="6" t="s">
        <v>83</v>
      </c>
      <c r="B54" s="6" t="s">
        <v>118</v>
      </c>
      <c r="C54" s="6" t="n">
        <v>10</v>
      </c>
      <c r="D54" s="6" t="n">
        <v>20</v>
      </c>
      <c r="E54" s="6" t="s">
        <v>135</v>
      </c>
      <c r="F54" s="6" t="s">
        <v>134</v>
      </c>
      <c r="G54" s="7" t="n">
        <v>0.0979</v>
      </c>
      <c r="H54" s="7" t="n">
        <v>0.128</v>
      </c>
      <c r="I54" s="6" t="n">
        <v>0.5</v>
      </c>
      <c r="J54" s="9" t="n">
        <f aca="false">IF(NOT(ISNUMBER($G54)),"",IF(AND(ASH_CORRECTED="Yes",ISNUMBER($H54)),$G54*(1-$H54),$G54))</f>
        <v>0.0853688</v>
      </c>
      <c r="K54" s="9" t="n">
        <f aca="false">IF($B54="","",IFERROR(AVERAGEIFS('2. Soil Data'!$G$5:$G$604,'2. Soil Data'!$B$5:$B$604,$B54),""))</f>
        <v>5</v>
      </c>
      <c r="L54" s="9" t="n">
        <f aca="false">IF(NOT(ISNUMBER($K54)),"",PI()*($K54/2)^2)</f>
        <v>19.6349540849362</v>
      </c>
      <c r="M54" s="9" t="n">
        <f aca="false">IF(OR(NOT(ISNUMBER($J54)),NOT(ISNUMBER($L54)),$L54=0),"",$J54/$L54*10000)</f>
        <v>43.4779728186349</v>
      </c>
      <c r="N54" s="9" t="n">
        <f aca="false">IF(NOT(ISNUMBER($M54)),"",$M54*CARBON_FRACTION_ROOT/1000)</f>
        <v>0.0217389864093174</v>
      </c>
      <c r="O54" s="11" t="str">
        <f aca="false">IF(AND($A54="",$B54="",$G54=""),"",IF(AND($B54&lt;&gt;"",COUNTIFS('2. Soil Data'!$B$5:$B$604,$B54)=0),"Core ID not found in Soil Data, so the corer diameter cannot be looked up. ","")&amp;IF(ASH_CORRECTED&lt;&gt;"Yes","Root mass is NOT ash-corrected, so it includes adhering mineral soil and is too high. Set ASH_CORRECTED once you have done it. ","")&amp;IF(AND(ASH_CORRECTED="Yes",NOT(ISNUMBER($H54))),"Ash correction is switched on but no ash fraction is given for this row. ","")&amp;IF($I54="","Sieve mesh not recorded — a fine-root figure cannot be interpreted without it. ","")&amp;IF(AND(ISNUMBER($H54),$H54&gt;0.5),"Ash fraction above 0.5 — over half this sample was mineral soil. Re-wash. ","")&amp;IF($F54="Not separated","Live and dead not separated. Fine for a stock, but "&amp;"note it in reporting. ",""))</f>
        <v/>
      </c>
      <c r="P54" s="6"/>
      <c r="Q54" s="9" t="n">
        <f aca="false">IF($B54="",0,IF(COUNTIFS($B$5:$B54,$B54)=1,1,0))</f>
        <v>0</v>
      </c>
    </row>
    <row r="55" customFormat="false" ht="15" hidden="false" customHeight="false" outlineLevel="0" collapsed="false">
      <c r="A55" s="6" t="s">
        <v>83</v>
      </c>
      <c r="B55" s="6" t="s">
        <v>118</v>
      </c>
      <c r="C55" s="6" t="n">
        <v>20</v>
      </c>
      <c r="D55" s="6" t="n">
        <v>30</v>
      </c>
      <c r="E55" s="6" t="s">
        <v>133</v>
      </c>
      <c r="F55" s="6" t="s">
        <v>134</v>
      </c>
      <c r="G55" s="7" t="n">
        <v>0.2375</v>
      </c>
      <c r="H55" s="7" t="n">
        <v>0.082</v>
      </c>
      <c r="I55" s="6" t="n">
        <v>0.5</v>
      </c>
      <c r="J55" s="9" t="n">
        <f aca="false">IF(NOT(ISNUMBER($G55)),"",IF(AND(ASH_CORRECTED="Yes",ISNUMBER($H55)),$G55*(1-$H55),$G55))</f>
        <v>0.218025</v>
      </c>
      <c r="K55" s="9" t="n">
        <f aca="false">IF($B55="","",IFERROR(AVERAGEIFS('2. Soil Data'!$G$5:$G$604,'2. Soil Data'!$B$5:$B$604,$B55),""))</f>
        <v>5</v>
      </c>
      <c r="L55" s="9" t="n">
        <f aca="false">IF(NOT(ISNUMBER($K55)),"",PI()*($K55/2)^2)</f>
        <v>19.6349540849362</v>
      </c>
      <c r="M55" s="9" t="n">
        <f aca="false">IF(OR(NOT(ISNUMBER($J55)),NOT(ISNUMBER($L55)),$L55=0),"",$J55/$L55*10000)</f>
        <v>111.039220696354</v>
      </c>
      <c r="N55" s="9" t="n">
        <f aca="false">IF(NOT(ISNUMBER($M55)),"",$M55*CARBON_FRACTION_ROOT/1000)</f>
        <v>0.0555196103481768</v>
      </c>
      <c r="O55" s="11" t="str">
        <f aca="false">IF(AND($A55="",$B55="",$G55=""),"",IF(AND($B55&lt;&gt;"",COUNTIFS('2. Soil Data'!$B$5:$B$604,$B55)=0),"Core ID not found in Soil Data, so the corer diameter cannot be looked up. ","")&amp;IF(ASH_CORRECTED&lt;&gt;"Yes","Root mass is NOT ash-corrected, so it includes adhering mineral soil and is too high. Set ASH_CORRECTED once you have done it. ","")&amp;IF(AND(ASH_CORRECTED="Yes",NOT(ISNUMBER($H55))),"Ash correction is switched on but no ash fraction is given for this row. ","")&amp;IF($I55="","Sieve mesh not recorded — a fine-root figure cannot be interpreted without it. ","")&amp;IF(AND(ISNUMBER($H55),$H55&gt;0.5),"Ash fraction above 0.5 — over half this sample was mineral soil. Re-wash. ","")&amp;IF($F55="Not separated","Live and dead not separated. Fine for a stock, but "&amp;"note it in reporting. ",""))</f>
        <v/>
      </c>
      <c r="P55" s="6"/>
      <c r="Q55" s="9" t="n">
        <f aca="false">IF($B55="",0,IF(COUNTIFS($B$5:$B55,$B55)=1,1,0))</f>
        <v>0</v>
      </c>
    </row>
    <row r="56" customFormat="false" ht="15" hidden="false" customHeight="false" outlineLevel="0" collapsed="false">
      <c r="A56" s="6" t="s">
        <v>83</v>
      </c>
      <c r="B56" s="6" t="s">
        <v>118</v>
      </c>
      <c r="C56" s="6" t="n">
        <v>20</v>
      </c>
      <c r="D56" s="6" t="n">
        <v>30</v>
      </c>
      <c r="E56" s="6" t="s">
        <v>135</v>
      </c>
      <c r="F56" s="6" t="s">
        <v>134</v>
      </c>
      <c r="G56" s="7" t="n">
        <v>0.0573</v>
      </c>
      <c r="H56" s="7" t="n">
        <v>0.076</v>
      </c>
      <c r="I56" s="6" t="n">
        <v>0.5</v>
      </c>
      <c r="J56" s="9" t="n">
        <f aca="false">IF(NOT(ISNUMBER($G56)),"",IF(AND(ASH_CORRECTED="Yes",ISNUMBER($H56)),$G56*(1-$H56),$G56))</f>
        <v>0.0529452</v>
      </c>
      <c r="K56" s="9" t="n">
        <f aca="false">IF($B56="","",IFERROR(AVERAGEIFS('2. Soil Data'!$G$5:$G$604,'2. Soil Data'!$B$5:$B$604,$B56),""))</f>
        <v>5</v>
      </c>
      <c r="L56" s="9" t="n">
        <f aca="false">IF(NOT(ISNUMBER($K56)),"",PI()*($K56/2)^2)</f>
        <v>19.6349540849362</v>
      </c>
      <c r="M56" s="9" t="n">
        <f aca="false">IF(OR(NOT(ISNUMBER($J56)),NOT(ISNUMBER($L56)),$L56=0),"",$J56/$L56*10000)</f>
        <v>26.9647689375649</v>
      </c>
      <c r="N56" s="9" t="n">
        <f aca="false">IF(NOT(ISNUMBER($M56)),"",$M56*CARBON_FRACTION_ROOT/1000)</f>
        <v>0.0134823844687824</v>
      </c>
      <c r="O56" s="11" t="str">
        <f aca="false">IF(AND($A56="",$B56="",$G56=""),"",IF(AND($B56&lt;&gt;"",COUNTIFS('2. Soil Data'!$B$5:$B$604,$B56)=0),"Core ID not found in Soil Data, so the corer diameter cannot be looked up. ","")&amp;IF(ASH_CORRECTED&lt;&gt;"Yes","Root mass is NOT ash-corrected, so it includes adhering mineral soil and is too high. Set ASH_CORRECTED once you have done it. ","")&amp;IF(AND(ASH_CORRECTED="Yes",NOT(ISNUMBER($H56))),"Ash correction is switched on but no ash fraction is given for this row. ","")&amp;IF($I56="","Sieve mesh not recorded — a fine-root figure cannot be interpreted without it. ","")&amp;IF(AND(ISNUMBER($H56),$H56&gt;0.5),"Ash fraction above 0.5 — over half this sample was mineral soil. Re-wash. ","")&amp;IF($F56="Not separated","Live and dead not separated. Fine for a stock, but "&amp;"note it in reporting. ",""))</f>
        <v/>
      </c>
      <c r="P56" s="6"/>
      <c r="Q56" s="9" t="n">
        <f aca="false">IF($B56="",0,IF(COUNTIFS($B$5:$B56,$B56)=1,1,0))</f>
        <v>0</v>
      </c>
    </row>
    <row r="57" customFormat="false" ht="15" hidden="false" customHeight="false" outlineLevel="0" collapsed="false">
      <c r="A57" s="6" t="s">
        <v>83</v>
      </c>
      <c r="B57" s="6" t="s">
        <v>118</v>
      </c>
      <c r="C57" s="6" t="n">
        <v>30</v>
      </c>
      <c r="D57" s="6" t="n">
        <v>60</v>
      </c>
      <c r="E57" s="6" t="s">
        <v>133</v>
      </c>
      <c r="F57" s="6" t="s">
        <v>134</v>
      </c>
      <c r="G57" s="7" t="n">
        <v>0.5507</v>
      </c>
      <c r="H57" s="7" t="n">
        <v>0.082</v>
      </c>
      <c r="I57" s="6" t="n">
        <v>0.5</v>
      </c>
      <c r="J57" s="9" t="n">
        <f aca="false">IF(NOT(ISNUMBER($G57)),"",IF(AND(ASH_CORRECTED="Yes",ISNUMBER($H57)),$G57*(1-$H57),$G57))</f>
        <v>0.5055426</v>
      </c>
      <c r="K57" s="9" t="n">
        <f aca="false">IF($B57="","",IFERROR(AVERAGEIFS('2. Soil Data'!$G$5:$G$604,'2. Soil Data'!$B$5:$B$604,$B57),""))</f>
        <v>5</v>
      </c>
      <c r="L57" s="9" t="n">
        <f aca="false">IF(NOT(ISNUMBER($K57)),"",PI()*($K57/2)^2)</f>
        <v>19.6349540849362</v>
      </c>
      <c r="M57" s="9" t="n">
        <f aca="false">IF(OR(NOT(ISNUMBER($J57)),NOT(ISNUMBER($L57)),$L57=0),"",$J57/$L57*10000)</f>
        <v>257.470731947292</v>
      </c>
      <c r="N57" s="9" t="n">
        <f aca="false">IF(NOT(ISNUMBER($M57)),"",$M57*CARBON_FRACTION_ROOT/1000)</f>
        <v>0.128735365973646</v>
      </c>
      <c r="O57" s="11" t="str">
        <f aca="false">IF(AND($A57="",$B57="",$G57=""),"",IF(AND($B57&lt;&gt;"",COUNTIFS('2. Soil Data'!$B$5:$B$604,$B57)=0),"Core ID not found in Soil Data, so the corer diameter cannot be looked up. ","")&amp;IF(ASH_CORRECTED&lt;&gt;"Yes","Root mass is NOT ash-corrected, so it includes adhering mineral soil and is too high. Set ASH_CORRECTED once you have done it. ","")&amp;IF(AND(ASH_CORRECTED="Yes",NOT(ISNUMBER($H57))),"Ash correction is switched on but no ash fraction is given for this row. ","")&amp;IF($I57="","Sieve mesh not recorded — a fine-root figure cannot be interpreted without it. ","")&amp;IF(AND(ISNUMBER($H57),$H57&gt;0.5),"Ash fraction above 0.5 — over half this sample was mineral soil. Re-wash. ","")&amp;IF($F57="Not separated","Live and dead not separated. Fine for a stock, but "&amp;"note it in reporting. ",""))</f>
        <v/>
      </c>
      <c r="P57" s="6"/>
      <c r="Q57" s="9" t="n">
        <f aca="false">IF($B57="",0,IF(COUNTIFS($B$5:$B57,$B57)=1,1,0))</f>
        <v>0</v>
      </c>
    </row>
    <row r="58" customFormat="false" ht="15" hidden="false" customHeight="false" outlineLevel="0" collapsed="false">
      <c r="A58" s="6" t="s">
        <v>83</v>
      </c>
      <c r="B58" s="6" t="s">
        <v>118</v>
      </c>
      <c r="C58" s="6" t="n">
        <v>30</v>
      </c>
      <c r="D58" s="6" t="n">
        <v>60</v>
      </c>
      <c r="E58" s="6" t="s">
        <v>135</v>
      </c>
      <c r="F58" s="6" t="s">
        <v>134</v>
      </c>
      <c r="G58" s="7" t="n">
        <v>0.1353</v>
      </c>
      <c r="H58" s="7" t="n">
        <v>0.065</v>
      </c>
      <c r="I58" s="6" t="n">
        <v>0.5</v>
      </c>
      <c r="J58" s="9" t="n">
        <f aca="false">IF(NOT(ISNUMBER($G58)),"",IF(AND(ASH_CORRECTED="Yes",ISNUMBER($H58)),$G58*(1-$H58),$G58))</f>
        <v>0.1265055</v>
      </c>
      <c r="K58" s="9" t="n">
        <f aca="false">IF($B58="","",IFERROR(AVERAGEIFS('2. Soil Data'!$G$5:$G$604,'2. Soil Data'!$B$5:$B$604,$B58),""))</f>
        <v>5</v>
      </c>
      <c r="L58" s="9" t="n">
        <f aca="false">IF(NOT(ISNUMBER($K58)),"",PI()*($K58/2)^2)</f>
        <v>19.6349540849362</v>
      </c>
      <c r="M58" s="9" t="n">
        <f aca="false">IF(OR(NOT(ISNUMBER($J58)),NOT(ISNUMBER($L58)),$L58=0),"",$J58/$L58*10000)</f>
        <v>64.4287220905977</v>
      </c>
      <c r="N58" s="9" t="n">
        <f aca="false">IF(NOT(ISNUMBER($M58)),"",$M58*CARBON_FRACTION_ROOT/1000)</f>
        <v>0.0322143610452988</v>
      </c>
      <c r="O58" s="11" t="str">
        <f aca="false">IF(AND($A58="",$B58="",$G58=""),"",IF(AND($B58&lt;&gt;"",COUNTIFS('2. Soil Data'!$B$5:$B$604,$B58)=0),"Core ID not found in Soil Data, so the corer diameter cannot be looked up. ","")&amp;IF(ASH_CORRECTED&lt;&gt;"Yes","Root mass is NOT ash-corrected, so it includes adhering mineral soil and is too high. Set ASH_CORRECTED once you have done it. ","")&amp;IF(AND(ASH_CORRECTED="Yes",NOT(ISNUMBER($H58))),"Ash correction is switched on but no ash fraction is given for this row. ","")&amp;IF($I58="","Sieve mesh not recorded — a fine-root figure cannot be interpreted without it. ","")&amp;IF(AND(ISNUMBER($H58),$H58&gt;0.5),"Ash fraction above 0.5 — over half this sample was mineral soil. Re-wash. ","")&amp;IF($F58="Not separated","Live and dead not separated. Fine for a stock, but "&amp;"note it in reporting. ",""))</f>
        <v/>
      </c>
      <c r="P58" s="6"/>
      <c r="Q58" s="9" t="n">
        <f aca="false">IF($B58="",0,IF(COUNTIFS($B$5:$B58,$B58)=1,1,0))</f>
        <v>0</v>
      </c>
    </row>
    <row r="59" customFormat="false" ht="15" hidden="false" customHeight="false" outlineLevel="0" collapsed="false">
      <c r="A59" s="6" t="s">
        <v>87</v>
      </c>
      <c r="B59" s="6" t="s">
        <v>119</v>
      </c>
      <c r="C59" s="6" t="n">
        <v>0</v>
      </c>
      <c r="D59" s="6" t="n">
        <v>10</v>
      </c>
      <c r="E59" s="6" t="s">
        <v>133</v>
      </c>
      <c r="F59" s="6" t="s">
        <v>134</v>
      </c>
      <c r="G59" s="7" t="n">
        <v>1.5274</v>
      </c>
      <c r="H59" s="7" t="n">
        <v>0.09</v>
      </c>
      <c r="I59" s="6" t="n">
        <v>0.5</v>
      </c>
      <c r="J59" s="9" t="n">
        <f aca="false">IF(NOT(ISNUMBER($G59)),"",IF(AND(ASH_CORRECTED="Yes",ISNUMBER($H59)),$G59*(1-$H59),$G59))</f>
        <v>1.389934</v>
      </c>
      <c r="K59" s="9" t="n">
        <f aca="false">IF($B59="","",IFERROR(AVERAGEIFS('2. Soil Data'!$G$5:$G$604,'2. Soil Data'!$B$5:$B$604,$B59),""))</f>
        <v>5</v>
      </c>
      <c r="L59" s="9" t="n">
        <f aca="false">IF(NOT(ISNUMBER($K59)),"",PI()*($K59/2)^2)</f>
        <v>19.6349540849362</v>
      </c>
      <c r="M59" s="9" t="n">
        <f aca="false">IF(OR(NOT(ISNUMBER($J59)),NOT(ISNUMBER($L59)),$L59=0),"",$J59/$L59*10000)</f>
        <v>707.88757334877</v>
      </c>
      <c r="N59" s="9" t="n">
        <f aca="false">IF(NOT(ISNUMBER($M59)),"",$M59*CARBON_FRACTION_ROOT/1000)</f>
        <v>0.353943786674385</v>
      </c>
      <c r="O59" s="11" t="str">
        <f aca="false">IF(AND($A59="",$B59="",$G59=""),"",IF(AND($B59&lt;&gt;"",COUNTIFS('2. Soil Data'!$B$5:$B$604,$B59)=0),"Core ID not found in Soil Data, so the corer diameter cannot be looked up. ","")&amp;IF(ASH_CORRECTED&lt;&gt;"Yes","Root mass is NOT ash-corrected, so it includes adhering mineral soil and is too high. Set ASH_CORRECTED once you have done it. ","")&amp;IF(AND(ASH_CORRECTED="Yes",NOT(ISNUMBER($H59))),"Ash correction is switched on but no ash fraction is given for this row. ","")&amp;IF($I59="","Sieve mesh not recorded — a fine-root figure cannot be interpreted without it. ","")&amp;IF(AND(ISNUMBER($H59),$H59&gt;0.5),"Ash fraction above 0.5 — over half this sample was mineral soil. Re-wash. ","")&amp;IF($F59="Not separated","Live and dead not separated. Fine for a stock, but "&amp;"note it in reporting. ",""))</f>
        <v/>
      </c>
      <c r="P59" s="6"/>
      <c r="Q59" s="9" t="n">
        <f aca="false">IF($B59="",0,IF(COUNTIFS($B$5:$B59,$B59)=1,1,0))</f>
        <v>1</v>
      </c>
    </row>
    <row r="60" customFormat="false" ht="15" hidden="false" customHeight="false" outlineLevel="0" collapsed="false">
      <c r="A60" s="6" t="s">
        <v>87</v>
      </c>
      <c r="B60" s="6" t="s">
        <v>119</v>
      </c>
      <c r="C60" s="6" t="n">
        <v>0</v>
      </c>
      <c r="D60" s="6" t="n">
        <v>10</v>
      </c>
      <c r="E60" s="6" t="s">
        <v>135</v>
      </c>
      <c r="F60" s="6" t="s">
        <v>134</v>
      </c>
      <c r="G60" s="7" t="n">
        <v>0.3426</v>
      </c>
      <c r="H60" s="7" t="n">
        <v>0.071</v>
      </c>
      <c r="I60" s="6" t="n">
        <v>0.5</v>
      </c>
      <c r="J60" s="9" t="n">
        <f aca="false">IF(NOT(ISNUMBER($G60)),"",IF(AND(ASH_CORRECTED="Yes",ISNUMBER($H60)),$G60*(1-$H60),$G60))</f>
        <v>0.3182754</v>
      </c>
      <c r="K60" s="9" t="n">
        <f aca="false">IF($B60="","",IFERROR(AVERAGEIFS('2. Soil Data'!$G$5:$G$604,'2. Soil Data'!$B$5:$B$604,$B60),""))</f>
        <v>5</v>
      </c>
      <c r="L60" s="9" t="n">
        <f aca="false">IF(NOT(ISNUMBER($K60)),"",PI()*($K60/2)^2)</f>
        <v>19.6349540849362</v>
      </c>
      <c r="M60" s="9" t="n">
        <f aca="false">IF(OR(NOT(ISNUMBER($J60)),NOT(ISNUMBER($L60)),$L60=0),"",$J60/$L60*10000)</f>
        <v>162.096330158561</v>
      </c>
      <c r="N60" s="9" t="n">
        <f aca="false">IF(NOT(ISNUMBER($M60)),"",$M60*CARBON_FRACTION_ROOT/1000)</f>
        <v>0.0810481650792804</v>
      </c>
      <c r="O60" s="11" t="str">
        <f aca="false">IF(AND($A60="",$B60="",$G60=""),"",IF(AND($B60&lt;&gt;"",COUNTIFS('2. Soil Data'!$B$5:$B$604,$B60)=0),"Core ID not found in Soil Data, so the corer diameter cannot be looked up. ","")&amp;IF(ASH_CORRECTED&lt;&gt;"Yes","Root mass is NOT ash-corrected, so it includes adhering mineral soil and is too high. Set ASH_CORRECTED once you have done it. ","")&amp;IF(AND(ASH_CORRECTED="Yes",NOT(ISNUMBER($H60))),"Ash correction is switched on but no ash fraction is given for this row. ","")&amp;IF($I60="","Sieve mesh not recorded — a fine-root figure cannot be interpreted without it. ","")&amp;IF(AND(ISNUMBER($H60),$H60&gt;0.5),"Ash fraction above 0.5 — over half this sample was mineral soil. Re-wash. ","")&amp;IF($F60="Not separated","Live and dead not separated. Fine for a stock, but "&amp;"note it in reporting. ",""))</f>
        <v/>
      </c>
      <c r="P60" s="6"/>
      <c r="Q60" s="9" t="n">
        <f aca="false">IF($B60="",0,IF(COUNTIFS($B$5:$B60,$B60)=1,1,0))</f>
        <v>0</v>
      </c>
    </row>
    <row r="61" customFormat="false" ht="15" hidden="false" customHeight="false" outlineLevel="0" collapsed="false">
      <c r="A61" s="6" t="s">
        <v>87</v>
      </c>
      <c r="B61" s="6" t="s">
        <v>119</v>
      </c>
      <c r="C61" s="6" t="n">
        <v>10</v>
      </c>
      <c r="D61" s="6" t="n">
        <v>20</v>
      </c>
      <c r="E61" s="6" t="s">
        <v>133</v>
      </c>
      <c r="F61" s="6" t="s">
        <v>134</v>
      </c>
      <c r="G61" s="7" t="n">
        <v>0.7946</v>
      </c>
      <c r="H61" s="7" t="n">
        <v>0.131</v>
      </c>
      <c r="I61" s="6" t="n">
        <v>0.5</v>
      </c>
      <c r="J61" s="9" t="n">
        <f aca="false">IF(NOT(ISNUMBER($G61)),"",IF(AND(ASH_CORRECTED="Yes",ISNUMBER($H61)),$G61*(1-$H61),$G61))</f>
        <v>0.6905074</v>
      </c>
      <c r="K61" s="9" t="n">
        <f aca="false">IF($B61="","",IFERROR(AVERAGEIFS('2. Soil Data'!$G$5:$G$604,'2. Soil Data'!$B$5:$B$604,$B61),""))</f>
        <v>5</v>
      </c>
      <c r="L61" s="9" t="n">
        <f aca="false">IF(NOT(ISNUMBER($K61)),"",PI()*($K61/2)^2)</f>
        <v>19.6349540849362</v>
      </c>
      <c r="M61" s="9" t="n">
        <f aca="false">IF(OR(NOT(ISNUMBER($J61)),NOT(ISNUMBER($L61)),$L61=0),"",$J61/$L61*10000)</f>
        <v>351.672531044904</v>
      </c>
      <c r="N61" s="9" t="n">
        <f aca="false">IF(NOT(ISNUMBER($M61)),"",$M61*CARBON_FRACTION_ROOT/1000)</f>
        <v>0.175836265522452</v>
      </c>
      <c r="O61" s="11" t="str">
        <f aca="false">IF(AND($A61="",$B61="",$G61=""),"",IF(AND($B61&lt;&gt;"",COUNTIFS('2. Soil Data'!$B$5:$B$604,$B61)=0),"Core ID not found in Soil Data, so the corer diameter cannot be looked up. ","")&amp;IF(ASH_CORRECTED&lt;&gt;"Yes","Root mass is NOT ash-corrected, so it includes adhering mineral soil and is too high. Set ASH_CORRECTED once you have done it. ","")&amp;IF(AND(ASH_CORRECTED="Yes",NOT(ISNUMBER($H61))),"Ash correction is switched on but no ash fraction is given for this row. ","")&amp;IF($I61="","Sieve mesh not recorded — a fine-root figure cannot be interpreted without it. ","")&amp;IF(AND(ISNUMBER($H61),$H61&gt;0.5),"Ash fraction above 0.5 — over half this sample was mineral soil. Re-wash. ","")&amp;IF($F61="Not separated","Live and dead not separated. Fine for a stock, but "&amp;"note it in reporting. ",""))</f>
        <v/>
      </c>
      <c r="P61" s="6"/>
      <c r="Q61" s="9" t="n">
        <f aca="false">IF($B61="",0,IF(COUNTIFS($B$5:$B61,$B61)=1,1,0))</f>
        <v>0</v>
      </c>
    </row>
    <row r="62" customFormat="false" ht="15" hidden="false" customHeight="false" outlineLevel="0" collapsed="false">
      <c r="A62" s="6" t="s">
        <v>87</v>
      </c>
      <c r="B62" s="6" t="s">
        <v>119</v>
      </c>
      <c r="C62" s="6" t="n">
        <v>10</v>
      </c>
      <c r="D62" s="6" t="n">
        <v>20</v>
      </c>
      <c r="E62" s="6" t="s">
        <v>135</v>
      </c>
      <c r="F62" s="6" t="s">
        <v>134</v>
      </c>
      <c r="G62" s="7" t="n">
        <v>0.1939</v>
      </c>
      <c r="H62" s="7" t="n">
        <v>0.113</v>
      </c>
      <c r="I62" s="6" t="n">
        <v>0.5</v>
      </c>
      <c r="J62" s="9" t="n">
        <f aca="false">IF(NOT(ISNUMBER($G62)),"",IF(AND(ASH_CORRECTED="Yes",ISNUMBER($H62)),$G62*(1-$H62),$G62))</f>
        <v>0.1719893</v>
      </c>
      <c r="K62" s="9" t="n">
        <f aca="false">IF($B62="","",IFERROR(AVERAGEIFS('2. Soil Data'!$G$5:$G$604,'2. Soil Data'!$B$5:$B$604,$B62),""))</f>
        <v>5</v>
      </c>
      <c r="L62" s="9" t="n">
        <f aca="false">IF(NOT(ISNUMBER($K62)),"",PI()*($K62/2)^2)</f>
        <v>19.6349540849362</v>
      </c>
      <c r="M62" s="9" t="n">
        <f aca="false">IF(OR(NOT(ISNUMBER($J62)),NOT(ISNUMBER($L62)),$L62=0),"",$J62/$L62*10000)</f>
        <v>87.5934312125277</v>
      </c>
      <c r="N62" s="9" t="n">
        <f aca="false">IF(NOT(ISNUMBER($M62)),"",$M62*CARBON_FRACTION_ROOT/1000)</f>
        <v>0.0437967156062639</v>
      </c>
      <c r="O62" s="11" t="str">
        <f aca="false">IF(AND($A62="",$B62="",$G62=""),"",IF(AND($B62&lt;&gt;"",COUNTIFS('2. Soil Data'!$B$5:$B$604,$B62)=0),"Core ID not found in Soil Data, so the corer diameter cannot be looked up. ","")&amp;IF(ASH_CORRECTED&lt;&gt;"Yes","Root mass is NOT ash-corrected, so it includes adhering mineral soil and is too high. Set ASH_CORRECTED once you have done it. ","")&amp;IF(AND(ASH_CORRECTED="Yes",NOT(ISNUMBER($H62))),"Ash correction is switched on but no ash fraction is given for this row. ","")&amp;IF($I62="","Sieve mesh not recorded — a fine-root figure cannot be interpreted without it. ","")&amp;IF(AND(ISNUMBER($H62),$H62&gt;0.5),"Ash fraction above 0.5 — over half this sample was mineral soil. Re-wash. ","")&amp;IF($F62="Not separated","Live and dead not separated. Fine for a stock, but "&amp;"note it in reporting. ",""))</f>
        <v/>
      </c>
      <c r="P62" s="6"/>
      <c r="Q62" s="9" t="n">
        <f aca="false">IF($B62="",0,IF(COUNTIFS($B$5:$B62,$B62)=1,1,0))</f>
        <v>0</v>
      </c>
    </row>
    <row r="63" customFormat="false" ht="15" hidden="false" customHeight="false" outlineLevel="0" collapsed="false">
      <c r="A63" s="6" t="s">
        <v>87</v>
      </c>
      <c r="B63" s="6" t="s">
        <v>119</v>
      </c>
      <c r="C63" s="6" t="n">
        <v>20</v>
      </c>
      <c r="D63" s="6" t="n">
        <v>30</v>
      </c>
      <c r="E63" s="6" t="s">
        <v>133</v>
      </c>
      <c r="F63" s="6" t="s">
        <v>134</v>
      </c>
      <c r="G63" s="7" t="n">
        <v>0.4608</v>
      </c>
      <c r="H63" s="7" t="n">
        <v>0.107</v>
      </c>
      <c r="I63" s="6" t="n">
        <v>0.5</v>
      </c>
      <c r="J63" s="9" t="n">
        <f aca="false">IF(NOT(ISNUMBER($G63)),"",IF(AND(ASH_CORRECTED="Yes",ISNUMBER($H63)),$G63*(1-$H63),$G63))</f>
        <v>0.4114944</v>
      </c>
      <c r="K63" s="9" t="n">
        <f aca="false">IF($B63="","",IFERROR(AVERAGEIFS('2. Soil Data'!$G$5:$G$604,'2. Soil Data'!$B$5:$B$604,$B63),""))</f>
        <v>5</v>
      </c>
      <c r="L63" s="9" t="n">
        <f aca="false">IF(NOT(ISNUMBER($K63)),"",PI()*($K63/2)^2)</f>
        <v>19.6349540849362</v>
      </c>
      <c r="M63" s="9" t="n">
        <f aca="false">IF(OR(NOT(ISNUMBER($J63)),NOT(ISNUMBER($L63)),$L63=0),"",$J63/$L63*10000)</f>
        <v>209.572377006828</v>
      </c>
      <c r="N63" s="9" t="n">
        <f aca="false">IF(NOT(ISNUMBER($M63)),"",$M63*CARBON_FRACTION_ROOT/1000)</f>
        <v>0.104786188503414</v>
      </c>
      <c r="O63" s="11" t="str">
        <f aca="false">IF(AND($A63="",$B63="",$G63=""),"",IF(AND($B63&lt;&gt;"",COUNTIFS('2. Soil Data'!$B$5:$B$604,$B63)=0),"Core ID not found in Soil Data, so the corer diameter cannot be looked up. ","")&amp;IF(ASH_CORRECTED&lt;&gt;"Yes","Root mass is NOT ash-corrected, so it includes adhering mineral soil and is too high. Set ASH_CORRECTED once you have done it. ","")&amp;IF(AND(ASH_CORRECTED="Yes",NOT(ISNUMBER($H63))),"Ash correction is switched on but no ash fraction is given for this row. ","")&amp;IF($I63="","Sieve mesh not recorded — a fine-root figure cannot be interpreted without it. ","")&amp;IF(AND(ISNUMBER($H63),$H63&gt;0.5),"Ash fraction above 0.5 — over half this sample was mineral soil. Re-wash. ","")&amp;IF($F63="Not separated","Live and dead not separated. Fine for a stock, but "&amp;"note it in reporting. ",""))</f>
        <v/>
      </c>
      <c r="P63" s="6"/>
      <c r="Q63" s="9" t="n">
        <f aca="false">IF($B63="",0,IF(COUNTIFS($B$5:$B63,$B63)=1,1,0))</f>
        <v>0</v>
      </c>
    </row>
    <row r="64" customFormat="false" ht="15" hidden="false" customHeight="false" outlineLevel="0" collapsed="false">
      <c r="A64" s="6" t="s">
        <v>87</v>
      </c>
      <c r="B64" s="6" t="s">
        <v>119</v>
      </c>
      <c r="C64" s="6" t="n">
        <v>20</v>
      </c>
      <c r="D64" s="6" t="n">
        <v>30</v>
      </c>
      <c r="E64" s="6" t="s">
        <v>135</v>
      </c>
      <c r="F64" s="6" t="s">
        <v>134</v>
      </c>
      <c r="G64" s="7" t="n">
        <v>0.09</v>
      </c>
      <c r="H64" s="7" t="n">
        <v>0.063</v>
      </c>
      <c r="I64" s="6" t="n">
        <v>0.5</v>
      </c>
      <c r="J64" s="9" t="n">
        <f aca="false">IF(NOT(ISNUMBER($G64)),"",IF(AND(ASH_CORRECTED="Yes",ISNUMBER($H64)),$G64*(1-$H64),$G64))</f>
        <v>0.08433</v>
      </c>
      <c r="K64" s="9" t="n">
        <f aca="false">IF($B64="","",IFERROR(AVERAGEIFS('2. Soil Data'!$G$5:$G$604,'2. Soil Data'!$B$5:$B$604,$B64),""))</f>
        <v>5</v>
      </c>
      <c r="L64" s="9" t="n">
        <f aca="false">IF(NOT(ISNUMBER($K64)),"",PI()*($K64/2)^2)</f>
        <v>19.6349540849362</v>
      </c>
      <c r="M64" s="9" t="n">
        <f aca="false">IF(OR(NOT(ISNUMBER($J64)),NOT(ISNUMBER($L64)),$L64=0),"",$J64/$L64*10000)</f>
        <v>42.9489163230065</v>
      </c>
      <c r="N64" s="9" t="n">
        <f aca="false">IF(NOT(ISNUMBER($M64)),"",$M64*CARBON_FRACTION_ROOT/1000)</f>
        <v>0.0214744581615033</v>
      </c>
      <c r="O64" s="11" t="str">
        <f aca="false">IF(AND($A64="",$B64="",$G64=""),"",IF(AND($B64&lt;&gt;"",COUNTIFS('2. Soil Data'!$B$5:$B$604,$B64)=0),"Core ID not found in Soil Data, so the corer diameter cannot be looked up. ","")&amp;IF(ASH_CORRECTED&lt;&gt;"Yes","Root mass is NOT ash-corrected, so it includes adhering mineral soil and is too high. Set ASH_CORRECTED once you have done it. ","")&amp;IF(AND(ASH_CORRECTED="Yes",NOT(ISNUMBER($H64))),"Ash correction is switched on but no ash fraction is given for this row. ","")&amp;IF($I64="","Sieve mesh not recorded — a fine-root figure cannot be interpreted without it. ","")&amp;IF(AND(ISNUMBER($H64),$H64&gt;0.5),"Ash fraction above 0.5 — over half this sample was mineral soil. Re-wash. ","")&amp;IF($F64="Not separated","Live and dead not separated. Fine for a stock, but "&amp;"note it in reporting. ",""))</f>
        <v/>
      </c>
      <c r="P64" s="6"/>
      <c r="Q64" s="9" t="n">
        <f aca="false">IF($B64="",0,IF(COUNTIFS($B$5:$B64,$B64)=1,1,0))</f>
        <v>0</v>
      </c>
    </row>
    <row r="65" customFormat="false" ht="15" hidden="false" customHeight="false" outlineLevel="0" collapsed="false">
      <c r="A65" s="6" t="s">
        <v>87</v>
      </c>
      <c r="B65" s="6" t="s">
        <v>119</v>
      </c>
      <c r="C65" s="6" t="n">
        <v>30</v>
      </c>
      <c r="D65" s="6" t="n">
        <v>60</v>
      </c>
      <c r="E65" s="6" t="s">
        <v>133</v>
      </c>
      <c r="F65" s="6" t="s">
        <v>134</v>
      </c>
      <c r="G65" s="7" t="n">
        <v>1.0842</v>
      </c>
      <c r="H65" s="7" t="n">
        <v>0.133</v>
      </c>
      <c r="I65" s="6" t="n">
        <v>0.5</v>
      </c>
      <c r="J65" s="9" t="n">
        <f aca="false">IF(NOT(ISNUMBER($G65)),"",IF(AND(ASH_CORRECTED="Yes",ISNUMBER($H65)),$G65*(1-$H65),$G65))</f>
        <v>0.9400014</v>
      </c>
      <c r="K65" s="9" t="n">
        <f aca="false">IF($B65="","",IFERROR(AVERAGEIFS('2. Soil Data'!$G$5:$G$604,'2. Soil Data'!$B$5:$B$604,$B65),""))</f>
        <v>5</v>
      </c>
      <c r="L65" s="9" t="n">
        <f aca="false">IF(NOT(ISNUMBER($K65)),"",PI()*($K65/2)^2)</f>
        <v>19.6349540849362</v>
      </c>
      <c r="M65" s="9" t="n">
        <f aca="false">IF(OR(NOT(ISNUMBER($J65)),NOT(ISNUMBER($L65)),$L65=0),"",$J65/$L65*10000)</f>
        <v>478.738781834566</v>
      </c>
      <c r="N65" s="9" t="n">
        <f aca="false">IF(NOT(ISNUMBER($M65)),"",$M65*CARBON_FRACTION_ROOT/1000)</f>
        <v>0.239369390917283</v>
      </c>
      <c r="O65" s="11" t="str">
        <f aca="false">IF(AND($A65="",$B65="",$G65=""),"",IF(AND($B65&lt;&gt;"",COUNTIFS('2. Soil Data'!$B$5:$B$604,$B65)=0),"Core ID not found in Soil Data, so the corer diameter cannot be looked up. ","")&amp;IF(ASH_CORRECTED&lt;&gt;"Yes","Root mass is NOT ash-corrected, so it includes adhering mineral soil and is too high. Set ASH_CORRECTED once you have done it. ","")&amp;IF(AND(ASH_CORRECTED="Yes",NOT(ISNUMBER($H65))),"Ash correction is switched on but no ash fraction is given for this row. ","")&amp;IF($I65="","Sieve mesh not recorded — a fine-root figure cannot be interpreted without it. ","")&amp;IF(AND(ISNUMBER($H65),$H65&gt;0.5),"Ash fraction above 0.5 — over half this sample was mineral soil. Re-wash. ","")&amp;IF($F65="Not separated","Live and dead not separated. Fine for a stock, but "&amp;"note it in reporting. ",""))</f>
        <v/>
      </c>
      <c r="P65" s="6"/>
      <c r="Q65" s="9" t="n">
        <f aca="false">IF($B65="",0,IF(COUNTIFS($B$5:$B65,$B65)=1,1,0))</f>
        <v>0</v>
      </c>
    </row>
    <row r="66" customFormat="false" ht="15" hidden="false" customHeight="false" outlineLevel="0" collapsed="false">
      <c r="A66" s="6" t="s">
        <v>87</v>
      </c>
      <c r="B66" s="6" t="s">
        <v>119</v>
      </c>
      <c r="C66" s="6" t="n">
        <v>30</v>
      </c>
      <c r="D66" s="6" t="n">
        <v>60</v>
      </c>
      <c r="E66" s="6" t="s">
        <v>135</v>
      </c>
      <c r="F66" s="6" t="s">
        <v>134</v>
      </c>
      <c r="G66" s="7" t="n">
        <v>0.2866</v>
      </c>
      <c r="H66" s="7" t="n">
        <v>0.137</v>
      </c>
      <c r="I66" s="6" t="n">
        <v>0.5</v>
      </c>
      <c r="J66" s="9" t="n">
        <f aca="false">IF(NOT(ISNUMBER($G66)),"",IF(AND(ASH_CORRECTED="Yes",ISNUMBER($H66)),$G66*(1-$H66),$G66))</f>
        <v>0.2473358</v>
      </c>
      <c r="K66" s="9" t="n">
        <f aca="false">IF($B66="","",IFERROR(AVERAGEIFS('2. Soil Data'!$G$5:$G$604,'2. Soil Data'!$B$5:$B$604,$B66),""))</f>
        <v>5</v>
      </c>
      <c r="L66" s="9" t="n">
        <f aca="false">IF(NOT(ISNUMBER($K66)),"",PI()*($K66/2)^2)</f>
        <v>19.6349540849362</v>
      </c>
      <c r="M66" s="9" t="n">
        <f aca="false">IF(OR(NOT(ISNUMBER($J66)),NOT(ISNUMBER($L66)),$L66=0),"",$J66/$L66*10000)</f>
        <v>125.967088555483</v>
      </c>
      <c r="N66" s="9" t="n">
        <f aca="false">IF(NOT(ISNUMBER($M66)),"",$M66*CARBON_FRACTION_ROOT/1000)</f>
        <v>0.0629835442777415</v>
      </c>
      <c r="O66" s="11" t="str">
        <f aca="false">IF(AND($A66="",$B66="",$G66=""),"",IF(AND($B66&lt;&gt;"",COUNTIFS('2. Soil Data'!$B$5:$B$604,$B66)=0),"Core ID not found in Soil Data, so the corer diameter cannot be looked up. ","")&amp;IF(ASH_CORRECTED&lt;&gt;"Yes","Root mass is NOT ash-corrected, so it includes adhering mineral soil and is too high. Set ASH_CORRECTED once you have done it. ","")&amp;IF(AND(ASH_CORRECTED="Yes",NOT(ISNUMBER($H66))),"Ash correction is switched on but no ash fraction is given for this row. ","")&amp;IF($I66="","Sieve mesh not recorded — a fine-root figure cannot be interpreted without it. ","")&amp;IF(AND(ISNUMBER($H66),$H66&gt;0.5),"Ash fraction above 0.5 — over half this sample was mineral soil. Re-wash. ","")&amp;IF($F66="Not separated","Live and dead not separated. Fine for a stock, but "&amp;"note it in reporting. ",""))</f>
        <v/>
      </c>
      <c r="P66" s="6"/>
      <c r="Q66" s="9" t="n">
        <f aca="false">IF($B66="",0,IF(COUNTIFS($B$5:$B66,$B66)=1,1,0))</f>
        <v>0</v>
      </c>
    </row>
    <row r="67" customFormat="false" ht="15" hidden="false" customHeight="false" outlineLevel="0" collapsed="false">
      <c r="A67" s="6" t="s">
        <v>88</v>
      </c>
      <c r="B67" s="6" t="s">
        <v>120</v>
      </c>
      <c r="C67" s="6" t="n">
        <v>0</v>
      </c>
      <c r="D67" s="6" t="n">
        <v>10</v>
      </c>
      <c r="E67" s="6" t="s">
        <v>133</v>
      </c>
      <c r="F67" s="6" t="s">
        <v>134</v>
      </c>
      <c r="G67" s="7" t="n">
        <v>0.6255</v>
      </c>
      <c r="H67" s="7" t="n">
        <v>0.111</v>
      </c>
      <c r="I67" s="6" t="n">
        <v>0.5</v>
      </c>
      <c r="J67" s="9" t="n">
        <f aca="false">IF(NOT(ISNUMBER($G67)),"",IF(AND(ASH_CORRECTED="Yes",ISNUMBER($H67)),$G67*(1-$H67),$G67))</f>
        <v>0.5560695</v>
      </c>
      <c r="K67" s="9" t="n">
        <f aca="false">IF($B67="","",IFERROR(AVERAGEIFS('2. Soil Data'!$G$5:$G$604,'2. Soil Data'!$B$5:$B$604,$B67),""))</f>
        <v>5</v>
      </c>
      <c r="L67" s="9" t="n">
        <f aca="false">IF(NOT(ISNUMBER($K67)),"",PI()*($K67/2)^2)</f>
        <v>19.6349540849362</v>
      </c>
      <c r="M67" s="9" t="n">
        <f aca="false">IF(OR(NOT(ISNUMBER($J67)),NOT(ISNUMBER($L67)),$L67=0),"",$J67/$L67*10000)</f>
        <v>283.203870808444</v>
      </c>
      <c r="N67" s="9" t="n">
        <f aca="false">IF(NOT(ISNUMBER($M67)),"",$M67*CARBON_FRACTION_ROOT/1000)</f>
        <v>0.141601935404222</v>
      </c>
      <c r="O67" s="11" t="str">
        <f aca="false">IF(AND($A67="",$B67="",$G67=""),"",IF(AND($B67&lt;&gt;"",COUNTIFS('2. Soil Data'!$B$5:$B$604,$B67)=0),"Core ID not found in Soil Data, so the corer diameter cannot be looked up. ","")&amp;IF(ASH_CORRECTED&lt;&gt;"Yes","Root mass is NOT ash-corrected, so it includes adhering mineral soil and is too high. Set ASH_CORRECTED once you have done it. ","")&amp;IF(AND(ASH_CORRECTED="Yes",NOT(ISNUMBER($H67))),"Ash correction is switched on but no ash fraction is given for this row. ","")&amp;IF($I67="","Sieve mesh not recorded — a fine-root figure cannot be interpreted without it. ","")&amp;IF(AND(ISNUMBER($H67),$H67&gt;0.5),"Ash fraction above 0.5 — over half this sample was mineral soil. Re-wash. ","")&amp;IF($F67="Not separated","Live and dead not separated. Fine for a stock, but "&amp;"note it in reporting. ",""))</f>
        <v/>
      </c>
      <c r="P67" s="6"/>
      <c r="Q67" s="9" t="n">
        <f aca="false">IF($B67="",0,IF(COUNTIFS($B$5:$B67,$B67)=1,1,0))</f>
        <v>1</v>
      </c>
    </row>
    <row r="68" customFormat="false" ht="15" hidden="false" customHeight="false" outlineLevel="0" collapsed="false">
      <c r="A68" s="6" t="s">
        <v>88</v>
      </c>
      <c r="B68" s="6" t="s">
        <v>120</v>
      </c>
      <c r="C68" s="6" t="n">
        <v>0</v>
      </c>
      <c r="D68" s="6" t="n">
        <v>10</v>
      </c>
      <c r="E68" s="6" t="s">
        <v>135</v>
      </c>
      <c r="F68" s="6" t="s">
        <v>134</v>
      </c>
      <c r="G68" s="7" t="n">
        <v>0.1467</v>
      </c>
      <c r="H68" s="7" t="n">
        <v>0.118</v>
      </c>
      <c r="I68" s="6" t="n">
        <v>0.5</v>
      </c>
      <c r="J68" s="9" t="n">
        <f aca="false">IF(NOT(ISNUMBER($G68)),"",IF(AND(ASH_CORRECTED="Yes",ISNUMBER($H68)),$G68*(1-$H68),$G68))</f>
        <v>0.1293894</v>
      </c>
      <c r="K68" s="9" t="n">
        <f aca="false">IF($B68="","",IFERROR(AVERAGEIFS('2. Soil Data'!$G$5:$G$604,'2. Soil Data'!$B$5:$B$604,$B68),""))</f>
        <v>5</v>
      </c>
      <c r="L68" s="9" t="n">
        <f aca="false">IF(NOT(ISNUMBER($K68)),"",PI()*($K68/2)^2)</f>
        <v>19.6349540849362</v>
      </c>
      <c r="M68" s="9" t="n">
        <f aca="false">IF(OR(NOT(ISNUMBER($J68)),NOT(ISNUMBER($L68)),$L68=0),"",$J68/$L68*10000)</f>
        <v>65.8974802998223</v>
      </c>
      <c r="N68" s="9" t="n">
        <f aca="false">IF(NOT(ISNUMBER($M68)),"",$M68*CARBON_FRACTION_ROOT/1000)</f>
        <v>0.0329487401499112</v>
      </c>
      <c r="O68" s="11" t="str">
        <f aca="false">IF(AND($A68="",$B68="",$G68=""),"",IF(AND($B68&lt;&gt;"",COUNTIFS('2. Soil Data'!$B$5:$B$604,$B68)=0),"Core ID not found in Soil Data, so the corer diameter cannot be looked up. ","")&amp;IF(ASH_CORRECTED&lt;&gt;"Yes","Root mass is NOT ash-corrected, so it includes adhering mineral soil and is too high. Set ASH_CORRECTED once you have done it. ","")&amp;IF(AND(ASH_CORRECTED="Yes",NOT(ISNUMBER($H68))),"Ash correction is switched on but no ash fraction is given for this row. ","")&amp;IF($I68="","Sieve mesh not recorded — a fine-root figure cannot be interpreted without it. ","")&amp;IF(AND(ISNUMBER($H68),$H68&gt;0.5),"Ash fraction above 0.5 — over half this sample was mineral soil. Re-wash. ","")&amp;IF($F68="Not separated","Live and dead not separated. Fine for a stock, but "&amp;"note it in reporting. ",""))</f>
        <v/>
      </c>
      <c r="P68" s="6"/>
      <c r="Q68" s="9" t="n">
        <f aca="false">IF($B68="",0,IF(COUNTIFS($B$5:$B68,$B68)=1,1,0))</f>
        <v>0</v>
      </c>
    </row>
    <row r="69" customFormat="false" ht="15" hidden="false" customHeight="false" outlineLevel="0" collapsed="false">
      <c r="A69" s="6" t="s">
        <v>88</v>
      </c>
      <c r="B69" s="6" t="s">
        <v>120</v>
      </c>
      <c r="C69" s="6" t="n">
        <v>10</v>
      </c>
      <c r="D69" s="6" t="n">
        <v>20</v>
      </c>
      <c r="E69" s="6" t="s">
        <v>133</v>
      </c>
      <c r="F69" s="6" t="s">
        <v>134</v>
      </c>
      <c r="G69" s="7" t="n">
        <v>0.3293</v>
      </c>
      <c r="H69" s="7" t="n">
        <v>0.14</v>
      </c>
      <c r="I69" s="6" t="n">
        <v>0.5</v>
      </c>
      <c r="J69" s="9" t="n">
        <f aca="false">IF(NOT(ISNUMBER($G69)),"",IF(AND(ASH_CORRECTED="Yes",ISNUMBER($H69)),$G69*(1-$H69),$G69))</f>
        <v>0.283198</v>
      </c>
      <c r="K69" s="9" t="n">
        <f aca="false">IF($B69="","",IFERROR(AVERAGEIFS('2. Soil Data'!$G$5:$G$604,'2. Soil Data'!$B$5:$B$604,$B69),""))</f>
        <v>5</v>
      </c>
      <c r="L69" s="9" t="n">
        <f aca="false">IF(NOT(ISNUMBER($K69)),"",PI()*($K69/2)^2)</f>
        <v>19.6349540849362</v>
      </c>
      <c r="M69" s="9" t="n">
        <f aca="false">IF(OR(NOT(ISNUMBER($J69)),NOT(ISNUMBER($L69)),$L69=0),"",$J69/$L69*10000)</f>
        <v>144.231557035963</v>
      </c>
      <c r="N69" s="9" t="n">
        <f aca="false">IF(NOT(ISNUMBER($M69)),"",$M69*CARBON_FRACTION_ROOT/1000)</f>
        <v>0.0721157785179817</v>
      </c>
      <c r="O69" s="11" t="str">
        <f aca="false">IF(AND($A69="",$B69="",$G69=""),"",IF(AND($B69&lt;&gt;"",COUNTIFS('2. Soil Data'!$B$5:$B$604,$B69)=0),"Core ID not found in Soil Data, so the corer diameter cannot be looked up. ","")&amp;IF(ASH_CORRECTED&lt;&gt;"Yes","Root mass is NOT ash-corrected, so it includes adhering mineral soil and is too high. Set ASH_CORRECTED once you have done it. ","")&amp;IF(AND(ASH_CORRECTED="Yes",NOT(ISNUMBER($H69))),"Ash correction is switched on but no ash fraction is given for this row. ","")&amp;IF($I69="","Sieve mesh not recorded — a fine-root figure cannot be interpreted without it. ","")&amp;IF(AND(ISNUMBER($H69),$H69&gt;0.5),"Ash fraction above 0.5 — over half this sample was mineral soil. Re-wash. ","")&amp;IF($F69="Not separated","Live and dead not separated. Fine for a stock, but "&amp;"note it in reporting. ",""))</f>
        <v/>
      </c>
      <c r="P69" s="6"/>
      <c r="Q69" s="9" t="n">
        <f aca="false">IF($B69="",0,IF(COUNTIFS($B$5:$B69,$B69)=1,1,0))</f>
        <v>0</v>
      </c>
    </row>
    <row r="70" customFormat="false" ht="15" hidden="false" customHeight="false" outlineLevel="0" collapsed="false">
      <c r="A70" s="6" t="s">
        <v>88</v>
      </c>
      <c r="B70" s="6" t="s">
        <v>120</v>
      </c>
      <c r="C70" s="6" t="n">
        <v>10</v>
      </c>
      <c r="D70" s="6" t="n">
        <v>20</v>
      </c>
      <c r="E70" s="6" t="s">
        <v>135</v>
      </c>
      <c r="F70" s="6" t="s">
        <v>134</v>
      </c>
      <c r="G70" s="7" t="n">
        <v>0.0663</v>
      </c>
      <c r="H70" s="7" t="n">
        <v>0.104</v>
      </c>
      <c r="I70" s="6" t="n">
        <v>0.5</v>
      </c>
      <c r="J70" s="9" t="n">
        <f aca="false">IF(NOT(ISNUMBER($G70)),"",IF(AND(ASH_CORRECTED="Yes",ISNUMBER($H70)),$G70*(1-$H70),$G70))</f>
        <v>0.0594048</v>
      </c>
      <c r="K70" s="9" t="n">
        <f aca="false">IF($B70="","",IFERROR(AVERAGEIFS('2. Soil Data'!$G$5:$G$604,'2. Soil Data'!$B$5:$B$604,$B70),""))</f>
        <v>5</v>
      </c>
      <c r="L70" s="9" t="n">
        <f aca="false">IF(NOT(ISNUMBER($K70)),"",PI()*($K70/2)^2)</f>
        <v>19.6349540849362</v>
      </c>
      <c r="M70" s="9" t="n">
        <f aca="false">IF(OR(NOT(ISNUMBER($J70)),NOT(ISNUMBER($L70)),$L70=0),"",$J70/$L70*10000)</f>
        <v>30.2546162028334</v>
      </c>
      <c r="N70" s="9" t="n">
        <f aca="false">IF(NOT(ISNUMBER($M70)),"",$M70*CARBON_FRACTION_ROOT/1000)</f>
        <v>0.0151273081014167</v>
      </c>
      <c r="O70" s="11" t="str">
        <f aca="false">IF(AND($A70="",$B70="",$G70=""),"",IF(AND($B70&lt;&gt;"",COUNTIFS('2. Soil Data'!$B$5:$B$604,$B70)=0),"Core ID not found in Soil Data, so the corer diameter cannot be looked up. ","")&amp;IF(ASH_CORRECTED&lt;&gt;"Yes","Root mass is NOT ash-corrected, so it includes adhering mineral soil and is too high. Set ASH_CORRECTED once you have done it. ","")&amp;IF(AND(ASH_CORRECTED="Yes",NOT(ISNUMBER($H70))),"Ash correction is switched on but no ash fraction is given for this row. ","")&amp;IF($I70="","Sieve mesh not recorded — a fine-root figure cannot be interpreted without it. ","")&amp;IF(AND(ISNUMBER($H70),$H70&gt;0.5),"Ash fraction above 0.5 — over half this sample was mineral soil. Re-wash. ","")&amp;IF($F70="Not separated","Live and dead not separated. Fine for a stock, but "&amp;"note it in reporting. ",""))</f>
        <v/>
      </c>
      <c r="P70" s="6"/>
      <c r="Q70" s="9" t="n">
        <f aca="false">IF($B70="",0,IF(COUNTIFS($B$5:$B70,$B70)=1,1,0))</f>
        <v>0</v>
      </c>
    </row>
    <row r="71" customFormat="false" ht="15" hidden="false" customHeight="false" outlineLevel="0" collapsed="false">
      <c r="A71" s="6" t="s">
        <v>88</v>
      </c>
      <c r="B71" s="6" t="s">
        <v>120</v>
      </c>
      <c r="C71" s="6" t="n">
        <v>20</v>
      </c>
      <c r="D71" s="6" t="n">
        <v>22</v>
      </c>
      <c r="E71" s="6" t="s">
        <v>133</v>
      </c>
      <c r="F71" s="6" t="s">
        <v>134</v>
      </c>
      <c r="G71" s="7" t="n">
        <v>0.0396</v>
      </c>
      <c r="H71" s="7" t="n">
        <v>0.132</v>
      </c>
      <c r="I71" s="6" t="n">
        <v>0.5</v>
      </c>
      <c r="J71" s="9" t="n">
        <f aca="false">IF(NOT(ISNUMBER($G71)),"",IF(AND(ASH_CORRECTED="Yes",ISNUMBER($H71)),$G71*(1-$H71),$G71))</f>
        <v>0.0343728</v>
      </c>
      <c r="K71" s="9" t="n">
        <f aca="false">IF($B71="","",IFERROR(AVERAGEIFS('2. Soil Data'!$G$5:$G$604,'2. Soil Data'!$B$5:$B$604,$B71),""))</f>
        <v>5</v>
      </c>
      <c r="L71" s="9" t="n">
        <f aca="false">IF(NOT(ISNUMBER($K71)),"",PI()*($K71/2)^2)</f>
        <v>19.6349540849362</v>
      </c>
      <c r="M71" s="9" t="n">
        <f aca="false">IF(OR(NOT(ISNUMBER($J71)),NOT(ISNUMBER($L71)),$L71=0),"",$J71/$L71*10000)</f>
        <v>17.5059232893091</v>
      </c>
      <c r="N71" s="9" t="n">
        <f aca="false">IF(NOT(ISNUMBER($M71)),"",$M71*CARBON_FRACTION_ROOT/1000)</f>
        <v>0.00875296164465456</v>
      </c>
      <c r="O71" s="11" t="str">
        <f aca="false">IF(AND($A71="",$B71="",$G71=""),"",IF(AND($B71&lt;&gt;"",COUNTIFS('2. Soil Data'!$B$5:$B$604,$B71)=0),"Core ID not found in Soil Data, so the corer diameter cannot be looked up. ","")&amp;IF(ASH_CORRECTED&lt;&gt;"Yes","Root mass is NOT ash-corrected, so it includes adhering mineral soil and is too high. Set ASH_CORRECTED once you have done it. ","")&amp;IF(AND(ASH_CORRECTED="Yes",NOT(ISNUMBER($H71))),"Ash correction is switched on but no ash fraction is given for this row. ","")&amp;IF($I71="","Sieve mesh not recorded — a fine-root figure cannot be interpreted without it. ","")&amp;IF(AND(ISNUMBER($H71),$H71&gt;0.5),"Ash fraction above 0.5 — over half this sample was mineral soil. Re-wash. ","")&amp;IF($F71="Not separated","Live and dead not separated. Fine for a stock, but "&amp;"note it in reporting. ",""))</f>
        <v/>
      </c>
      <c r="P71" s="6"/>
      <c r="Q71" s="9" t="n">
        <f aca="false">IF($B71="",0,IF(COUNTIFS($B$5:$B71,$B71)=1,1,0))</f>
        <v>0</v>
      </c>
    </row>
    <row r="72" customFormat="false" ht="15" hidden="false" customHeight="false" outlineLevel="0" collapsed="false">
      <c r="A72" s="6" t="s">
        <v>88</v>
      </c>
      <c r="B72" s="6" t="s">
        <v>120</v>
      </c>
      <c r="C72" s="6" t="n">
        <v>20</v>
      </c>
      <c r="D72" s="6" t="n">
        <v>22</v>
      </c>
      <c r="E72" s="6" t="s">
        <v>135</v>
      </c>
      <c r="F72" s="6" t="s">
        <v>134</v>
      </c>
      <c r="G72" s="7" t="n">
        <v>0.0089</v>
      </c>
      <c r="H72" s="7" t="n">
        <v>0.116</v>
      </c>
      <c r="I72" s="6" t="n">
        <v>0.5</v>
      </c>
      <c r="J72" s="9" t="n">
        <f aca="false">IF(NOT(ISNUMBER($G72)),"",IF(AND(ASH_CORRECTED="Yes",ISNUMBER($H72)),$G72*(1-$H72),$G72))</f>
        <v>0.0078676</v>
      </c>
      <c r="K72" s="9" t="n">
        <f aca="false">IF($B72="","",IFERROR(AVERAGEIFS('2. Soil Data'!$G$5:$G$604,'2. Soil Data'!$B$5:$B$604,$B72),""))</f>
        <v>5</v>
      </c>
      <c r="L72" s="9" t="n">
        <f aca="false">IF(NOT(ISNUMBER($K72)),"",PI()*($K72/2)^2)</f>
        <v>19.6349540849362</v>
      </c>
      <c r="M72" s="9" t="n">
        <f aca="false">IF(OR(NOT(ISNUMBER($J72)),NOT(ISNUMBER($L72)),$L72=0),"",$J72/$L72*10000)</f>
        <v>4.00693577686335</v>
      </c>
      <c r="N72" s="9" t="n">
        <f aca="false">IF(NOT(ISNUMBER($M72)),"",$M72*CARBON_FRACTION_ROOT/1000)</f>
        <v>0.00200346788843167</v>
      </c>
      <c r="O72" s="11" t="str">
        <f aca="false">IF(AND($A72="",$B72="",$G72=""),"",IF(AND($B72&lt;&gt;"",COUNTIFS('2. Soil Data'!$B$5:$B$604,$B72)=0),"Core ID not found in Soil Data, so the corer diameter cannot be looked up. ","")&amp;IF(ASH_CORRECTED&lt;&gt;"Yes","Root mass is NOT ash-corrected, so it includes adhering mineral soil and is too high. Set ASH_CORRECTED once you have done it. ","")&amp;IF(AND(ASH_CORRECTED="Yes",NOT(ISNUMBER($H72))),"Ash correction is switched on but no ash fraction is given for this row. ","")&amp;IF($I72="","Sieve mesh not recorded — a fine-root figure cannot be interpreted without it. ","")&amp;IF(AND(ISNUMBER($H72),$H72&gt;0.5),"Ash fraction above 0.5 — over half this sample was mineral soil. Re-wash. ","")&amp;IF($F72="Not separated","Live and dead not separated. Fine for a stock, but "&amp;"note it in reporting. ",""))</f>
        <v/>
      </c>
      <c r="P72" s="6"/>
      <c r="Q72" s="9" t="n">
        <f aca="false">IF($B72="",0,IF(COUNTIFS($B$5:$B72,$B72)=1,1,0))</f>
        <v>0</v>
      </c>
    </row>
    <row r="73" customFormat="false" ht="15" hidden="false" customHeight="false" outlineLevel="0" collapsed="false">
      <c r="A73" s="6"/>
      <c r="B73" s="6"/>
      <c r="C73" s="6"/>
      <c r="D73" s="6"/>
      <c r="E73" s="6"/>
      <c r="F73" s="6"/>
      <c r="G73" s="7"/>
      <c r="H73" s="7"/>
      <c r="I73" s="6"/>
      <c r="J73" s="9" t="str">
        <f aca="false">IF(NOT(ISNUMBER($G73)),"",IF(AND(ASH_CORRECTED="Yes",ISNUMBER($H73)),$G73*(1-$H73),$G73))</f>
        <v/>
      </c>
      <c r="K73" s="9" t="str">
        <f aca="false">IF($B73="","",IFERROR(AVERAGEIFS('2. Soil Data'!$G$5:$G$604,'2. Soil Data'!$B$5:$B$604,$B73),""))</f>
        <v/>
      </c>
      <c r="L73" s="9" t="str">
        <f aca="false">IF(NOT(ISNUMBER($K73)),"",PI()*($K73/2)^2)</f>
        <v/>
      </c>
      <c r="M73" s="9" t="str">
        <f aca="false">IF(OR(NOT(ISNUMBER($J73)),NOT(ISNUMBER($L73)),$L73=0),"",$J73/$L73*10000)</f>
        <v/>
      </c>
      <c r="N73" s="9" t="str">
        <f aca="false">IF(NOT(ISNUMBER($M73)),"",$M73*CARBON_FRACTION_ROOT/1000)</f>
        <v/>
      </c>
      <c r="O73" s="11" t="str">
        <f aca="false">IF(AND($A73="",$B73="",$G73=""),"",IF(AND($B73&lt;&gt;"",COUNTIFS('2. Soil Data'!$B$5:$B$604,$B73)=0),"Core ID not found in Soil Data, so the corer diameter cannot be looked up. ","")&amp;IF(ASH_CORRECTED&lt;&gt;"Yes","Root mass is NOT ash-corrected, so it includes adhering mineral soil and is too high. Set ASH_CORRECTED once you have done it. ","")&amp;IF(AND(ASH_CORRECTED="Yes",NOT(ISNUMBER($H73))),"Ash correction is switched on but no ash fraction is given for this row. ","")&amp;IF($I73="","Sieve mesh not recorded — a fine-root figure cannot be interpreted without it. ","")&amp;IF(AND(ISNUMBER($H73),$H73&gt;0.5),"Ash fraction above 0.5 — over half this sample was mineral soil. Re-wash. ","")&amp;IF($F73="Not separated","Live and dead not separated. Fine for a stock, but "&amp;"note it in reporting. ",""))</f>
        <v/>
      </c>
      <c r="P73" s="6"/>
      <c r="Q73" s="9" t="n">
        <f aca="false">IF($B73="",0,IF(COUNTIFS($B$5:$B73,$B73)=1,1,0))</f>
        <v>0</v>
      </c>
    </row>
    <row r="74" customFormat="false" ht="15" hidden="false" customHeight="false" outlineLevel="0" collapsed="false">
      <c r="A74" s="6"/>
      <c r="B74" s="6"/>
      <c r="C74" s="6"/>
      <c r="D74" s="6"/>
      <c r="E74" s="6"/>
      <c r="F74" s="6"/>
      <c r="G74" s="7"/>
      <c r="H74" s="7"/>
      <c r="I74" s="6"/>
      <c r="J74" s="9" t="str">
        <f aca="false">IF(NOT(ISNUMBER($G74)),"",IF(AND(ASH_CORRECTED="Yes",ISNUMBER($H74)),$G74*(1-$H74),$G74))</f>
        <v/>
      </c>
      <c r="K74" s="9" t="str">
        <f aca="false">IF($B74="","",IFERROR(AVERAGEIFS('2. Soil Data'!$G$5:$G$604,'2. Soil Data'!$B$5:$B$604,$B74),""))</f>
        <v/>
      </c>
      <c r="L74" s="9" t="str">
        <f aca="false">IF(NOT(ISNUMBER($K74)),"",PI()*($K74/2)^2)</f>
        <v/>
      </c>
      <c r="M74" s="9" t="str">
        <f aca="false">IF(OR(NOT(ISNUMBER($J74)),NOT(ISNUMBER($L74)),$L74=0),"",$J74/$L74*10000)</f>
        <v/>
      </c>
      <c r="N74" s="9" t="str">
        <f aca="false">IF(NOT(ISNUMBER($M74)),"",$M74*CARBON_FRACTION_ROOT/1000)</f>
        <v/>
      </c>
      <c r="O74" s="11" t="str">
        <f aca="false">IF(AND($A74="",$B74="",$G74=""),"",IF(AND($B74&lt;&gt;"",COUNTIFS('2. Soil Data'!$B$5:$B$604,$B74)=0),"Core ID not found in Soil Data, so the corer diameter cannot be looked up. ","")&amp;IF(ASH_CORRECTED&lt;&gt;"Yes","Root mass is NOT ash-corrected, so it includes adhering mineral soil and is too high. Set ASH_CORRECTED once you have done it. ","")&amp;IF(AND(ASH_CORRECTED="Yes",NOT(ISNUMBER($H74))),"Ash correction is switched on but no ash fraction is given for this row. ","")&amp;IF($I74="","Sieve mesh not recorded — a fine-root figure cannot be interpreted without it. ","")&amp;IF(AND(ISNUMBER($H74),$H74&gt;0.5),"Ash fraction above 0.5 — over half this sample was mineral soil. Re-wash. ","")&amp;IF($F74="Not separated","Live and dead not separated. Fine for a stock, but "&amp;"note it in reporting. ",""))</f>
        <v/>
      </c>
      <c r="P74" s="6"/>
      <c r="Q74" s="9" t="n">
        <f aca="false">IF($B74="",0,IF(COUNTIFS($B$5:$B74,$B74)=1,1,0))</f>
        <v>0</v>
      </c>
    </row>
    <row r="75" customFormat="false" ht="15" hidden="false" customHeight="false" outlineLevel="0" collapsed="false">
      <c r="A75" s="6"/>
      <c r="B75" s="6"/>
      <c r="C75" s="6"/>
      <c r="D75" s="6"/>
      <c r="E75" s="6"/>
      <c r="F75" s="6"/>
      <c r="G75" s="7"/>
      <c r="H75" s="7"/>
      <c r="I75" s="6"/>
      <c r="J75" s="9" t="str">
        <f aca="false">IF(NOT(ISNUMBER($G75)),"",IF(AND(ASH_CORRECTED="Yes",ISNUMBER($H75)),$G75*(1-$H75),$G75))</f>
        <v/>
      </c>
      <c r="K75" s="9" t="str">
        <f aca="false">IF($B75="","",IFERROR(AVERAGEIFS('2. Soil Data'!$G$5:$G$604,'2. Soil Data'!$B$5:$B$604,$B75),""))</f>
        <v/>
      </c>
      <c r="L75" s="9" t="str">
        <f aca="false">IF(NOT(ISNUMBER($K75)),"",PI()*($K75/2)^2)</f>
        <v/>
      </c>
      <c r="M75" s="9" t="str">
        <f aca="false">IF(OR(NOT(ISNUMBER($J75)),NOT(ISNUMBER($L75)),$L75=0),"",$J75/$L75*10000)</f>
        <v/>
      </c>
      <c r="N75" s="9" t="str">
        <f aca="false">IF(NOT(ISNUMBER($M75)),"",$M75*CARBON_FRACTION_ROOT/1000)</f>
        <v/>
      </c>
      <c r="O75" s="11" t="str">
        <f aca="false">IF(AND($A75="",$B75="",$G75=""),"",IF(AND($B75&lt;&gt;"",COUNTIFS('2. Soil Data'!$B$5:$B$604,$B75)=0),"Core ID not found in Soil Data, so the corer diameter cannot be looked up. ","")&amp;IF(ASH_CORRECTED&lt;&gt;"Yes","Root mass is NOT ash-corrected, so it includes adhering mineral soil and is too high. Set ASH_CORRECTED once you have done it. ","")&amp;IF(AND(ASH_CORRECTED="Yes",NOT(ISNUMBER($H75))),"Ash correction is switched on but no ash fraction is given for this row. ","")&amp;IF($I75="","Sieve mesh not recorded — a fine-root figure cannot be interpreted without it. ","")&amp;IF(AND(ISNUMBER($H75),$H75&gt;0.5),"Ash fraction above 0.5 — over half this sample was mineral soil. Re-wash. ","")&amp;IF($F75="Not separated","Live and dead not separated. Fine for a stock, but "&amp;"note it in reporting. ",""))</f>
        <v/>
      </c>
      <c r="P75" s="6"/>
      <c r="Q75" s="9" t="n">
        <f aca="false">IF($B75="",0,IF(COUNTIFS($B$5:$B75,$B75)=1,1,0))</f>
        <v>0</v>
      </c>
    </row>
    <row r="76" customFormat="false" ht="15" hidden="false" customHeight="false" outlineLevel="0" collapsed="false">
      <c r="A76" s="6"/>
      <c r="B76" s="6"/>
      <c r="C76" s="6"/>
      <c r="D76" s="6"/>
      <c r="E76" s="6"/>
      <c r="F76" s="6"/>
      <c r="G76" s="7"/>
      <c r="H76" s="7"/>
      <c r="I76" s="6"/>
      <c r="J76" s="9" t="str">
        <f aca="false">IF(NOT(ISNUMBER($G76)),"",IF(AND(ASH_CORRECTED="Yes",ISNUMBER($H76)),$G76*(1-$H76),$G76))</f>
        <v/>
      </c>
      <c r="K76" s="9" t="str">
        <f aca="false">IF($B76="","",IFERROR(AVERAGEIFS('2. Soil Data'!$G$5:$G$604,'2. Soil Data'!$B$5:$B$604,$B76),""))</f>
        <v/>
      </c>
      <c r="L76" s="9" t="str">
        <f aca="false">IF(NOT(ISNUMBER($K76)),"",PI()*($K76/2)^2)</f>
        <v/>
      </c>
      <c r="M76" s="9" t="str">
        <f aca="false">IF(OR(NOT(ISNUMBER($J76)),NOT(ISNUMBER($L76)),$L76=0),"",$J76/$L76*10000)</f>
        <v/>
      </c>
      <c r="N76" s="9" t="str">
        <f aca="false">IF(NOT(ISNUMBER($M76)),"",$M76*CARBON_FRACTION_ROOT/1000)</f>
        <v/>
      </c>
      <c r="O76" s="11" t="str">
        <f aca="false">IF(AND($A76="",$B76="",$G76=""),"",IF(AND($B76&lt;&gt;"",COUNTIFS('2. Soil Data'!$B$5:$B$604,$B76)=0),"Core ID not found in Soil Data, so the corer diameter cannot be looked up. ","")&amp;IF(ASH_CORRECTED&lt;&gt;"Yes","Root mass is NOT ash-corrected, so it includes adhering mineral soil and is too high. Set ASH_CORRECTED once you have done it. ","")&amp;IF(AND(ASH_CORRECTED="Yes",NOT(ISNUMBER($H76))),"Ash correction is switched on but no ash fraction is given for this row. ","")&amp;IF($I76="","Sieve mesh not recorded — a fine-root figure cannot be interpreted without it. ","")&amp;IF(AND(ISNUMBER($H76),$H76&gt;0.5),"Ash fraction above 0.5 — over half this sample was mineral soil. Re-wash. ","")&amp;IF($F76="Not separated","Live and dead not separated. Fine for a stock, but "&amp;"note it in reporting. ",""))</f>
        <v/>
      </c>
      <c r="P76" s="6"/>
      <c r="Q76" s="9" t="n">
        <f aca="false">IF($B76="",0,IF(COUNTIFS($B$5:$B76,$B76)=1,1,0))</f>
        <v>0</v>
      </c>
    </row>
    <row r="77" customFormat="false" ht="15" hidden="false" customHeight="false" outlineLevel="0" collapsed="false">
      <c r="A77" s="6"/>
      <c r="B77" s="6"/>
      <c r="C77" s="6"/>
      <c r="D77" s="6"/>
      <c r="E77" s="6"/>
      <c r="F77" s="6"/>
      <c r="G77" s="7"/>
      <c r="H77" s="7"/>
      <c r="I77" s="6"/>
      <c r="J77" s="9" t="str">
        <f aca="false">IF(NOT(ISNUMBER($G77)),"",IF(AND(ASH_CORRECTED="Yes",ISNUMBER($H77)),$G77*(1-$H77),$G77))</f>
        <v/>
      </c>
      <c r="K77" s="9" t="str">
        <f aca="false">IF($B77="","",IFERROR(AVERAGEIFS('2. Soil Data'!$G$5:$G$604,'2. Soil Data'!$B$5:$B$604,$B77),""))</f>
        <v/>
      </c>
      <c r="L77" s="9" t="str">
        <f aca="false">IF(NOT(ISNUMBER($K77)),"",PI()*($K77/2)^2)</f>
        <v/>
      </c>
      <c r="M77" s="9" t="str">
        <f aca="false">IF(OR(NOT(ISNUMBER($J77)),NOT(ISNUMBER($L77)),$L77=0),"",$J77/$L77*10000)</f>
        <v/>
      </c>
      <c r="N77" s="9" t="str">
        <f aca="false">IF(NOT(ISNUMBER($M77)),"",$M77*CARBON_FRACTION_ROOT/1000)</f>
        <v/>
      </c>
      <c r="O77" s="11" t="str">
        <f aca="false">IF(AND($A77="",$B77="",$G77=""),"",IF(AND($B77&lt;&gt;"",COUNTIFS('2. Soil Data'!$B$5:$B$604,$B77)=0),"Core ID not found in Soil Data, so the corer diameter cannot be looked up. ","")&amp;IF(ASH_CORRECTED&lt;&gt;"Yes","Root mass is NOT ash-corrected, so it includes adhering mineral soil and is too high. Set ASH_CORRECTED once you have done it. ","")&amp;IF(AND(ASH_CORRECTED="Yes",NOT(ISNUMBER($H77))),"Ash correction is switched on but no ash fraction is given for this row. ","")&amp;IF($I77="","Sieve mesh not recorded — a fine-root figure cannot be interpreted without it. ","")&amp;IF(AND(ISNUMBER($H77),$H77&gt;0.5),"Ash fraction above 0.5 — over half this sample was mineral soil. Re-wash. ","")&amp;IF($F77="Not separated","Live and dead not separated. Fine for a stock, but "&amp;"note it in reporting. ",""))</f>
        <v/>
      </c>
      <c r="P77" s="6"/>
      <c r="Q77" s="9" t="n">
        <f aca="false">IF($B77="",0,IF(COUNTIFS($B$5:$B77,$B77)=1,1,0))</f>
        <v>0</v>
      </c>
    </row>
    <row r="78" customFormat="false" ht="15" hidden="false" customHeight="false" outlineLevel="0" collapsed="false">
      <c r="A78" s="6"/>
      <c r="B78" s="6"/>
      <c r="C78" s="6"/>
      <c r="D78" s="6"/>
      <c r="E78" s="6"/>
      <c r="F78" s="6"/>
      <c r="G78" s="7"/>
      <c r="H78" s="7"/>
      <c r="I78" s="6"/>
      <c r="J78" s="9" t="str">
        <f aca="false">IF(NOT(ISNUMBER($G78)),"",IF(AND(ASH_CORRECTED="Yes",ISNUMBER($H78)),$G78*(1-$H78),$G78))</f>
        <v/>
      </c>
      <c r="K78" s="9" t="str">
        <f aca="false">IF($B78="","",IFERROR(AVERAGEIFS('2. Soil Data'!$G$5:$G$604,'2. Soil Data'!$B$5:$B$604,$B78),""))</f>
        <v/>
      </c>
      <c r="L78" s="9" t="str">
        <f aca="false">IF(NOT(ISNUMBER($K78)),"",PI()*($K78/2)^2)</f>
        <v/>
      </c>
      <c r="M78" s="9" t="str">
        <f aca="false">IF(OR(NOT(ISNUMBER($J78)),NOT(ISNUMBER($L78)),$L78=0),"",$J78/$L78*10000)</f>
        <v/>
      </c>
      <c r="N78" s="9" t="str">
        <f aca="false">IF(NOT(ISNUMBER($M78)),"",$M78*CARBON_FRACTION_ROOT/1000)</f>
        <v/>
      </c>
      <c r="O78" s="11" t="str">
        <f aca="false">IF(AND($A78="",$B78="",$G78=""),"",IF(AND($B78&lt;&gt;"",COUNTIFS('2. Soil Data'!$B$5:$B$604,$B78)=0),"Core ID not found in Soil Data, so the corer diameter cannot be looked up. ","")&amp;IF(ASH_CORRECTED&lt;&gt;"Yes","Root mass is NOT ash-corrected, so it includes adhering mineral soil and is too high. Set ASH_CORRECTED once you have done it. ","")&amp;IF(AND(ASH_CORRECTED="Yes",NOT(ISNUMBER($H78))),"Ash correction is switched on but no ash fraction is given for this row. ","")&amp;IF($I78="","Sieve mesh not recorded — a fine-root figure cannot be interpreted without it. ","")&amp;IF(AND(ISNUMBER($H78),$H78&gt;0.5),"Ash fraction above 0.5 — over half this sample was mineral soil. Re-wash. ","")&amp;IF($F78="Not separated","Live and dead not separated. Fine for a stock, but "&amp;"note it in reporting. ",""))</f>
        <v/>
      </c>
      <c r="P78" s="6"/>
      <c r="Q78" s="9" t="n">
        <f aca="false">IF($B78="",0,IF(COUNTIFS($B$5:$B78,$B78)=1,1,0))</f>
        <v>0</v>
      </c>
    </row>
    <row r="79" customFormat="false" ht="15" hidden="false" customHeight="false" outlineLevel="0" collapsed="false">
      <c r="A79" s="6"/>
      <c r="B79" s="6"/>
      <c r="C79" s="6"/>
      <c r="D79" s="6"/>
      <c r="E79" s="6"/>
      <c r="F79" s="6"/>
      <c r="G79" s="7"/>
      <c r="H79" s="7"/>
      <c r="I79" s="6"/>
      <c r="J79" s="9" t="str">
        <f aca="false">IF(NOT(ISNUMBER($G79)),"",IF(AND(ASH_CORRECTED="Yes",ISNUMBER($H79)),$G79*(1-$H79),$G79))</f>
        <v/>
      </c>
      <c r="K79" s="9" t="str">
        <f aca="false">IF($B79="","",IFERROR(AVERAGEIFS('2. Soil Data'!$G$5:$G$604,'2. Soil Data'!$B$5:$B$604,$B79),""))</f>
        <v/>
      </c>
      <c r="L79" s="9" t="str">
        <f aca="false">IF(NOT(ISNUMBER($K79)),"",PI()*($K79/2)^2)</f>
        <v/>
      </c>
      <c r="M79" s="9" t="str">
        <f aca="false">IF(OR(NOT(ISNUMBER($J79)),NOT(ISNUMBER($L79)),$L79=0),"",$J79/$L79*10000)</f>
        <v/>
      </c>
      <c r="N79" s="9" t="str">
        <f aca="false">IF(NOT(ISNUMBER($M79)),"",$M79*CARBON_FRACTION_ROOT/1000)</f>
        <v/>
      </c>
      <c r="O79" s="11" t="str">
        <f aca="false">IF(AND($A79="",$B79="",$G79=""),"",IF(AND($B79&lt;&gt;"",COUNTIFS('2. Soil Data'!$B$5:$B$604,$B79)=0),"Core ID not found in Soil Data, so the corer diameter cannot be looked up. ","")&amp;IF(ASH_CORRECTED&lt;&gt;"Yes","Root mass is NOT ash-corrected, so it includes adhering mineral soil and is too high. Set ASH_CORRECTED once you have done it. ","")&amp;IF(AND(ASH_CORRECTED="Yes",NOT(ISNUMBER($H79))),"Ash correction is switched on but no ash fraction is given for this row. ","")&amp;IF($I79="","Sieve mesh not recorded — a fine-root figure cannot be interpreted without it. ","")&amp;IF(AND(ISNUMBER($H79),$H79&gt;0.5),"Ash fraction above 0.5 — over half this sample was mineral soil. Re-wash. ","")&amp;IF($F79="Not separated","Live and dead not separated. Fine for a stock, but "&amp;"note it in reporting. ",""))</f>
        <v/>
      </c>
      <c r="P79" s="6"/>
      <c r="Q79" s="9" t="n">
        <f aca="false">IF($B79="",0,IF(COUNTIFS($B$5:$B79,$B79)=1,1,0))</f>
        <v>0</v>
      </c>
    </row>
    <row r="80" customFormat="false" ht="15" hidden="false" customHeight="false" outlineLevel="0" collapsed="false">
      <c r="A80" s="6"/>
      <c r="B80" s="6"/>
      <c r="C80" s="6"/>
      <c r="D80" s="6"/>
      <c r="E80" s="6"/>
      <c r="F80" s="6"/>
      <c r="G80" s="7"/>
      <c r="H80" s="7"/>
      <c r="I80" s="6"/>
      <c r="J80" s="9" t="str">
        <f aca="false">IF(NOT(ISNUMBER($G80)),"",IF(AND(ASH_CORRECTED="Yes",ISNUMBER($H80)),$G80*(1-$H80),$G80))</f>
        <v/>
      </c>
      <c r="K80" s="9" t="str">
        <f aca="false">IF($B80="","",IFERROR(AVERAGEIFS('2. Soil Data'!$G$5:$G$604,'2. Soil Data'!$B$5:$B$604,$B80),""))</f>
        <v/>
      </c>
      <c r="L80" s="9" t="str">
        <f aca="false">IF(NOT(ISNUMBER($K80)),"",PI()*($K80/2)^2)</f>
        <v/>
      </c>
      <c r="M80" s="9" t="str">
        <f aca="false">IF(OR(NOT(ISNUMBER($J80)),NOT(ISNUMBER($L80)),$L80=0),"",$J80/$L80*10000)</f>
        <v/>
      </c>
      <c r="N80" s="9" t="str">
        <f aca="false">IF(NOT(ISNUMBER($M80)),"",$M80*CARBON_FRACTION_ROOT/1000)</f>
        <v/>
      </c>
      <c r="O80" s="11" t="str">
        <f aca="false">IF(AND($A80="",$B80="",$G80=""),"",IF(AND($B80&lt;&gt;"",COUNTIFS('2. Soil Data'!$B$5:$B$604,$B80)=0),"Core ID not found in Soil Data, so the corer diameter cannot be looked up. ","")&amp;IF(ASH_CORRECTED&lt;&gt;"Yes","Root mass is NOT ash-corrected, so it includes adhering mineral soil and is too high. Set ASH_CORRECTED once you have done it. ","")&amp;IF(AND(ASH_CORRECTED="Yes",NOT(ISNUMBER($H80))),"Ash correction is switched on but no ash fraction is given for this row. ","")&amp;IF($I80="","Sieve mesh not recorded — a fine-root figure cannot be interpreted without it. ","")&amp;IF(AND(ISNUMBER($H80),$H80&gt;0.5),"Ash fraction above 0.5 — over half this sample was mineral soil. Re-wash. ","")&amp;IF($F80="Not separated","Live and dead not separated. Fine for a stock, but "&amp;"note it in reporting. ",""))</f>
        <v/>
      </c>
      <c r="P80" s="6"/>
      <c r="Q80" s="9" t="n">
        <f aca="false">IF($B80="",0,IF(COUNTIFS($B$5:$B80,$B80)=1,1,0))</f>
        <v>0</v>
      </c>
    </row>
    <row r="81" customFormat="false" ht="15" hidden="false" customHeight="false" outlineLevel="0" collapsed="false">
      <c r="A81" s="6"/>
      <c r="B81" s="6"/>
      <c r="C81" s="6"/>
      <c r="D81" s="6"/>
      <c r="E81" s="6"/>
      <c r="F81" s="6"/>
      <c r="G81" s="7"/>
      <c r="H81" s="7"/>
      <c r="I81" s="6"/>
      <c r="J81" s="9" t="str">
        <f aca="false">IF(NOT(ISNUMBER($G81)),"",IF(AND(ASH_CORRECTED="Yes",ISNUMBER($H81)),$G81*(1-$H81),$G81))</f>
        <v/>
      </c>
      <c r="K81" s="9" t="str">
        <f aca="false">IF($B81="","",IFERROR(AVERAGEIFS('2. Soil Data'!$G$5:$G$604,'2. Soil Data'!$B$5:$B$604,$B81),""))</f>
        <v/>
      </c>
      <c r="L81" s="9" t="str">
        <f aca="false">IF(NOT(ISNUMBER($K81)),"",PI()*($K81/2)^2)</f>
        <v/>
      </c>
      <c r="M81" s="9" t="str">
        <f aca="false">IF(OR(NOT(ISNUMBER($J81)),NOT(ISNUMBER($L81)),$L81=0),"",$J81/$L81*10000)</f>
        <v/>
      </c>
      <c r="N81" s="9" t="str">
        <f aca="false">IF(NOT(ISNUMBER($M81)),"",$M81*CARBON_FRACTION_ROOT/1000)</f>
        <v/>
      </c>
      <c r="O81" s="11" t="str">
        <f aca="false">IF(AND($A81="",$B81="",$G81=""),"",IF(AND($B81&lt;&gt;"",COUNTIFS('2. Soil Data'!$B$5:$B$604,$B81)=0),"Core ID not found in Soil Data, so the corer diameter cannot be looked up. ","")&amp;IF(ASH_CORRECTED&lt;&gt;"Yes","Root mass is NOT ash-corrected, so it includes adhering mineral soil and is too high. Set ASH_CORRECTED once you have done it. ","")&amp;IF(AND(ASH_CORRECTED="Yes",NOT(ISNUMBER($H81))),"Ash correction is switched on but no ash fraction is given for this row. ","")&amp;IF($I81="","Sieve mesh not recorded — a fine-root figure cannot be interpreted without it. ","")&amp;IF(AND(ISNUMBER($H81),$H81&gt;0.5),"Ash fraction above 0.5 — over half this sample was mineral soil. Re-wash. ","")&amp;IF($F81="Not separated","Live and dead not separated. Fine for a stock, but "&amp;"note it in reporting. ",""))</f>
        <v/>
      </c>
      <c r="P81" s="6"/>
      <c r="Q81" s="9" t="n">
        <f aca="false">IF($B81="",0,IF(COUNTIFS($B$5:$B81,$B81)=1,1,0))</f>
        <v>0</v>
      </c>
    </row>
    <row r="82" customFormat="false" ht="15" hidden="false" customHeight="false" outlineLevel="0" collapsed="false">
      <c r="A82" s="6"/>
      <c r="B82" s="6"/>
      <c r="C82" s="6"/>
      <c r="D82" s="6"/>
      <c r="E82" s="6"/>
      <c r="F82" s="6"/>
      <c r="G82" s="7"/>
      <c r="H82" s="7"/>
      <c r="I82" s="6"/>
      <c r="J82" s="9" t="str">
        <f aca="false">IF(NOT(ISNUMBER($G82)),"",IF(AND(ASH_CORRECTED="Yes",ISNUMBER($H82)),$G82*(1-$H82),$G82))</f>
        <v/>
      </c>
      <c r="K82" s="9" t="str">
        <f aca="false">IF($B82="","",IFERROR(AVERAGEIFS('2. Soil Data'!$G$5:$G$604,'2. Soil Data'!$B$5:$B$604,$B82),""))</f>
        <v/>
      </c>
      <c r="L82" s="9" t="str">
        <f aca="false">IF(NOT(ISNUMBER($K82)),"",PI()*($K82/2)^2)</f>
        <v/>
      </c>
      <c r="M82" s="9" t="str">
        <f aca="false">IF(OR(NOT(ISNUMBER($J82)),NOT(ISNUMBER($L82)),$L82=0),"",$J82/$L82*10000)</f>
        <v/>
      </c>
      <c r="N82" s="9" t="str">
        <f aca="false">IF(NOT(ISNUMBER($M82)),"",$M82*CARBON_FRACTION_ROOT/1000)</f>
        <v/>
      </c>
      <c r="O82" s="11" t="str">
        <f aca="false">IF(AND($A82="",$B82="",$G82=""),"",IF(AND($B82&lt;&gt;"",COUNTIFS('2. Soil Data'!$B$5:$B$604,$B82)=0),"Core ID not found in Soil Data, so the corer diameter cannot be looked up. ","")&amp;IF(ASH_CORRECTED&lt;&gt;"Yes","Root mass is NOT ash-corrected, so it includes adhering mineral soil and is too high. Set ASH_CORRECTED once you have done it. ","")&amp;IF(AND(ASH_CORRECTED="Yes",NOT(ISNUMBER($H82))),"Ash correction is switched on but no ash fraction is given for this row. ","")&amp;IF($I82="","Sieve mesh not recorded — a fine-root figure cannot be interpreted without it. ","")&amp;IF(AND(ISNUMBER($H82),$H82&gt;0.5),"Ash fraction above 0.5 — over half this sample was mineral soil. Re-wash. ","")&amp;IF($F82="Not separated","Live and dead not separated. Fine for a stock, but "&amp;"note it in reporting. ",""))</f>
        <v/>
      </c>
      <c r="P82" s="6"/>
      <c r="Q82" s="9" t="n">
        <f aca="false">IF($B82="",0,IF(COUNTIFS($B$5:$B82,$B82)=1,1,0))</f>
        <v>0</v>
      </c>
    </row>
    <row r="83" customFormat="false" ht="15" hidden="false" customHeight="false" outlineLevel="0" collapsed="false">
      <c r="A83" s="6"/>
      <c r="B83" s="6"/>
      <c r="C83" s="6"/>
      <c r="D83" s="6"/>
      <c r="E83" s="6"/>
      <c r="F83" s="6"/>
      <c r="G83" s="7"/>
      <c r="H83" s="7"/>
      <c r="I83" s="6"/>
      <c r="J83" s="9" t="str">
        <f aca="false">IF(NOT(ISNUMBER($G83)),"",IF(AND(ASH_CORRECTED="Yes",ISNUMBER($H83)),$G83*(1-$H83),$G83))</f>
        <v/>
      </c>
      <c r="K83" s="9" t="str">
        <f aca="false">IF($B83="","",IFERROR(AVERAGEIFS('2. Soil Data'!$G$5:$G$604,'2. Soil Data'!$B$5:$B$604,$B83),""))</f>
        <v/>
      </c>
      <c r="L83" s="9" t="str">
        <f aca="false">IF(NOT(ISNUMBER($K83)),"",PI()*($K83/2)^2)</f>
        <v/>
      </c>
      <c r="M83" s="9" t="str">
        <f aca="false">IF(OR(NOT(ISNUMBER($J83)),NOT(ISNUMBER($L83)),$L83=0),"",$J83/$L83*10000)</f>
        <v/>
      </c>
      <c r="N83" s="9" t="str">
        <f aca="false">IF(NOT(ISNUMBER($M83)),"",$M83*CARBON_FRACTION_ROOT/1000)</f>
        <v/>
      </c>
      <c r="O83" s="11" t="str">
        <f aca="false">IF(AND($A83="",$B83="",$G83=""),"",IF(AND($B83&lt;&gt;"",COUNTIFS('2. Soil Data'!$B$5:$B$604,$B83)=0),"Core ID not found in Soil Data, so the corer diameter cannot be looked up. ","")&amp;IF(ASH_CORRECTED&lt;&gt;"Yes","Root mass is NOT ash-corrected, so it includes adhering mineral soil and is too high. Set ASH_CORRECTED once you have done it. ","")&amp;IF(AND(ASH_CORRECTED="Yes",NOT(ISNUMBER($H83))),"Ash correction is switched on but no ash fraction is given for this row. ","")&amp;IF($I83="","Sieve mesh not recorded — a fine-root figure cannot be interpreted without it. ","")&amp;IF(AND(ISNUMBER($H83),$H83&gt;0.5),"Ash fraction above 0.5 — over half this sample was mineral soil. Re-wash. ","")&amp;IF($F83="Not separated","Live and dead not separated. Fine for a stock, but "&amp;"note it in reporting. ",""))</f>
        <v/>
      </c>
      <c r="P83" s="6"/>
      <c r="Q83" s="9" t="n">
        <f aca="false">IF($B83="",0,IF(COUNTIFS($B$5:$B83,$B83)=1,1,0))</f>
        <v>0</v>
      </c>
    </row>
    <row r="84" customFormat="false" ht="15" hidden="false" customHeight="false" outlineLevel="0" collapsed="false">
      <c r="A84" s="6"/>
      <c r="B84" s="6"/>
      <c r="C84" s="6"/>
      <c r="D84" s="6"/>
      <c r="E84" s="6"/>
      <c r="F84" s="6"/>
      <c r="G84" s="7"/>
      <c r="H84" s="7"/>
      <c r="I84" s="6"/>
      <c r="J84" s="9" t="str">
        <f aca="false">IF(NOT(ISNUMBER($G84)),"",IF(AND(ASH_CORRECTED="Yes",ISNUMBER($H84)),$G84*(1-$H84),$G84))</f>
        <v/>
      </c>
      <c r="K84" s="9" t="str">
        <f aca="false">IF($B84="","",IFERROR(AVERAGEIFS('2. Soil Data'!$G$5:$G$604,'2. Soil Data'!$B$5:$B$604,$B84),""))</f>
        <v/>
      </c>
      <c r="L84" s="9" t="str">
        <f aca="false">IF(NOT(ISNUMBER($K84)),"",PI()*($K84/2)^2)</f>
        <v/>
      </c>
      <c r="M84" s="9" t="str">
        <f aca="false">IF(OR(NOT(ISNUMBER($J84)),NOT(ISNUMBER($L84)),$L84=0),"",$J84/$L84*10000)</f>
        <v/>
      </c>
      <c r="N84" s="9" t="str">
        <f aca="false">IF(NOT(ISNUMBER($M84)),"",$M84*CARBON_FRACTION_ROOT/1000)</f>
        <v/>
      </c>
      <c r="O84" s="11" t="str">
        <f aca="false">IF(AND($A84="",$B84="",$G84=""),"",IF(AND($B84&lt;&gt;"",COUNTIFS('2. Soil Data'!$B$5:$B$604,$B84)=0),"Core ID not found in Soil Data, so the corer diameter cannot be looked up. ","")&amp;IF(ASH_CORRECTED&lt;&gt;"Yes","Root mass is NOT ash-corrected, so it includes adhering mineral soil and is too high. Set ASH_CORRECTED once you have done it. ","")&amp;IF(AND(ASH_CORRECTED="Yes",NOT(ISNUMBER($H84))),"Ash correction is switched on but no ash fraction is given for this row. ","")&amp;IF($I84="","Sieve mesh not recorded — a fine-root figure cannot be interpreted without it. ","")&amp;IF(AND(ISNUMBER($H84),$H84&gt;0.5),"Ash fraction above 0.5 — over half this sample was mineral soil. Re-wash. ","")&amp;IF($F84="Not separated","Live and dead not separated. Fine for a stock, but "&amp;"note it in reporting. ",""))</f>
        <v/>
      </c>
      <c r="P84" s="6"/>
      <c r="Q84" s="9" t="n">
        <f aca="false">IF($B84="",0,IF(COUNTIFS($B$5:$B84,$B84)=1,1,0))</f>
        <v>0</v>
      </c>
    </row>
    <row r="85" customFormat="false" ht="15" hidden="false" customHeight="false" outlineLevel="0" collapsed="false">
      <c r="A85" s="6"/>
      <c r="B85" s="6"/>
      <c r="C85" s="6"/>
      <c r="D85" s="6"/>
      <c r="E85" s="6"/>
      <c r="F85" s="6"/>
      <c r="G85" s="7"/>
      <c r="H85" s="7"/>
      <c r="I85" s="6"/>
      <c r="J85" s="9" t="str">
        <f aca="false">IF(NOT(ISNUMBER($G85)),"",IF(AND(ASH_CORRECTED="Yes",ISNUMBER($H85)),$G85*(1-$H85),$G85))</f>
        <v/>
      </c>
      <c r="K85" s="9" t="str">
        <f aca="false">IF($B85="","",IFERROR(AVERAGEIFS('2. Soil Data'!$G$5:$G$604,'2. Soil Data'!$B$5:$B$604,$B85),""))</f>
        <v/>
      </c>
      <c r="L85" s="9" t="str">
        <f aca="false">IF(NOT(ISNUMBER($K85)),"",PI()*($K85/2)^2)</f>
        <v/>
      </c>
      <c r="M85" s="9" t="str">
        <f aca="false">IF(OR(NOT(ISNUMBER($J85)),NOT(ISNUMBER($L85)),$L85=0),"",$J85/$L85*10000)</f>
        <v/>
      </c>
      <c r="N85" s="9" t="str">
        <f aca="false">IF(NOT(ISNUMBER($M85)),"",$M85*CARBON_FRACTION_ROOT/1000)</f>
        <v/>
      </c>
      <c r="O85" s="11" t="str">
        <f aca="false">IF(AND($A85="",$B85="",$G85=""),"",IF(AND($B85&lt;&gt;"",COUNTIFS('2. Soil Data'!$B$5:$B$604,$B85)=0),"Core ID not found in Soil Data, so the corer diameter cannot be looked up. ","")&amp;IF(ASH_CORRECTED&lt;&gt;"Yes","Root mass is NOT ash-corrected, so it includes adhering mineral soil and is too high. Set ASH_CORRECTED once you have done it. ","")&amp;IF(AND(ASH_CORRECTED="Yes",NOT(ISNUMBER($H85))),"Ash correction is switched on but no ash fraction is given for this row. ","")&amp;IF($I85="","Sieve mesh not recorded — a fine-root figure cannot be interpreted without it. ","")&amp;IF(AND(ISNUMBER($H85),$H85&gt;0.5),"Ash fraction above 0.5 — over half this sample was mineral soil. Re-wash. ","")&amp;IF($F85="Not separated","Live and dead not separated. Fine for a stock, but "&amp;"note it in reporting. ",""))</f>
        <v/>
      </c>
      <c r="P85" s="6"/>
      <c r="Q85" s="9" t="n">
        <f aca="false">IF($B85="",0,IF(COUNTIFS($B$5:$B85,$B85)=1,1,0))</f>
        <v>0</v>
      </c>
    </row>
    <row r="86" customFormat="false" ht="15" hidden="false" customHeight="false" outlineLevel="0" collapsed="false">
      <c r="A86" s="6"/>
      <c r="B86" s="6"/>
      <c r="C86" s="6"/>
      <c r="D86" s="6"/>
      <c r="E86" s="6"/>
      <c r="F86" s="6"/>
      <c r="G86" s="7"/>
      <c r="H86" s="7"/>
      <c r="I86" s="6"/>
      <c r="J86" s="9" t="str">
        <f aca="false">IF(NOT(ISNUMBER($G86)),"",IF(AND(ASH_CORRECTED="Yes",ISNUMBER($H86)),$G86*(1-$H86),$G86))</f>
        <v/>
      </c>
      <c r="K86" s="9" t="str">
        <f aca="false">IF($B86="","",IFERROR(AVERAGEIFS('2. Soil Data'!$G$5:$G$604,'2. Soil Data'!$B$5:$B$604,$B86),""))</f>
        <v/>
      </c>
      <c r="L86" s="9" t="str">
        <f aca="false">IF(NOT(ISNUMBER($K86)),"",PI()*($K86/2)^2)</f>
        <v/>
      </c>
      <c r="M86" s="9" t="str">
        <f aca="false">IF(OR(NOT(ISNUMBER($J86)),NOT(ISNUMBER($L86)),$L86=0),"",$J86/$L86*10000)</f>
        <v/>
      </c>
      <c r="N86" s="9" t="str">
        <f aca="false">IF(NOT(ISNUMBER($M86)),"",$M86*CARBON_FRACTION_ROOT/1000)</f>
        <v/>
      </c>
      <c r="O86" s="11" t="str">
        <f aca="false">IF(AND($A86="",$B86="",$G86=""),"",IF(AND($B86&lt;&gt;"",COUNTIFS('2. Soil Data'!$B$5:$B$604,$B86)=0),"Core ID not found in Soil Data, so the corer diameter cannot be looked up. ","")&amp;IF(ASH_CORRECTED&lt;&gt;"Yes","Root mass is NOT ash-corrected, so it includes adhering mineral soil and is too high. Set ASH_CORRECTED once you have done it. ","")&amp;IF(AND(ASH_CORRECTED="Yes",NOT(ISNUMBER($H86))),"Ash correction is switched on but no ash fraction is given for this row. ","")&amp;IF($I86="","Sieve mesh not recorded — a fine-root figure cannot be interpreted without it. ","")&amp;IF(AND(ISNUMBER($H86),$H86&gt;0.5),"Ash fraction above 0.5 — over half this sample was mineral soil. Re-wash. ","")&amp;IF($F86="Not separated","Live and dead not separated. Fine for a stock, but "&amp;"note it in reporting. ",""))</f>
        <v/>
      </c>
      <c r="P86" s="6"/>
      <c r="Q86" s="9" t="n">
        <f aca="false">IF($B86="",0,IF(COUNTIFS($B$5:$B86,$B86)=1,1,0))</f>
        <v>0</v>
      </c>
    </row>
    <row r="87" customFormat="false" ht="15" hidden="false" customHeight="false" outlineLevel="0" collapsed="false">
      <c r="A87" s="6"/>
      <c r="B87" s="6"/>
      <c r="C87" s="6"/>
      <c r="D87" s="6"/>
      <c r="E87" s="6"/>
      <c r="F87" s="6"/>
      <c r="G87" s="7"/>
      <c r="H87" s="7"/>
      <c r="I87" s="6"/>
      <c r="J87" s="9" t="str">
        <f aca="false">IF(NOT(ISNUMBER($G87)),"",IF(AND(ASH_CORRECTED="Yes",ISNUMBER($H87)),$G87*(1-$H87),$G87))</f>
        <v/>
      </c>
      <c r="K87" s="9" t="str">
        <f aca="false">IF($B87="","",IFERROR(AVERAGEIFS('2. Soil Data'!$G$5:$G$604,'2. Soil Data'!$B$5:$B$604,$B87),""))</f>
        <v/>
      </c>
      <c r="L87" s="9" t="str">
        <f aca="false">IF(NOT(ISNUMBER($K87)),"",PI()*($K87/2)^2)</f>
        <v/>
      </c>
      <c r="M87" s="9" t="str">
        <f aca="false">IF(OR(NOT(ISNUMBER($J87)),NOT(ISNUMBER($L87)),$L87=0),"",$J87/$L87*10000)</f>
        <v/>
      </c>
      <c r="N87" s="9" t="str">
        <f aca="false">IF(NOT(ISNUMBER($M87)),"",$M87*CARBON_FRACTION_ROOT/1000)</f>
        <v/>
      </c>
      <c r="O87" s="11" t="str">
        <f aca="false">IF(AND($A87="",$B87="",$G87=""),"",IF(AND($B87&lt;&gt;"",COUNTIFS('2. Soil Data'!$B$5:$B$604,$B87)=0),"Core ID not found in Soil Data, so the corer diameter cannot be looked up. ","")&amp;IF(ASH_CORRECTED&lt;&gt;"Yes","Root mass is NOT ash-corrected, so it includes adhering mineral soil and is too high. Set ASH_CORRECTED once you have done it. ","")&amp;IF(AND(ASH_CORRECTED="Yes",NOT(ISNUMBER($H87))),"Ash correction is switched on but no ash fraction is given for this row. ","")&amp;IF($I87="","Sieve mesh not recorded — a fine-root figure cannot be interpreted without it. ","")&amp;IF(AND(ISNUMBER($H87),$H87&gt;0.5),"Ash fraction above 0.5 — over half this sample was mineral soil. Re-wash. ","")&amp;IF($F87="Not separated","Live and dead not separated. Fine for a stock, but "&amp;"note it in reporting. ",""))</f>
        <v/>
      </c>
      <c r="P87" s="6"/>
      <c r="Q87" s="9" t="n">
        <f aca="false">IF($B87="",0,IF(COUNTIFS($B$5:$B87,$B87)=1,1,0))</f>
        <v>0</v>
      </c>
    </row>
    <row r="88" customFormat="false" ht="15" hidden="false" customHeight="false" outlineLevel="0" collapsed="false">
      <c r="A88" s="6"/>
      <c r="B88" s="6"/>
      <c r="C88" s="6"/>
      <c r="D88" s="6"/>
      <c r="E88" s="6"/>
      <c r="F88" s="6"/>
      <c r="G88" s="7"/>
      <c r="H88" s="7"/>
      <c r="I88" s="6"/>
      <c r="J88" s="9" t="str">
        <f aca="false">IF(NOT(ISNUMBER($G88)),"",IF(AND(ASH_CORRECTED="Yes",ISNUMBER($H88)),$G88*(1-$H88),$G88))</f>
        <v/>
      </c>
      <c r="K88" s="9" t="str">
        <f aca="false">IF($B88="","",IFERROR(AVERAGEIFS('2. Soil Data'!$G$5:$G$604,'2. Soil Data'!$B$5:$B$604,$B88),""))</f>
        <v/>
      </c>
      <c r="L88" s="9" t="str">
        <f aca="false">IF(NOT(ISNUMBER($K88)),"",PI()*($K88/2)^2)</f>
        <v/>
      </c>
      <c r="M88" s="9" t="str">
        <f aca="false">IF(OR(NOT(ISNUMBER($J88)),NOT(ISNUMBER($L88)),$L88=0),"",$J88/$L88*10000)</f>
        <v/>
      </c>
      <c r="N88" s="9" t="str">
        <f aca="false">IF(NOT(ISNUMBER($M88)),"",$M88*CARBON_FRACTION_ROOT/1000)</f>
        <v/>
      </c>
      <c r="O88" s="11" t="str">
        <f aca="false">IF(AND($A88="",$B88="",$G88=""),"",IF(AND($B88&lt;&gt;"",COUNTIFS('2. Soil Data'!$B$5:$B$604,$B88)=0),"Core ID not found in Soil Data, so the corer diameter cannot be looked up. ","")&amp;IF(ASH_CORRECTED&lt;&gt;"Yes","Root mass is NOT ash-corrected, so it includes adhering mineral soil and is too high. Set ASH_CORRECTED once you have done it. ","")&amp;IF(AND(ASH_CORRECTED="Yes",NOT(ISNUMBER($H88))),"Ash correction is switched on but no ash fraction is given for this row. ","")&amp;IF($I88="","Sieve mesh not recorded — a fine-root figure cannot be interpreted without it. ","")&amp;IF(AND(ISNUMBER($H88),$H88&gt;0.5),"Ash fraction above 0.5 — over half this sample was mineral soil. Re-wash. ","")&amp;IF($F88="Not separated","Live and dead not separated. Fine for a stock, but "&amp;"note it in reporting. ",""))</f>
        <v/>
      </c>
      <c r="P88" s="6"/>
      <c r="Q88" s="9" t="n">
        <f aca="false">IF($B88="",0,IF(COUNTIFS($B$5:$B88,$B88)=1,1,0))</f>
        <v>0</v>
      </c>
    </row>
    <row r="89" customFormat="false" ht="15" hidden="false" customHeight="false" outlineLevel="0" collapsed="false">
      <c r="A89" s="6"/>
      <c r="B89" s="6"/>
      <c r="C89" s="6"/>
      <c r="D89" s="6"/>
      <c r="E89" s="6"/>
      <c r="F89" s="6"/>
      <c r="G89" s="7"/>
      <c r="H89" s="7"/>
      <c r="I89" s="6"/>
      <c r="J89" s="9" t="str">
        <f aca="false">IF(NOT(ISNUMBER($G89)),"",IF(AND(ASH_CORRECTED="Yes",ISNUMBER($H89)),$G89*(1-$H89),$G89))</f>
        <v/>
      </c>
      <c r="K89" s="9" t="str">
        <f aca="false">IF($B89="","",IFERROR(AVERAGEIFS('2. Soil Data'!$G$5:$G$604,'2. Soil Data'!$B$5:$B$604,$B89),""))</f>
        <v/>
      </c>
      <c r="L89" s="9" t="str">
        <f aca="false">IF(NOT(ISNUMBER($K89)),"",PI()*($K89/2)^2)</f>
        <v/>
      </c>
      <c r="M89" s="9" t="str">
        <f aca="false">IF(OR(NOT(ISNUMBER($J89)),NOT(ISNUMBER($L89)),$L89=0),"",$J89/$L89*10000)</f>
        <v/>
      </c>
      <c r="N89" s="9" t="str">
        <f aca="false">IF(NOT(ISNUMBER($M89)),"",$M89*CARBON_FRACTION_ROOT/1000)</f>
        <v/>
      </c>
      <c r="O89" s="11" t="str">
        <f aca="false">IF(AND($A89="",$B89="",$G89=""),"",IF(AND($B89&lt;&gt;"",COUNTIFS('2. Soil Data'!$B$5:$B$604,$B89)=0),"Core ID not found in Soil Data, so the corer diameter cannot be looked up. ","")&amp;IF(ASH_CORRECTED&lt;&gt;"Yes","Root mass is NOT ash-corrected, so it includes adhering mineral soil and is too high. Set ASH_CORRECTED once you have done it. ","")&amp;IF(AND(ASH_CORRECTED="Yes",NOT(ISNUMBER($H89))),"Ash correction is switched on but no ash fraction is given for this row. ","")&amp;IF($I89="","Sieve mesh not recorded — a fine-root figure cannot be interpreted without it. ","")&amp;IF(AND(ISNUMBER($H89),$H89&gt;0.5),"Ash fraction above 0.5 — over half this sample was mineral soil. Re-wash. ","")&amp;IF($F89="Not separated","Live and dead not separated. Fine for a stock, but "&amp;"note it in reporting. ",""))</f>
        <v/>
      </c>
      <c r="P89" s="6"/>
      <c r="Q89" s="9" t="n">
        <f aca="false">IF($B89="",0,IF(COUNTIFS($B$5:$B89,$B89)=1,1,0))</f>
        <v>0</v>
      </c>
    </row>
    <row r="90" customFormat="false" ht="15" hidden="false" customHeight="false" outlineLevel="0" collapsed="false">
      <c r="A90" s="6"/>
      <c r="B90" s="6"/>
      <c r="C90" s="6"/>
      <c r="D90" s="6"/>
      <c r="E90" s="6"/>
      <c r="F90" s="6"/>
      <c r="G90" s="7"/>
      <c r="H90" s="7"/>
      <c r="I90" s="6"/>
      <c r="J90" s="9" t="str">
        <f aca="false">IF(NOT(ISNUMBER($G90)),"",IF(AND(ASH_CORRECTED="Yes",ISNUMBER($H90)),$G90*(1-$H90),$G90))</f>
        <v/>
      </c>
      <c r="K90" s="9" t="str">
        <f aca="false">IF($B90="","",IFERROR(AVERAGEIFS('2. Soil Data'!$G$5:$G$604,'2. Soil Data'!$B$5:$B$604,$B90),""))</f>
        <v/>
      </c>
      <c r="L90" s="9" t="str">
        <f aca="false">IF(NOT(ISNUMBER($K90)),"",PI()*($K90/2)^2)</f>
        <v/>
      </c>
      <c r="M90" s="9" t="str">
        <f aca="false">IF(OR(NOT(ISNUMBER($J90)),NOT(ISNUMBER($L90)),$L90=0),"",$J90/$L90*10000)</f>
        <v/>
      </c>
      <c r="N90" s="9" t="str">
        <f aca="false">IF(NOT(ISNUMBER($M90)),"",$M90*CARBON_FRACTION_ROOT/1000)</f>
        <v/>
      </c>
      <c r="O90" s="11" t="str">
        <f aca="false">IF(AND($A90="",$B90="",$G90=""),"",IF(AND($B90&lt;&gt;"",COUNTIFS('2. Soil Data'!$B$5:$B$604,$B90)=0),"Core ID not found in Soil Data, so the corer diameter cannot be looked up. ","")&amp;IF(ASH_CORRECTED&lt;&gt;"Yes","Root mass is NOT ash-corrected, so it includes adhering mineral soil and is too high. Set ASH_CORRECTED once you have done it. ","")&amp;IF(AND(ASH_CORRECTED="Yes",NOT(ISNUMBER($H90))),"Ash correction is switched on but no ash fraction is given for this row. ","")&amp;IF($I90="","Sieve mesh not recorded — a fine-root figure cannot be interpreted without it. ","")&amp;IF(AND(ISNUMBER($H90),$H90&gt;0.5),"Ash fraction above 0.5 — over half this sample was mineral soil. Re-wash. ","")&amp;IF($F90="Not separated","Live and dead not separated. Fine for a stock, but "&amp;"note it in reporting. ",""))</f>
        <v/>
      </c>
      <c r="P90" s="6"/>
      <c r="Q90" s="9" t="n">
        <f aca="false">IF($B90="",0,IF(COUNTIFS($B$5:$B90,$B90)=1,1,0))</f>
        <v>0</v>
      </c>
    </row>
    <row r="91" customFormat="false" ht="15" hidden="false" customHeight="false" outlineLevel="0" collapsed="false">
      <c r="A91" s="6"/>
      <c r="B91" s="6"/>
      <c r="C91" s="6"/>
      <c r="D91" s="6"/>
      <c r="E91" s="6"/>
      <c r="F91" s="6"/>
      <c r="G91" s="7"/>
      <c r="H91" s="7"/>
      <c r="I91" s="6"/>
      <c r="J91" s="9" t="str">
        <f aca="false">IF(NOT(ISNUMBER($G91)),"",IF(AND(ASH_CORRECTED="Yes",ISNUMBER($H91)),$G91*(1-$H91),$G91))</f>
        <v/>
      </c>
      <c r="K91" s="9" t="str">
        <f aca="false">IF($B91="","",IFERROR(AVERAGEIFS('2. Soil Data'!$G$5:$G$604,'2. Soil Data'!$B$5:$B$604,$B91),""))</f>
        <v/>
      </c>
      <c r="L91" s="9" t="str">
        <f aca="false">IF(NOT(ISNUMBER($K91)),"",PI()*($K91/2)^2)</f>
        <v/>
      </c>
      <c r="M91" s="9" t="str">
        <f aca="false">IF(OR(NOT(ISNUMBER($J91)),NOT(ISNUMBER($L91)),$L91=0),"",$J91/$L91*10000)</f>
        <v/>
      </c>
      <c r="N91" s="9" t="str">
        <f aca="false">IF(NOT(ISNUMBER($M91)),"",$M91*CARBON_FRACTION_ROOT/1000)</f>
        <v/>
      </c>
      <c r="O91" s="11" t="str">
        <f aca="false">IF(AND($A91="",$B91="",$G91=""),"",IF(AND($B91&lt;&gt;"",COUNTIFS('2. Soil Data'!$B$5:$B$604,$B91)=0),"Core ID not found in Soil Data, so the corer diameter cannot be looked up. ","")&amp;IF(ASH_CORRECTED&lt;&gt;"Yes","Root mass is NOT ash-corrected, so it includes adhering mineral soil and is too high. Set ASH_CORRECTED once you have done it. ","")&amp;IF(AND(ASH_CORRECTED="Yes",NOT(ISNUMBER($H91))),"Ash correction is switched on but no ash fraction is given for this row. ","")&amp;IF($I91="","Sieve mesh not recorded — a fine-root figure cannot be interpreted without it. ","")&amp;IF(AND(ISNUMBER($H91),$H91&gt;0.5),"Ash fraction above 0.5 — over half this sample was mineral soil. Re-wash. ","")&amp;IF($F91="Not separated","Live and dead not separated. Fine for a stock, but "&amp;"note it in reporting. ",""))</f>
        <v/>
      </c>
      <c r="P91" s="6"/>
      <c r="Q91" s="9" t="n">
        <f aca="false">IF($B91="",0,IF(COUNTIFS($B$5:$B91,$B91)=1,1,0))</f>
        <v>0</v>
      </c>
    </row>
    <row r="92" customFormat="false" ht="15" hidden="false" customHeight="false" outlineLevel="0" collapsed="false">
      <c r="A92" s="6"/>
      <c r="B92" s="6"/>
      <c r="C92" s="6"/>
      <c r="D92" s="6"/>
      <c r="E92" s="6"/>
      <c r="F92" s="6"/>
      <c r="G92" s="7"/>
      <c r="H92" s="7"/>
      <c r="I92" s="6"/>
      <c r="J92" s="9" t="str">
        <f aca="false">IF(NOT(ISNUMBER($G92)),"",IF(AND(ASH_CORRECTED="Yes",ISNUMBER($H92)),$G92*(1-$H92),$G92))</f>
        <v/>
      </c>
      <c r="K92" s="9" t="str">
        <f aca="false">IF($B92="","",IFERROR(AVERAGEIFS('2. Soil Data'!$G$5:$G$604,'2. Soil Data'!$B$5:$B$604,$B92),""))</f>
        <v/>
      </c>
      <c r="L92" s="9" t="str">
        <f aca="false">IF(NOT(ISNUMBER($K92)),"",PI()*($K92/2)^2)</f>
        <v/>
      </c>
      <c r="M92" s="9" t="str">
        <f aca="false">IF(OR(NOT(ISNUMBER($J92)),NOT(ISNUMBER($L92)),$L92=0),"",$J92/$L92*10000)</f>
        <v/>
      </c>
      <c r="N92" s="9" t="str">
        <f aca="false">IF(NOT(ISNUMBER($M92)),"",$M92*CARBON_FRACTION_ROOT/1000)</f>
        <v/>
      </c>
      <c r="O92" s="11" t="str">
        <f aca="false">IF(AND($A92="",$B92="",$G92=""),"",IF(AND($B92&lt;&gt;"",COUNTIFS('2. Soil Data'!$B$5:$B$604,$B92)=0),"Core ID not found in Soil Data, so the corer diameter cannot be looked up. ","")&amp;IF(ASH_CORRECTED&lt;&gt;"Yes","Root mass is NOT ash-corrected, so it includes adhering mineral soil and is too high. Set ASH_CORRECTED once you have done it. ","")&amp;IF(AND(ASH_CORRECTED="Yes",NOT(ISNUMBER($H92))),"Ash correction is switched on but no ash fraction is given for this row. ","")&amp;IF($I92="","Sieve mesh not recorded — a fine-root figure cannot be interpreted without it. ","")&amp;IF(AND(ISNUMBER($H92),$H92&gt;0.5),"Ash fraction above 0.5 — over half this sample was mineral soil. Re-wash. ","")&amp;IF($F92="Not separated","Live and dead not separated. Fine for a stock, but "&amp;"note it in reporting. ",""))</f>
        <v/>
      </c>
      <c r="P92" s="6"/>
      <c r="Q92" s="9" t="n">
        <f aca="false">IF($B92="",0,IF(COUNTIFS($B$5:$B92,$B92)=1,1,0))</f>
        <v>0</v>
      </c>
    </row>
    <row r="93" customFormat="false" ht="15" hidden="false" customHeight="false" outlineLevel="0" collapsed="false">
      <c r="A93" s="6"/>
      <c r="B93" s="6"/>
      <c r="C93" s="6"/>
      <c r="D93" s="6"/>
      <c r="E93" s="6"/>
      <c r="F93" s="6"/>
      <c r="G93" s="7"/>
      <c r="H93" s="7"/>
      <c r="I93" s="6"/>
      <c r="J93" s="9" t="str">
        <f aca="false">IF(NOT(ISNUMBER($G93)),"",IF(AND(ASH_CORRECTED="Yes",ISNUMBER($H93)),$G93*(1-$H93),$G93))</f>
        <v/>
      </c>
      <c r="K93" s="9" t="str">
        <f aca="false">IF($B93="","",IFERROR(AVERAGEIFS('2. Soil Data'!$G$5:$G$604,'2. Soil Data'!$B$5:$B$604,$B93),""))</f>
        <v/>
      </c>
      <c r="L93" s="9" t="str">
        <f aca="false">IF(NOT(ISNUMBER($K93)),"",PI()*($K93/2)^2)</f>
        <v/>
      </c>
      <c r="M93" s="9" t="str">
        <f aca="false">IF(OR(NOT(ISNUMBER($J93)),NOT(ISNUMBER($L93)),$L93=0),"",$J93/$L93*10000)</f>
        <v/>
      </c>
      <c r="N93" s="9" t="str">
        <f aca="false">IF(NOT(ISNUMBER($M93)),"",$M93*CARBON_FRACTION_ROOT/1000)</f>
        <v/>
      </c>
      <c r="O93" s="11" t="str">
        <f aca="false">IF(AND($A93="",$B93="",$G93=""),"",IF(AND($B93&lt;&gt;"",COUNTIFS('2. Soil Data'!$B$5:$B$604,$B93)=0),"Core ID not found in Soil Data, so the corer diameter cannot be looked up. ","")&amp;IF(ASH_CORRECTED&lt;&gt;"Yes","Root mass is NOT ash-corrected, so it includes adhering mineral soil and is too high. Set ASH_CORRECTED once you have done it. ","")&amp;IF(AND(ASH_CORRECTED="Yes",NOT(ISNUMBER($H93))),"Ash correction is switched on but no ash fraction is given for this row. ","")&amp;IF($I93="","Sieve mesh not recorded — a fine-root figure cannot be interpreted without it. ","")&amp;IF(AND(ISNUMBER($H93),$H93&gt;0.5),"Ash fraction above 0.5 — over half this sample was mineral soil. Re-wash. ","")&amp;IF($F93="Not separated","Live and dead not separated. Fine for a stock, but "&amp;"note it in reporting. ",""))</f>
        <v/>
      </c>
      <c r="P93" s="6"/>
      <c r="Q93" s="9" t="n">
        <f aca="false">IF($B93="",0,IF(COUNTIFS($B$5:$B93,$B93)=1,1,0))</f>
        <v>0</v>
      </c>
    </row>
    <row r="94" customFormat="false" ht="15" hidden="false" customHeight="false" outlineLevel="0" collapsed="false">
      <c r="A94" s="6"/>
      <c r="B94" s="6"/>
      <c r="C94" s="6"/>
      <c r="D94" s="6"/>
      <c r="E94" s="6"/>
      <c r="F94" s="6"/>
      <c r="G94" s="7"/>
      <c r="H94" s="7"/>
      <c r="I94" s="6"/>
      <c r="J94" s="9" t="str">
        <f aca="false">IF(NOT(ISNUMBER($G94)),"",IF(AND(ASH_CORRECTED="Yes",ISNUMBER($H94)),$G94*(1-$H94),$G94))</f>
        <v/>
      </c>
      <c r="K94" s="9" t="str">
        <f aca="false">IF($B94="","",IFERROR(AVERAGEIFS('2. Soil Data'!$G$5:$G$604,'2. Soil Data'!$B$5:$B$604,$B94),""))</f>
        <v/>
      </c>
      <c r="L94" s="9" t="str">
        <f aca="false">IF(NOT(ISNUMBER($K94)),"",PI()*($K94/2)^2)</f>
        <v/>
      </c>
      <c r="M94" s="9" t="str">
        <f aca="false">IF(OR(NOT(ISNUMBER($J94)),NOT(ISNUMBER($L94)),$L94=0),"",$J94/$L94*10000)</f>
        <v/>
      </c>
      <c r="N94" s="9" t="str">
        <f aca="false">IF(NOT(ISNUMBER($M94)),"",$M94*CARBON_FRACTION_ROOT/1000)</f>
        <v/>
      </c>
      <c r="O94" s="11" t="str">
        <f aca="false">IF(AND($A94="",$B94="",$G94=""),"",IF(AND($B94&lt;&gt;"",COUNTIFS('2. Soil Data'!$B$5:$B$604,$B94)=0),"Core ID not found in Soil Data, so the corer diameter cannot be looked up. ","")&amp;IF(ASH_CORRECTED&lt;&gt;"Yes","Root mass is NOT ash-corrected, so it includes adhering mineral soil and is too high. Set ASH_CORRECTED once you have done it. ","")&amp;IF(AND(ASH_CORRECTED="Yes",NOT(ISNUMBER($H94))),"Ash correction is switched on but no ash fraction is given for this row. ","")&amp;IF($I94="","Sieve mesh not recorded — a fine-root figure cannot be interpreted without it. ","")&amp;IF(AND(ISNUMBER($H94),$H94&gt;0.5),"Ash fraction above 0.5 — over half this sample was mineral soil. Re-wash. ","")&amp;IF($F94="Not separated","Live and dead not separated. Fine for a stock, but "&amp;"note it in reporting. ",""))</f>
        <v/>
      </c>
      <c r="P94" s="6"/>
      <c r="Q94" s="9" t="n">
        <f aca="false">IF($B94="",0,IF(COUNTIFS($B$5:$B94,$B94)=1,1,0))</f>
        <v>0</v>
      </c>
    </row>
    <row r="95" customFormat="false" ht="15" hidden="false" customHeight="false" outlineLevel="0" collapsed="false">
      <c r="A95" s="6"/>
      <c r="B95" s="6"/>
      <c r="C95" s="6"/>
      <c r="D95" s="6"/>
      <c r="E95" s="6"/>
      <c r="F95" s="6"/>
      <c r="G95" s="7"/>
      <c r="H95" s="7"/>
      <c r="I95" s="6"/>
      <c r="J95" s="9" t="str">
        <f aca="false">IF(NOT(ISNUMBER($G95)),"",IF(AND(ASH_CORRECTED="Yes",ISNUMBER($H95)),$G95*(1-$H95),$G95))</f>
        <v/>
      </c>
      <c r="K95" s="9" t="str">
        <f aca="false">IF($B95="","",IFERROR(AVERAGEIFS('2. Soil Data'!$G$5:$G$604,'2. Soil Data'!$B$5:$B$604,$B95),""))</f>
        <v/>
      </c>
      <c r="L95" s="9" t="str">
        <f aca="false">IF(NOT(ISNUMBER($K95)),"",PI()*($K95/2)^2)</f>
        <v/>
      </c>
      <c r="M95" s="9" t="str">
        <f aca="false">IF(OR(NOT(ISNUMBER($J95)),NOT(ISNUMBER($L95)),$L95=0),"",$J95/$L95*10000)</f>
        <v/>
      </c>
      <c r="N95" s="9" t="str">
        <f aca="false">IF(NOT(ISNUMBER($M95)),"",$M95*CARBON_FRACTION_ROOT/1000)</f>
        <v/>
      </c>
      <c r="O95" s="11" t="str">
        <f aca="false">IF(AND($A95="",$B95="",$G95=""),"",IF(AND($B95&lt;&gt;"",COUNTIFS('2. Soil Data'!$B$5:$B$604,$B95)=0),"Core ID not found in Soil Data, so the corer diameter cannot be looked up. ","")&amp;IF(ASH_CORRECTED&lt;&gt;"Yes","Root mass is NOT ash-corrected, so it includes adhering mineral soil and is too high. Set ASH_CORRECTED once you have done it. ","")&amp;IF(AND(ASH_CORRECTED="Yes",NOT(ISNUMBER($H95))),"Ash correction is switched on but no ash fraction is given for this row. ","")&amp;IF($I95="","Sieve mesh not recorded — a fine-root figure cannot be interpreted without it. ","")&amp;IF(AND(ISNUMBER($H95),$H95&gt;0.5),"Ash fraction above 0.5 — over half this sample was mineral soil. Re-wash. ","")&amp;IF($F95="Not separated","Live and dead not separated. Fine for a stock, but "&amp;"note it in reporting. ",""))</f>
        <v/>
      </c>
      <c r="P95" s="6"/>
      <c r="Q95" s="9" t="n">
        <f aca="false">IF($B95="",0,IF(COUNTIFS($B$5:$B95,$B95)=1,1,0))</f>
        <v>0</v>
      </c>
    </row>
    <row r="96" customFormat="false" ht="15" hidden="false" customHeight="false" outlineLevel="0" collapsed="false">
      <c r="A96" s="6"/>
      <c r="B96" s="6"/>
      <c r="C96" s="6"/>
      <c r="D96" s="6"/>
      <c r="E96" s="6"/>
      <c r="F96" s="6"/>
      <c r="G96" s="7"/>
      <c r="H96" s="7"/>
      <c r="I96" s="6"/>
      <c r="J96" s="9" t="str">
        <f aca="false">IF(NOT(ISNUMBER($G96)),"",IF(AND(ASH_CORRECTED="Yes",ISNUMBER($H96)),$G96*(1-$H96),$G96))</f>
        <v/>
      </c>
      <c r="K96" s="9" t="str">
        <f aca="false">IF($B96="","",IFERROR(AVERAGEIFS('2. Soil Data'!$G$5:$G$604,'2. Soil Data'!$B$5:$B$604,$B96),""))</f>
        <v/>
      </c>
      <c r="L96" s="9" t="str">
        <f aca="false">IF(NOT(ISNUMBER($K96)),"",PI()*($K96/2)^2)</f>
        <v/>
      </c>
      <c r="M96" s="9" t="str">
        <f aca="false">IF(OR(NOT(ISNUMBER($J96)),NOT(ISNUMBER($L96)),$L96=0),"",$J96/$L96*10000)</f>
        <v/>
      </c>
      <c r="N96" s="9" t="str">
        <f aca="false">IF(NOT(ISNUMBER($M96)),"",$M96*CARBON_FRACTION_ROOT/1000)</f>
        <v/>
      </c>
      <c r="O96" s="11" t="str">
        <f aca="false">IF(AND($A96="",$B96="",$G96=""),"",IF(AND($B96&lt;&gt;"",COUNTIFS('2. Soil Data'!$B$5:$B$604,$B96)=0),"Core ID not found in Soil Data, so the corer diameter cannot be looked up. ","")&amp;IF(ASH_CORRECTED&lt;&gt;"Yes","Root mass is NOT ash-corrected, so it includes adhering mineral soil and is too high. Set ASH_CORRECTED once you have done it. ","")&amp;IF(AND(ASH_CORRECTED="Yes",NOT(ISNUMBER($H96))),"Ash correction is switched on but no ash fraction is given for this row. ","")&amp;IF($I96="","Sieve mesh not recorded — a fine-root figure cannot be interpreted without it. ","")&amp;IF(AND(ISNUMBER($H96),$H96&gt;0.5),"Ash fraction above 0.5 — over half this sample was mineral soil. Re-wash. ","")&amp;IF($F96="Not separated","Live and dead not separated. Fine for a stock, but "&amp;"note it in reporting. ",""))</f>
        <v/>
      </c>
      <c r="P96" s="6"/>
      <c r="Q96" s="9" t="n">
        <f aca="false">IF($B96="",0,IF(COUNTIFS($B$5:$B96,$B96)=1,1,0))</f>
        <v>0</v>
      </c>
    </row>
    <row r="97" customFormat="false" ht="15" hidden="false" customHeight="false" outlineLevel="0" collapsed="false">
      <c r="A97" s="6"/>
      <c r="B97" s="6"/>
      <c r="C97" s="6"/>
      <c r="D97" s="6"/>
      <c r="E97" s="6"/>
      <c r="F97" s="6"/>
      <c r="G97" s="7"/>
      <c r="H97" s="7"/>
      <c r="I97" s="6"/>
      <c r="J97" s="9" t="str">
        <f aca="false">IF(NOT(ISNUMBER($G97)),"",IF(AND(ASH_CORRECTED="Yes",ISNUMBER($H97)),$G97*(1-$H97),$G97))</f>
        <v/>
      </c>
      <c r="K97" s="9" t="str">
        <f aca="false">IF($B97="","",IFERROR(AVERAGEIFS('2. Soil Data'!$G$5:$G$604,'2. Soil Data'!$B$5:$B$604,$B97),""))</f>
        <v/>
      </c>
      <c r="L97" s="9" t="str">
        <f aca="false">IF(NOT(ISNUMBER($K97)),"",PI()*($K97/2)^2)</f>
        <v/>
      </c>
      <c r="M97" s="9" t="str">
        <f aca="false">IF(OR(NOT(ISNUMBER($J97)),NOT(ISNUMBER($L97)),$L97=0),"",$J97/$L97*10000)</f>
        <v/>
      </c>
      <c r="N97" s="9" t="str">
        <f aca="false">IF(NOT(ISNUMBER($M97)),"",$M97*CARBON_FRACTION_ROOT/1000)</f>
        <v/>
      </c>
      <c r="O97" s="11" t="str">
        <f aca="false">IF(AND($A97="",$B97="",$G97=""),"",IF(AND($B97&lt;&gt;"",COUNTIFS('2. Soil Data'!$B$5:$B$604,$B97)=0),"Core ID not found in Soil Data, so the corer diameter cannot be looked up. ","")&amp;IF(ASH_CORRECTED&lt;&gt;"Yes","Root mass is NOT ash-corrected, so it includes adhering mineral soil and is too high. Set ASH_CORRECTED once you have done it. ","")&amp;IF(AND(ASH_CORRECTED="Yes",NOT(ISNUMBER($H97))),"Ash correction is switched on but no ash fraction is given for this row. ","")&amp;IF($I97="","Sieve mesh not recorded — a fine-root figure cannot be interpreted without it. ","")&amp;IF(AND(ISNUMBER($H97),$H97&gt;0.5),"Ash fraction above 0.5 — over half this sample was mineral soil. Re-wash. ","")&amp;IF($F97="Not separated","Live and dead not separated. Fine for a stock, but "&amp;"note it in reporting. ",""))</f>
        <v/>
      </c>
      <c r="P97" s="6"/>
      <c r="Q97" s="9" t="n">
        <f aca="false">IF($B97="",0,IF(COUNTIFS($B$5:$B97,$B97)=1,1,0))</f>
        <v>0</v>
      </c>
    </row>
    <row r="98" customFormat="false" ht="15" hidden="false" customHeight="false" outlineLevel="0" collapsed="false">
      <c r="A98" s="6"/>
      <c r="B98" s="6"/>
      <c r="C98" s="6"/>
      <c r="D98" s="6"/>
      <c r="E98" s="6"/>
      <c r="F98" s="6"/>
      <c r="G98" s="7"/>
      <c r="H98" s="7"/>
      <c r="I98" s="6"/>
      <c r="J98" s="9" t="str">
        <f aca="false">IF(NOT(ISNUMBER($G98)),"",IF(AND(ASH_CORRECTED="Yes",ISNUMBER($H98)),$G98*(1-$H98),$G98))</f>
        <v/>
      </c>
      <c r="K98" s="9" t="str">
        <f aca="false">IF($B98="","",IFERROR(AVERAGEIFS('2. Soil Data'!$G$5:$G$604,'2. Soil Data'!$B$5:$B$604,$B98),""))</f>
        <v/>
      </c>
      <c r="L98" s="9" t="str">
        <f aca="false">IF(NOT(ISNUMBER($K98)),"",PI()*($K98/2)^2)</f>
        <v/>
      </c>
      <c r="M98" s="9" t="str">
        <f aca="false">IF(OR(NOT(ISNUMBER($J98)),NOT(ISNUMBER($L98)),$L98=0),"",$J98/$L98*10000)</f>
        <v/>
      </c>
      <c r="N98" s="9" t="str">
        <f aca="false">IF(NOT(ISNUMBER($M98)),"",$M98*CARBON_FRACTION_ROOT/1000)</f>
        <v/>
      </c>
      <c r="O98" s="11" t="str">
        <f aca="false">IF(AND($A98="",$B98="",$G98=""),"",IF(AND($B98&lt;&gt;"",COUNTIFS('2. Soil Data'!$B$5:$B$604,$B98)=0),"Core ID not found in Soil Data, so the corer diameter cannot be looked up. ","")&amp;IF(ASH_CORRECTED&lt;&gt;"Yes","Root mass is NOT ash-corrected, so it includes adhering mineral soil and is too high. Set ASH_CORRECTED once you have done it. ","")&amp;IF(AND(ASH_CORRECTED="Yes",NOT(ISNUMBER($H98))),"Ash correction is switched on but no ash fraction is given for this row. ","")&amp;IF($I98="","Sieve mesh not recorded — a fine-root figure cannot be interpreted without it. ","")&amp;IF(AND(ISNUMBER($H98),$H98&gt;0.5),"Ash fraction above 0.5 — over half this sample was mineral soil. Re-wash. ","")&amp;IF($F98="Not separated","Live and dead not separated. Fine for a stock, but "&amp;"note it in reporting. ",""))</f>
        <v/>
      </c>
      <c r="P98" s="6"/>
      <c r="Q98" s="9" t="n">
        <f aca="false">IF($B98="",0,IF(COUNTIFS($B$5:$B98,$B98)=1,1,0))</f>
        <v>0</v>
      </c>
    </row>
    <row r="99" customFormat="false" ht="15" hidden="false" customHeight="false" outlineLevel="0" collapsed="false">
      <c r="A99" s="6"/>
      <c r="B99" s="6"/>
      <c r="C99" s="6"/>
      <c r="D99" s="6"/>
      <c r="E99" s="6"/>
      <c r="F99" s="6"/>
      <c r="G99" s="7"/>
      <c r="H99" s="7"/>
      <c r="I99" s="6"/>
      <c r="J99" s="9" t="str">
        <f aca="false">IF(NOT(ISNUMBER($G99)),"",IF(AND(ASH_CORRECTED="Yes",ISNUMBER($H99)),$G99*(1-$H99),$G99))</f>
        <v/>
      </c>
      <c r="K99" s="9" t="str">
        <f aca="false">IF($B99="","",IFERROR(AVERAGEIFS('2. Soil Data'!$G$5:$G$604,'2. Soil Data'!$B$5:$B$604,$B99),""))</f>
        <v/>
      </c>
      <c r="L99" s="9" t="str">
        <f aca="false">IF(NOT(ISNUMBER($K99)),"",PI()*($K99/2)^2)</f>
        <v/>
      </c>
      <c r="M99" s="9" t="str">
        <f aca="false">IF(OR(NOT(ISNUMBER($J99)),NOT(ISNUMBER($L99)),$L99=0),"",$J99/$L99*10000)</f>
        <v/>
      </c>
      <c r="N99" s="9" t="str">
        <f aca="false">IF(NOT(ISNUMBER($M99)),"",$M99*CARBON_FRACTION_ROOT/1000)</f>
        <v/>
      </c>
      <c r="O99" s="11" t="str">
        <f aca="false">IF(AND($A99="",$B99="",$G99=""),"",IF(AND($B99&lt;&gt;"",COUNTIFS('2. Soil Data'!$B$5:$B$604,$B99)=0),"Core ID not found in Soil Data, so the corer diameter cannot be looked up. ","")&amp;IF(ASH_CORRECTED&lt;&gt;"Yes","Root mass is NOT ash-corrected, so it includes adhering mineral soil and is too high. Set ASH_CORRECTED once you have done it. ","")&amp;IF(AND(ASH_CORRECTED="Yes",NOT(ISNUMBER($H99))),"Ash correction is switched on but no ash fraction is given for this row. ","")&amp;IF($I99="","Sieve mesh not recorded — a fine-root figure cannot be interpreted without it. ","")&amp;IF(AND(ISNUMBER($H99),$H99&gt;0.5),"Ash fraction above 0.5 — over half this sample was mineral soil. Re-wash. ","")&amp;IF($F99="Not separated","Live and dead not separated. Fine for a stock, but "&amp;"note it in reporting. ",""))</f>
        <v/>
      </c>
      <c r="P99" s="6"/>
      <c r="Q99" s="9" t="n">
        <f aca="false">IF($B99="",0,IF(COUNTIFS($B$5:$B99,$B99)=1,1,0))</f>
        <v>0</v>
      </c>
    </row>
    <row r="100" customFormat="false" ht="15" hidden="false" customHeight="false" outlineLevel="0" collapsed="false">
      <c r="A100" s="6"/>
      <c r="B100" s="6"/>
      <c r="C100" s="6"/>
      <c r="D100" s="6"/>
      <c r="E100" s="6"/>
      <c r="F100" s="6"/>
      <c r="G100" s="7"/>
      <c r="H100" s="7"/>
      <c r="I100" s="6"/>
      <c r="J100" s="9" t="str">
        <f aca="false">IF(NOT(ISNUMBER($G100)),"",IF(AND(ASH_CORRECTED="Yes",ISNUMBER($H100)),$G100*(1-$H100),$G100))</f>
        <v/>
      </c>
      <c r="K100" s="9" t="str">
        <f aca="false">IF($B100="","",IFERROR(AVERAGEIFS('2. Soil Data'!$G$5:$G$604,'2. Soil Data'!$B$5:$B$604,$B100),""))</f>
        <v/>
      </c>
      <c r="L100" s="9" t="str">
        <f aca="false">IF(NOT(ISNUMBER($K100)),"",PI()*($K100/2)^2)</f>
        <v/>
      </c>
      <c r="M100" s="9" t="str">
        <f aca="false">IF(OR(NOT(ISNUMBER($J100)),NOT(ISNUMBER($L100)),$L100=0),"",$J100/$L100*10000)</f>
        <v/>
      </c>
      <c r="N100" s="9" t="str">
        <f aca="false">IF(NOT(ISNUMBER($M100)),"",$M100*CARBON_FRACTION_ROOT/1000)</f>
        <v/>
      </c>
      <c r="O100" s="11" t="str">
        <f aca="false">IF(AND($A100="",$B100="",$G100=""),"",IF(AND($B100&lt;&gt;"",COUNTIFS('2. Soil Data'!$B$5:$B$604,$B100)=0),"Core ID not found in Soil Data, so the corer diameter cannot be looked up. ","")&amp;IF(ASH_CORRECTED&lt;&gt;"Yes","Root mass is NOT ash-corrected, so it includes adhering mineral soil and is too high. Set ASH_CORRECTED once you have done it. ","")&amp;IF(AND(ASH_CORRECTED="Yes",NOT(ISNUMBER($H100))),"Ash correction is switched on but no ash fraction is given for this row. ","")&amp;IF($I100="","Sieve mesh not recorded — a fine-root figure cannot be interpreted without it. ","")&amp;IF(AND(ISNUMBER($H100),$H100&gt;0.5),"Ash fraction above 0.5 — over half this sample was mineral soil. Re-wash. ","")&amp;IF($F100="Not separated","Live and dead not separated. Fine for a stock, but "&amp;"note it in reporting. ",""))</f>
        <v/>
      </c>
      <c r="P100" s="6"/>
      <c r="Q100" s="9" t="n">
        <f aca="false">IF($B100="",0,IF(COUNTIFS($B$5:$B100,$B100)=1,1,0))</f>
        <v>0</v>
      </c>
    </row>
    <row r="101" customFormat="false" ht="15" hidden="false" customHeight="false" outlineLevel="0" collapsed="false">
      <c r="A101" s="6"/>
      <c r="B101" s="6"/>
      <c r="C101" s="6"/>
      <c r="D101" s="6"/>
      <c r="E101" s="6"/>
      <c r="F101" s="6"/>
      <c r="G101" s="7"/>
      <c r="H101" s="7"/>
      <c r="I101" s="6"/>
      <c r="J101" s="9" t="str">
        <f aca="false">IF(NOT(ISNUMBER($G101)),"",IF(AND(ASH_CORRECTED="Yes",ISNUMBER($H101)),$G101*(1-$H101),$G101))</f>
        <v/>
      </c>
      <c r="K101" s="9" t="str">
        <f aca="false">IF($B101="","",IFERROR(AVERAGEIFS('2. Soil Data'!$G$5:$G$604,'2. Soil Data'!$B$5:$B$604,$B101),""))</f>
        <v/>
      </c>
      <c r="L101" s="9" t="str">
        <f aca="false">IF(NOT(ISNUMBER($K101)),"",PI()*($K101/2)^2)</f>
        <v/>
      </c>
      <c r="M101" s="9" t="str">
        <f aca="false">IF(OR(NOT(ISNUMBER($J101)),NOT(ISNUMBER($L101)),$L101=0),"",$J101/$L101*10000)</f>
        <v/>
      </c>
      <c r="N101" s="9" t="str">
        <f aca="false">IF(NOT(ISNUMBER($M101)),"",$M101*CARBON_FRACTION_ROOT/1000)</f>
        <v/>
      </c>
      <c r="O101" s="11" t="str">
        <f aca="false">IF(AND($A101="",$B101="",$G101=""),"",IF(AND($B101&lt;&gt;"",COUNTIFS('2. Soil Data'!$B$5:$B$604,$B101)=0),"Core ID not found in Soil Data, so the corer diameter cannot be looked up. ","")&amp;IF(ASH_CORRECTED&lt;&gt;"Yes","Root mass is NOT ash-corrected, so it includes adhering mineral soil and is too high. Set ASH_CORRECTED once you have done it. ","")&amp;IF(AND(ASH_CORRECTED="Yes",NOT(ISNUMBER($H101))),"Ash correction is switched on but no ash fraction is given for this row. ","")&amp;IF($I101="","Sieve mesh not recorded — a fine-root figure cannot be interpreted without it. ","")&amp;IF(AND(ISNUMBER($H101),$H101&gt;0.5),"Ash fraction above 0.5 — over half this sample was mineral soil. Re-wash. ","")&amp;IF($F101="Not separated","Live and dead not separated. Fine for a stock, but "&amp;"note it in reporting. ",""))</f>
        <v/>
      </c>
      <c r="P101" s="6"/>
      <c r="Q101" s="9" t="n">
        <f aca="false">IF($B101="",0,IF(COUNTIFS($B$5:$B101,$B101)=1,1,0))</f>
        <v>0</v>
      </c>
    </row>
    <row r="102" customFormat="false" ht="15" hidden="false" customHeight="false" outlineLevel="0" collapsed="false">
      <c r="A102" s="6"/>
      <c r="B102" s="6"/>
      <c r="C102" s="6"/>
      <c r="D102" s="6"/>
      <c r="E102" s="6"/>
      <c r="F102" s="6"/>
      <c r="G102" s="7"/>
      <c r="H102" s="7"/>
      <c r="I102" s="6"/>
      <c r="J102" s="9" t="str">
        <f aca="false">IF(NOT(ISNUMBER($G102)),"",IF(AND(ASH_CORRECTED="Yes",ISNUMBER($H102)),$G102*(1-$H102),$G102))</f>
        <v/>
      </c>
      <c r="K102" s="9" t="str">
        <f aca="false">IF($B102="","",IFERROR(AVERAGEIFS('2. Soil Data'!$G$5:$G$604,'2. Soil Data'!$B$5:$B$604,$B102),""))</f>
        <v/>
      </c>
      <c r="L102" s="9" t="str">
        <f aca="false">IF(NOT(ISNUMBER($K102)),"",PI()*($K102/2)^2)</f>
        <v/>
      </c>
      <c r="M102" s="9" t="str">
        <f aca="false">IF(OR(NOT(ISNUMBER($J102)),NOT(ISNUMBER($L102)),$L102=0),"",$J102/$L102*10000)</f>
        <v/>
      </c>
      <c r="N102" s="9" t="str">
        <f aca="false">IF(NOT(ISNUMBER($M102)),"",$M102*CARBON_FRACTION_ROOT/1000)</f>
        <v/>
      </c>
      <c r="O102" s="11" t="str">
        <f aca="false">IF(AND($A102="",$B102="",$G102=""),"",IF(AND($B102&lt;&gt;"",COUNTIFS('2. Soil Data'!$B$5:$B$604,$B102)=0),"Core ID not found in Soil Data, so the corer diameter cannot be looked up. ","")&amp;IF(ASH_CORRECTED&lt;&gt;"Yes","Root mass is NOT ash-corrected, so it includes adhering mineral soil and is too high. Set ASH_CORRECTED once you have done it. ","")&amp;IF(AND(ASH_CORRECTED="Yes",NOT(ISNUMBER($H102))),"Ash correction is switched on but no ash fraction is given for this row. ","")&amp;IF($I102="","Sieve mesh not recorded — a fine-root figure cannot be interpreted without it. ","")&amp;IF(AND(ISNUMBER($H102),$H102&gt;0.5),"Ash fraction above 0.5 — over half this sample was mineral soil. Re-wash. ","")&amp;IF($F102="Not separated","Live and dead not separated. Fine for a stock, but "&amp;"note it in reporting. ",""))</f>
        <v/>
      </c>
      <c r="P102" s="6"/>
      <c r="Q102" s="9" t="n">
        <f aca="false">IF($B102="",0,IF(COUNTIFS($B$5:$B102,$B102)=1,1,0))</f>
        <v>0</v>
      </c>
    </row>
    <row r="103" customFormat="false" ht="15" hidden="false" customHeight="false" outlineLevel="0" collapsed="false">
      <c r="A103" s="6"/>
      <c r="B103" s="6"/>
      <c r="C103" s="6"/>
      <c r="D103" s="6"/>
      <c r="E103" s="6"/>
      <c r="F103" s="6"/>
      <c r="G103" s="7"/>
      <c r="H103" s="7"/>
      <c r="I103" s="6"/>
      <c r="J103" s="9" t="str">
        <f aca="false">IF(NOT(ISNUMBER($G103)),"",IF(AND(ASH_CORRECTED="Yes",ISNUMBER($H103)),$G103*(1-$H103),$G103))</f>
        <v/>
      </c>
      <c r="K103" s="9" t="str">
        <f aca="false">IF($B103="","",IFERROR(AVERAGEIFS('2. Soil Data'!$G$5:$G$604,'2. Soil Data'!$B$5:$B$604,$B103),""))</f>
        <v/>
      </c>
      <c r="L103" s="9" t="str">
        <f aca="false">IF(NOT(ISNUMBER($K103)),"",PI()*($K103/2)^2)</f>
        <v/>
      </c>
      <c r="M103" s="9" t="str">
        <f aca="false">IF(OR(NOT(ISNUMBER($J103)),NOT(ISNUMBER($L103)),$L103=0),"",$J103/$L103*10000)</f>
        <v/>
      </c>
      <c r="N103" s="9" t="str">
        <f aca="false">IF(NOT(ISNUMBER($M103)),"",$M103*CARBON_FRACTION_ROOT/1000)</f>
        <v/>
      </c>
      <c r="O103" s="11" t="str">
        <f aca="false">IF(AND($A103="",$B103="",$G103=""),"",IF(AND($B103&lt;&gt;"",COUNTIFS('2. Soil Data'!$B$5:$B$604,$B103)=0),"Core ID not found in Soil Data, so the corer diameter cannot be looked up. ","")&amp;IF(ASH_CORRECTED&lt;&gt;"Yes","Root mass is NOT ash-corrected, so it includes adhering mineral soil and is too high. Set ASH_CORRECTED once you have done it. ","")&amp;IF(AND(ASH_CORRECTED="Yes",NOT(ISNUMBER($H103))),"Ash correction is switched on but no ash fraction is given for this row. ","")&amp;IF($I103="","Sieve mesh not recorded — a fine-root figure cannot be interpreted without it. ","")&amp;IF(AND(ISNUMBER($H103),$H103&gt;0.5),"Ash fraction above 0.5 — over half this sample was mineral soil. Re-wash. ","")&amp;IF($F103="Not separated","Live and dead not separated. Fine for a stock, but "&amp;"note it in reporting. ",""))</f>
        <v/>
      </c>
      <c r="P103" s="6"/>
      <c r="Q103" s="9" t="n">
        <f aca="false">IF($B103="",0,IF(COUNTIFS($B$5:$B103,$B103)=1,1,0))</f>
        <v>0</v>
      </c>
    </row>
    <row r="104" customFormat="false" ht="15" hidden="false" customHeight="false" outlineLevel="0" collapsed="false">
      <c r="A104" s="6"/>
      <c r="B104" s="6"/>
      <c r="C104" s="6"/>
      <c r="D104" s="6"/>
      <c r="E104" s="6"/>
      <c r="F104" s="6"/>
      <c r="G104" s="7"/>
      <c r="H104" s="7"/>
      <c r="I104" s="6"/>
      <c r="J104" s="9" t="str">
        <f aca="false">IF(NOT(ISNUMBER($G104)),"",IF(AND(ASH_CORRECTED="Yes",ISNUMBER($H104)),$G104*(1-$H104),$G104))</f>
        <v/>
      </c>
      <c r="K104" s="9" t="str">
        <f aca="false">IF($B104="","",IFERROR(AVERAGEIFS('2. Soil Data'!$G$5:$G$604,'2. Soil Data'!$B$5:$B$604,$B104),""))</f>
        <v/>
      </c>
      <c r="L104" s="9" t="str">
        <f aca="false">IF(NOT(ISNUMBER($K104)),"",PI()*($K104/2)^2)</f>
        <v/>
      </c>
      <c r="M104" s="9" t="str">
        <f aca="false">IF(OR(NOT(ISNUMBER($J104)),NOT(ISNUMBER($L104)),$L104=0),"",$J104/$L104*10000)</f>
        <v/>
      </c>
      <c r="N104" s="9" t="str">
        <f aca="false">IF(NOT(ISNUMBER($M104)),"",$M104*CARBON_FRACTION_ROOT/1000)</f>
        <v/>
      </c>
      <c r="O104" s="11" t="str">
        <f aca="false">IF(AND($A104="",$B104="",$G104=""),"",IF(AND($B104&lt;&gt;"",COUNTIFS('2. Soil Data'!$B$5:$B$604,$B104)=0),"Core ID not found in Soil Data, so the corer diameter cannot be looked up. ","")&amp;IF(ASH_CORRECTED&lt;&gt;"Yes","Root mass is NOT ash-corrected, so it includes adhering mineral soil and is too high. Set ASH_CORRECTED once you have done it. ","")&amp;IF(AND(ASH_CORRECTED="Yes",NOT(ISNUMBER($H104))),"Ash correction is switched on but no ash fraction is given for this row. ","")&amp;IF($I104="","Sieve mesh not recorded — a fine-root figure cannot be interpreted without it. ","")&amp;IF(AND(ISNUMBER($H104),$H104&gt;0.5),"Ash fraction above 0.5 — over half this sample was mineral soil. Re-wash. ","")&amp;IF($F104="Not separated","Live and dead not separated. Fine for a stock, but "&amp;"note it in reporting. ",""))</f>
        <v/>
      </c>
      <c r="P104" s="6"/>
      <c r="Q104" s="9" t="n">
        <f aca="false">IF($B104="",0,IF(COUNTIFS($B$5:$B104,$B104)=1,1,0))</f>
        <v>0</v>
      </c>
    </row>
    <row r="105" customFormat="false" ht="15" hidden="false" customHeight="false" outlineLevel="0" collapsed="false">
      <c r="A105" s="6"/>
      <c r="B105" s="6"/>
      <c r="C105" s="6"/>
      <c r="D105" s="6"/>
      <c r="E105" s="6"/>
      <c r="F105" s="6"/>
      <c r="G105" s="7"/>
      <c r="H105" s="7"/>
      <c r="I105" s="6"/>
      <c r="J105" s="9" t="str">
        <f aca="false">IF(NOT(ISNUMBER($G105)),"",IF(AND(ASH_CORRECTED="Yes",ISNUMBER($H105)),$G105*(1-$H105),$G105))</f>
        <v/>
      </c>
      <c r="K105" s="9" t="str">
        <f aca="false">IF($B105="","",IFERROR(AVERAGEIFS('2. Soil Data'!$G$5:$G$604,'2. Soil Data'!$B$5:$B$604,$B105),""))</f>
        <v/>
      </c>
      <c r="L105" s="9" t="str">
        <f aca="false">IF(NOT(ISNUMBER($K105)),"",PI()*($K105/2)^2)</f>
        <v/>
      </c>
      <c r="M105" s="9" t="str">
        <f aca="false">IF(OR(NOT(ISNUMBER($J105)),NOT(ISNUMBER($L105)),$L105=0),"",$J105/$L105*10000)</f>
        <v/>
      </c>
      <c r="N105" s="9" t="str">
        <f aca="false">IF(NOT(ISNUMBER($M105)),"",$M105*CARBON_FRACTION_ROOT/1000)</f>
        <v/>
      </c>
      <c r="O105" s="11" t="str">
        <f aca="false">IF(AND($A105="",$B105="",$G105=""),"",IF(AND($B105&lt;&gt;"",COUNTIFS('2. Soil Data'!$B$5:$B$604,$B105)=0),"Core ID not found in Soil Data, so the corer diameter cannot be looked up. ","")&amp;IF(ASH_CORRECTED&lt;&gt;"Yes","Root mass is NOT ash-corrected, so it includes adhering mineral soil and is too high. Set ASH_CORRECTED once you have done it. ","")&amp;IF(AND(ASH_CORRECTED="Yes",NOT(ISNUMBER($H105))),"Ash correction is switched on but no ash fraction is given for this row. ","")&amp;IF($I105="","Sieve mesh not recorded — a fine-root figure cannot be interpreted without it. ","")&amp;IF(AND(ISNUMBER($H105),$H105&gt;0.5),"Ash fraction above 0.5 — over half this sample was mineral soil. Re-wash. ","")&amp;IF($F105="Not separated","Live and dead not separated. Fine for a stock, but "&amp;"note it in reporting. ",""))</f>
        <v/>
      </c>
      <c r="P105" s="6"/>
      <c r="Q105" s="9" t="n">
        <f aca="false">IF($B105="",0,IF(COUNTIFS($B$5:$B105,$B105)=1,1,0))</f>
        <v>0</v>
      </c>
    </row>
    <row r="106" customFormat="false" ht="15" hidden="false" customHeight="false" outlineLevel="0" collapsed="false">
      <c r="A106" s="6"/>
      <c r="B106" s="6"/>
      <c r="C106" s="6"/>
      <c r="D106" s="6"/>
      <c r="E106" s="6"/>
      <c r="F106" s="6"/>
      <c r="G106" s="7"/>
      <c r="H106" s="7"/>
      <c r="I106" s="6"/>
      <c r="J106" s="9" t="str">
        <f aca="false">IF(NOT(ISNUMBER($G106)),"",IF(AND(ASH_CORRECTED="Yes",ISNUMBER($H106)),$G106*(1-$H106),$G106))</f>
        <v/>
      </c>
      <c r="K106" s="9" t="str">
        <f aca="false">IF($B106="","",IFERROR(AVERAGEIFS('2. Soil Data'!$G$5:$G$604,'2. Soil Data'!$B$5:$B$604,$B106),""))</f>
        <v/>
      </c>
      <c r="L106" s="9" t="str">
        <f aca="false">IF(NOT(ISNUMBER($K106)),"",PI()*($K106/2)^2)</f>
        <v/>
      </c>
      <c r="M106" s="9" t="str">
        <f aca="false">IF(OR(NOT(ISNUMBER($J106)),NOT(ISNUMBER($L106)),$L106=0),"",$J106/$L106*10000)</f>
        <v/>
      </c>
      <c r="N106" s="9" t="str">
        <f aca="false">IF(NOT(ISNUMBER($M106)),"",$M106*CARBON_FRACTION_ROOT/1000)</f>
        <v/>
      </c>
      <c r="O106" s="11" t="str">
        <f aca="false">IF(AND($A106="",$B106="",$G106=""),"",IF(AND($B106&lt;&gt;"",COUNTIFS('2. Soil Data'!$B$5:$B$604,$B106)=0),"Core ID not found in Soil Data, so the corer diameter cannot be looked up. ","")&amp;IF(ASH_CORRECTED&lt;&gt;"Yes","Root mass is NOT ash-corrected, so it includes adhering mineral soil and is too high. Set ASH_CORRECTED once you have done it. ","")&amp;IF(AND(ASH_CORRECTED="Yes",NOT(ISNUMBER($H106))),"Ash correction is switched on but no ash fraction is given for this row. ","")&amp;IF($I106="","Sieve mesh not recorded — a fine-root figure cannot be interpreted without it. ","")&amp;IF(AND(ISNUMBER($H106),$H106&gt;0.5),"Ash fraction above 0.5 — over half this sample was mineral soil. Re-wash. ","")&amp;IF($F106="Not separated","Live and dead not separated. Fine for a stock, but "&amp;"note it in reporting. ",""))</f>
        <v/>
      </c>
      <c r="P106" s="6"/>
      <c r="Q106" s="9" t="n">
        <f aca="false">IF($B106="",0,IF(COUNTIFS($B$5:$B106,$B106)=1,1,0))</f>
        <v>0</v>
      </c>
    </row>
    <row r="107" customFormat="false" ht="15" hidden="false" customHeight="false" outlineLevel="0" collapsed="false">
      <c r="A107" s="6"/>
      <c r="B107" s="6"/>
      <c r="C107" s="6"/>
      <c r="D107" s="6"/>
      <c r="E107" s="6"/>
      <c r="F107" s="6"/>
      <c r="G107" s="7"/>
      <c r="H107" s="7"/>
      <c r="I107" s="6"/>
      <c r="J107" s="9" t="str">
        <f aca="false">IF(NOT(ISNUMBER($G107)),"",IF(AND(ASH_CORRECTED="Yes",ISNUMBER($H107)),$G107*(1-$H107),$G107))</f>
        <v/>
      </c>
      <c r="K107" s="9" t="str">
        <f aca="false">IF($B107="","",IFERROR(AVERAGEIFS('2. Soil Data'!$G$5:$G$604,'2. Soil Data'!$B$5:$B$604,$B107),""))</f>
        <v/>
      </c>
      <c r="L107" s="9" t="str">
        <f aca="false">IF(NOT(ISNUMBER($K107)),"",PI()*($K107/2)^2)</f>
        <v/>
      </c>
      <c r="M107" s="9" t="str">
        <f aca="false">IF(OR(NOT(ISNUMBER($J107)),NOT(ISNUMBER($L107)),$L107=0),"",$J107/$L107*10000)</f>
        <v/>
      </c>
      <c r="N107" s="9" t="str">
        <f aca="false">IF(NOT(ISNUMBER($M107)),"",$M107*CARBON_FRACTION_ROOT/1000)</f>
        <v/>
      </c>
      <c r="O107" s="11" t="str">
        <f aca="false">IF(AND($A107="",$B107="",$G107=""),"",IF(AND($B107&lt;&gt;"",COUNTIFS('2. Soil Data'!$B$5:$B$604,$B107)=0),"Core ID not found in Soil Data, so the corer diameter cannot be looked up. ","")&amp;IF(ASH_CORRECTED&lt;&gt;"Yes","Root mass is NOT ash-corrected, so it includes adhering mineral soil and is too high. Set ASH_CORRECTED once you have done it. ","")&amp;IF(AND(ASH_CORRECTED="Yes",NOT(ISNUMBER($H107))),"Ash correction is switched on but no ash fraction is given for this row. ","")&amp;IF($I107="","Sieve mesh not recorded — a fine-root figure cannot be interpreted without it. ","")&amp;IF(AND(ISNUMBER($H107),$H107&gt;0.5),"Ash fraction above 0.5 — over half this sample was mineral soil. Re-wash. ","")&amp;IF($F107="Not separated","Live and dead not separated. Fine for a stock, but "&amp;"note it in reporting. ",""))</f>
        <v/>
      </c>
      <c r="P107" s="6"/>
      <c r="Q107" s="9" t="n">
        <f aca="false">IF($B107="",0,IF(COUNTIFS($B$5:$B107,$B107)=1,1,0))</f>
        <v>0</v>
      </c>
    </row>
    <row r="108" customFormat="false" ht="15" hidden="false" customHeight="false" outlineLevel="0" collapsed="false">
      <c r="A108" s="6"/>
      <c r="B108" s="6"/>
      <c r="C108" s="6"/>
      <c r="D108" s="6"/>
      <c r="E108" s="6"/>
      <c r="F108" s="6"/>
      <c r="G108" s="7"/>
      <c r="H108" s="7"/>
      <c r="I108" s="6"/>
      <c r="J108" s="9" t="str">
        <f aca="false">IF(NOT(ISNUMBER($G108)),"",IF(AND(ASH_CORRECTED="Yes",ISNUMBER($H108)),$G108*(1-$H108),$G108))</f>
        <v/>
      </c>
      <c r="K108" s="9" t="str">
        <f aca="false">IF($B108="","",IFERROR(AVERAGEIFS('2. Soil Data'!$G$5:$G$604,'2. Soil Data'!$B$5:$B$604,$B108),""))</f>
        <v/>
      </c>
      <c r="L108" s="9" t="str">
        <f aca="false">IF(NOT(ISNUMBER($K108)),"",PI()*($K108/2)^2)</f>
        <v/>
      </c>
      <c r="M108" s="9" t="str">
        <f aca="false">IF(OR(NOT(ISNUMBER($J108)),NOT(ISNUMBER($L108)),$L108=0),"",$J108/$L108*10000)</f>
        <v/>
      </c>
      <c r="N108" s="9" t="str">
        <f aca="false">IF(NOT(ISNUMBER($M108)),"",$M108*CARBON_FRACTION_ROOT/1000)</f>
        <v/>
      </c>
      <c r="O108" s="11" t="str">
        <f aca="false">IF(AND($A108="",$B108="",$G108=""),"",IF(AND($B108&lt;&gt;"",COUNTIFS('2. Soil Data'!$B$5:$B$604,$B108)=0),"Core ID not found in Soil Data, so the corer diameter cannot be looked up. ","")&amp;IF(ASH_CORRECTED&lt;&gt;"Yes","Root mass is NOT ash-corrected, so it includes adhering mineral soil and is too high. Set ASH_CORRECTED once you have done it. ","")&amp;IF(AND(ASH_CORRECTED="Yes",NOT(ISNUMBER($H108))),"Ash correction is switched on but no ash fraction is given for this row. ","")&amp;IF($I108="","Sieve mesh not recorded — a fine-root figure cannot be interpreted without it. ","")&amp;IF(AND(ISNUMBER($H108),$H108&gt;0.5),"Ash fraction above 0.5 — over half this sample was mineral soil. Re-wash. ","")&amp;IF($F108="Not separated","Live and dead not separated. Fine for a stock, but "&amp;"note it in reporting. ",""))</f>
        <v/>
      </c>
      <c r="P108" s="6"/>
      <c r="Q108" s="9" t="n">
        <f aca="false">IF($B108="",0,IF(COUNTIFS($B$5:$B108,$B108)=1,1,0))</f>
        <v>0</v>
      </c>
    </row>
    <row r="109" customFormat="false" ht="15" hidden="false" customHeight="false" outlineLevel="0" collapsed="false">
      <c r="A109" s="6"/>
      <c r="B109" s="6"/>
      <c r="C109" s="6"/>
      <c r="D109" s="6"/>
      <c r="E109" s="6"/>
      <c r="F109" s="6"/>
      <c r="G109" s="7"/>
      <c r="H109" s="7"/>
      <c r="I109" s="6"/>
      <c r="J109" s="9" t="str">
        <f aca="false">IF(NOT(ISNUMBER($G109)),"",IF(AND(ASH_CORRECTED="Yes",ISNUMBER($H109)),$G109*(1-$H109),$G109))</f>
        <v/>
      </c>
      <c r="K109" s="9" t="str">
        <f aca="false">IF($B109="","",IFERROR(AVERAGEIFS('2. Soil Data'!$G$5:$G$604,'2. Soil Data'!$B$5:$B$604,$B109),""))</f>
        <v/>
      </c>
      <c r="L109" s="9" t="str">
        <f aca="false">IF(NOT(ISNUMBER($K109)),"",PI()*($K109/2)^2)</f>
        <v/>
      </c>
      <c r="M109" s="9" t="str">
        <f aca="false">IF(OR(NOT(ISNUMBER($J109)),NOT(ISNUMBER($L109)),$L109=0),"",$J109/$L109*10000)</f>
        <v/>
      </c>
      <c r="N109" s="9" t="str">
        <f aca="false">IF(NOT(ISNUMBER($M109)),"",$M109*CARBON_FRACTION_ROOT/1000)</f>
        <v/>
      </c>
      <c r="O109" s="11" t="str">
        <f aca="false">IF(AND($A109="",$B109="",$G109=""),"",IF(AND($B109&lt;&gt;"",COUNTIFS('2. Soil Data'!$B$5:$B$604,$B109)=0),"Core ID not found in Soil Data, so the corer diameter cannot be looked up. ","")&amp;IF(ASH_CORRECTED&lt;&gt;"Yes","Root mass is NOT ash-corrected, so it includes adhering mineral soil and is too high. Set ASH_CORRECTED once you have done it. ","")&amp;IF(AND(ASH_CORRECTED="Yes",NOT(ISNUMBER($H109))),"Ash correction is switched on but no ash fraction is given for this row. ","")&amp;IF($I109="","Sieve mesh not recorded — a fine-root figure cannot be interpreted without it. ","")&amp;IF(AND(ISNUMBER($H109),$H109&gt;0.5),"Ash fraction above 0.5 — over half this sample was mineral soil. Re-wash. ","")&amp;IF($F109="Not separated","Live and dead not separated. Fine for a stock, but "&amp;"note it in reporting. ",""))</f>
        <v/>
      </c>
      <c r="P109" s="6"/>
      <c r="Q109" s="9" t="n">
        <f aca="false">IF($B109="",0,IF(COUNTIFS($B$5:$B109,$B109)=1,1,0))</f>
        <v>0</v>
      </c>
    </row>
    <row r="110" customFormat="false" ht="15" hidden="false" customHeight="false" outlineLevel="0" collapsed="false">
      <c r="A110" s="6"/>
      <c r="B110" s="6"/>
      <c r="C110" s="6"/>
      <c r="D110" s="6"/>
      <c r="E110" s="6"/>
      <c r="F110" s="6"/>
      <c r="G110" s="7"/>
      <c r="H110" s="7"/>
      <c r="I110" s="6"/>
      <c r="J110" s="9" t="str">
        <f aca="false">IF(NOT(ISNUMBER($G110)),"",IF(AND(ASH_CORRECTED="Yes",ISNUMBER($H110)),$G110*(1-$H110),$G110))</f>
        <v/>
      </c>
      <c r="K110" s="9" t="str">
        <f aca="false">IF($B110="","",IFERROR(AVERAGEIFS('2. Soil Data'!$G$5:$G$604,'2. Soil Data'!$B$5:$B$604,$B110),""))</f>
        <v/>
      </c>
      <c r="L110" s="9" t="str">
        <f aca="false">IF(NOT(ISNUMBER($K110)),"",PI()*($K110/2)^2)</f>
        <v/>
      </c>
      <c r="M110" s="9" t="str">
        <f aca="false">IF(OR(NOT(ISNUMBER($J110)),NOT(ISNUMBER($L110)),$L110=0),"",$J110/$L110*10000)</f>
        <v/>
      </c>
      <c r="N110" s="9" t="str">
        <f aca="false">IF(NOT(ISNUMBER($M110)),"",$M110*CARBON_FRACTION_ROOT/1000)</f>
        <v/>
      </c>
      <c r="O110" s="11" t="str">
        <f aca="false">IF(AND($A110="",$B110="",$G110=""),"",IF(AND($B110&lt;&gt;"",COUNTIFS('2. Soil Data'!$B$5:$B$604,$B110)=0),"Core ID not found in Soil Data, so the corer diameter cannot be looked up. ","")&amp;IF(ASH_CORRECTED&lt;&gt;"Yes","Root mass is NOT ash-corrected, so it includes adhering mineral soil and is too high. Set ASH_CORRECTED once you have done it. ","")&amp;IF(AND(ASH_CORRECTED="Yes",NOT(ISNUMBER($H110))),"Ash correction is switched on but no ash fraction is given for this row. ","")&amp;IF($I110="","Sieve mesh not recorded — a fine-root figure cannot be interpreted without it. ","")&amp;IF(AND(ISNUMBER($H110),$H110&gt;0.5),"Ash fraction above 0.5 — over half this sample was mineral soil. Re-wash. ","")&amp;IF($F110="Not separated","Live and dead not separated. Fine for a stock, but "&amp;"note it in reporting. ",""))</f>
        <v/>
      </c>
      <c r="P110" s="6"/>
      <c r="Q110" s="9" t="n">
        <f aca="false">IF($B110="",0,IF(COUNTIFS($B$5:$B110,$B110)=1,1,0))</f>
        <v>0</v>
      </c>
    </row>
    <row r="111" customFormat="false" ht="15" hidden="false" customHeight="false" outlineLevel="0" collapsed="false">
      <c r="A111" s="6"/>
      <c r="B111" s="6"/>
      <c r="C111" s="6"/>
      <c r="D111" s="6"/>
      <c r="E111" s="6"/>
      <c r="F111" s="6"/>
      <c r="G111" s="7"/>
      <c r="H111" s="7"/>
      <c r="I111" s="6"/>
      <c r="J111" s="9" t="str">
        <f aca="false">IF(NOT(ISNUMBER($G111)),"",IF(AND(ASH_CORRECTED="Yes",ISNUMBER($H111)),$G111*(1-$H111),$G111))</f>
        <v/>
      </c>
      <c r="K111" s="9" t="str">
        <f aca="false">IF($B111="","",IFERROR(AVERAGEIFS('2. Soil Data'!$G$5:$G$604,'2. Soil Data'!$B$5:$B$604,$B111),""))</f>
        <v/>
      </c>
      <c r="L111" s="9" t="str">
        <f aca="false">IF(NOT(ISNUMBER($K111)),"",PI()*($K111/2)^2)</f>
        <v/>
      </c>
      <c r="M111" s="9" t="str">
        <f aca="false">IF(OR(NOT(ISNUMBER($J111)),NOT(ISNUMBER($L111)),$L111=0),"",$J111/$L111*10000)</f>
        <v/>
      </c>
      <c r="N111" s="9" t="str">
        <f aca="false">IF(NOT(ISNUMBER($M111)),"",$M111*CARBON_FRACTION_ROOT/1000)</f>
        <v/>
      </c>
      <c r="O111" s="11" t="str">
        <f aca="false">IF(AND($A111="",$B111="",$G111=""),"",IF(AND($B111&lt;&gt;"",COUNTIFS('2. Soil Data'!$B$5:$B$604,$B111)=0),"Core ID not found in Soil Data, so the corer diameter cannot be looked up. ","")&amp;IF(ASH_CORRECTED&lt;&gt;"Yes","Root mass is NOT ash-corrected, so it includes adhering mineral soil and is too high. Set ASH_CORRECTED once you have done it. ","")&amp;IF(AND(ASH_CORRECTED="Yes",NOT(ISNUMBER($H111))),"Ash correction is switched on but no ash fraction is given for this row. ","")&amp;IF($I111="","Sieve mesh not recorded — a fine-root figure cannot be interpreted without it. ","")&amp;IF(AND(ISNUMBER($H111),$H111&gt;0.5),"Ash fraction above 0.5 — over half this sample was mineral soil. Re-wash. ","")&amp;IF($F111="Not separated","Live and dead not separated. Fine for a stock, but "&amp;"note it in reporting. ",""))</f>
        <v/>
      </c>
      <c r="P111" s="6"/>
      <c r="Q111" s="9" t="n">
        <f aca="false">IF($B111="",0,IF(COUNTIFS($B$5:$B111,$B111)=1,1,0))</f>
        <v>0</v>
      </c>
    </row>
    <row r="112" customFormat="false" ht="15" hidden="false" customHeight="false" outlineLevel="0" collapsed="false">
      <c r="A112" s="6"/>
      <c r="B112" s="6"/>
      <c r="C112" s="6"/>
      <c r="D112" s="6"/>
      <c r="E112" s="6"/>
      <c r="F112" s="6"/>
      <c r="G112" s="7"/>
      <c r="H112" s="7"/>
      <c r="I112" s="6"/>
      <c r="J112" s="9" t="str">
        <f aca="false">IF(NOT(ISNUMBER($G112)),"",IF(AND(ASH_CORRECTED="Yes",ISNUMBER($H112)),$G112*(1-$H112),$G112))</f>
        <v/>
      </c>
      <c r="K112" s="9" t="str">
        <f aca="false">IF($B112="","",IFERROR(AVERAGEIFS('2. Soil Data'!$G$5:$G$604,'2. Soil Data'!$B$5:$B$604,$B112),""))</f>
        <v/>
      </c>
      <c r="L112" s="9" t="str">
        <f aca="false">IF(NOT(ISNUMBER($K112)),"",PI()*($K112/2)^2)</f>
        <v/>
      </c>
      <c r="M112" s="9" t="str">
        <f aca="false">IF(OR(NOT(ISNUMBER($J112)),NOT(ISNUMBER($L112)),$L112=0),"",$J112/$L112*10000)</f>
        <v/>
      </c>
      <c r="N112" s="9" t="str">
        <f aca="false">IF(NOT(ISNUMBER($M112)),"",$M112*CARBON_FRACTION_ROOT/1000)</f>
        <v/>
      </c>
      <c r="O112" s="11" t="str">
        <f aca="false">IF(AND($A112="",$B112="",$G112=""),"",IF(AND($B112&lt;&gt;"",COUNTIFS('2. Soil Data'!$B$5:$B$604,$B112)=0),"Core ID not found in Soil Data, so the corer diameter cannot be looked up. ","")&amp;IF(ASH_CORRECTED&lt;&gt;"Yes","Root mass is NOT ash-corrected, so it includes adhering mineral soil and is too high. Set ASH_CORRECTED once you have done it. ","")&amp;IF(AND(ASH_CORRECTED="Yes",NOT(ISNUMBER($H112))),"Ash correction is switched on but no ash fraction is given for this row. ","")&amp;IF($I112="","Sieve mesh not recorded — a fine-root figure cannot be interpreted without it. ","")&amp;IF(AND(ISNUMBER($H112),$H112&gt;0.5),"Ash fraction above 0.5 — over half this sample was mineral soil. Re-wash. ","")&amp;IF($F112="Not separated","Live and dead not separated. Fine for a stock, but "&amp;"note it in reporting. ",""))</f>
        <v/>
      </c>
      <c r="P112" s="6"/>
      <c r="Q112" s="9" t="n">
        <f aca="false">IF($B112="",0,IF(COUNTIFS($B$5:$B112,$B112)=1,1,0))</f>
        <v>0</v>
      </c>
    </row>
    <row r="113" customFormat="false" ht="15" hidden="false" customHeight="false" outlineLevel="0" collapsed="false">
      <c r="A113" s="6"/>
      <c r="B113" s="6"/>
      <c r="C113" s="6"/>
      <c r="D113" s="6"/>
      <c r="E113" s="6"/>
      <c r="F113" s="6"/>
      <c r="G113" s="7"/>
      <c r="H113" s="7"/>
      <c r="I113" s="6"/>
      <c r="J113" s="9" t="str">
        <f aca="false">IF(NOT(ISNUMBER($G113)),"",IF(AND(ASH_CORRECTED="Yes",ISNUMBER($H113)),$G113*(1-$H113),$G113))</f>
        <v/>
      </c>
      <c r="K113" s="9" t="str">
        <f aca="false">IF($B113="","",IFERROR(AVERAGEIFS('2. Soil Data'!$G$5:$G$604,'2. Soil Data'!$B$5:$B$604,$B113),""))</f>
        <v/>
      </c>
      <c r="L113" s="9" t="str">
        <f aca="false">IF(NOT(ISNUMBER($K113)),"",PI()*($K113/2)^2)</f>
        <v/>
      </c>
      <c r="M113" s="9" t="str">
        <f aca="false">IF(OR(NOT(ISNUMBER($J113)),NOT(ISNUMBER($L113)),$L113=0),"",$J113/$L113*10000)</f>
        <v/>
      </c>
      <c r="N113" s="9" t="str">
        <f aca="false">IF(NOT(ISNUMBER($M113)),"",$M113*CARBON_FRACTION_ROOT/1000)</f>
        <v/>
      </c>
      <c r="O113" s="11" t="str">
        <f aca="false">IF(AND($A113="",$B113="",$G113=""),"",IF(AND($B113&lt;&gt;"",COUNTIFS('2. Soil Data'!$B$5:$B$604,$B113)=0),"Core ID not found in Soil Data, so the corer diameter cannot be looked up. ","")&amp;IF(ASH_CORRECTED&lt;&gt;"Yes","Root mass is NOT ash-corrected, so it includes adhering mineral soil and is too high. Set ASH_CORRECTED once you have done it. ","")&amp;IF(AND(ASH_CORRECTED="Yes",NOT(ISNUMBER($H113))),"Ash correction is switched on but no ash fraction is given for this row. ","")&amp;IF($I113="","Sieve mesh not recorded — a fine-root figure cannot be interpreted without it. ","")&amp;IF(AND(ISNUMBER($H113),$H113&gt;0.5),"Ash fraction above 0.5 — over half this sample was mineral soil. Re-wash. ","")&amp;IF($F113="Not separated","Live and dead not separated. Fine for a stock, but "&amp;"note it in reporting. ",""))</f>
        <v/>
      </c>
      <c r="P113" s="6"/>
      <c r="Q113" s="9" t="n">
        <f aca="false">IF($B113="",0,IF(COUNTIFS($B$5:$B113,$B113)=1,1,0))</f>
        <v>0</v>
      </c>
    </row>
    <row r="114" customFormat="false" ht="15" hidden="false" customHeight="false" outlineLevel="0" collapsed="false">
      <c r="A114" s="6"/>
      <c r="B114" s="6"/>
      <c r="C114" s="6"/>
      <c r="D114" s="6"/>
      <c r="E114" s="6"/>
      <c r="F114" s="6"/>
      <c r="G114" s="7"/>
      <c r="H114" s="7"/>
      <c r="I114" s="6"/>
      <c r="J114" s="9" t="str">
        <f aca="false">IF(NOT(ISNUMBER($G114)),"",IF(AND(ASH_CORRECTED="Yes",ISNUMBER($H114)),$G114*(1-$H114),$G114))</f>
        <v/>
      </c>
      <c r="K114" s="9" t="str">
        <f aca="false">IF($B114="","",IFERROR(AVERAGEIFS('2. Soil Data'!$G$5:$G$604,'2. Soil Data'!$B$5:$B$604,$B114),""))</f>
        <v/>
      </c>
      <c r="L114" s="9" t="str">
        <f aca="false">IF(NOT(ISNUMBER($K114)),"",PI()*($K114/2)^2)</f>
        <v/>
      </c>
      <c r="M114" s="9" t="str">
        <f aca="false">IF(OR(NOT(ISNUMBER($J114)),NOT(ISNUMBER($L114)),$L114=0),"",$J114/$L114*10000)</f>
        <v/>
      </c>
      <c r="N114" s="9" t="str">
        <f aca="false">IF(NOT(ISNUMBER($M114)),"",$M114*CARBON_FRACTION_ROOT/1000)</f>
        <v/>
      </c>
      <c r="O114" s="11" t="str">
        <f aca="false">IF(AND($A114="",$B114="",$G114=""),"",IF(AND($B114&lt;&gt;"",COUNTIFS('2. Soil Data'!$B$5:$B$604,$B114)=0),"Core ID not found in Soil Data, so the corer diameter cannot be looked up. ","")&amp;IF(ASH_CORRECTED&lt;&gt;"Yes","Root mass is NOT ash-corrected, so it includes adhering mineral soil and is too high. Set ASH_CORRECTED once you have done it. ","")&amp;IF(AND(ASH_CORRECTED="Yes",NOT(ISNUMBER($H114))),"Ash correction is switched on but no ash fraction is given for this row. ","")&amp;IF($I114="","Sieve mesh not recorded — a fine-root figure cannot be interpreted without it. ","")&amp;IF(AND(ISNUMBER($H114),$H114&gt;0.5),"Ash fraction above 0.5 — over half this sample was mineral soil. Re-wash. ","")&amp;IF($F114="Not separated","Live and dead not separated. Fine for a stock, but "&amp;"note it in reporting. ",""))</f>
        <v/>
      </c>
      <c r="P114" s="6"/>
      <c r="Q114" s="9" t="n">
        <f aca="false">IF($B114="",0,IF(COUNTIFS($B$5:$B114,$B114)=1,1,0))</f>
        <v>0</v>
      </c>
    </row>
    <row r="115" customFormat="false" ht="15" hidden="false" customHeight="false" outlineLevel="0" collapsed="false">
      <c r="A115" s="6"/>
      <c r="B115" s="6"/>
      <c r="C115" s="6"/>
      <c r="D115" s="6"/>
      <c r="E115" s="6"/>
      <c r="F115" s="6"/>
      <c r="G115" s="7"/>
      <c r="H115" s="7"/>
      <c r="I115" s="6"/>
      <c r="J115" s="9" t="str">
        <f aca="false">IF(NOT(ISNUMBER($G115)),"",IF(AND(ASH_CORRECTED="Yes",ISNUMBER($H115)),$G115*(1-$H115),$G115))</f>
        <v/>
      </c>
      <c r="K115" s="9" t="str">
        <f aca="false">IF($B115="","",IFERROR(AVERAGEIFS('2. Soil Data'!$G$5:$G$604,'2. Soil Data'!$B$5:$B$604,$B115),""))</f>
        <v/>
      </c>
      <c r="L115" s="9" t="str">
        <f aca="false">IF(NOT(ISNUMBER($K115)),"",PI()*($K115/2)^2)</f>
        <v/>
      </c>
      <c r="M115" s="9" t="str">
        <f aca="false">IF(OR(NOT(ISNUMBER($J115)),NOT(ISNUMBER($L115)),$L115=0),"",$J115/$L115*10000)</f>
        <v/>
      </c>
      <c r="N115" s="9" t="str">
        <f aca="false">IF(NOT(ISNUMBER($M115)),"",$M115*CARBON_FRACTION_ROOT/1000)</f>
        <v/>
      </c>
      <c r="O115" s="11" t="str">
        <f aca="false">IF(AND($A115="",$B115="",$G115=""),"",IF(AND($B115&lt;&gt;"",COUNTIFS('2. Soil Data'!$B$5:$B$604,$B115)=0),"Core ID not found in Soil Data, so the corer diameter cannot be looked up. ","")&amp;IF(ASH_CORRECTED&lt;&gt;"Yes","Root mass is NOT ash-corrected, so it includes adhering mineral soil and is too high. Set ASH_CORRECTED once you have done it. ","")&amp;IF(AND(ASH_CORRECTED="Yes",NOT(ISNUMBER($H115))),"Ash correction is switched on but no ash fraction is given for this row. ","")&amp;IF($I115="","Sieve mesh not recorded — a fine-root figure cannot be interpreted without it. ","")&amp;IF(AND(ISNUMBER($H115),$H115&gt;0.5),"Ash fraction above 0.5 — over half this sample was mineral soil. Re-wash. ","")&amp;IF($F115="Not separated","Live and dead not separated. Fine for a stock, but "&amp;"note it in reporting. ",""))</f>
        <v/>
      </c>
      <c r="P115" s="6"/>
      <c r="Q115" s="9" t="n">
        <f aca="false">IF($B115="",0,IF(COUNTIFS($B$5:$B115,$B115)=1,1,0))</f>
        <v>0</v>
      </c>
    </row>
    <row r="116" customFormat="false" ht="15" hidden="false" customHeight="false" outlineLevel="0" collapsed="false">
      <c r="A116" s="6"/>
      <c r="B116" s="6"/>
      <c r="C116" s="6"/>
      <c r="D116" s="6"/>
      <c r="E116" s="6"/>
      <c r="F116" s="6"/>
      <c r="G116" s="7"/>
      <c r="H116" s="7"/>
      <c r="I116" s="6"/>
      <c r="J116" s="9" t="str">
        <f aca="false">IF(NOT(ISNUMBER($G116)),"",IF(AND(ASH_CORRECTED="Yes",ISNUMBER($H116)),$G116*(1-$H116),$G116))</f>
        <v/>
      </c>
      <c r="K116" s="9" t="str">
        <f aca="false">IF($B116="","",IFERROR(AVERAGEIFS('2. Soil Data'!$G$5:$G$604,'2. Soil Data'!$B$5:$B$604,$B116),""))</f>
        <v/>
      </c>
      <c r="L116" s="9" t="str">
        <f aca="false">IF(NOT(ISNUMBER($K116)),"",PI()*($K116/2)^2)</f>
        <v/>
      </c>
      <c r="M116" s="9" t="str">
        <f aca="false">IF(OR(NOT(ISNUMBER($J116)),NOT(ISNUMBER($L116)),$L116=0),"",$J116/$L116*10000)</f>
        <v/>
      </c>
      <c r="N116" s="9" t="str">
        <f aca="false">IF(NOT(ISNUMBER($M116)),"",$M116*CARBON_FRACTION_ROOT/1000)</f>
        <v/>
      </c>
      <c r="O116" s="11" t="str">
        <f aca="false">IF(AND($A116="",$B116="",$G116=""),"",IF(AND($B116&lt;&gt;"",COUNTIFS('2. Soil Data'!$B$5:$B$604,$B116)=0),"Core ID not found in Soil Data, so the corer diameter cannot be looked up. ","")&amp;IF(ASH_CORRECTED&lt;&gt;"Yes","Root mass is NOT ash-corrected, so it includes adhering mineral soil and is too high. Set ASH_CORRECTED once you have done it. ","")&amp;IF(AND(ASH_CORRECTED="Yes",NOT(ISNUMBER($H116))),"Ash correction is switched on but no ash fraction is given for this row. ","")&amp;IF($I116="","Sieve mesh not recorded — a fine-root figure cannot be interpreted without it. ","")&amp;IF(AND(ISNUMBER($H116),$H116&gt;0.5),"Ash fraction above 0.5 — over half this sample was mineral soil. Re-wash. ","")&amp;IF($F116="Not separated","Live and dead not separated. Fine for a stock, but "&amp;"note it in reporting. ",""))</f>
        <v/>
      </c>
      <c r="P116" s="6"/>
      <c r="Q116" s="9" t="n">
        <f aca="false">IF($B116="",0,IF(COUNTIFS($B$5:$B116,$B116)=1,1,0))</f>
        <v>0</v>
      </c>
    </row>
    <row r="117" customFormat="false" ht="15" hidden="false" customHeight="false" outlineLevel="0" collapsed="false">
      <c r="A117" s="6"/>
      <c r="B117" s="6"/>
      <c r="C117" s="6"/>
      <c r="D117" s="6"/>
      <c r="E117" s="6"/>
      <c r="F117" s="6"/>
      <c r="G117" s="7"/>
      <c r="H117" s="7"/>
      <c r="I117" s="6"/>
      <c r="J117" s="9" t="str">
        <f aca="false">IF(NOT(ISNUMBER($G117)),"",IF(AND(ASH_CORRECTED="Yes",ISNUMBER($H117)),$G117*(1-$H117),$G117))</f>
        <v/>
      </c>
      <c r="K117" s="9" t="str">
        <f aca="false">IF($B117="","",IFERROR(AVERAGEIFS('2. Soil Data'!$G$5:$G$604,'2. Soil Data'!$B$5:$B$604,$B117),""))</f>
        <v/>
      </c>
      <c r="L117" s="9" t="str">
        <f aca="false">IF(NOT(ISNUMBER($K117)),"",PI()*($K117/2)^2)</f>
        <v/>
      </c>
      <c r="M117" s="9" t="str">
        <f aca="false">IF(OR(NOT(ISNUMBER($J117)),NOT(ISNUMBER($L117)),$L117=0),"",$J117/$L117*10000)</f>
        <v/>
      </c>
      <c r="N117" s="9" t="str">
        <f aca="false">IF(NOT(ISNUMBER($M117)),"",$M117*CARBON_FRACTION_ROOT/1000)</f>
        <v/>
      </c>
      <c r="O117" s="11" t="str">
        <f aca="false">IF(AND($A117="",$B117="",$G117=""),"",IF(AND($B117&lt;&gt;"",COUNTIFS('2. Soil Data'!$B$5:$B$604,$B117)=0),"Core ID not found in Soil Data, so the corer diameter cannot be looked up. ","")&amp;IF(ASH_CORRECTED&lt;&gt;"Yes","Root mass is NOT ash-corrected, so it includes adhering mineral soil and is too high. Set ASH_CORRECTED once you have done it. ","")&amp;IF(AND(ASH_CORRECTED="Yes",NOT(ISNUMBER($H117))),"Ash correction is switched on but no ash fraction is given for this row. ","")&amp;IF($I117="","Sieve mesh not recorded — a fine-root figure cannot be interpreted without it. ","")&amp;IF(AND(ISNUMBER($H117),$H117&gt;0.5),"Ash fraction above 0.5 — over half this sample was mineral soil. Re-wash. ","")&amp;IF($F117="Not separated","Live and dead not separated. Fine for a stock, but "&amp;"note it in reporting. ",""))</f>
        <v/>
      </c>
      <c r="P117" s="6"/>
      <c r="Q117" s="9" t="n">
        <f aca="false">IF($B117="",0,IF(COUNTIFS($B$5:$B117,$B117)=1,1,0))</f>
        <v>0</v>
      </c>
    </row>
    <row r="118" customFormat="false" ht="15" hidden="false" customHeight="false" outlineLevel="0" collapsed="false">
      <c r="A118" s="6"/>
      <c r="B118" s="6"/>
      <c r="C118" s="6"/>
      <c r="D118" s="6"/>
      <c r="E118" s="6"/>
      <c r="F118" s="6"/>
      <c r="G118" s="7"/>
      <c r="H118" s="7"/>
      <c r="I118" s="6"/>
      <c r="J118" s="9" t="str">
        <f aca="false">IF(NOT(ISNUMBER($G118)),"",IF(AND(ASH_CORRECTED="Yes",ISNUMBER($H118)),$G118*(1-$H118),$G118))</f>
        <v/>
      </c>
      <c r="K118" s="9" t="str">
        <f aca="false">IF($B118="","",IFERROR(AVERAGEIFS('2. Soil Data'!$G$5:$G$604,'2. Soil Data'!$B$5:$B$604,$B118),""))</f>
        <v/>
      </c>
      <c r="L118" s="9" t="str">
        <f aca="false">IF(NOT(ISNUMBER($K118)),"",PI()*($K118/2)^2)</f>
        <v/>
      </c>
      <c r="M118" s="9" t="str">
        <f aca="false">IF(OR(NOT(ISNUMBER($J118)),NOT(ISNUMBER($L118)),$L118=0),"",$J118/$L118*10000)</f>
        <v/>
      </c>
      <c r="N118" s="9" t="str">
        <f aca="false">IF(NOT(ISNUMBER($M118)),"",$M118*CARBON_FRACTION_ROOT/1000)</f>
        <v/>
      </c>
      <c r="O118" s="11" t="str">
        <f aca="false">IF(AND($A118="",$B118="",$G118=""),"",IF(AND($B118&lt;&gt;"",COUNTIFS('2. Soil Data'!$B$5:$B$604,$B118)=0),"Core ID not found in Soil Data, so the corer diameter cannot be looked up. ","")&amp;IF(ASH_CORRECTED&lt;&gt;"Yes","Root mass is NOT ash-corrected, so it includes adhering mineral soil and is too high. Set ASH_CORRECTED once you have done it. ","")&amp;IF(AND(ASH_CORRECTED="Yes",NOT(ISNUMBER($H118))),"Ash correction is switched on but no ash fraction is given for this row. ","")&amp;IF($I118="","Sieve mesh not recorded — a fine-root figure cannot be interpreted without it. ","")&amp;IF(AND(ISNUMBER($H118),$H118&gt;0.5),"Ash fraction above 0.5 — over half this sample was mineral soil. Re-wash. ","")&amp;IF($F118="Not separated","Live and dead not separated. Fine for a stock, but "&amp;"note it in reporting. ",""))</f>
        <v/>
      </c>
      <c r="P118" s="6"/>
      <c r="Q118" s="9" t="n">
        <f aca="false">IF($B118="",0,IF(COUNTIFS($B$5:$B118,$B118)=1,1,0))</f>
        <v>0</v>
      </c>
    </row>
    <row r="119" customFormat="false" ht="15" hidden="false" customHeight="false" outlineLevel="0" collapsed="false">
      <c r="A119" s="6"/>
      <c r="B119" s="6"/>
      <c r="C119" s="6"/>
      <c r="D119" s="6"/>
      <c r="E119" s="6"/>
      <c r="F119" s="6"/>
      <c r="G119" s="7"/>
      <c r="H119" s="7"/>
      <c r="I119" s="6"/>
      <c r="J119" s="9" t="str">
        <f aca="false">IF(NOT(ISNUMBER($G119)),"",IF(AND(ASH_CORRECTED="Yes",ISNUMBER($H119)),$G119*(1-$H119),$G119))</f>
        <v/>
      </c>
      <c r="K119" s="9" t="str">
        <f aca="false">IF($B119="","",IFERROR(AVERAGEIFS('2. Soil Data'!$G$5:$G$604,'2. Soil Data'!$B$5:$B$604,$B119),""))</f>
        <v/>
      </c>
      <c r="L119" s="9" t="str">
        <f aca="false">IF(NOT(ISNUMBER($K119)),"",PI()*($K119/2)^2)</f>
        <v/>
      </c>
      <c r="M119" s="9" t="str">
        <f aca="false">IF(OR(NOT(ISNUMBER($J119)),NOT(ISNUMBER($L119)),$L119=0),"",$J119/$L119*10000)</f>
        <v/>
      </c>
      <c r="N119" s="9" t="str">
        <f aca="false">IF(NOT(ISNUMBER($M119)),"",$M119*CARBON_FRACTION_ROOT/1000)</f>
        <v/>
      </c>
      <c r="O119" s="11" t="str">
        <f aca="false">IF(AND($A119="",$B119="",$G119=""),"",IF(AND($B119&lt;&gt;"",COUNTIFS('2. Soil Data'!$B$5:$B$604,$B119)=0),"Core ID not found in Soil Data, so the corer diameter cannot be looked up. ","")&amp;IF(ASH_CORRECTED&lt;&gt;"Yes","Root mass is NOT ash-corrected, so it includes adhering mineral soil and is too high. Set ASH_CORRECTED once you have done it. ","")&amp;IF(AND(ASH_CORRECTED="Yes",NOT(ISNUMBER($H119))),"Ash correction is switched on but no ash fraction is given for this row. ","")&amp;IF($I119="","Sieve mesh not recorded — a fine-root figure cannot be interpreted without it. ","")&amp;IF(AND(ISNUMBER($H119),$H119&gt;0.5),"Ash fraction above 0.5 — over half this sample was mineral soil. Re-wash. ","")&amp;IF($F119="Not separated","Live and dead not separated. Fine for a stock, but "&amp;"note it in reporting. ",""))</f>
        <v/>
      </c>
      <c r="P119" s="6"/>
      <c r="Q119" s="9" t="n">
        <f aca="false">IF($B119="",0,IF(COUNTIFS($B$5:$B119,$B119)=1,1,0))</f>
        <v>0</v>
      </c>
    </row>
    <row r="120" customFormat="false" ht="15" hidden="false" customHeight="false" outlineLevel="0" collapsed="false">
      <c r="A120" s="6"/>
      <c r="B120" s="6"/>
      <c r="C120" s="6"/>
      <c r="D120" s="6"/>
      <c r="E120" s="6"/>
      <c r="F120" s="6"/>
      <c r="G120" s="7"/>
      <c r="H120" s="7"/>
      <c r="I120" s="6"/>
      <c r="J120" s="9" t="str">
        <f aca="false">IF(NOT(ISNUMBER($G120)),"",IF(AND(ASH_CORRECTED="Yes",ISNUMBER($H120)),$G120*(1-$H120),$G120))</f>
        <v/>
      </c>
      <c r="K120" s="9" t="str">
        <f aca="false">IF($B120="","",IFERROR(AVERAGEIFS('2. Soil Data'!$G$5:$G$604,'2. Soil Data'!$B$5:$B$604,$B120),""))</f>
        <v/>
      </c>
      <c r="L120" s="9" t="str">
        <f aca="false">IF(NOT(ISNUMBER($K120)),"",PI()*($K120/2)^2)</f>
        <v/>
      </c>
      <c r="M120" s="9" t="str">
        <f aca="false">IF(OR(NOT(ISNUMBER($J120)),NOT(ISNUMBER($L120)),$L120=0),"",$J120/$L120*10000)</f>
        <v/>
      </c>
      <c r="N120" s="9" t="str">
        <f aca="false">IF(NOT(ISNUMBER($M120)),"",$M120*CARBON_FRACTION_ROOT/1000)</f>
        <v/>
      </c>
      <c r="O120" s="11" t="str">
        <f aca="false">IF(AND($A120="",$B120="",$G120=""),"",IF(AND($B120&lt;&gt;"",COUNTIFS('2. Soil Data'!$B$5:$B$604,$B120)=0),"Core ID not found in Soil Data, so the corer diameter cannot be looked up. ","")&amp;IF(ASH_CORRECTED&lt;&gt;"Yes","Root mass is NOT ash-corrected, so it includes adhering mineral soil and is too high. Set ASH_CORRECTED once you have done it. ","")&amp;IF(AND(ASH_CORRECTED="Yes",NOT(ISNUMBER($H120))),"Ash correction is switched on but no ash fraction is given for this row. ","")&amp;IF($I120="","Sieve mesh not recorded — a fine-root figure cannot be interpreted without it. ","")&amp;IF(AND(ISNUMBER($H120),$H120&gt;0.5),"Ash fraction above 0.5 — over half this sample was mineral soil. Re-wash. ","")&amp;IF($F120="Not separated","Live and dead not separated. Fine for a stock, but "&amp;"note it in reporting. ",""))</f>
        <v/>
      </c>
      <c r="P120" s="6"/>
      <c r="Q120" s="9" t="n">
        <f aca="false">IF($B120="",0,IF(COUNTIFS($B$5:$B120,$B120)=1,1,0))</f>
        <v>0</v>
      </c>
    </row>
    <row r="121" customFormat="false" ht="15" hidden="false" customHeight="false" outlineLevel="0" collapsed="false">
      <c r="A121" s="6"/>
      <c r="B121" s="6"/>
      <c r="C121" s="6"/>
      <c r="D121" s="6"/>
      <c r="E121" s="6"/>
      <c r="F121" s="6"/>
      <c r="G121" s="7"/>
      <c r="H121" s="7"/>
      <c r="I121" s="6"/>
      <c r="J121" s="9" t="str">
        <f aca="false">IF(NOT(ISNUMBER($G121)),"",IF(AND(ASH_CORRECTED="Yes",ISNUMBER($H121)),$G121*(1-$H121),$G121))</f>
        <v/>
      </c>
      <c r="K121" s="9" t="str">
        <f aca="false">IF($B121="","",IFERROR(AVERAGEIFS('2. Soil Data'!$G$5:$G$604,'2. Soil Data'!$B$5:$B$604,$B121),""))</f>
        <v/>
      </c>
      <c r="L121" s="9" t="str">
        <f aca="false">IF(NOT(ISNUMBER($K121)),"",PI()*($K121/2)^2)</f>
        <v/>
      </c>
      <c r="M121" s="9" t="str">
        <f aca="false">IF(OR(NOT(ISNUMBER($J121)),NOT(ISNUMBER($L121)),$L121=0),"",$J121/$L121*10000)</f>
        <v/>
      </c>
      <c r="N121" s="9" t="str">
        <f aca="false">IF(NOT(ISNUMBER($M121)),"",$M121*CARBON_FRACTION_ROOT/1000)</f>
        <v/>
      </c>
      <c r="O121" s="11" t="str">
        <f aca="false">IF(AND($A121="",$B121="",$G121=""),"",IF(AND($B121&lt;&gt;"",COUNTIFS('2. Soil Data'!$B$5:$B$604,$B121)=0),"Core ID not found in Soil Data, so the corer diameter cannot be looked up. ","")&amp;IF(ASH_CORRECTED&lt;&gt;"Yes","Root mass is NOT ash-corrected, so it includes adhering mineral soil and is too high. Set ASH_CORRECTED once you have done it. ","")&amp;IF(AND(ASH_CORRECTED="Yes",NOT(ISNUMBER($H121))),"Ash correction is switched on but no ash fraction is given for this row. ","")&amp;IF($I121="","Sieve mesh not recorded — a fine-root figure cannot be interpreted without it. ","")&amp;IF(AND(ISNUMBER($H121),$H121&gt;0.5),"Ash fraction above 0.5 — over half this sample was mineral soil. Re-wash. ","")&amp;IF($F121="Not separated","Live and dead not separated. Fine for a stock, but "&amp;"note it in reporting. ",""))</f>
        <v/>
      </c>
      <c r="P121" s="6"/>
      <c r="Q121" s="9" t="n">
        <f aca="false">IF($B121="",0,IF(COUNTIFS($B$5:$B121,$B121)=1,1,0))</f>
        <v>0</v>
      </c>
    </row>
    <row r="122" customFormat="false" ht="15" hidden="false" customHeight="false" outlineLevel="0" collapsed="false">
      <c r="A122" s="6"/>
      <c r="B122" s="6"/>
      <c r="C122" s="6"/>
      <c r="D122" s="6"/>
      <c r="E122" s="6"/>
      <c r="F122" s="6"/>
      <c r="G122" s="7"/>
      <c r="H122" s="7"/>
      <c r="I122" s="6"/>
      <c r="J122" s="9" t="str">
        <f aca="false">IF(NOT(ISNUMBER($G122)),"",IF(AND(ASH_CORRECTED="Yes",ISNUMBER($H122)),$G122*(1-$H122),$G122))</f>
        <v/>
      </c>
      <c r="K122" s="9" t="str">
        <f aca="false">IF($B122="","",IFERROR(AVERAGEIFS('2. Soil Data'!$G$5:$G$604,'2. Soil Data'!$B$5:$B$604,$B122),""))</f>
        <v/>
      </c>
      <c r="L122" s="9" t="str">
        <f aca="false">IF(NOT(ISNUMBER($K122)),"",PI()*($K122/2)^2)</f>
        <v/>
      </c>
      <c r="M122" s="9" t="str">
        <f aca="false">IF(OR(NOT(ISNUMBER($J122)),NOT(ISNUMBER($L122)),$L122=0),"",$J122/$L122*10000)</f>
        <v/>
      </c>
      <c r="N122" s="9" t="str">
        <f aca="false">IF(NOT(ISNUMBER($M122)),"",$M122*CARBON_FRACTION_ROOT/1000)</f>
        <v/>
      </c>
      <c r="O122" s="11" t="str">
        <f aca="false">IF(AND($A122="",$B122="",$G122=""),"",IF(AND($B122&lt;&gt;"",COUNTIFS('2. Soil Data'!$B$5:$B$604,$B122)=0),"Core ID not found in Soil Data, so the corer diameter cannot be looked up. ","")&amp;IF(ASH_CORRECTED&lt;&gt;"Yes","Root mass is NOT ash-corrected, so it includes adhering mineral soil and is too high. Set ASH_CORRECTED once you have done it. ","")&amp;IF(AND(ASH_CORRECTED="Yes",NOT(ISNUMBER($H122))),"Ash correction is switched on but no ash fraction is given for this row. ","")&amp;IF($I122="","Sieve mesh not recorded — a fine-root figure cannot be interpreted without it. ","")&amp;IF(AND(ISNUMBER($H122),$H122&gt;0.5),"Ash fraction above 0.5 — over half this sample was mineral soil. Re-wash. ","")&amp;IF($F122="Not separated","Live and dead not separated. Fine for a stock, but "&amp;"note it in reporting. ",""))</f>
        <v/>
      </c>
      <c r="P122" s="6"/>
      <c r="Q122" s="9" t="n">
        <f aca="false">IF($B122="",0,IF(COUNTIFS($B$5:$B122,$B122)=1,1,0))</f>
        <v>0</v>
      </c>
    </row>
    <row r="123" customFormat="false" ht="15" hidden="false" customHeight="false" outlineLevel="0" collapsed="false">
      <c r="A123" s="6"/>
      <c r="B123" s="6"/>
      <c r="C123" s="6"/>
      <c r="D123" s="6"/>
      <c r="E123" s="6"/>
      <c r="F123" s="6"/>
      <c r="G123" s="7"/>
      <c r="H123" s="7"/>
      <c r="I123" s="6"/>
      <c r="J123" s="9" t="str">
        <f aca="false">IF(NOT(ISNUMBER($G123)),"",IF(AND(ASH_CORRECTED="Yes",ISNUMBER($H123)),$G123*(1-$H123),$G123))</f>
        <v/>
      </c>
      <c r="K123" s="9" t="str">
        <f aca="false">IF($B123="","",IFERROR(AVERAGEIFS('2. Soil Data'!$G$5:$G$604,'2. Soil Data'!$B$5:$B$604,$B123),""))</f>
        <v/>
      </c>
      <c r="L123" s="9" t="str">
        <f aca="false">IF(NOT(ISNUMBER($K123)),"",PI()*($K123/2)^2)</f>
        <v/>
      </c>
      <c r="M123" s="9" t="str">
        <f aca="false">IF(OR(NOT(ISNUMBER($J123)),NOT(ISNUMBER($L123)),$L123=0),"",$J123/$L123*10000)</f>
        <v/>
      </c>
      <c r="N123" s="9" t="str">
        <f aca="false">IF(NOT(ISNUMBER($M123)),"",$M123*CARBON_FRACTION_ROOT/1000)</f>
        <v/>
      </c>
      <c r="O123" s="11" t="str">
        <f aca="false">IF(AND($A123="",$B123="",$G123=""),"",IF(AND($B123&lt;&gt;"",COUNTIFS('2. Soil Data'!$B$5:$B$604,$B123)=0),"Core ID not found in Soil Data, so the corer diameter cannot be looked up. ","")&amp;IF(ASH_CORRECTED&lt;&gt;"Yes","Root mass is NOT ash-corrected, so it includes adhering mineral soil and is too high. Set ASH_CORRECTED once you have done it. ","")&amp;IF(AND(ASH_CORRECTED="Yes",NOT(ISNUMBER($H123))),"Ash correction is switched on but no ash fraction is given for this row. ","")&amp;IF($I123="","Sieve mesh not recorded — a fine-root figure cannot be interpreted without it. ","")&amp;IF(AND(ISNUMBER($H123),$H123&gt;0.5),"Ash fraction above 0.5 — over half this sample was mineral soil. Re-wash. ","")&amp;IF($F123="Not separated","Live and dead not separated. Fine for a stock, but "&amp;"note it in reporting. ",""))</f>
        <v/>
      </c>
      <c r="P123" s="6"/>
      <c r="Q123" s="9" t="n">
        <f aca="false">IF($B123="",0,IF(COUNTIFS($B$5:$B123,$B123)=1,1,0))</f>
        <v>0</v>
      </c>
    </row>
    <row r="124" customFormat="false" ht="15" hidden="false" customHeight="false" outlineLevel="0" collapsed="false">
      <c r="A124" s="6"/>
      <c r="B124" s="6"/>
      <c r="C124" s="6"/>
      <c r="D124" s="6"/>
      <c r="E124" s="6"/>
      <c r="F124" s="6"/>
      <c r="G124" s="7"/>
      <c r="H124" s="7"/>
      <c r="I124" s="6"/>
      <c r="J124" s="9" t="str">
        <f aca="false">IF(NOT(ISNUMBER($G124)),"",IF(AND(ASH_CORRECTED="Yes",ISNUMBER($H124)),$G124*(1-$H124),$G124))</f>
        <v/>
      </c>
      <c r="K124" s="9" t="str">
        <f aca="false">IF($B124="","",IFERROR(AVERAGEIFS('2. Soil Data'!$G$5:$G$604,'2. Soil Data'!$B$5:$B$604,$B124),""))</f>
        <v/>
      </c>
      <c r="L124" s="9" t="str">
        <f aca="false">IF(NOT(ISNUMBER($K124)),"",PI()*($K124/2)^2)</f>
        <v/>
      </c>
      <c r="M124" s="9" t="str">
        <f aca="false">IF(OR(NOT(ISNUMBER($J124)),NOT(ISNUMBER($L124)),$L124=0),"",$J124/$L124*10000)</f>
        <v/>
      </c>
      <c r="N124" s="9" t="str">
        <f aca="false">IF(NOT(ISNUMBER($M124)),"",$M124*CARBON_FRACTION_ROOT/1000)</f>
        <v/>
      </c>
      <c r="O124" s="11" t="str">
        <f aca="false">IF(AND($A124="",$B124="",$G124=""),"",IF(AND($B124&lt;&gt;"",COUNTIFS('2. Soil Data'!$B$5:$B$604,$B124)=0),"Core ID not found in Soil Data, so the corer diameter cannot be looked up. ","")&amp;IF(ASH_CORRECTED&lt;&gt;"Yes","Root mass is NOT ash-corrected, so it includes adhering mineral soil and is too high. Set ASH_CORRECTED once you have done it. ","")&amp;IF(AND(ASH_CORRECTED="Yes",NOT(ISNUMBER($H124))),"Ash correction is switched on but no ash fraction is given for this row. ","")&amp;IF($I124="","Sieve mesh not recorded — a fine-root figure cannot be interpreted without it. ","")&amp;IF(AND(ISNUMBER($H124),$H124&gt;0.5),"Ash fraction above 0.5 — over half this sample was mineral soil. Re-wash. ","")&amp;IF($F124="Not separated","Live and dead not separated. Fine for a stock, but "&amp;"note it in reporting. ",""))</f>
        <v/>
      </c>
      <c r="P124" s="6"/>
      <c r="Q124" s="9" t="n">
        <f aca="false">IF($B124="",0,IF(COUNTIFS($B$5:$B124,$B124)=1,1,0))</f>
        <v>0</v>
      </c>
    </row>
    <row r="125" customFormat="false" ht="15" hidden="false" customHeight="false" outlineLevel="0" collapsed="false">
      <c r="A125" s="6"/>
      <c r="B125" s="6"/>
      <c r="C125" s="6"/>
      <c r="D125" s="6"/>
      <c r="E125" s="6"/>
      <c r="F125" s="6"/>
      <c r="G125" s="7"/>
      <c r="H125" s="7"/>
      <c r="I125" s="6"/>
      <c r="J125" s="9" t="str">
        <f aca="false">IF(NOT(ISNUMBER($G125)),"",IF(AND(ASH_CORRECTED="Yes",ISNUMBER($H125)),$G125*(1-$H125),$G125))</f>
        <v/>
      </c>
      <c r="K125" s="9" t="str">
        <f aca="false">IF($B125="","",IFERROR(AVERAGEIFS('2. Soil Data'!$G$5:$G$604,'2. Soil Data'!$B$5:$B$604,$B125),""))</f>
        <v/>
      </c>
      <c r="L125" s="9" t="str">
        <f aca="false">IF(NOT(ISNUMBER($K125)),"",PI()*($K125/2)^2)</f>
        <v/>
      </c>
      <c r="M125" s="9" t="str">
        <f aca="false">IF(OR(NOT(ISNUMBER($J125)),NOT(ISNUMBER($L125)),$L125=0),"",$J125/$L125*10000)</f>
        <v/>
      </c>
      <c r="N125" s="9" t="str">
        <f aca="false">IF(NOT(ISNUMBER($M125)),"",$M125*CARBON_FRACTION_ROOT/1000)</f>
        <v/>
      </c>
      <c r="O125" s="11" t="str">
        <f aca="false">IF(AND($A125="",$B125="",$G125=""),"",IF(AND($B125&lt;&gt;"",COUNTIFS('2. Soil Data'!$B$5:$B$604,$B125)=0),"Core ID not found in Soil Data, so the corer diameter cannot be looked up. ","")&amp;IF(ASH_CORRECTED&lt;&gt;"Yes","Root mass is NOT ash-corrected, so it includes adhering mineral soil and is too high. Set ASH_CORRECTED once you have done it. ","")&amp;IF(AND(ASH_CORRECTED="Yes",NOT(ISNUMBER($H125))),"Ash correction is switched on but no ash fraction is given for this row. ","")&amp;IF($I125="","Sieve mesh not recorded — a fine-root figure cannot be interpreted without it. ","")&amp;IF(AND(ISNUMBER($H125),$H125&gt;0.5),"Ash fraction above 0.5 — over half this sample was mineral soil. Re-wash. ","")&amp;IF($F125="Not separated","Live and dead not separated. Fine for a stock, but "&amp;"note it in reporting. ",""))</f>
        <v/>
      </c>
      <c r="P125" s="6"/>
      <c r="Q125" s="9" t="n">
        <f aca="false">IF($B125="",0,IF(COUNTIFS($B$5:$B125,$B125)=1,1,0))</f>
        <v>0</v>
      </c>
    </row>
    <row r="126" customFormat="false" ht="15" hidden="false" customHeight="false" outlineLevel="0" collapsed="false">
      <c r="A126" s="6"/>
      <c r="B126" s="6"/>
      <c r="C126" s="6"/>
      <c r="D126" s="6"/>
      <c r="E126" s="6"/>
      <c r="F126" s="6"/>
      <c r="G126" s="7"/>
      <c r="H126" s="7"/>
      <c r="I126" s="6"/>
      <c r="J126" s="9" t="str">
        <f aca="false">IF(NOT(ISNUMBER($G126)),"",IF(AND(ASH_CORRECTED="Yes",ISNUMBER($H126)),$G126*(1-$H126),$G126))</f>
        <v/>
      </c>
      <c r="K126" s="9" t="str">
        <f aca="false">IF($B126="","",IFERROR(AVERAGEIFS('2. Soil Data'!$G$5:$G$604,'2. Soil Data'!$B$5:$B$604,$B126),""))</f>
        <v/>
      </c>
      <c r="L126" s="9" t="str">
        <f aca="false">IF(NOT(ISNUMBER($K126)),"",PI()*($K126/2)^2)</f>
        <v/>
      </c>
      <c r="M126" s="9" t="str">
        <f aca="false">IF(OR(NOT(ISNUMBER($J126)),NOT(ISNUMBER($L126)),$L126=0),"",$J126/$L126*10000)</f>
        <v/>
      </c>
      <c r="N126" s="9" t="str">
        <f aca="false">IF(NOT(ISNUMBER($M126)),"",$M126*CARBON_FRACTION_ROOT/1000)</f>
        <v/>
      </c>
      <c r="O126" s="11" t="str">
        <f aca="false">IF(AND($A126="",$B126="",$G126=""),"",IF(AND($B126&lt;&gt;"",COUNTIFS('2. Soil Data'!$B$5:$B$604,$B126)=0),"Core ID not found in Soil Data, so the corer diameter cannot be looked up. ","")&amp;IF(ASH_CORRECTED&lt;&gt;"Yes","Root mass is NOT ash-corrected, so it includes adhering mineral soil and is too high. Set ASH_CORRECTED once you have done it. ","")&amp;IF(AND(ASH_CORRECTED="Yes",NOT(ISNUMBER($H126))),"Ash correction is switched on but no ash fraction is given for this row. ","")&amp;IF($I126="","Sieve mesh not recorded — a fine-root figure cannot be interpreted without it. ","")&amp;IF(AND(ISNUMBER($H126),$H126&gt;0.5),"Ash fraction above 0.5 — over half this sample was mineral soil. Re-wash. ","")&amp;IF($F126="Not separated","Live and dead not separated. Fine for a stock, but "&amp;"note it in reporting. ",""))</f>
        <v/>
      </c>
      <c r="P126" s="6"/>
      <c r="Q126" s="9" t="n">
        <f aca="false">IF($B126="",0,IF(COUNTIFS($B$5:$B126,$B126)=1,1,0))</f>
        <v>0</v>
      </c>
    </row>
    <row r="127" customFormat="false" ht="15" hidden="false" customHeight="false" outlineLevel="0" collapsed="false">
      <c r="A127" s="6"/>
      <c r="B127" s="6"/>
      <c r="C127" s="6"/>
      <c r="D127" s="6"/>
      <c r="E127" s="6"/>
      <c r="F127" s="6"/>
      <c r="G127" s="7"/>
      <c r="H127" s="7"/>
      <c r="I127" s="6"/>
      <c r="J127" s="9" t="str">
        <f aca="false">IF(NOT(ISNUMBER($G127)),"",IF(AND(ASH_CORRECTED="Yes",ISNUMBER($H127)),$G127*(1-$H127),$G127))</f>
        <v/>
      </c>
      <c r="K127" s="9" t="str">
        <f aca="false">IF($B127="","",IFERROR(AVERAGEIFS('2. Soil Data'!$G$5:$G$604,'2. Soil Data'!$B$5:$B$604,$B127),""))</f>
        <v/>
      </c>
      <c r="L127" s="9" t="str">
        <f aca="false">IF(NOT(ISNUMBER($K127)),"",PI()*($K127/2)^2)</f>
        <v/>
      </c>
      <c r="M127" s="9" t="str">
        <f aca="false">IF(OR(NOT(ISNUMBER($J127)),NOT(ISNUMBER($L127)),$L127=0),"",$J127/$L127*10000)</f>
        <v/>
      </c>
      <c r="N127" s="9" t="str">
        <f aca="false">IF(NOT(ISNUMBER($M127)),"",$M127*CARBON_FRACTION_ROOT/1000)</f>
        <v/>
      </c>
      <c r="O127" s="11" t="str">
        <f aca="false">IF(AND($A127="",$B127="",$G127=""),"",IF(AND($B127&lt;&gt;"",COUNTIFS('2. Soil Data'!$B$5:$B$604,$B127)=0),"Core ID not found in Soil Data, so the corer diameter cannot be looked up. ","")&amp;IF(ASH_CORRECTED&lt;&gt;"Yes","Root mass is NOT ash-corrected, so it includes adhering mineral soil and is too high. Set ASH_CORRECTED once you have done it. ","")&amp;IF(AND(ASH_CORRECTED="Yes",NOT(ISNUMBER($H127))),"Ash correction is switched on but no ash fraction is given for this row. ","")&amp;IF($I127="","Sieve mesh not recorded — a fine-root figure cannot be interpreted without it. ","")&amp;IF(AND(ISNUMBER($H127),$H127&gt;0.5),"Ash fraction above 0.5 — over half this sample was mineral soil. Re-wash. ","")&amp;IF($F127="Not separated","Live and dead not separated. Fine for a stock, but "&amp;"note it in reporting. ",""))</f>
        <v/>
      </c>
      <c r="P127" s="6"/>
      <c r="Q127" s="9" t="n">
        <f aca="false">IF($B127="",0,IF(COUNTIFS($B$5:$B127,$B127)=1,1,0))</f>
        <v>0</v>
      </c>
    </row>
    <row r="128" customFormat="false" ht="15" hidden="false" customHeight="false" outlineLevel="0" collapsed="false">
      <c r="A128" s="6"/>
      <c r="B128" s="6"/>
      <c r="C128" s="6"/>
      <c r="D128" s="6"/>
      <c r="E128" s="6"/>
      <c r="F128" s="6"/>
      <c r="G128" s="7"/>
      <c r="H128" s="7"/>
      <c r="I128" s="6"/>
      <c r="J128" s="9" t="str">
        <f aca="false">IF(NOT(ISNUMBER($G128)),"",IF(AND(ASH_CORRECTED="Yes",ISNUMBER($H128)),$G128*(1-$H128),$G128))</f>
        <v/>
      </c>
      <c r="K128" s="9" t="str">
        <f aca="false">IF($B128="","",IFERROR(AVERAGEIFS('2. Soil Data'!$G$5:$G$604,'2. Soil Data'!$B$5:$B$604,$B128),""))</f>
        <v/>
      </c>
      <c r="L128" s="9" t="str">
        <f aca="false">IF(NOT(ISNUMBER($K128)),"",PI()*($K128/2)^2)</f>
        <v/>
      </c>
      <c r="M128" s="9" t="str">
        <f aca="false">IF(OR(NOT(ISNUMBER($J128)),NOT(ISNUMBER($L128)),$L128=0),"",$J128/$L128*10000)</f>
        <v/>
      </c>
      <c r="N128" s="9" t="str">
        <f aca="false">IF(NOT(ISNUMBER($M128)),"",$M128*CARBON_FRACTION_ROOT/1000)</f>
        <v/>
      </c>
      <c r="O128" s="11" t="str">
        <f aca="false">IF(AND($A128="",$B128="",$G128=""),"",IF(AND($B128&lt;&gt;"",COUNTIFS('2. Soil Data'!$B$5:$B$604,$B128)=0),"Core ID not found in Soil Data, so the corer diameter cannot be looked up. ","")&amp;IF(ASH_CORRECTED&lt;&gt;"Yes","Root mass is NOT ash-corrected, so it includes adhering mineral soil and is too high. Set ASH_CORRECTED once you have done it. ","")&amp;IF(AND(ASH_CORRECTED="Yes",NOT(ISNUMBER($H128))),"Ash correction is switched on but no ash fraction is given for this row. ","")&amp;IF($I128="","Sieve mesh not recorded — a fine-root figure cannot be interpreted without it. ","")&amp;IF(AND(ISNUMBER($H128),$H128&gt;0.5),"Ash fraction above 0.5 — over half this sample was mineral soil. Re-wash. ","")&amp;IF($F128="Not separated","Live and dead not separated. Fine for a stock, but "&amp;"note it in reporting. ",""))</f>
        <v/>
      </c>
      <c r="P128" s="6"/>
      <c r="Q128" s="9" t="n">
        <f aca="false">IF($B128="",0,IF(COUNTIFS($B$5:$B128,$B128)=1,1,0))</f>
        <v>0</v>
      </c>
    </row>
    <row r="129" customFormat="false" ht="15" hidden="false" customHeight="false" outlineLevel="0" collapsed="false">
      <c r="A129" s="6"/>
      <c r="B129" s="6"/>
      <c r="C129" s="6"/>
      <c r="D129" s="6"/>
      <c r="E129" s="6"/>
      <c r="F129" s="6"/>
      <c r="G129" s="7"/>
      <c r="H129" s="7"/>
      <c r="I129" s="6"/>
      <c r="J129" s="9" t="str">
        <f aca="false">IF(NOT(ISNUMBER($G129)),"",IF(AND(ASH_CORRECTED="Yes",ISNUMBER($H129)),$G129*(1-$H129),$G129))</f>
        <v/>
      </c>
      <c r="K129" s="9" t="str">
        <f aca="false">IF($B129="","",IFERROR(AVERAGEIFS('2. Soil Data'!$G$5:$G$604,'2. Soil Data'!$B$5:$B$604,$B129),""))</f>
        <v/>
      </c>
      <c r="L129" s="9" t="str">
        <f aca="false">IF(NOT(ISNUMBER($K129)),"",PI()*($K129/2)^2)</f>
        <v/>
      </c>
      <c r="M129" s="9" t="str">
        <f aca="false">IF(OR(NOT(ISNUMBER($J129)),NOT(ISNUMBER($L129)),$L129=0),"",$J129/$L129*10000)</f>
        <v/>
      </c>
      <c r="N129" s="9" t="str">
        <f aca="false">IF(NOT(ISNUMBER($M129)),"",$M129*CARBON_FRACTION_ROOT/1000)</f>
        <v/>
      </c>
      <c r="O129" s="11" t="str">
        <f aca="false">IF(AND($A129="",$B129="",$G129=""),"",IF(AND($B129&lt;&gt;"",COUNTIFS('2. Soil Data'!$B$5:$B$604,$B129)=0),"Core ID not found in Soil Data, so the corer diameter cannot be looked up. ","")&amp;IF(ASH_CORRECTED&lt;&gt;"Yes","Root mass is NOT ash-corrected, so it includes adhering mineral soil and is too high. Set ASH_CORRECTED once you have done it. ","")&amp;IF(AND(ASH_CORRECTED="Yes",NOT(ISNUMBER($H129))),"Ash correction is switched on but no ash fraction is given for this row. ","")&amp;IF($I129="","Sieve mesh not recorded — a fine-root figure cannot be interpreted without it. ","")&amp;IF(AND(ISNUMBER($H129),$H129&gt;0.5),"Ash fraction above 0.5 — over half this sample was mineral soil. Re-wash. ","")&amp;IF($F129="Not separated","Live and dead not separated. Fine for a stock, but "&amp;"note it in reporting. ",""))</f>
        <v/>
      </c>
      <c r="P129" s="6"/>
      <c r="Q129" s="9" t="n">
        <f aca="false">IF($B129="",0,IF(COUNTIFS($B$5:$B129,$B129)=1,1,0))</f>
        <v>0</v>
      </c>
    </row>
    <row r="130" customFormat="false" ht="15" hidden="false" customHeight="false" outlineLevel="0" collapsed="false">
      <c r="A130" s="6"/>
      <c r="B130" s="6"/>
      <c r="C130" s="6"/>
      <c r="D130" s="6"/>
      <c r="E130" s="6"/>
      <c r="F130" s="6"/>
      <c r="G130" s="7"/>
      <c r="H130" s="7"/>
      <c r="I130" s="6"/>
      <c r="J130" s="9" t="str">
        <f aca="false">IF(NOT(ISNUMBER($G130)),"",IF(AND(ASH_CORRECTED="Yes",ISNUMBER($H130)),$G130*(1-$H130),$G130))</f>
        <v/>
      </c>
      <c r="K130" s="9" t="str">
        <f aca="false">IF($B130="","",IFERROR(AVERAGEIFS('2. Soil Data'!$G$5:$G$604,'2. Soil Data'!$B$5:$B$604,$B130),""))</f>
        <v/>
      </c>
      <c r="L130" s="9" t="str">
        <f aca="false">IF(NOT(ISNUMBER($K130)),"",PI()*($K130/2)^2)</f>
        <v/>
      </c>
      <c r="M130" s="9" t="str">
        <f aca="false">IF(OR(NOT(ISNUMBER($J130)),NOT(ISNUMBER($L130)),$L130=0),"",$J130/$L130*10000)</f>
        <v/>
      </c>
      <c r="N130" s="9" t="str">
        <f aca="false">IF(NOT(ISNUMBER($M130)),"",$M130*CARBON_FRACTION_ROOT/1000)</f>
        <v/>
      </c>
      <c r="O130" s="11" t="str">
        <f aca="false">IF(AND($A130="",$B130="",$G130=""),"",IF(AND($B130&lt;&gt;"",COUNTIFS('2. Soil Data'!$B$5:$B$604,$B130)=0),"Core ID not found in Soil Data, so the corer diameter cannot be looked up. ","")&amp;IF(ASH_CORRECTED&lt;&gt;"Yes","Root mass is NOT ash-corrected, so it includes adhering mineral soil and is too high. Set ASH_CORRECTED once you have done it. ","")&amp;IF(AND(ASH_CORRECTED="Yes",NOT(ISNUMBER($H130))),"Ash correction is switched on but no ash fraction is given for this row. ","")&amp;IF($I130="","Sieve mesh not recorded — a fine-root figure cannot be interpreted without it. ","")&amp;IF(AND(ISNUMBER($H130),$H130&gt;0.5),"Ash fraction above 0.5 — over half this sample was mineral soil. Re-wash. ","")&amp;IF($F130="Not separated","Live and dead not separated. Fine for a stock, but "&amp;"note it in reporting. ",""))</f>
        <v/>
      </c>
      <c r="P130" s="6"/>
      <c r="Q130" s="9" t="n">
        <f aca="false">IF($B130="",0,IF(COUNTIFS($B$5:$B130,$B130)=1,1,0))</f>
        <v>0</v>
      </c>
    </row>
    <row r="131" customFormat="false" ht="15" hidden="false" customHeight="false" outlineLevel="0" collapsed="false">
      <c r="A131" s="6"/>
      <c r="B131" s="6"/>
      <c r="C131" s="6"/>
      <c r="D131" s="6"/>
      <c r="E131" s="6"/>
      <c r="F131" s="6"/>
      <c r="G131" s="7"/>
      <c r="H131" s="7"/>
      <c r="I131" s="6"/>
      <c r="J131" s="9" t="str">
        <f aca="false">IF(NOT(ISNUMBER($G131)),"",IF(AND(ASH_CORRECTED="Yes",ISNUMBER($H131)),$G131*(1-$H131),$G131))</f>
        <v/>
      </c>
      <c r="K131" s="9" t="str">
        <f aca="false">IF($B131="","",IFERROR(AVERAGEIFS('2. Soil Data'!$G$5:$G$604,'2. Soil Data'!$B$5:$B$604,$B131),""))</f>
        <v/>
      </c>
      <c r="L131" s="9" t="str">
        <f aca="false">IF(NOT(ISNUMBER($K131)),"",PI()*($K131/2)^2)</f>
        <v/>
      </c>
      <c r="M131" s="9" t="str">
        <f aca="false">IF(OR(NOT(ISNUMBER($J131)),NOT(ISNUMBER($L131)),$L131=0),"",$J131/$L131*10000)</f>
        <v/>
      </c>
      <c r="N131" s="9" t="str">
        <f aca="false">IF(NOT(ISNUMBER($M131)),"",$M131*CARBON_FRACTION_ROOT/1000)</f>
        <v/>
      </c>
      <c r="O131" s="11" t="str">
        <f aca="false">IF(AND($A131="",$B131="",$G131=""),"",IF(AND($B131&lt;&gt;"",COUNTIFS('2. Soil Data'!$B$5:$B$604,$B131)=0),"Core ID not found in Soil Data, so the corer diameter cannot be looked up. ","")&amp;IF(ASH_CORRECTED&lt;&gt;"Yes","Root mass is NOT ash-corrected, so it includes adhering mineral soil and is too high. Set ASH_CORRECTED once you have done it. ","")&amp;IF(AND(ASH_CORRECTED="Yes",NOT(ISNUMBER($H131))),"Ash correction is switched on but no ash fraction is given for this row. ","")&amp;IF($I131="","Sieve mesh not recorded — a fine-root figure cannot be interpreted without it. ","")&amp;IF(AND(ISNUMBER($H131),$H131&gt;0.5),"Ash fraction above 0.5 — over half this sample was mineral soil. Re-wash. ","")&amp;IF($F131="Not separated","Live and dead not separated. Fine for a stock, but "&amp;"note it in reporting. ",""))</f>
        <v/>
      </c>
      <c r="P131" s="6"/>
      <c r="Q131" s="9" t="n">
        <f aca="false">IF($B131="",0,IF(COUNTIFS($B$5:$B131,$B131)=1,1,0))</f>
        <v>0</v>
      </c>
    </row>
    <row r="132" customFormat="false" ht="15" hidden="false" customHeight="false" outlineLevel="0" collapsed="false">
      <c r="A132" s="6"/>
      <c r="B132" s="6"/>
      <c r="C132" s="6"/>
      <c r="D132" s="6"/>
      <c r="E132" s="6"/>
      <c r="F132" s="6"/>
      <c r="G132" s="7"/>
      <c r="H132" s="7"/>
      <c r="I132" s="6"/>
      <c r="J132" s="9" t="str">
        <f aca="false">IF(NOT(ISNUMBER($G132)),"",IF(AND(ASH_CORRECTED="Yes",ISNUMBER($H132)),$G132*(1-$H132),$G132))</f>
        <v/>
      </c>
      <c r="K132" s="9" t="str">
        <f aca="false">IF($B132="","",IFERROR(AVERAGEIFS('2. Soil Data'!$G$5:$G$604,'2. Soil Data'!$B$5:$B$604,$B132),""))</f>
        <v/>
      </c>
      <c r="L132" s="9" t="str">
        <f aca="false">IF(NOT(ISNUMBER($K132)),"",PI()*($K132/2)^2)</f>
        <v/>
      </c>
      <c r="M132" s="9" t="str">
        <f aca="false">IF(OR(NOT(ISNUMBER($J132)),NOT(ISNUMBER($L132)),$L132=0),"",$J132/$L132*10000)</f>
        <v/>
      </c>
      <c r="N132" s="9" t="str">
        <f aca="false">IF(NOT(ISNUMBER($M132)),"",$M132*CARBON_FRACTION_ROOT/1000)</f>
        <v/>
      </c>
      <c r="O132" s="11" t="str">
        <f aca="false">IF(AND($A132="",$B132="",$G132=""),"",IF(AND($B132&lt;&gt;"",COUNTIFS('2. Soil Data'!$B$5:$B$604,$B132)=0),"Core ID not found in Soil Data, so the corer diameter cannot be looked up. ","")&amp;IF(ASH_CORRECTED&lt;&gt;"Yes","Root mass is NOT ash-corrected, so it includes adhering mineral soil and is too high. Set ASH_CORRECTED once you have done it. ","")&amp;IF(AND(ASH_CORRECTED="Yes",NOT(ISNUMBER($H132))),"Ash correction is switched on but no ash fraction is given for this row. ","")&amp;IF($I132="","Sieve mesh not recorded — a fine-root figure cannot be interpreted without it. ","")&amp;IF(AND(ISNUMBER($H132),$H132&gt;0.5),"Ash fraction above 0.5 — over half this sample was mineral soil. Re-wash. ","")&amp;IF($F132="Not separated","Live and dead not separated. Fine for a stock, but "&amp;"note it in reporting. ",""))</f>
        <v/>
      </c>
      <c r="P132" s="6"/>
      <c r="Q132" s="9" t="n">
        <f aca="false">IF($B132="",0,IF(COUNTIFS($B$5:$B132,$B132)=1,1,0))</f>
        <v>0</v>
      </c>
    </row>
    <row r="133" customFormat="false" ht="15" hidden="false" customHeight="false" outlineLevel="0" collapsed="false">
      <c r="A133" s="6"/>
      <c r="B133" s="6"/>
      <c r="C133" s="6"/>
      <c r="D133" s="6"/>
      <c r="E133" s="6"/>
      <c r="F133" s="6"/>
      <c r="G133" s="7"/>
      <c r="H133" s="7"/>
      <c r="I133" s="6"/>
      <c r="J133" s="9" t="str">
        <f aca="false">IF(NOT(ISNUMBER($G133)),"",IF(AND(ASH_CORRECTED="Yes",ISNUMBER($H133)),$G133*(1-$H133),$G133))</f>
        <v/>
      </c>
      <c r="K133" s="9" t="str">
        <f aca="false">IF($B133="","",IFERROR(AVERAGEIFS('2. Soil Data'!$G$5:$G$604,'2. Soil Data'!$B$5:$B$604,$B133),""))</f>
        <v/>
      </c>
      <c r="L133" s="9" t="str">
        <f aca="false">IF(NOT(ISNUMBER($K133)),"",PI()*($K133/2)^2)</f>
        <v/>
      </c>
      <c r="M133" s="9" t="str">
        <f aca="false">IF(OR(NOT(ISNUMBER($J133)),NOT(ISNUMBER($L133)),$L133=0),"",$J133/$L133*10000)</f>
        <v/>
      </c>
      <c r="N133" s="9" t="str">
        <f aca="false">IF(NOT(ISNUMBER($M133)),"",$M133*CARBON_FRACTION_ROOT/1000)</f>
        <v/>
      </c>
      <c r="O133" s="11" t="str">
        <f aca="false">IF(AND($A133="",$B133="",$G133=""),"",IF(AND($B133&lt;&gt;"",COUNTIFS('2. Soil Data'!$B$5:$B$604,$B133)=0),"Core ID not found in Soil Data, so the corer diameter cannot be looked up. ","")&amp;IF(ASH_CORRECTED&lt;&gt;"Yes","Root mass is NOT ash-corrected, so it includes adhering mineral soil and is too high. Set ASH_CORRECTED once you have done it. ","")&amp;IF(AND(ASH_CORRECTED="Yes",NOT(ISNUMBER($H133))),"Ash correction is switched on but no ash fraction is given for this row. ","")&amp;IF($I133="","Sieve mesh not recorded — a fine-root figure cannot be interpreted without it. ","")&amp;IF(AND(ISNUMBER($H133),$H133&gt;0.5),"Ash fraction above 0.5 — over half this sample was mineral soil. Re-wash. ","")&amp;IF($F133="Not separated","Live and dead not separated. Fine for a stock, but "&amp;"note it in reporting. ",""))</f>
        <v/>
      </c>
      <c r="P133" s="6"/>
      <c r="Q133" s="9" t="n">
        <f aca="false">IF($B133="",0,IF(COUNTIFS($B$5:$B133,$B133)=1,1,0))</f>
        <v>0</v>
      </c>
    </row>
    <row r="134" customFormat="false" ht="15" hidden="false" customHeight="false" outlineLevel="0" collapsed="false">
      <c r="A134" s="6"/>
      <c r="B134" s="6"/>
      <c r="C134" s="6"/>
      <c r="D134" s="6"/>
      <c r="E134" s="6"/>
      <c r="F134" s="6"/>
      <c r="G134" s="7"/>
      <c r="H134" s="7"/>
      <c r="I134" s="6"/>
      <c r="J134" s="9" t="str">
        <f aca="false">IF(NOT(ISNUMBER($G134)),"",IF(AND(ASH_CORRECTED="Yes",ISNUMBER($H134)),$G134*(1-$H134),$G134))</f>
        <v/>
      </c>
      <c r="K134" s="9" t="str">
        <f aca="false">IF($B134="","",IFERROR(AVERAGEIFS('2. Soil Data'!$G$5:$G$604,'2. Soil Data'!$B$5:$B$604,$B134),""))</f>
        <v/>
      </c>
      <c r="L134" s="9" t="str">
        <f aca="false">IF(NOT(ISNUMBER($K134)),"",PI()*($K134/2)^2)</f>
        <v/>
      </c>
      <c r="M134" s="9" t="str">
        <f aca="false">IF(OR(NOT(ISNUMBER($J134)),NOT(ISNUMBER($L134)),$L134=0),"",$J134/$L134*10000)</f>
        <v/>
      </c>
      <c r="N134" s="9" t="str">
        <f aca="false">IF(NOT(ISNUMBER($M134)),"",$M134*CARBON_FRACTION_ROOT/1000)</f>
        <v/>
      </c>
      <c r="O134" s="11" t="str">
        <f aca="false">IF(AND($A134="",$B134="",$G134=""),"",IF(AND($B134&lt;&gt;"",COUNTIFS('2. Soil Data'!$B$5:$B$604,$B134)=0),"Core ID not found in Soil Data, so the corer diameter cannot be looked up. ","")&amp;IF(ASH_CORRECTED&lt;&gt;"Yes","Root mass is NOT ash-corrected, so it includes adhering mineral soil and is too high. Set ASH_CORRECTED once you have done it. ","")&amp;IF(AND(ASH_CORRECTED="Yes",NOT(ISNUMBER($H134))),"Ash correction is switched on but no ash fraction is given for this row. ","")&amp;IF($I134="","Sieve mesh not recorded — a fine-root figure cannot be interpreted without it. ","")&amp;IF(AND(ISNUMBER($H134),$H134&gt;0.5),"Ash fraction above 0.5 — over half this sample was mineral soil. Re-wash. ","")&amp;IF($F134="Not separated","Live and dead not separated. Fine for a stock, but "&amp;"note it in reporting. ",""))</f>
        <v/>
      </c>
      <c r="P134" s="6"/>
      <c r="Q134" s="9" t="n">
        <f aca="false">IF($B134="",0,IF(COUNTIFS($B$5:$B134,$B134)=1,1,0))</f>
        <v>0</v>
      </c>
    </row>
    <row r="135" customFormat="false" ht="15" hidden="false" customHeight="false" outlineLevel="0" collapsed="false">
      <c r="A135" s="6"/>
      <c r="B135" s="6"/>
      <c r="C135" s="6"/>
      <c r="D135" s="6"/>
      <c r="E135" s="6"/>
      <c r="F135" s="6"/>
      <c r="G135" s="7"/>
      <c r="H135" s="7"/>
      <c r="I135" s="6"/>
      <c r="J135" s="9" t="str">
        <f aca="false">IF(NOT(ISNUMBER($G135)),"",IF(AND(ASH_CORRECTED="Yes",ISNUMBER($H135)),$G135*(1-$H135),$G135))</f>
        <v/>
      </c>
      <c r="K135" s="9" t="str">
        <f aca="false">IF($B135="","",IFERROR(AVERAGEIFS('2. Soil Data'!$G$5:$G$604,'2. Soil Data'!$B$5:$B$604,$B135),""))</f>
        <v/>
      </c>
      <c r="L135" s="9" t="str">
        <f aca="false">IF(NOT(ISNUMBER($K135)),"",PI()*($K135/2)^2)</f>
        <v/>
      </c>
      <c r="M135" s="9" t="str">
        <f aca="false">IF(OR(NOT(ISNUMBER($J135)),NOT(ISNUMBER($L135)),$L135=0),"",$J135/$L135*10000)</f>
        <v/>
      </c>
      <c r="N135" s="9" t="str">
        <f aca="false">IF(NOT(ISNUMBER($M135)),"",$M135*CARBON_FRACTION_ROOT/1000)</f>
        <v/>
      </c>
      <c r="O135" s="11" t="str">
        <f aca="false">IF(AND($A135="",$B135="",$G135=""),"",IF(AND($B135&lt;&gt;"",COUNTIFS('2. Soil Data'!$B$5:$B$604,$B135)=0),"Core ID not found in Soil Data, so the corer diameter cannot be looked up. ","")&amp;IF(ASH_CORRECTED&lt;&gt;"Yes","Root mass is NOT ash-corrected, so it includes adhering mineral soil and is too high. Set ASH_CORRECTED once you have done it. ","")&amp;IF(AND(ASH_CORRECTED="Yes",NOT(ISNUMBER($H135))),"Ash correction is switched on but no ash fraction is given for this row. ","")&amp;IF($I135="","Sieve mesh not recorded — a fine-root figure cannot be interpreted without it. ","")&amp;IF(AND(ISNUMBER($H135),$H135&gt;0.5),"Ash fraction above 0.5 — over half this sample was mineral soil. Re-wash. ","")&amp;IF($F135="Not separated","Live and dead not separated. Fine for a stock, but "&amp;"note it in reporting. ",""))</f>
        <v/>
      </c>
      <c r="P135" s="6"/>
      <c r="Q135" s="9" t="n">
        <f aca="false">IF($B135="",0,IF(COUNTIFS($B$5:$B135,$B135)=1,1,0))</f>
        <v>0</v>
      </c>
    </row>
    <row r="136" customFormat="false" ht="15" hidden="false" customHeight="false" outlineLevel="0" collapsed="false">
      <c r="A136" s="6"/>
      <c r="B136" s="6"/>
      <c r="C136" s="6"/>
      <c r="D136" s="6"/>
      <c r="E136" s="6"/>
      <c r="F136" s="6"/>
      <c r="G136" s="7"/>
      <c r="H136" s="7"/>
      <c r="I136" s="6"/>
      <c r="J136" s="9" t="str">
        <f aca="false">IF(NOT(ISNUMBER($G136)),"",IF(AND(ASH_CORRECTED="Yes",ISNUMBER($H136)),$G136*(1-$H136),$G136))</f>
        <v/>
      </c>
      <c r="K136" s="9" t="str">
        <f aca="false">IF($B136="","",IFERROR(AVERAGEIFS('2. Soil Data'!$G$5:$G$604,'2. Soil Data'!$B$5:$B$604,$B136),""))</f>
        <v/>
      </c>
      <c r="L136" s="9" t="str">
        <f aca="false">IF(NOT(ISNUMBER($K136)),"",PI()*($K136/2)^2)</f>
        <v/>
      </c>
      <c r="M136" s="9" t="str">
        <f aca="false">IF(OR(NOT(ISNUMBER($J136)),NOT(ISNUMBER($L136)),$L136=0),"",$J136/$L136*10000)</f>
        <v/>
      </c>
      <c r="N136" s="9" t="str">
        <f aca="false">IF(NOT(ISNUMBER($M136)),"",$M136*CARBON_FRACTION_ROOT/1000)</f>
        <v/>
      </c>
      <c r="O136" s="11" t="str">
        <f aca="false">IF(AND($A136="",$B136="",$G136=""),"",IF(AND($B136&lt;&gt;"",COUNTIFS('2. Soil Data'!$B$5:$B$604,$B136)=0),"Core ID not found in Soil Data, so the corer diameter cannot be looked up. ","")&amp;IF(ASH_CORRECTED&lt;&gt;"Yes","Root mass is NOT ash-corrected, so it includes adhering mineral soil and is too high. Set ASH_CORRECTED once you have done it. ","")&amp;IF(AND(ASH_CORRECTED="Yes",NOT(ISNUMBER($H136))),"Ash correction is switched on but no ash fraction is given for this row. ","")&amp;IF($I136="","Sieve mesh not recorded — a fine-root figure cannot be interpreted without it. ","")&amp;IF(AND(ISNUMBER($H136),$H136&gt;0.5),"Ash fraction above 0.5 — over half this sample was mineral soil. Re-wash. ","")&amp;IF($F136="Not separated","Live and dead not separated. Fine for a stock, but "&amp;"note it in reporting. ",""))</f>
        <v/>
      </c>
      <c r="P136" s="6"/>
      <c r="Q136" s="9" t="n">
        <f aca="false">IF($B136="",0,IF(COUNTIFS($B$5:$B136,$B136)=1,1,0))</f>
        <v>0</v>
      </c>
    </row>
    <row r="137" customFormat="false" ht="15" hidden="false" customHeight="false" outlineLevel="0" collapsed="false">
      <c r="A137" s="6"/>
      <c r="B137" s="6"/>
      <c r="C137" s="6"/>
      <c r="D137" s="6"/>
      <c r="E137" s="6"/>
      <c r="F137" s="6"/>
      <c r="G137" s="7"/>
      <c r="H137" s="7"/>
      <c r="I137" s="6"/>
      <c r="J137" s="9" t="str">
        <f aca="false">IF(NOT(ISNUMBER($G137)),"",IF(AND(ASH_CORRECTED="Yes",ISNUMBER($H137)),$G137*(1-$H137),$G137))</f>
        <v/>
      </c>
      <c r="K137" s="9" t="str">
        <f aca="false">IF($B137="","",IFERROR(AVERAGEIFS('2. Soil Data'!$G$5:$G$604,'2. Soil Data'!$B$5:$B$604,$B137),""))</f>
        <v/>
      </c>
      <c r="L137" s="9" t="str">
        <f aca="false">IF(NOT(ISNUMBER($K137)),"",PI()*($K137/2)^2)</f>
        <v/>
      </c>
      <c r="M137" s="9" t="str">
        <f aca="false">IF(OR(NOT(ISNUMBER($J137)),NOT(ISNUMBER($L137)),$L137=0),"",$J137/$L137*10000)</f>
        <v/>
      </c>
      <c r="N137" s="9" t="str">
        <f aca="false">IF(NOT(ISNUMBER($M137)),"",$M137*CARBON_FRACTION_ROOT/1000)</f>
        <v/>
      </c>
      <c r="O137" s="11" t="str">
        <f aca="false">IF(AND($A137="",$B137="",$G137=""),"",IF(AND($B137&lt;&gt;"",COUNTIFS('2. Soil Data'!$B$5:$B$604,$B137)=0),"Core ID not found in Soil Data, so the corer diameter cannot be looked up. ","")&amp;IF(ASH_CORRECTED&lt;&gt;"Yes","Root mass is NOT ash-corrected, so it includes adhering mineral soil and is too high. Set ASH_CORRECTED once you have done it. ","")&amp;IF(AND(ASH_CORRECTED="Yes",NOT(ISNUMBER($H137))),"Ash correction is switched on but no ash fraction is given for this row. ","")&amp;IF($I137="","Sieve mesh not recorded — a fine-root figure cannot be interpreted without it. ","")&amp;IF(AND(ISNUMBER($H137),$H137&gt;0.5),"Ash fraction above 0.5 — over half this sample was mineral soil. Re-wash. ","")&amp;IF($F137="Not separated","Live and dead not separated. Fine for a stock, but "&amp;"note it in reporting. ",""))</f>
        <v/>
      </c>
      <c r="P137" s="6"/>
      <c r="Q137" s="9" t="n">
        <f aca="false">IF($B137="",0,IF(COUNTIFS($B$5:$B137,$B137)=1,1,0))</f>
        <v>0</v>
      </c>
    </row>
    <row r="138" customFormat="false" ht="15" hidden="false" customHeight="false" outlineLevel="0" collapsed="false">
      <c r="A138" s="6"/>
      <c r="B138" s="6"/>
      <c r="C138" s="6"/>
      <c r="D138" s="6"/>
      <c r="E138" s="6"/>
      <c r="F138" s="6"/>
      <c r="G138" s="7"/>
      <c r="H138" s="7"/>
      <c r="I138" s="6"/>
      <c r="J138" s="9" t="str">
        <f aca="false">IF(NOT(ISNUMBER($G138)),"",IF(AND(ASH_CORRECTED="Yes",ISNUMBER($H138)),$G138*(1-$H138),$G138))</f>
        <v/>
      </c>
      <c r="K138" s="9" t="str">
        <f aca="false">IF($B138="","",IFERROR(AVERAGEIFS('2. Soil Data'!$G$5:$G$604,'2. Soil Data'!$B$5:$B$604,$B138),""))</f>
        <v/>
      </c>
      <c r="L138" s="9" t="str">
        <f aca="false">IF(NOT(ISNUMBER($K138)),"",PI()*($K138/2)^2)</f>
        <v/>
      </c>
      <c r="M138" s="9" t="str">
        <f aca="false">IF(OR(NOT(ISNUMBER($J138)),NOT(ISNUMBER($L138)),$L138=0),"",$J138/$L138*10000)</f>
        <v/>
      </c>
      <c r="N138" s="9" t="str">
        <f aca="false">IF(NOT(ISNUMBER($M138)),"",$M138*CARBON_FRACTION_ROOT/1000)</f>
        <v/>
      </c>
      <c r="O138" s="11" t="str">
        <f aca="false">IF(AND($A138="",$B138="",$G138=""),"",IF(AND($B138&lt;&gt;"",COUNTIFS('2. Soil Data'!$B$5:$B$604,$B138)=0),"Core ID not found in Soil Data, so the corer diameter cannot be looked up. ","")&amp;IF(ASH_CORRECTED&lt;&gt;"Yes","Root mass is NOT ash-corrected, so it includes adhering mineral soil and is too high. Set ASH_CORRECTED once you have done it. ","")&amp;IF(AND(ASH_CORRECTED="Yes",NOT(ISNUMBER($H138))),"Ash correction is switched on but no ash fraction is given for this row. ","")&amp;IF($I138="","Sieve mesh not recorded — a fine-root figure cannot be interpreted without it. ","")&amp;IF(AND(ISNUMBER($H138),$H138&gt;0.5),"Ash fraction above 0.5 — over half this sample was mineral soil. Re-wash. ","")&amp;IF($F138="Not separated","Live and dead not separated. Fine for a stock, but "&amp;"note it in reporting. ",""))</f>
        <v/>
      </c>
      <c r="P138" s="6"/>
      <c r="Q138" s="9" t="n">
        <f aca="false">IF($B138="",0,IF(COUNTIFS($B$5:$B138,$B138)=1,1,0))</f>
        <v>0</v>
      </c>
    </row>
    <row r="139" customFormat="false" ht="15" hidden="false" customHeight="false" outlineLevel="0" collapsed="false">
      <c r="A139" s="6"/>
      <c r="B139" s="6"/>
      <c r="C139" s="6"/>
      <c r="D139" s="6"/>
      <c r="E139" s="6"/>
      <c r="F139" s="6"/>
      <c r="G139" s="7"/>
      <c r="H139" s="7"/>
      <c r="I139" s="6"/>
      <c r="J139" s="9" t="str">
        <f aca="false">IF(NOT(ISNUMBER($G139)),"",IF(AND(ASH_CORRECTED="Yes",ISNUMBER($H139)),$G139*(1-$H139),$G139))</f>
        <v/>
      </c>
      <c r="K139" s="9" t="str">
        <f aca="false">IF($B139="","",IFERROR(AVERAGEIFS('2. Soil Data'!$G$5:$G$604,'2. Soil Data'!$B$5:$B$604,$B139),""))</f>
        <v/>
      </c>
      <c r="L139" s="9" t="str">
        <f aca="false">IF(NOT(ISNUMBER($K139)),"",PI()*($K139/2)^2)</f>
        <v/>
      </c>
      <c r="M139" s="9" t="str">
        <f aca="false">IF(OR(NOT(ISNUMBER($J139)),NOT(ISNUMBER($L139)),$L139=0),"",$J139/$L139*10000)</f>
        <v/>
      </c>
      <c r="N139" s="9" t="str">
        <f aca="false">IF(NOT(ISNUMBER($M139)),"",$M139*CARBON_FRACTION_ROOT/1000)</f>
        <v/>
      </c>
      <c r="O139" s="11" t="str">
        <f aca="false">IF(AND($A139="",$B139="",$G139=""),"",IF(AND($B139&lt;&gt;"",COUNTIFS('2. Soil Data'!$B$5:$B$604,$B139)=0),"Core ID not found in Soil Data, so the corer diameter cannot be looked up. ","")&amp;IF(ASH_CORRECTED&lt;&gt;"Yes","Root mass is NOT ash-corrected, so it includes adhering mineral soil and is too high. Set ASH_CORRECTED once you have done it. ","")&amp;IF(AND(ASH_CORRECTED="Yes",NOT(ISNUMBER($H139))),"Ash correction is switched on but no ash fraction is given for this row. ","")&amp;IF($I139="","Sieve mesh not recorded — a fine-root figure cannot be interpreted without it. ","")&amp;IF(AND(ISNUMBER($H139),$H139&gt;0.5),"Ash fraction above 0.5 — over half this sample was mineral soil. Re-wash. ","")&amp;IF($F139="Not separated","Live and dead not separated. Fine for a stock, but "&amp;"note it in reporting. ",""))</f>
        <v/>
      </c>
      <c r="P139" s="6"/>
      <c r="Q139" s="9" t="n">
        <f aca="false">IF($B139="",0,IF(COUNTIFS($B$5:$B139,$B139)=1,1,0))</f>
        <v>0</v>
      </c>
    </row>
    <row r="140" customFormat="false" ht="15" hidden="false" customHeight="false" outlineLevel="0" collapsed="false">
      <c r="A140" s="6"/>
      <c r="B140" s="6"/>
      <c r="C140" s="6"/>
      <c r="D140" s="6"/>
      <c r="E140" s="6"/>
      <c r="F140" s="6"/>
      <c r="G140" s="7"/>
      <c r="H140" s="7"/>
      <c r="I140" s="6"/>
      <c r="J140" s="9" t="str">
        <f aca="false">IF(NOT(ISNUMBER($G140)),"",IF(AND(ASH_CORRECTED="Yes",ISNUMBER($H140)),$G140*(1-$H140),$G140))</f>
        <v/>
      </c>
      <c r="K140" s="9" t="str">
        <f aca="false">IF($B140="","",IFERROR(AVERAGEIFS('2. Soil Data'!$G$5:$G$604,'2. Soil Data'!$B$5:$B$604,$B140),""))</f>
        <v/>
      </c>
      <c r="L140" s="9" t="str">
        <f aca="false">IF(NOT(ISNUMBER($K140)),"",PI()*($K140/2)^2)</f>
        <v/>
      </c>
      <c r="M140" s="9" t="str">
        <f aca="false">IF(OR(NOT(ISNUMBER($J140)),NOT(ISNUMBER($L140)),$L140=0),"",$J140/$L140*10000)</f>
        <v/>
      </c>
      <c r="N140" s="9" t="str">
        <f aca="false">IF(NOT(ISNUMBER($M140)),"",$M140*CARBON_FRACTION_ROOT/1000)</f>
        <v/>
      </c>
      <c r="O140" s="11" t="str">
        <f aca="false">IF(AND($A140="",$B140="",$G140=""),"",IF(AND($B140&lt;&gt;"",COUNTIFS('2. Soil Data'!$B$5:$B$604,$B140)=0),"Core ID not found in Soil Data, so the corer diameter cannot be looked up. ","")&amp;IF(ASH_CORRECTED&lt;&gt;"Yes","Root mass is NOT ash-corrected, so it includes adhering mineral soil and is too high. Set ASH_CORRECTED once you have done it. ","")&amp;IF(AND(ASH_CORRECTED="Yes",NOT(ISNUMBER($H140))),"Ash correction is switched on but no ash fraction is given for this row. ","")&amp;IF($I140="","Sieve mesh not recorded — a fine-root figure cannot be interpreted without it. ","")&amp;IF(AND(ISNUMBER($H140),$H140&gt;0.5),"Ash fraction above 0.5 — over half this sample was mineral soil. Re-wash. ","")&amp;IF($F140="Not separated","Live and dead not separated. Fine for a stock, but "&amp;"note it in reporting. ",""))</f>
        <v/>
      </c>
      <c r="P140" s="6"/>
      <c r="Q140" s="9" t="n">
        <f aca="false">IF($B140="",0,IF(COUNTIFS($B$5:$B140,$B140)=1,1,0))</f>
        <v>0</v>
      </c>
    </row>
    <row r="141" customFormat="false" ht="15" hidden="false" customHeight="false" outlineLevel="0" collapsed="false">
      <c r="A141" s="6"/>
      <c r="B141" s="6"/>
      <c r="C141" s="6"/>
      <c r="D141" s="6"/>
      <c r="E141" s="6"/>
      <c r="F141" s="6"/>
      <c r="G141" s="7"/>
      <c r="H141" s="7"/>
      <c r="I141" s="6"/>
      <c r="J141" s="9" t="str">
        <f aca="false">IF(NOT(ISNUMBER($G141)),"",IF(AND(ASH_CORRECTED="Yes",ISNUMBER($H141)),$G141*(1-$H141),$G141))</f>
        <v/>
      </c>
      <c r="K141" s="9" t="str">
        <f aca="false">IF($B141="","",IFERROR(AVERAGEIFS('2. Soil Data'!$G$5:$G$604,'2. Soil Data'!$B$5:$B$604,$B141),""))</f>
        <v/>
      </c>
      <c r="L141" s="9" t="str">
        <f aca="false">IF(NOT(ISNUMBER($K141)),"",PI()*($K141/2)^2)</f>
        <v/>
      </c>
      <c r="M141" s="9" t="str">
        <f aca="false">IF(OR(NOT(ISNUMBER($J141)),NOT(ISNUMBER($L141)),$L141=0),"",$J141/$L141*10000)</f>
        <v/>
      </c>
      <c r="N141" s="9" t="str">
        <f aca="false">IF(NOT(ISNUMBER($M141)),"",$M141*CARBON_FRACTION_ROOT/1000)</f>
        <v/>
      </c>
      <c r="O141" s="11" t="str">
        <f aca="false">IF(AND($A141="",$B141="",$G141=""),"",IF(AND($B141&lt;&gt;"",COUNTIFS('2. Soil Data'!$B$5:$B$604,$B141)=0),"Core ID not found in Soil Data, so the corer diameter cannot be looked up. ","")&amp;IF(ASH_CORRECTED&lt;&gt;"Yes","Root mass is NOT ash-corrected, so it includes adhering mineral soil and is too high. Set ASH_CORRECTED once you have done it. ","")&amp;IF(AND(ASH_CORRECTED="Yes",NOT(ISNUMBER($H141))),"Ash correction is switched on but no ash fraction is given for this row. ","")&amp;IF($I141="","Sieve mesh not recorded — a fine-root figure cannot be interpreted without it. ","")&amp;IF(AND(ISNUMBER($H141),$H141&gt;0.5),"Ash fraction above 0.5 — over half this sample was mineral soil. Re-wash. ","")&amp;IF($F141="Not separated","Live and dead not separated. Fine for a stock, but "&amp;"note it in reporting. ",""))</f>
        <v/>
      </c>
      <c r="P141" s="6"/>
      <c r="Q141" s="9" t="n">
        <f aca="false">IF($B141="",0,IF(COUNTIFS($B$5:$B141,$B141)=1,1,0))</f>
        <v>0</v>
      </c>
    </row>
    <row r="142" customFormat="false" ht="15" hidden="false" customHeight="false" outlineLevel="0" collapsed="false">
      <c r="A142" s="6"/>
      <c r="B142" s="6"/>
      <c r="C142" s="6"/>
      <c r="D142" s="6"/>
      <c r="E142" s="6"/>
      <c r="F142" s="6"/>
      <c r="G142" s="7"/>
      <c r="H142" s="7"/>
      <c r="I142" s="6"/>
      <c r="J142" s="9" t="str">
        <f aca="false">IF(NOT(ISNUMBER($G142)),"",IF(AND(ASH_CORRECTED="Yes",ISNUMBER($H142)),$G142*(1-$H142),$G142))</f>
        <v/>
      </c>
      <c r="K142" s="9" t="str">
        <f aca="false">IF($B142="","",IFERROR(AVERAGEIFS('2. Soil Data'!$G$5:$G$604,'2. Soil Data'!$B$5:$B$604,$B142),""))</f>
        <v/>
      </c>
      <c r="L142" s="9" t="str">
        <f aca="false">IF(NOT(ISNUMBER($K142)),"",PI()*($K142/2)^2)</f>
        <v/>
      </c>
      <c r="M142" s="9" t="str">
        <f aca="false">IF(OR(NOT(ISNUMBER($J142)),NOT(ISNUMBER($L142)),$L142=0),"",$J142/$L142*10000)</f>
        <v/>
      </c>
      <c r="N142" s="9" t="str">
        <f aca="false">IF(NOT(ISNUMBER($M142)),"",$M142*CARBON_FRACTION_ROOT/1000)</f>
        <v/>
      </c>
      <c r="O142" s="11" t="str">
        <f aca="false">IF(AND($A142="",$B142="",$G142=""),"",IF(AND($B142&lt;&gt;"",COUNTIFS('2. Soil Data'!$B$5:$B$604,$B142)=0),"Core ID not found in Soil Data, so the corer diameter cannot be looked up. ","")&amp;IF(ASH_CORRECTED&lt;&gt;"Yes","Root mass is NOT ash-corrected, so it includes adhering mineral soil and is too high. Set ASH_CORRECTED once you have done it. ","")&amp;IF(AND(ASH_CORRECTED="Yes",NOT(ISNUMBER($H142))),"Ash correction is switched on but no ash fraction is given for this row. ","")&amp;IF($I142="","Sieve mesh not recorded — a fine-root figure cannot be interpreted without it. ","")&amp;IF(AND(ISNUMBER($H142),$H142&gt;0.5),"Ash fraction above 0.5 — over half this sample was mineral soil. Re-wash. ","")&amp;IF($F142="Not separated","Live and dead not separated. Fine for a stock, but "&amp;"note it in reporting. ",""))</f>
        <v/>
      </c>
      <c r="P142" s="6"/>
      <c r="Q142" s="9" t="n">
        <f aca="false">IF($B142="",0,IF(COUNTIFS($B$5:$B142,$B142)=1,1,0))</f>
        <v>0</v>
      </c>
    </row>
    <row r="143" customFormat="false" ht="15" hidden="false" customHeight="false" outlineLevel="0" collapsed="false">
      <c r="A143" s="6"/>
      <c r="B143" s="6"/>
      <c r="C143" s="6"/>
      <c r="D143" s="6"/>
      <c r="E143" s="6"/>
      <c r="F143" s="6"/>
      <c r="G143" s="7"/>
      <c r="H143" s="7"/>
      <c r="I143" s="6"/>
      <c r="J143" s="9" t="str">
        <f aca="false">IF(NOT(ISNUMBER($G143)),"",IF(AND(ASH_CORRECTED="Yes",ISNUMBER($H143)),$G143*(1-$H143),$G143))</f>
        <v/>
      </c>
      <c r="K143" s="9" t="str">
        <f aca="false">IF($B143="","",IFERROR(AVERAGEIFS('2. Soil Data'!$G$5:$G$604,'2. Soil Data'!$B$5:$B$604,$B143),""))</f>
        <v/>
      </c>
      <c r="L143" s="9" t="str">
        <f aca="false">IF(NOT(ISNUMBER($K143)),"",PI()*($K143/2)^2)</f>
        <v/>
      </c>
      <c r="M143" s="9" t="str">
        <f aca="false">IF(OR(NOT(ISNUMBER($J143)),NOT(ISNUMBER($L143)),$L143=0),"",$J143/$L143*10000)</f>
        <v/>
      </c>
      <c r="N143" s="9" t="str">
        <f aca="false">IF(NOT(ISNUMBER($M143)),"",$M143*CARBON_FRACTION_ROOT/1000)</f>
        <v/>
      </c>
      <c r="O143" s="11" t="str">
        <f aca="false">IF(AND($A143="",$B143="",$G143=""),"",IF(AND($B143&lt;&gt;"",COUNTIFS('2. Soil Data'!$B$5:$B$604,$B143)=0),"Core ID not found in Soil Data, so the corer diameter cannot be looked up. ","")&amp;IF(ASH_CORRECTED&lt;&gt;"Yes","Root mass is NOT ash-corrected, so it includes adhering mineral soil and is too high. Set ASH_CORRECTED once you have done it. ","")&amp;IF(AND(ASH_CORRECTED="Yes",NOT(ISNUMBER($H143))),"Ash correction is switched on but no ash fraction is given for this row. ","")&amp;IF($I143="","Sieve mesh not recorded — a fine-root figure cannot be interpreted without it. ","")&amp;IF(AND(ISNUMBER($H143),$H143&gt;0.5),"Ash fraction above 0.5 — over half this sample was mineral soil. Re-wash. ","")&amp;IF($F143="Not separated","Live and dead not separated. Fine for a stock, but "&amp;"note it in reporting. ",""))</f>
        <v/>
      </c>
      <c r="P143" s="6"/>
      <c r="Q143" s="9" t="n">
        <f aca="false">IF($B143="",0,IF(COUNTIFS($B$5:$B143,$B143)=1,1,0))</f>
        <v>0</v>
      </c>
    </row>
    <row r="144" customFormat="false" ht="15" hidden="false" customHeight="false" outlineLevel="0" collapsed="false">
      <c r="A144" s="6"/>
      <c r="B144" s="6"/>
      <c r="C144" s="6"/>
      <c r="D144" s="6"/>
      <c r="E144" s="6"/>
      <c r="F144" s="6"/>
      <c r="G144" s="7"/>
      <c r="H144" s="7"/>
      <c r="I144" s="6"/>
      <c r="J144" s="9" t="str">
        <f aca="false">IF(NOT(ISNUMBER($G144)),"",IF(AND(ASH_CORRECTED="Yes",ISNUMBER($H144)),$G144*(1-$H144),$G144))</f>
        <v/>
      </c>
      <c r="K144" s="9" t="str">
        <f aca="false">IF($B144="","",IFERROR(AVERAGEIFS('2. Soil Data'!$G$5:$G$604,'2. Soil Data'!$B$5:$B$604,$B144),""))</f>
        <v/>
      </c>
      <c r="L144" s="9" t="str">
        <f aca="false">IF(NOT(ISNUMBER($K144)),"",PI()*($K144/2)^2)</f>
        <v/>
      </c>
      <c r="M144" s="9" t="str">
        <f aca="false">IF(OR(NOT(ISNUMBER($J144)),NOT(ISNUMBER($L144)),$L144=0),"",$J144/$L144*10000)</f>
        <v/>
      </c>
      <c r="N144" s="9" t="str">
        <f aca="false">IF(NOT(ISNUMBER($M144)),"",$M144*CARBON_FRACTION_ROOT/1000)</f>
        <v/>
      </c>
      <c r="O144" s="11" t="str">
        <f aca="false">IF(AND($A144="",$B144="",$G144=""),"",IF(AND($B144&lt;&gt;"",COUNTIFS('2. Soil Data'!$B$5:$B$604,$B144)=0),"Core ID not found in Soil Data, so the corer diameter cannot be looked up. ","")&amp;IF(ASH_CORRECTED&lt;&gt;"Yes","Root mass is NOT ash-corrected, so it includes adhering mineral soil and is too high. Set ASH_CORRECTED once you have done it. ","")&amp;IF(AND(ASH_CORRECTED="Yes",NOT(ISNUMBER($H144))),"Ash correction is switched on but no ash fraction is given for this row. ","")&amp;IF($I144="","Sieve mesh not recorded — a fine-root figure cannot be interpreted without it. ","")&amp;IF(AND(ISNUMBER($H144),$H144&gt;0.5),"Ash fraction above 0.5 — over half this sample was mineral soil. Re-wash. ","")&amp;IF($F144="Not separated","Live and dead not separated. Fine for a stock, but "&amp;"note it in reporting. ",""))</f>
        <v/>
      </c>
      <c r="P144" s="6"/>
      <c r="Q144" s="9" t="n">
        <f aca="false">IF($B144="",0,IF(COUNTIFS($B$5:$B144,$B144)=1,1,0))</f>
        <v>0</v>
      </c>
    </row>
    <row r="145" customFormat="false" ht="15" hidden="false" customHeight="false" outlineLevel="0" collapsed="false">
      <c r="A145" s="6"/>
      <c r="B145" s="6"/>
      <c r="C145" s="6"/>
      <c r="D145" s="6"/>
      <c r="E145" s="6"/>
      <c r="F145" s="6"/>
      <c r="G145" s="7"/>
      <c r="H145" s="7"/>
      <c r="I145" s="6"/>
      <c r="J145" s="9" t="str">
        <f aca="false">IF(NOT(ISNUMBER($G145)),"",IF(AND(ASH_CORRECTED="Yes",ISNUMBER($H145)),$G145*(1-$H145),$G145))</f>
        <v/>
      </c>
      <c r="K145" s="9" t="str">
        <f aca="false">IF($B145="","",IFERROR(AVERAGEIFS('2. Soil Data'!$G$5:$G$604,'2. Soil Data'!$B$5:$B$604,$B145),""))</f>
        <v/>
      </c>
      <c r="L145" s="9" t="str">
        <f aca="false">IF(NOT(ISNUMBER($K145)),"",PI()*($K145/2)^2)</f>
        <v/>
      </c>
      <c r="M145" s="9" t="str">
        <f aca="false">IF(OR(NOT(ISNUMBER($J145)),NOT(ISNUMBER($L145)),$L145=0),"",$J145/$L145*10000)</f>
        <v/>
      </c>
      <c r="N145" s="9" t="str">
        <f aca="false">IF(NOT(ISNUMBER($M145)),"",$M145*CARBON_FRACTION_ROOT/1000)</f>
        <v/>
      </c>
      <c r="O145" s="11" t="str">
        <f aca="false">IF(AND($A145="",$B145="",$G145=""),"",IF(AND($B145&lt;&gt;"",COUNTIFS('2. Soil Data'!$B$5:$B$604,$B145)=0),"Core ID not found in Soil Data, so the corer diameter cannot be looked up. ","")&amp;IF(ASH_CORRECTED&lt;&gt;"Yes","Root mass is NOT ash-corrected, so it includes adhering mineral soil and is too high. Set ASH_CORRECTED once you have done it. ","")&amp;IF(AND(ASH_CORRECTED="Yes",NOT(ISNUMBER($H145))),"Ash correction is switched on but no ash fraction is given for this row. ","")&amp;IF($I145="","Sieve mesh not recorded — a fine-root figure cannot be interpreted without it. ","")&amp;IF(AND(ISNUMBER($H145),$H145&gt;0.5),"Ash fraction above 0.5 — over half this sample was mineral soil. Re-wash. ","")&amp;IF($F145="Not separated","Live and dead not separated. Fine for a stock, but "&amp;"note it in reporting. ",""))</f>
        <v/>
      </c>
      <c r="P145" s="6"/>
      <c r="Q145" s="9" t="n">
        <f aca="false">IF($B145="",0,IF(COUNTIFS($B$5:$B145,$B145)=1,1,0))</f>
        <v>0</v>
      </c>
    </row>
    <row r="146" customFormat="false" ht="15" hidden="false" customHeight="false" outlineLevel="0" collapsed="false">
      <c r="A146" s="6"/>
      <c r="B146" s="6"/>
      <c r="C146" s="6"/>
      <c r="D146" s="6"/>
      <c r="E146" s="6"/>
      <c r="F146" s="6"/>
      <c r="G146" s="7"/>
      <c r="H146" s="7"/>
      <c r="I146" s="6"/>
      <c r="J146" s="9" t="str">
        <f aca="false">IF(NOT(ISNUMBER($G146)),"",IF(AND(ASH_CORRECTED="Yes",ISNUMBER($H146)),$G146*(1-$H146),$G146))</f>
        <v/>
      </c>
      <c r="K146" s="9" t="str">
        <f aca="false">IF($B146="","",IFERROR(AVERAGEIFS('2. Soil Data'!$G$5:$G$604,'2. Soil Data'!$B$5:$B$604,$B146),""))</f>
        <v/>
      </c>
      <c r="L146" s="9" t="str">
        <f aca="false">IF(NOT(ISNUMBER($K146)),"",PI()*($K146/2)^2)</f>
        <v/>
      </c>
      <c r="M146" s="9" t="str">
        <f aca="false">IF(OR(NOT(ISNUMBER($J146)),NOT(ISNUMBER($L146)),$L146=0),"",$J146/$L146*10000)</f>
        <v/>
      </c>
      <c r="N146" s="9" t="str">
        <f aca="false">IF(NOT(ISNUMBER($M146)),"",$M146*CARBON_FRACTION_ROOT/1000)</f>
        <v/>
      </c>
      <c r="O146" s="11" t="str">
        <f aca="false">IF(AND($A146="",$B146="",$G146=""),"",IF(AND($B146&lt;&gt;"",COUNTIFS('2. Soil Data'!$B$5:$B$604,$B146)=0),"Core ID not found in Soil Data, so the corer diameter cannot be looked up. ","")&amp;IF(ASH_CORRECTED&lt;&gt;"Yes","Root mass is NOT ash-corrected, so it includes adhering mineral soil and is too high. Set ASH_CORRECTED once you have done it. ","")&amp;IF(AND(ASH_CORRECTED="Yes",NOT(ISNUMBER($H146))),"Ash correction is switched on but no ash fraction is given for this row. ","")&amp;IF($I146="","Sieve mesh not recorded — a fine-root figure cannot be interpreted without it. ","")&amp;IF(AND(ISNUMBER($H146),$H146&gt;0.5),"Ash fraction above 0.5 — over half this sample was mineral soil. Re-wash. ","")&amp;IF($F146="Not separated","Live and dead not separated. Fine for a stock, but "&amp;"note it in reporting. ",""))</f>
        <v/>
      </c>
      <c r="P146" s="6"/>
      <c r="Q146" s="9" t="n">
        <f aca="false">IF($B146="",0,IF(COUNTIFS($B$5:$B146,$B146)=1,1,0))</f>
        <v>0</v>
      </c>
    </row>
    <row r="147" customFormat="false" ht="15" hidden="false" customHeight="false" outlineLevel="0" collapsed="false">
      <c r="A147" s="6"/>
      <c r="B147" s="6"/>
      <c r="C147" s="6"/>
      <c r="D147" s="6"/>
      <c r="E147" s="6"/>
      <c r="F147" s="6"/>
      <c r="G147" s="7"/>
      <c r="H147" s="7"/>
      <c r="I147" s="6"/>
      <c r="J147" s="9" t="str">
        <f aca="false">IF(NOT(ISNUMBER($G147)),"",IF(AND(ASH_CORRECTED="Yes",ISNUMBER($H147)),$G147*(1-$H147),$G147))</f>
        <v/>
      </c>
      <c r="K147" s="9" t="str">
        <f aca="false">IF($B147="","",IFERROR(AVERAGEIFS('2. Soil Data'!$G$5:$G$604,'2. Soil Data'!$B$5:$B$604,$B147),""))</f>
        <v/>
      </c>
      <c r="L147" s="9" t="str">
        <f aca="false">IF(NOT(ISNUMBER($K147)),"",PI()*($K147/2)^2)</f>
        <v/>
      </c>
      <c r="M147" s="9" t="str">
        <f aca="false">IF(OR(NOT(ISNUMBER($J147)),NOT(ISNUMBER($L147)),$L147=0),"",$J147/$L147*10000)</f>
        <v/>
      </c>
      <c r="N147" s="9" t="str">
        <f aca="false">IF(NOT(ISNUMBER($M147)),"",$M147*CARBON_FRACTION_ROOT/1000)</f>
        <v/>
      </c>
      <c r="O147" s="11" t="str">
        <f aca="false">IF(AND($A147="",$B147="",$G147=""),"",IF(AND($B147&lt;&gt;"",COUNTIFS('2. Soil Data'!$B$5:$B$604,$B147)=0),"Core ID not found in Soil Data, so the corer diameter cannot be looked up. ","")&amp;IF(ASH_CORRECTED&lt;&gt;"Yes","Root mass is NOT ash-corrected, so it includes adhering mineral soil and is too high. Set ASH_CORRECTED once you have done it. ","")&amp;IF(AND(ASH_CORRECTED="Yes",NOT(ISNUMBER($H147))),"Ash correction is switched on but no ash fraction is given for this row. ","")&amp;IF($I147="","Sieve mesh not recorded — a fine-root figure cannot be interpreted without it. ","")&amp;IF(AND(ISNUMBER($H147),$H147&gt;0.5),"Ash fraction above 0.5 — over half this sample was mineral soil. Re-wash. ","")&amp;IF($F147="Not separated","Live and dead not separated. Fine for a stock, but "&amp;"note it in reporting. ",""))</f>
        <v/>
      </c>
      <c r="P147" s="6"/>
      <c r="Q147" s="9" t="n">
        <f aca="false">IF($B147="",0,IF(COUNTIFS($B$5:$B147,$B147)=1,1,0))</f>
        <v>0</v>
      </c>
    </row>
    <row r="148" customFormat="false" ht="15" hidden="false" customHeight="false" outlineLevel="0" collapsed="false">
      <c r="A148" s="6"/>
      <c r="B148" s="6"/>
      <c r="C148" s="6"/>
      <c r="D148" s="6"/>
      <c r="E148" s="6"/>
      <c r="F148" s="6"/>
      <c r="G148" s="7"/>
      <c r="H148" s="7"/>
      <c r="I148" s="6"/>
      <c r="J148" s="9" t="str">
        <f aca="false">IF(NOT(ISNUMBER($G148)),"",IF(AND(ASH_CORRECTED="Yes",ISNUMBER($H148)),$G148*(1-$H148),$G148))</f>
        <v/>
      </c>
      <c r="K148" s="9" t="str">
        <f aca="false">IF($B148="","",IFERROR(AVERAGEIFS('2. Soil Data'!$G$5:$G$604,'2. Soil Data'!$B$5:$B$604,$B148),""))</f>
        <v/>
      </c>
      <c r="L148" s="9" t="str">
        <f aca="false">IF(NOT(ISNUMBER($K148)),"",PI()*($K148/2)^2)</f>
        <v/>
      </c>
      <c r="M148" s="9" t="str">
        <f aca="false">IF(OR(NOT(ISNUMBER($J148)),NOT(ISNUMBER($L148)),$L148=0),"",$J148/$L148*10000)</f>
        <v/>
      </c>
      <c r="N148" s="9" t="str">
        <f aca="false">IF(NOT(ISNUMBER($M148)),"",$M148*CARBON_FRACTION_ROOT/1000)</f>
        <v/>
      </c>
      <c r="O148" s="11" t="str">
        <f aca="false">IF(AND($A148="",$B148="",$G148=""),"",IF(AND($B148&lt;&gt;"",COUNTIFS('2. Soil Data'!$B$5:$B$604,$B148)=0),"Core ID not found in Soil Data, so the corer diameter cannot be looked up. ","")&amp;IF(ASH_CORRECTED&lt;&gt;"Yes","Root mass is NOT ash-corrected, so it includes adhering mineral soil and is too high. Set ASH_CORRECTED once you have done it. ","")&amp;IF(AND(ASH_CORRECTED="Yes",NOT(ISNUMBER($H148))),"Ash correction is switched on but no ash fraction is given for this row. ","")&amp;IF($I148="","Sieve mesh not recorded — a fine-root figure cannot be interpreted without it. ","")&amp;IF(AND(ISNUMBER($H148),$H148&gt;0.5),"Ash fraction above 0.5 — over half this sample was mineral soil. Re-wash. ","")&amp;IF($F148="Not separated","Live and dead not separated. Fine for a stock, but "&amp;"note it in reporting. ",""))</f>
        <v/>
      </c>
      <c r="P148" s="6"/>
      <c r="Q148" s="9" t="n">
        <f aca="false">IF($B148="",0,IF(COUNTIFS($B$5:$B148,$B148)=1,1,0))</f>
        <v>0</v>
      </c>
    </row>
    <row r="149" customFormat="false" ht="15" hidden="false" customHeight="false" outlineLevel="0" collapsed="false">
      <c r="A149" s="6"/>
      <c r="B149" s="6"/>
      <c r="C149" s="6"/>
      <c r="D149" s="6"/>
      <c r="E149" s="6"/>
      <c r="F149" s="6"/>
      <c r="G149" s="7"/>
      <c r="H149" s="7"/>
      <c r="I149" s="6"/>
      <c r="J149" s="9" t="str">
        <f aca="false">IF(NOT(ISNUMBER($G149)),"",IF(AND(ASH_CORRECTED="Yes",ISNUMBER($H149)),$G149*(1-$H149),$G149))</f>
        <v/>
      </c>
      <c r="K149" s="9" t="str">
        <f aca="false">IF($B149="","",IFERROR(AVERAGEIFS('2. Soil Data'!$G$5:$G$604,'2. Soil Data'!$B$5:$B$604,$B149),""))</f>
        <v/>
      </c>
      <c r="L149" s="9" t="str">
        <f aca="false">IF(NOT(ISNUMBER($K149)),"",PI()*($K149/2)^2)</f>
        <v/>
      </c>
      <c r="M149" s="9" t="str">
        <f aca="false">IF(OR(NOT(ISNUMBER($J149)),NOT(ISNUMBER($L149)),$L149=0),"",$J149/$L149*10000)</f>
        <v/>
      </c>
      <c r="N149" s="9" t="str">
        <f aca="false">IF(NOT(ISNUMBER($M149)),"",$M149*CARBON_FRACTION_ROOT/1000)</f>
        <v/>
      </c>
      <c r="O149" s="11" t="str">
        <f aca="false">IF(AND($A149="",$B149="",$G149=""),"",IF(AND($B149&lt;&gt;"",COUNTIFS('2. Soil Data'!$B$5:$B$604,$B149)=0),"Core ID not found in Soil Data, so the corer diameter cannot be looked up. ","")&amp;IF(ASH_CORRECTED&lt;&gt;"Yes","Root mass is NOT ash-corrected, so it includes adhering mineral soil and is too high. Set ASH_CORRECTED once you have done it. ","")&amp;IF(AND(ASH_CORRECTED="Yes",NOT(ISNUMBER($H149))),"Ash correction is switched on but no ash fraction is given for this row. ","")&amp;IF($I149="","Sieve mesh not recorded — a fine-root figure cannot be interpreted without it. ","")&amp;IF(AND(ISNUMBER($H149),$H149&gt;0.5),"Ash fraction above 0.5 — over half this sample was mineral soil. Re-wash. ","")&amp;IF($F149="Not separated","Live and dead not separated. Fine for a stock, but "&amp;"note it in reporting. ",""))</f>
        <v/>
      </c>
      <c r="P149" s="6"/>
      <c r="Q149" s="9" t="n">
        <f aca="false">IF($B149="",0,IF(COUNTIFS($B$5:$B149,$B149)=1,1,0))</f>
        <v>0</v>
      </c>
    </row>
    <row r="150" customFormat="false" ht="15" hidden="false" customHeight="false" outlineLevel="0" collapsed="false">
      <c r="A150" s="6"/>
      <c r="B150" s="6"/>
      <c r="C150" s="6"/>
      <c r="D150" s="6"/>
      <c r="E150" s="6"/>
      <c r="F150" s="6"/>
      <c r="G150" s="7"/>
      <c r="H150" s="7"/>
      <c r="I150" s="6"/>
      <c r="J150" s="9" t="str">
        <f aca="false">IF(NOT(ISNUMBER($G150)),"",IF(AND(ASH_CORRECTED="Yes",ISNUMBER($H150)),$G150*(1-$H150),$G150))</f>
        <v/>
      </c>
      <c r="K150" s="9" t="str">
        <f aca="false">IF($B150="","",IFERROR(AVERAGEIFS('2. Soil Data'!$G$5:$G$604,'2. Soil Data'!$B$5:$B$604,$B150),""))</f>
        <v/>
      </c>
      <c r="L150" s="9" t="str">
        <f aca="false">IF(NOT(ISNUMBER($K150)),"",PI()*($K150/2)^2)</f>
        <v/>
      </c>
      <c r="M150" s="9" t="str">
        <f aca="false">IF(OR(NOT(ISNUMBER($J150)),NOT(ISNUMBER($L150)),$L150=0),"",$J150/$L150*10000)</f>
        <v/>
      </c>
      <c r="N150" s="9" t="str">
        <f aca="false">IF(NOT(ISNUMBER($M150)),"",$M150*CARBON_FRACTION_ROOT/1000)</f>
        <v/>
      </c>
      <c r="O150" s="11" t="str">
        <f aca="false">IF(AND($A150="",$B150="",$G150=""),"",IF(AND($B150&lt;&gt;"",COUNTIFS('2. Soil Data'!$B$5:$B$604,$B150)=0),"Core ID not found in Soil Data, so the corer diameter cannot be looked up. ","")&amp;IF(ASH_CORRECTED&lt;&gt;"Yes","Root mass is NOT ash-corrected, so it includes adhering mineral soil and is too high. Set ASH_CORRECTED once you have done it. ","")&amp;IF(AND(ASH_CORRECTED="Yes",NOT(ISNUMBER($H150))),"Ash correction is switched on but no ash fraction is given for this row. ","")&amp;IF($I150="","Sieve mesh not recorded — a fine-root figure cannot be interpreted without it. ","")&amp;IF(AND(ISNUMBER($H150),$H150&gt;0.5),"Ash fraction above 0.5 — over half this sample was mineral soil. Re-wash. ","")&amp;IF($F150="Not separated","Live and dead not separated. Fine for a stock, but "&amp;"note it in reporting. ",""))</f>
        <v/>
      </c>
      <c r="P150" s="6"/>
      <c r="Q150" s="9" t="n">
        <f aca="false">IF($B150="",0,IF(COUNTIFS($B$5:$B150,$B150)=1,1,0))</f>
        <v>0</v>
      </c>
    </row>
    <row r="151" customFormat="false" ht="15" hidden="false" customHeight="false" outlineLevel="0" collapsed="false">
      <c r="A151" s="6"/>
      <c r="B151" s="6"/>
      <c r="C151" s="6"/>
      <c r="D151" s="6"/>
      <c r="E151" s="6"/>
      <c r="F151" s="6"/>
      <c r="G151" s="7"/>
      <c r="H151" s="7"/>
      <c r="I151" s="6"/>
      <c r="J151" s="9" t="str">
        <f aca="false">IF(NOT(ISNUMBER($G151)),"",IF(AND(ASH_CORRECTED="Yes",ISNUMBER($H151)),$G151*(1-$H151),$G151))</f>
        <v/>
      </c>
      <c r="K151" s="9" t="str">
        <f aca="false">IF($B151="","",IFERROR(AVERAGEIFS('2. Soil Data'!$G$5:$G$604,'2. Soil Data'!$B$5:$B$604,$B151),""))</f>
        <v/>
      </c>
      <c r="L151" s="9" t="str">
        <f aca="false">IF(NOT(ISNUMBER($K151)),"",PI()*($K151/2)^2)</f>
        <v/>
      </c>
      <c r="M151" s="9" t="str">
        <f aca="false">IF(OR(NOT(ISNUMBER($J151)),NOT(ISNUMBER($L151)),$L151=0),"",$J151/$L151*10000)</f>
        <v/>
      </c>
      <c r="N151" s="9" t="str">
        <f aca="false">IF(NOT(ISNUMBER($M151)),"",$M151*CARBON_FRACTION_ROOT/1000)</f>
        <v/>
      </c>
      <c r="O151" s="11" t="str">
        <f aca="false">IF(AND($A151="",$B151="",$G151=""),"",IF(AND($B151&lt;&gt;"",COUNTIFS('2. Soil Data'!$B$5:$B$604,$B151)=0),"Core ID not found in Soil Data, so the corer diameter cannot be looked up. ","")&amp;IF(ASH_CORRECTED&lt;&gt;"Yes","Root mass is NOT ash-corrected, so it includes adhering mineral soil and is too high. Set ASH_CORRECTED once you have done it. ","")&amp;IF(AND(ASH_CORRECTED="Yes",NOT(ISNUMBER($H151))),"Ash correction is switched on but no ash fraction is given for this row. ","")&amp;IF($I151="","Sieve mesh not recorded — a fine-root figure cannot be interpreted without it. ","")&amp;IF(AND(ISNUMBER($H151),$H151&gt;0.5),"Ash fraction above 0.5 — over half this sample was mineral soil. Re-wash. ","")&amp;IF($F151="Not separated","Live and dead not separated. Fine for a stock, but "&amp;"note it in reporting. ",""))</f>
        <v/>
      </c>
      <c r="P151" s="6"/>
      <c r="Q151" s="9" t="n">
        <f aca="false">IF($B151="",0,IF(COUNTIFS($B$5:$B151,$B151)=1,1,0))</f>
        <v>0</v>
      </c>
    </row>
    <row r="152" customFormat="false" ht="15" hidden="false" customHeight="false" outlineLevel="0" collapsed="false">
      <c r="A152" s="6"/>
      <c r="B152" s="6"/>
      <c r="C152" s="6"/>
      <c r="D152" s="6"/>
      <c r="E152" s="6"/>
      <c r="F152" s="6"/>
      <c r="G152" s="7"/>
      <c r="H152" s="7"/>
      <c r="I152" s="6"/>
      <c r="J152" s="9" t="str">
        <f aca="false">IF(NOT(ISNUMBER($G152)),"",IF(AND(ASH_CORRECTED="Yes",ISNUMBER($H152)),$G152*(1-$H152),$G152))</f>
        <v/>
      </c>
      <c r="K152" s="9" t="str">
        <f aca="false">IF($B152="","",IFERROR(AVERAGEIFS('2. Soil Data'!$G$5:$G$604,'2. Soil Data'!$B$5:$B$604,$B152),""))</f>
        <v/>
      </c>
      <c r="L152" s="9" t="str">
        <f aca="false">IF(NOT(ISNUMBER($K152)),"",PI()*($K152/2)^2)</f>
        <v/>
      </c>
      <c r="M152" s="9" t="str">
        <f aca="false">IF(OR(NOT(ISNUMBER($J152)),NOT(ISNUMBER($L152)),$L152=0),"",$J152/$L152*10000)</f>
        <v/>
      </c>
      <c r="N152" s="9" t="str">
        <f aca="false">IF(NOT(ISNUMBER($M152)),"",$M152*CARBON_FRACTION_ROOT/1000)</f>
        <v/>
      </c>
      <c r="O152" s="11" t="str">
        <f aca="false">IF(AND($A152="",$B152="",$G152=""),"",IF(AND($B152&lt;&gt;"",COUNTIFS('2. Soil Data'!$B$5:$B$604,$B152)=0),"Core ID not found in Soil Data, so the corer diameter cannot be looked up. ","")&amp;IF(ASH_CORRECTED&lt;&gt;"Yes","Root mass is NOT ash-corrected, so it includes adhering mineral soil and is too high. Set ASH_CORRECTED once you have done it. ","")&amp;IF(AND(ASH_CORRECTED="Yes",NOT(ISNUMBER($H152))),"Ash correction is switched on but no ash fraction is given for this row. ","")&amp;IF($I152="","Sieve mesh not recorded — a fine-root figure cannot be interpreted without it. ","")&amp;IF(AND(ISNUMBER($H152),$H152&gt;0.5),"Ash fraction above 0.5 — over half this sample was mineral soil. Re-wash. ","")&amp;IF($F152="Not separated","Live and dead not separated. Fine for a stock, but "&amp;"note it in reporting. ",""))</f>
        <v/>
      </c>
      <c r="P152" s="6"/>
      <c r="Q152" s="9" t="n">
        <f aca="false">IF($B152="",0,IF(COUNTIFS($B$5:$B152,$B152)=1,1,0))</f>
        <v>0</v>
      </c>
    </row>
    <row r="153" customFormat="false" ht="15" hidden="false" customHeight="false" outlineLevel="0" collapsed="false">
      <c r="A153" s="6"/>
      <c r="B153" s="6"/>
      <c r="C153" s="6"/>
      <c r="D153" s="6"/>
      <c r="E153" s="6"/>
      <c r="F153" s="6"/>
      <c r="G153" s="7"/>
      <c r="H153" s="7"/>
      <c r="I153" s="6"/>
      <c r="J153" s="9" t="str">
        <f aca="false">IF(NOT(ISNUMBER($G153)),"",IF(AND(ASH_CORRECTED="Yes",ISNUMBER($H153)),$G153*(1-$H153),$G153))</f>
        <v/>
      </c>
      <c r="K153" s="9" t="str">
        <f aca="false">IF($B153="","",IFERROR(AVERAGEIFS('2. Soil Data'!$G$5:$G$604,'2. Soil Data'!$B$5:$B$604,$B153),""))</f>
        <v/>
      </c>
      <c r="L153" s="9" t="str">
        <f aca="false">IF(NOT(ISNUMBER($K153)),"",PI()*($K153/2)^2)</f>
        <v/>
      </c>
      <c r="M153" s="9" t="str">
        <f aca="false">IF(OR(NOT(ISNUMBER($J153)),NOT(ISNUMBER($L153)),$L153=0),"",$J153/$L153*10000)</f>
        <v/>
      </c>
      <c r="N153" s="9" t="str">
        <f aca="false">IF(NOT(ISNUMBER($M153)),"",$M153*CARBON_FRACTION_ROOT/1000)</f>
        <v/>
      </c>
      <c r="O153" s="11" t="str">
        <f aca="false">IF(AND($A153="",$B153="",$G153=""),"",IF(AND($B153&lt;&gt;"",COUNTIFS('2. Soil Data'!$B$5:$B$604,$B153)=0),"Core ID not found in Soil Data, so the corer diameter cannot be looked up. ","")&amp;IF(ASH_CORRECTED&lt;&gt;"Yes","Root mass is NOT ash-corrected, so it includes adhering mineral soil and is too high. Set ASH_CORRECTED once you have done it. ","")&amp;IF(AND(ASH_CORRECTED="Yes",NOT(ISNUMBER($H153))),"Ash correction is switched on but no ash fraction is given for this row. ","")&amp;IF($I153="","Sieve mesh not recorded — a fine-root figure cannot be interpreted without it. ","")&amp;IF(AND(ISNUMBER($H153),$H153&gt;0.5),"Ash fraction above 0.5 — over half this sample was mineral soil. Re-wash. ","")&amp;IF($F153="Not separated","Live and dead not separated. Fine for a stock, but "&amp;"note it in reporting. ",""))</f>
        <v/>
      </c>
      <c r="P153" s="6"/>
      <c r="Q153" s="9" t="n">
        <f aca="false">IF($B153="",0,IF(COUNTIFS($B$5:$B153,$B153)=1,1,0))</f>
        <v>0</v>
      </c>
    </row>
    <row r="154" customFormat="false" ht="15" hidden="false" customHeight="false" outlineLevel="0" collapsed="false">
      <c r="A154" s="6"/>
      <c r="B154" s="6"/>
      <c r="C154" s="6"/>
      <c r="D154" s="6"/>
      <c r="E154" s="6"/>
      <c r="F154" s="6"/>
      <c r="G154" s="7"/>
      <c r="H154" s="7"/>
      <c r="I154" s="6"/>
      <c r="J154" s="9" t="str">
        <f aca="false">IF(NOT(ISNUMBER($G154)),"",IF(AND(ASH_CORRECTED="Yes",ISNUMBER($H154)),$G154*(1-$H154),$G154))</f>
        <v/>
      </c>
      <c r="K154" s="9" t="str">
        <f aca="false">IF($B154="","",IFERROR(AVERAGEIFS('2. Soil Data'!$G$5:$G$604,'2. Soil Data'!$B$5:$B$604,$B154),""))</f>
        <v/>
      </c>
      <c r="L154" s="9" t="str">
        <f aca="false">IF(NOT(ISNUMBER($K154)),"",PI()*($K154/2)^2)</f>
        <v/>
      </c>
      <c r="M154" s="9" t="str">
        <f aca="false">IF(OR(NOT(ISNUMBER($J154)),NOT(ISNUMBER($L154)),$L154=0),"",$J154/$L154*10000)</f>
        <v/>
      </c>
      <c r="N154" s="9" t="str">
        <f aca="false">IF(NOT(ISNUMBER($M154)),"",$M154*CARBON_FRACTION_ROOT/1000)</f>
        <v/>
      </c>
      <c r="O154" s="11" t="str">
        <f aca="false">IF(AND($A154="",$B154="",$G154=""),"",IF(AND($B154&lt;&gt;"",COUNTIFS('2. Soil Data'!$B$5:$B$604,$B154)=0),"Core ID not found in Soil Data, so the corer diameter cannot be looked up. ","")&amp;IF(ASH_CORRECTED&lt;&gt;"Yes","Root mass is NOT ash-corrected, so it includes adhering mineral soil and is too high. Set ASH_CORRECTED once you have done it. ","")&amp;IF(AND(ASH_CORRECTED="Yes",NOT(ISNUMBER($H154))),"Ash correction is switched on but no ash fraction is given for this row. ","")&amp;IF($I154="","Sieve mesh not recorded — a fine-root figure cannot be interpreted without it. ","")&amp;IF(AND(ISNUMBER($H154),$H154&gt;0.5),"Ash fraction above 0.5 — over half this sample was mineral soil. Re-wash. ","")&amp;IF($F154="Not separated","Live and dead not separated. Fine for a stock, but "&amp;"note it in reporting. ",""))</f>
        <v/>
      </c>
      <c r="P154" s="6"/>
      <c r="Q154" s="9" t="n">
        <f aca="false">IF($B154="",0,IF(COUNTIFS($B$5:$B154,$B154)=1,1,0))</f>
        <v>0</v>
      </c>
    </row>
    <row r="155" customFormat="false" ht="15" hidden="false" customHeight="false" outlineLevel="0" collapsed="false">
      <c r="A155" s="6"/>
      <c r="B155" s="6"/>
      <c r="C155" s="6"/>
      <c r="D155" s="6"/>
      <c r="E155" s="6"/>
      <c r="F155" s="6"/>
      <c r="G155" s="7"/>
      <c r="H155" s="7"/>
      <c r="I155" s="6"/>
      <c r="J155" s="9" t="str">
        <f aca="false">IF(NOT(ISNUMBER($G155)),"",IF(AND(ASH_CORRECTED="Yes",ISNUMBER($H155)),$G155*(1-$H155),$G155))</f>
        <v/>
      </c>
      <c r="K155" s="9" t="str">
        <f aca="false">IF($B155="","",IFERROR(AVERAGEIFS('2. Soil Data'!$G$5:$G$604,'2. Soil Data'!$B$5:$B$604,$B155),""))</f>
        <v/>
      </c>
      <c r="L155" s="9" t="str">
        <f aca="false">IF(NOT(ISNUMBER($K155)),"",PI()*($K155/2)^2)</f>
        <v/>
      </c>
      <c r="M155" s="9" t="str">
        <f aca="false">IF(OR(NOT(ISNUMBER($J155)),NOT(ISNUMBER($L155)),$L155=0),"",$J155/$L155*10000)</f>
        <v/>
      </c>
      <c r="N155" s="9" t="str">
        <f aca="false">IF(NOT(ISNUMBER($M155)),"",$M155*CARBON_FRACTION_ROOT/1000)</f>
        <v/>
      </c>
      <c r="O155" s="11" t="str">
        <f aca="false">IF(AND($A155="",$B155="",$G155=""),"",IF(AND($B155&lt;&gt;"",COUNTIFS('2. Soil Data'!$B$5:$B$604,$B155)=0),"Core ID not found in Soil Data, so the corer diameter cannot be looked up. ","")&amp;IF(ASH_CORRECTED&lt;&gt;"Yes","Root mass is NOT ash-corrected, so it includes adhering mineral soil and is too high. Set ASH_CORRECTED once you have done it. ","")&amp;IF(AND(ASH_CORRECTED="Yes",NOT(ISNUMBER($H155))),"Ash correction is switched on but no ash fraction is given for this row. ","")&amp;IF($I155="","Sieve mesh not recorded — a fine-root figure cannot be interpreted without it. ","")&amp;IF(AND(ISNUMBER($H155),$H155&gt;0.5),"Ash fraction above 0.5 — over half this sample was mineral soil. Re-wash. ","")&amp;IF($F155="Not separated","Live and dead not separated. Fine for a stock, but "&amp;"note it in reporting. ",""))</f>
        <v/>
      </c>
      <c r="P155" s="6"/>
      <c r="Q155" s="9" t="n">
        <f aca="false">IF($B155="",0,IF(COUNTIFS($B$5:$B155,$B155)=1,1,0))</f>
        <v>0</v>
      </c>
    </row>
    <row r="156" customFormat="false" ht="15" hidden="false" customHeight="false" outlineLevel="0" collapsed="false">
      <c r="A156" s="6"/>
      <c r="B156" s="6"/>
      <c r="C156" s="6"/>
      <c r="D156" s="6"/>
      <c r="E156" s="6"/>
      <c r="F156" s="6"/>
      <c r="G156" s="7"/>
      <c r="H156" s="7"/>
      <c r="I156" s="6"/>
      <c r="J156" s="9" t="str">
        <f aca="false">IF(NOT(ISNUMBER($G156)),"",IF(AND(ASH_CORRECTED="Yes",ISNUMBER($H156)),$G156*(1-$H156),$G156))</f>
        <v/>
      </c>
      <c r="K156" s="9" t="str">
        <f aca="false">IF($B156="","",IFERROR(AVERAGEIFS('2. Soil Data'!$G$5:$G$604,'2. Soil Data'!$B$5:$B$604,$B156),""))</f>
        <v/>
      </c>
      <c r="L156" s="9" t="str">
        <f aca="false">IF(NOT(ISNUMBER($K156)),"",PI()*($K156/2)^2)</f>
        <v/>
      </c>
      <c r="M156" s="9" t="str">
        <f aca="false">IF(OR(NOT(ISNUMBER($J156)),NOT(ISNUMBER($L156)),$L156=0),"",$J156/$L156*10000)</f>
        <v/>
      </c>
      <c r="N156" s="9" t="str">
        <f aca="false">IF(NOT(ISNUMBER($M156)),"",$M156*CARBON_FRACTION_ROOT/1000)</f>
        <v/>
      </c>
      <c r="O156" s="11" t="str">
        <f aca="false">IF(AND($A156="",$B156="",$G156=""),"",IF(AND($B156&lt;&gt;"",COUNTIFS('2. Soil Data'!$B$5:$B$604,$B156)=0),"Core ID not found in Soil Data, so the corer diameter cannot be looked up. ","")&amp;IF(ASH_CORRECTED&lt;&gt;"Yes","Root mass is NOT ash-corrected, so it includes adhering mineral soil and is too high. Set ASH_CORRECTED once you have done it. ","")&amp;IF(AND(ASH_CORRECTED="Yes",NOT(ISNUMBER($H156))),"Ash correction is switched on but no ash fraction is given for this row. ","")&amp;IF($I156="","Sieve mesh not recorded — a fine-root figure cannot be interpreted without it. ","")&amp;IF(AND(ISNUMBER($H156),$H156&gt;0.5),"Ash fraction above 0.5 — over half this sample was mineral soil. Re-wash. ","")&amp;IF($F156="Not separated","Live and dead not separated. Fine for a stock, but "&amp;"note it in reporting. ",""))</f>
        <v/>
      </c>
      <c r="P156" s="6"/>
      <c r="Q156" s="9" t="n">
        <f aca="false">IF($B156="",0,IF(COUNTIFS($B$5:$B156,$B156)=1,1,0))</f>
        <v>0</v>
      </c>
    </row>
    <row r="157" customFormat="false" ht="15" hidden="false" customHeight="false" outlineLevel="0" collapsed="false">
      <c r="A157" s="6"/>
      <c r="B157" s="6"/>
      <c r="C157" s="6"/>
      <c r="D157" s="6"/>
      <c r="E157" s="6"/>
      <c r="F157" s="6"/>
      <c r="G157" s="7"/>
      <c r="H157" s="7"/>
      <c r="I157" s="6"/>
      <c r="J157" s="9" t="str">
        <f aca="false">IF(NOT(ISNUMBER($G157)),"",IF(AND(ASH_CORRECTED="Yes",ISNUMBER($H157)),$G157*(1-$H157),$G157))</f>
        <v/>
      </c>
      <c r="K157" s="9" t="str">
        <f aca="false">IF($B157="","",IFERROR(AVERAGEIFS('2. Soil Data'!$G$5:$G$604,'2. Soil Data'!$B$5:$B$604,$B157),""))</f>
        <v/>
      </c>
      <c r="L157" s="9" t="str">
        <f aca="false">IF(NOT(ISNUMBER($K157)),"",PI()*($K157/2)^2)</f>
        <v/>
      </c>
      <c r="M157" s="9" t="str">
        <f aca="false">IF(OR(NOT(ISNUMBER($J157)),NOT(ISNUMBER($L157)),$L157=0),"",$J157/$L157*10000)</f>
        <v/>
      </c>
      <c r="N157" s="9" t="str">
        <f aca="false">IF(NOT(ISNUMBER($M157)),"",$M157*CARBON_FRACTION_ROOT/1000)</f>
        <v/>
      </c>
      <c r="O157" s="11" t="str">
        <f aca="false">IF(AND($A157="",$B157="",$G157=""),"",IF(AND($B157&lt;&gt;"",COUNTIFS('2. Soil Data'!$B$5:$B$604,$B157)=0),"Core ID not found in Soil Data, so the corer diameter cannot be looked up. ","")&amp;IF(ASH_CORRECTED&lt;&gt;"Yes","Root mass is NOT ash-corrected, so it includes adhering mineral soil and is too high. Set ASH_CORRECTED once you have done it. ","")&amp;IF(AND(ASH_CORRECTED="Yes",NOT(ISNUMBER($H157))),"Ash correction is switched on but no ash fraction is given for this row. ","")&amp;IF($I157="","Sieve mesh not recorded — a fine-root figure cannot be interpreted without it. ","")&amp;IF(AND(ISNUMBER($H157),$H157&gt;0.5),"Ash fraction above 0.5 — over half this sample was mineral soil. Re-wash. ","")&amp;IF($F157="Not separated","Live and dead not separated. Fine for a stock, but "&amp;"note it in reporting. ",""))</f>
        <v/>
      </c>
      <c r="P157" s="6"/>
      <c r="Q157" s="9" t="n">
        <f aca="false">IF($B157="",0,IF(COUNTIFS($B$5:$B157,$B157)=1,1,0))</f>
        <v>0</v>
      </c>
    </row>
    <row r="158" customFormat="false" ht="15" hidden="false" customHeight="false" outlineLevel="0" collapsed="false">
      <c r="A158" s="6"/>
      <c r="B158" s="6"/>
      <c r="C158" s="6"/>
      <c r="D158" s="6"/>
      <c r="E158" s="6"/>
      <c r="F158" s="6"/>
      <c r="G158" s="7"/>
      <c r="H158" s="7"/>
      <c r="I158" s="6"/>
      <c r="J158" s="9" t="str">
        <f aca="false">IF(NOT(ISNUMBER($G158)),"",IF(AND(ASH_CORRECTED="Yes",ISNUMBER($H158)),$G158*(1-$H158),$G158))</f>
        <v/>
      </c>
      <c r="K158" s="9" t="str">
        <f aca="false">IF($B158="","",IFERROR(AVERAGEIFS('2. Soil Data'!$G$5:$G$604,'2. Soil Data'!$B$5:$B$604,$B158),""))</f>
        <v/>
      </c>
      <c r="L158" s="9" t="str">
        <f aca="false">IF(NOT(ISNUMBER($K158)),"",PI()*($K158/2)^2)</f>
        <v/>
      </c>
      <c r="M158" s="9" t="str">
        <f aca="false">IF(OR(NOT(ISNUMBER($J158)),NOT(ISNUMBER($L158)),$L158=0),"",$J158/$L158*10000)</f>
        <v/>
      </c>
      <c r="N158" s="9" t="str">
        <f aca="false">IF(NOT(ISNUMBER($M158)),"",$M158*CARBON_FRACTION_ROOT/1000)</f>
        <v/>
      </c>
      <c r="O158" s="11" t="str">
        <f aca="false">IF(AND($A158="",$B158="",$G158=""),"",IF(AND($B158&lt;&gt;"",COUNTIFS('2. Soil Data'!$B$5:$B$604,$B158)=0),"Core ID not found in Soil Data, so the corer diameter cannot be looked up. ","")&amp;IF(ASH_CORRECTED&lt;&gt;"Yes","Root mass is NOT ash-corrected, so it includes adhering mineral soil and is too high. Set ASH_CORRECTED once you have done it. ","")&amp;IF(AND(ASH_CORRECTED="Yes",NOT(ISNUMBER($H158))),"Ash correction is switched on but no ash fraction is given for this row. ","")&amp;IF($I158="","Sieve mesh not recorded — a fine-root figure cannot be interpreted without it. ","")&amp;IF(AND(ISNUMBER($H158),$H158&gt;0.5),"Ash fraction above 0.5 — over half this sample was mineral soil. Re-wash. ","")&amp;IF($F158="Not separated","Live and dead not separated. Fine for a stock, but "&amp;"note it in reporting. ",""))</f>
        <v/>
      </c>
      <c r="P158" s="6"/>
      <c r="Q158" s="9" t="n">
        <f aca="false">IF($B158="",0,IF(COUNTIFS($B$5:$B158,$B158)=1,1,0))</f>
        <v>0</v>
      </c>
    </row>
    <row r="159" customFormat="false" ht="15" hidden="false" customHeight="false" outlineLevel="0" collapsed="false">
      <c r="A159" s="6"/>
      <c r="B159" s="6"/>
      <c r="C159" s="6"/>
      <c r="D159" s="6"/>
      <c r="E159" s="6"/>
      <c r="F159" s="6"/>
      <c r="G159" s="7"/>
      <c r="H159" s="7"/>
      <c r="I159" s="6"/>
      <c r="J159" s="9" t="str">
        <f aca="false">IF(NOT(ISNUMBER($G159)),"",IF(AND(ASH_CORRECTED="Yes",ISNUMBER($H159)),$G159*(1-$H159),$G159))</f>
        <v/>
      </c>
      <c r="K159" s="9" t="str">
        <f aca="false">IF($B159="","",IFERROR(AVERAGEIFS('2. Soil Data'!$G$5:$G$604,'2. Soil Data'!$B$5:$B$604,$B159),""))</f>
        <v/>
      </c>
      <c r="L159" s="9" t="str">
        <f aca="false">IF(NOT(ISNUMBER($K159)),"",PI()*($K159/2)^2)</f>
        <v/>
      </c>
      <c r="M159" s="9" t="str">
        <f aca="false">IF(OR(NOT(ISNUMBER($J159)),NOT(ISNUMBER($L159)),$L159=0),"",$J159/$L159*10000)</f>
        <v/>
      </c>
      <c r="N159" s="9" t="str">
        <f aca="false">IF(NOT(ISNUMBER($M159)),"",$M159*CARBON_FRACTION_ROOT/1000)</f>
        <v/>
      </c>
      <c r="O159" s="11" t="str">
        <f aca="false">IF(AND($A159="",$B159="",$G159=""),"",IF(AND($B159&lt;&gt;"",COUNTIFS('2. Soil Data'!$B$5:$B$604,$B159)=0),"Core ID not found in Soil Data, so the corer diameter cannot be looked up. ","")&amp;IF(ASH_CORRECTED&lt;&gt;"Yes","Root mass is NOT ash-corrected, so it includes adhering mineral soil and is too high. Set ASH_CORRECTED once you have done it. ","")&amp;IF(AND(ASH_CORRECTED="Yes",NOT(ISNUMBER($H159))),"Ash correction is switched on but no ash fraction is given for this row. ","")&amp;IF($I159="","Sieve mesh not recorded — a fine-root figure cannot be interpreted without it. ","")&amp;IF(AND(ISNUMBER($H159),$H159&gt;0.5),"Ash fraction above 0.5 — over half this sample was mineral soil. Re-wash. ","")&amp;IF($F159="Not separated","Live and dead not separated. Fine for a stock, but "&amp;"note it in reporting. ",""))</f>
        <v/>
      </c>
      <c r="P159" s="6"/>
      <c r="Q159" s="9" t="n">
        <f aca="false">IF($B159="",0,IF(COUNTIFS($B$5:$B159,$B159)=1,1,0))</f>
        <v>0</v>
      </c>
    </row>
    <row r="160" customFormat="false" ht="15" hidden="false" customHeight="false" outlineLevel="0" collapsed="false">
      <c r="A160" s="6"/>
      <c r="B160" s="6"/>
      <c r="C160" s="6"/>
      <c r="D160" s="6"/>
      <c r="E160" s="6"/>
      <c r="F160" s="6"/>
      <c r="G160" s="7"/>
      <c r="H160" s="7"/>
      <c r="I160" s="6"/>
      <c r="J160" s="9" t="str">
        <f aca="false">IF(NOT(ISNUMBER($G160)),"",IF(AND(ASH_CORRECTED="Yes",ISNUMBER($H160)),$G160*(1-$H160),$G160))</f>
        <v/>
      </c>
      <c r="K160" s="9" t="str">
        <f aca="false">IF($B160="","",IFERROR(AVERAGEIFS('2. Soil Data'!$G$5:$G$604,'2. Soil Data'!$B$5:$B$604,$B160),""))</f>
        <v/>
      </c>
      <c r="L160" s="9" t="str">
        <f aca="false">IF(NOT(ISNUMBER($K160)),"",PI()*($K160/2)^2)</f>
        <v/>
      </c>
      <c r="M160" s="9" t="str">
        <f aca="false">IF(OR(NOT(ISNUMBER($J160)),NOT(ISNUMBER($L160)),$L160=0),"",$J160/$L160*10000)</f>
        <v/>
      </c>
      <c r="N160" s="9" t="str">
        <f aca="false">IF(NOT(ISNUMBER($M160)),"",$M160*CARBON_FRACTION_ROOT/1000)</f>
        <v/>
      </c>
      <c r="O160" s="11" t="str">
        <f aca="false">IF(AND($A160="",$B160="",$G160=""),"",IF(AND($B160&lt;&gt;"",COUNTIFS('2. Soil Data'!$B$5:$B$604,$B160)=0),"Core ID not found in Soil Data, so the corer diameter cannot be looked up. ","")&amp;IF(ASH_CORRECTED&lt;&gt;"Yes","Root mass is NOT ash-corrected, so it includes adhering mineral soil and is too high. Set ASH_CORRECTED once you have done it. ","")&amp;IF(AND(ASH_CORRECTED="Yes",NOT(ISNUMBER($H160))),"Ash correction is switched on but no ash fraction is given for this row. ","")&amp;IF($I160="","Sieve mesh not recorded — a fine-root figure cannot be interpreted without it. ","")&amp;IF(AND(ISNUMBER($H160),$H160&gt;0.5),"Ash fraction above 0.5 — over half this sample was mineral soil. Re-wash. ","")&amp;IF($F160="Not separated","Live and dead not separated. Fine for a stock, but "&amp;"note it in reporting. ",""))</f>
        <v/>
      </c>
      <c r="P160" s="6"/>
      <c r="Q160" s="9" t="n">
        <f aca="false">IF($B160="",0,IF(COUNTIFS($B$5:$B160,$B160)=1,1,0))</f>
        <v>0</v>
      </c>
    </row>
    <row r="161" customFormat="false" ht="15" hidden="false" customHeight="false" outlineLevel="0" collapsed="false">
      <c r="A161" s="6"/>
      <c r="B161" s="6"/>
      <c r="C161" s="6"/>
      <c r="D161" s="6"/>
      <c r="E161" s="6"/>
      <c r="F161" s="6"/>
      <c r="G161" s="7"/>
      <c r="H161" s="7"/>
      <c r="I161" s="6"/>
      <c r="J161" s="9" t="str">
        <f aca="false">IF(NOT(ISNUMBER($G161)),"",IF(AND(ASH_CORRECTED="Yes",ISNUMBER($H161)),$G161*(1-$H161),$G161))</f>
        <v/>
      </c>
      <c r="K161" s="9" t="str">
        <f aca="false">IF($B161="","",IFERROR(AVERAGEIFS('2. Soil Data'!$G$5:$G$604,'2. Soil Data'!$B$5:$B$604,$B161),""))</f>
        <v/>
      </c>
      <c r="L161" s="9" t="str">
        <f aca="false">IF(NOT(ISNUMBER($K161)),"",PI()*($K161/2)^2)</f>
        <v/>
      </c>
      <c r="M161" s="9" t="str">
        <f aca="false">IF(OR(NOT(ISNUMBER($J161)),NOT(ISNUMBER($L161)),$L161=0),"",$J161/$L161*10000)</f>
        <v/>
      </c>
      <c r="N161" s="9" t="str">
        <f aca="false">IF(NOT(ISNUMBER($M161)),"",$M161*CARBON_FRACTION_ROOT/1000)</f>
        <v/>
      </c>
      <c r="O161" s="11" t="str">
        <f aca="false">IF(AND($A161="",$B161="",$G161=""),"",IF(AND($B161&lt;&gt;"",COUNTIFS('2. Soil Data'!$B$5:$B$604,$B161)=0),"Core ID not found in Soil Data, so the corer diameter cannot be looked up. ","")&amp;IF(ASH_CORRECTED&lt;&gt;"Yes","Root mass is NOT ash-corrected, so it includes adhering mineral soil and is too high. Set ASH_CORRECTED once you have done it. ","")&amp;IF(AND(ASH_CORRECTED="Yes",NOT(ISNUMBER($H161))),"Ash correction is switched on but no ash fraction is given for this row. ","")&amp;IF($I161="","Sieve mesh not recorded — a fine-root figure cannot be interpreted without it. ","")&amp;IF(AND(ISNUMBER($H161),$H161&gt;0.5),"Ash fraction above 0.5 — over half this sample was mineral soil. Re-wash. ","")&amp;IF($F161="Not separated","Live and dead not separated. Fine for a stock, but "&amp;"note it in reporting. ",""))</f>
        <v/>
      </c>
      <c r="P161" s="6"/>
      <c r="Q161" s="9" t="n">
        <f aca="false">IF($B161="",0,IF(COUNTIFS($B$5:$B161,$B161)=1,1,0))</f>
        <v>0</v>
      </c>
    </row>
    <row r="162" customFormat="false" ht="15" hidden="false" customHeight="false" outlineLevel="0" collapsed="false">
      <c r="A162" s="6"/>
      <c r="B162" s="6"/>
      <c r="C162" s="6"/>
      <c r="D162" s="6"/>
      <c r="E162" s="6"/>
      <c r="F162" s="6"/>
      <c r="G162" s="7"/>
      <c r="H162" s="7"/>
      <c r="I162" s="6"/>
      <c r="J162" s="9" t="str">
        <f aca="false">IF(NOT(ISNUMBER($G162)),"",IF(AND(ASH_CORRECTED="Yes",ISNUMBER($H162)),$G162*(1-$H162),$G162))</f>
        <v/>
      </c>
      <c r="K162" s="9" t="str">
        <f aca="false">IF($B162="","",IFERROR(AVERAGEIFS('2. Soil Data'!$G$5:$G$604,'2. Soil Data'!$B$5:$B$604,$B162),""))</f>
        <v/>
      </c>
      <c r="L162" s="9" t="str">
        <f aca="false">IF(NOT(ISNUMBER($K162)),"",PI()*($K162/2)^2)</f>
        <v/>
      </c>
      <c r="M162" s="9" t="str">
        <f aca="false">IF(OR(NOT(ISNUMBER($J162)),NOT(ISNUMBER($L162)),$L162=0),"",$J162/$L162*10000)</f>
        <v/>
      </c>
      <c r="N162" s="9" t="str">
        <f aca="false">IF(NOT(ISNUMBER($M162)),"",$M162*CARBON_FRACTION_ROOT/1000)</f>
        <v/>
      </c>
      <c r="O162" s="11" t="str">
        <f aca="false">IF(AND($A162="",$B162="",$G162=""),"",IF(AND($B162&lt;&gt;"",COUNTIFS('2. Soil Data'!$B$5:$B$604,$B162)=0),"Core ID not found in Soil Data, so the corer diameter cannot be looked up. ","")&amp;IF(ASH_CORRECTED&lt;&gt;"Yes","Root mass is NOT ash-corrected, so it includes adhering mineral soil and is too high. Set ASH_CORRECTED once you have done it. ","")&amp;IF(AND(ASH_CORRECTED="Yes",NOT(ISNUMBER($H162))),"Ash correction is switched on but no ash fraction is given for this row. ","")&amp;IF($I162="","Sieve mesh not recorded — a fine-root figure cannot be interpreted without it. ","")&amp;IF(AND(ISNUMBER($H162),$H162&gt;0.5),"Ash fraction above 0.5 — over half this sample was mineral soil. Re-wash. ","")&amp;IF($F162="Not separated","Live and dead not separated. Fine for a stock, but "&amp;"note it in reporting. ",""))</f>
        <v/>
      </c>
      <c r="P162" s="6"/>
      <c r="Q162" s="9" t="n">
        <f aca="false">IF($B162="",0,IF(COUNTIFS($B$5:$B162,$B162)=1,1,0))</f>
        <v>0</v>
      </c>
    </row>
    <row r="163" customFormat="false" ht="15" hidden="false" customHeight="false" outlineLevel="0" collapsed="false">
      <c r="A163" s="6"/>
      <c r="B163" s="6"/>
      <c r="C163" s="6"/>
      <c r="D163" s="6"/>
      <c r="E163" s="6"/>
      <c r="F163" s="6"/>
      <c r="G163" s="7"/>
      <c r="H163" s="7"/>
      <c r="I163" s="6"/>
      <c r="J163" s="9" t="str">
        <f aca="false">IF(NOT(ISNUMBER($G163)),"",IF(AND(ASH_CORRECTED="Yes",ISNUMBER($H163)),$G163*(1-$H163),$G163))</f>
        <v/>
      </c>
      <c r="K163" s="9" t="str">
        <f aca="false">IF($B163="","",IFERROR(AVERAGEIFS('2. Soil Data'!$G$5:$G$604,'2. Soil Data'!$B$5:$B$604,$B163),""))</f>
        <v/>
      </c>
      <c r="L163" s="9" t="str">
        <f aca="false">IF(NOT(ISNUMBER($K163)),"",PI()*($K163/2)^2)</f>
        <v/>
      </c>
      <c r="M163" s="9" t="str">
        <f aca="false">IF(OR(NOT(ISNUMBER($J163)),NOT(ISNUMBER($L163)),$L163=0),"",$J163/$L163*10000)</f>
        <v/>
      </c>
      <c r="N163" s="9" t="str">
        <f aca="false">IF(NOT(ISNUMBER($M163)),"",$M163*CARBON_FRACTION_ROOT/1000)</f>
        <v/>
      </c>
      <c r="O163" s="11" t="str">
        <f aca="false">IF(AND($A163="",$B163="",$G163=""),"",IF(AND($B163&lt;&gt;"",COUNTIFS('2. Soil Data'!$B$5:$B$604,$B163)=0),"Core ID not found in Soil Data, so the corer diameter cannot be looked up. ","")&amp;IF(ASH_CORRECTED&lt;&gt;"Yes","Root mass is NOT ash-corrected, so it includes adhering mineral soil and is too high. Set ASH_CORRECTED once you have done it. ","")&amp;IF(AND(ASH_CORRECTED="Yes",NOT(ISNUMBER($H163))),"Ash correction is switched on but no ash fraction is given for this row. ","")&amp;IF($I163="","Sieve mesh not recorded — a fine-root figure cannot be interpreted without it. ","")&amp;IF(AND(ISNUMBER($H163),$H163&gt;0.5),"Ash fraction above 0.5 — over half this sample was mineral soil. Re-wash. ","")&amp;IF($F163="Not separated","Live and dead not separated. Fine for a stock, but "&amp;"note it in reporting. ",""))</f>
        <v/>
      </c>
      <c r="P163" s="6"/>
      <c r="Q163" s="9" t="n">
        <f aca="false">IF($B163="",0,IF(COUNTIFS($B$5:$B163,$B163)=1,1,0))</f>
        <v>0</v>
      </c>
    </row>
    <row r="164" customFormat="false" ht="15" hidden="false" customHeight="false" outlineLevel="0" collapsed="false">
      <c r="A164" s="6"/>
      <c r="B164" s="6"/>
      <c r="C164" s="6"/>
      <c r="D164" s="6"/>
      <c r="E164" s="6"/>
      <c r="F164" s="6"/>
      <c r="G164" s="7"/>
      <c r="H164" s="7"/>
      <c r="I164" s="6"/>
      <c r="J164" s="9" t="str">
        <f aca="false">IF(NOT(ISNUMBER($G164)),"",IF(AND(ASH_CORRECTED="Yes",ISNUMBER($H164)),$G164*(1-$H164),$G164))</f>
        <v/>
      </c>
      <c r="K164" s="9" t="str">
        <f aca="false">IF($B164="","",IFERROR(AVERAGEIFS('2. Soil Data'!$G$5:$G$604,'2. Soil Data'!$B$5:$B$604,$B164),""))</f>
        <v/>
      </c>
      <c r="L164" s="9" t="str">
        <f aca="false">IF(NOT(ISNUMBER($K164)),"",PI()*($K164/2)^2)</f>
        <v/>
      </c>
      <c r="M164" s="9" t="str">
        <f aca="false">IF(OR(NOT(ISNUMBER($J164)),NOT(ISNUMBER($L164)),$L164=0),"",$J164/$L164*10000)</f>
        <v/>
      </c>
      <c r="N164" s="9" t="str">
        <f aca="false">IF(NOT(ISNUMBER($M164)),"",$M164*CARBON_FRACTION_ROOT/1000)</f>
        <v/>
      </c>
      <c r="O164" s="11" t="str">
        <f aca="false">IF(AND($A164="",$B164="",$G164=""),"",IF(AND($B164&lt;&gt;"",COUNTIFS('2. Soil Data'!$B$5:$B$604,$B164)=0),"Core ID not found in Soil Data, so the corer diameter cannot be looked up. ","")&amp;IF(ASH_CORRECTED&lt;&gt;"Yes","Root mass is NOT ash-corrected, so it includes adhering mineral soil and is too high. Set ASH_CORRECTED once you have done it. ","")&amp;IF(AND(ASH_CORRECTED="Yes",NOT(ISNUMBER($H164))),"Ash correction is switched on but no ash fraction is given for this row. ","")&amp;IF($I164="","Sieve mesh not recorded — a fine-root figure cannot be interpreted without it. ","")&amp;IF(AND(ISNUMBER($H164),$H164&gt;0.5),"Ash fraction above 0.5 — over half this sample was mineral soil. Re-wash. ","")&amp;IF($F164="Not separated","Live and dead not separated. Fine for a stock, but "&amp;"note it in reporting. ",""))</f>
        <v/>
      </c>
      <c r="P164" s="6"/>
      <c r="Q164" s="9" t="n">
        <f aca="false">IF($B164="",0,IF(COUNTIFS($B$5:$B164,$B164)=1,1,0))</f>
        <v>0</v>
      </c>
    </row>
    <row r="165" customFormat="false" ht="15" hidden="false" customHeight="false" outlineLevel="0" collapsed="false">
      <c r="A165" s="6"/>
      <c r="B165" s="6"/>
      <c r="C165" s="6"/>
      <c r="D165" s="6"/>
      <c r="E165" s="6"/>
      <c r="F165" s="6"/>
      <c r="G165" s="7"/>
      <c r="H165" s="7"/>
      <c r="I165" s="6"/>
      <c r="J165" s="9" t="str">
        <f aca="false">IF(NOT(ISNUMBER($G165)),"",IF(AND(ASH_CORRECTED="Yes",ISNUMBER($H165)),$G165*(1-$H165),$G165))</f>
        <v/>
      </c>
      <c r="K165" s="9" t="str">
        <f aca="false">IF($B165="","",IFERROR(AVERAGEIFS('2. Soil Data'!$G$5:$G$604,'2. Soil Data'!$B$5:$B$604,$B165),""))</f>
        <v/>
      </c>
      <c r="L165" s="9" t="str">
        <f aca="false">IF(NOT(ISNUMBER($K165)),"",PI()*($K165/2)^2)</f>
        <v/>
      </c>
      <c r="M165" s="9" t="str">
        <f aca="false">IF(OR(NOT(ISNUMBER($J165)),NOT(ISNUMBER($L165)),$L165=0),"",$J165/$L165*10000)</f>
        <v/>
      </c>
      <c r="N165" s="9" t="str">
        <f aca="false">IF(NOT(ISNUMBER($M165)),"",$M165*CARBON_FRACTION_ROOT/1000)</f>
        <v/>
      </c>
      <c r="O165" s="11" t="str">
        <f aca="false">IF(AND($A165="",$B165="",$G165=""),"",IF(AND($B165&lt;&gt;"",COUNTIFS('2. Soil Data'!$B$5:$B$604,$B165)=0),"Core ID not found in Soil Data, so the corer diameter cannot be looked up. ","")&amp;IF(ASH_CORRECTED&lt;&gt;"Yes","Root mass is NOT ash-corrected, so it includes adhering mineral soil and is too high. Set ASH_CORRECTED once you have done it. ","")&amp;IF(AND(ASH_CORRECTED="Yes",NOT(ISNUMBER($H165))),"Ash correction is switched on but no ash fraction is given for this row. ","")&amp;IF($I165="","Sieve mesh not recorded — a fine-root figure cannot be interpreted without it. ","")&amp;IF(AND(ISNUMBER($H165),$H165&gt;0.5),"Ash fraction above 0.5 — over half this sample was mineral soil. Re-wash. ","")&amp;IF($F165="Not separated","Live and dead not separated. Fine for a stock, but "&amp;"note it in reporting. ",""))</f>
        <v/>
      </c>
      <c r="P165" s="6"/>
      <c r="Q165" s="9" t="n">
        <f aca="false">IF($B165="",0,IF(COUNTIFS($B$5:$B165,$B165)=1,1,0))</f>
        <v>0</v>
      </c>
    </row>
    <row r="166" customFormat="false" ht="15" hidden="false" customHeight="false" outlineLevel="0" collapsed="false">
      <c r="A166" s="6"/>
      <c r="B166" s="6"/>
      <c r="C166" s="6"/>
      <c r="D166" s="6"/>
      <c r="E166" s="6"/>
      <c r="F166" s="6"/>
      <c r="G166" s="7"/>
      <c r="H166" s="7"/>
      <c r="I166" s="6"/>
      <c r="J166" s="9" t="str">
        <f aca="false">IF(NOT(ISNUMBER($G166)),"",IF(AND(ASH_CORRECTED="Yes",ISNUMBER($H166)),$G166*(1-$H166),$G166))</f>
        <v/>
      </c>
      <c r="K166" s="9" t="str">
        <f aca="false">IF($B166="","",IFERROR(AVERAGEIFS('2. Soil Data'!$G$5:$G$604,'2. Soil Data'!$B$5:$B$604,$B166),""))</f>
        <v/>
      </c>
      <c r="L166" s="9" t="str">
        <f aca="false">IF(NOT(ISNUMBER($K166)),"",PI()*($K166/2)^2)</f>
        <v/>
      </c>
      <c r="M166" s="9" t="str">
        <f aca="false">IF(OR(NOT(ISNUMBER($J166)),NOT(ISNUMBER($L166)),$L166=0),"",$J166/$L166*10000)</f>
        <v/>
      </c>
      <c r="N166" s="9" t="str">
        <f aca="false">IF(NOT(ISNUMBER($M166)),"",$M166*CARBON_FRACTION_ROOT/1000)</f>
        <v/>
      </c>
      <c r="O166" s="11" t="str">
        <f aca="false">IF(AND($A166="",$B166="",$G166=""),"",IF(AND($B166&lt;&gt;"",COUNTIFS('2. Soil Data'!$B$5:$B$604,$B166)=0),"Core ID not found in Soil Data, so the corer diameter cannot be looked up. ","")&amp;IF(ASH_CORRECTED&lt;&gt;"Yes","Root mass is NOT ash-corrected, so it includes adhering mineral soil and is too high. Set ASH_CORRECTED once you have done it. ","")&amp;IF(AND(ASH_CORRECTED="Yes",NOT(ISNUMBER($H166))),"Ash correction is switched on but no ash fraction is given for this row. ","")&amp;IF($I166="","Sieve mesh not recorded — a fine-root figure cannot be interpreted without it. ","")&amp;IF(AND(ISNUMBER($H166),$H166&gt;0.5),"Ash fraction above 0.5 — over half this sample was mineral soil. Re-wash. ","")&amp;IF($F166="Not separated","Live and dead not separated. Fine for a stock, but "&amp;"note it in reporting. ",""))</f>
        <v/>
      </c>
      <c r="P166" s="6"/>
      <c r="Q166" s="9" t="n">
        <f aca="false">IF($B166="",0,IF(COUNTIFS($B$5:$B166,$B166)=1,1,0))</f>
        <v>0</v>
      </c>
    </row>
    <row r="167" customFormat="false" ht="15" hidden="false" customHeight="false" outlineLevel="0" collapsed="false">
      <c r="A167" s="6"/>
      <c r="B167" s="6"/>
      <c r="C167" s="6"/>
      <c r="D167" s="6"/>
      <c r="E167" s="6"/>
      <c r="F167" s="6"/>
      <c r="G167" s="7"/>
      <c r="H167" s="7"/>
      <c r="I167" s="6"/>
      <c r="J167" s="9" t="str">
        <f aca="false">IF(NOT(ISNUMBER($G167)),"",IF(AND(ASH_CORRECTED="Yes",ISNUMBER($H167)),$G167*(1-$H167),$G167))</f>
        <v/>
      </c>
      <c r="K167" s="9" t="str">
        <f aca="false">IF($B167="","",IFERROR(AVERAGEIFS('2. Soil Data'!$G$5:$G$604,'2. Soil Data'!$B$5:$B$604,$B167),""))</f>
        <v/>
      </c>
      <c r="L167" s="9" t="str">
        <f aca="false">IF(NOT(ISNUMBER($K167)),"",PI()*($K167/2)^2)</f>
        <v/>
      </c>
      <c r="M167" s="9" t="str">
        <f aca="false">IF(OR(NOT(ISNUMBER($J167)),NOT(ISNUMBER($L167)),$L167=0),"",$J167/$L167*10000)</f>
        <v/>
      </c>
      <c r="N167" s="9" t="str">
        <f aca="false">IF(NOT(ISNUMBER($M167)),"",$M167*CARBON_FRACTION_ROOT/1000)</f>
        <v/>
      </c>
      <c r="O167" s="11" t="str">
        <f aca="false">IF(AND($A167="",$B167="",$G167=""),"",IF(AND($B167&lt;&gt;"",COUNTIFS('2. Soil Data'!$B$5:$B$604,$B167)=0),"Core ID not found in Soil Data, so the corer diameter cannot be looked up. ","")&amp;IF(ASH_CORRECTED&lt;&gt;"Yes","Root mass is NOT ash-corrected, so it includes adhering mineral soil and is too high. Set ASH_CORRECTED once you have done it. ","")&amp;IF(AND(ASH_CORRECTED="Yes",NOT(ISNUMBER($H167))),"Ash correction is switched on but no ash fraction is given for this row. ","")&amp;IF($I167="","Sieve mesh not recorded — a fine-root figure cannot be interpreted without it. ","")&amp;IF(AND(ISNUMBER($H167),$H167&gt;0.5),"Ash fraction above 0.5 — over half this sample was mineral soil. Re-wash. ","")&amp;IF($F167="Not separated","Live and dead not separated. Fine for a stock, but "&amp;"note it in reporting. ",""))</f>
        <v/>
      </c>
      <c r="P167" s="6"/>
      <c r="Q167" s="9" t="n">
        <f aca="false">IF($B167="",0,IF(COUNTIFS($B$5:$B167,$B167)=1,1,0))</f>
        <v>0</v>
      </c>
    </row>
    <row r="168" customFormat="false" ht="15" hidden="false" customHeight="false" outlineLevel="0" collapsed="false">
      <c r="A168" s="6"/>
      <c r="B168" s="6"/>
      <c r="C168" s="6"/>
      <c r="D168" s="6"/>
      <c r="E168" s="6"/>
      <c r="F168" s="6"/>
      <c r="G168" s="7"/>
      <c r="H168" s="7"/>
      <c r="I168" s="6"/>
      <c r="J168" s="9" t="str">
        <f aca="false">IF(NOT(ISNUMBER($G168)),"",IF(AND(ASH_CORRECTED="Yes",ISNUMBER($H168)),$G168*(1-$H168),$G168))</f>
        <v/>
      </c>
      <c r="K168" s="9" t="str">
        <f aca="false">IF($B168="","",IFERROR(AVERAGEIFS('2. Soil Data'!$G$5:$G$604,'2. Soil Data'!$B$5:$B$604,$B168),""))</f>
        <v/>
      </c>
      <c r="L168" s="9" t="str">
        <f aca="false">IF(NOT(ISNUMBER($K168)),"",PI()*($K168/2)^2)</f>
        <v/>
      </c>
      <c r="M168" s="9" t="str">
        <f aca="false">IF(OR(NOT(ISNUMBER($J168)),NOT(ISNUMBER($L168)),$L168=0),"",$J168/$L168*10000)</f>
        <v/>
      </c>
      <c r="N168" s="9" t="str">
        <f aca="false">IF(NOT(ISNUMBER($M168)),"",$M168*CARBON_FRACTION_ROOT/1000)</f>
        <v/>
      </c>
      <c r="O168" s="11" t="str">
        <f aca="false">IF(AND($A168="",$B168="",$G168=""),"",IF(AND($B168&lt;&gt;"",COUNTIFS('2. Soil Data'!$B$5:$B$604,$B168)=0),"Core ID not found in Soil Data, so the corer diameter cannot be looked up. ","")&amp;IF(ASH_CORRECTED&lt;&gt;"Yes","Root mass is NOT ash-corrected, so it includes adhering mineral soil and is too high. Set ASH_CORRECTED once you have done it. ","")&amp;IF(AND(ASH_CORRECTED="Yes",NOT(ISNUMBER($H168))),"Ash correction is switched on but no ash fraction is given for this row. ","")&amp;IF($I168="","Sieve mesh not recorded — a fine-root figure cannot be interpreted without it. ","")&amp;IF(AND(ISNUMBER($H168),$H168&gt;0.5),"Ash fraction above 0.5 — over half this sample was mineral soil. Re-wash. ","")&amp;IF($F168="Not separated","Live and dead not separated. Fine for a stock, but "&amp;"note it in reporting. ",""))</f>
        <v/>
      </c>
      <c r="P168" s="6"/>
      <c r="Q168" s="9" t="n">
        <f aca="false">IF($B168="",0,IF(COUNTIFS($B$5:$B168,$B168)=1,1,0))</f>
        <v>0</v>
      </c>
    </row>
    <row r="169" customFormat="false" ht="15" hidden="false" customHeight="false" outlineLevel="0" collapsed="false">
      <c r="A169" s="6"/>
      <c r="B169" s="6"/>
      <c r="C169" s="6"/>
      <c r="D169" s="6"/>
      <c r="E169" s="6"/>
      <c r="F169" s="6"/>
      <c r="G169" s="7"/>
      <c r="H169" s="7"/>
      <c r="I169" s="6"/>
      <c r="J169" s="9" t="str">
        <f aca="false">IF(NOT(ISNUMBER($G169)),"",IF(AND(ASH_CORRECTED="Yes",ISNUMBER($H169)),$G169*(1-$H169),$G169))</f>
        <v/>
      </c>
      <c r="K169" s="9" t="str">
        <f aca="false">IF($B169="","",IFERROR(AVERAGEIFS('2. Soil Data'!$G$5:$G$604,'2. Soil Data'!$B$5:$B$604,$B169),""))</f>
        <v/>
      </c>
      <c r="L169" s="9" t="str">
        <f aca="false">IF(NOT(ISNUMBER($K169)),"",PI()*($K169/2)^2)</f>
        <v/>
      </c>
      <c r="M169" s="9" t="str">
        <f aca="false">IF(OR(NOT(ISNUMBER($J169)),NOT(ISNUMBER($L169)),$L169=0),"",$J169/$L169*10000)</f>
        <v/>
      </c>
      <c r="N169" s="9" t="str">
        <f aca="false">IF(NOT(ISNUMBER($M169)),"",$M169*CARBON_FRACTION_ROOT/1000)</f>
        <v/>
      </c>
      <c r="O169" s="11" t="str">
        <f aca="false">IF(AND($A169="",$B169="",$G169=""),"",IF(AND($B169&lt;&gt;"",COUNTIFS('2. Soil Data'!$B$5:$B$604,$B169)=0),"Core ID not found in Soil Data, so the corer diameter cannot be looked up. ","")&amp;IF(ASH_CORRECTED&lt;&gt;"Yes","Root mass is NOT ash-corrected, so it includes adhering mineral soil and is too high. Set ASH_CORRECTED once you have done it. ","")&amp;IF(AND(ASH_CORRECTED="Yes",NOT(ISNUMBER($H169))),"Ash correction is switched on but no ash fraction is given for this row. ","")&amp;IF($I169="","Sieve mesh not recorded — a fine-root figure cannot be interpreted without it. ","")&amp;IF(AND(ISNUMBER($H169),$H169&gt;0.5),"Ash fraction above 0.5 — over half this sample was mineral soil. Re-wash. ","")&amp;IF($F169="Not separated","Live and dead not separated. Fine for a stock, but "&amp;"note it in reporting. ",""))</f>
        <v/>
      </c>
      <c r="P169" s="6"/>
      <c r="Q169" s="9" t="n">
        <f aca="false">IF($B169="",0,IF(COUNTIFS($B$5:$B169,$B169)=1,1,0))</f>
        <v>0</v>
      </c>
    </row>
    <row r="170" customFormat="false" ht="15" hidden="false" customHeight="false" outlineLevel="0" collapsed="false">
      <c r="A170" s="6"/>
      <c r="B170" s="6"/>
      <c r="C170" s="6"/>
      <c r="D170" s="6"/>
      <c r="E170" s="6"/>
      <c r="F170" s="6"/>
      <c r="G170" s="7"/>
      <c r="H170" s="7"/>
      <c r="I170" s="6"/>
      <c r="J170" s="9" t="str">
        <f aca="false">IF(NOT(ISNUMBER($G170)),"",IF(AND(ASH_CORRECTED="Yes",ISNUMBER($H170)),$G170*(1-$H170),$G170))</f>
        <v/>
      </c>
      <c r="K170" s="9" t="str">
        <f aca="false">IF($B170="","",IFERROR(AVERAGEIFS('2. Soil Data'!$G$5:$G$604,'2. Soil Data'!$B$5:$B$604,$B170),""))</f>
        <v/>
      </c>
      <c r="L170" s="9" t="str">
        <f aca="false">IF(NOT(ISNUMBER($K170)),"",PI()*($K170/2)^2)</f>
        <v/>
      </c>
      <c r="M170" s="9" t="str">
        <f aca="false">IF(OR(NOT(ISNUMBER($J170)),NOT(ISNUMBER($L170)),$L170=0),"",$J170/$L170*10000)</f>
        <v/>
      </c>
      <c r="N170" s="9" t="str">
        <f aca="false">IF(NOT(ISNUMBER($M170)),"",$M170*CARBON_FRACTION_ROOT/1000)</f>
        <v/>
      </c>
      <c r="O170" s="11" t="str">
        <f aca="false">IF(AND($A170="",$B170="",$G170=""),"",IF(AND($B170&lt;&gt;"",COUNTIFS('2. Soil Data'!$B$5:$B$604,$B170)=0),"Core ID not found in Soil Data, so the corer diameter cannot be looked up. ","")&amp;IF(ASH_CORRECTED&lt;&gt;"Yes","Root mass is NOT ash-corrected, so it includes adhering mineral soil and is too high. Set ASH_CORRECTED once you have done it. ","")&amp;IF(AND(ASH_CORRECTED="Yes",NOT(ISNUMBER($H170))),"Ash correction is switched on but no ash fraction is given for this row. ","")&amp;IF($I170="","Sieve mesh not recorded — a fine-root figure cannot be interpreted without it. ","")&amp;IF(AND(ISNUMBER($H170),$H170&gt;0.5),"Ash fraction above 0.5 — over half this sample was mineral soil. Re-wash. ","")&amp;IF($F170="Not separated","Live and dead not separated. Fine for a stock, but "&amp;"note it in reporting. ",""))</f>
        <v/>
      </c>
      <c r="P170" s="6"/>
      <c r="Q170" s="9" t="n">
        <f aca="false">IF($B170="",0,IF(COUNTIFS($B$5:$B170,$B170)=1,1,0))</f>
        <v>0</v>
      </c>
    </row>
    <row r="171" customFormat="false" ht="15" hidden="false" customHeight="false" outlineLevel="0" collapsed="false">
      <c r="A171" s="6"/>
      <c r="B171" s="6"/>
      <c r="C171" s="6"/>
      <c r="D171" s="6"/>
      <c r="E171" s="6"/>
      <c r="F171" s="6"/>
      <c r="G171" s="7"/>
      <c r="H171" s="7"/>
      <c r="I171" s="6"/>
      <c r="J171" s="9" t="str">
        <f aca="false">IF(NOT(ISNUMBER($G171)),"",IF(AND(ASH_CORRECTED="Yes",ISNUMBER($H171)),$G171*(1-$H171),$G171))</f>
        <v/>
      </c>
      <c r="K171" s="9" t="str">
        <f aca="false">IF($B171="","",IFERROR(AVERAGEIFS('2. Soil Data'!$G$5:$G$604,'2. Soil Data'!$B$5:$B$604,$B171),""))</f>
        <v/>
      </c>
      <c r="L171" s="9" t="str">
        <f aca="false">IF(NOT(ISNUMBER($K171)),"",PI()*($K171/2)^2)</f>
        <v/>
      </c>
      <c r="M171" s="9" t="str">
        <f aca="false">IF(OR(NOT(ISNUMBER($J171)),NOT(ISNUMBER($L171)),$L171=0),"",$J171/$L171*10000)</f>
        <v/>
      </c>
      <c r="N171" s="9" t="str">
        <f aca="false">IF(NOT(ISNUMBER($M171)),"",$M171*CARBON_FRACTION_ROOT/1000)</f>
        <v/>
      </c>
      <c r="O171" s="11" t="str">
        <f aca="false">IF(AND($A171="",$B171="",$G171=""),"",IF(AND($B171&lt;&gt;"",COUNTIFS('2. Soil Data'!$B$5:$B$604,$B171)=0),"Core ID not found in Soil Data, so the corer diameter cannot be looked up. ","")&amp;IF(ASH_CORRECTED&lt;&gt;"Yes","Root mass is NOT ash-corrected, so it includes adhering mineral soil and is too high. Set ASH_CORRECTED once you have done it. ","")&amp;IF(AND(ASH_CORRECTED="Yes",NOT(ISNUMBER($H171))),"Ash correction is switched on but no ash fraction is given for this row. ","")&amp;IF($I171="","Sieve mesh not recorded — a fine-root figure cannot be interpreted without it. ","")&amp;IF(AND(ISNUMBER($H171),$H171&gt;0.5),"Ash fraction above 0.5 — over half this sample was mineral soil. Re-wash. ","")&amp;IF($F171="Not separated","Live and dead not separated. Fine for a stock, but "&amp;"note it in reporting. ",""))</f>
        <v/>
      </c>
      <c r="P171" s="6"/>
      <c r="Q171" s="9" t="n">
        <f aca="false">IF($B171="",0,IF(COUNTIFS($B$5:$B171,$B171)=1,1,0))</f>
        <v>0</v>
      </c>
    </row>
    <row r="172" customFormat="false" ht="15" hidden="false" customHeight="false" outlineLevel="0" collapsed="false">
      <c r="A172" s="6"/>
      <c r="B172" s="6"/>
      <c r="C172" s="6"/>
      <c r="D172" s="6"/>
      <c r="E172" s="6"/>
      <c r="F172" s="6"/>
      <c r="G172" s="7"/>
      <c r="H172" s="7"/>
      <c r="I172" s="6"/>
      <c r="J172" s="9" t="str">
        <f aca="false">IF(NOT(ISNUMBER($G172)),"",IF(AND(ASH_CORRECTED="Yes",ISNUMBER($H172)),$G172*(1-$H172),$G172))</f>
        <v/>
      </c>
      <c r="K172" s="9" t="str">
        <f aca="false">IF($B172="","",IFERROR(AVERAGEIFS('2. Soil Data'!$G$5:$G$604,'2. Soil Data'!$B$5:$B$604,$B172),""))</f>
        <v/>
      </c>
      <c r="L172" s="9" t="str">
        <f aca="false">IF(NOT(ISNUMBER($K172)),"",PI()*($K172/2)^2)</f>
        <v/>
      </c>
      <c r="M172" s="9" t="str">
        <f aca="false">IF(OR(NOT(ISNUMBER($J172)),NOT(ISNUMBER($L172)),$L172=0),"",$J172/$L172*10000)</f>
        <v/>
      </c>
      <c r="N172" s="9" t="str">
        <f aca="false">IF(NOT(ISNUMBER($M172)),"",$M172*CARBON_FRACTION_ROOT/1000)</f>
        <v/>
      </c>
      <c r="O172" s="11" t="str">
        <f aca="false">IF(AND($A172="",$B172="",$G172=""),"",IF(AND($B172&lt;&gt;"",COUNTIFS('2. Soil Data'!$B$5:$B$604,$B172)=0),"Core ID not found in Soil Data, so the corer diameter cannot be looked up. ","")&amp;IF(ASH_CORRECTED&lt;&gt;"Yes","Root mass is NOT ash-corrected, so it includes adhering mineral soil and is too high. Set ASH_CORRECTED once you have done it. ","")&amp;IF(AND(ASH_CORRECTED="Yes",NOT(ISNUMBER($H172))),"Ash correction is switched on but no ash fraction is given for this row. ","")&amp;IF($I172="","Sieve mesh not recorded — a fine-root figure cannot be interpreted without it. ","")&amp;IF(AND(ISNUMBER($H172),$H172&gt;0.5),"Ash fraction above 0.5 — over half this sample was mineral soil. Re-wash. ","")&amp;IF($F172="Not separated","Live and dead not separated. Fine for a stock, but "&amp;"note it in reporting. ",""))</f>
        <v/>
      </c>
      <c r="P172" s="6"/>
      <c r="Q172" s="9" t="n">
        <f aca="false">IF($B172="",0,IF(COUNTIFS($B$5:$B172,$B172)=1,1,0))</f>
        <v>0</v>
      </c>
    </row>
    <row r="173" customFormat="false" ht="15" hidden="false" customHeight="false" outlineLevel="0" collapsed="false">
      <c r="A173" s="6"/>
      <c r="B173" s="6"/>
      <c r="C173" s="6"/>
      <c r="D173" s="6"/>
      <c r="E173" s="6"/>
      <c r="F173" s="6"/>
      <c r="G173" s="7"/>
      <c r="H173" s="7"/>
      <c r="I173" s="6"/>
      <c r="J173" s="9" t="str">
        <f aca="false">IF(NOT(ISNUMBER($G173)),"",IF(AND(ASH_CORRECTED="Yes",ISNUMBER($H173)),$G173*(1-$H173),$G173))</f>
        <v/>
      </c>
      <c r="K173" s="9" t="str">
        <f aca="false">IF($B173="","",IFERROR(AVERAGEIFS('2. Soil Data'!$G$5:$G$604,'2. Soil Data'!$B$5:$B$604,$B173),""))</f>
        <v/>
      </c>
      <c r="L173" s="9" t="str">
        <f aca="false">IF(NOT(ISNUMBER($K173)),"",PI()*($K173/2)^2)</f>
        <v/>
      </c>
      <c r="M173" s="9" t="str">
        <f aca="false">IF(OR(NOT(ISNUMBER($J173)),NOT(ISNUMBER($L173)),$L173=0),"",$J173/$L173*10000)</f>
        <v/>
      </c>
      <c r="N173" s="9" t="str">
        <f aca="false">IF(NOT(ISNUMBER($M173)),"",$M173*CARBON_FRACTION_ROOT/1000)</f>
        <v/>
      </c>
      <c r="O173" s="11" t="str">
        <f aca="false">IF(AND($A173="",$B173="",$G173=""),"",IF(AND($B173&lt;&gt;"",COUNTIFS('2. Soil Data'!$B$5:$B$604,$B173)=0),"Core ID not found in Soil Data, so the corer diameter cannot be looked up. ","")&amp;IF(ASH_CORRECTED&lt;&gt;"Yes","Root mass is NOT ash-corrected, so it includes adhering mineral soil and is too high. Set ASH_CORRECTED once you have done it. ","")&amp;IF(AND(ASH_CORRECTED="Yes",NOT(ISNUMBER($H173))),"Ash correction is switched on but no ash fraction is given for this row. ","")&amp;IF($I173="","Sieve mesh not recorded — a fine-root figure cannot be interpreted without it. ","")&amp;IF(AND(ISNUMBER($H173),$H173&gt;0.5),"Ash fraction above 0.5 — over half this sample was mineral soil. Re-wash. ","")&amp;IF($F173="Not separated","Live and dead not separated. Fine for a stock, but "&amp;"note it in reporting. ",""))</f>
        <v/>
      </c>
      <c r="P173" s="6"/>
      <c r="Q173" s="9" t="n">
        <f aca="false">IF($B173="",0,IF(COUNTIFS($B$5:$B173,$B173)=1,1,0))</f>
        <v>0</v>
      </c>
    </row>
    <row r="174" customFormat="false" ht="15" hidden="false" customHeight="false" outlineLevel="0" collapsed="false">
      <c r="A174" s="6"/>
      <c r="B174" s="6"/>
      <c r="C174" s="6"/>
      <c r="D174" s="6"/>
      <c r="E174" s="6"/>
      <c r="F174" s="6"/>
      <c r="G174" s="7"/>
      <c r="H174" s="7"/>
      <c r="I174" s="6"/>
      <c r="J174" s="9" t="str">
        <f aca="false">IF(NOT(ISNUMBER($G174)),"",IF(AND(ASH_CORRECTED="Yes",ISNUMBER($H174)),$G174*(1-$H174),$G174))</f>
        <v/>
      </c>
      <c r="K174" s="9" t="str">
        <f aca="false">IF($B174="","",IFERROR(AVERAGEIFS('2. Soil Data'!$G$5:$G$604,'2. Soil Data'!$B$5:$B$604,$B174),""))</f>
        <v/>
      </c>
      <c r="L174" s="9" t="str">
        <f aca="false">IF(NOT(ISNUMBER($K174)),"",PI()*($K174/2)^2)</f>
        <v/>
      </c>
      <c r="M174" s="9" t="str">
        <f aca="false">IF(OR(NOT(ISNUMBER($J174)),NOT(ISNUMBER($L174)),$L174=0),"",$J174/$L174*10000)</f>
        <v/>
      </c>
      <c r="N174" s="9" t="str">
        <f aca="false">IF(NOT(ISNUMBER($M174)),"",$M174*CARBON_FRACTION_ROOT/1000)</f>
        <v/>
      </c>
      <c r="O174" s="11" t="str">
        <f aca="false">IF(AND($A174="",$B174="",$G174=""),"",IF(AND($B174&lt;&gt;"",COUNTIFS('2. Soil Data'!$B$5:$B$604,$B174)=0),"Core ID not found in Soil Data, so the corer diameter cannot be looked up. ","")&amp;IF(ASH_CORRECTED&lt;&gt;"Yes","Root mass is NOT ash-corrected, so it includes adhering mineral soil and is too high. Set ASH_CORRECTED once you have done it. ","")&amp;IF(AND(ASH_CORRECTED="Yes",NOT(ISNUMBER($H174))),"Ash correction is switched on but no ash fraction is given for this row. ","")&amp;IF($I174="","Sieve mesh not recorded — a fine-root figure cannot be interpreted without it. ","")&amp;IF(AND(ISNUMBER($H174),$H174&gt;0.5),"Ash fraction above 0.5 — over half this sample was mineral soil. Re-wash. ","")&amp;IF($F174="Not separated","Live and dead not separated. Fine for a stock, but "&amp;"note it in reporting. ",""))</f>
        <v/>
      </c>
      <c r="P174" s="6"/>
      <c r="Q174" s="9" t="n">
        <f aca="false">IF($B174="",0,IF(COUNTIFS($B$5:$B174,$B174)=1,1,0))</f>
        <v>0</v>
      </c>
    </row>
    <row r="175" customFormat="false" ht="15" hidden="false" customHeight="false" outlineLevel="0" collapsed="false">
      <c r="A175" s="6"/>
      <c r="B175" s="6"/>
      <c r="C175" s="6"/>
      <c r="D175" s="6"/>
      <c r="E175" s="6"/>
      <c r="F175" s="6"/>
      <c r="G175" s="7"/>
      <c r="H175" s="7"/>
      <c r="I175" s="6"/>
      <c r="J175" s="9" t="str">
        <f aca="false">IF(NOT(ISNUMBER($G175)),"",IF(AND(ASH_CORRECTED="Yes",ISNUMBER($H175)),$G175*(1-$H175),$G175))</f>
        <v/>
      </c>
      <c r="K175" s="9" t="str">
        <f aca="false">IF($B175="","",IFERROR(AVERAGEIFS('2. Soil Data'!$G$5:$G$604,'2. Soil Data'!$B$5:$B$604,$B175),""))</f>
        <v/>
      </c>
      <c r="L175" s="9" t="str">
        <f aca="false">IF(NOT(ISNUMBER($K175)),"",PI()*($K175/2)^2)</f>
        <v/>
      </c>
      <c r="M175" s="9" t="str">
        <f aca="false">IF(OR(NOT(ISNUMBER($J175)),NOT(ISNUMBER($L175)),$L175=0),"",$J175/$L175*10000)</f>
        <v/>
      </c>
      <c r="N175" s="9" t="str">
        <f aca="false">IF(NOT(ISNUMBER($M175)),"",$M175*CARBON_FRACTION_ROOT/1000)</f>
        <v/>
      </c>
      <c r="O175" s="11" t="str">
        <f aca="false">IF(AND($A175="",$B175="",$G175=""),"",IF(AND($B175&lt;&gt;"",COUNTIFS('2. Soil Data'!$B$5:$B$604,$B175)=0),"Core ID not found in Soil Data, so the corer diameter cannot be looked up. ","")&amp;IF(ASH_CORRECTED&lt;&gt;"Yes","Root mass is NOT ash-corrected, so it includes adhering mineral soil and is too high. Set ASH_CORRECTED once you have done it. ","")&amp;IF(AND(ASH_CORRECTED="Yes",NOT(ISNUMBER($H175))),"Ash correction is switched on but no ash fraction is given for this row. ","")&amp;IF($I175="","Sieve mesh not recorded — a fine-root figure cannot be interpreted without it. ","")&amp;IF(AND(ISNUMBER($H175),$H175&gt;0.5),"Ash fraction above 0.5 — over half this sample was mineral soil. Re-wash. ","")&amp;IF($F175="Not separated","Live and dead not separated. Fine for a stock, but "&amp;"note it in reporting. ",""))</f>
        <v/>
      </c>
      <c r="P175" s="6"/>
      <c r="Q175" s="9" t="n">
        <f aca="false">IF($B175="",0,IF(COUNTIFS($B$5:$B175,$B175)=1,1,0))</f>
        <v>0</v>
      </c>
    </row>
    <row r="176" customFormat="false" ht="15" hidden="false" customHeight="false" outlineLevel="0" collapsed="false">
      <c r="A176" s="6"/>
      <c r="B176" s="6"/>
      <c r="C176" s="6"/>
      <c r="D176" s="6"/>
      <c r="E176" s="6"/>
      <c r="F176" s="6"/>
      <c r="G176" s="7"/>
      <c r="H176" s="7"/>
      <c r="I176" s="6"/>
      <c r="J176" s="9" t="str">
        <f aca="false">IF(NOT(ISNUMBER($G176)),"",IF(AND(ASH_CORRECTED="Yes",ISNUMBER($H176)),$G176*(1-$H176),$G176))</f>
        <v/>
      </c>
      <c r="K176" s="9" t="str">
        <f aca="false">IF($B176="","",IFERROR(AVERAGEIFS('2. Soil Data'!$G$5:$G$604,'2. Soil Data'!$B$5:$B$604,$B176),""))</f>
        <v/>
      </c>
      <c r="L176" s="9" t="str">
        <f aca="false">IF(NOT(ISNUMBER($K176)),"",PI()*($K176/2)^2)</f>
        <v/>
      </c>
      <c r="M176" s="9" t="str">
        <f aca="false">IF(OR(NOT(ISNUMBER($J176)),NOT(ISNUMBER($L176)),$L176=0),"",$J176/$L176*10000)</f>
        <v/>
      </c>
      <c r="N176" s="9" t="str">
        <f aca="false">IF(NOT(ISNUMBER($M176)),"",$M176*CARBON_FRACTION_ROOT/1000)</f>
        <v/>
      </c>
      <c r="O176" s="11" t="str">
        <f aca="false">IF(AND($A176="",$B176="",$G176=""),"",IF(AND($B176&lt;&gt;"",COUNTIFS('2. Soil Data'!$B$5:$B$604,$B176)=0),"Core ID not found in Soil Data, so the corer diameter cannot be looked up. ","")&amp;IF(ASH_CORRECTED&lt;&gt;"Yes","Root mass is NOT ash-corrected, so it includes adhering mineral soil and is too high. Set ASH_CORRECTED once you have done it. ","")&amp;IF(AND(ASH_CORRECTED="Yes",NOT(ISNUMBER($H176))),"Ash correction is switched on but no ash fraction is given for this row. ","")&amp;IF($I176="","Sieve mesh not recorded — a fine-root figure cannot be interpreted without it. ","")&amp;IF(AND(ISNUMBER($H176),$H176&gt;0.5),"Ash fraction above 0.5 — over half this sample was mineral soil. Re-wash. ","")&amp;IF($F176="Not separated","Live and dead not separated. Fine for a stock, but "&amp;"note it in reporting. ",""))</f>
        <v/>
      </c>
      <c r="P176" s="6"/>
      <c r="Q176" s="9" t="n">
        <f aca="false">IF($B176="",0,IF(COUNTIFS($B$5:$B176,$B176)=1,1,0))</f>
        <v>0</v>
      </c>
    </row>
    <row r="177" customFormat="false" ht="15" hidden="false" customHeight="false" outlineLevel="0" collapsed="false">
      <c r="A177" s="6"/>
      <c r="B177" s="6"/>
      <c r="C177" s="6"/>
      <c r="D177" s="6"/>
      <c r="E177" s="6"/>
      <c r="F177" s="6"/>
      <c r="G177" s="7"/>
      <c r="H177" s="7"/>
      <c r="I177" s="6"/>
      <c r="J177" s="9" t="str">
        <f aca="false">IF(NOT(ISNUMBER($G177)),"",IF(AND(ASH_CORRECTED="Yes",ISNUMBER($H177)),$G177*(1-$H177),$G177))</f>
        <v/>
      </c>
      <c r="K177" s="9" t="str">
        <f aca="false">IF($B177="","",IFERROR(AVERAGEIFS('2. Soil Data'!$G$5:$G$604,'2. Soil Data'!$B$5:$B$604,$B177),""))</f>
        <v/>
      </c>
      <c r="L177" s="9" t="str">
        <f aca="false">IF(NOT(ISNUMBER($K177)),"",PI()*($K177/2)^2)</f>
        <v/>
      </c>
      <c r="M177" s="9" t="str">
        <f aca="false">IF(OR(NOT(ISNUMBER($J177)),NOT(ISNUMBER($L177)),$L177=0),"",$J177/$L177*10000)</f>
        <v/>
      </c>
      <c r="N177" s="9" t="str">
        <f aca="false">IF(NOT(ISNUMBER($M177)),"",$M177*CARBON_FRACTION_ROOT/1000)</f>
        <v/>
      </c>
      <c r="O177" s="11" t="str">
        <f aca="false">IF(AND($A177="",$B177="",$G177=""),"",IF(AND($B177&lt;&gt;"",COUNTIFS('2. Soil Data'!$B$5:$B$604,$B177)=0),"Core ID not found in Soil Data, so the corer diameter cannot be looked up. ","")&amp;IF(ASH_CORRECTED&lt;&gt;"Yes","Root mass is NOT ash-corrected, so it includes adhering mineral soil and is too high. Set ASH_CORRECTED once you have done it. ","")&amp;IF(AND(ASH_CORRECTED="Yes",NOT(ISNUMBER($H177))),"Ash correction is switched on but no ash fraction is given for this row. ","")&amp;IF($I177="","Sieve mesh not recorded — a fine-root figure cannot be interpreted without it. ","")&amp;IF(AND(ISNUMBER($H177),$H177&gt;0.5),"Ash fraction above 0.5 — over half this sample was mineral soil. Re-wash. ","")&amp;IF($F177="Not separated","Live and dead not separated. Fine for a stock, but "&amp;"note it in reporting. ",""))</f>
        <v/>
      </c>
      <c r="P177" s="6"/>
      <c r="Q177" s="9" t="n">
        <f aca="false">IF($B177="",0,IF(COUNTIFS($B$5:$B177,$B177)=1,1,0))</f>
        <v>0</v>
      </c>
    </row>
    <row r="178" customFormat="false" ht="15" hidden="false" customHeight="false" outlineLevel="0" collapsed="false">
      <c r="A178" s="6"/>
      <c r="B178" s="6"/>
      <c r="C178" s="6"/>
      <c r="D178" s="6"/>
      <c r="E178" s="6"/>
      <c r="F178" s="6"/>
      <c r="G178" s="7"/>
      <c r="H178" s="7"/>
      <c r="I178" s="6"/>
      <c r="J178" s="9" t="str">
        <f aca="false">IF(NOT(ISNUMBER($G178)),"",IF(AND(ASH_CORRECTED="Yes",ISNUMBER($H178)),$G178*(1-$H178),$G178))</f>
        <v/>
      </c>
      <c r="K178" s="9" t="str">
        <f aca="false">IF($B178="","",IFERROR(AVERAGEIFS('2. Soil Data'!$G$5:$G$604,'2. Soil Data'!$B$5:$B$604,$B178),""))</f>
        <v/>
      </c>
      <c r="L178" s="9" t="str">
        <f aca="false">IF(NOT(ISNUMBER($K178)),"",PI()*($K178/2)^2)</f>
        <v/>
      </c>
      <c r="M178" s="9" t="str">
        <f aca="false">IF(OR(NOT(ISNUMBER($J178)),NOT(ISNUMBER($L178)),$L178=0),"",$J178/$L178*10000)</f>
        <v/>
      </c>
      <c r="N178" s="9" t="str">
        <f aca="false">IF(NOT(ISNUMBER($M178)),"",$M178*CARBON_FRACTION_ROOT/1000)</f>
        <v/>
      </c>
      <c r="O178" s="11" t="str">
        <f aca="false">IF(AND($A178="",$B178="",$G178=""),"",IF(AND($B178&lt;&gt;"",COUNTIFS('2. Soil Data'!$B$5:$B$604,$B178)=0),"Core ID not found in Soil Data, so the corer diameter cannot be looked up. ","")&amp;IF(ASH_CORRECTED&lt;&gt;"Yes","Root mass is NOT ash-corrected, so it includes adhering mineral soil and is too high. Set ASH_CORRECTED once you have done it. ","")&amp;IF(AND(ASH_CORRECTED="Yes",NOT(ISNUMBER($H178))),"Ash correction is switched on but no ash fraction is given for this row. ","")&amp;IF($I178="","Sieve mesh not recorded — a fine-root figure cannot be interpreted without it. ","")&amp;IF(AND(ISNUMBER($H178),$H178&gt;0.5),"Ash fraction above 0.5 — over half this sample was mineral soil. Re-wash. ","")&amp;IF($F178="Not separated","Live and dead not separated. Fine for a stock, but "&amp;"note it in reporting. ",""))</f>
        <v/>
      </c>
      <c r="P178" s="6"/>
      <c r="Q178" s="9" t="n">
        <f aca="false">IF($B178="",0,IF(COUNTIFS($B$5:$B178,$B178)=1,1,0))</f>
        <v>0</v>
      </c>
    </row>
    <row r="179" customFormat="false" ht="15" hidden="false" customHeight="false" outlineLevel="0" collapsed="false">
      <c r="A179" s="6"/>
      <c r="B179" s="6"/>
      <c r="C179" s="6"/>
      <c r="D179" s="6"/>
      <c r="E179" s="6"/>
      <c r="F179" s="6"/>
      <c r="G179" s="7"/>
      <c r="H179" s="7"/>
      <c r="I179" s="6"/>
      <c r="J179" s="9" t="str">
        <f aca="false">IF(NOT(ISNUMBER($G179)),"",IF(AND(ASH_CORRECTED="Yes",ISNUMBER($H179)),$G179*(1-$H179),$G179))</f>
        <v/>
      </c>
      <c r="K179" s="9" t="str">
        <f aca="false">IF($B179="","",IFERROR(AVERAGEIFS('2. Soil Data'!$G$5:$G$604,'2. Soil Data'!$B$5:$B$604,$B179),""))</f>
        <v/>
      </c>
      <c r="L179" s="9" t="str">
        <f aca="false">IF(NOT(ISNUMBER($K179)),"",PI()*($K179/2)^2)</f>
        <v/>
      </c>
      <c r="M179" s="9" t="str">
        <f aca="false">IF(OR(NOT(ISNUMBER($J179)),NOT(ISNUMBER($L179)),$L179=0),"",$J179/$L179*10000)</f>
        <v/>
      </c>
      <c r="N179" s="9" t="str">
        <f aca="false">IF(NOT(ISNUMBER($M179)),"",$M179*CARBON_FRACTION_ROOT/1000)</f>
        <v/>
      </c>
      <c r="O179" s="11" t="str">
        <f aca="false">IF(AND($A179="",$B179="",$G179=""),"",IF(AND($B179&lt;&gt;"",COUNTIFS('2. Soil Data'!$B$5:$B$604,$B179)=0),"Core ID not found in Soil Data, so the corer diameter cannot be looked up. ","")&amp;IF(ASH_CORRECTED&lt;&gt;"Yes","Root mass is NOT ash-corrected, so it includes adhering mineral soil and is too high. Set ASH_CORRECTED once you have done it. ","")&amp;IF(AND(ASH_CORRECTED="Yes",NOT(ISNUMBER($H179))),"Ash correction is switched on but no ash fraction is given for this row. ","")&amp;IF($I179="","Sieve mesh not recorded — a fine-root figure cannot be interpreted without it. ","")&amp;IF(AND(ISNUMBER($H179),$H179&gt;0.5),"Ash fraction above 0.5 — over half this sample was mineral soil. Re-wash. ","")&amp;IF($F179="Not separated","Live and dead not separated. Fine for a stock, but "&amp;"note it in reporting. ",""))</f>
        <v/>
      </c>
      <c r="P179" s="6"/>
      <c r="Q179" s="9" t="n">
        <f aca="false">IF($B179="",0,IF(COUNTIFS($B$5:$B179,$B179)=1,1,0))</f>
        <v>0</v>
      </c>
    </row>
    <row r="180" customFormat="false" ht="15" hidden="false" customHeight="false" outlineLevel="0" collapsed="false">
      <c r="A180" s="6"/>
      <c r="B180" s="6"/>
      <c r="C180" s="6"/>
      <c r="D180" s="6"/>
      <c r="E180" s="6"/>
      <c r="F180" s="6"/>
      <c r="G180" s="7"/>
      <c r="H180" s="7"/>
      <c r="I180" s="6"/>
      <c r="J180" s="9" t="str">
        <f aca="false">IF(NOT(ISNUMBER($G180)),"",IF(AND(ASH_CORRECTED="Yes",ISNUMBER($H180)),$G180*(1-$H180),$G180))</f>
        <v/>
      </c>
      <c r="K180" s="9" t="str">
        <f aca="false">IF($B180="","",IFERROR(AVERAGEIFS('2. Soil Data'!$G$5:$G$604,'2. Soil Data'!$B$5:$B$604,$B180),""))</f>
        <v/>
      </c>
      <c r="L180" s="9" t="str">
        <f aca="false">IF(NOT(ISNUMBER($K180)),"",PI()*($K180/2)^2)</f>
        <v/>
      </c>
      <c r="M180" s="9" t="str">
        <f aca="false">IF(OR(NOT(ISNUMBER($J180)),NOT(ISNUMBER($L180)),$L180=0),"",$J180/$L180*10000)</f>
        <v/>
      </c>
      <c r="N180" s="9" t="str">
        <f aca="false">IF(NOT(ISNUMBER($M180)),"",$M180*CARBON_FRACTION_ROOT/1000)</f>
        <v/>
      </c>
      <c r="O180" s="11" t="str">
        <f aca="false">IF(AND($A180="",$B180="",$G180=""),"",IF(AND($B180&lt;&gt;"",COUNTIFS('2. Soil Data'!$B$5:$B$604,$B180)=0),"Core ID not found in Soil Data, so the corer diameter cannot be looked up. ","")&amp;IF(ASH_CORRECTED&lt;&gt;"Yes","Root mass is NOT ash-corrected, so it includes adhering mineral soil and is too high. Set ASH_CORRECTED once you have done it. ","")&amp;IF(AND(ASH_CORRECTED="Yes",NOT(ISNUMBER($H180))),"Ash correction is switched on but no ash fraction is given for this row. ","")&amp;IF($I180="","Sieve mesh not recorded — a fine-root figure cannot be interpreted without it. ","")&amp;IF(AND(ISNUMBER($H180),$H180&gt;0.5),"Ash fraction above 0.5 — over half this sample was mineral soil. Re-wash. ","")&amp;IF($F180="Not separated","Live and dead not separated. Fine for a stock, but "&amp;"note it in reporting. ",""))</f>
        <v/>
      </c>
      <c r="P180" s="6"/>
      <c r="Q180" s="9" t="n">
        <f aca="false">IF($B180="",0,IF(COUNTIFS($B$5:$B180,$B180)=1,1,0))</f>
        <v>0</v>
      </c>
    </row>
    <row r="181" customFormat="false" ht="15" hidden="false" customHeight="false" outlineLevel="0" collapsed="false">
      <c r="A181" s="6"/>
      <c r="B181" s="6"/>
      <c r="C181" s="6"/>
      <c r="D181" s="6"/>
      <c r="E181" s="6"/>
      <c r="F181" s="6"/>
      <c r="G181" s="7"/>
      <c r="H181" s="7"/>
      <c r="I181" s="6"/>
      <c r="J181" s="9" t="str">
        <f aca="false">IF(NOT(ISNUMBER($G181)),"",IF(AND(ASH_CORRECTED="Yes",ISNUMBER($H181)),$G181*(1-$H181),$G181))</f>
        <v/>
      </c>
      <c r="K181" s="9" t="str">
        <f aca="false">IF($B181="","",IFERROR(AVERAGEIFS('2. Soil Data'!$G$5:$G$604,'2. Soil Data'!$B$5:$B$604,$B181),""))</f>
        <v/>
      </c>
      <c r="L181" s="9" t="str">
        <f aca="false">IF(NOT(ISNUMBER($K181)),"",PI()*($K181/2)^2)</f>
        <v/>
      </c>
      <c r="M181" s="9" t="str">
        <f aca="false">IF(OR(NOT(ISNUMBER($J181)),NOT(ISNUMBER($L181)),$L181=0),"",$J181/$L181*10000)</f>
        <v/>
      </c>
      <c r="N181" s="9" t="str">
        <f aca="false">IF(NOT(ISNUMBER($M181)),"",$M181*CARBON_FRACTION_ROOT/1000)</f>
        <v/>
      </c>
      <c r="O181" s="11" t="str">
        <f aca="false">IF(AND($A181="",$B181="",$G181=""),"",IF(AND($B181&lt;&gt;"",COUNTIFS('2. Soil Data'!$B$5:$B$604,$B181)=0),"Core ID not found in Soil Data, so the corer diameter cannot be looked up. ","")&amp;IF(ASH_CORRECTED&lt;&gt;"Yes","Root mass is NOT ash-corrected, so it includes adhering mineral soil and is too high. Set ASH_CORRECTED once you have done it. ","")&amp;IF(AND(ASH_CORRECTED="Yes",NOT(ISNUMBER($H181))),"Ash correction is switched on but no ash fraction is given for this row. ","")&amp;IF($I181="","Sieve mesh not recorded — a fine-root figure cannot be interpreted without it. ","")&amp;IF(AND(ISNUMBER($H181),$H181&gt;0.5),"Ash fraction above 0.5 — over half this sample was mineral soil. Re-wash. ","")&amp;IF($F181="Not separated","Live and dead not separated. Fine for a stock, but "&amp;"note it in reporting. ",""))</f>
        <v/>
      </c>
      <c r="P181" s="6"/>
      <c r="Q181" s="9" t="n">
        <f aca="false">IF($B181="",0,IF(COUNTIFS($B$5:$B181,$B181)=1,1,0))</f>
        <v>0</v>
      </c>
    </row>
    <row r="182" customFormat="false" ht="15" hidden="false" customHeight="false" outlineLevel="0" collapsed="false">
      <c r="A182" s="6"/>
      <c r="B182" s="6"/>
      <c r="C182" s="6"/>
      <c r="D182" s="6"/>
      <c r="E182" s="6"/>
      <c r="F182" s="6"/>
      <c r="G182" s="7"/>
      <c r="H182" s="7"/>
      <c r="I182" s="6"/>
      <c r="J182" s="9" t="str">
        <f aca="false">IF(NOT(ISNUMBER($G182)),"",IF(AND(ASH_CORRECTED="Yes",ISNUMBER($H182)),$G182*(1-$H182),$G182))</f>
        <v/>
      </c>
      <c r="K182" s="9" t="str">
        <f aca="false">IF($B182="","",IFERROR(AVERAGEIFS('2. Soil Data'!$G$5:$G$604,'2. Soil Data'!$B$5:$B$604,$B182),""))</f>
        <v/>
      </c>
      <c r="L182" s="9" t="str">
        <f aca="false">IF(NOT(ISNUMBER($K182)),"",PI()*($K182/2)^2)</f>
        <v/>
      </c>
      <c r="M182" s="9" t="str">
        <f aca="false">IF(OR(NOT(ISNUMBER($J182)),NOT(ISNUMBER($L182)),$L182=0),"",$J182/$L182*10000)</f>
        <v/>
      </c>
      <c r="N182" s="9" t="str">
        <f aca="false">IF(NOT(ISNUMBER($M182)),"",$M182*CARBON_FRACTION_ROOT/1000)</f>
        <v/>
      </c>
      <c r="O182" s="11" t="str">
        <f aca="false">IF(AND($A182="",$B182="",$G182=""),"",IF(AND($B182&lt;&gt;"",COUNTIFS('2. Soil Data'!$B$5:$B$604,$B182)=0),"Core ID not found in Soil Data, so the corer diameter cannot be looked up. ","")&amp;IF(ASH_CORRECTED&lt;&gt;"Yes","Root mass is NOT ash-corrected, so it includes adhering mineral soil and is too high. Set ASH_CORRECTED once you have done it. ","")&amp;IF(AND(ASH_CORRECTED="Yes",NOT(ISNUMBER($H182))),"Ash correction is switched on but no ash fraction is given for this row. ","")&amp;IF($I182="","Sieve mesh not recorded — a fine-root figure cannot be interpreted without it. ","")&amp;IF(AND(ISNUMBER($H182),$H182&gt;0.5),"Ash fraction above 0.5 — over half this sample was mineral soil. Re-wash. ","")&amp;IF($F182="Not separated","Live and dead not separated. Fine for a stock, but "&amp;"note it in reporting. ",""))</f>
        <v/>
      </c>
      <c r="P182" s="6"/>
      <c r="Q182" s="9" t="n">
        <f aca="false">IF($B182="",0,IF(COUNTIFS($B$5:$B182,$B182)=1,1,0))</f>
        <v>0</v>
      </c>
    </row>
    <row r="183" customFormat="false" ht="15" hidden="false" customHeight="false" outlineLevel="0" collapsed="false">
      <c r="A183" s="6"/>
      <c r="B183" s="6"/>
      <c r="C183" s="6"/>
      <c r="D183" s="6"/>
      <c r="E183" s="6"/>
      <c r="F183" s="6"/>
      <c r="G183" s="7"/>
      <c r="H183" s="7"/>
      <c r="I183" s="6"/>
      <c r="J183" s="9" t="str">
        <f aca="false">IF(NOT(ISNUMBER($G183)),"",IF(AND(ASH_CORRECTED="Yes",ISNUMBER($H183)),$G183*(1-$H183),$G183))</f>
        <v/>
      </c>
      <c r="K183" s="9" t="str">
        <f aca="false">IF($B183="","",IFERROR(AVERAGEIFS('2. Soil Data'!$G$5:$G$604,'2. Soil Data'!$B$5:$B$604,$B183),""))</f>
        <v/>
      </c>
      <c r="L183" s="9" t="str">
        <f aca="false">IF(NOT(ISNUMBER($K183)),"",PI()*($K183/2)^2)</f>
        <v/>
      </c>
      <c r="M183" s="9" t="str">
        <f aca="false">IF(OR(NOT(ISNUMBER($J183)),NOT(ISNUMBER($L183)),$L183=0),"",$J183/$L183*10000)</f>
        <v/>
      </c>
      <c r="N183" s="9" t="str">
        <f aca="false">IF(NOT(ISNUMBER($M183)),"",$M183*CARBON_FRACTION_ROOT/1000)</f>
        <v/>
      </c>
      <c r="O183" s="11" t="str">
        <f aca="false">IF(AND($A183="",$B183="",$G183=""),"",IF(AND($B183&lt;&gt;"",COUNTIFS('2. Soil Data'!$B$5:$B$604,$B183)=0),"Core ID not found in Soil Data, so the corer diameter cannot be looked up. ","")&amp;IF(ASH_CORRECTED&lt;&gt;"Yes","Root mass is NOT ash-corrected, so it includes adhering mineral soil and is too high. Set ASH_CORRECTED once you have done it. ","")&amp;IF(AND(ASH_CORRECTED="Yes",NOT(ISNUMBER($H183))),"Ash correction is switched on but no ash fraction is given for this row. ","")&amp;IF($I183="","Sieve mesh not recorded — a fine-root figure cannot be interpreted without it. ","")&amp;IF(AND(ISNUMBER($H183),$H183&gt;0.5),"Ash fraction above 0.5 — over half this sample was mineral soil. Re-wash. ","")&amp;IF($F183="Not separated","Live and dead not separated. Fine for a stock, but "&amp;"note it in reporting. ",""))</f>
        <v/>
      </c>
      <c r="P183" s="6"/>
      <c r="Q183" s="9" t="n">
        <f aca="false">IF($B183="",0,IF(COUNTIFS($B$5:$B183,$B183)=1,1,0))</f>
        <v>0</v>
      </c>
    </row>
    <row r="184" customFormat="false" ht="15" hidden="false" customHeight="false" outlineLevel="0" collapsed="false">
      <c r="A184" s="6"/>
      <c r="B184" s="6"/>
      <c r="C184" s="6"/>
      <c r="D184" s="6"/>
      <c r="E184" s="6"/>
      <c r="F184" s="6"/>
      <c r="G184" s="7"/>
      <c r="H184" s="7"/>
      <c r="I184" s="6"/>
      <c r="J184" s="9" t="str">
        <f aca="false">IF(NOT(ISNUMBER($G184)),"",IF(AND(ASH_CORRECTED="Yes",ISNUMBER($H184)),$G184*(1-$H184),$G184))</f>
        <v/>
      </c>
      <c r="K184" s="9" t="str">
        <f aca="false">IF($B184="","",IFERROR(AVERAGEIFS('2. Soil Data'!$G$5:$G$604,'2. Soil Data'!$B$5:$B$604,$B184),""))</f>
        <v/>
      </c>
      <c r="L184" s="9" t="str">
        <f aca="false">IF(NOT(ISNUMBER($K184)),"",PI()*($K184/2)^2)</f>
        <v/>
      </c>
      <c r="M184" s="9" t="str">
        <f aca="false">IF(OR(NOT(ISNUMBER($J184)),NOT(ISNUMBER($L184)),$L184=0),"",$J184/$L184*10000)</f>
        <v/>
      </c>
      <c r="N184" s="9" t="str">
        <f aca="false">IF(NOT(ISNUMBER($M184)),"",$M184*CARBON_FRACTION_ROOT/1000)</f>
        <v/>
      </c>
      <c r="O184" s="11" t="str">
        <f aca="false">IF(AND($A184="",$B184="",$G184=""),"",IF(AND($B184&lt;&gt;"",COUNTIFS('2. Soil Data'!$B$5:$B$604,$B184)=0),"Core ID not found in Soil Data, so the corer diameter cannot be looked up. ","")&amp;IF(ASH_CORRECTED&lt;&gt;"Yes","Root mass is NOT ash-corrected, so it includes adhering mineral soil and is too high. Set ASH_CORRECTED once you have done it. ","")&amp;IF(AND(ASH_CORRECTED="Yes",NOT(ISNUMBER($H184))),"Ash correction is switched on but no ash fraction is given for this row. ","")&amp;IF($I184="","Sieve mesh not recorded — a fine-root figure cannot be interpreted without it. ","")&amp;IF(AND(ISNUMBER($H184),$H184&gt;0.5),"Ash fraction above 0.5 — over half this sample was mineral soil. Re-wash. ","")&amp;IF($F184="Not separated","Live and dead not separated. Fine for a stock, but "&amp;"note it in reporting. ",""))</f>
        <v/>
      </c>
      <c r="P184" s="6"/>
      <c r="Q184" s="9" t="n">
        <f aca="false">IF($B184="",0,IF(COUNTIFS($B$5:$B184,$B184)=1,1,0))</f>
        <v>0</v>
      </c>
    </row>
    <row r="185" customFormat="false" ht="15" hidden="false" customHeight="false" outlineLevel="0" collapsed="false">
      <c r="A185" s="6"/>
      <c r="B185" s="6"/>
      <c r="C185" s="6"/>
      <c r="D185" s="6"/>
      <c r="E185" s="6"/>
      <c r="F185" s="6"/>
      <c r="G185" s="7"/>
      <c r="H185" s="7"/>
      <c r="I185" s="6"/>
      <c r="J185" s="9" t="str">
        <f aca="false">IF(NOT(ISNUMBER($G185)),"",IF(AND(ASH_CORRECTED="Yes",ISNUMBER($H185)),$G185*(1-$H185),$G185))</f>
        <v/>
      </c>
      <c r="K185" s="9" t="str">
        <f aca="false">IF($B185="","",IFERROR(AVERAGEIFS('2. Soil Data'!$G$5:$G$604,'2. Soil Data'!$B$5:$B$604,$B185),""))</f>
        <v/>
      </c>
      <c r="L185" s="9" t="str">
        <f aca="false">IF(NOT(ISNUMBER($K185)),"",PI()*($K185/2)^2)</f>
        <v/>
      </c>
      <c r="M185" s="9" t="str">
        <f aca="false">IF(OR(NOT(ISNUMBER($J185)),NOT(ISNUMBER($L185)),$L185=0),"",$J185/$L185*10000)</f>
        <v/>
      </c>
      <c r="N185" s="9" t="str">
        <f aca="false">IF(NOT(ISNUMBER($M185)),"",$M185*CARBON_FRACTION_ROOT/1000)</f>
        <v/>
      </c>
      <c r="O185" s="11" t="str">
        <f aca="false">IF(AND($A185="",$B185="",$G185=""),"",IF(AND($B185&lt;&gt;"",COUNTIFS('2. Soil Data'!$B$5:$B$604,$B185)=0),"Core ID not found in Soil Data, so the corer diameter cannot be looked up. ","")&amp;IF(ASH_CORRECTED&lt;&gt;"Yes","Root mass is NOT ash-corrected, so it includes adhering mineral soil and is too high. Set ASH_CORRECTED once you have done it. ","")&amp;IF(AND(ASH_CORRECTED="Yes",NOT(ISNUMBER($H185))),"Ash correction is switched on but no ash fraction is given for this row. ","")&amp;IF($I185="","Sieve mesh not recorded — a fine-root figure cannot be interpreted without it. ","")&amp;IF(AND(ISNUMBER($H185),$H185&gt;0.5),"Ash fraction above 0.5 — over half this sample was mineral soil. Re-wash. ","")&amp;IF($F185="Not separated","Live and dead not separated. Fine for a stock, but "&amp;"note it in reporting. ",""))</f>
        <v/>
      </c>
      <c r="P185" s="6"/>
      <c r="Q185" s="9" t="n">
        <f aca="false">IF($B185="",0,IF(COUNTIFS($B$5:$B185,$B185)=1,1,0))</f>
        <v>0</v>
      </c>
    </row>
    <row r="186" customFormat="false" ht="15" hidden="false" customHeight="false" outlineLevel="0" collapsed="false">
      <c r="A186" s="6"/>
      <c r="B186" s="6"/>
      <c r="C186" s="6"/>
      <c r="D186" s="6"/>
      <c r="E186" s="6"/>
      <c r="F186" s="6"/>
      <c r="G186" s="7"/>
      <c r="H186" s="7"/>
      <c r="I186" s="6"/>
      <c r="J186" s="9" t="str">
        <f aca="false">IF(NOT(ISNUMBER($G186)),"",IF(AND(ASH_CORRECTED="Yes",ISNUMBER($H186)),$G186*(1-$H186),$G186))</f>
        <v/>
      </c>
      <c r="K186" s="9" t="str">
        <f aca="false">IF($B186="","",IFERROR(AVERAGEIFS('2. Soil Data'!$G$5:$G$604,'2. Soil Data'!$B$5:$B$604,$B186),""))</f>
        <v/>
      </c>
      <c r="L186" s="9" t="str">
        <f aca="false">IF(NOT(ISNUMBER($K186)),"",PI()*($K186/2)^2)</f>
        <v/>
      </c>
      <c r="M186" s="9" t="str">
        <f aca="false">IF(OR(NOT(ISNUMBER($J186)),NOT(ISNUMBER($L186)),$L186=0),"",$J186/$L186*10000)</f>
        <v/>
      </c>
      <c r="N186" s="9" t="str">
        <f aca="false">IF(NOT(ISNUMBER($M186)),"",$M186*CARBON_FRACTION_ROOT/1000)</f>
        <v/>
      </c>
      <c r="O186" s="11" t="str">
        <f aca="false">IF(AND($A186="",$B186="",$G186=""),"",IF(AND($B186&lt;&gt;"",COUNTIFS('2. Soil Data'!$B$5:$B$604,$B186)=0),"Core ID not found in Soil Data, so the corer diameter cannot be looked up. ","")&amp;IF(ASH_CORRECTED&lt;&gt;"Yes","Root mass is NOT ash-corrected, so it includes adhering mineral soil and is too high. Set ASH_CORRECTED once you have done it. ","")&amp;IF(AND(ASH_CORRECTED="Yes",NOT(ISNUMBER($H186))),"Ash correction is switched on but no ash fraction is given for this row. ","")&amp;IF($I186="","Sieve mesh not recorded — a fine-root figure cannot be interpreted without it. ","")&amp;IF(AND(ISNUMBER($H186),$H186&gt;0.5),"Ash fraction above 0.5 — over half this sample was mineral soil. Re-wash. ","")&amp;IF($F186="Not separated","Live and dead not separated. Fine for a stock, but "&amp;"note it in reporting. ",""))</f>
        <v/>
      </c>
      <c r="P186" s="6"/>
      <c r="Q186" s="9" t="n">
        <f aca="false">IF($B186="",0,IF(COUNTIFS($B$5:$B186,$B186)=1,1,0))</f>
        <v>0</v>
      </c>
    </row>
    <row r="187" customFormat="false" ht="15" hidden="false" customHeight="false" outlineLevel="0" collapsed="false">
      <c r="A187" s="6"/>
      <c r="B187" s="6"/>
      <c r="C187" s="6"/>
      <c r="D187" s="6"/>
      <c r="E187" s="6"/>
      <c r="F187" s="6"/>
      <c r="G187" s="7"/>
      <c r="H187" s="7"/>
      <c r="I187" s="6"/>
      <c r="J187" s="9" t="str">
        <f aca="false">IF(NOT(ISNUMBER($G187)),"",IF(AND(ASH_CORRECTED="Yes",ISNUMBER($H187)),$G187*(1-$H187),$G187))</f>
        <v/>
      </c>
      <c r="K187" s="9" t="str">
        <f aca="false">IF($B187="","",IFERROR(AVERAGEIFS('2. Soil Data'!$G$5:$G$604,'2. Soil Data'!$B$5:$B$604,$B187),""))</f>
        <v/>
      </c>
      <c r="L187" s="9" t="str">
        <f aca="false">IF(NOT(ISNUMBER($K187)),"",PI()*($K187/2)^2)</f>
        <v/>
      </c>
      <c r="M187" s="9" t="str">
        <f aca="false">IF(OR(NOT(ISNUMBER($J187)),NOT(ISNUMBER($L187)),$L187=0),"",$J187/$L187*10000)</f>
        <v/>
      </c>
      <c r="N187" s="9" t="str">
        <f aca="false">IF(NOT(ISNUMBER($M187)),"",$M187*CARBON_FRACTION_ROOT/1000)</f>
        <v/>
      </c>
      <c r="O187" s="11" t="str">
        <f aca="false">IF(AND($A187="",$B187="",$G187=""),"",IF(AND($B187&lt;&gt;"",COUNTIFS('2. Soil Data'!$B$5:$B$604,$B187)=0),"Core ID not found in Soil Data, so the corer diameter cannot be looked up. ","")&amp;IF(ASH_CORRECTED&lt;&gt;"Yes","Root mass is NOT ash-corrected, so it includes adhering mineral soil and is too high. Set ASH_CORRECTED once you have done it. ","")&amp;IF(AND(ASH_CORRECTED="Yes",NOT(ISNUMBER($H187))),"Ash correction is switched on but no ash fraction is given for this row. ","")&amp;IF($I187="","Sieve mesh not recorded — a fine-root figure cannot be interpreted without it. ","")&amp;IF(AND(ISNUMBER($H187),$H187&gt;0.5),"Ash fraction above 0.5 — over half this sample was mineral soil. Re-wash. ","")&amp;IF($F187="Not separated","Live and dead not separated. Fine for a stock, but "&amp;"note it in reporting. ",""))</f>
        <v/>
      </c>
      <c r="P187" s="6"/>
      <c r="Q187" s="9" t="n">
        <f aca="false">IF($B187="",0,IF(COUNTIFS($B$5:$B187,$B187)=1,1,0))</f>
        <v>0</v>
      </c>
    </row>
    <row r="188" customFormat="false" ht="15" hidden="false" customHeight="false" outlineLevel="0" collapsed="false">
      <c r="A188" s="6"/>
      <c r="B188" s="6"/>
      <c r="C188" s="6"/>
      <c r="D188" s="6"/>
      <c r="E188" s="6"/>
      <c r="F188" s="6"/>
      <c r="G188" s="7"/>
      <c r="H188" s="7"/>
      <c r="I188" s="6"/>
      <c r="J188" s="9" t="str">
        <f aca="false">IF(NOT(ISNUMBER($G188)),"",IF(AND(ASH_CORRECTED="Yes",ISNUMBER($H188)),$G188*(1-$H188),$G188))</f>
        <v/>
      </c>
      <c r="K188" s="9" t="str">
        <f aca="false">IF($B188="","",IFERROR(AVERAGEIFS('2. Soil Data'!$G$5:$G$604,'2. Soil Data'!$B$5:$B$604,$B188),""))</f>
        <v/>
      </c>
      <c r="L188" s="9" t="str">
        <f aca="false">IF(NOT(ISNUMBER($K188)),"",PI()*($K188/2)^2)</f>
        <v/>
      </c>
      <c r="M188" s="9" t="str">
        <f aca="false">IF(OR(NOT(ISNUMBER($J188)),NOT(ISNUMBER($L188)),$L188=0),"",$J188/$L188*10000)</f>
        <v/>
      </c>
      <c r="N188" s="9" t="str">
        <f aca="false">IF(NOT(ISNUMBER($M188)),"",$M188*CARBON_FRACTION_ROOT/1000)</f>
        <v/>
      </c>
      <c r="O188" s="11" t="str">
        <f aca="false">IF(AND($A188="",$B188="",$G188=""),"",IF(AND($B188&lt;&gt;"",COUNTIFS('2. Soil Data'!$B$5:$B$604,$B188)=0),"Core ID not found in Soil Data, so the corer diameter cannot be looked up. ","")&amp;IF(ASH_CORRECTED&lt;&gt;"Yes","Root mass is NOT ash-corrected, so it includes adhering mineral soil and is too high. Set ASH_CORRECTED once you have done it. ","")&amp;IF(AND(ASH_CORRECTED="Yes",NOT(ISNUMBER($H188))),"Ash correction is switched on but no ash fraction is given for this row. ","")&amp;IF($I188="","Sieve mesh not recorded — a fine-root figure cannot be interpreted without it. ","")&amp;IF(AND(ISNUMBER($H188),$H188&gt;0.5),"Ash fraction above 0.5 — over half this sample was mineral soil. Re-wash. ","")&amp;IF($F188="Not separated","Live and dead not separated. Fine for a stock, but "&amp;"note it in reporting. ",""))</f>
        <v/>
      </c>
      <c r="P188" s="6"/>
      <c r="Q188" s="9" t="n">
        <f aca="false">IF($B188="",0,IF(COUNTIFS($B$5:$B188,$B188)=1,1,0))</f>
        <v>0</v>
      </c>
    </row>
    <row r="189" customFormat="false" ht="15" hidden="false" customHeight="false" outlineLevel="0" collapsed="false">
      <c r="A189" s="6"/>
      <c r="B189" s="6"/>
      <c r="C189" s="6"/>
      <c r="D189" s="6"/>
      <c r="E189" s="6"/>
      <c r="F189" s="6"/>
      <c r="G189" s="7"/>
      <c r="H189" s="7"/>
      <c r="I189" s="6"/>
      <c r="J189" s="9" t="str">
        <f aca="false">IF(NOT(ISNUMBER($G189)),"",IF(AND(ASH_CORRECTED="Yes",ISNUMBER($H189)),$G189*(1-$H189),$G189))</f>
        <v/>
      </c>
      <c r="K189" s="9" t="str">
        <f aca="false">IF($B189="","",IFERROR(AVERAGEIFS('2. Soil Data'!$G$5:$G$604,'2. Soil Data'!$B$5:$B$604,$B189),""))</f>
        <v/>
      </c>
      <c r="L189" s="9" t="str">
        <f aca="false">IF(NOT(ISNUMBER($K189)),"",PI()*($K189/2)^2)</f>
        <v/>
      </c>
      <c r="M189" s="9" t="str">
        <f aca="false">IF(OR(NOT(ISNUMBER($J189)),NOT(ISNUMBER($L189)),$L189=0),"",$J189/$L189*10000)</f>
        <v/>
      </c>
      <c r="N189" s="9" t="str">
        <f aca="false">IF(NOT(ISNUMBER($M189)),"",$M189*CARBON_FRACTION_ROOT/1000)</f>
        <v/>
      </c>
      <c r="O189" s="11" t="str">
        <f aca="false">IF(AND($A189="",$B189="",$G189=""),"",IF(AND($B189&lt;&gt;"",COUNTIFS('2. Soil Data'!$B$5:$B$604,$B189)=0),"Core ID not found in Soil Data, so the corer diameter cannot be looked up. ","")&amp;IF(ASH_CORRECTED&lt;&gt;"Yes","Root mass is NOT ash-corrected, so it includes adhering mineral soil and is too high. Set ASH_CORRECTED once you have done it. ","")&amp;IF(AND(ASH_CORRECTED="Yes",NOT(ISNUMBER($H189))),"Ash correction is switched on but no ash fraction is given for this row. ","")&amp;IF($I189="","Sieve mesh not recorded — a fine-root figure cannot be interpreted without it. ","")&amp;IF(AND(ISNUMBER($H189),$H189&gt;0.5),"Ash fraction above 0.5 — over half this sample was mineral soil. Re-wash. ","")&amp;IF($F189="Not separated","Live and dead not separated. Fine for a stock, but "&amp;"note it in reporting. ",""))</f>
        <v/>
      </c>
      <c r="P189" s="6"/>
      <c r="Q189" s="9" t="n">
        <f aca="false">IF($B189="",0,IF(COUNTIFS($B$5:$B189,$B189)=1,1,0))</f>
        <v>0</v>
      </c>
    </row>
    <row r="190" customFormat="false" ht="15" hidden="false" customHeight="false" outlineLevel="0" collapsed="false">
      <c r="A190" s="6"/>
      <c r="B190" s="6"/>
      <c r="C190" s="6"/>
      <c r="D190" s="6"/>
      <c r="E190" s="6"/>
      <c r="F190" s="6"/>
      <c r="G190" s="7"/>
      <c r="H190" s="7"/>
      <c r="I190" s="6"/>
      <c r="J190" s="9" t="str">
        <f aca="false">IF(NOT(ISNUMBER($G190)),"",IF(AND(ASH_CORRECTED="Yes",ISNUMBER($H190)),$G190*(1-$H190),$G190))</f>
        <v/>
      </c>
      <c r="K190" s="9" t="str">
        <f aca="false">IF($B190="","",IFERROR(AVERAGEIFS('2. Soil Data'!$G$5:$G$604,'2. Soil Data'!$B$5:$B$604,$B190),""))</f>
        <v/>
      </c>
      <c r="L190" s="9" t="str">
        <f aca="false">IF(NOT(ISNUMBER($K190)),"",PI()*($K190/2)^2)</f>
        <v/>
      </c>
      <c r="M190" s="9" t="str">
        <f aca="false">IF(OR(NOT(ISNUMBER($J190)),NOT(ISNUMBER($L190)),$L190=0),"",$J190/$L190*10000)</f>
        <v/>
      </c>
      <c r="N190" s="9" t="str">
        <f aca="false">IF(NOT(ISNUMBER($M190)),"",$M190*CARBON_FRACTION_ROOT/1000)</f>
        <v/>
      </c>
      <c r="O190" s="11" t="str">
        <f aca="false">IF(AND($A190="",$B190="",$G190=""),"",IF(AND($B190&lt;&gt;"",COUNTIFS('2. Soil Data'!$B$5:$B$604,$B190)=0),"Core ID not found in Soil Data, so the corer diameter cannot be looked up. ","")&amp;IF(ASH_CORRECTED&lt;&gt;"Yes","Root mass is NOT ash-corrected, so it includes adhering mineral soil and is too high. Set ASH_CORRECTED once you have done it. ","")&amp;IF(AND(ASH_CORRECTED="Yes",NOT(ISNUMBER($H190))),"Ash correction is switched on but no ash fraction is given for this row. ","")&amp;IF($I190="","Sieve mesh not recorded — a fine-root figure cannot be interpreted without it. ","")&amp;IF(AND(ISNUMBER($H190),$H190&gt;0.5),"Ash fraction above 0.5 — over half this sample was mineral soil. Re-wash. ","")&amp;IF($F190="Not separated","Live and dead not separated. Fine for a stock, but "&amp;"note it in reporting. ",""))</f>
        <v/>
      </c>
      <c r="P190" s="6"/>
      <c r="Q190" s="9" t="n">
        <f aca="false">IF($B190="",0,IF(COUNTIFS($B$5:$B190,$B190)=1,1,0))</f>
        <v>0</v>
      </c>
    </row>
    <row r="191" customFormat="false" ht="15" hidden="false" customHeight="false" outlineLevel="0" collapsed="false">
      <c r="A191" s="6"/>
      <c r="B191" s="6"/>
      <c r="C191" s="6"/>
      <c r="D191" s="6"/>
      <c r="E191" s="6"/>
      <c r="F191" s="6"/>
      <c r="G191" s="7"/>
      <c r="H191" s="7"/>
      <c r="I191" s="6"/>
      <c r="J191" s="9" t="str">
        <f aca="false">IF(NOT(ISNUMBER($G191)),"",IF(AND(ASH_CORRECTED="Yes",ISNUMBER($H191)),$G191*(1-$H191),$G191))</f>
        <v/>
      </c>
      <c r="K191" s="9" t="str">
        <f aca="false">IF($B191="","",IFERROR(AVERAGEIFS('2. Soil Data'!$G$5:$G$604,'2. Soil Data'!$B$5:$B$604,$B191),""))</f>
        <v/>
      </c>
      <c r="L191" s="9" t="str">
        <f aca="false">IF(NOT(ISNUMBER($K191)),"",PI()*($K191/2)^2)</f>
        <v/>
      </c>
      <c r="M191" s="9" t="str">
        <f aca="false">IF(OR(NOT(ISNUMBER($J191)),NOT(ISNUMBER($L191)),$L191=0),"",$J191/$L191*10000)</f>
        <v/>
      </c>
      <c r="N191" s="9" t="str">
        <f aca="false">IF(NOT(ISNUMBER($M191)),"",$M191*CARBON_FRACTION_ROOT/1000)</f>
        <v/>
      </c>
      <c r="O191" s="11" t="str">
        <f aca="false">IF(AND($A191="",$B191="",$G191=""),"",IF(AND($B191&lt;&gt;"",COUNTIFS('2. Soil Data'!$B$5:$B$604,$B191)=0),"Core ID not found in Soil Data, so the corer diameter cannot be looked up. ","")&amp;IF(ASH_CORRECTED&lt;&gt;"Yes","Root mass is NOT ash-corrected, so it includes adhering mineral soil and is too high. Set ASH_CORRECTED once you have done it. ","")&amp;IF(AND(ASH_CORRECTED="Yes",NOT(ISNUMBER($H191))),"Ash correction is switched on but no ash fraction is given for this row. ","")&amp;IF($I191="","Sieve mesh not recorded — a fine-root figure cannot be interpreted without it. ","")&amp;IF(AND(ISNUMBER($H191),$H191&gt;0.5),"Ash fraction above 0.5 — over half this sample was mineral soil. Re-wash. ","")&amp;IF($F191="Not separated","Live and dead not separated. Fine for a stock, but "&amp;"note it in reporting. ",""))</f>
        <v/>
      </c>
      <c r="P191" s="6"/>
      <c r="Q191" s="9" t="n">
        <f aca="false">IF($B191="",0,IF(COUNTIFS($B$5:$B191,$B191)=1,1,0))</f>
        <v>0</v>
      </c>
    </row>
    <row r="192" customFormat="false" ht="15" hidden="false" customHeight="false" outlineLevel="0" collapsed="false">
      <c r="A192" s="6"/>
      <c r="B192" s="6"/>
      <c r="C192" s="6"/>
      <c r="D192" s="6"/>
      <c r="E192" s="6"/>
      <c r="F192" s="6"/>
      <c r="G192" s="7"/>
      <c r="H192" s="7"/>
      <c r="I192" s="6"/>
      <c r="J192" s="9" t="str">
        <f aca="false">IF(NOT(ISNUMBER($G192)),"",IF(AND(ASH_CORRECTED="Yes",ISNUMBER($H192)),$G192*(1-$H192),$G192))</f>
        <v/>
      </c>
      <c r="K192" s="9" t="str">
        <f aca="false">IF($B192="","",IFERROR(AVERAGEIFS('2. Soil Data'!$G$5:$G$604,'2. Soil Data'!$B$5:$B$604,$B192),""))</f>
        <v/>
      </c>
      <c r="L192" s="9" t="str">
        <f aca="false">IF(NOT(ISNUMBER($K192)),"",PI()*($K192/2)^2)</f>
        <v/>
      </c>
      <c r="M192" s="9" t="str">
        <f aca="false">IF(OR(NOT(ISNUMBER($J192)),NOT(ISNUMBER($L192)),$L192=0),"",$J192/$L192*10000)</f>
        <v/>
      </c>
      <c r="N192" s="9" t="str">
        <f aca="false">IF(NOT(ISNUMBER($M192)),"",$M192*CARBON_FRACTION_ROOT/1000)</f>
        <v/>
      </c>
      <c r="O192" s="11" t="str">
        <f aca="false">IF(AND($A192="",$B192="",$G192=""),"",IF(AND($B192&lt;&gt;"",COUNTIFS('2. Soil Data'!$B$5:$B$604,$B192)=0),"Core ID not found in Soil Data, so the corer diameter cannot be looked up. ","")&amp;IF(ASH_CORRECTED&lt;&gt;"Yes","Root mass is NOT ash-corrected, so it includes adhering mineral soil and is too high. Set ASH_CORRECTED once you have done it. ","")&amp;IF(AND(ASH_CORRECTED="Yes",NOT(ISNUMBER($H192))),"Ash correction is switched on but no ash fraction is given for this row. ","")&amp;IF($I192="","Sieve mesh not recorded — a fine-root figure cannot be interpreted without it. ","")&amp;IF(AND(ISNUMBER($H192),$H192&gt;0.5),"Ash fraction above 0.5 — over half this sample was mineral soil. Re-wash. ","")&amp;IF($F192="Not separated","Live and dead not separated. Fine for a stock, but "&amp;"note it in reporting. ",""))</f>
        <v/>
      </c>
      <c r="P192" s="6"/>
      <c r="Q192" s="9" t="n">
        <f aca="false">IF($B192="",0,IF(COUNTIFS($B$5:$B192,$B192)=1,1,0))</f>
        <v>0</v>
      </c>
    </row>
    <row r="193" customFormat="false" ht="15" hidden="false" customHeight="false" outlineLevel="0" collapsed="false">
      <c r="A193" s="6"/>
      <c r="B193" s="6"/>
      <c r="C193" s="6"/>
      <c r="D193" s="6"/>
      <c r="E193" s="6"/>
      <c r="F193" s="6"/>
      <c r="G193" s="7"/>
      <c r="H193" s="7"/>
      <c r="I193" s="6"/>
      <c r="J193" s="9" t="str">
        <f aca="false">IF(NOT(ISNUMBER($G193)),"",IF(AND(ASH_CORRECTED="Yes",ISNUMBER($H193)),$G193*(1-$H193),$G193))</f>
        <v/>
      </c>
      <c r="K193" s="9" t="str">
        <f aca="false">IF($B193="","",IFERROR(AVERAGEIFS('2. Soil Data'!$G$5:$G$604,'2. Soil Data'!$B$5:$B$604,$B193),""))</f>
        <v/>
      </c>
      <c r="L193" s="9" t="str">
        <f aca="false">IF(NOT(ISNUMBER($K193)),"",PI()*($K193/2)^2)</f>
        <v/>
      </c>
      <c r="M193" s="9" t="str">
        <f aca="false">IF(OR(NOT(ISNUMBER($J193)),NOT(ISNUMBER($L193)),$L193=0),"",$J193/$L193*10000)</f>
        <v/>
      </c>
      <c r="N193" s="9" t="str">
        <f aca="false">IF(NOT(ISNUMBER($M193)),"",$M193*CARBON_FRACTION_ROOT/1000)</f>
        <v/>
      </c>
      <c r="O193" s="11" t="str">
        <f aca="false">IF(AND($A193="",$B193="",$G193=""),"",IF(AND($B193&lt;&gt;"",COUNTIFS('2. Soil Data'!$B$5:$B$604,$B193)=0),"Core ID not found in Soil Data, so the corer diameter cannot be looked up. ","")&amp;IF(ASH_CORRECTED&lt;&gt;"Yes","Root mass is NOT ash-corrected, so it includes adhering mineral soil and is too high. Set ASH_CORRECTED once you have done it. ","")&amp;IF(AND(ASH_CORRECTED="Yes",NOT(ISNUMBER($H193))),"Ash correction is switched on but no ash fraction is given for this row. ","")&amp;IF($I193="","Sieve mesh not recorded — a fine-root figure cannot be interpreted without it. ","")&amp;IF(AND(ISNUMBER($H193),$H193&gt;0.5),"Ash fraction above 0.5 — over half this sample was mineral soil. Re-wash. ","")&amp;IF($F193="Not separated","Live and dead not separated. Fine for a stock, but "&amp;"note it in reporting. ",""))</f>
        <v/>
      </c>
      <c r="P193" s="6"/>
      <c r="Q193" s="9" t="n">
        <f aca="false">IF($B193="",0,IF(COUNTIFS($B$5:$B193,$B193)=1,1,0))</f>
        <v>0</v>
      </c>
    </row>
    <row r="194" customFormat="false" ht="15" hidden="false" customHeight="false" outlineLevel="0" collapsed="false">
      <c r="A194" s="6"/>
      <c r="B194" s="6"/>
      <c r="C194" s="6"/>
      <c r="D194" s="6"/>
      <c r="E194" s="6"/>
      <c r="F194" s="6"/>
      <c r="G194" s="7"/>
      <c r="H194" s="7"/>
      <c r="I194" s="6"/>
      <c r="J194" s="9" t="str">
        <f aca="false">IF(NOT(ISNUMBER($G194)),"",IF(AND(ASH_CORRECTED="Yes",ISNUMBER($H194)),$G194*(1-$H194),$G194))</f>
        <v/>
      </c>
      <c r="K194" s="9" t="str">
        <f aca="false">IF($B194="","",IFERROR(AVERAGEIFS('2. Soil Data'!$G$5:$G$604,'2. Soil Data'!$B$5:$B$604,$B194),""))</f>
        <v/>
      </c>
      <c r="L194" s="9" t="str">
        <f aca="false">IF(NOT(ISNUMBER($K194)),"",PI()*($K194/2)^2)</f>
        <v/>
      </c>
      <c r="M194" s="9" t="str">
        <f aca="false">IF(OR(NOT(ISNUMBER($J194)),NOT(ISNUMBER($L194)),$L194=0),"",$J194/$L194*10000)</f>
        <v/>
      </c>
      <c r="N194" s="9" t="str">
        <f aca="false">IF(NOT(ISNUMBER($M194)),"",$M194*CARBON_FRACTION_ROOT/1000)</f>
        <v/>
      </c>
      <c r="O194" s="11" t="str">
        <f aca="false">IF(AND($A194="",$B194="",$G194=""),"",IF(AND($B194&lt;&gt;"",COUNTIFS('2. Soil Data'!$B$5:$B$604,$B194)=0),"Core ID not found in Soil Data, so the corer diameter cannot be looked up. ","")&amp;IF(ASH_CORRECTED&lt;&gt;"Yes","Root mass is NOT ash-corrected, so it includes adhering mineral soil and is too high. Set ASH_CORRECTED once you have done it. ","")&amp;IF(AND(ASH_CORRECTED="Yes",NOT(ISNUMBER($H194))),"Ash correction is switched on but no ash fraction is given for this row. ","")&amp;IF($I194="","Sieve mesh not recorded — a fine-root figure cannot be interpreted without it. ","")&amp;IF(AND(ISNUMBER($H194),$H194&gt;0.5),"Ash fraction above 0.5 — over half this sample was mineral soil. Re-wash. ","")&amp;IF($F194="Not separated","Live and dead not separated. Fine for a stock, but "&amp;"note it in reporting. ",""))</f>
        <v/>
      </c>
      <c r="P194" s="6"/>
      <c r="Q194" s="9" t="n">
        <f aca="false">IF($B194="",0,IF(COUNTIFS($B$5:$B194,$B194)=1,1,0))</f>
        <v>0</v>
      </c>
    </row>
    <row r="195" customFormat="false" ht="15" hidden="false" customHeight="false" outlineLevel="0" collapsed="false">
      <c r="A195" s="6"/>
      <c r="B195" s="6"/>
      <c r="C195" s="6"/>
      <c r="D195" s="6"/>
      <c r="E195" s="6"/>
      <c r="F195" s="6"/>
      <c r="G195" s="7"/>
      <c r="H195" s="7"/>
      <c r="I195" s="6"/>
      <c r="J195" s="9" t="str">
        <f aca="false">IF(NOT(ISNUMBER($G195)),"",IF(AND(ASH_CORRECTED="Yes",ISNUMBER($H195)),$G195*(1-$H195),$G195))</f>
        <v/>
      </c>
      <c r="K195" s="9" t="str">
        <f aca="false">IF($B195="","",IFERROR(AVERAGEIFS('2. Soil Data'!$G$5:$G$604,'2. Soil Data'!$B$5:$B$604,$B195),""))</f>
        <v/>
      </c>
      <c r="L195" s="9" t="str">
        <f aca="false">IF(NOT(ISNUMBER($K195)),"",PI()*($K195/2)^2)</f>
        <v/>
      </c>
      <c r="M195" s="9" t="str">
        <f aca="false">IF(OR(NOT(ISNUMBER($J195)),NOT(ISNUMBER($L195)),$L195=0),"",$J195/$L195*10000)</f>
        <v/>
      </c>
      <c r="N195" s="9" t="str">
        <f aca="false">IF(NOT(ISNUMBER($M195)),"",$M195*CARBON_FRACTION_ROOT/1000)</f>
        <v/>
      </c>
      <c r="O195" s="11" t="str">
        <f aca="false">IF(AND($A195="",$B195="",$G195=""),"",IF(AND($B195&lt;&gt;"",COUNTIFS('2. Soil Data'!$B$5:$B$604,$B195)=0),"Core ID not found in Soil Data, so the corer diameter cannot be looked up. ","")&amp;IF(ASH_CORRECTED&lt;&gt;"Yes","Root mass is NOT ash-corrected, so it includes adhering mineral soil and is too high. Set ASH_CORRECTED once you have done it. ","")&amp;IF(AND(ASH_CORRECTED="Yes",NOT(ISNUMBER($H195))),"Ash correction is switched on but no ash fraction is given for this row. ","")&amp;IF($I195="","Sieve mesh not recorded — a fine-root figure cannot be interpreted without it. ","")&amp;IF(AND(ISNUMBER($H195),$H195&gt;0.5),"Ash fraction above 0.5 — over half this sample was mineral soil. Re-wash. ","")&amp;IF($F195="Not separated","Live and dead not separated. Fine for a stock, but "&amp;"note it in reporting. ",""))</f>
        <v/>
      </c>
      <c r="P195" s="6"/>
      <c r="Q195" s="9" t="n">
        <f aca="false">IF($B195="",0,IF(COUNTIFS($B$5:$B195,$B195)=1,1,0))</f>
        <v>0</v>
      </c>
    </row>
    <row r="196" customFormat="false" ht="15" hidden="false" customHeight="false" outlineLevel="0" collapsed="false">
      <c r="A196" s="6"/>
      <c r="B196" s="6"/>
      <c r="C196" s="6"/>
      <c r="D196" s="6"/>
      <c r="E196" s="6"/>
      <c r="F196" s="6"/>
      <c r="G196" s="7"/>
      <c r="H196" s="7"/>
      <c r="I196" s="6"/>
      <c r="J196" s="9" t="str">
        <f aca="false">IF(NOT(ISNUMBER($G196)),"",IF(AND(ASH_CORRECTED="Yes",ISNUMBER($H196)),$G196*(1-$H196),$G196))</f>
        <v/>
      </c>
      <c r="K196" s="9" t="str">
        <f aca="false">IF($B196="","",IFERROR(AVERAGEIFS('2. Soil Data'!$G$5:$G$604,'2. Soil Data'!$B$5:$B$604,$B196),""))</f>
        <v/>
      </c>
      <c r="L196" s="9" t="str">
        <f aca="false">IF(NOT(ISNUMBER($K196)),"",PI()*($K196/2)^2)</f>
        <v/>
      </c>
      <c r="M196" s="9" t="str">
        <f aca="false">IF(OR(NOT(ISNUMBER($J196)),NOT(ISNUMBER($L196)),$L196=0),"",$J196/$L196*10000)</f>
        <v/>
      </c>
      <c r="N196" s="9" t="str">
        <f aca="false">IF(NOT(ISNUMBER($M196)),"",$M196*CARBON_FRACTION_ROOT/1000)</f>
        <v/>
      </c>
      <c r="O196" s="11" t="str">
        <f aca="false">IF(AND($A196="",$B196="",$G196=""),"",IF(AND($B196&lt;&gt;"",COUNTIFS('2. Soil Data'!$B$5:$B$604,$B196)=0),"Core ID not found in Soil Data, so the corer diameter cannot be looked up. ","")&amp;IF(ASH_CORRECTED&lt;&gt;"Yes","Root mass is NOT ash-corrected, so it includes adhering mineral soil and is too high. Set ASH_CORRECTED once you have done it. ","")&amp;IF(AND(ASH_CORRECTED="Yes",NOT(ISNUMBER($H196))),"Ash correction is switched on but no ash fraction is given for this row. ","")&amp;IF($I196="","Sieve mesh not recorded — a fine-root figure cannot be interpreted without it. ","")&amp;IF(AND(ISNUMBER($H196),$H196&gt;0.5),"Ash fraction above 0.5 — over half this sample was mineral soil. Re-wash. ","")&amp;IF($F196="Not separated","Live and dead not separated. Fine for a stock, but "&amp;"note it in reporting. ",""))</f>
        <v/>
      </c>
      <c r="P196" s="6"/>
      <c r="Q196" s="9" t="n">
        <f aca="false">IF($B196="",0,IF(COUNTIFS($B$5:$B196,$B196)=1,1,0))</f>
        <v>0</v>
      </c>
    </row>
    <row r="197" customFormat="false" ht="15" hidden="false" customHeight="false" outlineLevel="0" collapsed="false">
      <c r="A197" s="6"/>
      <c r="B197" s="6"/>
      <c r="C197" s="6"/>
      <c r="D197" s="6"/>
      <c r="E197" s="6"/>
      <c r="F197" s="6"/>
      <c r="G197" s="7"/>
      <c r="H197" s="7"/>
      <c r="I197" s="6"/>
      <c r="J197" s="9" t="str">
        <f aca="false">IF(NOT(ISNUMBER($G197)),"",IF(AND(ASH_CORRECTED="Yes",ISNUMBER($H197)),$G197*(1-$H197),$G197))</f>
        <v/>
      </c>
      <c r="K197" s="9" t="str">
        <f aca="false">IF($B197="","",IFERROR(AVERAGEIFS('2. Soil Data'!$G$5:$G$604,'2. Soil Data'!$B$5:$B$604,$B197),""))</f>
        <v/>
      </c>
      <c r="L197" s="9" t="str">
        <f aca="false">IF(NOT(ISNUMBER($K197)),"",PI()*($K197/2)^2)</f>
        <v/>
      </c>
      <c r="M197" s="9" t="str">
        <f aca="false">IF(OR(NOT(ISNUMBER($J197)),NOT(ISNUMBER($L197)),$L197=0),"",$J197/$L197*10000)</f>
        <v/>
      </c>
      <c r="N197" s="9" t="str">
        <f aca="false">IF(NOT(ISNUMBER($M197)),"",$M197*CARBON_FRACTION_ROOT/1000)</f>
        <v/>
      </c>
      <c r="O197" s="11" t="str">
        <f aca="false">IF(AND($A197="",$B197="",$G197=""),"",IF(AND($B197&lt;&gt;"",COUNTIFS('2. Soil Data'!$B$5:$B$604,$B197)=0),"Core ID not found in Soil Data, so the corer diameter cannot be looked up. ","")&amp;IF(ASH_CORRECTED&lt;&gt;"Yes","Root mass is NOT ash-corrected, so it includes adhering mineral soil and is too high. Set ASH_CORRECTED once you have done it. ","")&amp;IF(AND(ASH_CORRECTED="Yes",NOT(ISNUMBER($H197))),"Ash correction is switched on but no ash fraction is given for this row. ","")&amp;IF($I197="","Sieve mesh not recorded — a fine-root figure cannot be interpreted without it. ","")&amp;IF(AND(ISNUMBER($H197),$H197&gt;0.5),"Ash fraction above 0.5 — over half this sample was mineral soil. Re-wash. ","")&amp;IF($F197="Not separated","Live and dead not separated. Fine for a stock, but "&amp;"note it in reporting. ",""))</f>
        <v/>
      </c>
      <c r="P197" s="6"/>
      <c r="Q197" s="9" t="n">
        <f aca="false">IF($B197="",0,IF(COUNTIFS($B$5:$B197,$B197)=1,1,0))</f>
        <v>0</v>
      </c>
    </row>
    <row r="198" customFormat="false" ht="15" hidden="false" customHeight="false" outlineLevel="0" collapsed="false">
      <c r="A198" s="6"/>
      <c r="B198" s="6"/>
      <c r="C198" s="6"/>
      <c r="D198" s="6"/>
      <c r="E198" s="6"/>
      <c r="F198" s="6"/>
      <c r="G198" s="7"/>
      <c r="H198" s="7"/>
      <c r="I198" s="6"/>
      <c r="J198" s="9" t="str">
        <f aca="false">IF(NOT(ISNUMBER($G198)),"",IF(AND(ASH_CORRECTED="Yes",ISNUMBER($H198)),$G198*(1-$H198),$G198))</f>
        <v/>
      </c>
      <c r="K198" s="9" t="str">
        <f aca="false">IF($B198="","",IFERROR(AVERAGEIFS('2. Soil Data'!$G$5:$G$604,'2. Soil Data'!$B$5:$B$604,$B198),""))</f>
        <v/>
      </c>
      <c r="L198" s="9" t="str">
        <f aca="false">IF(NOT(ISNUMBER($K198)),"",PI()*($K198/2)^2)</f>
        <v/>
      </c>
      <c r="M198" s="9" t="str">
        <f aca="false">IF(OR(NOT(ISNUMBER($J198)),NOT(ISNUMBER($L198)),$L198=0),"",$J198/$L198*10000)</f>
        <v/>
      </c>
      <c r="N198" s="9" t="str">
        <f aca="false">IF(NOT(ISNUMBER($M198)),"",$M198*CARBON_FRACTION_ROOT/1000)</f>
        <v/>
      </c>
      <c r="O198" s="11" t="str">
        <f aca="false">IF(AND($A198="",$B198="",$G198=""),"",IF(AND($B198&lt;&gt;"",COUNTIFS('2. Soil Data'!$B$5:$B$604,$B198)=0),"Core ID not found in Soil Data, so the corer diameter cannot be looked up. ","")&amp;IF(ASH_CORRECTED&lt;&gt;"Yes","Root mass is NOT ash-corrected, so it includes adhering mineral soil and is too high. Set ASH_CORRECTED once you have done it. ","")&amp;IF(AND(ASH_CORRECTED="Yes",NOT(ISNUMBER($H198))),"Ash correction is switched on but no ash fraction is given for this row. ","")&amp;IF($I198="","Sieve mesh not recorded — a fine-root figure cannot be interpreted without it. ","")&amp;IF(AND(ISNUMBER($H198),$H198&gt;0.5),"Ash fraction above 0.5 — over half this sample was mineral soil. Re-wash. ","")&amp;IF($F198="Not separated","Live and dead not separated. Fine for a stock, but "&amp;"note it in reporting. ",""))</f>
        <v/>
      </c>
      <c r="P198" s="6"/>
      <c r="Q198" s="9" t="n">
        <f aca="false">IF($B198="",0,IF(COUNTIFS($B$5:$B198,$B198)=1,1,0))</f>
        <v>0</v>
      </c>
    </row>
    <row r="199" customFormat="false" ht="15" hidden="false" customHeight="false" outlineLevel="0" collapsed="false">
      <c r="A199" s="6"/>
      <c r="B199" s="6"/>
      <c r="C199" s="6"/>
      <c r="D199" s="6"/>
      <c r="E199" s="6"/>
      <c r="F199" s="6"/>
      <c r="G199" s="7"/>
      <c r="H199" s="7"/>
      <c r="I199" s="6"/>
      <c r="J199" s="9" t="str">
        <f aca="false">IF(NOT(ISNUMBER($G199)),"",IF(AND(ASH_CORRECTED="Yes",ISNUMBER($H199)),$G199*(1-$H199),$G199))</f>
        <v/>
      </c>
      <c r="K199" s="9" t="str">
        <f aca="false">IF($B199="","",IFERROR(AVERAGEIFS('2. Soil Data'!$G$5:$G$604,'2. Soil Data'!$B$5:$B$604,$B199),""))</f>
        <v/>
      </c>
      <c r="L199" s="9" t="str">
        <f aca="false">IF(NOT(ISNUMBER($K199)),"",PI()*($K199/2)^2)</f>
        <v/>
      </c>
      <c r="M199" s="9" t="str">
        <f aca="false">IF(OR(NOT(ISNUMBER($J199)),NOT(ISNUMBER($L199)),$L199=0),"",$J199/$L199*10000)</f>
        <v/>
      </c>
      <c r="N199" s="9" t="str">
        <f aca="false">IF(NOT(ISNUMBER($M199)),"",$M199*CARBON_FRACTION_ROOT/1000)</f>
        <v/>
      </c>
      <c r="O199" s="11" t="str">
        <f aca="false">IF(AND($A199="",$B199="",$G199=""),"",IF(AND($B199&lt;&gt;"",COUNTIFS('2. Soil Data'!$B$5:$B$604,$B199)=0),"Core ID not found in Soil Data, so the corer diameter cannot be looked up. ","")&amp;IF(ASH_CORRECTED&lt;&gt;"Yes","Root mass is NOT ash-corrected, so it includes adhering mineral soil and is too high. Set ASH_CORRECTED once you have done it. ","")&amp;IF(AND(ASH_CORRECTED="Yes",NOT(ISNUMBER($H199))),"Ash correction is switched on but no ash fraction is given for this row. ","")&amp;IF($I199="","Sieve mesh not recorded — a fine-root figure cannot be interpreted without it. ","")&amp;IF(AND(ISNUMBER($H199),$H199&gt;0.5),"Ash fraction above 0.5 — over half this sample was mineral soil. Re-wash. ","")&amp;IF($F199="Not separated","Live and dead not separated. Fine for a stock, but "&amp;"note it in reporting. ",""))</f>
        <v/>
      </c>
      <c r="P199" s="6"/>
      <c r="Q199" s="9" t="n">
        <f aca="false">IF($B199="",0,IF(COUNTIFS($B$5:$B199,$B199)=1,1,0))</f>
        <v>0</v>
      </c>
    </row>
    <row r="200" customFormat="false" ht="15" hidden="false" customHeight="false" outlineLevel="0" collapsed="false">
      <c r="A200" s="6"/>
      <c r="B200" s="6"/>
      <c r="C200" s="6"/>
      <c r="D200" s="6"/>
      <c r="E200" s="6"/>
      <c r="F200" s="6"/>
      <c r="G200" s="7"/>
      <c r="H200" s="7"/>
      <c r="I200" s="6"/>
      <c r="J200" s="9" t="str">
        <f aca="false">IF(NOT(ISNUMBER($G200)),"",IF(AND(ASH_CORRECTED="Yes",ISNUMBER($H200)),$G200*(1-$H200),$G200))</f>
        <v/>
      </c>
      <c r="K200" s="9" t="str">
        <f aca="false">IF($B200="","",IFERROR(AVERAGEIFS('2. Soil Data'!$G$5:$G$604,'2. Soil Data'!$B$5:$B$604,$B200),""))</f>
        <v/>
      </c>
      <c r="L200" s="9" t="str">
        <f aca="false">IF(NOT(ISNUMBER($K200)),"",PI()*($K200/2)^2)</f>
        <v/>
      </c>
      <c r="M200" s="9" t="str">
        <f aca="false">IF(OR(NOT(ISNUMBER($J200)),NOT(ISNUMBER($L200)),$L200=0),"",$J200/$L200*10000)</f>
        <v/>
      </c>
      <c r="N200" s="9" t="str">
        <f aca="false">IF(NOT(ISNUMBER($M200)),"",$M200*CARBON_FRACTION_ROOT/1000)</f>
        <v/>
      </c>
      <c r="O200" s="11" t="str">
        <f aca="false">IF(AND($A200="",$B200="",$G200=""),"",IF(AND($B200&lt;&gt;"",COUNTIFS('2. Soil Data'!$B$5:$B$604,$B200)=0),"Core ID not found in Soil Data, so the corer diameter cannot be looked up. ","")&amp;IF(ASH_CORRECTED&lt;&gt;"Yes","Root mass is NOT ash-corrected, so it includes adhering mineral soil and is too high. Set ASH_CORRECTED once you have done it. ","")&amp;IF(AND(ASH_CORRECTED="Yes",NOT(ISNUMBER($H200))),"Ash correction is switched on but no ash fraction is given for this row. ","")&amp;IF($I200="","Sieve mesh not recorded — a fine-root figure cannot be interpreted without it. ","")&amp;IF(AND(ISNUMBER($H200),$H200&gt;0.5),"Ash fraction above 0.5 — over half this sample was mineral soil. Re-wash. ","")&amp;IF($F200="Not separated","Live and dead not separated. Fine for a stock, but "&amp;"note it in reporting. ",""))</f>
        <v/>
      </c>
      <c r="P200" s="6"/>
      <c r="Q200" s="9" t="n">
        <f aca="false">IF($B200="",0,IF(COUNTIFS($B$5:$B200,$B200)=1,1,0))</f>
        <v>0</v>
      </c>
    </row>
    <row r="201" customFormat="false" ht="15" hidden="false" customHeight="false" outlineLevel="0" collapsed="false">
      <c r="A201" s="6"/>
      <c r="B201" s="6"/>
      <c r="C201" s="6"/>
      <c r="D201" s="6"/>
      <c r="E201" s="6"/>
      <c r="F201" s="6"/>
      <c r="G201" s="7"/>
      <c r="H201" s="7"/>
      <c r="I201" s="6"/>
      <c r="J201" s="9" t="str">
        <f aca="false">IF(NOT(ISNUMBER($G201)),"",IF(AND(ASH_CORRECTED="Yes",ISNUMBER($H201)),$G201*(1-$H201),$G201))</f>
        <v/>
      </c>
      <c r="K201" s="9" t="str">
        <f aca="false">IF($B201="","",IFERROR(AVERAGEIFS('2. Soil Data'!$G$5:$G$604,'2. Soil Data'!$B$5:$B$604,$B201),""))</f>
        <v/>
      </c>
      <c r="L201" s="9" t="str">
        <f aca="false">IF(NOT(ISNUMBER($K201)),"",PI()*($K201/2)^2)</f>
        <v/>
      </c>
      <c r="M201" s="9" t="str">
        <f aca="false">IF(OR(NOT(ISNUMBER($J201)),NOT(ISNUMBER($L201)),$L201=0),"",$J201/$L201*10000)</f>
        <v/>
      </c>
      <c r="N201" s="9" t="str">
        <f aca="false">IF(NOT(ISNUMBER($M201)),"",$M201*CARBON_FRACTION_ROOT/1000)</f>
        <v/>
      </c>
      <c r="O201" s="11" t="str">
        <f aca="false">IF(AND($A201="",$B201="",$G201=""),"",IF(AND($B201&lt;&gt;"",COUNTIFS('2. Soil Data'!$B$5:$B$604,$B201)=0),"Core ID not found in Soil Data, so the corer diameter cannot be looked up. ","")&amp;IF(ASH_CORRECTED&lt;&gt;"Yes","Root mass is NOT ash-corrected, so it includes adhering mineral soil and is too high. Set ASH_CORRECTED once you have done it. ","")&amp;IF(AND(ASH_CORRECTED="Yes",NOT(ISNUMBER($H201))),"Ash correction is switched on but no ash fraction is given for this row. ","")&amp;IF($I201="","Sieve mesh not recorded — a fine-root figure cannot be interpreted without it. ","")&amp;IF(AND(ISNUMBER($H201),$H201&gt;0.5),"Ash fraction above 0.5 — over half this sample was mineral soil. Re-wash. ","")&amp;IF($F201="Not separated","Live and dead not separated. Fine for a stock, but "&amp;"note it in reporting. ",""))</f>
        <v/>
      </c>
      <c r="P201" s="6"/>
      <c r="Q201" s="9" t="n">
        <f aca="false">IF($B201="",0,IF(COUNTIFS($B$5:$B201,$B201)=1,1,0))</f>
        <v>0</v>
      </c>
    </row>
    <row r="202" customFormat="false" ht="15" hidden="false" customHeight="false" outlineLevel="0" collapsed="false">
      <c r="A202" s="6"/>
      <c r="B202" s="6"/>
      <c r="C202" s="6"/>
      <c r="D202" s="6"/>
      <c r="E202" s="6"/>
      <c r="F202" s="6"/>
      <c r="G202" s="7"/>
      <c r="H202" s="7"/>
      <c r="I202" s="6"/>
      <c r="J202" s="9" t="str">
        <f aca="false">IF(NOT(ISNUMBER($G202)),"",IF(AND(ASH_CORRECTED="Yes",ISNUMBER($H202)),$G202*(1-$H202),$G202))</f>
        <v/>
      </c>
      <c r="K202" s="9" t="str">
        <f aca="false">IF($B202="","",IFERROR(AVERAGEIFS('2. Soil Data'!$G$5:$G$604,'2. Soil Data'!$B$5:$B$604,$B202),""))</f>
        <v/>
      </c>
      <c r="L202" s="9" t="str">
        <f aca="false">IF(NOT(ISNUMBER($K202)),"",PI()*($K202/2)^2)</f>
        <v/>
      </c>
      <c r="M202" s="9" t="str">
        <f aca="false">IF(OR(NOT(ISNUMBER($J202)),NOT(ISNUMBER($L202)),$L202=0),"",$J202/$L202*10000)</f>
        <v/>
      </c>
      <c r="N202" s="9" t="str">
        <f aca="false">IF(NOT(ISNUMBER($M202)),"",$M202*CARBON_FRACTION_ROOT/1000)</f>
        <v/>
      </c>
      <c r="O202" s="11" t="str">
        <f aca="false">IF(AND($A202="",$B202="",$G202=""),"",IF(AND($B202&lt;&gt;"",COUNTIFS('2. Soil Data'!$B$5:$B$604,$B202)=0),"Core ID not found in Soil Data, so the corer diameter cannot be looked up. ","")&amp;IF(ASH_CORRECTED&lt;&gt;"Yes","Root mass is NOT ash-corrected, so it includes adhering mineral soil and is too high. Set ASH_CORRECTED once you have done it. ","")&amp;IF(AND(ASH_CORRECTED="Yes",NOT(ISNUMBER($H202))),"Ash correction is switched on but no ash fraction is given for this row. ","")&amp;IF($I202="","Sieve mesh not recorded — a fine-root figure cannot be interpreted without it. ","")&amp;IF(AND(ISNUMBER($H202),$H202&gt;0.5),"Ash fraction above 0.5 — over half this sample was mineral soil. Re-wash. ","")&amp;IF($F202="Not separated","Live and dead not separated. Fine for a stock, but "&amp;"note it in reporting. ",""))</f>
        <v/>
      </c>
      <c r="P202" s="6"/>
      <c r="Q202" s="9" t="n">
        <f aca="false">IF($B202="",0,IF(COUNTIFS($B$5:$B202,$B202)=1,1,0))</f>
        <v>0</v>
      </c>
    </row>
    <row r="203" customFormat="false" ht="15" hidden="false" customHeight="false" outlineLevel="0" collapsed="false">
      <c r="A203" s="6"/>
      <c r="B203" s="6"/>
      <c r="C203" s="6"/>
      <c r="D203" s="6"/>
      <c r="E203" s="6"/>
      <c r="F203" s="6"/>
      <c r="G203" s="7"/>
      <c r="H203" s="7"/>
      <c r="I203" s="6"/>
      <c r="J203" s="9" t="str">
        <f aca="false">IF(NOT(ISNUMBER($G203)),"",IF(AND(ASH_CORRECTED="Yes",ISNUMBER($H203)),$G203*(1-$H203),$G203))</f>
        <v/>
      </c>
      <c r="K203" s="9" t="str">
        <f aca="false">IF($B203="","",IFERROR(AVERAGEIFS('2. Soil Data'!$G$5:$G$604,'2. Soil Data'!$B$5:$B$604,$B203),""))</f>
        <v/>
      </c>
      <c r="L203" s="9" t="str">
        <f aca="false">IF(NOT(ISNUMBER($K203)),"",PI()*($K203/2)^2)</f>
        <v/>
      </c>
      <c r="M203" s="9" t="str">
        <f aca="false">IF(OR(NOT(ISNUMBER($J203)),NOT(ISNUMBER($L203)),$L203=0),"",$J203/$L203*10000)</f>
        <v/>
      </c>
      <c r="N203" s="9" t="str">
        <f aca="false">IF(NOT(ISNUMBER($M203)),"",$M203*CARBON_FRACTION_ROOT/1000)</f>
        <v/>
      </c>
      <c r="O203" s="11" t="str">
        <f aca="false">IF(AND($A203="",$B203="",$G203=""),"",IF(AND($B203&lt;&gt;"",COUNTIFS('2. Soil Data'!$B$5:$B$604,$B203)=0),"Core ID not found in Soil Data, so the corer diameter cannot be looked up. ","")&amp;IF(ASH_CORRECTED&lt;&gt;"Yes","Root mass is NOT ash-corrected, so it includes adhering mineral soil and is too high. Set ASH_CORRECTED once you have done it. ","")&amp;IF(AND(ASH_CORRECTED="Yes",NOT(ISNUMBER($H203))),"Ash correction is switched on but no ash fraction is given for this row. ","")&amp;IF($I203="","Sieve mesh not recorded — a fine-root figure cannot be interpreted without it. ","")&amp;IF(AND(ISNUMBER($H203),$H203&gt;0.5),"Ash fraction above 0.5 — over half this sample was mineral soil. Re-wash. ","")&amp;IF($F203="Not separated","Live and dead not separated. Fine for a stock, but "&amp;"note it in reporting. ",""))</f>
        <v/>
      </c>
      <c r="P203" s="6"/>
      <c r="Q203" s="9" t="n">
        <f aca="false">IF($B203="",0,IF(COUNTIFS($B$5:$B203,$B203)=1,1,0))</f>
        <v>0</v>
      </c>
    </row>
    <row r="204" customFormat="false" ht="15" hidden="false" customHeight="false" outlineLevel="0" collapsed="false">
      <c r="A204" s="6"/>
      <c r="B204" s="6"/>
      <c r="C204" s="6"/>
      <c r="D204" s="6"/>
      <c r="E204" s="6"/>
      <c r="F204" s="6"/>
      <c r="G204" s="7"/>
      <c r="H204" s="7"/>
      <c r="I204" s="6"/>
      <c r="J204" s="9" t="str">
        <f aca="false">IF(NOT(ISNUMBER($G204)),"",IF(AND(ASH_CORRECTED="Yes",ISNUMBER($H204)),$G204*(1-$H204),$G204))</f>
        <v/>
      </c>
      <c r="K204" s="9" t="str">
        <f aca="false">IF($B204="","",IFERROR(AVERAGEIFS('2. Soil Data'!$G$5:$G$604,'2. Soil Data'!$B$5:$B$604,$B204),""))</f>
        <v/>
      </c>
      <c r="L204" s="9" t="str">
        <f aca="false">IF(NOT(ISNUMBER($K204)),"",PI()*($K204/2)^2)</f>
        <v/>
      </c>
      <c r="M204" s="9" t="str">
        <f aca="false">IF(OR(NOT(ISNUMBER($J204)),NOT(ISNUMBER($L204)),$L204=0),"",$J204/$L204*10000)</f>
        <v/>
      </c>
      <c r="N204" s="9" t="str">
        <f aca="false">IF(NOT(ISNUMBER($M204)),"",$M204*CARBON_FRACTION_ROOT/1000)</f>
        <v/>
      </c>
      <c r="O204" s="11" t="str">
        <f aca="false">IF(AND($A204="",$B204="",$G204=""),"",IF(AND($B204&lt;&gt;"",COUNTIFS('2. Soil Data'!$B$5:$B$604,$B204)=0),"Core ID not found in Soil Data, so the corer diameter cannot be looked up. ","")&amp;IF(ASH_CORRECTED&lt;&gt;"Yes","Root mass is NOT ash-corrected, so it includes adhering mineral soil and is too high. Set ASH_CORRECTED once you have done it. ","")&amp;IF(AND(ASH_CORRECTED="Yes",NOT(ISNUMBER($H204))),"Ash correction is switched on but no ash fraction is given for this row. ","")&amp;IF($I204="","Sieve mesh not recorded — a fine-root figure cannot be interpreted without it. ","")&amp;IF(AND(ISNUMBER($H204),$H204&gt;0.5),"Ash fraction above 0.5 — over half this sample was mineral soil. Re-wash. ","")&amp;IF($F204="Not separated","Live and dead not separated. Fine for a stock, but "&amp;"note it in reporting. ",""))</f>
        <v/>
      </c>
      <c r="P204" s="6"/>
      <c r="Q204" s="9" t="n">
        <f aca="false">IF($B204="",0,IF(COUNTIFS($B$5:$B204,$B204)=1,1,0))</f>
        <v>0</v>
      </c>
    </row>
    <row r="205" customFormat="false" ht="15" hidden="false" customHeight="false" outlineLevel="0" collapsed="false">
      <c r="A205" s="6"/>
      <c r="B205" s="6"/>
      <c r="C205" s="6"/>
      <c r="D205" s="6"/>
      <c r="E205" s="6"/>
      <c r="F205" s="6"/>
      <c r="G205" s="7"/>
      <c r="H205" s="7"/>
      <c r="I205" s="6"/>
      <c r="J205" s="9" t="str">
        <f aca="false">IF(NOT(ISNUMBER($G205)),"",IF(AND(ASH_CORRECTED="Yes",ISNUMBER($H205)),$G205*(1-$H205),$G205))</f>
        <v/>
      </c>
      <c r="K205" s="9" t="str">
        <f aca="false">IF($B205="","",IFERROR(AVERAGEIFS('2. Soil Data'!$G$5:$G$604,'2. Soil Data'!$B$5:$B$604,$B205),""))</f>
        <v/>
      </c>
      <c r="L205" s="9" t="str">
        <f aca="false">IF(NOT(ISNUMBER($K205)),"",PI()*($K205/2)^2)</f>
        <v/>
      </c>
      <c r="M205" s="9" t="str">
        <f aca="false">IF(OR(NOT(ISNUMBER($J205)),NOT(ISNUMBER($L205)),$L205=0),"",$J205/$L205*10000)</f>
        <v/>
      </c>
      <c r="N205" s="9" t="str">
        <f aca="false">IF(NOT(ISNUMBER($M205)),"",$M205*CARBON_FRACTION_ROOT/1000)</f>
        <v/>
      </c>
      <c r="O205" s="11" t="str">
        <f aca="false">IF(AND($A205="",$B205="",$G205=""),"",IF(AND($B205&lt;&gt;"",COUNTIFS('2. Soil Data'!$B$5:$B$604,$B205)=0),"Core ID not found in Soil Data, so the corer diameter cannot be looked up. ","")&amp;IF(ASH_CORRECTED&lt;&gt;"Yes","Root mass is NOT ash-corrected, so it includes adhering mineral soil and is too high. Set ASH_CORRECTED once you have done it. ","")&amp;IF(AND(ASH_CORRECTED="Yes",NOT(ISNUMBER($H205))),"Ash correction is switched on but no ash fraction is given for this row. ","")&amp;IF($I205="","Sieve mesh not recorded — a fine-root figure cannot be interpreted without it. ","")&amp;IF(AND(ISNUMBER($H205),$H205&gt;0.5),"Ash fraction above 0.5 — over half this sample was mineral soil. Re-wash. ","")&amp;IF($F205="Not separated","Live and dead not separated. Fine for a stock, but "&amp;"note it in reporting. ",""))</f>
        <v/>
      </c>
      <c r="P205" s="6"/>
      <c r="Q205" s="9" t="n">
        <f aca="false">IF($B205="",0,IF(COUNTIFS($B$5:$B205,$B205)=1,1,0))</f>
        <v>0</v>
      </c>
    </row>
    <row r="206" customFormat="false" ht="15" hidden="false" customHeight="false" outlineLevel="0" collapsed="false">
      <c r="A206" s="6"/>
      <c r="B206" s="6"/>
      <c r="C206" s="6"/>
      <c r="D206" s="6"/>
      <c r="E206" s="6"/>
      <c r="F206" s="6"/>
      <c r="G206" s="7"/>
      <c r="H206" s="7"/>
      <c r="I206" s="6"/>
      <c r="J206" s="9" t="str">
        <f aca="false">IF(NOT(ISNUMBER($G206)),"",IF(AND(ASH_CORRECTED="Yes",ISNUMBER($H206)),$G206*(1-$H206),$G206))</f>
        <v/>
      </c>
      <c r="K206" s="9" t="str">
        <f aca="false">IF($B206="","",IFERROR(AVERAGEIFS('2. Soil Data'!$G$5:$G$604,'2. Soil Data'!$B$5:$B$604,$B206),""))</f>
        <v/>
      </c>
      <c r="L206" s="9" t="str">
        <f aca="false">IF(NOT(ISNUMBER($K206)),"",PI()*($K206/2)^2)</f>
        <v/>
      </c>
      <c r="M206" s="9" t="str">
        <f aca="false">IF(OR(NOT(ISNUMBER($J206)),NOT(ISNUMBER($L206)),$L206=0),"",$J206/$L206*10000)</f>
        <v/>
      </c>
      <c r="N206" s="9" t="str">
        <f aca="false">IF(NOT(ISNUMBER($M206)),"",$M206*CARBON_FRACTION_ROOT/1000)</f>
        <v/>
      </c>
      <c r="O206" s="11" t="str">
        <f aca="false">IF(AND($A206="",$B206="",$G206=""),"",IF(AND($B206&lt;&gt;"",COUNTIFS('2. Soil Data'!$B$5:$B$604,$B206)=0),"Core ID not found in Soil Data, so the corer diameter cannot be looked up. ","")&amp;IF(ASH_CORRECTED&lt;&gt;"Yes","Root mass is NOT ash-corrected, so it includes adhering mineral soil and is too high. Set ASH_CORRECTED once you have done it. ","")&amp;IF(AND(ASH_CORRECTED="Yes",NOT(ISNUMBER($H206))),"Ash correction is switched on but no ash fraction is given for this row. ","")&amp;IF($I206="","Sieve mesh not recorded — a fine-root figure cannot be interpreted without it. ","")&amp;IF(AND(ISNUMBER($H206),$H206&gt;0.5),"Ash fraction above 0.5 — over half this sample was mineral soil. Re-wash. ","")&amp;IF($F206="Not separated","Live and dead not separated. Fine for a stock, but "&amp;"note it in reporting. ",""))</f>
        <v/>
      </c>
      <c r="P206" s="6"/>
      <c r="Q206" s="9" t="n">
        <f aca="false">IF($B206="",0,IF(COUNTIFS($B$5:$B206,$B206)=1,1,0))</f>
        <v>0</v>
      </c>
    </row>
    <row r="207" customFormat="false" ht="15" hidden="false" customHeight="false" outlineLevel="0" collapsed="false">
      <c r="A207" s="6"/>
      <c r="B207" s="6"/>
      <c r="C207" s="6"/>
      <c r="D207" s="6"/>
      <c r="E207" s="6"/>
      <c r="F207" s="6"/>
      <c r="G207" s="7"/>
      <c r="H207" s="7"/>
      <c r="I207" s="6"/>
      <c r="J207" s="9" t="str">
        <f aca="false">IF(NOT(ISNUMBER($G207)),"",IF(AND(ASH_CORRECTED="Yes",ISNUMBER($H207)),$G207*(1-$H207),$G207))</f>
        <v/>
      </c>
      <c r="K207" s="9" t="str">
        <f aca="false">IF($B207="","",IFERROR(AVERAGEIFS('2. Soil Data'!$G$5:$G$604,'2. Soil Data'!$B$5:$B$604,$B207),""))</f>
        <v/>
      </c>
      <c r="L207" s="9" t="str">
        <f aca="false">IF(NOT(ISNUMBER($K207)),"",PI()*($K207/2)^2)</f>
        <v/>
      </c>
      <c r="M207" s="9" t="str">
        <f aca="false">IF(OR(NOT(ISNUMBER($J207)),NOT(ISNUMBER($L207)),$L207=0),"",$J207/$L207*10000)</f>
        <v/>
      </c>
      <c r="N207" s="9" t="str">
        <f aca="false">IF(NOT(ISNUMBER($M207)),"",$M207*CARBON_FRACTION_ROOT/1000)</f>
        <v/>
      </c>
      <c r="O207" s="11" t="str">
        <f aca="false">IF(AND($A207="",$B207="",$G207=""),"",IF(AND($B207&lt;&gt;"",COUNTIFS('2. Soil Data'!$B$5:$B$604,$B207)=0),"Core ID not found in Soil Data, so the corer diameter cannot be looked up. ","")&amp;IF(ASH_CORRECTED&lt;&gt;"Yes","Root mass is NOT ash-corrected, so it includes adhering mineral soil and is too high. Set ASH_CORRECTED once you have done it. ","")&amp;IF(AND(ASH_CORRECTED="Yes",NOT(ISNUMBER($H207))),"Ash correction is switched on but no ash fraction is given for this row. ","")&amp;IF($I207="","Sieve mesh not recorded — a fine-root figure cannot be interpreted without it. ","")&amp;IF(AND(ISNUMBER($H207),$H207&gt;0.5),"Ash fraction above 0.5 — over half this sample was mineral soil. Re-wash. ","")&amp;IF($F207="Not separated","Live and dead not separated. Fine for a stock, but "&amp;"note it in reporting. ",""))</f>
        <v/>
      </c>
      <c r="P207" s="6"/>
      <c r="Q207" s="9" t="n">
        <f aca="false">IF($B207="",0,IF(COUNTIFS($B$5:$B207,$B207)=1,1,0))</f>
        <v>0</v>
      </c>
    </row>
    <row r="208" customFormat="false" ht="15" hidden="false" customHeight="false" outlineLevel="0" collapsed="false">
      <c r="A208" s="6"/>
      <c r="B208" s="6"/>
      <c r="C208" s="6"/>
      <c r="D208" s="6"/>
      <c r="E208" s="6"/>
      <c r="F208" s="6"/>
      <c r="G208" s="7"/>
      <c r="H208" s="7"/>
      <c r="I208" s="6"/>
      <c r="J208" s="9" t="str">
        <f aca="false">IF(NOT(ISNUMBER($G208)),"",IF(AND(ASH_CORRECTED="Yes",ISNUMBER($H208)),$G208*(1-$H208),$G208))</f>
        <v/>
      </c>
      <c r="K208" s="9" t="str">
        <f aca="false">IF($B208="","",IFERROR(AVERAGEIFS('2. Soil Data'!$G$5:$G$604,'2. Soil Data'!$B$5:$B$604,$B208),""))</f>
        <v/>
      </c>
      <c r="L208" s="9" t="str">
        <f aca="false">IF(NOT(ISNUMBER($K208)),"",PI()*($K208/2)^2)</f>
        <v/>
      </c>
      <c r="M208" s="9" t="str">
        <f aca="false">IF(OR(NOT(ISNUMBER($J208)),NOT(ISNUMBER($L208)),$L208=0),"",$J208/$L208*10000)</f>
        <v/>
      </c>
      <c r="N208" s="9" t="str">
        <f aca="false">IF(NOT(ISNUMBER($M208)),"",$M208*CARBON_FRACTION_ROOT/1000)</f>
        <v/>
      </c>
      <c r="O208" s="11" t="str">
        <f aca="false">IF(AND($A208="",$B208="",$G208=""),"",IF(AND($B208&lt;&gt;"",COUNTIFS('2. Soil Data'!$B$5:$B$604,$B208)=0),"Core ID not found in Soil Data, so the corer diameter cannot be looked up. ","")&amp;IF(ASH_CORRECTED&lt;&gt;"Yes","Root mass is NOT ash-corrected, so it includes adhering mineral soil and is too high. Set ASH_CORRECTED once you have done it. ","")&amp;IF(AND(ASH_CORRECTED="Yes",NOT(ISNUMBER($H208))),"Ash correction is switched on but no ash fraction is given for this row. ","")&amp;IF($I208="","Sieve mesh not recorded — a fine-root figure cannot be interpreted without it. ","")&amp;IF(AND(ISNUMBER($H208),$H208&gt;0.5),"Ash fraction above 0.5 — over half this sample was mineral soil. Re-wash. ","")&amp;IF($F208="Not separated","Live and dead not separated. Fine for a stock, but "&amp;"note it in reporting. ",""))</f>
        <v/>
      </c>
      <c r="P208" s="6"/>
      <c r="Q208" s="9" t="n">
        <f aca="false">IF($B208="",0,IF(COUNTIFS($B$5:$B208,$B208)=1,1,0))</f>
        <v>0</v>
      </c>
    </row>
    <row r="209" customFormat="false" ht="15" hidden="false" customHeight="false" outlineLevel="0" collapsed="false">
      <c r="A209" s="6"/>
      <c r="B209" s="6"/>
      <c r="C209" s="6"/>
      <c r="D209" s="6"/>
      <c r="E209" s="6"/>
      <c r="F209" s="6"/>
      <c r="G209" s="7"/>
      <c r="H209" s="7"/>
      <c r="I209" s="6"/>
      <c r="J209" s="9" t="str">
        <f aca="false">IF(NOT(ISNUMBER($G209)),"",IF(AND(ASH_CORRECTED="Yes",ISNUMBER($H209)),$G209*(1-$H209),$G209))</f>
        <v/>
      </c>
      <c r="K209" s="9" t="str">
        <f aca="false">IF($B209="","",IFERROR(AVERAGEIFS('2. Soil Data'!$G$5:$G$604,'2. Soil Data'!$B$5:$B$604,$B209),""))</f>
        <v/>
      </c>
      <c r="L209" s="9" t="str">
        <f aca="false">IF(NOT(ISNUMBER($K209)),"",PI()*($K209/2)^2)</f>
        <v/>
      </c>
      <c r="M209" s="9" t="str">
        <f aca="false">IF(OR(NOT(ISNUMBER($J209)),NOT(ISNUMBER($L209)),$L209=0),"",$J209/$L209*10000)</f>
        <v/>
      </c>
      <c r="N209" s="9" t="str">
        <f aca="false">IF(NOT(ISNUMBER($M209)),"",$M209*CARBON_FRACTION_ROOT/1000)</f>
        <v/>
      </c>
      <c r="O209" s="11" t="str">
        <f aca="false">IF(AND($A209="",$B209="",$G209=""),"",IF(AND($B209&lt;&gt;"",COUNTIFS('2. Soil Data'!$B$5:$B$604,$B209)=0),"Core ID not found in Soil Data, so the corer diameter cannot be looked up. ","")&amp;IF(ASH_CORRECTED&lt;&gt;"Yes","Root mass is NOT ash-corrected, so it includes adhering mineral soil and is too high. Set ASH_CORRECTED once you have done it. ","")&amp;IF(AND(ASH_CORRECTED="Yes",NOT(ISNUMBER($H209))),"Ash correction is switched on but no ash fraction is given for this row. ","")&amp;IF($I209="","Sieve mesh not recorded — a fine-root figure cannot be interpreted without it. ","")&amp;IF(AND(ISNUMBER($H209),$H209&gt;0.5),"Ash fraction above 0.5 — over half this sample was mineral soil. Re-wash. ","")&amp;IF($F209="Not separated","Live and dead not separated. Fine for a stock, but "&amp;"note it in reporting. ",""))</f>
        <v/>
      </c>
      <c r="P209" s="6"/>
      <c r="Q209" s="9" t="n">
        <f aca="false">IF($B209="",0,IF(COUNTIFS($B$5:$B209,$B209)=1,1,0))</f>
        <v>0</v>
      </c>
    </row>
    <row r="210" customFormat="false" ht="15" hidden="false" customHeight="false" outlineLevel="0" collapsed="false">
      <c r="A210" s="6"/>
      <c r="B210" s="6"/>
      <c r="C210" s="6"/>
      <c r="D210" s="6"/>
      <c r="E210" s="6"/>
      <c r="F210" s="6"/>
      <c r="G210" s="7"/>
      <c r="H210" s="7"/>
      <c r="I210" s="6"/>
      <c r="J210" s="9" t="str">
        <f aca="false">IF(NOT(ISNUMBER($G210)),"",IF(AND(ASH_CORRECTED="Yes",ISNUMBER($H210)),$G210*(1-$H210),$G210))</f>
        <v/>
      </c>
      <c r="K210" s="9" t="str">
        <f aca="false">IF($B210="","",IFERROR(AVERAGEIFS('2. Soil Data'!$G$5:$G$604,'2. Soil Data'!$B$5:$B$604,$B210),""))</f>
        <v/>
      </c>
      <c r="L210" s="9" t="str">
        <f aca="false">IF(NOT(ISNUMBER($K210)),"",PI()*($K210/2)^2)</f>
        <v/>
      </c>
      <c r="M210" s="9" t="str">
        <f aca="false">IF(OR(NOT(ISNUMBER($J210)),NOT(ISNUMBER($L210)),$L210=0),"",$J210/$L210*10000)</f>
        <v/>
      </c>
      <c r="N210" s="9" t="str">
        <f aca="false">IF(NOT(ISNUMBER($M210)),"",$M210*CARBON_FRACTION_ROOT/1000)</f>
        <v/>
      </c>
      <c r="O210" s="11" t="str">
        <f aca="false">IF(AND($A210="",$B210="",$G210=""),"",IF(AND($B210&lt;&gt;"",COUNTIFS('2. Soil Data'!$B$5:$B$604,$B210)=0),"Core ID not found in Soil Data, so the corer diameter cannot be looked up. ","")&amp;IF(ASH_CORRECTED&lt;&gt;"Yes","Root mass is NOT ash-corrected, so it includes adhering mineral soil and is too high. Set ASH_CORRECTED once you have done it. ","")&amp;IF(AND(ASH_CORRECTED="Yes",NOT(ISNUMBER($H210))),"Ash correction is switched on but no ash fraction is given for this row. ","")&amp;IF($I210="","Sieve mesh not recorded — a fine-root figure cannot be interpreted without it. ","")&amp;IF(AND(ISNUMBER($H210),$H210&gt;0.5),"Ash fraction above 0.5 — over half this sample was mineral soil. Re-wash. ","")&amp;IF($F210="Not separated","Live and dead not separated. Fine for a stock, but "&amp;"note it in reporting. ",""))</f>
        <v/>
      </c>
      <c r="P210" s="6"/>
      <c r="Q210" s="9" t="n">
        <f aca="false">IF($B210="",0,IF(COUNTIFS($B$5:$B210,$B210)=1,1,0))</f>
        <v>0</v>
      </c>
    </row>
    <row r="211" customFormat="false" ht="15" hidden="false" customHeight="false" outlineLevel="0" collapsed="false">
      <c r="A211" s="6"/>
      <c r="B211" s="6"/>
      <c r="C211" s="6"/>
      <c r="D211" s="6"/>
      <c r="E211" s="6"/>
      <c r="F211" s="6"/>
      <c r="G211" s="7"/>
      <c r="H211" s="7"/>
      <c r="I211" s="6"/>
      <c r="J211" s="9" t="str">
        <f aca="false">IF(NOT(ISNUMBER($G211)),"",IF(AND(ASH_CORRECTED="Yes",ISNUMBER($H211)),$G211*(1-$H211),$G211))</f>
        <v/>
      </c>
      <c r="K211" s="9" t="str">
        <f aca="false">IF($B211="","",IFERROR(AVERAGEIFS('2. Soil Data'!$G$5:$G$604,'2. Soil Data'!$B$5:$B$604,$B211),""))</f>
        <v/>
      </c>
      <c r="L211" s="9" t="str">
        <f aca="false">IF(NOT(ISNUMBER($K211)),"",PI()*($K211/2)^2)</f>
        <v/>
      </c>
      <c r="M211" s="9" t="str">
        <f aca="false">IF(OR(NOT(ISNUMBER($J211)),NOT(ISNUMBER($L211)),$L211=0),"",$J211/$L211*10000)</f>
        <v/>
      </c>
      <c r="N211" s="9" t="str">
        <f aca="false">IF(NOT(ISNUMBER($M211)),"",$M211*CARBON_FRACTION_ROOT/1000)</f>
        <v/>
      </c>
      <c r="O211" s="11" t="str">
        <f aca="false">IF(AND($A211="",$B211="",$G211=""),"",IF(AND($B211&lt;&gt;"",COUNTIFS('2. Soil Data'!$B$5:$B$604,$B211)=0),"Core ID not found in Soil Data, so the corer diameter cannot be looked up. ","")&amp;IF(ASH_CORRECTED&lt;&gt;"Yes","Root mass is NOT ash-corrected, so it includes adhering mineral soil and is too high. Set ASH_CORRECTED once you have done it. ","")&amp;IF(AND(ASH_CORRECTED="Yes",NOT(ISNUMBER($H211))),"Ash correction is switched on but no ash fraction is given for this row. ","")&amp;IF($I211="","Sieve mesh not recorded — a fine-root figure cannot be interpreted without it. ","")&amp;IF(AND(ISNUMBER($H211),$H211&gt;0.5),"Ash fraction above 0.5 — over half this sample was mineral soil. Re-wash. ","")&amp;IF($F211="Not separated","Live and dead not separated. Fine for a stock, but "&amp;"note it in reporting. ",""))</f>
        <v/>
      </c>
      <c r="P211" s="6"/>
      <c r="Q211" s="9" t="n">
        <f aca="false">IF($B211="",0,IF(COUNTIFS($B$5:$B211,$B211)=1,1,0))</f>
        <v>0</v>
      </c>
    </row>
    <row r="212" customFormat="false" ht="15" hidden="false" customHeight="false" outlineLevel="0" collapsed="false">
      <c r="A212" s="6"/>
      <c r="B212" s="6"/>
      <c r="C212" s="6"/>
      <c r="D212" s="6"/>
      <c r="E212" s="6"/>
      <c r="F212" s="6"/>
      <c r="G212" s="7"/>
      <c r="H212" s="7"/>
      <c r="I212" s="6"/>
      <c r="J212" s="9" t="str">
        <f aca="false">IF(NOT(ISNUMBER($G212)),"",IF(AND(ASH_CORRECTED="Yes",ISNUMBER($H212)),$G212*(1-$H212),$G212))</f>
        <v/>
      </c>
      <c r="K212" s="9" t="str">
        <f aca="false">IF($B212="","",IFERROR(AVERAGEIFS('2. Soil Data'!$G$5:$G$604,'2. Soil Data'!$B$5:$B$604,$B212),""))</f>
        <v/>
      </c>
      <c r="L212" s="9" t="str">
        <f aca="false">IF(NOT(ISNUMBER($K212)),"",PI()*($K212/2)^2)</f>
        <v/>
      </c>
      <c r="M212" s="9" t="str">
        <f aca="false">IF(OR(NOT(ISNUMBER($J212)),NOT(ISNUMBER($L212)),$L212=0),"",$J212/$L212*10000)</f>
        <v/>
      </c>
      <c r="N212" s="9" t="str">
        <f aca="false">IF(NOT(ISNUMBER($M212)),"",$M212*CARBON_FRACTION_ROOT/1000)</f>
        <v/>
      </c>
      <c r="O212" s="11" t="str">
        <f aca="false">IF(AND($A212="",$B212="",$G212=""),"",IF(AND($B212&lt;&gt;"",COUNTIFS('2. Soil Data'!$B$5:$B$604,$B212)=0),"Core ID not found in Soil Data, so the corer diameter cannot be looked up. ","")&amp;IF(ASH_CORRECTED&lt;&gt;"Yes","Root mass is NOT ash-corrected, so it includes adhering mineral soil and is too high. Set ASH_CORRECTED once you have done it. ","")&amp;IF(AND(ASH_CORRECTED="Yes",NOT(ISNUMBER($H212))),"Ash correction is switched on but no ash fraction is given for this row. ","")&amp;IF($I212="","Sieve mesh not recorded — a fine-root figure cannot be interpreted without it. ","")&amp;IF(AND(ISNUMBER($H212),$H212&gt;0.5),"Ash fraction above 0.5 — over half this sample was mineral soil. Re-wash. ","")&amp;IF($F212="Not separated","Live and dead not separated. Fine for a stock, but "&amp;"note it in reporting. ",""))</f>
        <v/>
      </c>
      <c r="P212" s="6"/>
      <c r="Q212" s="9" t="n">
        <f aca="false">IF($B212="",0,IF(COUNTIFS($B$5:$B212,$B212)=1,1,0))</f>
        <v>0</v>
      </c>
    </row>
    <row r="213" customFormat="false" ht="15" hidden="false" customHeight="false" outlineLevel="0" collapsed="false">
      <c r="A213" s="6"/>
      <c r="B213" s="6"/>
      <c r="C213" s="6"/>
      <c r="D213" s="6"/>
      <c r="E213" s="6"/>
      <c r="F213" s="6"/>
      <c r="G213" s="7"/>
      <c r="H213" s="7"/>
      <c r="I213" s="6"/>
      <c r="J213" s="9" t="str">
        <f aca="false">IF(NOT(ISNUMBER($G213)),"",IF(AND(ASH_CORRECTED="Yes",ISNUMBER($H213)),$G213*(1-$H213),$G213))</f>
        <v/>
      </c>
      <c r="K213" s="9" t="str">
        <f aca="false">IF($B213="","",IFERROR(AVERAGEIFS('2. Soil Data'!$G$5:$G$604,'2. Soil Data'!$B$5:$B$604,$B213),""))</f>
        <v/>
      </c>
      <c r="L213" s="9" t="str">
        <f aca="false">IF(NOT(ISNUMBER($K213)),"",PI()*($K213/2)^2)</f>
        <v/>
      </c>
      <c r="M213" s="9" t="str">
        <f aca="false">IF(OR(NOT(ISNUMBER($J213)),NOT(ISNUMBER($L213)),$L213=0),"",$J213/$L213*10000)</f>
        <v/>
      </c>
      <c r="N213" s="9" t="str">
        <f aca="false">IF(NOT(ISNUMBER($M213)),"",$M213*CARBON_FRACTION_ROOT/1000)</f>
        <v/>
      </c>
      <c r="O213" s="11" t="str">
        <f aca="false">IF(AND($A213="",$B213="",$G213=""),"",IF(AND($B213&lt;&gt;"",COUNTIFS('2. Soil Data'!$B$5:$B$604,$B213)=0),"Core ID not found in Soil Data, so the corer diameter cannot be looked up. ","")&amp;IF(ASH_CORRECTED&lt;&gt;"Yes","Root mass is NOT ash-corrected, so it includes adhering mineral soil and is too high. Set ASH_CORRECTED once you have done it. ","")&amp;IF(AND(ASH_CORRECTED="Yes",NOT(ISNUMBER($H213))),"Ash correction is switched on but no ash fraction is given for this row. ","")&amp;IF($I213="","Sieve mesh not recorded — a fine-root figure cannot be interpreted without it. ","")&amp;IF(AND(ISNUMBER($H213),$H213&gt;0.5),"Ash fraction above 0.5 — over half this sample was mineral soil. Re-wash. ","")&amp;IF($F213="Not separated","Live and dead not separated. Fine for a stock, but "&amp;"note it in reporting. ",""))</f>
        <v/>
      </c>
      <c r="P213" s="6"/>
      <c r="Q213" s="9" t="n">
        <f aca="false">IF($B213="",0,IF(COUNTIFS($B$5:$B213,$B213)=1,1,0))</f>
        <v>0</v>
      </c>
    </row>
    <row r="214" customFormat="false" ht="15" hidden="false" customHeight="false" outlineLevel="0" collapsed="false">
      <c r="A214" s="6"/>
      <c r="B214" s="6"/>
      <c r="C214" s="6"/>
      <c r="D214" s="6"/>
      <c r="E214" s="6"/>
      <c r="F214" s="6"/>
      <c r="G214" s="7"/>
      <c r="H214" s="7"/>
      <c r="I214" s="6"/>
      <c r="J214" s="9" t="str">
        <f aca="false">IF(NOT(ISNUMBER($G214)),"",IF(AND(ASH_CORRECTED="Yes",ISNUMBER($H214)),$G214*(1-$H214),$G214))</f>
        <v/>
      </c>
      <c r="K214" s="9" t="str">
        <f aca="false">IF($B214="","",IFERROR(AVERAGEIFS('2. Soil Data'!$G$5:$G$604,'2. Soil Data'!$B$5:$B$604,$B214),""))</f>
        <v/>
      </c>
      <c r="L214" s="9" t="str">
        <f aca="false">IF(NOT(ISNUMBER($K214)),"",PI()*($K214/2)^2)</f>
        <v/>
      </c>
      <c r="M214" s="9" t="str">
        <f aca="false">IF(OR(NOT(ISNUMBER($J214)),NOT(ISNUMBER($L214)),$L214=0),"",$J214/$L214*10000)</f>
        <v/>
      </c>
      <c r="N214" s="9" t="str">
        <f aca="false">IF(NOT(ISNUMBER($M214)),"",$M214*CARBON_FRACTION_ROOT/1000)</f>
        <v/>
      </c>
      <c r="O214" s="11" t="str">
        <f aca="false">IF(AND($A214="",$B214="",$G214=""),"",IF(AND($B214&lt;&gt;"",COUNTIFS('2. Soil Data'!$B$5:$B$604,$B214)=0),"Core ID not found in Soil Data, so the corer diameter cannot be looked up. ","")&amp;IF(ASH_CORRECTED&lt;&gt;"Yes","Root mass is NOT ash-corrected, so it includes adhering mineral soil and is too high. Set ASH_CORRECTED once you have done it. ","")&amp;IF(AND(ASH_CORRECTED="Yes",NOT(ISNUMBER($H214))),"Ash correction is switched on but no ash fraction is given for this row. ","")&amp;IF($I214="","Sieve mesh not recorded — a fine-root figure cannot be interpreted without it. ","")&amp;IF(AND(ISNUMBER($H214),$H214&gt;0.5),"Ash fraction above 0.5 — over half this sample was mineral soil. Re-wash. ","")&amp;IF($F214="Not separated","Live and dead not separated. Fine for a stock, but "&amp;"note it in reporting. ",""))</f>
        <v/>
      </c>
      <c r="P214" s="6"/>
      <c r="Q214" s="9" t="n">
        <f aca="false">IF($B214="",0,IF(COUNTIFS($B$5:$B214,$B214)=1,1,0))</f>
        <v>0</v>
      </c>
    </row>
    <row r="215" customFormat="false" ht="15" hidden="false" customHeight="false" outlineLevel="0" collapsed="false">
      <c r="A215" s="6"/>
      <c r="B215" s="6"/>
      <c r="C215" s="6"/>
      <c r="D215" s="6"/>
      <c r="E215" s="6"/>
      <c r="F215" s="6"/>
      <c r="G215" s="7"/>
      <c r="H215" s="7"/>
      <c r="I215" s="6"/>
      <c r="J215" s="9" t="str">
        <f aca="false">IF(NOT(ISNUMBER($G215)),"",IF(AND(ASH_CORRECTED="Yes",ISNUMBER($H215)),$G215*(1-$H215),$G215))</f>
        <v/>
      </c>
      <c r="K215" s="9" t="str">
        <f aca="false">IF($B215="","",IFERROR(AVERAGEIFS('2. Soil Data'!$G$5:$G$604,'2. Soil Data'!$B$5:$B$604,$B215),""))</f>
        <v/>
      </c>
      <c r="L215" s="9" t="str">
        <f aca="false">IF(NOT(ISNUMBER($K215)),"",PI()*($K215/2)^2)</f>
        <v/>
      </c>
      <c r="M215" s="9" t="str">
        <f aca="false">IF(OR(NOT(ISNUMBER($J215)),NOT(ISNUMBER($L215)),$L215=0),"",$J215/$L215*10000)</f>
        <v/>
      </c>
      <c r="N215" s="9" t="str">
        <f aca="false">IF(NOT(ISNUMBER($M215)),"",$M215*CARBON_FRACTION_ROOT/1000)</f>
        <v/>
      </c>
      <c r="O215" s="11" t="str">
        <f aca="false">IF(AND($A215="",$B215="",$G215=""),"",IF(AND($B215&lt;&gt;"",COUNTIFS('2. Soil Data'!$B$5:$B$604,$B215)=0),"Core ID not found in Soil Data, so the corer diameter cannot be looked up. ","")&amp;IF(ASH_CORRECTED&lt;&gt;"Yes","Root mass is NOT ash-corrected, so it includes adhering mineral soil and is too high. Set ASH_CORRECTED once you have done it. ","")&amp;IF(AND(ASH_CORRECTED="Yes",NOT(ISNUMBER($H215))),"Ash correction is switched on but no ash fraction is given for this row. ","")&amp;IF($I215="","Sieve mesh not recorded — a fine-root figure cannot be interpreted without it. ","")&amp;IF(AND(ISNUMBER($H215),$H215&gt;0.5),"Ash fraction above 0.5 — over half this sample was mineral soil. Re-wash. ","")&amp;IF($F215="Not separated","Live and dead not separated. Fine for a stock, but "&amp;"note it in reporting. ",""))</f>
        <v/>
      </c>
      <c r="P215" s="6"/>
      <c r="Q215" s="9" t="n">
        <f aca="false">IF($B215="",0,IF(COUNTIFS($B$5:$B215,$B215)=1,1,0))</f>
        <v>0</v>
      </c>
    </row>
    <row r="216" customFormat="false" ht="15" hidden="false" customHeight="false" outlineLevel="0" collapsed="false">
      <c r="A216" s="6"/>
      <c r="B216" s="6"/>
      <c r="C216" s="6"/>
      <c r="D216" s="6"/>
      <c r="E216" s="6"/>
      <c r="F216" s="6"/>
      <c r="G216" s="7"/>
      <c r="H216" s="7"/>
      <c r="I216" s="6"/>
      <c r="J216" s="9" t="str">
        <f aca="false">IF(NOT(ISNUMBER($G216)),"",IF(AND(ASH_CORRECTED="Yes",ISNUMBER($H216)),$G216*(1-$H216),$G216))</f>
        <v/>
      </c>
      <c r="K216" s="9" t="str">
        <f aca="false">IF($B216="","",IFERROR(AVERAGEIFS('2. Soil Data'!$G$5:$G$604,'2. Soil Data'!$B$5:$B$604,$B216),""))</f>
        <v/>
      </c>
      <c r="L216" s="9" t="str">
        <f aca="false">IF(NOT(ISNUMBER($K216)),"",PI()*($K216/2)^2)</f>
        <v/>
      </c>
      <c r="M216" s="9" t="str">
        <f aca="false">IF(OR(NOT(ISNUMBER($J216)),NOT(ISNUMBER($L216)),$L216=0),"",$J216/$L216*10000)</f>
        <v/>
      </c>
      <c r="N216" s="9" t="str">
        <f aca="false">IF(NOT(ISNUMBER($M216)),"",$M216*CARBON_FRACTION_ROOT/1000)</f>
        <v/>
      </c>
      <c r="O216" s="11" t="str">
        <f aca="false">IF(AND($A216="",$B216="",$G216=""),"",IF(AND($B216&lt;&gt;"",COUNTIFS('2. Soil Data'!$B$5:$B$604,$B216)=0),"Core ID not found in Soil Data, so the corer diameter cannot be looked up. ","")&amp;IF(ASH_CORRECTED&lt;&gt;"Yes","Root mass is NOT ash-corrected, so it includes adhering mineral soil and is too high. Set ASH_CORRECTED once you have done it. ","")&amp;IF(AND(ASH_CORRECTED="Yes",NOT(ISNUMBER($H216))),"Ash correction is switched on but no ash fraction is given for this row. ","")&amp;IF($I216="","Sieve mesh not recorded — a fine-root figure cannot be interpreted without it. ","")&amp;IF(AND(ISNUMBER($H216),$H216&gt;0.5),"Ash fraction above 0.5 — over half this sample was mineral soil. Re-wash. ","")&amp;IF($F216="Not separated","Live and dead not separated. Fine for a stock, but "&amp;"note it in reporting. ",""))</f>
        <v/>
      </c>
      <c r="P216" s="6"/>
      <c r="Q216" s="9" t="n">
        <f aca="false">IF($B216="",0,IF(COUNTIFS($B$5:$B216,$B216)=1,1,0))</f>
        <v>0</v>
      </c>
    </row>
    <row r="217" customFormat="false" ht="15" hidden="false" customHeight="false" outlineLevel="0" collapsed="false">
      <c r="A217" s="6"/>
      <c r="B217" s="6"/>
      <c r="C217" s="6"/>
      <c r="D217" s="6"/>
      <c r="E217" s="6"/>
      <c r="F217" s="6"/>
      <c r="G217" s="7"/>
      <c r="H217" s="7"/>
      <c r="I217" s="6"/>
      <c r="J217" s="9" t="str">
        <f aca="false">IF(NOT(ISNUMBER($G217)),"",IF(AND(ASH_CORRECTED="Yes",ISNUMBER($H217)),$G217*(1-$H217),$G217))</f>
        <v/>
      </c>
      <c r="K217" s="9" t="str">
        <f aca="false">IF($B217="","",IFERROR(AVERAGEIFS('2. Soil Data'!$G$5:$G$604,'2. Soil Data'!$B$5:$B$604,$B217),""))</f>
        <v/>
      </c>
      <c r="L217" s="9" t="str">
        <f aca="false">IF(NOT(ISNUMBER($K217)),"",PI()*($K217/2)^2)</f>
        <v/>
      </c>
      <c r="M217" s="9" t="str">
        <f aca="false">IF(OR(NOT(ISNUMBER($J217)),NOT(ISNUMBER($L217)),$L217=0),"",$J217/$L217*10000)</f>
        <v/>
      </c>
      <c r="N217" s="9" t="str">
        <f aca="false">IF(NOT(ISNUMBER($M217)),"",$M217*CARBON_FRACTION_ROOT/1000)</f>
        <v/>
      </c>
      <c r="O217" s="11" t="str">
        <f aca="false">IF(AND($A217="",$B217="",$G217=""),"",IF(AND($B217&lt;&gt;"",COUNTIFS('2. Soil Data'!$B$5:$B$604,$B217)=0),"Core ID not found in Soil Data, so the corer diameter cannot be looked up. ","")&amp;IF(ASH_CORRECTED&lt;&gt;"Yes","Root mass is NOT ash-corrected, so it includes adhering mineral soil and is too high. Set ASH_CORRECTED once you have done it. ","")&amp;IF(AND(ASH_CORRECTED="Yes",NOT(ISNUMBER($H217))),"Ash correction is switched on but no ash fraction is given for this row. ","")&amp;IF($I217="","Sieve mesh not recorded — a fine-root figure cannot be interpreted without it. ","")&amp;IF(AND(ISNUMBER($H217),$H217&gt;0.5),"Ash fraction above 0.5 — over half this sample was mineral soil. Re-wash. ","")&amp;IF($F217="Not separated","Live and dead not separated. Fine for a stock, but "&amp;"note it in reporting. ",""))</f>
        <v/>
      </c>
      <c r="P217" s="6"/>
      <c r="Q217" s="9" t="n">
        <f aca="false">IF($B217="",0,IF(COUNTIFS($B$5:$B217,$B217)=1,1,0))</f>
        <v>0</v>
      </c>
    </row>
    <row r="218" customFormat="false" ht="15" hidden="false" customHeight="false" outlineLevel="0" collapsed="false">
      <c r="A218" s="6"/>
      <c r="B218" s="6"/>
      <c r="C218" s="6"/>
      <c r="D218" s="6"/>
      <c r="E218" s="6"/>
      <c r="F218" s="6"/>
      <c r="G218" s="7"/>
      <c r="H218" s="7"/>
      <c r="I218" s="6"/>
      <c r="J218" s="9" t="str">
        <f aca="false">IF(NOT(ISNUMBER($G218)),"",IF(AND(ASH_CORRECTED="Yes",ISNUMBER($H218)),$G218*(1-$H218),$G218))</f>
        <v/>
      </c>
      <c r="K218" s="9" t="str">
        <f aca="false">IF($B218="","",IFERROR(AVERAGEIFS('2. Soil Data'!$G$5:$G$604,'2. Soil Data'!$B$5:$B$604,$B218),""))</f>
        <v/>
      </c>
      <c r="L218" s="9" t="str">
        <f aca="false">IF(NOT(ISNUMBER($K218)),"",PI()*($K218/2)^2)</f>
        <v/>
      </c>
      <c r="M218" s="9" t="str">
        <f aca="false">IF(OR(NOT(ISNUMBER($J218)),NOT(ISNUMBER($L218)),$L218=0),"",$J218/$L218*10000)</f>
        <v/>
      </c>
      <c r="N218" s="9" t="str">
        <f aca="false">IF(NOT(ISNUMBER($M218)),"",$M218*CARBON_FRACTION_ROOT/1000)</f>
        <v/>
      </c>
      <c r="O218" s="11" t="str">
        <f aca="false">IF(AND($A218="",$B218="",$G218=""),"",IF(AND($B218&lt;&gt;"",COUNTIFS('2. Soil Data'!$B$5:$B$604,$B218)=0),"Core ID not found in Soil Data, so the corer diameter cannot be looked up. ","")&amp;IF(ASH_CORRECTED&lt;&gt;"Yes","Root mass is NOT ash-corrected, so it includes adhering mineral soil and is too high. Set ASH_CORRECTED once you have done it. ","")&amp;IF(AND(ASH_CORRECTED="Yes",NOT(ISNUMBER($H218))),"Ash correction is switched on but no ash fraction is given for this row. ","")&amp;IF($I218="","Sieve mesh not recorded — a fine-root figure cannot be interpreted without it. ","")&amp;IF(AND(ISNUMBER($H218),$H218&gt;0.5),"Ash fraction above 0.5 — over half this sample was mineral soil. Re-wash. ","")&amp;IF($F218="Not separated","Live and dead not separated. Fine for a stock, but "&amp;"note it in reporting. ",""))</f>
        <v/>
      </c>
      <c r="P218" s="6"/>
      <c r="Q218" s="9" t="n">
        <f aca="false">IF($B218="",0,IF(COUNTIFS($B$5:$B218,$B218)=1,1,0))</f>
        <v>0</v>
      </c>
    </row>
    <row r="219" customFormat="false" ht="15" hidden="false" customHeight="false" outlineLevel="0" collapsed="false">
      <c r="A219" s="6"/>
      <c r="B219" s="6"/>
      <c r="C219" s="6"/>
      <c r="D219" s="6"/>
      <c r="E219" s="6"/>
      <c r="F219" s="6"/>
      <c r="G219" s="7"/>
      <c r="H219" s="7"/>
      <c r="I219" s="6"/>
      <c r="J219" s="9" t="str">
        <f aca="false">IF(NOT(ISNUMBER($G219)),"",IF(AND(ASH_CORRECTED="Yes",ISNUMBER($H219)),$G219*(1-$H219),$G219))</f>
        <v/>
      </c>
      <c r="K219" s="9" t="str">
        <f aca="false">IF($B219="","",IFERROR(AVERAGEIFS('2. Soil Data'!$G$5:$G$604,'2. Soil Data'!$B$5:$B$604,$B219),""))</f>
        <v/>
      </c>
      <c r="L219" s="9" t="str">
        <f aca="false">IF(NOT(ISNUMBER($K219)),"",PI()*($K219/2)^2)</f>
        <v/>
      </c>
      <c r="M219" s="9" t="str">
        <f aca="false">IF(OR(NOT(ISNUMBER($J219)),NOT(ISNUMBER($L219)),$L219=0),"",$J219/$L219*10000)</f>
        <v/>
      </c>
      <c r="N219" s="9" t="str">
        <f aca="false">IF(NOT(ISNUMBER($M219)),"",$M219*CARBON_FRACTION_ROOT/1000)</f>
        <v/>
      </c>
      <c r="O219" s="11" t="str">
        <f aca="false">IF(AND($A219="",$B219="",$G219=""),"",IF(AND($B219&lt;&gt;"",COUNTIFS('2. Soil Data'!$B$5:$B$604,$B219)=0),"Core ID not found in Soil Data, so the corer diameter cannot be looked up. ","")&amp;IF(ASH_CORRECTED&lt;&gt;"Yes","Root mass is NOT ash-corrected, so it includes adhering mineral soil and is too high. Set ASH_CORRECTED once you have done it. ","")&amp;IF(AND(ASH_CORRECTED="Yes",NOT(ISNUMBER($H219))),"Ash correction is switched on but no ash fraction is given for this row. ","")&amp;IF($I219="","Sieve mesh not recorded — a fine-root figure cannot be interpreted without it. ","")&amp;IF(AND(ISNUMBER($H219),$H219&gt;0.5),"Ash fraction above 0.5 — over half this sample was mineral soil. Re-wash. ","")&amp;IF($F219="Not separated","Live and dead not separated. Fine for a stock, but "&amp;"note it in reporting. ",""))</f>
        <v/>
      </c>
      <c r="P219" s="6"/>
      <c r="Q219" s="9" t="n">
        <f aca="false">IF($B219="",0,IF(COUNTIFS($B$5:$B219,$B219)=1,1,0))</f>
        <v>0</v>
      </c>
    </row>
    <row r="220" customFormat="false" ht="15" hidden="false" customHeight="false" outlineLevel="0" collapsed="false">
      <c r="A220" s="6"/>
      <c r="B220" s="6"/>
      <c r="C220" s="6"/>
      <c r="D220" s="6"/>
      <c r="E220" s="6"/>
      <c r="F220" s="6"/>
      <c r="G220" s="7"/>
      <c r="H220" s="7"/>
      <c r="I220" s="6"/>
      <c r="J220" s="9" t="str">
        <f aca="false">IF(NOT(ISNUMBER($G220)),"",IF(AND(ASH_CORRECTED="Yes",ISNUMBER($H220)),$G220*(1-$H220),$G220))</f>
        <v/>
      </c>
      <c r="K220" s="9" t="str">
        <f aca="false">IF($B220="","",IFERROR(AVERAGEIFS('2. Soil Data'!$G$5:$G$604,'2. Soil Data'!$B$5:$B$604,$B220),""))</f>
        <v/>
      </c>
      <c r="L220" s="9" t="str">
        <f aca="false">IF(NOT(ISNUMBER($K220)),"",PI()*($K220/2)^2)</f>
        <v/>
      </c>
      <c r="M220" s="9" t="str">
        <f aca="false">IF(OR(NOT(ISNUMBER($J220)),NOT(ISNUMBER($L220)),$L220=0),"",$J220/$L220*10000)</f>
        <v/>
      </c>
      <c r="N220" s="9" t="str">
        <f aca="false">IF(NOT(ISNUMBER($M220)),"",$M220*CARBON_FRACTION_ROOT/1000)</f>
        <v/>
      </c>
      <c r="O220" s="11" t="str">
        <f aca="false">IF(AND($A220="",$B220="",$G220=""),"",IF(AND($B220&lt;&gt;"",COUNTIFS('2. Soil Data'!$B$5:$B$604,$B220)=0),"Core ID not found in Soil Data, so the corer diameter cannot be looked up. ","")&amp;IF(ASH_CORRECTED&lt;&gt;"Yes","Root mass is NOT ash-corrected, so it includes adhering mineral soil and is too high. Set ASH_CORRECTED once you have done it. ","")&amp;IF(AND(ASH_CORRECTED="Yes",NOT(ISNUMBER($H220))),"Ash correction is switched on but no ash fraction is given for this row. ","")&amp;IF($I220="","Sieve mesh not recorded — a fine-root figure cannot be interpreted without it. ","")&amp;IF(AND(ISNUMBER($H220),$H220&gt;0.5),"Ash fraction above 0.5 — over half this sample was mineral soil. Re-wash. ","")&amp;IF($F220="Not separated","Live and dead not separated. Fine for a stock, but "&amp;"note it in reporting. ",""))</f>
        <v/>
      </c>
      <c r="P220" s="6"/>
      <c r="Q220" s="9" t="n">
        <f aca="false">IF($B220="",0,IF(COUNTIFS($B$5:$B220,$B220)=1,1,0))</f>
        <v>0</v>
      </c>
    </row>
    <row r="221" customFormat="false" ht="15" hidden="false" customHeight="false" outlineLevel="0" collapsed="false">
      <c r="A221" s="6"/>
      <c r="B221" s="6"/>
      <c r="C221" s="6"/>
      <c r="D221" s="6"/>
      <c r="E221" s="6"/>
      <c r="F221" s="6"/>
      <c r="G221" s="7"/>
      <c r="H221" s="7"/>
      <c r="I221" s="6"/>
      <c r="J221" s="9" t="str">
        <f aca="false">IF(NOT(ISNUMBER($G221)),"",IF(AND(ASH_CORRECTED="Yes",ISNUMBER($H221)),$G221*(1-$H221),$G221))</f>
        <v/>
      </c>
      <c r="K221" s="9" t="str">
        <f aca="false">IF($B221="","",IFERROR(AVERAGEIFS('2. Soil Data'!$G$5:$G$604,'2. Soil Data'!$B$5:$B$604,$B221),""))</f>
        <v/>
      </c>
      <c r="L221" s="9" t="str">
        <f aca="false">IF(NOT(ISNUMBER($K221)),"",PI()*($K221/2)^2)</f>
        <v/>
      </c>
      <c r="M221" s="9" t="str">
        <f aca="false">IF(OR(NOT(ISNUMBER($J221)),NOT(ISNUMBER($L221)),$L221=0),"",$J221/$L221*10000)</f>
        <v/>
      </c>
      <c r="N221" s="9" t="str">
        <f aca="false">IF(NOT(ISNUMBER($M221)),"",$M221*CARBON_FRACTION_ROOT/1000)</f>
        <v/>
      </c>
      <c r="O221" s="11" t="str">
        <f aca="false">IF(AND($A221="",$B221="",$G221=""),"",IF(AND($B221&lt;&gt;"",COUNTIFS('2. Soil Data'!$B$5:$B$604,$B221)=0),"Core ID not found in Soil Data, so the corer diameter cannot be looked up. ","")&amp;IF(ASH_CORRECTED&lt;&gt;"Yes","Root mass is NOT ash-corrected, so it includes adhering mineral soil and is too high. Set ASH_CORRECTED once you have done it. ","")&amp;IF(AND(ASH_CORRECTED="Yes",NOT(ISNUMBER($H221))),"Ash correction is switched on but no ash fraction is given for this row. ","")&amp;IF($I221="","Sieve mesh not recorded — a fine-root figure cannot be interpreted without it. ","")&amp;IF(AND(ISNUMBER($H221),$H221&gt;0.5),"Ash fraction above 0.5 — over half this sample was mineral soil. Re-wash. ","")&amp;IF($F221="Not separated","Live and dead not separated. Fine for a stock, but "&amp;"note it in reporting. ",""))</f>
        <v/>
      </c>
      <c r="P221" s="6"/>
      <c r="Q221" s="9" t="n">
        <f aca="false">IF($B221="",0,IF(COUNTIFS($B$5:$B221,$B221)=1,1,0))</f>
        <v>0</v>
      </c>
    </row>
    <row r="222" customFormat="false" ht="15" hidden="false" customHeight="false" outlineLevel="0" collapsed="false">
      <c r="A222" s="6"/>
      <c r="B222" s="6"/>
      <c r="C222" s="6"/>
      <c r="D222" s="6"/>
      <c r="E222" s="6"/>
      <c r="F222" s="6"/>
      <c r="G222" s="7"/>
      <c r="H222" s="7"/>
      <c r="I222" s="6"/>
      <c r="J222" s="9" t="str">
        <f aca="false">IF(NOT(ISNUMBER($G222)),"",IF(AND(ASH_CORRECTED="Yes",ISNUMBER($H222)),$G222*(1-$H222),$G222))</f>
        <v/>
      </c>
      <c r="K222" s="9" t="str">
        <f aca="false">IF($B222="","",IFERROR(AVERAGEIFS('2. Soil Data'!$G$5:$G$604,'2. Soil Data'!$B$5:$B$604,$B222),""))</f>
        <v/>
      </c>
      <c r="L222" s="9" t="str">
        <f aca="false">IF(NOT(ISNUMBER($K222)),"",PI()*($K222/2)^2)</f>
        <v/>
      </c>
      <c r="M222" s="9" t="str">
        <f aca="false">IF(OR(NOT(ISNUMBER($J222)),NOT(ISNUMBER($L222)),$L222=0),"",$J222/$L222*10000)</f>
        <v/>
      </c>
      <c r="N222" s="9" t="str">
        <f aca="false">IF(NOT(ISNUMBER($M222)),"",$M222*CARBON_FRACTION_ROOT/1000)</f>
        <v/>
      </c>
      <c r="O222" s="11" t="str">
        <f aca="false">IF(AND($A222="",$B222="",$G222=""),"",IF(AND($B222&lt;&gt;"",COUNTIFS('2. Soil Data'!$B$5:$B$604,$B222)=0),"Core ID not found in Soil Data, so the corer diameter cannot be looked up. ","")&amp;IF(ASH_CORRECTED&lt;&gt;"Yes","Root mass is NOT ash-corrected, so it includes adhering mineral soil and is too high. Set ASH_CORRECTED once you have done it. ","")&amp;IF(AND(ASH_CORRECTED="Yes",NOT(ISNUMBER($H222))),"Ash correction is switched on but no ash fraction is given for this row. ","")&amp;IF($I222="","Sieve mesh not recorded — a fine-root figure cannot be interpreted without it. ","")&amp;IF(AND(ISNUMBER($H222),$H222&gt;0.5),"Ash fraction above 0.5 — over half this sample was mineral soil. Re-wash. ","")&amp;IF($F222="Not separated","Live and dead not separated. Fine for a stock, but "&amp;"note it in reporting. ",""))</f>
        <v/>
      </c>
      <c r="P222" s="6"/>
      <c r="Q222" s="9" t="n">
        <f aca="false">IF($B222="",0,IF(COUNTIFS($B$5:$B222,$B222)=1,1,0))</f>
        <v>0</v>
      </c>
    </row>
    <row r="223" customFormat="false" ht="15" hidden="false" customHeight="false" outlineLevel="0" collapsed="false">
      <c r="A223" s="6"/>
      <c r="B223" s="6"/>
      <c r="C223" s="6"/>
      <c r="D223" s="6"/>
      <c r="E223" s="6"/>
      <c r="F223" s="6"/>
      <c r="G223" s="7"/>
      <c r="H223" s="7"/>
      <c r="I223" s="6"/>
      <c r="J223" s="9" t="str">
        <f aca="false">IF(NOT(ISNUMBER($G223)),"",IF(AND(ASH_CORRECTED="Yes",ISNUMBER($H223)),$G223*(1-$H223),$G223))</f>
        <v/>
      </c>
      <c r="K223" s="9" t="str">
        <f aca="false">IF($B223="","",IFERROR(AVERAGEIFS('2. Soil Data'!$G$5:$G$604,'2. Soil Data'!$B$5:$B$604,$B223),""))</f>
        <v/>
      </c>
      <c r="L223" s="9" t="str">
        <f aca="false">IF(NOT(ISNUMBER($K223)),"",PI()*($K223/2)^2)</f>
        <v/>
      </c>
      <c r="M223" s="9" t="str">
        <f aca="false">IF(OR(NOT(ISNUMBER($J223)),NOT(ISNUMBER($L223)),$L223=0),"",$J223/$L223*10000)</f>
        <v/>
      </c>
      <c r="N223" s="9" t="str">
        <f aca="false">IF(NOT(ISNUMBER($M223)),"",$M223*CARBON_FRACTION_ROOT/1000)</f>
        <v/>
      </c>
      <c r="O223" s="11" t="str">
        <f aca="false">IF(AND($A223="",$B223="",$G223=""),"",IF(AND($B223&lt;&gt;"",COUNTIFS('2. Soil Data'!$B$5:$B$604,$B223)=0),"Core ID not found in Soil Data, so the corer diameter cannot be looked up. ","")&amp;IF(ASH_CORRECTED&lt;&gt;"Yes","Root mass is NOT ash-corrected, so it includes adhering mineral soil and is too high. Set ASH_CORRECTED once you have done it. ","")&amp;IF(AND(ASH_CORRECTED="Yes",NOT(ISNUMBER($H223))),"Ash correction is switched on but no ash fraction is given for this row. ","")&amp;IF($I223="","Sieve mesh not recorded — a fine-root figure cannot be interpreted without it. ","")&amp;IF(AND(ISNUMBER($H223),$H223&gt;0.5),"Ash fraction above 0.5 — over half this sample was mineral soil. Re-wash. ","")&amp;IF($F223="Not separated","Live and dead not separated. Fine for a stock, but "&amp;"note it in reporting. ",""))</f>
        <v/>
      </c>
      <c r="P223" s="6"/>
      <c r="Q223" s="9" t="n">
        <f aca="false">IF($B223="",0,IF(COUNTIFS($B$5:$B223,$B223)=1,1,0))</f>
        <v>0</v>
      </c>
    </row>
    <row r="224" customFormat="false" ht="15" hidden="false" customHeight="false" outlineLevel="0" collapsed="false">
      <c r="A224" s="6"/>
      <c r="B224" s="6"/>
      <c r="C224" s="6"/>
      <c r="D224" s="6"/>
      <c r="E224" s="6"/>
      <c r="F224" s="6"/>
      <c r="G224" s="7"/>
      <c r="H224" s="7"/>
      <c r="I224" s="6"/>
      <c r="J224" s="9" t="str">
        <f aca="false">IF(NOT(ISNUMBER($G224)),"",IF(AND(ASH_CORRECTED="Yes",ISNUMBER($H224)),$G224*(1-$H224),$G224))</f>
        <v/>
      </c>
      <c r="K224" s="9" t="str">
        <f aca="false">IF($B224="","",IFERROR(AVERAGEIFS('2. Soil Data'!$G$5:$G$604,'2. Soil Data'!$B$5:$B$604,$B224),""))</f>
        <v/>
      </c>
      <c r="L224" s="9" t="str">
        <f aca="false">IF(NOT(ISNUMBER($K224)),"",PI()*($K224/2)^2)</f>
        <v/>
      </c>
      <c r="M224" s="9" t="str">
        <f aca="false">IF(OR(NOT(ISNUMBER($J224)),NOT(ISNUMBER($L224)),$L224=0),"",$J224/$L224*10000)</f>
        <v/>
      </c>
      <c r="N224" s="9" t="str">
        <f aca="false">IF(NOT(ISNUMBER($M224)),"",$M224*CARBON_FRACTION_ROOT/1000)</f>
        <v/>
      </c>
      <c r="O224" s="11" t="str">
        <f aca="false">IF(AND($A224="",$B224="",$G224=""),"",IF(AND($B224&lt;&gt;"",COUNTIFS('2. Soil Data'!$B$5:$B$604,$B224)=0),"Core ID not found in Soil Data, so the corer diameter cannot be looked up. ","")&amp;IF(ASH_CORRECTED&lt;&gt;"Yes","Root mass is NOT ash-corrected, so it includes adhering mineral soil and is too high. Set ASH_CORRECTED once you have done it. ","")&amp;IF(AND(ASH_CORRECTED="Yes",NOT(ISNUMBER($H224))),"Ash correction is switched on but no ash fraction is given for this row. ","")&amp;IF($I224="","Sieve mesh not recorded — a fine-root figure cannot be interpreted without it. ","")&amp;IF(AND(ISNUMBER($H224),$H224&gt;0.5),"Ash fraction above 0.5 — over half this sample was mineral soil. Re-wash. ","")&amp;IF($F224="Not separated","Live and dead not separated. Fine for a stock, but "&amp;"note it in reporting. ",""))</f>
        <v/>
      </c>
      <c r="P224" s="6"/>
      <c r="Q224" s="9" t="n">
        <f aca="false">IF($B224="",0,IF(COUNTIFS($B$5:$B224,$B224)=1,1,0))</f>
        <v>0</v>
      </c>
    </row>
    <row r="225" customFormat="false" ht="15" hidden="false" customHeight="false" outlineLevel="0" collapsed="false">
      <c r="A225" s="6"/>
      <c r="B225" s="6"/>
      <c r="C225" s="6"/>
      <c r="D225" s="6"/>
      <c r="E225" s="6"/>
      <c r="F225" s="6"/>
      <c r="G225" s="7"/>
      <c r="H225" s="7"/>
      <c r="I225" s="6"/>
      <c r="J225" s="9" t="str">
        <f aca="false">IF(NOT(ISNUMBER($G225)),"",IF(AND(ASH_CORRECTED="Yes",ISNUMBER($H225)),$G225*(1-$H225),$G225))</f>
        <v/>
      </c>
      <c r="K225" s="9" t="str">
        <f aca="false">IF($B225="","",IFERROR(AVERAGEIFS('2. Soil Data'!$G$5:$G$604,'2. Soil Data'!$B$5:$B$604,$B225),""))</f>
        <v/>
      </c>
      <c r="L225" s="9" t="str">
        <f aca="false">IF(NOT(ISNUMBER($K225)),"",PI()*($K225/2)^2)</f>
        <v/>
      </c>
      <c r="M225" s="9" t="str">
        <f aca="false">IF(OR(NOT(ISNUMBER($J225)),NOT(ISNUMBER($L225)),$L225=0),"",$J225/$L225*10000)</f>
        <v/>
      </c>
      <c r="N225" s="9" t="str">
        <f aca="false">IF(NOT(ISNUMBER($M225)),"",$M225*CARBON_FRACTION_ROOT/1000)</f>
        <v/>
      </c>
      <c r="O225" s="11" t="str">
        <f aca="false">IF(AND($A225="",$B225="",$G225=""),"",IF(AND($B225&lt;&gt;"",COUNTIFS('2. Soil Data'!$B$5:$B$604,$B225)=0),"Core ID not found in Soil Data, so the corer diameter cannot be looked up. ","")&amp;IF(ASH_CORRECTED&lt;&gt;"Yes","Root mass is NOT ash-corrected, so it includes adhering mineral soil and is too high. Set ASH_CORRECTED once you have done it. ","")&amp;IF(AND(ASH_CORRECTED="Yes",NOT(ISNUMBER($H225))),"Ash correction is switched on but no ash fraction is given for this row. ","")&amp;IF($I225="","Sieve mesh not recorded — a fine-root figure cannot be interpreted without it. ","")&amp;IF(AND(ISNUMBER($H225),$H225&gt;0.5),"Ash fraction above 0.5 — over half this sample was mineral soil. Re-wash. ","")&amp;IF($F225="Not separated","Live and dead not separated. Fine for a stock, but "&amp;"note it in reporting. ",""))</f>
        <v/>
      </c>
      <c r="P225" s="6"/>
      <c r="Q225" s="9" t="n">
        <f aca="false">IF($B225="",0,IF(COUNTIFS($B$5:$B225,$B225)=1,1,0))</f>
        <v>0</v>
      </c>
    </row>
    <row r="226" customFormat="false" ht="15" hidden="false" customHeight="false" outlineLevel="0" collapsed="false">
      <c r="A226" s="6"/>
      <c r="B226" s="6"/>
      <c r="C226" s="6"/>
      <c r="D226" s="6"/>
      <c r="E226" s="6"/>
      <c r="F226" s="6"/>
      <c r="G226" s="7"/>
      <c r="H226" s="7"/>
      <c r="I226" s="6"/>
      <c r="J226" s="9" t="str">
        <f aca="false">IF(NOT(ISNUMBER($G226)),"",IF(AND(ASH_CORRECTED="Yes",ISNUMBER($H226)),$G226*(1-$H226),$G226))</f>
        <v/>
      </c>
      <c r="K226" s="9" t="str">
        <f aca="false">IF($B226="","",IFERROR(AVERAGEIFS('2. Soil Data'!$G$5:$G$604,'2. Soil Data'!$B$5:$B$604,$B226),""))</f>
        <v/>
      </c>
      <c r="L226" s="9" t="str">
        <f aca="false">IF(NOT(ISNUMBER($K226)),"",PI()*($K226/2)^2)</f>
        <v/>
      </c>
      <c r="M226" s="9" t="str">
        <f aca="false">IF(OR(NOT(ISNUMBER($J226)),NOT(ISNUMBER($L226)),$L226=0),"",$J226/$L226*10000)</f>
        <v/>
      </c>
      <c r="N226" s="9" t="str">
        <f aca="false">IF(NOT(ISNUMBER($M226)),"",$M226*CARBON_FRACTION_ROOT/1000)</f>
        <v/>
      </c>
      <c r="O226" s="11" t="str">
        <f aca="false">IF(AND($A226="",$B226="",$G226=""),"",IF(AND($B226&lt;&gt;"",COUNTIFS('2. Soil Data'!$B$5:$B$604,$B226)=0),"Core ID not found in Soil Data, so the corer diameter cannot be looked up. ","")&amp;IF(ASH_CORRECTED&lt;&gt;"Yes","Root mass is NOT ash-corrected, so it includes adhering mineral soil and is too high. Set ASH_CORRECTED once you have done it. ","")&amp;IF(AND(ASH_CORRECTED="Yes",NOT(ISNUMBER($H226))),"Ash correction is switched on but no ash fraction is given for this row. ","")&amp;IF($I226="","Sieve mesh not recorded — a fine-root figure cannot be interpreted without it. ","")&amp;IF(AND(ISNUMBER($H226),$H226&gt;0.5),"Ash fraction above 0.5 — over half this sample was mineral soil. Re-wash. ","")&amp;IF($F226="Not separated","Live and dead not separated. Fine for a stock, but "&amp;"note it in reporting. ",""))</f>
        <v/>
      </c>
      <c r="P226" s="6"/>
      <c r="Q226" s="9" t="n">
        <f aca="false">IF($B226="",0,IF(COUNTIFS($B$5:$B226,$B226)=1,1,0))</f>
        <v>0</v>
      </c>
    </row>
    <row r="227" customFormat="false" ht="15" hidden="false" customHeight="false" outlineLevel="0" collapsed="false">
      <c r="A227" s="6"/>
      <c r="B227" s="6"/>
      <c r="C227" s="6"/>
      <c r="D227" s="6"/>
      <c r="E227" s="6"/>
      <c r="F227" s="6"/>
      <c r="G227" s="7"/>
      <c r="H227" s="7"/>
      <c r="I227" s="6"/>
      <c r="J227" s="9" t="str">
        <f aca="false">IF(NOT(ISNUMBER($G227)),"",IF(AND(ASH_CORRECTED="Yes",ISNUMBER($H227)),$G227*(1-$H227),$G227))</f>
        <v/>
      </c>
      <c r="K227" s="9" t="str">
        <f aca="false">IF($B227="","",IFERROR(AVERAGEIFS('2. Soil Data'!$G$5:$G$604,'2. Soil Data'!$B$5:$B$604,$B227),""))</f>
        <v/>
      </c>
      <c r="L227" s="9" t="str">
        <f aca="false">IF(NOT(ISNUMBER($K227)),"",PI()*($K227/2)^2)</f>
        <v/>
      </c>
      <c r="M227" s="9" t="str">
        <f aca="false">IF(OR(NOT(ISNUMBER($J227)),NOT(ISNUMBER($L227)),$L227=0),"",$J227/$L227*10000)</f>
        <v/>
      </c>
      <c r="N227" s="9" t="str">
        <f aca="false">IF(NOT(ISNUMBER($M227)),"",$M227*CARBON_FRACTION_ROOT/1000)</f>
        <v/>
      </c>
      <c r="O227" s="11" t="str">
        <f aca="false">IF(AND($A227="",$B227="",$G227=""),"",IF(AND($B227&lt;&gt;"",COUNTIFS('2. Soil Data'!$B$5:$B$604,$B227)=0),"Core ID not found in Soil Data, so the corer diameter cannot be looked up. ","")&amp;IF(ASH_CORRECTED&lt;&gt;"Yes","Root mass is NOT ash-corrected, so it includes adhering mineral soil and is too high. Set ASH_CORRECTED once you have done it. ","")&amp;IF(AND(ASH_CORRECTED="Yes",NOT(ISNUMBER($H227))),"Ash correction is switched on but no ash fraction is given for this row. ","")&amp;IF($I227="","Sieve mesh not recorded — a fine-root figure cannot be interpreted without it. ","")&amp;IF(AND(ISNUMBER($H227),$H227&gt;0.5),"Ash fraction above 0.5 — over half this sample was mineral soil. Re-wash. ","")&amp;IF($F227="Not separated","Live and dead not separated. Fine for a stock, but "&amp;"note it in reporting. ",""))</f>
        <v/>
      </c>
      <c r="P227" s="6"/>
      <c r="Q227" s="9" t="n">
        <f aca="false">IF($B227="",0,IF(COUNTIFS($B$5:$B227,$B227)=1,1,0))</f>
        <v>0</v>
      </c>
    </row>
    <row r="228" customFormat="false" ht="15" hidden="false" customHeight="false" outlineLevel="0" collapsed="false">
      <c r="A228" s="6"/>
      <c r="B228" s="6"/>
      <c r="C228" s="6"/>
      <c r="D228" s="6"/>
      <c r="E228" s="6"/>
      <c r="F228" s="6"/>
      <c r="G228" s="7"/>
      <c r="H228" s="7"/>
      <c r="I228" s="6"/>
      <c r="J228" s="9" t="str">
        <f aca="false">IF(NOT(ISNUMBER($G228)),"",IF(AND(ASH_CORRECTED="Yes",ISNUMBER($H228)),$G228*(1-$H228),$G228))</f>
        <v/>
      </c>
      <c r="K228" s="9" t="str">
        <f aca="false">IF($B228="","",IFERROR(AVERAGEIFS('2. Soil Data'!$G$5:$G$604,'2. Soil Data'!$B$5:$B$604,$B228),""))</f>
        <v/>
      </c>
      <c r="L228" s="9" t="str">
        <f aca="false">IF(NOT(ISNUMBER($K228)),"",PI()*($K228/2)^2)</f>
        <v/>
      </c>
      <c r="M228" s="9" t="str">
        <f aca="false">IF(OR(NOT(ISNUMBER($J228)),NOT(ISNUMBER($L228)),$L228=0),"",$J228/$L228*10000)</f>
        <v/>
      </c>
      <c r="N228" s="9" t="str">
        <f aca="false">IF(NOT(ISNUMBER($M228)),"",$M228*CARBON_FRACTION_ROOT/1000)</f>
        <v/>
      </c>
      <c r="O228" s="11" t="str">
        <f aca="false">IF(AND($A228="",$B228="",$G228=""),"",IF(AND($B228&lt;&gt;"",COUNTIFS('2. Soil Data'!$B$5:$B$604,$B228)=0),"Core ID not found in Soil Data, so the corer diameter cannot be looked up. ","")&amp;IF(ASH_CORRECTED&lt;&gt;"Yes","Root mass is NOT ash-corrected, so it includes adhering mineral soil and is too high. Set ASH_CORRECTED once you have done it. ","")&amp;IF(AND(ASH_CORRECTED="Yes",NOT(ISNUMBER($H228))),"Ash correction is switched on but no ash fraction is given for this row. ","")&amp;IF($I228="","Sieve mesh not recorded — a fine-root figure cannot be interpreted without it. ","")&amp;IF(AND(ISNUMBER($H228),$H228&gt;0.5),"Ash fraction above 0.5 — over half this sample was mineral soil. Re-wash. ","")&amp;IF($F228="Not separated","Live and dead not separated. Fine for a stock, but "&amp;"note it in reporting. ",""))</f>
        <v/>
      </c>
      <c r="P228" s="6"/>
      <c r="Q228" s="9" t="n">
        <f aca="false">IF($B228="",0,IF(COUNTIFS($B$5:$B228,$B228)=1,1,0))</f>
        <v>0</v>
      </c>
    </row>
    <row r="229" customFormat="false" ht="15" hidden="false" customHeight="false" outlineLevel="0" collapsed="false">
      <c r="A229" s="6"/>
      <c r="B229" s="6"/>
      <c r="C229" s="6"/>
      <c r="D229" s="6"/>
      <c r="E229" s="6"/>
      <c r="F229" s="6"/>
      <c r="G229" s="7"/>
      <c r="H229" s="7"/>
      <c r="I229" s="6"/>
      <c r="J229" s="9" t="str">
        <f aca="false">IF(NOT(ISNUMBER($G229)),"",IF(AND(ASH_CORRECTED="Yes",ISNUMBER($H229)),$G229*(1-$H229),$G229))</f>
        <v/>
      </c>
      <c r="K229" s="9" t="str">
        <f aca="false">IF($B229="","",IFERROR(AVERAGEIFS('2. Soil Data'!$G$5:$G$604,'2. Soil Data'!$B$5:$B$604,$B229),""))</f>
        <v/>
      </c>
      <c r="L229" s="9" t="str">
        <f aca="false">IF(NOT(ISNUMBER($K229)),"",PI()*($K229/2)^2)</f>
        <v/>
      </c>
      <c r="M229" s="9" t="str">
        <f aca="false">IF(OR(NOT(ISNUMBER($J229)),NOT(ISNUMBER($L229)),$L229=0),"",$J229/$L229*10000)</f>
        <v/>
      </c>
      <c r="N229" s="9" t="str">
        <f aca="false">IF(NOT(ISNUMBER($M229)),"",$M229*CARBON_FRACTION_ROOT/1000)</f>
        <v/>
      </c>
      <c r="O229" s="11" t="str">
        <f aca="false">IF(AND($A229="",$B229="",$G229=""),"",IF(AND($B229&lt;&gt;"",COUNTIFS('2. Soil Data'!$B$5:$B$604,$B229)=0),"Core ID not found in Soil Data, so the corer diameter cannot be looked up. ","")&amp;IF(ASH_CORRECTED&lt;&gt;"Yes","Root mass is NOT ash-corrected, so it includes adhering mineral soil and is too high. Set ASH_CORRECTED once you have done it. ","")&amp;IF(AND(ASH_CORRECTED="Yes",NOT(ISNUMBER($H229))),"Ash correction is switched on but no ash fraction is given for this row. ","")&amp;IF($I229="","Sieve mesh not recorded — a fine-root figure cannot be interpreted without it. ","")&amp;IF(AND(ISNUMBER($H229),$H229&gt;0.5),"Ash fraction above 0.5 — over half this sample was mineral soil. Re-wash. ","")&amp;IF($F229="Not separated","Live and dead not separated. Fine for a stock, but "&amp;"note it in reporting. ",""))</f>
        <v/>
      </c>
      <c r="P229" s="6"/>
      <c r="Q229" s="9" t="n">
        <f aca="false">IF($B229="",0,IF(COUNTIFS($B$5:$B229,$B229)=1,1,0))</f>
        <v>0</v>
      </c>
    </row>
    <row r="230" customFormat="false" ht="15" hidden="false" customHeight="false" outlineLevel="0" collapsed="false">
      <c r="A230" s="6"/>
      <c r="B230" s="6"/>
      <c r="C230" s="6"/>
      <c r="D230" s="6"/>
      <c r="E230" s="6"/>
      <c r="F230" s="6"/>
      <c r="G230" s="7"/>
      <c r="H230" s="7"/>
      <c r="I230" s="6"/>
      <c r="J230" s="9" t="str">
        <f aca="false">IF(NOT(ISNUMBER($G230)),"",IF(AND(ASH_CORRECTED="Yes",ISNUMBER($H230)),$G230*(1-$H230),$G230))</f>
        <v/>
      </c>
      <c r="K230" s="9" t="str">
        <f aca="false">IF($B230="","",IFERROR(AVERAGEIFS('2. Soil Data'!$G$5:$G$604,'2. Soil Data'!$B$5:$B$604,$B230),""))</f>
        <v/>
      </c>
      <c r="L230" s="9" t="str">
        <f aca="false">IF(NOT(ISNUMBER($K230)),"",PI()*($K230/2)^2)</f>
        <v/>
      </c>
      <c r="M230" s="9" t="str">
        <f aca="false">IF(OR(NOT(ISNUMBER($J230)),NOT(ISNUMBER($L230)),$L230=0),"",$J230/$L230*10000)</f>
        <v/>
      </c>
      <c r="N230" s="9" t="str">
        <f aca="false">IF(NOT(ISNUMBER($M230)),"",$M230*CARBON_FRACTION_ROOT/1000)</f>
        <v/>
      </c>
      <c r="O230" s="11" t="str">
        <f aca="false">IF(AND($A230="",$B230="",$G230=""),"",IF(AND($B230&lt;&gt;"",COUNTIFS('2. Soil Data'!$B$5:$B$604,$B230)=0),"Core ID not found in Soil Data, so the corer diameter cannot be looked up. ","")&amp;IF(ASH_CORRECTED&lt;&gt;"Yes","Root mass is NOT ash-corrected, so it includes adhering mineral soil and is too high. Set ASH_CORRECTED once you have done it. ","")&amp;IF(AND(ASH_CORRECTED="Yes",NOT(ISNUMBER($H230))),"Ash correction is switched on but no ash fraction is given for this row. ","")&amp;IF($I230="","Sieve mesh not recorded — a fine-root figure cannot be interpreted without it. ","")&amp;IF(AND(ISNUMBER($H230),$H230&gt;0.5),"Ash fraction above 0.5 — over half this sample was mineral soil. Re-wash. ","")&amp;IF($F230="Not separated","Live and dead not separated. Fine for a stock, but "&amp;"note it in reporting. ",""))</f>
        <v/>
      </c>
      <c r="P230" s="6"/>
      <c r="Q230" s="9" t="n">
        <f aca="false">IF($B230="",0,IF(COUNTIFS($B$5:$B230,$B230)=1,1,0))</f>
        <v>0</v>
      </c>
    </row>
    <row r="231" customFormat="false" ht="15" hidden="false" customHeight="false" outlineLevel="0" collapsed="false">
      <c r="A231" s="6"/>
      <c r="B231" s="6"/>
      <c r="C231" s="6"/>
      <c r="D231" s="6"/>
      <c r="E231" s="6"/>
      <c r="F231" s="6"/>
      <c r="G231" s="7"/>
      <c r="H231" s="7"/>
      <c r="I231" s="6"/>
      <c r="J231" s="9" t="str">
        <f aca="false">IF(NOT(ISNUMBER($G231)),"",IF(AND(ASH_CORRECTED="Yes",ISNUMBER($H231)),$G231*(1-$H231),$G231))</f>
        <v/>
      </c>
      <c r="K231" s="9" t="str">
        <f aca="false">IF($B231="","",IFERROR(AVERAGEIFS('2. Soil Data'!$G$5:$G$604,'2. Soil Data'!$B$5:$B$604,$B231),""))</f>
        <v/>
      </c>
      <c r="L231" s="9" t="str">
        <f aca="false">IF(NOT(ISNUMBER($K231)),"",PI()*($K231/2)^2)</f>
        <v/>
      </c>
      <c r="M231" s="9" t="str">
        <f aca="false">IF(OR(NOT(ISNUMBER($J231)),NOT(ISNUMBER($L231)),$L231=0),"",$J231/$L231*10000)</f>
        <v/>
      </c>
      <c r="N231" s="9" t="str">
        <f aca="false">IF(NOT(ISNUMBER($M231)),"",$M231*CARBON_FRACTION_ROOT/1000)</f>
        <v/>
      </c>
      <c r="O231" s="11" t="str">
        <f aca="false">IF(AND($A231="",$B231="",$G231=""),"",IF(AND($B231&lt;&gt;"",COUNTIFS('2. Soil Data'!$B$5:$B$604,$B231)=0),"Core ID not found in Soil Data, so the corer diameter cannot be looked up. ","")&amp;IF(ASH_CORRECTED&lt;&gt;"Yes","Root mass is NOT ash-corrected, so it includes adhering mineral soil and is too high. Set ASH_CORRECTED once you have done it. ","")&amp;IF(AND(ASH_CORRECTED="Yes",NOT(ISNUMBER($H231))),"Ash correction is switched on but no ash fraction is given for this row. ","")&amp;IF($I231="","Sieve mesh not recorded — a fine-root figure cannot be interpreted without it. ","")&amp;IF(AND(ISNUMBER($H231),$H231&gt;0.5),"Ash fraction above 0.5 — over half this sample was mineral soil. Re-wash. ","")&amp;IF($F231="Not separated","Live and dead not separated. Fine for a stock, but "&amp;"note it in reporting. ",""))</f>
        <v/>
      </c>
      <c r="P231" s="6"/>
      <c r="Q231" s="9" t="n">
        <f aca="false">IF($B231="",0,IF(COUNTIFS($B$5:$B231,$B231)=1,1,0))</f>
        <v>0</v>
      </c>
    </row>
    <row r="232" customFormat="false" ht="15" hidden="false" customHeight="false" outlineLevel="0" collapsed="false">
      <c r="A232" s="6"/>
      <c r="B232" s="6"/>
      <c r="C232" s="6"/>
      <c r="D232" s="6"/>
      <c r="E232" s="6"/>
      <c r="F232" s="6"/>
      <c r="G232" s="7"/>
      <c r="H232" s="7"/>
      <c r="I232" s="6"/>
      <c r="J232" s="9" t="str">
        <f aca="false">IF(NOT(ISNUMBER($G232)),"",IF(AND(ASH_CORRECTED="Yes",ISNUMBER($H232)),$G232*(1-$H232),$G232))</f>
        <v/>
      </c>
      <c r="K232" s="9" t="str">
        <f aca="false">IF($B232="","",IFERROR(AVERAGEIFS('2. Soil Data'!$G$5:$G$604,'2. Soil Data'!$B$5:$B$604,$B232),""))</f>
        <v/>
      </c>
      <c r="L232" s="9" t="str">
        <f aca="false">IF(NOT(ISNUMBER($K232)),"",PI()*($K232/2)^2)</f>
        <v/>
      </c>
      <c r="M232" s="9" t="str">
        <f aca="false">IF(OR(NOT(ISNUMBER($J232)),NOT(ISNUMBER($L232)),$L232=0),"",$J232/$L232*10000)</f>
        <v/>
      </c>
      <c r="N232" s="9" t="str">
        <f aca="false">IF(NOT(ISNUMBER($M232)),"",$M232*CARBON_FRACTION_ROOT/1000)</f>
        <v/>
      </c>
      <c r="O232" s="11" t="str">
        <f aca="false">IF(AND($A232="",$B232="",$G232=""),"",IF(AND($B232&lt;&gt;"",COUNTIFS('2. Soil Data'!$B$5:$B$604,$B232)=0),"Core ID not found in Soil Data, so the corer diameter cannot be looked up. ","")&amp;IF(ASH_CORRECTED&lt;&gt;"Yes","Root mass is NOT ash-corrected, so it includes adhering mineral soil and is too high. Set ASH_CORRECTED once you have done it. ","")&amp;IF(AND(ASH_CORRECTED="Yes",NOT(ISNUMBER($H232))),"Ash correction is switched on but no ash fraction is given for this row. ","")&amp;IF($I232="","Sieve mesh not recorded — a fine-root figure cannot be interpreted without it. ","")&amp;IF(AND(ISNUMBER($H232),$H232&gt;0.5),"Ash fraction above 0.5 — over half this sample was mineral soil. Re-wash. ","")&amp;IF($F232="Not separated","Live and dead not separated. Fine for a stock, but "&amp;"note it in reporting. ",""))</f>
        <v/>
      </c>
      <c r="P232" s="6"/>
      <c r="Q232" s="9" t="n">
        <f aca="false">IF($B232="",0,IF(COUNTIFS($B$5:$B232,$B232)=1,1,0))</f>
        <v>0</v>
      </c>
    </row>
    <row r="233" customFormat="false" ht="15" hidden="false" customHeight="false" outlineLevel="0" collapsed="false">
      <c r="A233" s="6"/>
      <c r="B233" s="6"/>
      <c r="C233" s="6"/>
      <c r="D233" s="6"/>
      <c r="E233" s="6"/>
      <c r="F233" s="6"/>
      <c r="G233" s="7"/>
      <c r="H233" s="7"/>
      <c r="I233" s="6"/>
      <c r="J233" s="9" t="str">
        <f aca="false">IF(NOT(ISNUMBER($G233)),"",IF(AND(ASH_CORRECTED="Yes",ISNUMBER($H233)),$G233*(1-$H233),$G233))</f>
        <v/>
      </c>
      <c r="K233" s="9" t="str">
        <f aca="false">IF($B233="","",IFERROR(AVERAGEIFS('2. Soil Data'!$G$5:$G$604,'2. Soil Data'!$B$5:$B$604,$B233),""))</f>
        <v/>
      </c>
      <c r="L233" s="9" t="str">
        <f aca="false">IF(NOT(ISNUMBER($K233)),"",PI()*($K233/2)^2)</f>
        <v/>
      </c>
      <c r="M233" s="9" t="str">
        <f aca="false">IF(OR(NOT(ISNUMBER($J233)),NOT(ISNUMBER($L233)),$L233=0),"",$J233/$L233*10000)</f>
        <v/>
      </c>
      <c r="N233" s="9" t="str">
        <f aca="false">IF(NOT(ISNUMBER($M233)),"",$M233*CARBON_FRACTION_ROOT/1000)</f>
        <v/>
      </c>
      <c r="O233" s="11" t="str">
        <f aca="false">IF(AND($A233="",$B233="",$G233=""),"",IF(AND($B233&lt;&gt;"",COUNTIFS('2. Soil Data'!$B$5:$B$604,$B233)=0),"Core ID not found in Soil Data, so the corer diameter cannot be looked up. ","")&amp;IF(ASH_CORRECTED&lt;&gt;"Yes","Root mass is NOT ash-corrected, so it includes adhering mineral soil and is too high. Set ASH_CORRECTED once you have done it. ","")&amp;IF(AND(ASH_CORRECTED="Yes",NOT(ISNUMBER($H233))),"Ash correction is switched on but no ash fraction is given for this row. ","")&amp;IF($I233="","Sieve mesh not recorded — a fine-root figure cannot be interpreted without it. ","")&amp;IF(AND(ISNUMBER($H233),$H233&gt;0.5),"Ash fraction above 0.5 — over half this sample was mineral soil. Re-wash. ","")&amp;IF($F233="Not separated","Live and dead not separated. Fine for a stock, but "&amp;"note it in reporting. ",""))</f>
        <v/>
      </c>
      <c r="P233" s="6"/>
      <c r="Q233" s="9" t="n">
        <f aca="false">IF($B233="",0,IF(COUNTIFS($B$5:$B233,$B233)=1,1,0))</f>
        <v>0</v>
      </c>
    </row>
    <row r="234" customFormat="false" ht="15" hidden="false" customHeight="false" outlineLevel="0" collapsed="false">
      <c r="A234" s="6"/>
      <c r="B234" s="6"/>
      <c r="C234" s="6"/>
      <c r="D234" s="6"/>
      <c r="E234" s="6"/>
      <c r="F234" s="6"/>
      <c r="G234" s="7"/>
      <c r="H234" s="7"/>
      <c r="I234" s="6"/>
      <c r="J234" s="9" t="str">
        <f aca="false">IF(NOT(ISNUMBER($G234)),"",IF(AND(ASH_CORRECTED="Yes",ISNUMBER($H234)),$G234*(1-$H234),$G234))</f>
        <v/>
      </c>
      <c r="K234" s="9" t="str">
        <f aca="false">IF($B234="","",IFERROR(AVERAGEIFS('2. Soil Data'!$G$5:$G$604,'2. Soil Data'!$B$5:$B$604,$B234),""))</f>
        <v/>
      </c>
      <c r="L234" s="9" t="str">
        <f aca="false">IF(NOT(ISNUMBER($K234)),"",PI()*($K234/2)^2)</f>
        <v/>
      </c>
      <c r="M234" s="9" t="str">
        <f aca="false">IF(OR(NOT(ISNUMBER($J234)),NOT(ISNUMBER($L234)),$L234=0),"",$J234/$L234*10000)</f>
        <v/>
      </c>
      <c r="N234" s="9" t="str">
        <f aca="false">IF(NOT(ISNUMBER($M234)),"",$M234*CARBON_FRACTION_ROOT/1000)</f>
        <v/>
      </c>
      <c r="O234" s="11" t="str">
        <f aca="false">IF(AND($A234="",$B234="",$G234=""),"",IF(AND($B234&lt;&gt;"",COUNTIFS('2. Soil Data'!$B$5:$B$604,$B234)=0),"Core ID not found in Soil Data, so the corer diameter cannot be looked up. ","")&amp;IF(ASH_CORRECTED&lt;&gt;"Yes","Root mass is NOT ash-corrected, so it includes adhering mineral soil and is too high. Set ASH_CORRECTED once you have done it. ","")&amp;IF(AND(ASH_CORRECTED="Yes",NOT(ISNUMBER($H234))),"Ash correction is switched on but no ash fraction is given for this row. ","")&amp;IF($I234="","Sieve mesh not recorded — a fine-root figure cannot be interpreted without it. ","")&amp;IF(AND(ISNUMBER($H234),$H234&gt;0.5),"Ash fraction above 0.5 — over half this sample was mineral soil. Re-wash. ","")&amp;IF($F234="Not separated","Live and dead not separated. Fine for a stock, but "&amp;"note it in reporting. ",""))</f>
        <v/>
      </c>
      <c r="P234" s="6"/>
      <c r="Q234" s="9" t="n">
        <f aca="false">IF($B234="",0,IF(COUNTIFS($B$5:$B234,$B234)=1,1,0))</f>
        <v>0</v>
      </c>
    </row>
    <row r="235" customFormat="false" ht="15" hidden="false" customHeight="false" outlineLevel="0" collapsed="false">
      <c r="A235" s="6"/>
      <c r="B235" s="6"/>
      <c r="C235" s="6"/>
      <c r="D235" s="6"/>
      <c r="E235" s="6"/>
      <c r="F235" s="6"/>
      <c r="G235" s="7"/>
      <c r="H235" s="7"/>
      <c r="I235" s="6"/>
      <c r="J235" s="9" t="str">
        <f aca="false">IF(NOT(ISNUMBER($G235)),"",IF(AND(ASH_CORRECTED="Yes",ISNUMBER($H235)),$G235*(1-$H235),$G235))</f>
        <v/>
      </c>
      <c r="K235" s="9" t="str">
        <f aca="false">IF($B235="","",IFERROR(AVERAGEIFS('2. Soil Data'!$G$5:$G$604,'2. Soil Data'!$B$5:$B$604,$B235),""))</f>
        <v/>
      </c>
      <c r="L235" s="9" t="str">
        <f aca="false">IF(NOT(ISNUMBER($K235)),"",PI()*($K235/2)^2)</f>
        <v/>
      </c>
      <c r="M235" s="9" t="str">
        <f aca="false">IF(OR(NOT(ISNUMBER($J235)),NOT(ISNUMBER($L235)),$L235=0),"",$J235/$L235*10000)</f>
        <v/>
      </c>
      <c r="N235" s="9" t="str">
        <f aca="false">IF(NOT(ISNUMBER($M235)),"",$M235*CARBON_FRACTION_ROOT/1000)</f>
        <v/>
      </c>
      <c r="O235" s="11" t="str">
        <f aca="false">IF(AND($A235="",$B235="",$G235=""),"",IF(AND($B235&lt;&gt;"",COUNTIFS('2. Soil Data'!$B$5:$B$604,$B235)=0),"Core ID not found in Soil Data, so the corer diameter cannot be looked up. ","")&amp;IF(ASH_CORRECTED&lt;&gt;"Yes","Root mass is NOT ash-corrected, so it includes adhering mineral soil and is too high. Set ASH_CORRECTED once you have done it. ","")&amp;IF(AND(ASH_CORRECTED="Yes",NOT(ISNUMBER($H235))),"Ash correction is switched on but no ash fraction is given for this row. ","")&amp;IF($I235="","Sieve mesh not recorded — a fine-root figure cannot be interpreted without it. ","")&amp;IF(AND(ISNUMBER($H235),$H235&gt;0.5),"Ash fraction above 0.5 — over half this sample was mineral soil. Re-wash. ","")&amp;IF($F235="Not separated","Live and dead not separated. Fine for a stock, but "&amp;"note it in reporting. ",""))</f>
        <v/>
      </c>
      <c r="P235" s="6"/>
      <c r="Q235" s="9" t="n">
        <f aca="false">IF($B235="",0,IF(COUNTIFS($B$5:$B235,$B235)=1,1,0))</f>
        <v>0</v>
      </c>
    </row>
    <row r="236" customFormat="false" ht="15" hidden="false" customHeight="false" outlineLevel="0" collapsed="false">
      <c r="A236" s="6"/>
      <c r="B236" s="6"/>
      <c r="C236" s="6"/>
      <c r="D236" s="6"/>
      <c r="E236" s="6"/>
      <c r="F236" s="6"/>
      <c r="G236" s="7"/>
      <c r="H236" s="7"/>
      <c r="I236" s="6"/>
      <c r="J236" s="9" t="str">
        <f aca="false">IF(NOT(ISNUMBER($G236)),"",IF(AND(ASH_CORRECTED="Yes",ISNUMBER($H236)),$G236*(1-$H236),$G236))</f>
        <v/>
      </c>
      <c r="K236" s="9" t="str">
        <f aca="false">IF($B236="","",IFERROR(AVERAGEIFS('2. Soil Data'!$G$5:$G$604,'2. Soil Data'!$B$5:$B$604,$B236),""))</f>
        <v/>
      </c>
      <c r="L236" s="9" t="str">
        <f aca="false">IF(NOT(ISNUMBER($K236)),"",PI()*($K236/2)^2)</f>
        <v/>
      </c>
      <c r="M236" s="9" t="str">
        <f aca="false">IF(OR(NOT(ISNUMBER($J236)),NOT(ISNUMBER($L236)),$L236=0),"",$J236/$L236*10000)</f>
        <v/>
      </c>
      <c r="N236" s="9" t="str">
        <f aca="false">IF(NOT(ISNUMBER($M236)),"",$M236*CARBON_FRACTION_ROOT/1000)</f>
        <v/>
      </c>
      <c r="O236" s="11" t="str">
        <f aca="false">IF(AND($A236="",$B236="",$G236=""),"",IF(AND($B236&lt;&gt;"",COUNTIFS('2. Soil Data'!$B$5:$B$604,$B236)=0),"Core ID not found in Soil Data, so the corer diameter cannot be looked up. ","")&amp;IF(ASH_CORRECTED&lt;&gt;"Yes","Root mass is NOT ash-corrected, so it includes adhering mineral soil and is too high. Set ASH_CORRECTED once you have done it. ","")&amp;IF(AND(ASH_CORRECTED="Yes",NOT(ISNUMBER($H236))),"Ash correction is switched on but no ash fraction is given for this row. ","")&amp;IF($I236="","Sieve mesh not recorded — a fine-root figure cannot be interpreted without it. ","")&amp;IF(AND(ISNUMBER($H236),$H236&gt;0.5),"Ash fraction above 0.5 — over half this sample was mineral soil. Re-wash. ","")&amp;IF($F236="Not separated","Live and dead not separated. Fine for a stock, but "&amp;"note it in reporting. ",""))</f>
        <v/>
      </c>
      <c r="P236" s="6"/>
      <c r="Q236" s="9" t="n">
        <f aca="false">IF($B236="",0,IF(COUNTIFS($B$5:$B236,$B236)=1,1,0))</f>
        <v>0</v>
      </c>
    </row>
    <row r="237" customFormat="false" ht="15" hidden="false" customHeight="false" outlineLevel="0" collapsed="false">
      <c r="A237" s="6"/>
      <c r="B237" s="6"/>
      <c r="C237" s="6"/>
      <c r="D237" s="6"/>
      <c r="E237" s="6"/>
      <c r="F237" s="6"/>
      <c r="G237" s="7"/>
      <c r="H237" s="7"/>
      <c r="I237" s="6"/>
      <c r="J237" s="9" t="str">
        <f aca="false">IF(NOT(ISNUMBER($G237)),"",IF(AND(ASH_CORRECTED="Yes",ISNUMBER($H237)),$G237*(1-$H237),$G237))</f>
        <v/>
      </c>
      <c r="K237" s="9" t="str">
        <f aca="false">IF($B237="","",IFERROR(AVERAGEIFS('2. Soil Data'!$G$5:$G$604,'2. Soil Data'!$B$5:$B$604,$B237),""))</f>
        <v/>
      </c>
      <c r="L237" s="9" t="str">
        <f aca="false">IF(NOT(ISNUMBER($K237)),"",PI()*($K237/2)^2)</f>
        <v/>
      </c>
      <c r="M237" s="9" t="str">
        <f aca="false">IF(OR(NOT(ISNUMBER($J237)),NOT(ISNUMBER($L237)),$L237=0),"",$J237/$L237*10000)</f>
        <v/>
      </c>
      <c r="N237" s="9" t="str">
        <f aca="false">IF(NOT(ISNUMBER($M237)),"",$M237*CARBON_FRACTION_ROOT/1000)</f>
        <v/>
      </c>
      <c r="O237" s="11" t="str">
        <f aca="false">IF(AND($A237="",$B237="",$G237=""),"",IF(AND($B237&lt;&gt;"",COUNTIFS('2. Soil Data'!$B$5:$B$604,$B237)=0),"Core ID not found in Soil Data, so the corer diameter cannot be looked up. ","")&amp;IF(ASH_CORRECTED&lt;&gt;"Yes","Root mass is NOT ash-corrected, so it includes adhering mineral soil and is too high. Set ASH_CORRECTED once you have done it. ","")&amp;IF(AND(ASH_CORRECTED="Yes",NOT(ISNUMBER($H237))),"Ash correction is switched on but no ash fraction is given for this row. ","")&amp;IF($I237="","Sieve mesh not recorded — a fine-root figure cannot be interpreted without it. ","")&amp;IF(AND(ISNUMBER($H237),$H237&gt;0.5),"Ash fraction above 0.5 — over half this sample was mineral soil. Re-wash. ","")&amp;IF($F237="Not separated","Live and dead not separated. Fine for a stock, but "&amp;"note it in reporting. ",""))</f>
        <v/>
      </c>
      <c r="P237" s="6"/>
      <c r="Q237" s="9" t="n">
        <f aca="false">IF($B237="",0,IF(COUNTIFS($B$5:$B237,$B237)=1,1,0))</f>
        <v>0</v>
      </c>
    </row>
    <row r="238" customFormat="false" ht="15" hidden="false" customHeight="false" outlineLevel="0" collapsed="false">
      <c r="A238" s="6"/>
      <c r="B238" s="6"/>
      <c r="C238" s="6"/>
      <c r="D238" s="6"/>
      <c r="E238" s="6"/>
      <c r="F238" s="6"/>
      <c r="G238" s="7"/>
      <c r="H238" s="7"/>
      <c r="I238" s="6"/>
      <c r="J238" s="9" t="str">
        <f aca="false">IF(NOT(ISNUMBER($G238)),"",IF(AND(ASH_CORRECTED="Yes",ISNUMBER($H238)),$G238*(1-$H238),$G238))</f>
        <v/>
      </c>
      <c r="K238" s="9" t="str">
        <f aca="false">IF($B238="","",IFERROR(AVERAGEIFS('2. Soil Data'!$G$5:$G$604,'2. Soil Data'!$B$5:$B$604,$B238),""))</f>
        <v/>
      </c>
      <c r="L238" s="9" t="str">
        <f aca="false">IF(NOT(ISNUMBER($K238)),"",PI()*($K238/2)^2)</f>
        <v/>
      </c>
      <c r="M238" s="9" t="str">
        <f aca="false">IF(OR(NOT(ISNUMBER($J238)),NOT(ISNUMBER($L238)),$L238=0),"",$J238/$L238*10000)</f>
        <v/>
      </c>
      <c r="N238" s="9" t="str">
        <f aca="false">IF(NOT(ISNUMBER($M238)),"",$M238*CARBON_FRACTION_ROOT/1000)</f>
        <v/>
      </c>
      <c r="O238" s="11" t="str">
        <f aca="false">IF(AND($A238="",$B238="",$G238=""),"",IF(AND($B238&lt;&gt;"",COUNTIFS('2. Soil Data'!$B$5:$B$604,$B238)=0),"Core ID not found in Soil Data, so the corer diameter cannot be looked up. ","")&amp;IF(ASH_CORRECTED&lt;&gt;"Yes","Root mass is NOT ash-corrected, so it includes adhering mineral soil and is too high. Set ASH_CORRECTED once you have done it. ","")&amp;IF(AND(ASH_CORRECTED="Yes",NOT(ISNUMBER($H238))),"Ash correction is switched on but no ash fraction is given for this row. ","")&amp;IF($I238="","Sieve mesh not recorded — a fine-root figure cannot be interpreted without it. ","")&amp;IF(AND(ISNUMBER($H238),$H238&gt;0.5),"Ash fraction above 0.5 — over half this sample was mineral soil. Re-wash. ","")&amp;IF($F238="Not separated","Live and dead not separated. Fine for a stock, but "&amp;"note it in reporting. ",""))</f>
        <v/>
      </c>
      <c r="P238" s="6"/>
      <c r="Q238" s="9" t="n">
        <f aca="false">IF($B238="",0,IF(COUNTIFS($B$5:$B238,$B238)=1,1,0))</f>
        <v>0</v>
      </c>
    </row>
    <row r="239" customFormat="false" ht="15" hidden="false" customHeight="false" outlineLevel="0" collapsed="false">
      <c r="A239" s="6"/>
      <c r="B239" s="6"/>
      <c r="C239" s="6"/>
      <c r="D239" s="6"/>
      <c r="E239" s="6"/>
      <c r="F239" s="6"/>
      <c r="G239" s="7"/>
      <c r="H239" s="7"/>
      <c r="I239" s="6"/>
      <c r="J239" s="9" t="str">
        <f aca="false">IF(NOT(ISNUMBER($G239)),"",IF(AND(ASH_CORRECTED="Yes",ISNUMBER($H239)),$G239*(1-$H239),$G239))</f>
        <v/>
      </c>
      <c r="K239" s="9" t="str">
        <f aca="false">IF($B239="","",IFERROR(AVERAGEIFS('2. Soil Data'!$G$5:$G$604,'2. Soil Data'!$B$5:$B$604,$B239),""))</f>
        <v/>
      </c>
      <c r="L239" s="9" t="str">
        <f aca="false">IF(NOT(ISNUMBER($K239)),"",PI()*($K239/2)^2)</f>
        <v/>
      </c>
      <c r="M239" s="9" t="str">
        <f aca="false">IF(OR(NOT(ISNUMBER($J239)),NOT(ISNUMBER($L239)),$L239=0),"",$J239/$L239*10000)</f>
        <v/>
      </c>
      <c r="N239" s="9" t="str">
        <f aca="false">IF(NOT(ISNUMBER($M239)),"",$M239*CARBON_FRACTION_ROOT/1000)</f>
        <v/>
      </c>
      <c r="O239" s="11" t="str">
        <f aca="false">IF(AND($A239="",$B239="",$G239=""),"",IF(AND($B239&lt;&gt;"",COUNTIFS('2. Soil Data'!$B$5:$B$604,$B239)=0),"Core ID not found in Soil Data, so the corer diameter cannot be looked up. ","")&amp;IF(ASH_CORRECTED&lt;&gt;"Yes","Root mass is NOT ash-corrected, so it includes adhering mineral soil and is too high. Set ASH_CORRECTED once you have done it. ","")&amp;IF(AND(ASH_CORRECTED="Yes",NOT(ISNUMBER($H239))),"Ash correction is switched on but no ash fraction is given for this row. ","")&amp;IF($I239="","Sieve mesh not recorded — a fine-root figure cannot be interpreted without it. ","")&amp;IF(AND(ISNUMBER($H239),$H239&gt;0.5),"Ash fraction above 0.5 — over half this sample was mineral soil. Re-wash. ","")&amp;IF($F239="Not separated","Live and dead not separated. Fine for a stock, but "&amp;"note it in reporting. ",""))</f>
        <v/>
      </c>
      <c r="P239" s="6"/>
      <c r="Q239" s="9" t="n">
        <f aca="false">IF($B239="",0,IF(COUNTIFS($B$5:$B239,$B239)=1,1,0))</f>
        <v>0</v>
      </c>
    </row>
    <row r="240" customFormat="false" ht="15" hidden="false" customHeight="false" outlineLevel="0" collapsed="false">
      <c r="A240" s="6"/>
      <c r="B240" s="6"/>
      <c r="C240" s="6"/>
      <c r="D240" s="6"/>
      <c r="E240" s="6"/>
      <c r="F240" s="6"/>
      <c r="G240" s="7"/>
      <c r="H240" s="7"/>
      <c r="I240" s="6"/>
      <c r="J240" s="9" t="str">
        <f aca="false">IF(NOT(ISNUMBER($G240)),"",IF(AND(ASH_CORRECTED="Yes",ISNUMBER($H240)),$G240*(1-$H240),$G240))</f>
        <v/>
      </c>
      <c r="K240" s="9" t="str">
        <f aca="false">IF($B240="","",IFERROR(AVERAGEIFS('2. Soil Data'!$G$5:$G$604,'2. Soil Data'!$B$5:$B$604,$B240),""))</f>
        <v/>
      </c>
      <c r="L240" s="9" t="str">
        <f aca="false">IF(NOT(ISNUMBER($K240)),"",PI()*($K240/2)^2)</f>
        <v/>
      </c>
      <c r="M240" s="9" t="str">
        <f aca="false">IF(OR(NOT(ISNUMBER($J240)),NOT(ISNUMBER($L240)),$L240=0),"",$J240/$L240*10000)</f>
        <v/>
      </c>
      <c r="N240" s="9" t="str">
        <f aca="false">IF(NOT(ISNUMBER($M240)),"",$M240*CARBON_FRACTION_ROOT/1000)</f>
        <v/>
      </c>
      <c r="O240" s="11" t="str">
        <f aca="false">IF(AND($A240="",$B240="",$G240=""),"",IF(AND($B240&lt;&gt;"",COUNTIFS('2. Soil Data'!$B$5:$B$604,$B240)=0),"Core ID not found in Soil Data, so the corer diameter cannot be looked up. ","")&amp;IF(ASH_CORRECTED&lt;&gt;"Yes","Root mass is NOT ash-corrected, so it includes adhering mineral soil and is too high. Set ASH_CORRECTED once you have done it. ","")&amp;IF(AND(ASH_CORRECTED="Yes",NOT(ISNUMBER($H240))),"Ash correction is switched on but no ash fraction is given for this row. ","")&amp;IF($I240="","Sieve mesh not recorded — a fine-root figure cannot be interpreted without it. ","")&amp;IF(AND(ISNUMBER($H240),$H240&gt;0.5),"Ash fraction above 0.5 — over half this sample was mineral soil. Re-wash. ","")&amp;IF($F240="Not separated","Live and dead not separated. Fine for a stock, but "&amp;"note it in reporting. ",""))</f>
        <v/>
      </c>
      <c r="P240" s="6"/>
      <c r="Q240" s="9" t="n">
        <f aca="false">IF($B240="",0,IF(COUNTIFS($B$5:$B240,$B240)=1,1,0))</f>
        <v>0</v>
      </c>
    </row>
    <row r="241" customFormat="false" ht="15" hidden="false" customHeight="false" outlineLevel="0" collapsed="false">
      <c r="A241" s="6"/>
      <c r="B241" s="6"/>
      <c r="C241" s="6"/>
      <c r="D241" s="6"/>
      <c r="E241" s="6"/>
      <c r="F241" s="6"/>
      <c r="G241" s="7"/>
      <c r="H241" s="7"/>
      <c r="I241" s="6"/>
      <c r="J241" s="9" t="str">
        <f aca="false">IF(NOT(ISNUMBER($G241)),"",IF(AND(ASH_CORRECTED="Yes",ISNUMBER($H241)),$G241*(1-$H241),$G241))</f>
        <v/>
      </c>
      <c r="K241" s="9" t="str">
        <f aca="false">IF($B241="","",IFERROR(AVERAGEIFS('2. Soil Data'!$G$5:$G$604,'2. Soil Data'!$B$5:$B$604,$B241),""))</f>
        <v/>
      </c>
      <c r="L241" s="9" t="str">
        <f aca="false">IF(NOT(ISNUMBER($K241)),"",PI()*($K241/2)^2)</f>
        <v/>
      </c>
      <c r="M241" s="9" t="str">
        <f aca="false">IF(OR(NOT(ISNUMBER($J241)),NOT(ISNUMBER($L241)),$L241=0),"",$J241/$L241*10000)</f>
        <v/>
      </c>
      <c r="N241" s="9" t="str">
        <f aca="false">IF(NOT(ISNUMBER($M241)),"",$M241*CARBON_FRACTION_ROOT/1000)</f>
        <v/>
      </c>
      <c r="O241" s="11" t="str">
        <f aca="false">IF(AND($A241="",$B241="",$G241=""),"",IF(AND($B241&lt;&gt;"",COUNTIFS('2. Soil Data'!$B$5:$B$604,$B241)=0),"Core ID not found in Soil Data, so the corer diameter cannot be looked up. ","")&amp;IF(ASH_CORRECTED&lt;&gt;"Yes","Root mass is NOT ash-corrected, so it includes adhering mineral soil and is too high. Set ASH_CORRECTED once you have done it. ","")&amp;IF(AND(ASH_CORRECTED="Yes",NOT(ISNUMBER($H241))),"Ash correction is switched on but no ash fraction is given for this row. ","")&amp;IF($I241="","Sieve mesh not recorded — a fine-root figure cannot be interpreted without it. ","")&amp;IF(AND(ISNUMBER($H241),$H241&gt;0.5),"Ash fraction above 0.5 — over half this sample was mineral soil. Re-wash. ","")&amp;IF($F241="Not separated","Live and dead not separated. Fine for a stock, but "&amp;"note it in reporting. ",""))</f>
        <v/>
      </c>
      <c r="P241" s="6"/>
      <c r="Q241" s="9" t="n">
        <f aca="false">IF($B241="",0,IF(COUNTIFS($B$5:$B241,$B241)=1,1,0))</f>
        <v>0</v>
      </c>
    </row>
    <row r="242" customFormat="false" ht="15" hidden="false" customHeight="false" outlineLevel="0" collapsed="false">
      <c r="A242" s="6"/>
      <c r="B242" s="6"/>
      <c r="C242" s="6"/>
      <c r="D242" s="6"/>
      <c r="E242" s="6"/>
      <c r="F242" s="6"/>
      <c r="G242" s="7"/>
      <c r="H242" s="7"/>
      <c r="I242" s="6"/>
      <c r="J242" s="9" t="str">
        <f aca="false">IF(NOT(ISNUMBER($G242)),"",IF(AND(ASH_CORRECTED="Yes",ISNUMBER($H242)),$G242*(1-$H242),$G242))</f>
        <v/>
      </c>
      <c r="K242" s="9" t="str">
        <f aca="false">IF($B242="","",IFERROR(AVERAGEIFS('2. Soil Data'!$G$5:$G$604,'2. Soil Data'!$B$5:$B$604,$B242),""))</f>
        <v/>
      </c>
      <c r="L242" s="9" t="str">
        <f aca="false">IF(NOT(ISNUMBER($K242)),"",PI()*($K242/2)^2)</f>
        <v/>
      </c>
      <c r="M242" s="9" t="str">
        <f aca="false">IF(OR(NOT(ISNUMBER($J242)),NOT(ISNUMBER($L242)),$L242=0),"",$J242/$L242*10000)</f>
        <v/>
      </c>
      <c r="N242" s="9" t="str">
        <f aca="false">IF(NOT(ISNUMBER($M242)),"",$M242*CARBON_FRACTION_ROOT/1000)</f>
        <v/>
      </c>
      <c r="O242" s="11" t="str">
        <f aca="false">IF(AND($A242="",$B242="",$G242=""),"",IF(AND($B242&lt;&gt;"",COUNTIFS('2. Soil Data'!$B$5:$B$604,$B242)=0),"Core ID not found in Soil Data, so the corer diameter cannot be looked up. ","")&amp;IF(ASH_CORRECTED&lt;&gt;"Yes","Root mass is NOT ash-corrected, so it includes adhering mineral soil and is too high. Set ASH_CORRECTED once you have done it. ","")&amp;IF(AND(ASH_CORRECTED="Yes",NOT(ISNUMBER($H242))),"Ash correction is switched on but no ash fraction is given for this row. ","")&amp;IF($I242="","Sieve mesh not recorded — a fine-root figure cannot be interpreted without it. ","")&amp;IF(AND(ISNUMBER($H242),$H242&gt;0.5),"Ash fraction above 0.5 — over half this sample was mineral soil. Re-wash. ","")&amp;IF($F242="Not separated","Live and dead not separated. Fine for a stock, but "&amp;"note it in reporting. ",""))</f>
        <v/>
      </c>
      <c r="P242" s="6"/>
      <c r="Q242" s="9" t="n">
        <f aca="false">IF($B242="",0,IF(COUNTIFS($B$5:$B242,$B242)=1,1,0))</f>
        <v>0</v>
      </c>
    </row>
    <row r="243" customFormat="false" ht="15" hidden="false" customHeight="false" outlineLevel="0" collapsed="false">
      <c r="A243" s="6"/>
      <c r="B243" s="6"/>
      <c r="C243" s="6"/>
      <c r="D243" s="6"/>
      <c r="E243" s="6"/>
      <c r="F243" s="6"/>
      <c r="G243" s="7"/>
      <c r="H243" s="7"/>
      <c r="I243" s="6"/>
      <c r="J243" s="9" t="str">
        <f aca="false">IF(NOT(ISNUMBER($G243)),"",IF(AND(ASH_CORRECTED="Yes",ISNUMBER($H243)),$G243*(1-$H243),$G243))</f>
        <v/>
      </c>
      <c r="K243" s="9" t="str">
        <f aca="false">IF($B243="","",IFERROR(AVERAGEIFS('2. Soil Data'!$G$5:$G$604,'2. Soil Data'!$B$5:$B$604,$B243),""))</f>
        <v/>
      </c>
      <c r="L243" s="9" t="str">
        <f aca="false">IF(NOT(ISNUMBER($K243)),"",PI()*($K243/2)^2)</f>
        <v/>
      </c>
      <c r="M243" s="9" t="str">
        <f aca="false">IF(OR(NOT(ISNUMBER($J243)),NOT(ISNUMBER($L243)),$L243=0),"",$J243/$L243*10000)</f>
        <v/>
      </c>
      <c r="N243" s="9" t="str">
        <f aca="false">IF(NOT(ISNUMBER($M243)),"",$M243*CARBON_FRACTION_ROOT/1000)</f>
        <v/>
      </c>
      <c r="O243" s="11" t="str">
        <f aca="false">IF(AND($A243="",$B243="",$G243=""),"",IF(AND($B243&lt;&gt;"",COUNTIFS('2. Soil Data'!$B$5:$B$604,$B243)=0),"Core ID not found in Soil Data, so the corer diameter cannot be looked up. ","")&amp;IF(ASH_CORRECTED&lt;&gt;"Yes","Root mass is NOT ash-corrected, so it includes adhering mineral soil and is too high. Set ASH_CORRECTED once you have done it. ","")&amp;IF(AND(ASH_CORRECTED="Yes",NOT(ISNUMBER($H243))),"Ash correction is switched on but no ash fraction is given for this row. ","")&amp;IF($I243="","Sieve mesh not recorded — a fine-root figure cannot be interpreted without it. ","")&amp;IF(AND(ISNUMBER($H243),$H243&gt;0.5),"Ash fraction above 0.5 — over half this sample was mineral soil. Re-wash. ","")&amp;IF($F243="Not separated","Live and dead not separated. Fine for a stock, but "&amp;"note it in reporting. ",""))</f>
        <v/>
      </c>
      <c r="P243" s="6"/>
      <c r="Q243" s="9" t="n">
        <f aca="false">IF($B243="",0,IF(COUNTIFS($B$5:$B243,$B243)=1,1,0))</f>
        <v>0</v>
      </c>
    </row>
    <row r="244" customFormat="false" ht="15" hidden="false" customHeight="false" outlineLevel="0" collapsed="false">
      <c r="A244" s="6"/>
      <c r="B244" s="6"/>
      <c r="C244" s="6"/>
      <c r="D244" s="6"/>
      <c r="E244" s="6"/>
      <c r="F244" s="6"/>
      <c r="G244" s="7"/>
      <c r="H244" s="7"/>
      <c r="I244" s="6"/>
      <c r="J244" s="9" t="str">
        <f aca="false">IF(NOT(ISNUMBER($G244)),"",IF(AND(ASH_CORRECTED="Yes",ISNUMBER($H244)),$G244*(1-$H244),$G244))</f>
        <v/>
      </c>
      <c r="K244" s="9" t="str">
        <f aca="false">IF($B244="","",IFERROR(AVERAGEIFS('2. Soil Data'!$G$5:$G$604,'2. Soil Data'!$B$5:$B$604,$B244),""))</f>
        <v/>
      </c>
      <c r="L244" s="9" t="str">
        <f aca="false">IF(NOT(ISNUMBER($K244)),"",PI()*($K244/2)^2)</f>
        <v/>
      </c>
      <c r="M244" s="9" t="str">
        <f aca="false">IF(OR(NOT(ISNUMBER($J244)),NOT(ISNUMBER($L244)),$L244=0),"",$J244/$L244*10000)</f>
        <v/>
      </c>
      <c r="N244" s="9" t="str">
        <f aca="false">IF(NOT(ISNUMBER($M244)),"",$M244*CARBON_FRACTION_ROOT/1000)</f>
        <v/>
      </c>
      <c r="O244" s="11" t="str">
        <f aca="false">IF(AND($A244="",$B244="",$G244=""),"",IF(AND($B244&lt;&gt;"",COUNTIFS('2. Soil Data'!$B$5:$B$604,$B244)=0),"Core ID not found in Soil Data, so the corer diameter cannot be looked up. ","")&amp;IF(ASH_CORRECTED&lt;&gt;"Yes","Root mass is NOT ash-corrected, so it includes adhering mineral soil and is too high. Set ASH_CORRECTED once you have done it. ","")&amp;IF(AND(ASH_CORRECTED="Yes",NOT(ISNUMBER($H244))),"Ash correction is switched on but no ash fraction is given for this row. ","")&amp;IF($I244="","Sieve mesh not recorded — a fine-root figure cannot be interpreted without it. ","")&amp;IF(AND(ISNUMBER($H244),$H244&gt;0.5),"Ash fraction above 0.5 — over half this sample was mineral soil. Re-wash. ","")&amp;IF($F244="Not separated","Live and dead not separated. Fine for a stock, but "&amp;"note it in reporting. ",""))</f>
        <v/>
      </c>
      <c r="P244" s="6"/>
      <c r="Q244" s="9" t="n">
        <f aca="false">IF($B244="",0,IF(COUNTIFS($B$5:$B244,$B244)=1,1,0))</f>
        <v>0</v>
      </c>
    </row>
    <row r="245" customFormat="false" ht="15" hidden="false" customHeight="false" outlineLevel="0" collapsed="false">
      <c r="A245" s="6"/>
      <c r="B245" s="6"/>
      <c r="C245" s="6"/>
      <c r="D245" s="6"/>
      <c r="E245" s="6"/>
      <c r="F245" s="6"/>
      <c r="G245" s="7"/>
      <c r="H245" s="7"/>
      <c r="I245" s="6"/>
      <c r="J245" s="9" t="str">
        <f aca="false">IF(NOT(ISNUMBER($G245)),"",IF(AND(ASH_CORRECTED="Yes",ISNUMBER($H245)),$G245*(1-$H245),$G245))</f>
        <v/>
      </c>
      <c r="K245" s="9" t="str">
        <f aca="false">IF($B245="","",IFERROR(AVERAGEIFS('2. Soil Data'!$G$5:$G$604,'2. Soil Data'!$B$5:$B$604,$B245),""))</f>
        <v/>
      </c>
      <c r="L245" s="9" t="str">
        <f aca="false">IF(NOT(ISNUMBER($K245)),"",PI()*($K245/2)^2)</f>
        <v/>
      </c>
      <c r="M245" s="9" t="str">
        <f aca="false">IF(OR(NOT(ISNUMBER($J245)),NOT(ISNUMBER($L245)),$L245=0),"",$J245/$L245*10000)</f>
        <v/>
      </c>
      <c r="N245" s="9" t="str">
        <f aca="false">IF(NOT(ISNUMBER($M245)),"",$M245*CARBON_FRACTION_ROOT/1000)</f>
        <v/>
      </c>
      <c r="O245" s="11" t="str">
        <f aca="false">IF(AND($A245="",$B245="",$G245=""),"",IF(AND($B245&lt;&gt;"",COUNTIFS('2. Soil Data'!$B$5:$B$604,$B245)=0),"Core ID not found in Soil Data, so the corer diameter cannot be looked up. ","")&amp;IF(ASH_CORRECTED&lt;&gt;"Yes","Root mass is NOT ash-corrected, so it includes adhering mineral soil and is too high. Set ASH_CORRECTED once you have done it. ","")&amp;IF(AND(ASH_CORRECTED="Yes",NOT(ISNUMBER($H245))),"Ash correction is switched on but no ash fraction is given for this row. ","")&amp;IF($I245="","Sieve mesh not recorded — a fine-root figure cannot be interpreted without it. ","")&amp;IF(AND(ISNUMBER($H245),$H245&gt;0.5),"Ash fraction above 0.5 — over half this sample was mineral soil. Re-wash. ","")&amp;IF($F245="Not separated","Live and dead not separated. Fine for a stock, but "&amp;"note it in reporting. ",""))</f>
        <v/>
      </c>
      <c r="P245" s="6"/>
      <c r="Q245" s="9" t="n">
        <f aca="false">IF($B245="",0,IF(COUNTIFS($B$5:$B245,$B245)=1,1,0))</f>
        <v>0</v>
      </c>
    </row>
    <row r="246" customFormat="false" ht="15" hidden="false" customHeight="false" outlineLevel="0" collapsed="false">
      <c r="A246" s="6"/>
      <c r="B246" s="6"/>
      <c r="C246" s="6"/>
      <c r="D246" s="6"/>
      <c r="E246" s="6"/>
      <c r="F246" s="6"/>
      <c r="G246" s="7"/>
      <c r="H246" s="7"/>
      <c r="I246" s="6"/>
      <c r="J246" s="9" t="str">
        <f aca="false">IF(NOT(ISNUMBER($G246)),"",IF(AND(ASH_CORRECTED="Yes",ISNUMBER($H246)),$G246*(1-$H246),$G246))</f>
        <v/>
      </c>
      <c r="K246" s="9" t="str">
        <f aca="false">IF($B246="","",IFERROR(AVERAGEIFS('2. Soil Data'!$G$5:$G$604,'2. Soil Data'!$B$5:$B$604,$B246),""))</f>
        <v/>
      </c>
      <c r="L246" s="9" t="str">
        <f aca="false">IF(NOT(ISNUMBER($K246)),"",PI()*($K246/2)^2)</f>
        <v/>
      </c>
      <c r="M246" s="9" t="str">
        <f aca="false">IF(OR(NOT(ISNUMBER($J246)),NOT(ISNUMBER($L246)),$L246=0),"",$J246/$L246*10000)</f>
        <v/>
      </c>
      <c r="N246" s="9" t="str">
        <f aca="false">IF(NOT(ISNUMBER($M246)),"",$M246*CARBON_FRACTION_ROOT/1000)</f>
        <v/>
      </c>
      <c r="O246" s="11" t="str">
        <f aca="false">IF(AND($A246="",$B246="",$G246=""),"",IF(AND($B246&lt;&gt;"",COUNTIFS('2. Soil Data'!$B$5:$B$604,$B246)=0),"Core ID not found in Soil Data, so the corer diameter cannot be looked up. ","")&amp;IF(ASH_CORRECTED&lt;&gt;"Yes","Root mass is NOT ash-corrected, so it includes adhering mineral soil and is too high. Set ASH_CORRECTED once you have done it. ","")&amp;IF(AND(ASH_CORRECTED="Yes",NOT(ISNUMBER($H246))),"Ash correction is switched on but no ash fraction is given for this row. ","")&amp;IF($I246="","Sieve mesh not recorded — a fine-root figure cannot be interpreted without it. ","")&amp;IF(AND(ISNUMBER($H246),$H246&gt;0.5),"Ash fraction above 0.5 — over half this sample was mineral soil. Re-wash. ","")&amp;IF($F246="Not separated","Live and dead not separated. Fine for a stock, but "&amp;"note it in reporting. ",""))</f>
        <v/>
      </c>
      <c r="P246" s="6"/>
      <c r="Q246" s="9" t="n">
        <f aca="false">IF($B246="",0,IF(COUNTIFS($B$5:$B246,$B246)=1,1,0))</f>
        <v>0</v>
      </c>
    </row>
    <row r="247" customFormat="false" ht="15" hidden="false" customHeight="false" outlineLevel="0" collapsed="false">
      <c r="A247" s="6"/>
      <c r="B247" s="6"/>
      <c r="C247" s="6"/>
      <c r="D247" s="6"/>
      <c r="E247" s="6"/>
      <c r="F247" s="6"/>
      <c r="G247" s="7"/>
      <c r="H247" s="7"/>
      <c r="I247" s="6"/>
      <c r="J247" s="9" t="str">
        <f aca="false">IF(NOT(ISNUMBER($G247)),"",IF(AND(ASH_CORRECTED="Yes",ISNUMBER($H247)),$G247*(1-$H247),$G247))</f>
        <v/>
      </c>
      <c r="K247" s="9" t="str">
        <f aca="false">IF($B247="","",IFERROR(AVERAGEIFS('2. Soil Data'!$G$5:$G$604,'2. Soil Data'!$B$5:$B$604,$B247),""))</f>
        <v/>
      </c>
      <c r="L247" s="9" t="str">
        <f aca="false">IF(NOT(ISNUMBER($K247)),"",PI()*($K247/2)^2)</f>
        <v/>
      </c>
      <c r="M247" s="9" t="str">
        <f aca="false">IF(OR(NOT(ISNUMBER($J247)),NOT(ISNUMBER($L247)),$L247=0),"",$J247/$L247*10000)</f>
        <v/>
      </c>
      <c r="N247" s="9" t="str">
        <f aca="false">IF(NOT(ISNUMBER($M247)),"",$M247*CARBON_FRACTION_ROOT/1000)</f>
        <v/>
      </c>
      <c r="O247" s="11" t="str">
        <f aca="false">IF(AND($A247="",$B247="",$G247=""),"",IF(AND($B247&lt;&gt;"",COUNTIFS('2. Soil Data'!$B$5:$B$604,$B247)=0),"Core ID not found in Soil Data, so the corer diameter cannot be looked up. ","")&amp;IF(ASH_CORRECTED&lt;&gt;"Yes","Root mass is NOT ash-corrected, so it includes adhering mineral soil and is too high. Set ASH_CORRECTED once you have done it. ","")&amp;IF(AND(ASH_CORRECTED="Yes",NOT(ISNUMBER($H247))),"Ash correction is switched on but no ash fraction is given for this row. ","")&amp;IF($I247="","Sieve mesh not recorded — a fine-root figure cannot be interpreted without it. ","")&amp;IF(AND(ISNUMBER($H247),$H247&gt;0.5),"Ash fraction above 0.5 — over half this sample was mineral soil. Re-wash. ","")&amp;IF($F247="Not separated","Live and dead not separated. Fine for a stock, but "&amp;"note it in reporting. ",""))</f>
        <v/>
      </c>
      <c r="P247" s="6"/>
      <c r="Q247" s="9" t="n">
        <f aca="false">IF($B247="",0,IF(COUNTIFS($B$5:$B247,$B247)=1,1,0))</f>
        <v>0</v>
      </c>
    </row>
    <row r="248" customFormat="false" ht="15" hidden="false" customHeight="false" outlineLevel="0" collapsed="false">
      <c r="A248" s="6"/>
      <c r="B248" s="6"/>
      <c r="C248" s="6"/>
      <c r="D248" s="6"/>
      <c r="E248" s="6"/>
      <c r="F248" s="6"/>
      <c r="G248" s="7"/>
      <c r="H248" s="7"/>
      <c r="I248" s="6"/>
      <c r="J248" s="9" t="str">
        <f aca="false">IF(NOT(ISNUMBER($G248)),"",IF(AND(ASH_CORRECTED="Yes",ISNUMBER($H248)),$G248*(1-$H248),$G248))</f>
        <v/>
      </c>
      <c r="K248" s="9" t="str">
        <f aca="false">IF($B248="","",IFERROR(AVERAGEIFS('2. Soil Data'!$G$5:$G$604,'2. Soil Data'!$B$5:$B$604,$B248),""))</f>
        <v/>
      </c>
      <c r="L248" s="9" t="str">
        <f aca="false">IF(NOT(ISNUMBER($K248)),"",PI()*($K248/2)^2)</f>
        <v/>
      </c>
      <c r="M248" s="9" t="str">
        <f aca="false">IF(OR(NOT(ISNUMBER($J248)),NOT(ISNUMBER($L248)),$L248=0),"",$J248/$L248*10000)</f>
        <v/>
      </c>
      <c r="N248" s="9" t="str">
        <f aca="false">IF(NOT(ISNUMBER($M248)),"",$M248*CARBON_FRACTION_ROOT/1000)</f>
        <v/>
      </c>
      <c r="O248" s="11" t="str">
        <f aca="false">IF(AND($A248="",$B248="",$G248=""),"",IF(AND($B248&lt;&gt;"",COUNTIFS('2. Soil Data'!$B$5:$B$604,$B248)=0),"Core ID not found in Soil Data, so the corer diameter cannot be looked up. ","")&amp;IF(ASH_CORRECTED&lt;&gt;"Yes","Root mass is NOT ash-corrected, so it includes adhering mineral soil and is too high. Set ASH_CORRECTED once you have done it. ","")&amp;IF(AND(ASH_CORRECTED="Yes",NOT(ISNUMBER($H248))),"Ash correction is switched on but no ash fraction is given for this row. ","")&amp;IF($I248="","Sieve mesh not recorded — a fine-root figure cannot be interpreted without it. ","")&amp;IF(AND(ISNUMBER($H248),$H248&gt;0.5),"Ash fraction above 0.5 — over half this sample was mineral soil. Re-wash. ","")&amp;IF($F248="Not separated","Live and dead not separated. Fine for a stock, but "&amp;"note it in reporting. ",""))</f>
        <v/>
      </c>
      <c r="P248" s="6"/>
      <c r="Q248" s="9" t="n">
        <f aca="false">IF($B248="",0,IF(COUNTIFS($B$5:$B248,$B248)=1,1,0))</f>
        <v>0</v>
      </c>
    </row>
    <row r="249" customFormat="false" ht="15" hidden="false" customHeight="false" outlineLevel="0" collapsed="false">
      <c r="A249" s="6"/>
      <c r="B249" s="6"/>
      <c r="C249" s="6"/>
      <c r="D249" s="6"/>
      <c r="E249" s="6"/>
      <c r="F249" s="6"/>
      <c r="G249" s="7"/>
      <c r="H249" s="7"/>
      <c r="I249" s="6"/>
      <c r="J249" s="9" t="str">
        <f aca="false">IF(NOT(ISNUMBER($G249)),"",IF(AND(ASH_CORRECTED="Yes",ISNUMBER($H249)),$G249*(1-$H249),$G249))</f>
        <v/>
      </c>
      <c r="K249" s="9" t="str">
        <f aca="false">IF($B249="","",IFERROR(AVERAGEIFS('2. Soil Data'!$G$5:$G$604,'2. Soil Data'!$B$5:$B$604,$B249),""))</f>
        <v/>
      </c>
      <c r="L249" s="9" t="str">
        <f aca="false">IF(NOT(ISNUMBER($K249)),"",PI()*($K249/2)^2)</f>
        <v/>
      </c>
      <c r="M249" s="9" t="str">
        <f aca="false">IF(OR(NOT(ISNUMBER($J249)),NOT(ISNUMBER($L249)),$L249=0),"",$J249/$L249*10000)</f>
        <v/>
      </c>
      <c r="N249" s="9" t="str">
        <f aca="false">IF(NOT(ISNUMBER($M249)),"",$M249*CARBON_FRACTION_ROOT/1000)</f>
        <v/>
      </c>
      <c r="O249" s="11" t="str">
        <f aca="false">IF(AND($A249="",$B249="",$G249=""),"",IF(AND($B249&lt;&gt;"",COUNTIFS('2. Soil Data'!$B$5:$B$604,$B249)=0),"Core ID not found in Soil Data, so the corer diameter cannot be looked up. ","")&amp;IF(ASH_CORRECTED&lt;&gt;"Yes","Root mass is NOT ash-corrected, so it includes adhering mineral soil and is too high. Set ASH_CORRECTED once you have done it. ","")&amp;IF(AND(ASH_CORRECTED="Yes",NOT(ISNUMBER($H249))),"Ash correction is switched on but no ash fraction is given for this row. ","")&amp;IF($I249="","Sieve mesh not recorded — a fine-root figure cannot be interpreted without it. ","")&amp;IF(AND(ISNUMBER($H249),$H249&gt;0.5),"Ash fraction above 0.5 — over half this sample was mineral soil. Re-wash. ","")&amp;IF($F249="Not separated","Live and dead not separated. Fine for a stock, but "&amp;"note it in reporting. ",""))</f>
        <v/>
      </c>
      <c r="P249" s="6"/>
      <c r="Q249" s="9" t="n">
        <f aca="false">IF($B249="",0,IF(COUNTIFS($B$5:$B249,$B249)=1,1,0))</f>
        <v>0</v>
      </c>
    </row>
    <row r="250" customFormat="false" ht="15" hidden="false" customHeight="false" outlineLevel="0" collapsed="false">
      <c r="A250" s="6"/>
      <c r="B250" s="6"/>
      <c r="C250" s="6"/>
      <c r="D250" s="6"/>
      <c r="E250" s="6"/>
      <c r="F250" s="6"/>
      <c r="G250" s="7"/>
      <c r="H250" s="7"/>
      <c r="I250" s="6"/>
      <c r="J250" s="9" t="str">
        <f aca="false">IF(NOT(ISNUMBER($G250)),"",IF(AND(ASH_CORRECTED="Yes",ISNUMBER($H250)),$G250*(1-$H250),$G250))</f>
        <v/>
      </c>
      <c r="K250" s="9" t="str">
        <f aca="false">IF($B250="","",IFERROR(AVERAGEIFS('2. Soil Data'!$G$5:$G$604,'2. Soil Data'!$B$5:$B$604,$B250),""))</f>
        <v/>
      </c>
      <c r="L250" s="9" t="str">
        <f aca="false">IF(NOT(ISNUMBER($K250)),"",PI()*($K250/2)^2)</f>
        <v/>
      </c>
      <c r="M250" s="9" t="str">
        <f aca="false">IF(OR(NOT(ISNUMBER($J250)),NOT(ISNUMBER($L250)),$L250=0),"",$J250/$L250*10000)</f>
        <v/>
      </c>
      <c r="N250" s="9" t="str">
        <f aca="false">IF(NOT(ISNUMBER($M250)),"",$M250*CARBON_FRACTION_ROOT/1000)</f>
        <v/>
      </c>
      <c r="O250" s="11" t="str">
        <f aca="false">IF(AND($A250="",$B250="",$G250=""),"",IF(AND($B250&lt;&gt;"",COUNTIFS('2. Soil Data'!$B$5:$B$604,$B250)=0),"Core ID not found in Soil Data, so the corer diameter cannot be looked up. ","")&amp;IF(ASH_CORRECTED&lt;&gt;"Yes","Root mass is NOT ash-corrected, so it includes adhering mineral soil and is too high. Set ASH_CORRECTED once you have done it. ","")&amp;IF(AND(ASH_CORRECTED="Yes",NOT(ISNUMBER($H250))),"Ash correction is switched on but no ash fraction is given for this row. ","")&amp;IF($I250="","Sieve mesh not recorded — a fine-root figure cannot be interpreted without it. ","")&amp;IF(AND(ISNUMBER($H250),$H250&gt;0.5),"Ash fraction above 0.5 — over half this sample was mineral soil. Re-wash. ","")&amp;IF($F250="Not separated","Live and dead not separated. Fine for a stock, but "&amp;"note it in reporting. ",""))</f>
        <v/>
      </c>
      <c r="P250" s="6"/>
      <c r="Q250" s="9" t="n">
        <f aca="false">IF($B250="",0,IF(COUNTIFS($B$5:$B250,$B250)=1,1,0))</f>
        <v>0</v>
      </c>
    </row>
    <row r="251" customFormat="false" ht="15" hidden="false" customHeight="false" outlineLevel="0" collapsed="false">
      <c r="A251" s="6"/>
      <c r="B251" s="6"/>
      <c r="C251" s="6"/>
      <c r="D251" s="6"/>
      <c r="E251" s="6"/>
      <c r="F251" s="6"/>
      <c r="G251" s="7"/>
      <c r="H251" s="7"/>
      <c r="I251" s="6"/>
      <c r="J251" s="9" t="str">
        <f aca="false">IF(NOT(ISNUMBER($G251)),"",IF(AND(ASH_CORRECTED="Yes",ISNUMBER($H251)),$G251*(1-$H251),$G251))</f>
        <v/>
      </c>
      <c r="K251" s="9" t="str">
        <f aca="false">IF($B251="","",IFERROR(AVERAGEIFS('2. Soil Data'!$G$5:$G$604,'2. Soil Data'!$B$5:$B$604,$B251),""))</f>
        <v/>
      </c>
      <c r="L251" s="9" t="str">
        <f aca="false">IF(NOT(ISNUMBER($K251)),"",PI()*($K251/2)^2)</f>
        <v/>
      </c>
      <c r="M251" s="9" t="str">
        <f aca="false">IF(OR(NOT(ISNUMBER($J251)),NOT(ISNUMBER($L251)),$L251=0),"",$J251/$L251*10000)</f>
        <v/>
      </c>
      <c r="N251" s="9" t="str">
        <f aca="false">IF(NOT(ISNUMBER($M251)),"",$M251*CARBON_FRACTION_ROOT/1000)</f>
        <v/>
      </c>
      <c r="O251" s="11" t="str">
        <f aca="false">IF(AND($A251="",$B251="",$G251=""),"",IF(AND($B251&lt;&gt;"",COUNTIFS('2. Soil Data'!$B$5:$B$604,$B251)=0),"Core ID not found in Soil Data, so the corer diameter cannot be looked up. ","")&amp;IF(ASH_CORRECTED&lt;&gt;"Yes","Root mass is NOT ash-corrected, so it includes adhering mineral soil and is too high. Set ASH_CORRECTED once you have done it. ","")&amp;IF(AND(ASH_CORRECTED="Yes",NOT(ISNUMBER($H251))),"Ash correction is switched on but no ash fraction is given for this row. ","")&amp;IF($I251="","Sieve mesh not recorded — a fine-root figure cannot be interpreted without it. ","")&amp;IF(AND(ISNUMBER($H251),$H251&gt;0.5),"Ash fraction above 0.5 — over half this sample was mineral soil. Re-wash. ","")&amp;IF($F251="Not separated","Live and dead not separated. Fine for a stock, but "&amp;"note it in reporting. ",""))</f>
        <v/>
      </c>
      <c r="P251" s="6"/>
      <c r="Q251" s="9" t="n">
        <f aca="false">IF($B251="",0,IF(COUNTIFS($B$5:$B251,$B251)=1,1,0))</f>
        <v>0</v>
      </c>
    </row>
    <row r="252" customFormat="false" ht="15" hidden="false" customHeight="false" outlineLevel="0" collapsed="false">
      <c r="A252" s="6"/>
      <c r="B252" s="6"/>
      <c r="C252" s="6"/>
      <c r="D252" s="6"/>
      <c r="E252" s="6"/>
      <c r="F252" s="6"/>
      <c r="G252" s="7"/>
      <c r="H252" s="7"/>
      <c r="I252" s="6"/>
      <c r="J252" s="9" t="str">
        <f aca="false">IF(NOT(ISNUMBER($G252)),"",IF(AND(ASH_CORRECTED="Yes",ISNUMBER($H252)),$G252*(1-$H252),$G252))</f>
        <v/>
      </c>
      <c r="K252" s="9" t="str">
        <f aca="false">IF($B252="","",IFERROR(AVERAGEIFS('2. Soil Data'!$G$5:$G$604,'2. Soil Data'!$B$5:$B$604,$B252),""))</f>
        <v/>
      </c>
      <c r="L252" s="9" t="str">
        <f aca="false">IF(NOT(ISNUMBER($K252)),"",PI()*($K252/2)^2)</f>
        <v/>
      </c>
      <c r="M252" s="9" t="str">
        <f aca="false">IF(OR(NOT(ISNUMBER($J252)),NOT(ISNUMBER($L252)),$L252=0),"",$J252/$L252*10000)</f>
        <v/>
      </c>
      <c r="N252" s="9" t="str">
        <f aca="false">IF(NOT(ISNUMBER($M252)),"",$M252*CARBON_FRACTION_ROOT/1000)</f>
        <v/>
      </c>
      <c r="O252" s="11" t="str">
        <f aca="false">IF(AND($A252="",$B252="",$G252=""),"",IF(AND($B252&lt;&gt;"",COUNTIFS('2. Soil Data'!$B$5:$B$604,$B252)=0),"Core ID not found in Soil Data, so the corer diameter cannot be looked up. ","")&amp;IF(ASH_CORRECTED&lt;&gt;"Yes","Root mass is NOT ash-corrected, so it includes adhering mineral soil and is too high. Set ASH_CORRECTED once you have done it. ","")&amp;IF(AND(ASH_CORRECTED="Yes",NOT(ISNUMBER($H252))),"Ash correction is switched on but no ash fraction is given for this row. ","")&amp;IF($I252="","Sieve mesh not recorded — a fine-root figure cannot be interpreted without it. ","")&amp;IF(AND(ISNUMBER($H252),$H252&gt;0.5),"Ash fraction above 0.5 — over half this sample was mineral soil. Re-wash. ","")&amp;IF($F252="Not separated","Live and dead not separated. Fine for a stock, but "&amp;"note it in reporting. ",""))</f>
        <v/>
      </c>
      <c r="P252" s="6"/>
      <c r="Q252" s="9" t="n">
        <f aca="false">IF($B252="",0,IF(COUNTIFS($B$5:$B252,$B252)=1,1,0))</f>
        <v>0</v>
      </c>
    </row>
    <row r="253" customFormat="false" ht="15" hidden="false" customHeight="false" outlineLevel="0" collapsed="false">
      <c r="A253" s="6"/>
      <c r="B253" s="6"/>
      <c r="C253" s="6"/>
      <c r="D253" s="6"/>
      <c r="E253" s="6"/>
      <c r="F253" s="6"/>
      <c r="G253" s="7"/>
      <c r="H253" s="7"/>
      <c r="I253" s="6"/>
      <c r="J253" s="9" t="str">
        <f aca="false">IF(NOT(ISNUMBER($G253)),"",IF(AND(ASH_CORRECTED="Yes",ISNUMBER($H253)),$G253*(1-$H253),$G253))</f>
        <v/>
      </c>
      <c r="K253" s="9" t="str">
        <f aca="false">IF($B253="","",IFERROR(AVERAGEIFS('2. Soil Data'!$G$5:$G$604,'2. Soil Data'!$B$5:$B$604,$B253),""))</f>
        <v/>
      </c>
      <c r="L253" s="9" t="str">
        <f aca="false">IF(NOT(ISNUMBER($K253)),"",PI()*($K253/2)^2)</f>
        <v/>
      </c>
      <c r="M253" s="9" t="str">
        <f aca="false">IF(OR(NOT(ISNUMBER($J253)),NOT(ISNUMBER($L253)),$L253=0),"",$J253/$L253*10000)</f>
        <v/>
      </c>
      <c r="N253" s="9" t="str">
        <f aca="false">IF(NOT(ISNUMBER($M253)),"",$M253*CARBON_FRACTION_ROOT/1000)</f>
        <v/>
      </c>
      <c r="O253" s="11" t="str">
        <f aca="false">IF(AND($A253="",$B253="",$G253=""),"",IF(AND($B253&lt;&gt;"",COUNTIFS('2. Soil Data'!$B$5:$B$604,$B253)=0),"Core ID not found in Soil Data, so the corer diameter cannot be looked up. ","")&amp;IF(ASH_CORRECTED&lt;&gt;"Yes","Root mass is NOT ash-corrected, so it includes adhering mineral soil and is too high. Set ASH_CORRECTED once you have done it. ","")&amp;IF(AND(ASH_CORRECTED="Yes",NOT(ISNUMBER($H253))),"Ash correction is switched on but no ash fraction is given for this row. ","")&amp;IF($I253="","Sieve mesh not recorded — a fine-root figure cannot be interpreted without it. ","")&amp;IF(AND(ISNUMBER($H253),$H253&gt;0.5),"Ash fraction above 0.5 — over half this sample was mineral soil. Re-wash. ","")&amp;IF($F253="Not separated","Live and dead not separated. Fine for a stock, but "&amp;"note it in reporting. ",""))</f>
        <v/>
      </c>
      <c r="P253" s="6"/>
      <c r="Q253" s="9" t="n">
        <f aca="false">IF($B253="",0,IF(COUNTIFS($B$5:$B253,$B253)=1,1,0))</f>
        <v>0</v>
      </c>
    </row>
    <row r="254" customFormat="false" ht="15" hidden="false" customHeight="false" outlineLevel="0" collapsed="false">
      <c r="A254" s="6"/>
      <c r="B254" s="6"/>
      <c r="C254" s="6"/>
      <c r="D254" s="6"/>
      <c r="E254" s="6"/>
      <c r="F254" s="6"/>
      <c r="G254" s="7"/>
      <c r="H254" s="7"/>
      <c r="I254" s="6"/>
      <c r="J254" s="9" t="str">
        <f aca="false">IF(NOT(ISNUMBER($G254)),"",IF(AND(ASH_CORRECTED="Yes",ISNUMBER($H254)),$G254*(1-$H254),$G254))</f>
        <v/>
      </c>
      <c r="K254" s="9" t="str">
        <f aca="false">IF($B254="","",IFERROR(AVERAGEIFS('2. Soil Data'!$G$5:$G$604,'2. Soil Data'!$B$5:$B$604,$B254),""))</f>
        <v/>
      </c>
      <c r="L254" s="9" t="str">
        <f aca="false">IF(NOT(ISNUMBER($K254)),"",PI()*($K254/2)^2)</f>
        <v/>
      </c>
      <c r="M254" s="9" t="str">
        <f aca="false">IF(OR(NOT(ISNUMBER($J254)),NOT(ISNUMBER($L254)),$L254=0),"",$J254/$L254*10000)</f>
        <v/>
      </c>
      <c r="N254" s="9" t="str">
        <f aca="false">IF(NOT(ISNUMBER($M254)),"",$M254*CARBON_FRACTION_ROOT/1000)</f>
        <v/>
      </c>
      <c r="O254" s="11" t="str">
        <f aca="false">IF(AND($A254="",$B254="",$G254=""),"",IF(AND($B254&lt;&gt;"",COUNTIFS('2. Soil Data'!$B$5:$B$604,$B254)=0),"Core ID not found in Soil Data, so the corer diameter cannot be looked up. ","")&amp;IF(ASH_CORRECTED&lt;&gt;"Yes","Root mass is NOT ash-corrected, so it includes adhering mineral soil and is too high. Set ASH_CORRECTED once you have done it. ","")&amp;IF(AND(ASH_CORRECTED="Yes",NOT(ISNUMBER($H254))),"Ash correction is switched on but no ash fraction is given for this row. ","")&amp;IF($I254="","Sieve mesh not recorded — a fine-root figure cannot be interpreted without it. ","")&amp;IF(AND(ISNUMBER($H254),$H254&gt;0.5),"Ash fraction above 0.5 — over half this sample was mineral soil. Re-wash. ","")&amp;IF($F254="Not separated","Live and dead not separated. Fine for a stock, but "&amp;"note it in reporting. ",""))</f>
        <v/>
      </c>
      <c r="P254" s="6"/>
      <c r="Q254" s="9" t="n">
        <f aca="false">IF($B254="",0,IF(COUNTIFS($B$5:$B254,$B254)=1,1,0))</f>
        <v>0</v>
      </c>
    </row>
    <row r="255" customFormat="false" ht="15" hidden="false" customHeight="false" outlineLevel="0" collapsed="false">
      <c r="A255" s="6"/>
      <c r="B255" s="6"/>
      <c r="C255" s="6"/>
      <c r="D255" s="6"/>
      <c r="E255" s="6"/>
      <c r="F255" s="6"/>
      <c r="G255" s="7"/>
      <c r="H255" s="7"/>
      <c r="I255" s="6"/>
      <c r="J255" s="9" t="str">
        <f aca="false">IF(NOT(ISNUMBER($G255)),"",IF(AND(ASH_CORRECTED="Yes",ISNUMBER($H255)),$G255*(1-$H255),$G255))</f>
        <v/>
      </c>
      <c r="K255" s="9" t="str">
        <f aca="false">IF($B255="","",IFERROR(AVERAGEIFS('2. Soil Data'!$G$5:$G$604,'2. Soil Data'!$B$5:$B$604,$B255),""))</f>
        <v/>
      </c>
      <c r="L255" s="9" t="str">
        <f aca="false">IF(NOT(ISNUMBER($K255)),"",PI()*($K255/2)^2)</f>
        <v/>
      </c>
      <c r="M255" s="9" t="str">
        <f aca="false">IF(OR(NOT(ISNUMBER($J255)),NOT(ISNUMBER($L255)),$L255=0),"",$J255/$L255*10000)</f>
        <v/>
      </c>
      <c r="N255" s="9" t="str">
        <f aca="false">IF(NOT(ISNUMBER($M255)),"",$M255*CARBON_FRACTION_ROOT/1000)</f>
        <v/>
      </c>
      <c r="O255" s="11" t="str">
        <f aca="false">IF(AND($A255="",$B255="",$G255=""),"",IF(AND($B255&lt;&gt;"",COUNTIFS('2. Soil Data'!$B$5:$B$604,$B255)=0),"Core ID not found in Soil Data, so the corer diameter cannot be looked up. ","")&amp;IF(ASH_CORRECTED&lt;&gt;"Yes","Root mass is NOT ash-corrected, so it includes adhering mineral soil and is too high. Set ASH_CORRECTED once you have done it. ","")&amp;IF(AND(ASH_CORRECTED="Yes",NOT(ISNUMBER($H255))),"Ash correction is switched on but no ash fraction is given for this row. ","")&amp;IF($I255="","Sieve mesh not recorded — a fine-root figure cannot be interpreted without it. ","")&amp;IF(AND(ISNUMBER($H255),$H255&gt;0.5),"Ash fraction above 0.5 — over half this sample was mineral soil. Re-wash. ","")&amp;IF($F255="Not separated","Live and dead not separated. Fine for a stock, but "&amp;"note it in reporting. ",""))</f>
        <v/>
      </c>
      <c r="P255" s="6"/>
      <c r="Q255" s="9" t="n">
        <f aca="false">IF($B255="",0,IF(COUNTIFS($B$5:$B255,$B255)=1,1,0))</f>
        <v>0</v>
      </c>
    </row>
    <row r="256" customFormat="false" ht="15" hidden="false" customHeight="false" outlineLevel="0" collapsed="false">
      <c r="A256" s="6"/>
      <c r="B256" s="6"/>
      <c r="C256" s="6"/>
      <c r="D256" s="6"/>
      <c r="E256" s="6"/>
      <c r="F256" s="6"/>
      <c r="G256" s="7"/>
      <c r="H256" s="7"/>
      <c r="I256" s="6"/>
      <c r="J256" s="9" t="str">
        <f aca="false">IF(NOT(ISNUMBER($G256)),"",IF(AND(ASH_CORRECTED="Yes",ISNUMBER($H256)),$G256*(1-$H256),$G256))</f>
        <v/>
      </c>
      <c r="K256" s="9" t="str">
        <f aca="false">IF($B256="","",IFERROR(AVERAGEIFS('2. Soil Data'!$G$5:$G$604,'2. Soil Data'!$B$5:$B$604,$B256),""))</f>
        <v/>
      </c>
      <c r="L256" s="9" t="str">
        <f aca="false">IF(NOT(ISNUMBER($K256)),"",PI()*($K256/2)^2)</f>
        <v/>
      </c>
      <c r="M256" s="9" t="str">
        <f aca="false">IF(OR(NOT(ISNUMBER($J256)),NOT(ISNUMBER($L256)),$L256=0),"",$J256/$L256*10000)</f>
        <v/>
      </c>
      <c r="N256" s="9" t="str">
        <f aca="false">IF(NOT(ISNUMBER($M256)),"",$M256*CARBON_FRACTION_ROOT/1000)</f>
        <v/>
      </c>
      <c r="O256" s="11" t="str">
        <f aca="false">IF(AND($A256="",$B256="",$G256=""),"",IF(AND($B256&lt;&gt;"",COUNTIFS('2. Soil Data'!$B$5:$B$604,$B256)=0),"Core ID not found in Soil Data, so the corer diameter cannot be looked up. ","")&amp;IF(ASH_CORRECTED&lt;&gt;"Yes","Root mass is NOT ash-corrected, so it includes adhering mineral soil and is too high. Set ASH_CORRECTED once you have done it. ","")&amp;IF(AND(ASH_CORRECTED="Yes",NOT(ISNUMBER($H256))),"Ash correction is switched on but no ash fraction is given for this row. ","")&amp;IF($I256="","Sieve mesh not recorded — a fine-root figure cannot be interpreted without it. ","")&amp;IF(AND(ISNUMBER($H256),$H256&gt;0.5),"Ash fraction above 0.5 — over half this sample was mineral soil. Re-wash. ","")&amp;IF($F256="Not separated","Live and dead not separated. Fine for a stock, but "&amp;"note it in reporting. ",""))</f>
        <v/>
      </c>
      <c r="P256" s="6"/>
      <c r="Q256" s="9" t="n">
        <f aca="false">IF($B256="",0,IF(COUNTIFS($B$5:$B256,$B256)=1,1,0))</f>
        <v>0</v>
      </c>
    </row>
    <row r="257" customFormat="false" ht="15" hidden="false" customHeight="false" outlineLevel="0" collapsed="false">
      <c r="A257" s="6"/>
      <c r="B257" s="6"/>
      <c r="C257" s="6"/>
      <c r="D257" s="6"/>
      <c r="E257" s="6"/>
      <c r="F257" s="6"/>
      <c r="G257" s="7"/>
      <c r="H257" s="7"/>
      <c r="I257" s="6"/>
      <c r="J257" s="9" t="str">
        <f aca="false">IF(NOT(ISNUMBER($G257)),"",IF(AND(ASH_CORRECTED="Yes",ISNUMBER($H257)),$G257*(1-$H257),$G257))</f>
        <v/>
      </c>
      <c r="K257" s="9" t="str">
        <f aca="false">IF($B257="","",IFERROR(AVERAGEIFS('2. Soil Data'!$G$5:$G$604,'2. Soil Data'!$B$5:$B$604,$B257),""))</f>
        <v/>
      </c>
      <c r="L257" s="9" t="str">
        <f aca="false">IF(NOT(ISNUMBER($K257)),"",PI()*($K257/2)^2)</f>
        <v/>
      </c>
      <c r="M257" s="9" t="str">
        <f aca="false">IF(OR(NOT(ISNUMBER($J257)),NOT(ISNUMBER($L257)),$L257=0),"",$J257/$L257*10000)</f>
        <v/>
      </c>
      <c r="N257" s="9" t="str">
        <f aca="false">IF(NOT(ISNUMBER($M257)),"",$M257*CARBON_FRACTION_ROOT/1000)</f>
        <v/>
      </c>
      <c r="O257" s="11" t="str">
        <f aca="false">IF(AND($A257="",$B257="",$G257=""),"",IF(AND($B257&lt;&gt;"",COUNTIFS('2. Soil Data'!$B$5:$B$604,$B257)=0),"Core ID not found in Soil Data, so the corer diameter cannot be looked up. ","")&amp;IF(ASH_CORRECTED&lt;&gt;"Yes","Root mass is NOT ash-corrected, so it includes adhering mineral soil and is too high. Set ASH_CORRECTED once you have done it. ","")&amp;IF(AND(ASH_CORRECTED="Yes",NOT(ISNUMBER($H257))),"Ash correction is switched on but no ash fraction is given for this row. ","")&amp;IF($I257="","Sieve mesh not recorded — a fine-root figure cannot be interpreted without it. ","")&amp;IF(AND(ISNUMBER($H257),$H257&gt;0.5),"Ash fraction above 0.5 — over half this sample was mineral soil. Re-wash. ","")&amp;IF($F257="Not separated","Live and dead not separated. Fine for a stock, but "&amp;"note it in reporting. ",""))</f>
        <v/>
      </c>
      <c r="P257" s="6"/>
      <c r="Q257" s="9" t="n">
        <f aca="false">IF($B257="",0,IF(COUNTIFS($B$5:$B257,$B257)=1,1,0))</f>
        <v>0</v>
      </c>
    </row>
    <row r="258" customFormat="false" ht="15" hidden="false" customHeight="false" outlineLevel="0" collapsed="false">
      <c r="A258" s="6"/>
      <c r="B258" s="6"/>
      <c r="C258" s="6"/>
      <c r="D258" s="6"/>
      <c r="E258" s="6"/>
      <c r="F258" s="6"/>
      <c r="G258" s="7"/>
      <c r="H258" s="7"/>
      <c r="I258" s="6"/>
      <c r="J258" s="9" t="str">
        <f aca="false">IF(NOT(ISNUMBER($G258)),"",IF(AND(ASH_CORRECTED="Yes",ISNUMBER($H258)),$G258*(1-$H258),$G258))</f>
        <v/>
      </c>
      <c r="K258" s="9" t="str">
        <f aca="false">IF($B258="","",IFERROR(AVERAGEIFS('2. Soil Data'!$G$5:$G$604,'2. Soil Data'!$B$5:$B$604,$B258),""))</f>
        <v/>
      </c>
      <c r="L258" s="9" t="str">
        <f aca="false">IF(NOT(ISNUMBER($K258)),"",PI()*($K258/2)^2)</f>
        <v/>
      </c>
      <c r="M258" s="9" t="str">
        <f aca="false">IF(OR(NOT(ISNUMBER($J258)),NOT(ISNUMBER($L258)),$L258=0),"",$J258/$L258*10000)</f>
        <v/>
      </c>
      <c r="N258" s="9" t="str">
        <f aca="false">IF(NOT(ISNUMBER($M258)),"",$M258*CARBON_FRACTION_ROOT/1000)</f>
        <v/>
      </c>
      <c r="O258" s="11" t="str">
        <f aca="false">IF(AND($A258="",$B258="",$G258=""),"",IF(AND($B258&lt;&gt;"",COUNTIFS('2. Soil Data'!$B$5:$B$604,$B258)=0),"Core ID not found in Soil Data, so the corer diameter cannot be looked up. ","")&amp;IF(ASH_CORRECTED&lt;&gt;"Yes","Root mass is NOT ash-corrected, so it includes adhering mineral soil and is too high. Set ASH_CORRECTED once you have done it. ","")&amp;IF(AND(ASH_CORRECTED="Yes",NOT(ISNUMBER($H258))),"Ash correction is switched on but no ash fraction is given for this row. ","")&amp;IF($I258="","Sieve mesh not recorded — a fine-root figure cannot be interpreted without it. ","")&amp;IF(AND(ISNUMBER($H258),$H258&gt;0.5),"Ash fraction above 0.5 — over half this sample was mineral soil. Re-wash. ","")&amp;IF($F258="Not separated","Live and dead not separated. Fine for a stock, but "&amp;"note it in reporting. ",""))</f>
        <v/>
      </c>
      <c r="P258" s="6"/>
      <c r="Q258" s="9" t="n">
        <f aca="false">IF($B258="",0,IF(COUNTIFS($B$5:$B258,$B258)=1,1,0))</f>
        <v>0</v>
      </c>
    </row>
    <row r="259" customFormat="false" ht="15" hidden="false" customHeight="false" outlineLevel="0" collapsed="false">
      <c r="A259" s="6"/>
      <c r="B259" s="6"/>
      <c r="C259" s="6"/>
      <c r="D259" s="6"/>
      <c r="E259" s="6"/>
      <c r="F259" s="6"/>
      <c r="G259" s="7"/>
      <c r="H259" s="7"/>
      <c r="I259" s="6"/>
      <c r="J259" s="9" t="str">
        <f aca="false">IF(NOT(ISNUMBER($G259)),"",IF(AND(ASH_CORRECTED="Yes",ISNUMBER($H259)),$G259*(1-$H259),$G259))</f>
        <v/>
      </c>
      <c r="K259" s="9" t="str">
        <f aca="false">IF($B259="","",IFERROR(AVERAGEIFS('2. Soil Data'!$G$5:$G$604,'2. Soil Data'!$B$5:$B$604,$B259),""))</f>
        <v/>
      </c>
      <c r="L259" s="9" t="str">
        <f aca="false">IF(NOT(ISNUMBER($K259)),"",PI()*($K259/2)^2)</f>
        <v/>
      </c>
      <c r="M259" s="9" t="str">
        <f aca="false">IF(OR(NOT(ISNUMBER($J259)),NOT(ISNUMBER($L259)),$L259=0),"",$J259/$L259*10000)</f>
        <v/>
      </c>
      <c r="N259" s="9" t="str">
        <f aca="false">IF(NOT(ISNUMBER($M259)),"",$M259*CARBON_FRACTION_ROOT/1000)</f>
        <v/>
      </c>
      <c r="O259" s="11" t="str">
        <f aca="false">IF(AND($A259="",$B259="",$G259=""),"",IF(AND($B259&lt;&gt;"",COUNTIFS('2. Soil Data'!$B$5:$B$604,$B259)=0),"Core ID not found in Soil Data, so the corer diameter cannot be looked up. ","")&amp;IF(ASH_CORRECTED&lt;&gt;"Yes","Root mass is NOT ash-corrected, so it includes adhering mineral soil and is too high. Set ASH_CORRECTED once you have done it. ","")&amp;IF(AND(ASH_CORRECTED="Yes",NOT(ISNUMBER($H259))),"Ash correction is switched on but no ash fraction is given for this row. ","")&amp;IF($I259="","Sieve mesh not recorded — a fine-root figure cannot be interpreted without it. ","")&amp;IF(AND(ISNUMBER($H259),$H259&gt;0.5),"Ash fraction above 0.5 — over half this sample was mineral soil. Re-wash. ","")&amp;IF($F259="Not separated","Live and dead not separated. Fine for a stock, but "&amp;"note it in reporting. ",""))</f>
        <v/>
      </c>
      <c r="P259" s="6"/>
      <c r="Q259" s="9" t="n">
        <f aca="false">IF($B259="",0,IF(COUNTIFS($B$5:$B259,$B259)=1,1,0))</f>
        <v>0</v>
      </c>
    </row>
    <row r="260" customFormat="false" ht="15" hidden="false" customHeight="false" outlineLevel="0" collapsed="false">
      <c r="A260" s="6"/>
      <c r="B260" s="6"/>
      <c r="C260" s="6"/>
      <c r="D260" s="6"/>
      <c r="E260" s="6"/>
      <c r="F260" s="6"/>
      <c r="G260" s="7"/>
      <c r="H260" s="7"/>
      <c r="I260" s="6"/>
      <c r="J260" s="9" t="str">
        <f aca="false">IF(NOT(ISNUMBER($G260)),"",IF(AND(ASH_CORRECTED="Yes",ISNUMBER($H260)),$G260*(1-$H260),$G260))</f>
        <v/>
      </c>
      <c r="K260" s="9" t="str">
        <f aca="false">IF($B260="","",IFERROR(AVERAGEIFS('2. Soil Data'!$G$5:$G$604,'2. Soil Data'!$B$5:$B$604,$B260),""))</f>
        <v/>
      </c>
      <c r="L260" s="9" t="str">
        <f aca="false">IF(NOT(ISNUMBER($K260)),"",PI()*($K260/2)^2)</f>
        <v/>
      </c>
      <c r="M260" s="9" t="str">
        <f aca="false">IF(OR(NOT(ISNUMBER($J260)),NOT(ISNUMBER($L260)),$L260=0),"",$J260/$L260*10000)</f>
        <v/>
      </c>
      <c r="N260" s="9" t="str">
        <f aca="false">IF(NOT(ISNUMBER($M260)),"",$M260*CARBON_FRACTION_ROOT/1000)</f>
        <v/>
      </c>
      <c r="O260" s="11" t="str">
        <f aca="false">IF(AND($A260="",$B260="",$G260=""),"",IF(AND($B260&lt;&gt;"",COUNTIFS('2. Soil Data'!$B$5:$B$604,$B260)=0),"Core ID not found in Soil Data, so the corer diameter cannot be looked up. ","")&amp;IF(ASH_CORRECTED&lt;&gt;"Yes","Root mass is NOT ash-corrected, so it includes adhering mineral soil and is too high. Set ASH_CORRECTED once you have done it. ","")&amp;IF(AND(ASH_CORRECTED="Yes",NOT(ISNUMBER($H260))),"Ash correction is switched on but no ash fraction is given for this row. ","")&amp;IF($I260="","Sieve mesh not recorded — a fine-root figure cannot be interpreted without it. ","")&amp;IF(AND(ISNUMBER($H260),$H260&gt;0.5),"Ash fraction above 0.5 — over half this sample was mineral soil. Re-wash. ","")&amp;IF($F260="Not separated","Live and dead not separated. Fine for a stock, but "&amp;"note it in reporting. ",""))</f>
        <v/>
      </c>
      <c r="P260" s="6"/>
      <c r="Q260" s="9" t="n">
        <f aca="false">IF($B260="",0,IF(COUNTIFS($B$5:$B260,$B260)=1,1,0))</f>
        <v>0</v>
      </c>
    </row>
    <row r="261" customFormat="false" ht="15" hidden="false" customHeight="false" outlineLevel="0" collapsed="false">
      <c r="A261" s="6"/>
      <c r="B261" s="6"/>
      <c r="C261" s="6"/>
      <c r="D261" s="6"/>
      <c r="E261" s="6"/>
      <c r="F261" s="6"/>
      <c r="G261" s="7"/>
      <c r="H261" s="7"/>
      <c r="I261" s="6"/>
      <c r="J261" s="9" t="str">
        <f aca="false">IF(NOT(ISNUMBER($G261)),"",IF(AND(ASH_CORRECTED="Yes",ISNUMBER($H261)),$G261*(1-$H261),$G261))</f>
        <v/>
      </c>
      <c r="K261" s="9" t="str">
        <f aca="false">IF($B261="","",IFERROR(AVERAGEIFS('2. Soil Data'!$G$5:$G$604,'2. Soil Data'!$B$5:$B$604,$B261),""))</f>
        <v/>
      </c>
      <c r="L261" s="9" t="str">
        <f aca="false">IF(NOT(ISNUMBER($K261)),"",PI()*($K261/2)^2)</f>
        <v/>
      </c>
      <c r="M261" s="9" t="str">
        <f aca="false">IF(OR(NOT(ISNUMBER($J261)),NOT(ISNUMBER($L261)),$L261=0),"",$J261/$L261*10000)</f>
        <v/>
      </c>
      <c r="N261" s="9" t="str">
        <f aca="false">IF(NOT(ISNUMBER($M261)),"",$M261*CARBON_FRACTION_ROOT/1000)</f>
        <v/>
      </c>
      <c r="O261" s="11" t="str">
        <f aca="false">IF(AND($A261="",$B261="",$G261=""),"",IF(AND($B261&lt;&gt;"",COUNTIFS('2. Soil Data'!$B$5:$B$604,$B261)=0),"Core ID not found in Soil Data, so the corer diameter cannot be looked up. ","")&amp;IF(ASH_CORRECTED&lt;&gt;"Yes","Root mass is NOT ash-corrected, so it includes adhering mineral soil and is too high. Set ASH_CORRECTED once you have done it. ","")&amp;IF(AND(ASH_CORRECTED="Yes",NOT(ISNUMBER($H261))),"Ash correction is switched on but no ash fraction is given for this row. ","")&amp;IF($I261="","Sieve mesh not recorded — a fine-root figure cannot be interpreted without it. ","")&amp;IF(AND(ISNUMBER($H261),$H261&gt;0.5),"Ash fraction above 0.5 — over half this sample was mineral soil. Re-wash. ","")&amp;IF($F261="Not separated","Live and dead not separated. Fine for a stock, but "&amp;"note it in reporting. ",""))</f>
        <v/>
      </c>
      <c r="P261" s="6"/>
      <c r="Q261" s="9" t="n">
        <f aca="false">IF($B261="",0,IF(COUNTIFS($B$5:$B261,$B261)=1,1,0))</f>
        <v>0</v>
      </c>
    </row>
    <row r="262" customFormat="false" ht="15" hidden="false" customHeight="false" outlineLevel="0" collapsed="false">
      <c r="A262" s="6"/>
      <c r="B262" s="6"/>
      <c r="C262" s="6"/>
      <c r="D262" s="6"/>
      <c r="E262" s="6"/>
      <c r="F262" s="6"/>
      <c r="G262" s="7"/>
      <c r="H262" s="7"/>
      <c r="I262" s="6"/>
      <c r="J262" s="9" t="str">
        <f aca="false">IF(NOT(ISNUMBER($G262)),"",IF(AND(ASH_CORRECTED="Yes",ISNUMBER($H262)),$G262*(1-$H262),$G262))</f>
        <v/>
      </c>
      <c r="K262" s="9" t="str">
        <f aca="false">IF($B262="","",IFERROR(AVERAGEIFS('2. Soil Data'!$G$5:$G$604,'2. Soil Data'!$B$5:$B$604,$B262),""))</f>
        <v/>
      </c>
      <c r="L262" s="9" t="str">
        <f aca="false">IF(NOT(ISNUMBER($K262)),"",PI()*($K262/2)^2)</f>
        <v/>
      </c>
      <c r="M262" s="9" t="str">
        <f aca="false">IF(OR(NOT(ISNUMBER($J262)),NOT(ISNUMBER($L262)),$L262=0),"",$J262/$L262*10000)</f>
        <v/>
      </c>
      <c r="N262" s="9" t="str">
        <f aca="false">IF(NOT(ISNUMBER($M262)),"",$M262*CARBON_FRACTION_ROOT/1000)</f>
        <v/>
      </c>
      <c r="O262" s="11" t="str">
        <f aca="false">IF(AND($A262="",$B262="",$G262=""),"",IF(AND($B262&lt;&gt;"",COUNTIFS('2. Soil Data'!$B$5:$B$604,$B262)=0),"Core ID not found in Soil Data, so the corer diameter cannot be looked up. ","")&amp;IF(ASH_CORRECTED&lt;&gt;"Yes","Root mass is NOT ash-corrected, so it includes adhering mineral soil and is too high. Set ASH_CORRECTED once you have done it. ","")&amp;IF(AND(ASH_CORRECTED="Yes",NOT(ISNUMBER($H262))),"Ash correction is switched on but no ash fraction is given for this row. ","")&amp;IF($I262="","Sieve mesh not recorded — a fine-root figure cannot be interpreted without it. ","")&amp;IF(AND(ISNUMBER($H262),$H262&gt;0.5),"Ash fraction above 0.5 — over half this sample was mineral soil. Re-wash. ","")&amp;IF($F262="Not separated","Live and dead not separated. Fine for a stock, but "&amp;"note it in reporting. ",""))</f>
        <v/>
      </c>
      <c r="P262" s="6"/>
      <c r="Q262" s="9" t="n">
        <f aca="false">IF($B262="",0,IF(COUNTIFS($B$5:$B262,$B262)=1,1,0))</f>
        <v>0</v>
      </c>
    </row>
    <row r="263" customFormat="false" ht="15" hidden="false" customHeight="false" outlineLevel="0" collapsed="false">
      <c r="A263" s="6"/>
      <c r="B263" s="6"/>
      <c r="C263" s="6"/>
      <c r="D263" s="6"/>
      <c r="E263" s="6"/>
      <c r="F263" s="6"/>
      <c r="G263" s="7"/>
      <c r="H263" s="7"/>
      <c r="I263" s="6"/>
      <c r="J263" s="9" t="str">
        <f aca="false">IF(NOT(ISNUMBER($G263)),"",IF(AND(ASH_CORRECTED="Yes",ISNUMBER($H263)),$G263*(1-$H263),$G263))</f>
        <v/>
      </c>
      <c r="K263" s="9" t="str">
        <f aca="false">IF($B263="","",IFERROR(AVERAGEIFS('2. Soil Data'!$G$5:$G$604,'2. Soil Data'!$B$5:$B$604,$B263),""))</f>
        <v/>
      </c>
      <c r="L263" s="9" t="str">
        <f aca="false">IF(NOT(ISNUMBER($K263)),"",PI()*($K263/2)^2)</f>
        <v/>
      </c>
      <c r="M263" s="9" t="str">
        <f aca="false">IF(OR(NOT(ISNUMBER($J263)),NOT(ISNUMBER($L263)),$L263=0),"",$J263/$L263*10000)</f>
        <v/>
      </c>
      <c r="N263" s="9" t="str">
        <f aca="false">IF(NOT(ISNUMBER($M263)),"",$M263*CARBON_FRACTION_ROOT/1000)</f>
        <v/>
      </c>
      <c r="O263" s="11" t="str">
        <f aca="false">IF(AND($A263="",$B263="",$G263=""),"",IF(AND($B263&lt;&gt;"",COUNTIFS('2. Soil Data'!$B$5:$B$604,$B263)=0),"Core ID not found in Soil Data, so the corer diameter cannot be looked up. ","")&amp;IF(ASH_CORRECTED&lt;&gt;"Yes","Root mass is NOT ash-corrected, so it includes adhering mineral soil and is too high. Set ASH_CORRECTED once you have done it. ","")&amp;IF(AND(ASH_CORRECTED="Yes",NOT(ISNUMBER($H263))),"Ash correction is switched on but no ash fraction is given for this row. ","")&amp;IF($I263="","Sieve mesh not recorded — a fine-root figure cannot be interpreted without it. ","")&amp;IF(AND(ISNUMBER($H263),$H263&gt;0.5),"Ash fraction above 0.5 — over half this sample was mineral soil. Re-wash. ","")&amp;IF($F263="Not separated","Live and dead not separated. Fine for a stock, but "&amp;"note it in reporting. ",""))</f>
        <v/>
      </c>
      <c r="P263" s="6"/>
      <c r="Q263" s="9" t="n">
        <f aca="false">IF($B263="",0,IF(COUNTIFS($B$5:$B263,$B263)=1,1,0))</f>
        <v>0</v>
      </c>
    </row>
    <row r="264" customFormat="false" ht="15" hidden="false" customHeight="false" outlineLevel="0" collapsed="false">
      <c r="A264" s="6"/>
      <c r="B264" s="6"/>
      <c r="C264" s="6"/>
      <c r="D264" s="6"/>
      <c r="E264" s="6"/>
      <c r="F264" s="6"/>
      <c r="G264" s="7"/>
      <c r="H264" s="7"/>
      <c r="I264" s="6"/>
      <c r="J264" s="9" t="str">
        <f aca="false">IF(NOT(ISNUMBER($G264)),"",IF(AND(ASH_CORRECTED="Yes",ISNUMBER($H264)),$G264*(1-$H264),$G264))</f>
        <v/>
      </c>
      <c r="K264" s="9" t="str">
        <f aca="false">IF($B264="","",IFERROR(AVERAGEIFS('2. Soil Data'!$G$5:$G$604,'2. Soil Data'!$B$5:$B$604,$B264),""))</f>
        <v/>
      </c>
      <c r="L264" s="9" t="str">
        <f aca="false">IF(NOT(ISNUMBER($K264)),"",PI()*($K264/2)^2)</f>
        <v/>
      </c>
      <c r="M264" s="9" t="str">
        <f aca="false">IF(OR(NOT(ISNUMBER($J264)),NOT(ISNUMBER($L264)),$L264=0),"",$J264/$L264*10000)</f>
        <v/>
      </c>
      <c r="N264" s="9" t="str">
        <f aca="false">IF(NOT(ISNUMBER($M264)),"",$M264*CARBON_FRACTION_ROOT/1000)</f>
        <v/>
      </c>
      <c r="O264" s="11" t="str">
        <f aca="false">IF(AND($A264="",$B264="",$G264=""),"",IF(AND($B264&lt;&gt;"",COUNTIFS('2. Soil Data'!$B$5:$B$604,$B264)=0),"Core ID not found in Soil Data, so the corer diameter cannot be looked up. ","")&amp;IF(ASH_CORRECTED&lt;&gt;"Yes","Root mass is NOT ash-corrected, so it includes adhering mineral soil and is too high. Set ASH_CORRECTED once you have done it. ","")&amp;IF(AND(ASH_CORRECTED="Yes",NOT(ISNUMBER($H264))),"Ash correction is switched on but no ash fraction is given for this row. ","")&amp;IF($I264="","Sieve mesh not recorded — a fine-root figure cannot be interpreted without it. ","")&amp;IF(AND(ISNUMBER($H264),$H264&gt;0.5),"Ash fraction above 0.5 — over half this sample was mineral soil. Re-wash. ","")&amp;IF($F264="Not separated","Live and dead not separated. Fine for a stock, but "&amp;"note it in reporting. ",""))</f>
        <v/>
      </c>
      <c r="P264" s="6"/>
      <c r="Q264" s="9" t="n">
        <f aca="false">IF($B264="",0,IF(COUNTIFS($B$5:$B264,$B264)=1,1,0))</f>
        <v>0</v>
      </c>
    </row>
    <row r="265" customFormat="false" ht="15" hidden="false" customHeight="false" outlineLevel="0" collapsed="false">
      <c r="A265" s="6"/>
      <c r="B265" s="6"/>
      <c r="C265" s="6"/>
      <c r="D265" s="6"/>
      <c r="E265" s="6"/>
      <c r="F265" s="6"/>
      <c r="G265" s="7"/>
      <c r="H265" s="7"/>
      <c r="I265" s="6"/>
      <c r="J265" s="9" t="str">
        <f aca="false">IF(NOT(ISNUMBER($G265)),"",IF(AND(ASH_CORRECTED="Yes",ISNUMBER($H265)),$G265*(1-$H265),$G265))</f>
        <v/>
      </c>
      <c r="K265" s="9" t="str">
        <f aca="false">IF($B265="","",IFERROR(AVERAGEIFS('2. Soil Data'!$G$5:$G$604,'2. Soil Data'!$B$5:$B$604,$B265),""))</f>
        <v/>
      </c>
      <c r="L265" s="9" t="str">
        <f aca="false">IF(NOT(ISNUMBER($K265)),"",PI()*($K265/2)^2)</f>
        <v/>
      </c>
      <c r="M265" s="9" t="str">
        <f aca="false">IF(OR(NOT(ISNUMBER($J265)),NOT(ISNUMBER($L265)),$L265=0),"",$J265/$L265*10000)</f>
        <v/>
      </c>
      <c r="N265" s="9" t="str">
        <f aca="false">IF(NOT(ISNUMBER($M265)),"",$M265*CARBON_FRACTION_ROOT/1000)</f>
        <v/>
      </c>
      <c r="O265" s="11" t="str">
        <f aca="false">IF(AND($A265="",$B265="",$G265=""),"",IF(AND($B265&lt;&gt;"",COUNTIFS('2. Soil Data'!$B$5:$B$604,$B265)=0),"Core ID not found in Soil Data, so the corer diameter cannot be looked up. ","")&amp;IF(ASH_CORRECTED&lt;&gt;"Yes","Root mass is NOT ash-corrected, so it includes adhering mineral soil and is too high. Set ASH_CORRECTED once you have done it. ","")&amp;IF(AND(ASH_CORRECTED="Yes",NOT(ISNUMBER($H265))),"Ash correction is switched on but no ash fraction is given for this row. ","")&amp;IF($I265="","Sieve mesh not recorded — a fine-root figure cannot be interpreted without it. ","")&amp;IF(AND(ISNUMBER($H265),$H265&gt;0.5),"Ash fraction above 0.5 — over half this sample was mineral soil. Re-wash. ","")&amp;IF($F265="Not separated","Live and dead not separated. Fine for a stock, but "&amp;"note it in reporting. ",""))</f>
        <v/>
      </c>
      <c r="P265" s="6"/>
      <c r="Q265" s="9" t="n">
        <f aca="false">IF($B265="",0,IF(COUNTIFS($B$5:$B265,$B265)=1,1,0))</f>
        <v>0</v>
      </c>
    </row>
    <row r="266" customFormat="false" ht="15" hidden="false" customHeight="false" outlineLevel="0" collapsed="false">
      <c r="A266" s="6"/>
      <c r="B266" s="6"/>
      <c r="C266" s="6"/>
      <c r="D266" s="6"/>
      <c r="E266" s="6"/>
      <c r="F266" s="6"/>
      <c r="G266" s="7"/>
      <c r="H266" s="7"/>
      <c r="I266" s="6"/>
      <c r="J266" s="9" t="str">
        <f aca="false">IF(NOT(ISNUMBER($G266)),"",IF(AND(ASH_CORRECTED="Yes",ISNUMBER($H266)),$G266*(1-$H266),$G266))</f>
        <v/>
      </c>
      <c r="K266" s="9" t="str">
        <f aca="false">IF($B266="","",IFERROR(AVERAGEIFS('2. Soil Data'!$G$5:$G$604,'2. Soil Data'!$B$5:$B$604,$B266),""))</f>
        <v/>
      </c>
      <c r="L266" s="9" t="str">
        <f aca="false">IF(NOT(ISNUMBER($K266)),"",PI()*($K266/2)^2)</f>
        <v/>
      </c>
      <c r="M266" s="9" t="str">
        <f aca="false">IF(OR(NOT(ISNUMBER($J266)),NOT(ISNUMBER($L266)),$L266=0),"",$J266/$L266*10000)</f>
        <v/>
      </c>
      <c r="N266" s="9" t="str">
        <f aca="false">IF(NOT(ISNUMBER($M266)),"",$M266*CARBON_FRACTION_ROOT/1000)</f>
        <v/>
      </c>
      <c r="O266" s="11" t="str">
        <f aca="false">IF(AND($A266="",$B266="",$G266=""),"",IF(AND($B266&lt;&gt;"",COUNTIFS('2. Soil Data'!$B$5:$B$604,$B266)=0),"Core ID not found in Soil Data, so the corer diameter cannot be looked up. ","")&amp;IF(ASH_CORRECTED&lt;&gt;"Yes","Root mass is NOT ash-corrected, so it includes adhering mineral soil and is too high. Set ASH_CORRECTED once you have done it. ","")&amp;IF(AND(ASH_CORRECTED="Yes",NOT(ISNUMBER($H266))),"Ash correction is switched on but no ash fraction is given for this row. ","")&amp;IF($I266="","Sieve mesh not recorded — a fine-root figure cannot be interpreted without it. ","")&amp;IF(AND(ISNUMBER($H266),$H266&gt;0.5),"Ash fraction above 0.5 — over half this sample was mineral soil. Re-wash. ","")&amp;IF($F266="Not separated","Live and dead not separated. Fine for a stock, but "&amp;"note it in reporting. ",""))</f>
        <v/>
      </c>
      <c r="P266" s="6"/>
      <c r="Q266" s="9" t="n">
        <f aca="false">IF($B266="",0,IF(COUNTIFS($B$5:$B266,$B266)=1,1,0))</f>
        <v>0</v>
      </c>
    </row>
    <row r="267" customFormat="false" ht="15" hidden="false" customHeight="false" outlineLevel="0" collapsed="false">
      <c r="A267" s="6"/>
      <c r="B267" s="6"/>
      <c r="C267" s="6"/>
      <c r="D267" s="6"/>
      <c r="E267" s="6"/>
      <c r="F267" s="6"/>
      <c r="G267" s="7"/>
      <c r="H267" s="7"/>
      <c r="I267" s="6"/>
      <c r="J267" s="9" t="str">
        <f aca="false">IF(NOT(ISNUMBER($G267)),"",IF(AND(ASH_CORRECTED="Yes",ISNUMBER($H267)),$G267*(1-$H267),$G267))</f>
        <v/>
      </c>
      <c r="K267" s="9" t="str">
        <f aca="false">IF($B267="","",IFERROR(AVERAGEIFS('2. Soil Data'!$G$5:$G$604,'2. Soil Data'!$B$5:$B$604,$B267),""))</f>
        <v/>
      </c>
      <c r="L267" s="9" t="str">
        <f aca="false">IF(NOT(ISNUMBER($K267)),"",PI()*($K267/2)^2)</f>
        <v/>
      </c>
      <c r="M267" s="9" t="str">
        <f aca="false">IF(OR(NOT(ISNUMBER($J267)),NOT(ISNUMBER($L267)),$L267=0),"",$J267/$L267*10000)</f>
        <v/>
      </c>
      <c r="N267" s="9" t="str">
        <f aca="false">IF(NOT(ISNUMBER($M267)),"",$M267*CARBON_FRACTION_ROOT/1000)</f>
        <v/>
      </c>
      <c r="O267" s="11" t="str">
        <f aca="false">IF(AND($A267="",$B267="",$G267=""),"",IF(AND($B267&lt;&gt;"",COUNTIFS('2. Soil Data'!$B$5:$B$604,$B267)=0),"Core ID not found in Soil Data, so the corer diameter cannot be looked up. ","")&amp;IF(ASH_CORRECTED&lt;&gt;"Yes","Root mass is NOT ash-corrected, so it includes adhering mineral soil and is too high. Set ASH_CORRECTED once you have done it. ","")&amp;IF(AND(ASH_CORRECTED="Yes",NOT(ISNUMBER($H267))),"Ash correction is switched on but no ash fraction is given for this row. ","")&amp;IF($I267="","Sieve mesh not recorded — a fine-root figure cannot be interpreted without it. ","")&amp;IF(AND(ISNUMBER($H267),$H267&gt;0.5),"Ash fraction above 0.5 — over half this sample was mineral soil. Re-wash. ","")&amp;IF($F267="Not separated","Live and dead not separated. Fine for a stock, but "&amp;"note it in reporting. ",""))</f>
        <v/>
      </c>
      <c r="P267" s="6"/>
      <c r="Q267" s="9" t="n">
        <f aca="false">IF($B267="",0,IF(COUNTIFS($B$5:$B267,$B267)=1,1,0))</f>
        <v>0</v>
      </c>
    </row>
    <row r="268" customFormat="false" ht="15" hidden="false" customHeight="false" outlineLevel="0" collapsed="false">
      <c r="A268" s="6"/>
      <c r="B268" s="6"/>
      <c r="C268" s="6"/>
      <c r="D268" s="6"/>
      <c r="E268" s="6"/>
      <c r="F268" s="6"/>
      <c r="G268" s="7"/>
      <c r="H268" s="7"/>
      <c r="I268" s="6"/>
      <c r="J268" s="9" t="str">
        <f aca="false">IF(NOT(ISNUMBER($G268)),"",IF(AND(ASH_CORRECTED="Yes",ISNUMBER($H268)),$G268*(1-$H268),$G268))</f>
        <v/>
      </c>
      <c r="K268" s="9" t="str">
        <f aca="false">IF($B268="","",IFERROR(AVERAGEIFS('2. Soil Data'!$G$5:$G$604,'2. Soil Data'!$B$5:$B$604,$B268),""))</f>
        <v/>
      </c>
      <c r="L268" s="9" t="str">
        <f aca="false">IF(NOT(ISNUMBER($K268)),"",PI()*($K268/2)^2)</f>
        <v/>
      </c>
      <c r="M268" s="9" t="str">
        <f aca="false">IF(OR(NOT(ISNUMBER($J268)),NOT(ISNUMBER($L268)),$L268=0),"",$J268/$L268*10000)</f>
        <v/>
      </c>
      <c r="N268" s="9" t="str">
        <f aca="false">IF(NOT(ISNUMBER($M268)),"",$M268*CARBON_FRACTION_ROOT/1000)</f>
        <v/>
      </c>
      <c r="O268" s="11" t="str">
        <f aca="false">IF(AND($A268="",$B268="",$G268=""),"",IF(AND($B268&lt;&gt;"",COUNTIFS('2. Soil Data'!$B$5:$B$604,$B268)=0),"Core ID not found in Soil Data, so the corer diameter cannot be looked up. ","")&amp;IF(ASH_CORRECTED&lt;&gt;"Yes","Root mass is NOT ash-corrected, so it includes adhering mineral soil and is too high. Set ASH_CORRECTED once you have done it. ","")&amp;IF(AND(ASH_CORRECTED="Yes",NOT(ISNUMBER($H268))),"Ash correction is switched on but no ash fraction is given for this row. ","")&amp;IF($I268="","Sieve mesh not recorded — a fine-root figure cannot be interpreted without it. ","")&amp;IF(AND(ISNUMBER($H268),$H268&gt;0.5),"Ash fraction above 0.5 — over half this sample was mineral soil. Re-wash. ","")&amp;IF($F268="Not separated","Live and dead not separated. Fine for a stock, but "&amp;"note it in reporting. ",""))</f>
        <v/>
      </c>
      <c r="P268" s="6"/>
      <c r="Q268" s="9" t="n">
        <f aca="false">IF($B268="",0,IF(COUNTIFS($B$5:$B268,$B268)=1,1,0))</f>
        <v>0</v>
      </c>
    </row>
    <row r="269" customFormat="false" ht="15" hidden="false" customHeight="false" outlineLevel="0" collapsed="false">
      <c r="A269" s="6"/>
      <c r="B269" s="6"/>
      <c r="C269" s="6"/>
      <c r="D269" s="6"/>
      <c r="E269" s="6"/>
      <c r="F269" s="6"/>
      <c r="G269" s="7"/>
      <c r="H269" s="7"/>
      <c r="I269" s="6"/>
      <c r="J269" s="9" t="str">
        <f aca="false">IF(NOT(ISNUMBER($G269)),"",IF(AND(ASH_CORRECTED="Yes",ISNUMBER($H269)),$G269*(1-$H269),$G269))</f>
        <v/>
      </c>
      <c r="K269" s="9" t="str">
        <f aca="false">IF($B269="","",IFERROR(AVERAGEIFS('2. Soil Data'!$G$5:$G$604,'2. Soil Data'!$B$5:$B$604,$B269),""))</f>
        <v/>
      </c>
      <c r="L269" s="9" t="str">
        <f aca="false">IF(NOT(ISNUMBER($K269)),"",PI()*($K269/2)^2)</f>
        <v/>
      </c>
      <c r="M269" s="9" t="str">
        <f aca="false">IF(OR(NOT(ISNUMBER($J269)),NOT(ISNUMBER($L269)),$L269=0),"",$J269/$L269*10000)</f>
        <v/>
      </c>
      <c r="N269" s="9" t="str">
        <f aca="false">IF(NOT(ISNUMBER($M269)),"",$M269*CARBON_FRACTION_ROOT/1000)</f>
        <v/>
      </c>
      <c r="O269" s="11" t="str">
        <f aca="false">IF(AND($A269="",$B269="",$G269=""),"",IF(AND($B269&lt;&gt;"",COUNTIFS('2. Soil Data'!$B$5:$B$604,$B269)=0),"Core ID not found in Soil Data, so the corer diameter cannot be looked up. ","")&amp;IF(ASH_CORRECTED&lt;&gt;"Yes","Root mass is NOT ash-corrected, so it includes adhering mineral soil and is too high. Set ASH_CORRECTED once you have done it. ","")&amp;IF(AND(ASH_CORRECTED="Yes",NOT(ISNUMBER($H269))),"Ash correction is switched on but no ash fraction is given for this row. ","")&amp;IF($I269="","Sieve mesh not recorded — a fine-root figure cannot be interpreted without it. ","")&amp;IF(AND(ISNUMBER($H269),$H269&gt;0.5),"Ash fraction above 0.5 — over half this sample was mineral soil. Re-wash. ","")&amp;IF($F269="Not separated","Live and dead not separated. Fine for a stock, but "&amp;"note it in reporting. ",""))</f>
        <v/>
      </c>
      <c r="P269" s="6"/>
      <c r="Q269" s="9" t="n">
        <f aca="false">IF($B269="",0,IF(COUNTIFS($B$5:$B269,$B269)=1,1,0))</f>
        <v>0</v>
      </c>
    </row>
    <row r="270" customFormat="false" ht="15" hidden="false" customHeight="false" outlineLevel="0" collapsed="false">
      <c r="A270" s="6"/>
      <c r="B270" s="6"/>
      <c r="C270" s="6"/>
      <c r="D270" s="6"/>
      <c r="E270" s="6"/>
      <c r="F270" s="6"/>
      <c r="G270" s="7"/>
      <c r="H270" s="7"/>
      <c r="I270" s="6"/>
      <c r="J270" s="9" t="str">
        <f aca="false">IF(NOT(ISNUMBER($G270)),"",IF(AND(ASH_CORRECTED="Yes",ISNUMBER($H270)),$G270*(1-$H270),$G270))</f>
        <v/>
      </c>
      <c r="K270" s="9" t="str">
        <f aca="false">IF($B270="","",IFERROR(AVERAGEIFS('2. Soil Data'!$G$5:$G$604,'2. Soil Data'!$B$5:$B$604,$B270),""))</f>
        <v/>
      </c>
      <c r="L270" s="9" t="str">
        <f aca="false">IF(NOT(ISNUMBER($K270)),"",PI()*($K270/2)^2)</f>
        <v/>
      </c>
      <c r="M270" s="9" t="str">
        <f aca="false">IF(OR(NOT(ISNUMBER($J270)),NOT(ISNUMBER($L270)),$L270=0),"",$J270/$L270*10000)</f>
        <v/>
      </c>
      <c r="N270" s="9" t="str">
        <f aca="false">IF(NOT(ISNUMBER($M270)),"",$M270*CARBON_FRACTION_ROOT/1000)</f>
        <v/>
      </c>
      <c r="O270" s="11" t="str">
        <f aca="false">IF(AND($A270="",$B270="",$G270=""),"",IF(AND($B270&lt;&gt;"",COUNTIFS('2. Soil Data'!$B$5:$B$604,$B270)=0),"Core ID not found in Soil Data, so the corer diameter cannot be looked up. ","")&amp;IF(ASH_CORRECTED&lt;&gt;"Yes","Root mass is NOT ash-corrected, so it includes adhering mineral soil and is too high. Set ASH_CORRECTED once you have done it. ","")&amp;IF(AND(ASH_CORRECTED="Yes",NOT(ISNUMBER($H270))),"Ash correction is switched on but no ash fraction is given for this row. ","")&amp;IF($I270="","Sieve mesh not recorded — a fine-root figure cannot be interpreted without it. ","")&amp;IF(AND(ISNUMBER($H270),$H270&gt;0.5),"Ash fraction above 0.5 — over half this sample was mineral soil. Re-wash. ","")&amp;IF($F270="Not separated","Live and dead not separated. Fine for a stock, but "&amp;"note it in reporting. ",""))</f>
        <v/>
      </c>
      <c r="P270" s="6"/>
      <c r="Q270" s="9" t="n">
        <f aca="false">IF($B270="",0,IF(COUNTIFS($B$5:$B270,$B270)=1,1,0))</f>
        <v>0</v>
      </c>
    </row>
    <row r="271" customFormat="false" ht="15" hidden="false" customHeight="false" outlineLevel="0" collapsed="false">
      <c r="A271" s="6"/>
      <c r="B271" s="6"/>
      <c r="C271" s="6"/>
      <c r="D271" s="6"/>
      <c r="E271" s="6"/>
      <c r="F271" s="6"/>
      <c r="G271" s="7"/>
      <c r="H271" s="7"/>
      <c r="I271" s="6"/>
      <c r="J271" s="9" t="str">
        <f aca="false">IF(NOT(ISNUMBER($G271)),"",IF(AND(ASH_CORRECTED="Yes",ISNUMBER($H271)),$G271*(1-$H271),$G271))</f>
        <v/>
      </c>
      <c r="K271" s="9" t="str">
        <f aca="false">IF($B271="","",IFERROR(AVERAGEIFS('2. Soil Data'!$G$5:$G$604,'2. Soil Data'!$B$5:$B$604,$B271),""))</f>
        <v/>
      </c>
      <c r="L271" s="9" t="str">
        <f aca="false">IF(NOT(ISNUMBER($K271)),"",PI()*($K271/2)^2)</f>
        <v/>
      </c>
      <c r="M271" s="9" t="str">
        <f aca="false">IF(OR(NOT(ISNUMBER($J271)),NOT(ISNUMBER($L271)),$L271=0),"",$J271/$L271*10000)</f>
        <v/>
      </c>
      <c r="N271" s="9" t="str">
        <f aca="false">IF(NOT(ISNUMBER($M271)),"",$M271*CARBON_FRACTION_ROOT/1000)</f>
        <v/>
      </c>
      <c r="O271" s="11" t="str">
        <f aca="false">IF(AND($A271="",$B271="",$G271=""),"",IF(AND($B271&lt;&gt;"",COUNTIFS('2. Soil Data'!$B$5:$B$604,$B271)=0),"Core ID not found in Soil Data, so the corer diameter cannot be looked up. ","")&amp;IF(ASH_CORRECTED&lt;&gt;"Yes","Root mass is NOT ash-corrected, so it includes adhering mineral soil and is too high. Set ASH_CORRECTED once you have done it. ","")&amp;IF(AND(ASH_CORRECTED="Yes",NOT(ISNUMBER($H271))),"Ash correction is switched on but no ash fraction is given for this row. ","")&amp;IF($I271="","Sieve mesh not recorded — a fine-root figure cannot be interpreted without it. ","")&amp;IF(AND(ISNUMBER($H271),$H271&gt;0.5),"Ash fraction above 0.5 — over half this sample was mineral soil. Re-wash. ","")&amp;IF($F271="Not separated","Live and dead not separated. Fine for a stock, but "&amp;"note it in reporting. ",""))</f>
        <v/>
      </c>
      <c r="P271" s="6"/>
      <c r="Q271" s="9" t="n">
        <f aca="false">IF($B271="",0,IF(COUNTIFS($B$5:$B271,$B271)=1,1,0))</f>
        <v>0</v>
      </c>
    </row>
    <row r="272" customFormat="false" ht="15" hidden="false" customHeight="false" outlineLevel="0" collapsed="false">
      <c r="A272" s="6"/>
      <c r="B272" s="6"/>
      <c r="C272" s="6"/>
      <c r="D272" s="6"/>
      <c r="E272" s="6"/>
      <c r="F272" s="6"/>
      <c r="G272" s="7"/>
      <c r="H272" s="7"/>
      <c r="I272" s="6"/>
      <c r="J272" s="9" t="str">
        <f aca="false">IF(NOT(ISNUMBER($G272)),"",IF(AND(ASH_CORRECTED="Yes",ISNUMBER($H272)),$G272*(1-$H272),$G272))</f>
        <v/>
      </c>
      <c r="K272" s="9" t="str">
        <f aca="false">IF($B272="","",IFERROR(AVERAGEIFS('2. Soil Data'!$G$5:$G$604,'2. Soil Data'!$B$5:$B$604,$B272),""))</f>
        <v/>
      </c>
      <c r="L272" s="9" t="str">
        <f aca="false">IF(NOT(ISNUMBER($K272)),"",PI()*($K272/2)^2)</f>
        <v/>
      </c>
      <c r="M272" s="9" t="str">
        <f aca="false">IF(OR(NOT(ISNUMBER($J272)),NOT(ISNUMBER($L272)),$L272=0),"",$J272/$L272*10000)</f>
        <v/>
      </c>
      <c r="N272" s="9" t="str">
        <f aca="false">IF(NOT(ISNUMBER($M272)),"",$M272*CARBON_FRACTION_ROOT/1000)</f>
        <v/>
      </c>
      <c r="O272" s="11" t="str">
        <f aca="false">IF(AND($A272="",$B272="",$G272=""),"",IF(AND($B272&lt;&gt;"",COUNTIFS('2. Soil Data'!$B$5:$B$604,$B272)=0),"Core ID not found in Soil Data, so the corer diameter cannot be looked up. ","")&amp;IF(ASH_CORRECTED&lt;&gt;"Yes","Root mass is NOT ash-corrected, so it includes adhering mineral soil and is too high. Set ASH_CORRECTED once you have done it. ","")&amp;IF(AND(ASH_CORRECTED="Yes",NOT(ISNUMBER($H272))),"Ash correction is switched on but no ash fraction is given for this row. ","")&amp;IF($I272="","Sieve mesh not recorded — a fine-root figure cannot be interpreted without it. ","")&amp;IF(AND(ISNUMBER($H272),$H272&gt;0.5),"Ash fraction above 0.5 — over half this sample was mineral soil. Re-wash. ","")&amp;IF($F272="Not separated","Live and dead not separated. Fine for a stock, but "&amp;"note it in reporting. ",""))</f>
        <v/>
      </c>
      <c r="P272" s="6"/>
      <c r="Q272" s="9" t="n">
        <f aca="false">IF($B272="",0,IF(COUNTIFS($B$5:$B272,$B272)=1,1,0))</f>
        <v>0</v>
      </c>
    </row>
    <row r="273" customFormat="false" ht="15" hidden="false" customHeight="false" outlineLevel="0" collapsed="false">
      <c r="A273" s="6"/>
      <c r="B273" s="6"/>
      <c r="C273" s="6"/>
      <c r="D273" s="6"/>
      <c r="E273" s="6"/>
      <c r="F273" s="6"/>
      <c r="G273" s="7"/>
      <c r="H273" s="7"/>
      <c r="I273" s="6"/>
      <c r="J273" s="9" t="str">
        <f aca="false">IF(NOT(ISNUMBER($G273)),"",IF(AND(ASH_CORRECTED="Yes",ISNUMBER($H273)),$G273*(1-$H273),$G273))</f>
        <v/>
      </c>
      <c r="K273" s="9" t="str">
        <f aca="false">IF($B273="","",IFERROR(AVERAGEIFS('2. Soil Data'!$G$5:$G$604,'2. Soil Data'!$B$5:$B$604,$B273),""))</f>
        <v/>
      </c>
      <c r="L273" s="9" t="str">
        <f aca="false">IF(NOT(ISNUMBER($K273)),"",PI()*($K273/2)^2)</f>
        <v/>
      </c>
      <c r="M273" s="9" t="str">
        <f aca="false">IF(OR(NOT(ISNUMBER($J273)),NOT(ISNUMBER($L273)),$L273=0),"",$J273/$L273*10000)</f>
        <v/>
      </c>
      <c r="N273" s="9" t="str">
        <f aca="false">IF(NOT(ISNUMBER($M273)),"",$M273*CARBON_FRACTION_ROOT/1000)</f>
        <v/>
      </c>
      <c r="O273" s="11" t="str">
        <f aca="false">IF(AND($A273="",$B273="",$G273=""),"",IF(AND($B273&lt;&gt;"",COUNTIFS('2. Soil Data'!$B$5:$B$604,$B273)=0),"Core ID not found in Soil Data, so the corer diameter cannot be looked up. ","")&amp;IF(ASH_CORRECTED&lt;&gt;"Yes","Root mass is NOT ash-corrected, so it includes adhering mineral soil and is too high. Set ASH_CORRECTED once you have done it. ","")&amp;IF(AND(ASH_CORRECTED="Yes",NOT(ISNUMBER($H273))),"Ash correction is switched on but no ash fraction is given for this row. ","")&amp;IF($I273="","Sieve mesh not recorded — a fine-root figure cannot be interpreted without it. ","")&amp;IF(AND(ISNUMBER($H273),$H273&gt;0.5),"Ash fraction above 0.5 — over half this sample was mineral soil. Re-wash. ","")&amp;IF($F273="Not separated","Live and dead not separated. Fine for a stock, but "&amp;"note it in reporting. ",""))</f>
        <v/>
      </c>
      <c r="P273" s="6"/>
      <c r="Q273" s="9" t="n">
        <f aca="false">IF($B273="",0,IF(COUNTIFS($B$5:$B273,$B273)=1,1,0))</f>
        <v>0</v>
      </c>
    </row>
    <row r="274" customFormat="false" ht="15" hidden="false" customHeight="false" outlineLevel="0" collapsed="false">
      <c r="A274" s="6"/>
      <c r="B274" s="6"/>
      <c r="C274" s="6"/>
      <c r="D274" s="6"/>
      <c r="E274" s="6"/>
      <c r="F274" s="6"/>
      <c r="G274" s="7"/>
      <c r="H274" s="7"/>
      <c r="I274" s="6"/>
      <c r="J274" s="9" t="str">
        <f aca="false">IF(NOT(ISNUMBER($G274)),"",IF(AND(ASH_CORRECTED="Yes",ISNUMBER($H274)),$G274*(1-$H274),$G274))</f>
        <v/>
      </c>
      <c r="K274" s="9" t="str">
        <f aca="false">IF($B274="","",IFERROR(AVERAGEIFS('2. Soil Data'!$G$5:$G$604,'2. Soil Data'!$B$5:$B$604,$B274),""))</f>
        <v/>
      </c>
      <c r="L274" s="9" t="str">
        <f aca="false">IF(NOT(ISNUMBER($K274)),"",PI()*($K274/2)^2)</f>
        <v/>
      </c>
      <c r="M274" s="9" t="str">
        <f aca="false">IF(OR(NOT(ISNUMBER($J274)),NOT(ISNUMBER($L274)),$L274=0),"",$J274/$L274*10000)</f>
        <v/>
      </c>
      <c r="N274" s="9" t="str">
        <f aca="false">IF(NOT(ISNUMBER($M274)),"",$M274*CARBON_FRACTION_ROOT/1000)</f>
        <v/>
      </c>
      <c r="O274" s="11" t="str">
        <f aca="false">IF(AND($A274="",$B274="",$G274=""),"",IF(AND($B274&lt;&gt;"",COUNTIFS('2. Soil Data'!$B$5:$B$604,$B274)=0),"Core ID not found in Soil Data, so the corer diameter cannot be looked up. ","")&amp;IF(ASH_CORRECTED&lt;&gt;"Yes","Root mass is NOT ash-corrected, so it includes adhering mineral soil and is too high. Set ASH_CORRECTED once you have done it. ","")&amp;IF(AND(ASH_CORRECTED="Yes",NOT(ISNUMBER($H274))),"Ash correction is switched on but no ash fraction is given for this row. ","")&amp;IF($I274="","Sieve mesh not recorded — a fine-root figure cannot be interpreted without it. ","")&amp;IF(AND(ISNUMBER($H274),$H274&gt;0.5),"Ash fraction above 0.5 — over half this sample was mineral soil. Re-wash. ","")&amp;IF($F274="Not separated","Live and dead not separated. Fine for a stock, but "&amp;"note it in reporting. ",""))</f>
        <v/>
      </c>
      <c r="P274" s="6"/>
      <c r="Q274" s="9" t="n">
        <f aca="false">IF($B274="",0,IF(COUNTIFS($B$5:$B274,$B274)=1,1,0))</f>
        <v>0</v>
      </c>
    </row>
    <row r="275" customFormat="false" ht="15" hidden="false" customHeight="false" outlineLevel="0" collapsed="false">
      <c r="A275" s="6"/>
      <c r="B275" s="6"/>
      <c r="C275" s="6"/>
      <c r="D275" s="6"/>
      <c r="E275" s="6"/>
      <c r="F275" s="6"/>
      <c r="G275" s="7"/>
      <c r="H275" s="7"/>
      <c r="I275" s="6"/>
      <c r="J275" s="9" t="str">
        <f aca="false">IF(NOT(ISNUMBER($G275)),"",IF(AND(ASH_CORRECTED="Yes",ISNUMBER($H275)),$G275*(1-$H275),$G275))</f>
        <v/>
      </c>
      <c r="K275" s="9" t="str">
        <f aca="false">IF($B275="","",IFERROR(AVERAGEIFS('2. Soil Data'!$G$5:$G$604,'2. Soil Data'!$B$5:$B$604,$B275),""))</f>
        <v/>
      </c>
      <c r="L275" s="9" t="str">
        <f aca="false">IF(NOT(ISNUMBER($K275)),"",PI()*($K275/2)^2)</f>
        <v/>
      </c>
      <c r="M275" s="9" t="str">
        <f aca="false">IF(OR(NOT(ISNUMBER($J275)),NOT(ISNUMBER($L275)),$L275=0),"",$J275/$L275*10000)</f>
        <v/>
      </c>
      <c r="N275" s="9" t="str">
        <f aca="false">IF(NOT(ISNUMBER($M275)),"",$M275*CARBON_FRACTION_ROOT/1000)</f>
        <v/>
      </c>
      <c r="O275" s="11" t="str">
        <f aca="false">IF(AND($A275="",$B275="",$G275=""),"",IF(AND($B275&lt;&gt;"",COUNTIFS('2. Soil Data'!$B$5:$B$604,$B275)=0),"Core ID not found in Soil Data, so the corer diameter cannot be looked up. ","")&amp;IF(ASH_CORRECTED&lt;&gt;"Yes","Root mass is NOT ash-corrected, so it includes adhering mineral soil and is too high. Set ASH_CORRECTED once you have done it. ","")&amp;IF(AND(ASH_CORRECTED="Yes",NOT(ISNUMBER($H275))),"Ash correction is switched on but no ash fraction is given for this row. ","")&amp;IF($I275="","Sieve mesh not recorded — a fine-root figure cannot be interpreted without it. ","")&amp;IF(AND(ISNUMBER($H275),$H275&gt;0.5),"Ash fraction above 0.5 — over half this sample was mineral soil. Re-wash. ","")&amp;IF($F275="Not separated","Live and dead not separated. Fine for a stock, but "&amp;"note it in reporting. ",""))</f>
        <v/>
      </c>
      <c r="P275" s="6"/>
      <c r="Q275" s="9" t="n">
        <f aca="false">IF($B275="",0,IF(COUNTIFS($B$5:$B275,$B275)=1,1,0))</f>
        <v>0</v>
      </c>
    </row>
    <row r="276" customFormat="false" ht="15" hidden="false" customHeight="false" outlineLevel="0" collapsed="false">
      <c r="A276" s="6"/>
      <c r="B276" s="6"/>
      <c r="C276" s="6"/>
      <c r="D276" s="6"/>
      <c r="E276" s="6"/>
      <c r="F276" s="6"/>
      <c r="G276" s="7"/>
      <c r="H276" s="7"/>
      <c r="I276" s="6"/>
      <c r="J276" s="9" t="str">
        <f aca="false">IF(NOT(ISNUMBER($G276)),"",IF(AND(ASH_CORRECTED="Yes",ISNUMBER($H276)),$G276*(1-$H276),$G276))</f>
        <v/>
      </c>
      <c r="K276" s="9" t="str">
        <f aca="false">IF($B276="","",IFERROR(AVERAGEIFS('2. Soil Data'!$G$5:$G$604,'2. Soil Data'!$B$5:$B$604,$B276),""))</f>
        <v/>
      </c>
      <c r="L276" s="9" t="str">
        <f aca="false">IF(NOT(ISNUMBER($K276)),"",PI()*($K276/2)^2)</f>
        <v/>
      </c>
      <c r="M276" s="9" t="str">
        <f aca="false">IF(OR(NOT(ISNUMBER($J276)),NOT(ISNUMBER($L276)),$L276=0),"",$J276/$L276*10000)</f>
        <v/>
      </c>
      <c r="N276" s="9" t="str">
        <f aca="false">IF(NOT(ISNUMBER($M276)),"",$M276*CARBON_FRACTION_ROOT/1000)</f>
        <v/>
      </c>
      <c r="O276" s="11" t="str">
        <f aca="false">IF(AND($A276="",$B276="",$G276=""),"",IF(AND($B276&lt;&gt;"",COUNTIFS('2. Soil Data'!$B$5:$B$604,$B276)=0),"Core ID not found in Soil Data, so the corer diameter cannot be looked up. ","")&amp;IF(ASH_CORRECTED&lt;&gt;"Yes","Root mass is NOT ash-corrected, so it includes adhering mineral soil and is too high. Set ASH_CORRECTED once you have done it. ","")&amp;IF(AND(ASH_CORRECTED="Yes",NOT(ISNUMBER($H276))),"Ash correction is switched on but no ash fraction is given for this row. ","")&amp;IF($I276="","Sieve mesh not recorded — a fine-root figure cannot be interpreted without it. ","")&amp;IF(AND(ISNUMBER($H276),$H276&gt;0.5),"Ash fraction above 0.5 — over half this sample was mineral soil. Re-wash. ","")&amp;IF($F276="Not separated","Live and dead not separated. Fine for a stock, but "&amp;"note it in reporting. ",""))</f>
        <v/>
      </c>
      <c r="P276" s="6"/>
      <c r="Q276" s="9" t="n">
        <f aca="false">IF($B276="",0,IF(COUNTIFS($B$5:$B276,$B276)=1,1,0))</f>
        <v>0</v>
      </c>
    </row>
    <row r="277" customFormat="false" ht="15" hidden="false" customHeight="false" outlineLevel="0" collapsed="false">
      <c r="A277" s="6"/>
      <c r="B277" s="6"/>
      <c r="C277" s="6"/>
      <c r="D277" s="6"/>
      <c r="E277" s="6"/>
      <c r="F277" s="6"/>
      <c r="G277" s="7"/>
      <c r="H277" s="7"/>
      <c r="I277" s="6"/>
      <c r="J277" s="9" t="str">
        <f aca="false">IF(NOT(ISNUMBER($G277)),"",IF(AND(ASH_CORRECTED="Yes",ISNUMBER($H277)),$G277*(1-$H277),$G277))</f>
        <v/>
      </c>
      <c r="K277" s="9" t="str">
        <f aca="false">IF($B277="","",IFERROR(AVERAGEIFS('2. Soil Data'!$G$5:$G$604,'2. Soil Data'!$B$5:$B$604,$B277),""))</f>
        <v/>
      </c>
      <c r="L277" s="9" t="str">
        <f aca="false">IF(NOT(ISNUMBER($K277)),"",PI()*($K277/2)^2)</f>
        <v/>
      </c>
      <c r="M277" s="9" t="str">
        <f aca="false">IF(OR(NOT(ISNUMBER($J277)),NOT(ISNUMBER($L277)),$L277=0),"",$J277/$L277*10000)</f>
        <v/>
      </c>
      <c r="N277" s="9" t="str">
        <f aca="false">IF(NOT(ISNUMBER($M277)),"",$M277*CARBON_FRACTION_ROOT/1000)</f>
        <v/>
      </c>
      <c r="O277" s="11" t="str">
        <f aca="false">IF(AND($A277="",$B277="",$G277=""),"",IF(AND($B277&lt;&gt;"",COUNTIFS('2. Soil Data'!$B$5:$B$604,$B277)=0),"Core ID not found in Soil Data, so the corer diameter cannot be looked up. ","")&amp;IF(ASH_CORRECTED&lt;&gt;"Yes","Root mass is NOT ash-corrected, so it includes adhering mineral soil and is too high. Set ASH_CORRECTED once you have done it. ","")&amp;IF(AND(ASH_CORRECTED="Yes",NOT(ISNUMBER($H277))),"Ash correction is switched on but no ash fraction is given for this row. ","")&amp;IF($I277="","Sieve mesh not recorded — a fine-root figure cannot be interpreted without it. ","")&amp;IF(AND(ISNUMBER($H277),$H277&gt;0.5),"Ash fraction above 0.5 — over half this sample was mineral soil. Re-wash. ","")&amp;IF($F277="Not separated","Live and dead not separated. Fine for a stock, but "&amp;"note it in reporting. ",""))</f>
        <v/>
      </c>
      <c r="P277" s="6"/>
      <c r="Q277" s="9" t="n">
        <f aca="false">IF($B277="",0,IF(COUNTIFS($B$5:$B277,$B277)=1,1,0))</f>
        <v>0</v>
      </c>
    </row>
    <row r="278" customFormat="false" ht="15" hidden="false" customHeight="false" outlineLevel="0" collapsed="false">
      <c r="A278" s="6"/>
      <c r="B278" s="6"/>
      <c r="C278" s="6"/>
      <c r="D278" s="6"/>
      <c r="E278" s="6"/>
      <c r="F278" s="6"/>
      <c r="G278" s="7"/>
      <c r="H278" s="7"/>
      <c r="I278" s="6"/>
      <c r="J278" s="9" t="str">
        <f aca="false">IF(NOT(ISNUMBER($G278)),"",IF(AND(ASH_CORRECTED="Yes",ISNUMBER($H278)),$G278*(1-$H278),$G278))</f>
        <v/>
      </c>
      <c r="K278" s="9" t="str">
        <f aca="false">IF($B278="","",IFERROR(AVERAGEIFS('2. Soil Data'!$G$5:$G$604,'2. Soil Data'!$B$5:$B$604,$B278),""))</f>
        <v/>
      </c>
      <c r="L278" s="9" t="str">
        <f aca="false">IF(NOT(ISNUMBER($K278)),"",PI()*($K278/2)^2)</f>
        <v/>
      </c>
      <c r="M278" s="9" t="str">
        <f aca="false">IF(OR(NOT(ISNUMBER($J278)),NOT(ISNUMBER($L278)),$L278=0),"",$J278/$L278*10000)</f>
        <v/>
      </c>
      <c r="N278" s="9" t="str">
        <f aca="false">IF(NOT(ISNUMBER($M278)),"",$M278*CARBON_FRACTION_ROOT/1000)</f>
        <v/>
      </c>
      <c r="O278" s="11" t="str">
        <f aca="false">IF(AND($A278="",$B278="",$G278=""),"",IF(AND($B278&lt;&gt;"",COUNTIFS('2. Soil Data'!$B$5:$B$604,$B278)=0),"Core ID not found in Soil Data, so the corer diameter cannot be looked up. ","")&amp;IF(ASH_CORRECTED&lt;&gt;"Yes","Root mass is NOT ash-corrected, so it includes adhering mineral soil and is too high. Set ASH_CORRECTED once you have done it. ","")&amp;IF(AND(ASH_CORRECTED="Yes",NOT(ISNUMBER($H278))),"Ash correction is switched on but no ash fraction is given for this row. ","")&amp;IF($I278="","Sieve mesh not recorded — a fine-root figure cannot be interpreted without it. ","")&amp;IF(AND(ISNUMBER($H278),$H278&gt;0.5),"Ash fraction above 0.5 — over half this sample was mineral soil. Re-wash. ","")&amp;IF($F278="Not separated","Live and dead not separated. Fine for a stock, but "&amp;"note it in reporting. ",""))</f>
        <v/>
      </c>
      <c r="P278" s="6"/>
      <c r="Q278" s="9" t="n">
        <f aca="false">IF($B278="",0,IF(COUNTIFS($B$5:$B278,$B278)=1,1,0))</f>
        <v>0</v>
      </c>
    </row>
    <row r="279" customFormat="false" ht="15" hidden="false" customHeight="false" outlineLevel="0" collapsed="false">
      <c r="A279" s="6"/>
      <c r="B279" s="6"/>
      <c r="C279" s="6"/>
      <c r="D279" s="6"/>
      <c r="E279" s="6"/>
      <c r="F279" s="6"/>
      <c r="G279" s="7"/>
      <c r="H279" s="7"/>
      <c r="I279" s="6"/>
      <c r="J279" s="9" t="str">
        <f aca="false">IF(NOT(ISNUMBER($G279)),"",IF(AND(ASH_CORRECTED="Yes",ISNUMBER($H279)),$G279*(1-$H279),$G279))</f>
        <v/>
      </c>
      <c r="K279" s="9" t="str">
        <f aca="false">IF($B279="","",IFERROR(AVERAGEIFS('2. Soil Data'!$G$5:$G$604,'2. Soil Data'!$B$5:$B$604,$B279),""))</f>
        <v/>
      </c>
      <c r="L279" s="9" t="str">
        <f aca="false">IF(NOT(ISNUMBER($K279)),"",PI()*($K279/2)^2)</f>
        <v/>
      </c>
      <c r="M279" s="9" t="str">
        <f aca="false">IF(OR(NOT(ISNUMBER($J279)),NOT(ISNUMBER($L279)),$L279=0),"",$J279/$L279*10000)</f>
        <v/>
      </c>
      <c r="N279" s="9" t="str">
        <f aca="false">IF(NOT(ISNUMBER($M279)),"",$M279*CARBON_FRACTION_ROOT/1000)</f>
        <v/>
      </c>
      <c r="O279" s="11" t="str">
        <f aca="false">IF(AND($A279="",$B279="",$G279=""),"",IF(AND($B279&lt;&gt;"",COUNTIFS('2. Soil Data'!$B$5:$B$604,$B279)=0),"Core ID not found in Soil Data, so the corer diameter cannot be looked up. ","")&amp;IF(ASH_CORRECTED&lt;&gt;"Yes","Root mass is NOT ash-corrected, so it includes adhering mineral soil and is too high. Set ASH_CORRECTED once you have done it. ","")&amp;IF(AND(ASH_CORRECTED="Yes",NOT(ISNUMBER($H279))),"Ash correction is switched on but no ash fraction is given for this row. ","")&amp;IF($I279="","Sieve mesh not recorded — a fine-root figure cannot be interpreted without it. ","")&amp;IF(AND(ISNUMBER($H279),$H279&gt;0.5),"Ash fraction above 0.5 — over half this sample was mineral soil. Re-wash. ","")&amp;IF($F279="Not separated","Live and dead not separated. Fine for a stock, but "&amp;"note it in reporting. ",""))</f>
        <v/>
      </c>
      <c r="P279" s="6"/>
      <c r="Q279" s="9" t="n">
        <f aca="false">IF($B279="",0,IF(COUNTIFS($B$5:$B279,$B279)=1,1,0))</f>
        <v>0</v>
      </c>
    </row>
    <row r="280" customFormat="false" ht="15" hidden="false" customHeight="false" outlineLevel="0" collapsed="false">
      <c r="A280" s="6"/>
      <c r="B280" s="6"/>
      <c r="C280" s="6"/>
      <c r="D280" s="6"/>
      <c r="E280" s="6"/>
      <c r="F280" s="6"/>
      <c r="G280" s="7"/>
      <c r="H280" s="7"/>
      <c r="I280" s="6"/>
      <c r="J280" s="9" t="str">
        <f aca="false">IF(NOT(ISNUMBER($G280)),"",IF(AND(ASH_CORRECTED="Yes",ISNUMBER($H280)),$G280*(1-$H280),$G280))</f>
        <v/>
      </c>
      <c r="K280" s="9" t="str">
        <f aca="false">IF($B280="","",IFERROR(AVERAGEIFS('2. Soil Data'!$G$5:$G$604,'2. Soil Data'!$B$5:$B$604,$B280),""))</f>
        <v/>
      </c>
      <c r="L280" s="9" t="str">
        <f aca="false">IF(NOT(ISNUMBER($K280)),"",PI()*($K280/2)^2)</f>
        <v/>
      </c>
      <c r="M280" s="9" t="str">
        <f aca="false">IF(OR(NOT(ISNUMBER($J280)),NOT(ISNUMBER($L280)),$L280=0),"",$J280/$L280*10000)</f>
        <v/>
      </c>
      <c r="N280" s="9" t="str">
        <f aca="false">IF(NOT(ISNUMBER($M280)),"",$M280*CARBON_FRACTION_ROOT/1000)</f>
        <v/>
      </c>
      <c r="O280" s="11" t="str">
        <f aca="false">IF(AND($A280="",$B280="",$G280=""),"",IF(AND($B280&lt;&gt;"",COUNTIFS('2. Soil Data'!$B$5:$B$604,$B280)=0),"Core ID not found in Soil Data, so the corer diameter cannot be looked up. ","")&amp;IF(ASH_CORRECTED&lt;&gt;"Yes","Root mass is NOT ash-corrected, so it includes adhering mineral soil and is too high. Set ASH_CORRECTED once you have done it. ","")&amp;IF(AND(ASH_CORRECTED="Yes",NOT(ISNUMBER($H280))),"Ash correction is switched on but no ash fraction is given for this row. ","")&amp;IF($I280="","Sieve mesh not recorded — a fine-root figure cannot be interpreted without it. ","")&amp;IF(AND(ISNUMBER($H280),$H280&gt;0.5),"Ash fraction above 0.5 — over half this sample was mineral soil. Re-wash. ","")&amp;IF($F280="Not separated","Live and dead not separated. Fine for a stock, but "&amp;"note it in reporting. ",""))</f>
        <v/>
      </c>
      <c r="P280" s="6"/>
      <c r="Q280" s="9" t="n">
        <f aca="false">IF($B280="",0,IF(COUNTIFS($B$5:$B280,$B280)=1,1,0))</f>
        <v>0</v>
      </c>
    </row>
    <row r="281" customFormat="false" ht="15" hidden="false" customHeight="false" outlineLevel="0" collapsed="false">
      <c r="A281" s="6"/>
      <c r="B281" s="6"/>
      <c r="C281" s="6"/>
      <c r="D281" s="6"/>
      <c r="E281" s="6"/>
      <c r="F281" s="6"/>
      <c r="G281" s="7"/>
      <c r="H281" s="7"/>
      <c r="I281" s="6"/>
      <c r="J281" s="9" t="str">
        <f aca="false">IF(NOT(ISNUMBER($G281)),"",IF(AND(ASH_CORRECTED="Yes",ISNUMBER($H281)),$G281*(1-$H281),$G281))</f>
        <v/>
      </c>
      <c r="K281" s="9" t="str">
        <f aca="false">IF($B281="","",IFERROR(AVERAGEIFS('2. Soil Data'!$G$5:$G$604,'2. Soil Data'!$B$5:$B$604,$B281),""))</f>
        <v/>
      </c>
      <c r="L281" s="9" t="str">
        <f aca="false">IF(NOT(ISNUMBER($K281)),"",PI()*($K281/2)^2)</f>
        <v/>
      </c>
      <c r="M281" s="9" t="str">
        <f aca="false">IF(OR(NOT(ISNUMBER($J281)),NOT(ISNUMBER($L281)),$L281=0),"",$J281/$L281*10000)</f>
        <v/>
      </c>
      <c r="N281" s="9" t="str">
        <f aca="false">IF(NOT(ISNUMBER($M281)),"",$M281*CARBON_FRACTION_ROOT/1000)</f>
        <v/>
      </c>
      <c r="O281" s="11" t="str">
        <f aca="false">IF(AND($A281="",$B281="",$G281=""),"",IF(AND($B281&lt;&gt;"",COUNTIFS('2. Soil Data'!$B$5:$B$604,$B281)=0),"Core ID not found in Soil Data, so the corer diameter cannot be looked up. ","")&amp;IF(ASH_CORRECTED&lt;&gt;"Yes","Root mass is NOT ash-corrected, so it includes adhering mineral soil and is too high. Set ASH_CORRECTED once you have done it. ","")&amp;IF(AND(ASH_CORRECTED="Yes",NOT(ISNUMBER($H281))),"Ash correction is switched on but no ash fraction is given for this row. ","")&amp;IF($I281="","Sieve mesh not recorded — a fine-root figure cannot be interpreted without it. ","")&amp;IF(AND(ISNUMBER($H281),$H281&gt;0.5),"Ash fraction above 0.5 — over half this sample was mineral soil. Re-wash. ","")&amp;IF($F281="Not separated","Live and dead not separated. Fine for a stock, but "&amp;"note it in reporting. ",""))</f>
        <v/>
      </c>
      <c r="P281" s="6"/>
      <c r="Q281" s="9" t="n">
        <f aca="false">IF($B281="",0,IF(COUNTIFS($B$5:$B281,$B281)=1,1,0))</f>
        <v>0</v>
      </c>
    </row>
    <row r="282" customFormat="false" ht="15" hidden="false" customHeight="false" outlineLevel="0" collapsed="false">
      <c r="A282" s="6"/>
      <c r="B282" s="6"/>
      <c r="C282" s="6"/>
      <c r="D282" s="6"/>
      <c r="E282" s="6"/>
      <c r="F282" s="6"/>
      <c r="G282" s="7"/>
      <c r="H282" s="7"/>
      <c r="I282" s="6"/>
      <c r="J282" s="9" t="str">
        <f aca="false">IF(NOT(ISNUMBER($G282)),"",IF(AND(ASH_CORRECTED="Yes",ISNUMBER($H282)),$G282*(1-$H282),$G282))</f>
        <v/>
      </c>
      <c r="K282" s="9" t="str">
        <f aca="false">IF($B282="","",IFERROR(AVERAGEIFS('2. Soil Data'!$G$5:$G$604,'2. Soil Data'!$B$5:$B$604,$B282),""))</f>
        <v/>
      </c>
      <c r="L282" s="9" t="str">
        <f aca="false">IF(NOT(ISNUMBER($K282)),"",PI()*($K282/2)^2)</f>
        <v/>
      </c>
      <c r="M282" s="9" t="str">
        <f aca="false">IF(OR(NOT(ISNUMBER($J282)),NOT(ISNUMBER($L282)),$L282=0),"",$J282/$L282*10000)</f>
        <v/>
      </c>
      <c r="N282" s="9" t="str">
        <f aca="false">IF(NOT(ISNUMBER($M282)),"",$M282*CARBON_FRACTION_ROOT/1000)</f>
        <v/>
      </c>
      <c r="O282" s="11" t="str">
        <f aca="false">IF(AND($A282="",$B282="",$G282=""),"",IF(AND($B282&lt;&gt;"",COUNTIFS('2. Soil Data'!$B$5:$B$604,$B282)=0),"Core ID not found in Soil Data, so the corer diameter cannot be looked up. ","")&amp;IF(ASH_CORRECTED&lt;&gt;"Yes","Root mass is NOT ash-corrected, so it includes adhering mineral soil and is too high. Set ASH_CORRECTED once you have done it. ","")&amp;IF(AND(ASH_CORRECTED="Yes",NOT(ISNUMBER($H282))),"Ash correction is switched on but no ash fraction is given for this row. ","")&amp;IF($I282="","Sieve mesh not recorded — a fine-root figure cannot be interpreted without it. ","")&amp;IF(AND(ISNUMBER($H282),$H282&gt;0.5),"Ash fraction above 0.5 — over half this sample was mineral soil. Re-wash. ","")&amp;IF($F282="Not separated","Live and dead not separated. Fine for a stock, but "&amp;"note it in reporting. ",""))</f>
        <v/>
      </c>
      <c r="P282" s="6"/>
      <c r="Q282" s="9" t="n">
        <f aca="false">IF($B282="",0,IF(COUNTIFS($B$5:$B282,$B282)=1,1,0))</f>
        <v>0</v>
      </c>
    </row>
    <row r="283" customFormat="false" ht="15" hidden="false" customHeight="false" outlineLevel="0" collapsed="false">
      <c r="A283" s="6"/>
      <c r="B283" s="6"/>
      <c r="C283" s="6"/>
      <c r="D283" s="6"/>
      <c r="E283" s="6"/>
      <c r="F283" s="6"/>
      <c r="G283" s="7"/>
      <c r="H283" s="7"/>
      <c r="I283" s="6"/>
      <c r="J283" s="9" t="str">
        <f aca="false">IF(NOT(ISNUMBER($G283)),"",IF(AND(ASH_CORRECTED="Yes",ISNUMBER($H283)),$G283*(1-$H283),$G283))</f>
        <v/>
      </c>
      <c r="K283" s="9" t="str">
        <f aca="false">IF($B283="","",IFERROR(AVERAGEIFS('2. Soil Data'!$G$5:$G$604,'2. Soil Data'!$B$5:$B$604,$B283),""))</f>
        <v/>
      </c>
      <c r="L283" s="9" t="str">
        <f aca="false">IF(NOT(ISNUMBER($K283)),"",PI()*($K283/2)^2)</f>
        <v/>
      </c>
      <c r="M283" s="9" t="str">
        <f aca="false">IF(OR(NOT(ISNUMBER($J283)),NOT(ISNUMBER($L283)),$L283=0),"",$J283/$L283*10000)</f>
        <v/>
      </c>
      <c r="N283" s="9" t="str">
        <f aca="false">IF(NOT(ISNUMBER($M283)),"",$M283*CARBON_FRACTION_ROOT/1000)</f>
        <v/>
      </c>
      <c r="O283" s="11" t="str">
        <f aca="false">IF(AND($A283="",$B283="",$G283=""),"",IF(AND($B283&lt;&gt;"",COUNTIFS('2. Soil Data'!$B$5:$B$604,$B283)=0),"Core ID not found in Soil Data, so the corer diameter cannot be looked up. ","")&amp;IF(ASH_CORRECTED&lt;&gt;"Yes","Root mass is NOT ash-corrected, so it includes adhering mineral soil and is too high. Set ASH_CORRECTED once you have done it. ","")&amp;IF(AND(ASH_CORRECTED="Yes",NOT(ISNUMBER($H283))),"Ash correction is switched on but no ash fraction is given for this row. ","")&amp;IF($I283="","Sieve mesh not recorded — a fine-root figure cannot be interpreted without it. ","")&amp;IF(AND(ISNUMBER($H283),$H283&gt;0.5),"Ash fraction above 0.5 — over half this sample was mineral soil. Re-wash. ","")&amp;IF($F283="Not separated","Live and dead not separated. Fine for a stock, but "&amp;"note it in reporting. ",""))</f>
        <v/>
      </c>
      <c r="P283" s="6"/>
      <c r="Q283" s="9" t="n">
        <f aca="false">IF($B283="",0,IF(COUNTIFS($B$5:$B283,$B283)=1,1,0))</f>
        <v>0</v>
      </c>
    </row>
    <row r="284" customFormat="false" ht="15" hidden="false" customHeight="false" outlineLevel="0" collapsed="false">
      <c r="A284" s="6"/>
      <c r="B284" s="6"/>
      <c r="C284" s="6"/>
      <c r="D284" s="6"/>
      <c r="E284" s="6"/>
      <c r="F284" s="6"/>
      <c r="G284" s="7"/>
      <c r="H284" s="7"/>
      <c r="I284" s="6"/>
      <c r="J284" s="9" t="str">
        <f aca="false">IF(NOT(ISNUMBER($G284)),"",IF(AND(ASH_CORRECTED="Yes",ISNUMBER($H284)),$G284*(1-$H284),$G284))</f>
        <v/>
      </c>
      <c r="K284" s="9" t="str">
        <f aca="false">IF($B284="","",IFERROR(AVERAGEIFS('2. Soil Data'!$G$5:$G$604,'2. Soil Data'!$B$5:$B$604,$B284),""))</f>
        <v/>
      </c>
      <c r="L284" s="9" t="str">
        <f aca="false">IF(NOT(ISNUMBER($K284)),"",PI()*($K284/2)^2)</f>
        <v/>
      </c>
      <c r="M284" s="9" t="str">
        <f aca="false">IF(OR(NOT(ISNUMBER($J284)),NOT(ISNUMBER($L284)),$L284=0),"",$J284/$L284*10000)</f>
        <v/>
      </c>
      <c r="N284" s="9" t="str">
        <f aca="false">IF(NOT(ISNUMBER($M284)),"",$M284*CARBON_FRACTION_ROOT/1000)</f>
        <v/>
      </c>
      <c r="O284" s="11" t="str">
        <f aca="false">IF(AND($A284="",$B284="",$G284=""),"",IF(AND($B284&lt;&gt;"",COUNTIFS('2. Soil Data'!$B$5:$B$604,$B284)=0),"Core ID not found in Soil Data, so the corer diameter cannot be looked up. ","")&amp;IF(ASH_CORRECTED&lt;&gt;"Yes","Root mass is NOT ash-corrected, so it includes adhering mineral soil and is too high. Set ASH_CORRECTED once you have done it. ","")&amp;IF(AND(ASH_CORRECTED="Yes",NOT(ISNUMBER($H284))),"Ash correction is switched on but no ash fraction is given for this row. ","")&amp;IF($I284="","Sieve mesh not recorded — a fine-root figure cannot be interpreted without it. ","")&amp;IF(AND(ISNUMBER($H284),$H284&gt;0.5),"Ash fraction above 0.5 — over half this sample was mineral soil. Re-wash. ","")&amp;IF($F284="Not separated","Live and dead not separated. Fine for a stock, but "&amp;"note it in reporting. ",""))</f>
        <v/>
      </c>
      <c r="P284" s="6"/>
      <c r="Q284" s="9" t="n">
        <f aca="false">IF($B284="",0,IF(COUNTIFS($B$5:$B284,$B284)=1,1,0))</f>
        <v>0</v>
      </c>
    </row>
    <row r="285" customFormat="false" ht="15" hidden="false" customHeight="false" outlineLevel="0" collapsed="false">
      <c r="A285" s="6"/>
      <c r="B285" s="6"/>
      <c r="C285" s="6"/>
      <c r="D285" s="6"/>
      <c r="E285" s="6"/>
      <c r="F285" s="6"/>
      <c r="G285" s="7"/>
      <c r="H285" s="7"/>
      <c r="I285" s="6"/>
      <c r="J285" s="9" t="str">
        <f aca="false">IF(NOT(ISNUMBER($G285)),"",IF(AND(ASH_CORRECTED="Yes",ISNUMBER($H285)),$G285*(1-$H285),$G285))</f>
        <v/>
      </c>
      <c r="K285" s="9" t="str">
        <f aca="false">IF($B285="","",IFERROR(AVERAGEIFS('2. Soil Data'!$G$5:$G$604,'2. Soil Data'!$B$5:$B$604,$B285),""))</f>
        <v/>
      </c>
      <c r="L285" s="9" t="str">
        <f aca="false">IF(NOT(ISNUMBER($K285)),"",PI()*($K285/2)^2)</f>
        <v/>
      </c>
      <c r="M285" s="9" t="str">
        <f aca="false">IF(OR(NOT(ISNUMBER($J285)),NOT(ISNUMBER($L285)),$L285=0),"",$J285/$L285*10000)</f>
        <v/>
      </c>
      <c r="N285" s="9" t="str">
        <f aca="false">IF(NOT(ISNUMBER($M285)),"",$M285*CARBON_FRACTION_ROOT/1000)</f>
        <v/>
      </c>
      <c r="O285" s="11" t="str">
        <f aca="false">IF(AND($A285="",$B285="",$G285=""),"",IF(AND($B285&lt;&gt;"",COUNTIFS('2. Soil Data'!$B$5:$B$604,$B285)=0),"Core ID not found in Soil Data, so the corer diameter cannot be looked up. ","")&amp;IF(ASH_CORRECTED&lt;&gt;"Yes","Root mass is NOT ash-corrected, so it includes adhering mineral soil and is too high. Set ASH_CORRECTED once you have done it. ","")&amp;IF(AND(ASH_CORRECTED="Yes",NOT(ISNUMBER($H285))),"Ash correction is switched on but no ash fraction is given for this row. ","")&amp;IF($I285="","Sieve mesh not recorded — a fine-root figure cannot be interpreted without it. ","")&amp;IF(AND(ISNUMBER($H285),$H285&gt;0.5),"Ash fraction above 0.5 — over half this sample was mineral soil. Re-wash. ","")&amp;IF($F285="Not separated","Live and dead not separated. Fine for a stock, but "&amp;"note it in reporting. ",""))</f>
        <v/>
      </c>
      <c r="P285" s="6"/>
      <c r="Q285" s="9" t="n">
        <f aca="false">IF($B285="",0,IF(COUNTIFS($B$5:$B285,$B285)=1,1,0))</f>
        <v>0</v>
      </c>
    </row>
    <row r="286" customFormat="false" ht="15" hidden="false" customHeight="false" outlineLevel="0" collapsed="false">
      <c r="A286" s="6"/>
      <c r="B286" s="6"/>
      <c r="C286" s="6"/>
      <c r="D286" s="6"/>
      <c r="E286" s="6"/>
      <c r="F286" s="6"/>
      <c r="G286" s="7"/>
      <c r="H286" s="7"/>
      <c r="I286" s="6"/>
      <c r="J286" s="9" t="str">
        <f aca="false">IF(NOT(ISNUMBER($G286)),"",IF(AND(ASH_CORRECTED="Yes",ISNUMBER($H286)),$G286*(1-$H286),$G286))</f>
        <v/>
      </c>
      <c r="K286" s="9" t="str">
        <f aca="false">IF($B286="","",IFERROR(AVERAGEIFS('2. Soil Data'!$G$5:$G$604,'2. Soil Data'!$B$5:$B$604,$B286),""))</f>
        <v/>
      </c>
      <c r="L286" s="9" t="str">
        <f aca="false">IF(NOT(ISNUMBER($K286)),"",PI()*($K286/2)^2)</f>
        <v/>
      </c>
      <c r="M286" s="9" t="str">
        <f aca="false">IF(OR(NOT(ISNUMBER($J286)),NOT(ISNUMBER($L286)),$L286=0),"",$J286/$L286*10000)</f>
        <v/>
      </c>
      <c r="N286" s="9" t="str">
        <f aca="false">IF(NOT(ISNUMBER($M286)),"",$M286*CARBON_FRACTION_ROOT/1000)</f>
        <v/>
      </c>
      <c r="O286" s="11" t="str">
        <f aca="false">IF(AND($A286="",$B286="",$G286=""),"",IF(AND($B286&lt;&gt;"",COUNTIFS('2. Soil Data'!$B$5:$B$604,$B286)=0),"Core ID not found in Soil Data, so the corer diameter cannot be looked up. ","")&amp;IF(ASH_CORRECTED&lt;&gt;"Yes","Root mass is NOT ash-corrected, so it includes adhering mineral soil and is too high. Set ASH_CORRECTED once you have done it. ","")&amp;IF(AND(ASH_CORRECTED="Yes",NOT(ISNUMBER($H286))),"Ash correction is switched on but no ash fraction is given for this row. ","")&amp;IF($I286="","Sieve mesh not recorded — a fine-root figure cannot be interpreted without it. ","")&amp;IF(AND(ISNUMBER($H286),$H286&gt;0.5),"Ash fraction above 0.5 — over half this sample was mineral soil. Re-wash. ","")&amp;IF($F286="Not separated","Live and dead not separated. Fine for a stock, but "&amp;"note it in reporting. ",""))</f>
        <v/>
      </c>
      <c r="P286" s="6"/>
      <c r="Q286" s="9" t="n">
        <f aca="false">IF($B286="",0,IF(COUNTIFS($B$5:$B286,$B286)=1,1,0))</f>
        <v>0</v>
      </c>
    </row>
    <row r="287" customFormat="false" ht="15" hidden="false" customHeight="false" outlineLevel="0" collapsed="false">
      <c r="A287" s="6"/>
      <c r="B287" s="6"/>
      <c r="C287" s="6"/>
      <c r="D287" s="6"/>
      <c r="E287" s="6"/>
      <c r="F287" s="6"/>
      <c r="G287" s="7"/>
      <c r="H287" s="7"/>
      <c r="I287" s="6"/>
      <c r="J287" s="9" t="str">
        <f aca="false">IF(NOT(ISNUMBER($G287)),"",IF(AND(ASH_CORRECTED="Yes",ISNUMBER($H287)),$G287*(1-$H287),$G287))</f>
        <v/>
      </c>
      <c r="K287" s="9" t="str">
        <f aca="false">IF($B287="","",IFERROR(AVERAGEIFS('2. Soil Data'!$G$5:$G$604,'2. Soil Data'!$B$5:$B$604,$B287),""))</f>
        <v/>
      </c>
      <c r="L287" s="9" t="str">
        <f aca="false">IF(NOT(ISNUMBER($K287)),"",PI()*($K287/2)^2)</f>
        <v/>
      </c>
      <c r="M287" s="9" t="str">
        <f aca="false">IF(OR(NOT(ISNUMBER($J287)),NOT(ISNUMBER($L287)),$L287=0),"",$J287/$L287*10000)</f>
        <v/>
      </c>
      <c r="N287" s="9" t="str">
        <f aca="false">IF(NOT(ISNUMBER($M287)),"",$M287*CARBON_FRACTION_ROOT/1000)</f>
        <v/>
      </c>
      <c r="O287" s="11" t="str">
        <f aca="false">IF(AND($A287="",$B287="",$G287=""),"",IF(AND($B287&lt;&gt;"",COUNTIFS('2. Soil Data'!$B$5:$B$604,$B287)=0),"Core ID not found in Soil Data, so the corer diameter cannot be looked up. ","")&amp;IF(ASH_CORRECTED&lt;&gt;"Yes","Root mass is NOT ash-corrected, so it includes adhering mineral soil and is too high. Set ASH_CORRECTED once you have done it. ","")&amp;IF(AND(ASH_CORRECTED="Yes",NOT(ISNUMBER($H287))),"Ash correction is switched on but no ash fraction is given for this row. ","")&amp;IF($I287="","Sieve mesh not recorded — a fine-root figure cannot be interpreted without it. ","")&amp;IF(AND(ISNUMBER($H287),$H287&gt;0.5),"Ash fraction above 0.5 — over half this sample was mineral soil. Re-wash. ","")&amp;IF($F287="Not separated","Live and dead not separated. Fine for a stock, but "&amp;"note it in reporting. ",""))</f>
        <v/>
      </c>
      <c r="P287" s="6"/>
      <c r="Q287" s="9" t="n">
        <f aca="false">IF($B287="",0,IF(COUNTIFS($B$5:$B287,$B287)=1,1,0))</f>
        <v>0</v>
      </c>
    </row>
    <row r="288" customFormat="false" ht="15" hidden="false" customHeight="false" outlineLevel="0" collapsed="false">
      <c r="A288" s="6"/>
      <c r="B288" s="6"/>
      <c r="C288" s="6"/>
      <c r="D288" s="6"/>
      <c r="E288" s="6"/>
      <c r="F288" s="6"/>
      <c r="G288" s="7"/>
      <c r="H288" s="7"/>
      <c r="I288" s="6"/>
      <c r="J288" s="9" t="str">
        <f aca="false">IF(NOT(ISNUMBER($G288)),"",IF(AND(ASH_CORRECTED="Yes",ISNUMBER($H288)),$G288*(1-$H288),$G288))</f>
        <v/>
      </c>
      <c r="K288" s="9" t="str">
        <f aca="false">IF($B288="","",IFERROR(AVERAGEIFS('2. Soil Data'!$G$5:$G$604,'2. Soil Data'!$B$5:$B$604,$B288),""))</f>
        <v/>
      </c>
      <c r="L288" s="9" t="str">
        <f aca="false">IF(NOT(ISNUMBER($K288)),"",PI()*($K288/2)^2)</f>
        <v/>
      </c>
      <c r="M288" s="9" t="str">
        <f aca="false">IF(OR(NOT(ISNUMBER($J288)),NOT(ISNUMBER($L288)),$L288=0),"",$J288/$L288*10000)</f>
        <v/>
      </c>
      <c r="N288" s="9" t="str">
        <f aca="false">IF(NOT(ISNUMBER($M288)),"",$M288*CARBON_FRACTION_ROOT/1000)</f>
        <v/>
      </c>
      <c r="O288" s="11" t="str">
        <f aca="false">IF(AND($A288="",$B288="",$G288=""),"",IF(AND($B288&lt;&gt;"",COUNTIFS('2. Soil Data'!$B$5:$B$604,$B288)=0),"Core ID not found in Soil Data, so the corer diameter cannot be looked up. ","")&amp;IF(ASH_CORRECTED&lt;&gt;"Yes","Root mass is NOT ash-corrected, so it includes adhering mineral soil and is too high. Set ASH_CORRECTED once you have done it. ","")&amp;IF(AND(ASH_CORRECTED="Yes",NOT(ISNUMBER($H288))),"Ash correction is switched on but no ash fraction is given for this row. ","")&amp;IF($I288="","Sieve mesh not recorded — a fine-root figure cannot be interpreted without it. ","")&amp;IF(AND(ISNUMBER($H288),$H288&gt;0.5),"Ash fraction above 0.5 — over half this sample was mineral soil. Re-wash. ","")&amp;IF($F288="Not separated","Live and dead not separated. Fine for a stock, but "&amp;"note it in reporting. ",""))</f>
        <v/>
      </c>
      <c r="P288" s="6"/>
      <c r="Q288" s="9" t="n">
        <f aca="false">IF($B288="",0,IF(COUNTIFS($B$5:$B288,$B288)=1,1,0))</f>
        <v>0</v>
      </c>
    </row>
    <row r="289" customFormat="false" ht="15" hidden="false" customHeight="false" outlineLevel="0" collapsed="false">
      <c r="A289" s="6"/>
      <c r="B289" s="6"/>
      <c r="C289" s="6"/>
      <c r="D289" s="6"/>
      <c r="E289" s="6"/>
      <c r="F289" s="6"/>
      <c r="G289" s="7"/>
      <c r="H289" s="7"/>
      <c r="I289" s="6"/>
      <c r="J289" s="9" t="str">
        <f aca="false">IF(NOT(ISNUMBER($G289)),"",IF(AND(ASH_CORRECTED="Yes",ISNUMBER($H289)),$G289*(1-$H289),$G289))</f>
        <v/>
      </c>
      <c r="K289" s="9" t="str">
        <f aca="false">IF($B289="","",IFERROR(AVERAGEIFS('2. Soil Data'!$G$5:$G$604,'2. Soil Data'!$B$5:$B$604,$B289),""))</f>
        <v/>
      </c>
      <c r="L289" s="9" t="str">
        <f aca="false">IF(NOT(ISNUMBER($K289)),"",PI()*($K289/2)^2)</f>
        <v/>
      </c>
      <c r="M289" s="9" t="str">
        <f aca="false">IF(OR(NOT(ISNUMBER($J289)),NOT(ISNUMBER($L289)),$L289=0),"",$J289/$L289*10000)</f>
        <v/>
      </c>
      <c r="N289" s="9" t="str">
        <f aca="false">IF(NOT(ISNUMBER($M289)),"",$M289*CARBON_FRACTION_ROOT/1000)</f>
        <v/>
      </c>
      <c r="O289" s="11" t="str">
        <f aca="false">IF(AND($A289="",$B289="",$G289=""),"",IF(AND($B289&lt;&gt;"",COUNTIFS('2. Soil Data'!$B$5:$B$604,$B289)=0),"Core ID not found in Soil Data, so the corer diameter cannot be looked up. ","")&amp;IF(ASH_CORRECTED&lt;&gt;"Yes","Root mass is NOT ash-corrected, so it includes adhering mineral soil and is too high. Set ASH_CORRECTED once you have done it. ","")&amp;IF(AND(ASH_CORRECTED="Yes",NOT(ISNUMBER($H289))),"Ash correction is switched on but no ash fraction is given for this row. ","")&amp;IF($I289="","Sieve mesh not recorded — a fine-root figure cannot be interpreted without it. ","")&amp;IF(AND(ISNUMBER($H289),$H289&gt;0.5),"Ash fraction above 0.5 — over half this sample was mineral soil. Re-wash. ","")&amp;IF($F289="Not separated","Live and dead not separated. Fine for a stock, but "&amp;"note it in reporting. ",""))</f>
        <v/>
      </c>
      <c r="P289" s="6"/>
      <c r="Q289" s="9" t="n">
        <f aca="false">IF($B289="",0,IF(COUNTIFS($B$5:$B289,$B289)=1,1,0))</f>
        <v>0</v>
      </c>
    </row>
    <row r="290" customFormat="false" ht="15" hidden="false" customHeight="false" outlineLevel="0" collapsed="false">
      <c r="A290" s="6"/>
      <c r="B290" s="6"/>
      <c r="C290" s="6"/>
      <c r="D290" s="6"/>
      <c r="E290" s="6"/>
      <c r="F290" s="6"/>
      <c r="G290" s="7"/>
      <c r="H290" s="7"/>
      <c r="I290" s="6"/>
      <c r="J290" s="9" t="str">
        <f aca="false">IF(NOT(ISNUMBER($G290)),"",IF(AND(ASH_CORRECTED="Yes",ISNUMBER($H290)),$G290*(1-$H290),$G290))</f>
        <v/>
      </c>
      <c r="K290" s="9" t="str">
        <f aca="false">IF($B290="","",IFERROR(AVERAGEIFS('2. Soil Data'!$G$5:$G$604,'2. Soil Data'!$B$5:$B$604,$B290),""))</f>
        <v/>
      </c>
      <c r="L290" s="9" t="str">
        <f aca="false">IF(NOT(ISNUMBER($K290)),"",PI()*($K290/2)^2)</f>
        <v/>
      </c>
      <c r="M290" s="9" t="str">
        <f aca="false">IF(OR(NOT(ISNUMBER($J290)),NOT(ISNUMBER($L290)),$L290=0),"",$J290/$L290*10000)</f>
        <v/>
      </c>
      <c r="N290" s="9" t="str">
        <f aca="false">IF(NOT(ISNUMBER($M290)),"",$M290*CARBON_FRACTION_ROOT/1000)</f>
        <v/>
      </c>
      <c r="O290" s="11" t="str">
        <f aca="false">IF(AND($A290="",$B290="",$G290=""),"",IF(AND($B290&lt;&gt;"",COUNTIFS('2. Soil Data'!$B$5:$B$604,$B290)=0),"Core ID not found in Soil Data, so the corer diameter cannot be looked up. ","")&amp;IF(ASH_CORRECTED&lt;&gt;"Yes","Root mass is NOT ash-corrected, so it includes adhering mineral soil and is too high. Set ASH_CORRECTED once you have done it. ","")&amp;IF(AND(ASH_CORRECTED="Yes",NOT(ISNUMBER($H290))),"Ash correction is switched on but no ash fraction is given for this row. ","")&amp;IF($I290="","Sieve mesh not recorded — a fine-root figure cannot be interpreted without it. ","")&amp;IF(AND(ISNUMBER($H290),$H290&gt;0.5),"Ash fraction above 0.5 — over half this sample was mineral soil. Re-wash. ","")&amp;IF($F290="Not separated","Live and dead not separated. Fine for a stock, but "&amp;"note it in reporting. ",""))</f>
        <v/>
      </c>
      <c r="P290" s="6"/>
      <c r="Q290" s="9" t="n">
        <f aca="false">IF($B290="",0,IF(COUNTIFS($B$5:$B290,$B290)=1,1,0))</f>
        <v>0</v>
      </c>
    </row>
    <row r="291" customFormat="false" ht="15" hidden="false" customHeight="false" outlineLevel="0" collapsed="false">
      <c r="A291" s="6"/>
      <c r="B291" s="6"/>
      <c r="C291" s="6"/>
      <c r="D291" s="6"/>
      <c r="E291" s="6"/>
      <c r="F291" s="6"/>
      <c r="G291" s="7"/>
      <c r="H291" s="7"/>
      <c r="I291" s="6"/>
      <c r="J291" s="9" t="str">
        <f aca="false">IF(NOT(ISNUMBER($G291)),"",IF(AND(ASH_CORRECTED="Yes",ISNUMBER($H291)),$G291*(1-$H291),$G291))</f>
        <v/>
      </c>
      <c r="K291" s="9" t="str">
        <f aca="false">IF($B291="","",IFERROR(AVERAGEIFS('2. Soil Data'!$G$5:$G$604,'2. Soil Data'!$B$5:$B$604,$B291),""))</f>
        <v/>
      </c>
      <c r="L291" s="9" t="str">
        <f aca="false">IF(NOT(ISNUMBER($K291)),"",PI()*($K291/2)^2)</f>
        <v/>
      </c>
      <c r="M291" s="9" t="str">
        <f aca="false">IF(OR(NOT(ISNUMBER($J291)),NOT(ISNUMBER($L291)),$L291=0),"",$J291/$L291*10000)</f>
        <v/>
      </c>
      <c r="N291" s="9" t="str">
        <f aca="false">IF(NOT(ISNUMBER($M291)),"",$M291*CARBON_FRACTION_ROOT/1000)</f>
        <v/>
      </c>
      <c r="O291" s="11" t="str">
        <f aca="false">IF(AND($A291="",$B291="",$G291=""),"",IF(AND($B291&lt;&gt;"",COUNTIFS('2. Soil Data'!$B$5:$B$604,$B291)=0),"Core ID not found in Soil Data, so the corer diameter cannot be looked up. ","")&amp;IF(ASH_CORRECTED&lt;&gt;"Yes","Root mass is NOT ash-corrected, so it includes adhering mineral soil and is too high. Set ASH_CORRECTED once you have done it. ","")&amp;IF(AND(ASH_CORRECTED="Yes",NOT(ISNUMBER($H291))),"Ash correction is switched on but no ash fraction is given for this row. ","")&amp;IF($I291="","Sieve mesh not recorded — a fine-root figure cannot be interpreted without it. ","")&amp;IF(AND(ISNUMBER($H291),$H291&gt;0.5),"Ash fraction above 0.5 — over half this sample was mineral soil. Re-wash. ","")&amp;IF($F291="Not separated","Live and dead not separated. Fine for a stock, but "&amp;"note it in reporting. ",""))</f>
        <v/>
      </c>
      <c r="P291" s="6"/>
      <c r="Q291" s="9" t="n">
        <f aca="false">IF($B291="",0,IF(COUNTIFS($B$5:$B291,$B291)=1,1,0))</f>
        <v>0</v>
      </c>
    </row>
    <row r="292" customFormat="false" ht="15" hidden="false" customHeight="false" outlineLevel="0" collapsed="false">
      <c r="A292" s="6"/>
      <c r="B292" s="6"/>
      <c r="C292" s="6"/>
      <c r="D292" s="6"/>
      <c r="E292" s="6"/>
      <c r="F292" s="6"/>
      <c r="G292" s="7"/>
      <c r="H292" s="7"/>
      <c r="I292" s="6"/>
      <c r="J292" s="9" t="str">
        <f aca="false">IF(NOT(ISNUMBER($G292)),"",IF(AND(ASH_CORRECTED="Yes",ISNUMBER($H292)),$G292*(1-$H292),$G292))</f>
        <v/>
      </c>
      <c r="K292" s="9" t="str">
        <f aca="false">IF($B292="","",IFERROR(AVERAGEIFS('2. Soil Data'!$G$5:$G$604,'2. Soil Data'!$B$5:$B$604,$B292),""))</f>
        <v/>
      </c>
      <c r="L292" s="9" t="str">
        <f aca="false">IF(NOT(ISNUMBER($K292)),"",PI()*($K292/2)^2)</f>
        <v/>
      </c>
      <c r="M292" s="9" t="str">
        <f aca="false">IF(OR(NOT(ISNUMBER($J292)),NOT(ISNUMBER($L292)),$L292=0),"",$J292/$L292*10000)</f>
        <v/>
      </c>
      <c r="N292" s="9" t="str">
        <f aca="false">IF(NOT(ISNUMBER($M292)),"",$M292*CARBON_FRACTION_ROOT/1000)</f>
        <v/>
      </c>
      <c r="O292" s="11" t="str">
        <f aca="false">IF(AND($A292="",$B292="",$G292=""),"",IF(AND($B292&lt;&gt;"",COUNTIFS('2. Soil Data'!$B$5:$B$604,$B292)=0),"Core ID not found in Soil Data, so the corer diameter cannot be looked up. ","")&amp;IF(ASH_CORRECTED&lt;&gt;"Yes","Root mass is NOT ash-corrected, so it includes adhering mineral soil and is too high. Set ASH_CORRECTED once you have done it. ","")&amp;IF(AND(ASH_CORRECTED="Yes",NOT(ISNUMBER($H292))),"Ash correction is switched on but no ash fraction is given for this row. ","")&amp;IF($I292="","Sieve mesh not recorded — a fine-root figure cannot be interpreted without it. ","")&amp;IF(AND(ISNUMBER($H292),$H292&gt;0.5),"Ash fraction above 0.5 — over half this sample was mineral soil. Re-wash. ","")&amp;IF($F292="Not separated","Live and dead not separated. Fine for a stock, but "&amp;"note it in reporting. ",""))</f>
        <v/>
      </c>
      <c r="P292" s="6"/>
      <c r="Q292" s="9" t="n">
        <f aca="false">IF($B292="",0,IF(COUNTIFS($B$5:$B292,$B292)=1,1,0))</f>
        <v>0</v>
      </c>
    </row>
    <row r="293" customFormat="false" ht="15" hidden="false" customHeight="false" outlineLevel="0" collapsed="false">
      <c r="A293" s="6"/>
      <c r="B293" s="6"/>
      <c r="C293" s="6"/>
      <c r="D293" s="6"/>
      <c r="E293" s="6"/>
      <c r="F293" s="6"/>
      <c r="G293" s="7"/>
      <c r="H293" s="7"/>
      <c r="I293" s="6"/>
      <c r="J293" s="9" t="str">
        <f aca="false">IF(NOT(ISNUMBER($G293)),"",IF(AND(ASH_CORRECTED="Yes",ISNUMBER($H293)),$G293*(1-$H293),$G293))</f>
        <v/>
      </c>
      <c r="K293" s="9" t="str">
        <f aca="false">IF($B293="","",IFERROR(AVERAGEIFS('2. Soil Data'!$G$5:$G$604,'2. Soil Data'!$B$5:$B$604,$B293),""))</f>
        <v/>
      </c>
      <c r="L293" s="9" t="str">
        <f aca="false">IF(NOT(ISNUMBER($K293)),"",PI()*($K293/2)^2)</f>
        <v/>
      </c>
      <c r="M293" s="9" t="str">
        <f aca="false">IF(OR(NOT(ISNUMBER($J293)),NOT(ISNUMBER($L293)),$L293=0),"",$J293/$L293*10000)</f>
        <v/>
      </c>
      <c r="N293" s="9" t="str">
        <f aca="false">IF(NOT(ISNUMBER($M293)),"",$M293*CARBON_FRACTION_ROOT/1000)</f>
        <v/>
      </c>
      <c r="O293" s="11" t="str">
        <f aca="false">IF(AND($A293="",$B293="",$G293=""),"",IF(AND($B293&lt;&gt;"",COUNTIFS('2. Soil Data'!$B$5:$B$604,$B293)=0),"Core ID not found in Soil Data, so the corer diameter cannot be looked up. ","")&amp;IF(ASH_CORRECTED&lt;&gt;"Yes","Root mass is NOT ash-corrected, so it includes adhering mineral soil and is too high. Set ASH_CORRECTED once you have done it. ","")&amp;IF(AND(ASH_CORRECTED="Yes",NOT(ISNUMBER($H293))),"Ash correction is switched on but no ash fraction is given for this row. ","")&amp;IF($I293="","Sieve mesh not recorded — a fine-root figure cannot be interpreted without it. ","")&amp;IF(AND(ISNUMBER($H293),$H293&gt;0.5),"Ash fraction above 0.5 — over half this sample was mineral soil. Re-wash. ","")&amp;IF($F293="Not separated","Live and dead not separated. Fine for a stock, but "&amp;"note it in reporting. ",""))</f>
        <v/>
      </c>
      <c r="P293" s="6"/>
      <c r="Q293" s="9" t="n">
        <f aca="false">IF($B293="",0,IF(COUNTIFS($B$5:$B293,$B293)=1,1,0))</f>
        <v>0</v>
      </c>
    </row>
    <row r="294" customFormat="false" ht="15" hidden="false" customHeight="false" outlineLevel="0" collapsed="false">
      <c r="A294" s="6"/>
      <c r="B294" s="6"/>
      <c r="C294" s="6"/>
      <c r="D294" s="6"/>
      <c r="E294" s="6"/>
      <c r="F294" s="6"/>
      <c r="G294" s="7"/>
      <c r="H294" s="7"/>
      <c r="I294" s="6"/>
      <c r="J294" s="9" t="str">
        <f aca="false">IF(NOT(ISNUMBER($G294)),"",IF(AND(ASH_CORRECTED="Yes",ISNUMBER($H294)),$G294*(1-$H294),$G294))</f>
        <v/>
      </c>
      <c r="K294" s="9" t="str">
        <f aca="false">IF($B294="","",IFERROR(AVERAGEIFS('2. Soil Data'!$G$5:$G$604,'2. Soil Data'!$B$5:$B$604,$B294),""))</f>
        <v/>
      </c>
      <c r="L294" s="9" t="str">
        <f aca="false">IF(NOT(ISNUMBER($K294)),"",PI()*($K294/2)^2)</f>
        <v/>
      </c>
      <c r="M294" s="9" t="str">
        <f aca="false">IF(OR(NOT(ISNUMBER($J294)),NOT(ISNUMBER($L294)),$L294=0),"",$J294/$L294*10000)</f>
        <v/>
      </c>
      <c r="N294" s="9" t="str">
        <f aca="false">IF(NOT(ISNUMBER($M294)),"",$M294*CARBON_FRACTION_ROOT/1000)</f>
        <v/>
      </c>
      <c r="O294" s="11" t="str">
        <f aca="false">IF(AND($A294="",$B294="",$G294=""),"",IF(AND($B294&lt;&gt;"",COUNTIFS('2. Soil Data'!$B$5:$B$604,$B294)=0),"Core ID not found in Soil Data, so the corer diameter cannot be looked up. ","")&amp;IF(ASH_CORRECTED&lt;&gt;"Yes","Root mass is NOT ash-corrected, so it includes adhering mineral soil and is too high. Set ASH_CORRECTED once you have done it. ","")&amp;IF(AND(ASH_CORRECTED="Yes",NOT(ISNUMBER($H294))),"Ash correction is switched on but no ash fraction is given for this row. ","")&amp;IF($I294="","Sieve mesh not recorded — a fine-root figure cannot be interpreted without it. ","")&amp;IF(AND(ISNUMBER($H294),$H294&gt;0.5),"Ash fraction above 0.5 — over half this sample was mineral soil. Re-wash. ","")&amp;IF($F294="Not separated","Live and dead not separated. Fine for a stock, but "&amp;"note it in reporting. ",""))</f>
        <v/>
      </c>
      <c r="P294" s="6"/>
      <c r="Q294" s="9" t="n">
        <f aca="false">IF($B294="",0,IF(COUNTIFS($B$5:$B294,$B294)=1,1,0))</f>
        <v>0</v>
      </c>
    </row>
    <row r="295" customFormat="false" ht="15" hidden="false" customHeight="false" outlineLevel="0" collapsed="false">
      <c r="A295" s="6"/>
      <c r="B295" s="6"/>
      <c r="C295" s="6"/>
      <c r="D295" s="6"/>
      <c r="E295" s="6"/>
      <c r="F295" s="6"/>
      <c r="G295" s="7"/>
      <c r="H295" s="7"/>
      <c r="I295" s="6"/>
      <c r="J295" s="9" t="str">
        <f aca="false">IF(NOT(ISNUMBER($G295)),"",IF(AND(ASH_CORRECTED="Yes",ISNUMBER($H295)),$G295*(1-$H295),$G295))</f>
        <v/>
      </c>
      <c r="K295" s="9" t="str">
        <f aca="false">IF($B295="","",IFERROR(AVERAGEIFS('2. Soil Data'!$G$5:$G$604,'2. Soil Data'!$B$5:$B$604,$B295),""))</f>
        <v/>
      </c>
      <c r="L295" s="9" t="str">
        <f aca="false">IF(NOT(ISNUMBER($K295)),"",PI()*($K295/2)^2)</f>
        <v/>
      </c>
      <c r="M295" s="9" t="str">
        <f aca="false">IF(OR(NOT(ISNUMBER($J295)),NOT(ISNUMBER($L295)),$L295=0),"",$J295/$L295*10000)</f>
        <v/>
      </c>
      <c r="N295" s="9" t="str">
        <f aca="false">IF(NOT(ISNUMBER($M295)),"",$M295*CARBON_FRACTION_ROOT/1000)</f>
        <v/>
      </c>
      <c r="O295" s="11" t="str">
        <f aca="false">IF(AND($A295="",$B295="",$G295=""),"",IF(AND($B295&lt;&gt;"",COUNTIFS('2. Soil Data'!$B$5:$B$604,$B295)=0),"Core ID not found in Soil Data, so the corer diameter cannot be looked up. ","")&amp;IF(ASH_CORRECTED&lt;&gt;"Yes","Root mass is NOT ash-corrected, so it includes adhering mineral soil and is too high. Set ASH_CORRECTED once you have done it. ","")&amp;IF(AND(ASH_CORRECTED="Yes",NOT(ISNUMBER($H295))),"Ash correction is switched on but no ash fraction is given for this row. ","")&amp;IF($I295="","Sieve mesh not recorded — a fine-root figure cannot be interpreted without it. ","")&amp;IF(AND(ISNUMBER($H295),$H295&gt;0.5),"Ash fraction above 0.5 — over half this sample was mineral soil. Re-wash. ","")&amp;IF($F295="Not separated","Live and dead not separated. Fine for a stock, but "&amp;"note it in reporting. ",""))</f>
        <v/>
      </c>
      <c r="P295" s="6"/>
      <c r="Q295" s="9" t="n">
        <f aca="false">IF($B295="",0,IF(COUNTIFS($B$5:$B295,$B295)=1,1,0))</f>
        <v>0</v>
      </c>
    </row>
    <row r="296" customFormat="false" ht="15" hidden="false" customHeight="false" outlineLevel="0" collapsed="false">
      <c r="A296" s="6"/>
      <c r="B296" s="6"/>
      <c r="C296" s="6"/>
      <c r="D296" s="6"/>
      <c r="E296" s="6"/>
      <c r="F296" s="6"/>
      <c r="G296" s="7"/>
      <c r="H296" s="7"/>
      <c r="I296" s="6"/>
      <c r="J296" s="9" t="str">
        <f aca="false">IF(NOT(ISNUMBER($G296)),"",IF(AND(ASH_CORRECTED="Yes",ISNUMBER($H296)),$G296*(1-$H296),$G296))</f>
        <v/>
      </c>
      <c r="K296" s="9" t="str">
        <f aca="false">IF($B296="","",IFERROR(AVERAGEIFS('2. Soil Data'!$G$5:$G$604,'2. Soil Data'!$B$5:$B$604,$B296),""))</f>
        <v/>
      </c>
      <c r="L296" s="9" t="str">
        <f aca="false">IF(NOT(ISNUMBER($K296)),"",PI()*($K296/2)^2)</f>
        <v/>
      </c>
      <c r="M296" s="9" t="str">
        <f aca="false">IF(OR(NOT(ISNUMBER($J296)),NOT(ISNUMBER($L296)),$L296=0),"",$J296/$L296*10000)</f>
        <v/>
      </c>
      <c r="N296" s="9" t="str">
        <f aca="false">IF(NOT(ISNUMBER($M296)),"",$M296*CARBON_FRACTION_ROOT/1000)</f>
        <v/>
      </c>
      <c r="O296" s="11" t="str">
        <f aca="false">IF(AND($A296="",$B296="",$G296=""),"",IF(AND($B296&lt;&gt;"",COUNTIFS('2. Soil Data'!$B$5:$B$604,$B296)=0),"Core ID not found in Soil Data, so the corer diameter cannot be looked up. ","")&amp;IF(ASH_CORRECTED&lt;&gt;"Yes","Root mass is NOT ash-corrected, so it includes adhering mineral soil and is too high. Set ASH_CORRECTED once you have done it. ","")&amp;IF(AND(ASH_CORRECTED="Yes",NOT(ISNUMBER($H296))),"Ash correction is switched on but no ash fraction is given for this row. ","")&amp;IF($I296="","Sieve mesh not recorded — a fine-root figure cannot be interpreted without it. ","")&amp;IF(AND(ISNUMBER($H296),$H296&gt;0.5),"Ash fraction above 0.5 — over half this sample was mineral soil. Re-wash. ","")&amp;IF($F296="Not separated","Live and dead not separated. Fine for a stock, but "&amp;"note it in reporting. ",""))</f>
        <v/>
      </c>
      <c r="P296" s="6"/>
      <c r="Q296" s="9" t="n">
        <f aca="false">IF($B296="",0,IF(COUNTIFS($B$5:$B296,$B296)=1,1,0))</f>
        <v>0</v>
      </c>
    </row>
    <row r="297" customFormat="false" ht="15" hidden="false" customHeight="false" outlineLevel="0" collapsed="false">
      <c r="A297" s="6"/>
      <c r="B297" s="6"/>
      <c r="C297" s="6"/>
      <c r="D297" s="6"/>
      <c r="E297" s="6"/>
      <c r="F297" s="6"/>
      <c r="G297" s="7"/>
      <c r="H297" s="7"/>
      <c r="I297" s="6"/>
      <c r="J297" s="9" t="str">
        <f aca="false">IF(NOT(ISNUMBER($G297)),"",IF(AND(ASH_CORRECTED="Yes",ISNUMBER($H297)),$G297*(1-$H297),$G297))</f>
        <v/>
      </c>
      <c r="K297" s="9" t="str">
        <f aca="false">IF($B297="","",IFERROR(AVERAGEIFS('2. Soil Data'!$G$5:$G$604,'2. Soil Data'!$B$5:$B$604,$B297),""))</f>
        <v/>
      </c>
      <c r="L297" s="9" t="str">
        <f aca="false">IF(NOT(ISNUMBER($K297)),"",PI()*($K297/2)^2)</f>
        <v/>
      </c>
      <c r="M297" s="9" t="str">
        <f aca="false">IF(OR(NOT(ISNUMBER($J297)),NOT(ISNUMBER($L297)),$L297=0),"",$J297/$L297*10000)</f>
        <v/>
      </c>
      <c r="N297" s="9" t="str">
        <f aca="false">IF(NOT(ISNUMBER($M297)),"",$M297*CARBON_FRACTION_ROOT/1000)</f>
        <v/>
      </c>
      <c r="O297" s="11" t="str">
        <f aca="false">IF(AND($A297="",$B297="",$G297=""),"",IF(AND($B297&lt;&gt;"",COUNTIFS('2. Soil Data'!$B$5:$B$604,$B297)=0),"Core ID not found in Soil Data, so the corer diameter cannot be looked up. ","")&amp;IF(ASH_CORRECTED&lt;&gt;"Yes","Root mass is NOT ash-corrected, so it includes adhering mineral soil and is too high. Set ASH_CORRECTED once you have done it. ","")&amp;IF(AND(ASH_CORRECTED="Yes",NOT(ISNUMBER($H297))),"Ash correction is switched on but no ash fraction is given for this row. ","")&amp;IF($I297="","Sieve mesh not recorded — a fine-root figure cannot be interpreted without it. ","")&amp;IF(AND(ISNUMBER($H297),$H297&gt;0.5),"Ash fraction above 0.5 — over half this sample was mineral soil. Re-wash. ","")&amp;IF($F297="Not separated","Live and dead not separated. Fine for a stock, but "&amp;"note it in reporting. ",""))</f>
        <v/>
      </c>
      <c r="P297" s="6"/>
      <c r="Q297" s="9" t="n">
        <f aca="false">IF($B297="",0,IF(COUNTIFS($B$5:$B297,$B297)=1,1,0))</f>
        <v>0</v>
      </c>
    </row>
    <row r="298" customFormat="false" ht="15" hidden="false" customHeight="false" outlineLevel="0" collapsed="false">
      <c r="A298" s="6"/>
      <c r="B298" s="6"/>
      <c r="C298" s="6"/>
      <c r="D298" s="6"/>
      <c r="E298" s="6"/>
      <c r="F298" s="6"/>
      <c r="G298" s="7"/>
      <c r="H298" s="7"/>
      <c r="I298" s="6"/>
      <c r="J298" s="9" t="str">
        <f aca="false">IF(NOT(ISNUMBER($G298)),"",IF(AND(ASH_CORRECTED="Yes",ISNUMBER($H298)),$G298*(1-$H298),$G298))</f>
        <v/>
      </c>
      <c r="K298" s="9" t="str">
        <f aca="false">IF($B298="","",IFERROR(AVERAGEIFS('2. Soil Data'!$G$5:$G$604,'2. Soil Data'!$B$5:$B$604,$B298),""))</f>
        <v/>
      </c>
      <c r="L298" s="9" t="str">
        <f aca="false">IF(NOT(ISNUMBER($K298)),"",PI()*($K298/2)^2)</f>
        <v/>
      </c>
      <c r="M298" s="9" t="str">
        <f aca="false">IF(OR(NOT(ISNUMBER($J298)),NOT(ISNUMBER($L298)),$L298=0),"",$J298/$L298*10000)</f>
        <v/>
      </c>
      <c r="N298" s="9" t="str">
        <f aca="false">IF(NOT(ISNUMBER($M298)),"",$M298*CARBON_FRACTION_ROOT/1000)</f>
        <v/>
      </c>
      <c r="O298" s="11" t="str">
        <f aca="false">IF(AND($A298="",$B298="",$G298=""),"",IF(AND($B298&lt;&gt;"",COUNTIFS('2. Soil Data'!$B$5:$B$604,$B298)=0),"Core ID not found in Soil Data, so the corer diameter cannot be looked up. ","")&amp;IF(ASH_CORRECTED&lt;&gt;"Yes","Root mass is NOT ash-corrected, so it includes adhering mineral soil and is too high. Set ASH_CORRECTED once you have done it. ","")&amp;IF(AND(ASH_CORRECTED="Yes",NOT(ISNUMBER($H298))),"Ash correction is switched on but no ash fraction is given for this row. ","")&amp;IF($I298="","Sieve mesh not recorded — a fine-root figure cannot be interpreted without it. ","")&amp;IF(AND(ISNUMBER($H298),$H298&gt;0.5),"Ash fraction above 0.5 — over half this sample was mineral soil. Re-wash. ","")&amp;IF($F298="Not separated","Live and dead not separated. Fine for a stock, but "&amp;"note it in reporting. ",""))</f>
        <v/>
      </c>
      <c r="P298" s="6"/>
      <c r="Q298" s="9" t="n">
        <f aca="false">IF($B298="",0,IF(COUNTIFS($B$5:$B298,$B298)=1,1,0))</f>
        <v>0</v>
      </c>
    </row>
    <row r="299" customFormat="false" ht="15" hidden="false" customHeight="false" outlineLevel="0" collapsed="false">
      <c r="A299" s="6"/>
      <c r="B299" s="6"/>
      <c r="C299" s="6"/>
      <c r="D299" s="6"/>
      <c r="E299" s="6"/>
      <c r="F299" s="6"/>
      <c r="G299" s="7"/>
      <c r="H299" s="7"/>
      <c r="I299" s="6"/>
      <c r="J299" s="9" t="str">
        <f aca="false">IF(NOT(ISNUMBER($G299)),"",IF(AND(ASH_CORRECTED="Yes",ISNUMBER($H299)),$G299*(1-$H299),$G299))</f>
        <v/>
      </c>
      <c r="K299" s="9" t="str">
        <f aca="false">IF($B299="","",IFERROR(AVERAGEIFS('2. Soil Data'!$G$5:$G$604,'2. Soil Data'!$B$5:$B$604,$B299),""))</f>
        <v/>
      </c>
      <c r="L299" s="9" t="str">
        <f aca="false">IF(NOT(ISNUMBER($K299)),"",PI()*($K299/2)^2)</f>
        <v/>
      </c>
      <c r="M299" s="9" t="str">
        <f aca="false">IF(OR(NOT(ISNUMBER($J299)),NOT(ISNUMBER($L299)),$L299=0),"",$J299/$L299*10000)</f>
        <v/>
      </c>
      <c r="N299" s="9" t="str">
        <f aca="false">IF(NOT(ISNUMBER($M299)),"",$M299*CARBON_FRACTION_ROOT/1000)</f>
        <v/>
      </c>
      <c r="O299" s="11" t="str">
        <f aca="false">IF(AND($A299="",$B299="",$G299=""),"",IF(AND($B299&lt;&gt;"",COUNTIFS('2. Soil Data'!$B$5:$B$604,$B299)=0),"Core ID not found in Soil Data, so the corer diameter cannot be looked up. ","")&amp;IF(ASH_CORRECTED&lt;&gt;"Yes","Root mass is NOT ash-corrected, so it includes adhering mineral soil and is too high. Set ASH_CORRECTED once you have done it. ","")&amp;IF(AND(ASH_CORRECTED="Yes",NOT(ISNUMBER($H299))),"Ash correction is switched on but no ash fraction is given for this row. ","")&amp;IF($I299="","Sieve mesh not recorded — a fine-root figure cannot be interpreted without it. ","")&amp;IF(AND(ISNUMBER($H299),$H299&gt;0.5),"Ash fraction above 0.5 — over half this sample was mineral soil. Re-wash. ","")&amp;IF($F299="Not separated","Live and dead not separated. Fine for a stock, but "&amp;"note it in reporting. ",""))</f>
        <v/>
      </c>
      <c r="P299" s="6"/>
      <c r="Q299" s="9" t="n">
        <f aca="false">IF($B299="",0,IF(COUNTIFS($B$5:$B299,$B299)=1,1,0))</f>
        <v>0</v>
      </c>
    </row>
    <row r="300" customFormat="false" ht="15" hidden="false" customHeight="false" outlineLevel="0" collapsed="false">
      <c r="A300" s="6"/>
      <c r="B300" s="6"/>
      <c r="C300" s="6"/>
      <c r="D300" s="6"/>
      <c r="E300" s="6"/>
      <c r="F300" s="6"/>
      <c r="G300" s="7"/>
      <c r="H300" s="7"/>
      <c r="I300" s="6"/>
      <c r="J300" s="9" t="str">
        <f aca="false">IF(NOT(ISNUMBER($G300)),"",IF(AND(ASH_CORRECTED="Yes",ISNUMBER($H300)),$G300*(1-$H300),$G300))</f>
        <v/>
      </c>
      <c r="K300" s="9" t="str">
        <f aca="false">IF($B300="","",IFERROR(AVERAGEIFS('2. Soil Data'!$G$5:$G$604,'2. Soil Data'!$B$5:$B$604,$B300),""))</f>
        <v/>
      </c>
      <c r="L300" s="9" t="str">
        <f aca="false">IF(NOT(ISNUMBER($K300)),"",PI()*($K300/2)^2)</f>
        <v/>
      </c>
      <c r="M300" s="9" t="str">
        <f aca="false">IF(OR(NOT(ISNUMBER($J300)),NOT(ISNUMBER($L300)),$L300=0),"",$J300/$L300*10000)</f>
        <v/>
      </c>
      <c r="N300" s="9" t="str">
        <f aca="false">IF(NOT(ISNUMBER($M300)),"",$M300*CARBON_FRACTION_ROOT/1000)</f>
        <v/>
      </c>
      <c r="O300" s="11" t="str">
        <f aca="false">IF(AND($A300="",$B300="",$G300=""),"",IF(AND($B300&lt;&gt;"",COUNTIFS('2. Soil Data'!$B$5:$B$604,$B300)=0),"Core ID not found in Soil Data, so the corer diameter cannot be looked up. ","")&amp;IF(ASH_CORRECTED&lt;&gt;"Yes","Root mass is NOT ash-corrected, so it includes adhering mineral soil and is too high. Set ASH_CORRECTED once you have done it. ","")&amp;IF(AND(ASH_CORRECTED="Yes",NOT(ISNUMBER($H300))),"Ash correction is switched on but no ash fraction is given for this row. ","")&amp;IF($I300="","Sieve mesh not recorded — a fine-root figure cannot be interpreted without it. ","")&amp;IF(AND(ISNUMBER($H300),$H300&gt;0.5),"Ash fraction above 0.5 — over half this sample was mineral soil. Re-wash. ","")&amp;IF($F300="Not separated","Live and dead not separated. Fine for a stock, but "&amp;"note it in reporting. ",""))</f>
        <v/>
      </c>
      <c r="P300" s="6"/>
      <c r="Q300" s="9" t="n">
        <f aca="false">IF($B300="",0,IF(COUNTIFS($B$5:$B300,$B300)=1,1,0))</f>
        <v>0</v>
      </c>
    </row>
    <row r="301" customFormat="false" ht="15" hidden="false" customHeight="false" outlineLevel="0" collapsed="false">
      <c r="A301" s="6"/>
      <c r="B301" s="6"/>
      <c r="C301" s="6"/>
      <c r="D301" s="6"/>
      <c r="E301" s="6"/>
      <c r="F301" s="6"/>
      <c r="G301" s="7"/>
      <c r="H301" s="7"/>
      <c r="I301" s="6"/>
      <c r="J301" s="9" t="str">
        <f aca="false">IF(NOT(ISNUMBER($G301)),"",IF(AND(ASH_CORRECTED="Yes",ISNUMBER($H301)),$G301*(1-$H301),$G301))</f>
        <v/>
      </c>
      <c r="K301" s="9" t="str">
        <f aca="false">IF($B301="","",IFERROR(AVERAGEIFS('2. Soil Data'!$G$5:$G$604,'2. Soil Data'!$B$5:$B$604,$B301),""))</f>
        <v/>
      </c>
      <c r="L301" s="9" t="str">
        <f aca="false">IF(NOT(ISNUMBER($K301)),"",PI()*($K301/2)^2)</f>
        <v/>
      </c>
      <c r="M301" s="9" t="str">
        <f aca="false">IF(OR(NOT(ISNUMBER($J301)),NOT(ISNUMBER($L301)),$L301=0),"",$J301/$L301*10000)</f>
        <v/>
      </c>
      <c r="N301" s="9" t="str">
        <f aca="false">IF(NOT(ISNUMBER($M301)),"",$M301*CARBON_FRACTION_ROOT/1000)</f>
        <v/>
      </c>
      <c r="O301" s="11" t="str">
        <f aca="false">IF(AND($A301="",$B301="",$G301=""),"",IF(AND($B301&lt;&gt;"",COUNTIFS('2. Soil Data'!$B$5:$B$604,$B301)=0),"Core ID not found in Soil Data, so the corer diameter cannot be looked up. ","")&amp;IF(ASH_CORRECTED&lt;&gt;"Yes","Root mass is NOT ash-corrected, so it includes adhering mineral soil and is too high. Set ASH_CORRECTED once you have done it. ","")&amp;IF(AND(ASH_CORRECTED="Yes",NOT(ISNUMBER($H301))),"Ash correction is switched on but no ash fraction is given for this row. ","")&amp;IF($I301="","Sieve mesh not recorded — a fine-root figure cannot be interpreted without it. ","")&amp;IF(AND(ISNUMBER($H301),$H301&gt;0.5),"Ash fraction above 0.5 — over half this sample was mineral soil. Re-wash. ","")&amp;IF($F301="Not separated","Live and dead not separated. Fine for a stock, but "&amp;"note it in reporting. ",""))</f>
        <v/>
      </c>
      <c r="P301" s="6"/>
      <c r="Q301" s="9" t="n">
        <f aca="false">IF($B301="",0,IF(COUNTIFS($B$5:$B301,$B301)=1,1,0))</f>
        <v>0</v>
      </c>
    </row>
    <row r="302" customFormat="false" ht="15" hidden="false" customHeight="false" outlineLevel="0" collapsed="false">
      <c r="A302" s="6"/>
      <c r="B302" s="6"/>
      <c r="C302" s="6"/>
      <c r="D302" s="6"/>
      <c r="E302" s="6"/>
      <c r="F302" s="6"/>
      <c r="G302" s="7"/>
      <c r="H302" s="7"/>
      <c r="I302" s="6"/>
      <c r="J302" s="9" t="str">
        <f aca="false">IF(NOT(ISNUMBER($G302)),"",IF(AND(ASH_CORRECTED="Yes",ISNUMBER($H302)),$G302*(1-$H302),$G302))</f>
        <v/>
      </c>
      <c r="K302" s="9" t="str">
        <f aca="false">IF($B302="","",IFERROR(AVERAGEIFS('2. Soil Data'!$G$5:$G$604,'2. Soil Data'!$B$5:$B$604,$B302),""))</f>
        <v/>
      </c>
      <c r="L302" s="9" t="str">
        <f aca="false">IF(NOT(ISNUMBER($K302)),"",PI()*($K302/2)^2)</f>
        <v/>
      </c>
      <c r="M302" s="9" t="str">
        <f aca="false">IF(OR(NOT(ISNUMBER($J302)),NOT(ISNUMBER($L302)),$L302=0),"",$J302/$L302*10000)</f>
        <v/>
      </c>
      <c r="N302" s="9" t="str">
        <f aca="false">IF(NOT(ISNUMBER($M302)),"",$M302*CARBON_FRACTION_ROOT/1000)</f>
        <v/>
      </c>
      <c r="O302" s="11" t="str">
        <f aca="false">IF(AND($A302="",$B302="",$G302=""),"",IF(AND($B302&lt;&gt;"",COUNTIFS('2. Soil Data'!$B$5:$B$604,$B302)=0),"Core ID not found in Soil Data, so the corer diameter cannot be looked up. ","")&amp;IF(ASH_CORRECTED&lt;&gt;"Yes","Root mass is NOT ash-corrected, so it includes adhering mineral soil and is too high. Set ASH_CORRECTED once you have done it. ","")&amp;IF(AND(ASH_CORRECTED="Yes",NOT(ISNUMBER($H302))),"Ash correction is switched on but no ash fraction is given for this row. ","")&amp;IF($I302="","Sieve mesh not recorded — a fine-root figure cannot be interpreted without it. ","")&amp;IF(AND(ISNUMBER($H302),$H302&gt;0.5),"Ash fraction above 0.5 — over half this sample was mineral soil. Re-wash. ","")&amp;IF($F302="Not separated","Live and dead not separated. Fine for a stock, but "&amp;"note it in reporting. ",""))</f>
        <v/>
      </c>
      <c r="P302" s="6"/>
      <c r="Q302" s="9" t="n">
        <f aca="false">IF($B302="",0,IF(COUNTIFS($B$5:$B302,$B302)=1,1,0))</f>
        <v>0</v>
      </c>
    </row>
    <row r="303" customFormat="false" ht="15" hidden="false" customHeight="false" outlineLevel="0" collapsed="false">
      <c r="A303" s="6"/>
      <c r="B303" s="6"/>
      <c r="C303" s="6"/>
      <c r="D303" s="6"/>
      <c r="E303" s="6"/>
      <c r="F303" s="6"/>
      <c r="G303" s="7"/>
      <c r="H303" s="7"/>
      <c r="I303" s="6"/>
      <c r="J303" s="9" t="str">
        <f aca="false">IF(NOT(ISNUMBER($G303)),"",IF(AND(ASH_CORRECTED="Yes",ISNUMBER($H303)),$G303*(1-$H303),$G303))</f>
        <v/>
      </c>
      <c r="K303" s="9" t="str">
        <f aca="false">IF($B303="","",IFERROR(AVERAGEIFS('2. Soil Data'!$G$5:$G$604,'2. Soil Data'!$B$5:$B$604,$B303),""))</f>
        <v/>
      </c>
      <c r="L303" s="9" t="str">
        <f aca="false">IF(NOT(ISNUMBER($K303)),"",PI()*($K303/2)^2)</f>
        <v/>
      </c>
      <c r="M303" s="9" t="str">
        <f aca="false">IF(OR(NOT(ISNUMBER($J303)),NOT(ISNUMBER($L303)),$L303=0),"",$J303/$L303*10000)</f>
        <v/>
      </c>
      <c r="N303" s="9" t="str">
        <f aca="false">IF(NOT(ISNUMBER($M303)),"",$M303*CARBON_FRACTION_ROOT/1000)</f>
        <v/>
      </c>
      <c r="O303" s="11" t="str">
        <f aca="false">IF(AND($A303="",$B303="",$G303=""),"",IF(AND($B303&lt;&gt;"",COUNTIFS('2. Soil Data'!$B$5:$B$604,$B303)=0),"Core ID not found in Soil Data, so the corer diameter cannot be looked up. ","")&amp;IF(ASH_CORRECTED&lt;&gt;"Yes","Root mass is NOT ash-corrected, so it includes adhering mineral soil and is too high. Set ASH_CORRECTED once you have done it. ","")&amp;IF(AND(ASH_CORRECTED="Yes",NOT(ISNUMBER($H303))),"Ash correction is switched on but no ash fraction is given for this row. ","")&amp;IF($I303="","Sieve mesh not recorded — a fine-root figure cannot be interpreted without it. ","")&amp;IF(AND(ISNUMBER($H303),$H303&gt;0.5),"Ash fraction above 0.5 — over half this sample was mineral soil. Re-wash. ","")&amp;IF($F303="Not separated","Live and dead not separated. Fine for a stock, but "&amp;"note it in reporting. ",""))</f>
        <v/>
      </c>
      <c r="P303" s="6"/>
      <c r="Q303" s="9" t="n">
        <f aca="false">IF($B303="",0,IF(COUNTIFS($B$5:$B303,$B303)=1,1,0))</f>
        <v>0</v>
      </c>
    </row>
    <row r="304" customFormat="false" ht="15" hidden="false" customHeight="false" outlineLevel="0" collapsed="false">
      <c r="A304" s="6"/>
      <c r="B304" s="6"/>
      <c r="C304" s="6"/>
      <c r="D304" s="6"/>
      <c r="E304" s="6"/>
      <c r="F304" s="6"/>
      <c r="G304" s="7"/>
      <c r="H304" s="7"/>
      <c r="I304" s="6"/>
      <c r="J304" s="9" t="str">
        <f aca="false">IF(NOT(ISNUMBER($G304)),"",IF(AND(ASH_CORRECTED="Yes",ISNUMBER($H304)),$G304*(1-$H304),$G304))</f>
        <v/>
      </c>
      <c r="K304" s="9" t="str">
        <f aca="false">IF($B304="","",IFERROR(AVERAGEIFS('2. Soil Data'!$G$5:$G$604,'2. Soil Data'!$B$5:$B$604,$B304),""))</f>
        <v/>
      </c>
      <c r="L304" s="9" t="str">
        <f aca="false">IF(NOT(ISNUMBER($K304)),"",PI()*($K304/2)^2)</f>
        <v/>
      </c>
      <c r="M304" s="9" t="str">
        <f aca="false">IF(OR(NOT(ISNUMBER($J304)),NOT(ISNUMBER($L304)),$L304=0),"",$J304/$L304*10000)</f>
        <v/>
      </c>
      <c r="N304" s="9" t="str">
        <f aca="false">IF(NOT(ISNUMBER($M304)),"",$M304*CARBON_FRACTION_ROOT/1000)</f>
        <v/>
      </c>
      <c r="O304" s="11" t="str">
        <f aca="false">IF(AND($A304="",$B304="",$G304=""),"",IF(AND($B304&lt;&gt;"",COUNTIFS('2. Soil Data'!$B$5:$B$604,$B304)=0),"Core ID not found in Soil Data, so the corer diameter cannot be looked up. ","")&amp;IF(ASH_CORRECTED&lt;&gt;"Yes","Root mass is NOT ash-corrected, so it includes adhering mineral soil and is too high. Set ASH_CORRECTED once you have done it. ","")&amp;IF(AND(ASH_CORRECTED="Yes",NOT(ISNUMBER($H304))),"Ash correction is switched on but no ash fraction is given for this row. ","")&amp;IF($I304="","Sieve mesh not recorded — a fine-root figure cannot be interpreted without it. ","")&amp;IF(AND(ISNUMBER($H304),$H304&gt;0.5),"Ash fraction above 0.5 — over half this sample was mineral soil. Re-wash. ","")&amp;IF($F304="Not separated","Live and dead not separated. Fine for a stock, but "&amp;"note it in reporting. ",""))</f>
        <v/>
      </c>
      <c r="P304" s="6"/>
      <c r="Q304" s="9" t="n">
        <f aca="false">IF($B304="",0,IF(COUNTIFS($B$5:$B304,$B304)=1,1,0))</f>
        <v>0</v>
      </c>
    </row>
    <row r="305" customFormat="false" ht="15" hidden="false" customHeight="false" outlineLevel="0" collapsed="false">
      <c r="A305" s="6"/>
      <c r="B305" s="6"/>
      <c r="C305" s="6"/>
      <c r="D305" s="6"/>
      <c r="E305" s="6"/>
      <c r="F305" s="6"/>
      <c r="G305" s="7"/>
      <c r="H305" s="7"/>
      <c r="I305" s="6"/>
      <c r="J305" s="9" t="str">
        <f aca="false">IF(NOT(ISNUMBER($G305)),"",IF(AND(ASH_CORRECTED="Yes",ISNUMBER($H305)),$G305*(1-$H305),$G305))</f>
        <v/>
      </c>
      <c r="K305" s="9" t="str">
        <f aca="false">IF($B305="","",IFERROR(AVERAGEIFS('2. Soil Data'!$G$5:$G$604,'2. Soil Data'!$B$5:$B$604,$B305),""))</f>
        <v/>
      </c>
      <c r="L305" s="9" t="str">
        <f aca="false">IF(NOT(ISNUMBER($K305)),"",PI()*($K305/2)^2)</f>
        <v/>
      </c>
      <c r="M305" s="9" t="str">
        <f aca="false">IF(OR(NOT(ISNUMBER($J305)),NOT(ISNUMBER($L305)),$L305=0),"",$J305/$L305*10000)</f>
        <v/>
      </c>
      <c r="N305" s="9" t="str">
        <f aca="false">IF(NOT(ISNUMBER($M305)),"",$M305*CARBON_FRACTION_ROOT/1000)</f>
        <v/>
      </c>
      <c r="O305" s="11" t="str">
        <f aca="false">IF(AND($A305="",$B305="",$G305=""),"",IF(AND($B305&lt;&gt;"",COUNTIFS('2. Soil Data'!$B$5:$B$604,$B305)=0),"Core ID not found in Soil Data, so the corer diameter cannot be looked up. ","")&amp;IF(ASH_CORRECTED&lt;&gt;"Yes","Root mass is NOT ash-corrected, so it includes adhering mineral soil and is too high. Set ASH_CORRECTED once you have done it. ","")&amp;IF(AND(ASH_CORRECTED="Yes",NOT(ISNUMBER($H305))),"Ash correction is switched on but no ash fraction is given for this row. ","")&amp;IF($I305="","Sieve mesh not recorded — a fine-root figure cannot be interpreted without it. ","")&amp;IF(AND(ISNUMBER($H305),$H305&gt;0.5),"Ash fraction above 0.5 — over half this sample was mineral soil. Re-wash. ","")&amp;IF($F305="Not separated","Live and dead not separated. Fine for a stock, but "&amp;"note it in reporting. ",""))</f>
        <v/>
      </c>
      <c r="P305" s="6"/>
      <c r="Q305" s="9" t="n">
        <f aca="false">IF($B305="",0,IF(COUNTIFS($B$5:$B305,$B305)=1,1,0))</f>
        <v>0</v>
      </c>
    </row>
    <row r="306" customFormat="false" ht="15" hidden="false" customHeight="false" outlineLevel="0" collapsed="false">
      <c r="A306" s="6"/>
      <c r="B306" s="6"/>
      <c r="C306" s="6"/>
      <c r="D306" s="6"/>
      <c r="E306" s="6"/>
      <c r="F306" s="6"/>
      <c r="G306" s="7"/>
      <c r="H306" s="7"/>
      <c r="I306" s="6"/>
      <c r="J306" s="9" t="str">
        <f aca="false">IF(NOT(ISNUMBER($G306)),"",IF(AND(ASH_CORRECTED="Yes",ISNUMBER($H306)),$G306*(1-$H306),$G306))</f>
        <v/>
      </c>
      <c r="K306" s="9" t="str">
        <f aca="false">IF($B306="","",IFERROR(AVERAGEIFS('2. Soil Data'!$G$5:$G$604,'2. Soil Data'!$B$5:$B$604,$B306),""))</f>
        <v/>
      </c>
      <c r="L306" s="9" t="str">
        <f aca="false">IF(NOT(ISNUMBER($K306)),"",PI()*($K306/2)^2)</f>
        <v/>
      </c>
      <c r="M306" s="9" t="str">
        <f aca="false">IF(OR(NOT(ISNUMBER($J306)),NOT(ISNUMBER($L306)),$L306=0),"",$J306/$L306*10000)</f>
        <v/>
      </c>
      <c r="N306" s="9" t="str">
        <f aca="false">IF(NOT(ISNUMBER($M306)),"",$M306*CARBON_FRACTION_ROOT/1000)</f>
        <v/>
      </c>
      <c r="O306" s="11" t="str">
        <f aca="false">IF(AND($A306="",$B306="",$G306=""),"",IF(AND($B306&lt;&gt;"",COUNTIFS('2. Soil Data'!$B$5:$B$604,$B306)=0),"Core ID not found in Soil Data, so the corer diameter cannot be looked up. ","")&amp;IF(ASH_CORRECTED&lt;&gt;"Yes","Root mass is NOT ash-corrected, so it includes adhering mineral soil and is too high. Set ASH_CORRECTED once you have done it. ","")&amp;IF(AND(ASH_CORRECTED="Yes",NOT(ISNUMBER($H306))),"Ash correction is switched on but no ash fraction is given for this row. ","")&amp;IF($I306="","Sieve mesh not recorded — a fine-root figure cannot be interpreted without it. ","")&amp;IF(AND(ISNUMBER($H306),$H306&gt;0.5),"Ash fraction above 0.5 — over half this sample was mineral soil. Re-wash. ","")&amp;IF($F306="Not separated","Live and dead not separated. Fine for a stock, but "&amp;"note it in reporting. ",""))</f>
        <v/>
      </c>
      <c r="P306" s="6"/>
      <c r="Q306" s="9" t="n">
        <f aca="false">IF($B306="",0,IF(COUNTIFS($B$5:$B306,$B306)=1,1,0))</f>
        <v>0</v>
      </c>
    </row>
    <row r="307" customFormat="false" ht="15" hidden="false" customHeight="false" outlineLevel="0" collapsed="false">
      <c r="A307" s="6"/>
      <c r="B307" s="6"/>
      <c r="C307" s="6"/>
      <c r="D307" s="6"/>
      <c r="E307" s="6"/>
      <c r="F307" s="6"/>
      <c r="G307" s="7"/>
      <c r="H307" s="7"/>
      <c r="I307" s="6"/>
      <c r="J307" s="9" t="str">
        <f aca="false">IF(NOT(ISNUMBER($G307)),"",IF(AND(ASH_CORRECTED="Yes",ISNUMBER($H307)),$G307*(1-$H307),$G307))</f>
        <v/>
      </c>
      <c r="K307" s="9" t="str">
        <f aca="false">IF($B307="","",IFERROR(AVERAGEIFS('2. Soil Data'!$G$5:$G$604,'2. Soil Data'!$B$5:$B$604,$B307),""))</f>
        <v/>
      </c>
      <c r="L307" s="9" t="str">
        <f aca="false">IF(NOT(ISNUMBER($K307)),"",PI()*($K307/2)^2)</f>
        <v/>
      </c>
      <c r="M307" s="9" t="str">
        <f aca="false">IF(OR(NOT(ISNUMBER($J307)),NOT(ISNUMBER($L307)),$L307=0),"",$J307/$L307*10000)</f>
        <v/>
      </c>
      <c r="N307" s="9" t="str">
        <f aca="false">IF(NOT(ISNUMBER($M307)),"",$M307*CARBON_FRACTION_ROOT/1000)</f>
        <v/>
      </c>
      <c r="O307" s="11" t="str">
        <f aca="false">IF(AND($A307="",$B307="",$G307=""),"",IF(AND($B307&lt;&gt;"",COUNTIFS('2. Soil Data'!$B$5:$B$604,$B307)=0),"Core ID not found in Soil Data, so the corer diameter cannot be looked up. ","")&amp;IF(ASH_CORRECTED&lt;&gt;"Yes","Root mass is NOT ash-corrected, so it includes adhering mineral soil and is too high. Set ASH_CORRECTED once you have done it. ","")&amp;IF(AND(ASH_CORRECTED="Yes",NOT(ISNUMBER($H307))),"Ash correction is switched on but no ash fraction is given for this row. ","")&amp;IF($I307="","Sieve mesh not recorded — a fine-root figure cannot be interpreted without it. ","")&amp;IF(AND(ISNUMBER($H307),$H307&gt;0.5),"Ash fraction above 0.5 — over half this sample was mineral soil. Re-wash. ","")&amp;IF($F307="Not separated","Live and dead not separated. Fine for a stock, but "&amp;"note it in reporting. ",""))</f>
        <v/>
      </c>
      <c r="P307" s="6"/>
      <c r="Q307" s="9" t="n">
        <f aca="false">IF($B307="",0,IF(COUNTIFS($B$5:$B307,$B307)=1,1,0))</f>
        <v>0</v>
      </c>
    </row>
    <row r="308" customFormat="false" ht="15" hidden="false" customHeight="false" outlineLevel="0" collapsed="false">
      <c r="A308" s="6"/>
      <c r="B308" s="6"/>
      <c r="C308" s="6"/>
      <c r="D308" s="6"/>
      <c r="E308" s="6"/>
      <c r="F308" s="6"/>
      <c r="G308" s="7"/>
      <c r="H308" s="7"/>
      <c r="I308" s="6"/>
      <c r="J308" s="9" t="str">
        <f aca="false">IF(NOT(ISNUMBER($G308)),"",IF(AND(ASH_CORRECTED="Yes",ISNUMBER($H308)),$G308*(1-$H308),$G308))</f>
        <v/>
      </c>
      <c r="K308" s="9" t="str">
        <f aca="false">IF($B308="","",IFERROR(AVERAGEIFS('2. Soil Data'!$G$5:$G$604,'2. Soil Data'!$B$5:$B$604,$B308),""))</f>
        <v/>
      </c>
      <c r="L308" s="9" t="str">
        <f aca="false">IF(NOT(ISNUMBER($K308)),"",PI()*($K308/2)^2)</f>
        <v/>
      </c>
      <c r="M308" s="9" t="str">
        <f aca="false">IF(OR(NOT(ISNUMBER($J308)),NOT(ISNUMBER($L308)),$L308=0),"",$J308/$L308*10000)</f>
        <v/>
      </c>
      <c r="N308" s="9" t="str">
        <f aca="false">IF(NOT(ISNUMBER($M308)),"",$M308*CARBON_FRACTION_ROOT/1000)</f>
        <v/>
      </c>
      <c r="O308" s="11" t="str">
        <f aca="false">IF(AND($A308="",$B308="",$G308=""),"",IF(AND($B308&lt;&gt;"",COUNTIFS('2. Soil Data'!$B$5:$B$604,$B308)=0),"Core ID not found in Soil Data, so the corer diameter cannot be looked up. ","")&amp;IF(ASH_CORRECTED&lt;&gt;"Yes","Root mass is NOT ash-corrected, so it includes adhering mineral soil and is too high. Set ASH_CORRECTED once you have done it. ","")&amp;IF(AND(ASH_CORRECTED="Yes",NOT(ISNUMBER($H308))),"Ash correction is switched on but no ash fraction is given for this row. ","")&amp;IF($I308="","Sieve mesh not recorded — a fine-root figure cannot be interpreted without it. ","")&amp;IF(AND(ISNUMBER($H308),$H308&gt;0.5),"Ash fraction above 0.5 — over half this sample was mineral soil. Re-wash. ","")&amp;IF($F308="Not separated","Live and dead not separated. Fine for a stock, but "&amp;"note it in reporting. ",""))</f>
        <v/>
      </c>
      <c r="P308" s="6"/>
      <c r="Q308" s="9" t="n">
        <f aca="false">IF($B308="",0,IF(COUNTIFS($B$5:$B308,$B308)=1,1,0))</f>
        <v>0</v>
      </c>
    </row>
    <row r="309" customFormat="false" ht="15" hidden="false" customHeight="false" outlineLevel="0" collapsed="false">
      <c r="A309" s="6"/>
      <c r="B309" s="6"/>
      <c r="C309" s="6"/>
      <c r="D309" s="6"/>
      <c r="E309" s="6"/>
      <c r="F309" s="6"/>
      <c r="G309" s="7"/>
      <c r="H309" s="7"/>
      <c r="I309" s="6"/>
      <c r="J309" s="9" t="str">
        <f aca="false">IF(NOT(ISNUMBER($G309)),"",IF(AND(ASH_CORRECTED="Yes",ISNUMBER($H309)),$G309*(1-$H309),$G309))</f>
        <v/>
      </c>
      <c r="K309" s="9" t="str">
        <f aca="false">IF($B309="","",IFERROR(AVERAGEIFS('2. Soil Data'!$G$5:$G$604,'2. Soil Data'!$B$5:$B$604,$B309),""))</f>
        <v/>
      </c>
      <c r="L309" s="9" t="str">
        <f aca="false">IF(NOT(ISNUMBER($K309)),"",PI()*($K309/2)^2)</f>
        <v/>
      </c>
      <c r="M309" s="9" t="str">
        <f aca="false">IF(OR(NOT(ISNUMBER($J309)),NOT(ISNUMBER($L309)),$L309=0),"",$J309/$L309*10000)</f>
        <v/>
      </c>
      <c r="N309" s="9" t="str">
        <f aca="false">IF(NOT(ISNUMBER($M309)),"",$M309*CARBON_FRACTION_ROOT/1000)</f>
        <v/>
      </c>
      <c r="O309" s="11" t="str">
        <f aca="false">IF(AND($A309="",$B309="",$G309=""),"",IF(AND($B309&lt;&gt;"",COUNTIFS('2. Soil Data'!$B$5:$B$604,$B309)=0),"Core ID not found in Soil Data, so the corer diameter cannot be looked up. ","")&amp;IF(ASH_CORRECTED&lt;&gt;"Yes","Root mass is NOT ash-corrected, so it includes adhering mineral soil and is too high. Set ASH_CORRECTED once you have done it. ","")&amp;IF(AND(ASH_CORRECTED="Yes",NOT(ISNUMBER($H309))),"Ash correction is switched on but no ash fraction is given for this row. ","")&amp;IF($I309="","Sieve mesh not recorded — a fine-root figure cannot be interpreted without it. ","")&amp;IF(AND(ISNUMBER($H309),$H309&gt;0.5),"Ash fraction above 0.5 — over half this sample was mineral soil. Re-wash. ","")&amp;IF($F309="Not separated","Live and dead not separated. Fine for a stock, but "&amp;"note it in reporting. ",""))</f>
        <v/>
      </c>
      <c r="P309" s="6"/>
      <c r="Q309" s="9" t="n">
        <f aca="false">IF($B309="",0,IF(COUNTIFS($B$5:$B309,$B309)=1,1,0))</f>
        <v>0</v>
      </c>
    </row>
    <row r="310" customFormat="false" ht="15" hidden="false" customHeight="false" outlineLevel="0" collapsed="false">
      <c r="A310" s="6"/>
      <c r="B310" s="6"/>
      <c r="C310" s="6"/>
      <c r="D310" s="6"/>
      <c r="E310" s="6"/>
      <c r="F310" s="6"/>
      <c r="G310" s="7"/>
      <c r="H310" s="7"/>
      <c r="I310" s="6"/>
      <c r="J310" s="9" t="str">
        <f aca="false">IF(NOT(ISNUMBER($G310)),"",IF(AND(ASH_CORRECTED="Yes",ISNUMBER($H310)),$G310*(1-$H310),$G310))</f>
        <v/>
      </c>
      <c r="K310" s="9" t="str">
        <f aca="false">IF($B310="","",IFERROR(AVERAGEIFS('2. Soil Data'!$G$5:$G$604,'2. Soil Data'!$B$5:$B$604,$B310),""))</f>
        <v/>
      </c>
      <c r="L310" s="9" t="str">
        <f aca="false">IF(NOT(ISNUMBER($K310)),"",PI()*($K310/2)^2)</f>
        <v/>
      </c>
      <c r="M310" s="9" t="str">
        <f aca="false">IF(OR(NOT(ISNUMBER($J310)),NOT(ISNUMBER($L310)),$L310=0),"",$J310/$L310*10000)</f>
        <v/>
      </c>
      <c r="N310" s="9" t="str">
        <f aca="false">IF(NOT(ISNUMBER($M310)),"",$M310*CARBON_FRACTION_ROOT/1000)</f>
        <v/>
      </c>
      <c r="O310" s="11" t="str">
        <f aca="false">IF(AND($A310="",$B310="",$G310=""),"",IF(AND($B310&lt;&gt;"",COUNTIFS('2. Soil Data'!$B$5:$B$604,$B310)=0),"Core ID not found in Soil Data, so the corer diameter cannot be looked up. ","")&amp;IF(ASH_CORRECTED&lt;&gt;"Yes","Root mass is NOT ash-corrected, so it includes adhering mineral soil and is too high. Set ASH_CORRECTED once you have done it. ","")&amp;IF(AND(ASH_CORRECTED="Yes",NOT(ISNUMBER($H310))),"Ash correction is switched on but no ash fraction is given for this row. ","")&amp;IF($I310="","Sieve mesh not recorded — a fine-root figure cannot be interpreted without it. ","")&amp;IF(AND(ISNUMBER($H310),$H310&gt;0.5),"Ash fraction above 0.5 — over half this sample was mineral soil. Re-wash. ","")&amp;IF($F310="Not separated","Live and dead not separated. Fine for a stock, but "&amp;"note it in reporting. ",""))</f>
        <v/>
      </c>
      <c r="P310" s="6"/>
      <c r="Q310" s="9" t="n">
        <f aca="false">IF($B310="",0,IF(COUNTIFS($B$5:$B310,$B310)=1,1,0))</f>
        <v>0</v>
      </c>
    </row>
    <row r="311" customFormat="false" ht="15" hidden="false" customHeight="false" outlineLevel="0" collapsed="false">
      <c r="A311" s="6"/>
      <c r="B311" s="6"/>
      <c r="C311" s="6"/>
      <c r="D311" s="6"/>
      <c r="E311" s="6"/>
      <c r="F311" s="6"/>
      <c r="G311" s="7"/>
      <c r="H311" s="7"/>
      <c r="I311" s="6"/>
      <c r="J311" s="9" t="str">
        <f aca="false">IF(NOT(ISNUMBER($G311)),"",IF(AND(ASH_CORRECTED="Yes",ISNUMBER($H311)),$G311*(1-$H311),$G311))</f>
        <v/>
      </c>
      <c r="K311" s="9" t="str">
        <f aca="false">IF($B311="","",IFERROR(AVERAGEIFS('2. Soil Data'!$G$5:$G$604,'2. Soil Data'!$B$5:$B$604,$B311),""))</f>
        <v/>
      </c>
      <c r="L311" s="9" t="str">
        <f aca="false">IF(NOT(ISNUMBER($K311)),"",PI()*($K311/2)^2)</f>
        <v/>
      </c>
      <c r="M311" s="9" t="str">
        <f aca="false">IF(OR(NOT(ISNUMBER($J311)),NOT(ISNUMBER($L311)),$L311=0),"",$J311/$L311*10000)</f>
        <v/>
      </c>
      <c r="N311" s="9" t="str">
        <f aca="false">IF(NOT(ISNUMBER($M311)),"",$M311*CARBON_FRACTION_ROOT/1000)</f>
        <v/>
      </c>
      <c r="O311" s="11" t="str">
        <f aca="false">IF(AND($A311="",$B311="",$G311=""),"",IF(AND($B311&lt;&gt;"",COUNTIFS('2. Soil Data'!$B$5:$B$604,$B311)=0),"Core ID not found in Soil Data, so the corer diameter cannot be looked up. ","")&amp;IF(ASH_CORRECTED&lt;&gt;"Yes","Root mass is NOT ash-corrected, so it includes adhering mineral soil and is too high. Set ASH_CORRECTED once you have done it. ","")&amp;IF(AND(ASH_CORRECTED="Yes",NOT(ISNUMBER($H311))),"Ash correction is switched on but no ash fraction is given for this row. ","")&amp;IF($I311="","Sieve mesh not recorded — a fine-root figure cannot be interpreted without it. ","")&amp;IF(AND(ISNUMBER($H311),$H311&gt;0.5),"Ash fraction above 0.5 — over half this sample was mineral soil. Re-wash. ","")&amp;IF($F311="Not separated","Live and dead not separated. Fine for a stock, but "&amp;"note it in reporting. ",""))</f>
        <v/>
      </c>
      <c r="P311" s="6"/>
      <c r="Q311" s="9" t="n">
        <f aca="false">IF($B311="",0,IF(COUNTIFS($B$5:$B311,$B311)=1,1,0))</f>
        <v>0</v>
      </c>
    </row>
    <row r="312" customFormat="false" ht="15" hidden="false" customHeight="false" outlineLevel="0" collapsed="false">
      <c r="A312" s="6"/>
      <c r="B312" s="6"/>
      <c r="C312" s="6"/>
      <c r="D312" s="6"/>
      <c r="E312" s="6"/>
      <c r="F312" s="6"/>
      <c r="G312" s="7"/>
      <c r="H312" s="7"/>
      <c r="I312" s="6"/>
      <c r="J312" s="9" t="str">
        <f aca="false">IF(NOT(ISNUMBER($G312)),"",IF(AND(ASH_CORRECTED="Yes",ISNUMBER($H312)),$G312*(1-$H312),$G312))</f>
        <v/>
      </c>
      <c r="K312" s="9" t="str">
        <f aca="false">IF($B312="","",IFERROR(AVERAGEIFS('2. Soil Data'!$G$5:$G$604,'2. Soil Data'!$B$5:$B$604,$B312),""))</f>
        <v/>
      </c>
      <c r="L312" s="9" t="str">
        <f aca="false">IF(NOT(ISNUMBER($K312)),"",PI()*($K312/2)^2)</f>
        <v/>
      </c>
      <c r="M312" s="9" t="str">
        <f aca="false">IF(OR(NOT(ISNUMBER($J312)),NOT(ISNUMBER($L312)),$L312=0),"",$J312/$L312*10000)</f>
        <v/>
      </c>
      <c r="N312" s="9" t="str">
        <f aca="false">IF(NOT(ISNUMBER($M312)),"",$M312*CARBON_FRACTION_ROOT/1000)</f>
        <v/>
      </c>
      <c r="O312" s="11" t="str">
        <f aca="false">IF(AND($A312="",$B312="",$G312=""),"",IF(AND($B312&lt;&gt;"",COUNTIFS('2. Soil Data'!$B$5:$B$604,$B312)=0),"Core ID not found in Soil Data, so the corer diameter cannot be looked up. ","")&amp;IF(ASH_CORRECTED&lt;&gt;"Yes","Root mass is NOT ash-corrected, so it includes adhering mineral soil and is too high. Set ASH_CORRECTED once you have done it. ","")&amp;IF(AND(ASH_CORRECTED="Yes",NOT(ISNUMBER($H312))),"Ash correction is switched on but no ash fraction is given for this row. ","")&amp;IF($I312="","Sieve mesh not recorded — a fine-root figure cannot be interpreted without it. ","")&amp;IF(AND(ISNUMBER($H312),$H312&gt;0.5),"Ash fraction above 0.5 — over half this sample was mineral soil. Re-wash. ","")&amp;IF($F312="Not separated","Live and dead not separated. Fine for a stock, but "&amp;"note it in reporting. ",""))</f>
        <v/>
      </c>
      <c r="P312" s="6"/>
      <c r="Q312" s="9" t="n">
        <f aca="false">IF($B312="",0,IF(COUNTIFS($B$5:$B312,$B312)=1,1,0))</f>
        <v>0</v>
      </c>
    </row>
    <row r="313" customFormat="false" ht="15" hidden="false" customHeight="false" outlineLevel="0" collapsed="false">
      <c r="A313" s="6"/>
      <c r="B313" s="6"/>
      <c r="C313" s="6"/>
      <c r="D313" s="6"/>
      <c r="E313" s="6"/>
      <c r="F313" s="6"/>
      <c r="G313" s="7"/>
      <c r="H313" s="7"/>
      <c r="I313" s="6"/>
      <c r="J313" s="9" t="str">
        <f aca="false">IF(NOT(ISNUMBER($G313)),"",IF(AND(ASH_CORRECTED="Yes",ISNUMBER($H313)),$G313*(1-$H313),$G313))</f>
        <v/>
      </c>
      <c r="K313" s="9" t="str">
        <f aca="false">IF($B313="","",IFERROR(AVERAGEIFS('2. Soil Data'!$G$5:$G$604,'2. Soil Data'!$B$5:$B$604,$B313),""))</f>
        <v/>
      </c>
      <c r="L313" s="9" t="str">
        <f aca="false">IF(NOT(ISNUMBER($K313)),"",PI()*($K313/2)^2)</f>
        <v/>
      </c>
      <c r="M313" s="9" t="str">
        <f aca="false">IF(OR(NOT(ISNUMBER($J313)),NOT(ISNUMBER($L313)),$L313=0),"",$J313/$L313*10000)</f>
        <v/>
      </c>
      <c r="N313" s="9" t="str">
        <f aca="false">IF(NOT(ISNUMBER($M313)),"",$M313*CARBON_FRACTION_ROOT/1000)</f>
        <v/>
      </c>
      <c r="O313" s="11" t="str">
        <f aca="false">IF(AND($A313="",$B313="",$G313=""),"",IF(AND($B313&lt;&gt;"",COUNTIFS('2. Soil Data'!$B$5:$B$604,$B313)=0),"Core ID not found in Soil Data, so the corer diameter cannot be looked up. ","")&amp;IF(ASH_CORRECTED&lt;&gt;"Yes","Root mass is NOT ash-corrected, so it includes adhering mineral soil and is too high. Set ASH_CORRECTED once you have done it. ","")&amp;IF(AND(ASH_CORRECTED="Yes",NOT(ISNUMBER($H313))),"Ash correction is switched on but no ash fraction is given for this row. ","")&amp;IF($I313="","Sieve mesh not recorded — a fine-root figure cannot be interpreted without it. ","")&amp;IF(AND(ISNUMBER($H313),$H313&gt;0.5),"Ash fraction above 0.5 — over half this sample was mineral soil. Re-wash. ","")&amp;IF($F313="Not separated","Live and dead not separated. Fine for a stock, but "&amp;"note it in reporting. ",""))</f>
        <v/>
      </c>
      <c r="P313" s="6"/>
      <c r="Q313" s="9" t="n">
        <f aca="false">IF($B313="",0,IF(COUNTIFS($B$5:$B313,$B313)=1,1,0))</f>
        <v>0</v>
      </c>
    </row>
    <row r="314" customFormat="false" ht="15" hidden="false" customHeight="false" outlineLevel="0" collapsed="false">
      <c r="A314" s="6"/>
      <c r="B314" s="6"/>
      <c r="C314" s="6"/>
      <c r="D314" s="6"/>
      <c r="E314" s="6"/>
      <c r="F314" s="6"/>
      <c r="G314" s="7"/>
      <c r="H314" s="7"/>
      <c r="I314" s="6"/>
      <c r="J314" s="9" t="str">
        <f aca="false">IF(NOT(ISNUMBER($G314)),"",IF(AND(ASH_CORRECTED="Yes",ISNUMBER($H314)),$G314*(1-$H314),$G314))</f>
        <v/>
      </c>
      <c r="K314" s="9" t="str">
        <f aca="false">IF($B314="","",IFERROR(AVERAGEIFS('2. Soil Data'!$G$5:$G$604,'2. Soil Data'!$B$5:$B$604,$B314),""))</f>
        <v/>
      </c>
      <c r="L314" s="9" t="str">
        <f aca="false">IF(NOT(ISNUMBER($K314)),"",PI()*($K314/2)^2)</f>
        <v/>
      </c>
      <c r="M314" s="9" t="str">
        <f aca="false">IF(OR(NOT(ISNUMBER($J314)),NOT(ISNUMBER($L314)),$L314=0),"",$J314/$L314*10000)</f>
        <v/>
      </c>
      <c r="N314" s="9" t="str">
        <f aca="false">IF(NOT(ISNUMBER($M314)),"",$M314*CARBON_FRACTION_ROOT/1000)</f>
        <v/>
      </c>
      <c r="O314" s="11" t="str">
        <f aca="false">IF(AND($A314="",$B314="",$G314=""),"",IF(AND($B314&lt;&gt;"",COUNTIFS('2. Soil Data'!$B$5:$B$604,$B314)=0),"Core ID not found in Soil Data, so the corer diameter cannot be looked up. ","")&amp;IF(ASH_CORRECTED&lt;&gt;"Yes","Root mass is NOT ash-corrected, so it includes adhering mineral soil and is too high. Set ASH_CORRECTED once you have done it. ","")&amp;IF(AND(ASH_CORRECTED="Yes",NOT(ISNUMBER($H314))),"Ash correction is switched on but no ash fraction is given for this row. ","")&amp;IF($I314="","Sieve mesh not recorded — a fine-root figure cannot be interpreted without it. ","")&amp;IF(AND(ISNUMBER($H314),$H314&gt;0.5),"Ash fraction above 0.5 — over half this sample was mineral soil. Re-wash. ","")&amp;IF($F314="Not separated","Live and dead not separated. Fine for a stock, but "&amp;"note it in reporting. ",""))</f>
        <v/>
      </c>
      <c r="P314" s="6"/>
      <c r="Q314" s="9" t="n">
        <f aca="false">IF($B314="",0,IF(COUNTIFS($B$5:$B314,$B314)=1,1,0))</f>
        <v>0</v>
      </c>
    </row>
    <row r="315" customFormat="false" ht="15" hidden="false" customHeight="false" outlineLevel="0" collapsed="false">
      <c r="A315" s="6"/>
      <c r="B315" s="6"/>
      <c r="C315" s="6"/>
      <c r="D315" s="6"/>
      <c r="E315" s="6"/>
      <c r="F315" s="6"/>
      <c r="G315" s="7"/>
      <c r="H315" s="7"/>
      <c r="I315" s="6"/>
      <c r="J315" s="9" t="str">
        <f aca="false">IF(NOT(ISNUMBER($G315)),"",IF(AND(ASH_CORRECTED="Yes",ISNUMBER($H315)),$G315*(1-$H315),$G315))</f>
        <v/>
      </c>
      <c r="K315" s="9" t="str">
        <f aca="false">IF($B315="","",IFERROR(AVERAGEIFS('2. Soil Data'!$G$5:$G$604,'2. Soil Data'!$B$5:$B$604,$B315),""))</f>
        <v/>
      </c>
      <c r="L315" s="9" t="str">
        <f aca="false">IF(NOT(ISNUMBER($K315)),"",PI()*($K315/2)^2)</f>
        <v/>
      </c>
      <c r="M315" s="9" t="str">
        <f aca="false">IF(OR(NOT(ISNUMBER($J315)),NOT(ISNUMBER($L315)),$L315=0),"",$J315/$L315*10000)</f>
        <v/>
      </c>
      <c r="N315" s="9" t="str">
        <f aca="false">IF(NOT(ISNUMBER($M315)),"",$M315*CARBON_FRACTION_ROOT/1000)</f>
        <v/>
      </c>
      <c r="O315" s="11" t="str">
        <f aca="false">IF(AND($A315="",$B315="",$G315=""),"",IF(AND($B315&lt;&gt;"",COUNTIFS('2. Soil Data'!$B$5:$B$604,$B315)=0),"Core ID not found in Soil Data, so the corer diameter cannot be looked up. ","")&amp;IF(ASH_CORRECTED&lt;&gt;"Yes","Root mass is NOT ash-corrected, so it includes adhering mineral soil and is too high. Set ASH_CORRECTED once you have done it. ","")&amp;IF(AND(ASH_CORRECTED="Yes",NOT(ISNUMBER($H315))),"Ash correction is switched on but no ash fraction is given for this row. ","")&amp;IF($I315="","Sieve mesh not recorded — a fine-root figure cannot be interpreted without it. ","")&amp;IF(AND(ISNUMBER($H315),$H315&gt;0.5),"Ash fraction above 0.5 — over half this sample was mineral soil. Re-wash. ","")&amp;IF($F315="Not separated","Live and dead not separated. Fine for a stock, but "&amp;"note it in reporting. ",""))</f>
        <v/>
      </c>
      <c r="P315" s="6"/>
      <c r="Q315" s="9" t="n">
        <f aca="false">IF($B315="",0,IF(COUNTIFS($B$5:$B315,$B315)=1,1,0))</f>
        <v>0</v>
      </c>
    </row>
    <row r="316" customFormat="false" ht="15" hidden="false" customHeight="false" outlineLevel="0" collapsed="false">
      <c r="A316" s="6"/>
      <c r="B316" s="6"/>
      <c r="C316" s="6"/>
      <c r="D316" s="6"/>
      <c r="E316" s="6"/>
      <c r="F316" s="6"/>
      <c r="G316" s="7"/>
      <c r="H316" s="7"/>
      <c r="I316" s="6"/>
      <c r="J316" s="9" t="str">
        <f aca="false">IF(NOT(ISNUMBER($G316)),"",IF(AND(ASH_CORRECTED="Yes",ISNUMBER($H316)),$G316*(1-$H316),$G316))</f>
        <v/>
      </c>
      <c r="K316" s="9" t="str">
        <f aca="false">IF($B316="","",IFERROR(AVERAGEIFS('2. Soil Data'!$G$5:$G$604,'2. Soil Data'!$B$5:$B$604,$B316),""))</f>
        <v/>
      </c>
      <c r="L316" s="9" t="str">
        <f aca="false">IF(NOT(ISNUMBER($K316)),"",PI()*($K316/2)^2)</f>
        <v/>
      </c>
      <c r="M316" s="9" t="str">
        <f aca="false">IF(OR(NOT(ISNUMBER($J316)),NOT(ISNUMBER($L316)),$L316=0),"",$J316/$L316*10000)</f>
        <v/>
      </c>
      <c r="N316" s="9" t="str">
        <f aca="false">IF(NOT(ISNUMBER($M316)),"",$M316*CARBON_FRACTION_ROOT/1000)</f>
        <v/>
      </c>
      <c r="O316" s="11" t="str">
        <f aca="false">IF(AND($A316="",$B316="",$G316=""),"",IF(AND($B316&lt;&gt;"",COUNTIFS('2. Soil Data'!$B$5:$B$604,$B316)=0),"Core ID not found in Soil Data, so the corer diameter cannot be looked up. ","")&amp;IF(ASH_CORRECTED&lt;&gt;"Yes","Root mass is NOT ash-corrected, so it includes adhering mineral soil and is too high. Set ASH_CORRECTED once you have done it. ","")&amp;IF(AND(ASH_CORRECTED="Yes",NOT(ISNUMBER($H316))),"Ash correction is switched on but no ash fraction is given for this row. ","")&amp;IF($I316="","Sieve mesh not recorded — a fine-root figure cannot be interpreted without it. ","")&amp;IF(AND(ISNUMBER($H316),$H316&gt;0.5),"Ash fraction above 0.5 — over half this sample was mineral soil. Re-wash. ","")&amp;IF($F316="Not separated","Live and dead not separated. Fine for a stock, but "&amp;"note it in reporting. ",""))</f>
        <v/>
      </c>
      <c r="P316" s="6"/>
      <c r="Q316" s="9" t="n">
        <f aca="false">IF($B316="",0,IF(COUNTIFS($B$5:$B316,$B316)=1,1,0))</f>
        <v>0</v>
      </c>
    </row>
    <row r="317" customFormat="false" ht="15" hidden="false" customHeight="false" outlineLevel="0" collapsed="false">
      <c r="A317" s="6"/>
      <c r="B317" s="6"/>
      <c r="C317" s="6"/>
      <c r="D317" s="6"/>
      <c r="E317" s="6"/>
      <c r="F317" s="6"/>
      <c r="G317" s="7"/>
      <c r="H317" s="7"/>
      <c r="I317" s="6"/>
      <c r="J317" s="9" t="str">
        <f aca="false">IF(NOT(ISNUMBER($G317)),"",IF(AND(ASH_CORRECTED="Yes",ISNUMBER($H317)),$G317*(1-$H317),$G317))</f>
        <v/>
      </c>
      <c r="K317" s="9" t="str">
        <f aca="false">IF($B317="","",IFERROR(AVERAGEIFS('2. Soil Data'!$G$5:$G$604,'2. Soil Data'!$B$5:$B$604,$B317),""))</f>
        <v/>
      </c>
      <c r="L317" s="9" t="str">
        <f aca="false">IF(NOT(ISNUMBER($K317)),"",PI()*($K317/2)^2)</f>
        <v/>
      </c>
      <c r="M317" s="9" t="str">
        <f aca="false">IF(OR(NOT(ISNUMBER($J317)),NOT(ISNUMBER($L317)),$L317=0),"",$J317/$L317*10000)</f>
        <v/>
      </c>
      <c r="N317" s="9" t="str">
        <f aca="false">IF(NOT(ISNUMBER($M317)),"",$M317*CARBON_FRACTION_ROOT/1000)</f>
        <v/>
      </c>
      <c r="O317" s="11" t="str">
        <f aca="false">IF(AND($A317="",$B317="",$G317=""),"",IF(AND($B317&lt;&gt;"",COUNTIFS('2. Soil Data'!$B$5:$B$604,$B317)=0),"Core ID not found in Soil Data, so the corer diameter cannot be looked up. ","")&amp;IF(ASH_CORRECTED&lt;&gt;"Yes","Root mass is NOT ash-corrected, so it includes adhering mineral soil and is too high. Set ASH_CORRECTED once you have done it. ","")&amp;IF(AND(ASH_CORRECTED="Yes",NOT(ISNUMBER($H317))),"Ash correction is switched on but no ash fraction is given for this row. ","")&amp;IF($I317="","Sieve mesh not recorded — a fine-root figure cannot be interpreted without it. ","")&amp;IF(AND(ISNUMBER($H317),$H317&gt;0.5),"Ash fraction above 0.5 — over half this sample was mineral soil. Re-wash. ","")&amp;IF($F317="Not separated","Live and dead not separated. Fine for a stock, but "&amp;"note it in reporting. ",""))</f>
        <v/>
      </c>
      <c r="P317" s="6"/>
      <c r="Q317" s="9" t="n">
        <f aca="false">IF($B317="",0,IF(COUNTIFS($B$5:$B317,$B317)=1,1,0))</f>
        <v>0</v>
      </c>
    </row>
    <row r="318" customFormat="false" ht="15" hidden="false" customHeight="false" outlineLevel="0" collapsed="false">
      <c r="A318" s="6"/>
      <c r="B318" s="6"/>
      <c r="C318" s="6"/>
      <c r="D318" s="6"/>
      <c r="E318" s="6"/>
      <c r="F318" s="6"/>
      <c r="G318" s="7"/>
      <c r="H318" s="7"/>
      <c r="I318" s="6"/>
      <c r="J318" s="9" t="str">
        <f aca="false">IF(NOT(ISNUMBER($G318)),"",IF(AND(ASH_CORRECTED="Yes",ISNUMBER($H318)),$G318*(1-$H318),$G318))</f>
        <v/>
      </c>
      <c r="K318" s="9" t="str">
        <f aca="false">IF($B318="","",IFERROR(AVERAGEIFS('2. Soil Data'!$G$5:$G$604,'2. Soil Data'!$B$5:$B$604,$B318),""))</f>
        <v/>
      </c>
      <c r="L318" s="9" t="str">
        <f aca="false">IF(NOT(ISNUMBER($K318)),"",PI()*($K318/2)^2)</f>
        <v/>
      </c>
      <c r="M318" s="9" t="str">
        <f aca="false">IF(OR(NOT(ISNUMBER($J318)),NOT(ISNUMBER($L318)),$L318=0),"",$J318/$L318*10000)</f>
        <v/>
      </c>
      <c r="N318" s="9" t="str">
        <f aca="false">IF(NOT(ISNUMBER($M318)),"",$M318*CARBON_FRACTION_ROOT/1000)</f>
        <v/>
      </c>
      <c r="O318" s="11" t="str">
        <f aca="false">IF(AND($A318="",$B318="",$G318=""),"",IF(AND($B318&lt;&gt;"",COUNTIFS('2. Soil Data'!$B$5:$B$604,$B318)=0),"Core ID not found in Soil Data, so the corer diameter cannot be looked up. ","")&amp;IF(ASH_CORRECTED&lt;&gt;"Yes","Root mass is NOT ash-corrected, so it includes adhering mineral soil and is too high. Set ASH_CORRECTED once you have done it. ","")&amp;IF(AND(ASH_CORRECTED="Yes",NOT(ISNUMBER($H318))),"Ash correction is switched on but no ash fraction is given for this row. ","")&amp;IF($I318="","Sieve mesh not recorded — a fine-root figure cannot be interpreted without it. ","")&amp;IF(AND(ISNUMBER($H318),$H318&gt;0.5),"Ash fraction above 0.5 — over half this sample was mineral soil. Re-wash. ","")&amp;IF($F318="Not separated","Live and dead not separated. Fine for a stock, but "&amp;"note it in reporting. ",""))</f>
        <v/>
      </c>
      <c r="P318" s="6"/>
      <c r="Q318" s="9" t="n">
        <f aca="false">IF($B318="",0,IF(COUNTIFS($B$5:$B318,$B318)=1,1,0))</f>
        <v>0</v>
      </c>
    </row>
    <row r="319" customFormat="false" ht="15" hidden="false" customHeight="false" outlineLevel="0" collapsed="false">
      <c r="A319" s="6"/>
      <c r="B319" s="6"/>
      <c r="C319" s="6"/>
      <c r="D319" s="6"/>
      <c r="E319" s="6"/>
      <c r="F319" s="6"/>
      <c r="G319" s="7"/>
      <c r="H319" s="7"/>
      <c r="I319" s="6"/>
      <c r="J319" s="9" t="str">
        <f aca="false">IF(NOT(ISNUMBER($G319)),"",IF(AND(ASH_CORRECTED="Yes",ISNUMBER($H319)),$G319*(1-$H319),$G319))</f>
        <v/>
      </c>
      <c r="K319" s="9" t="str">
        <f aca="false">IF($B319="","",IFERROR(AVERAGEIFS('2. Soil Data'!$G$5:$G$604,'2. Soil Data'!$B$5:$B$604,$B319),""))</f>
        <v/>
      </c>
      <c r="L319" s="9" t="str">
        <f aca="false">IF(NOT(ISNUMBER($K319)),"",PI()*($K319/2)^2)</f>
        <v/>
      </c>
      <c r="M319" s="9" t="str">
        <f aca="false">IF(OR(NOT(ISNUMBER($J319)),NOT(ISNUMBER($L319)),$L319=0),"",$J319/$L319*10000)</f>
        <v/>
      </c>
      <c r="N319" s="9" t="str">
        <f aca="false">IF(NOT(ISNUMBER($M319)),"",$M319*CARBON_FRACTION_ROOT/1000)</f>
        <v/>
      </c>
      <c r="O319" s="11" t="str">
        <f aca="false">IF(AND($A319="",$B319="",$G319=""),"",IF(AND($B319&lt;&gt;"",COUNTIFS('2. Soil Data'!$B$5:$B$604,$B319)=0),"Core ID not found in Soil Data, so the corer diameter cannot be looked up. ","")&amp;IF(ASH_CORRECTED&lt;&gt;"Yes","Root mass is NOT ash-corrected, so it includes adhering mineral soil and is too high. Set ASH_CORRECTED once you have done it. ","")&amp;IF(AND(ASH_CORRECTED="Yes",NOT(ISNUMBER($H319))),"Ash correction is switched on but no ash fraction is given for this row. ","")&amp;IF($I319="","Sieve mesh not recorded — a fine-root figure cannot be interpreted without it. ","")&amp;IF(AND(ISNUMBER($H319),$H319&gt;0.5),"Ash fraction above 0.5 — over half this sample was mineral soil. Re-wash. ","")&amp;IF($F319="Not separated","Live and dead not separated. Fine for a stock, but "&amp;"note it in reporting. ",""))</f>
        <v/>
      </c>
      <c r="P319" s="6"/>
      <c r="Q319" s="9" t="n">
        <f aca="false">IF($B319="",0,IF(COUNTIFS($B$5:$B319,$B319)=1,1,0))</f>
        <v>0</v>
      </c>
    </row>
    <row r="320" customFormat="false" ht="15" hidden="false" customHeight="false" outlineLevel="0" collapsed="false">
      <c r="A320" s="6"/>
      <c r="B320" s="6"/>
      <c r="C320" s="6"/>
      <c r="D320" s="6"/>
      <c r="E320" s="6"/>
      <c r="F320" s="6"/>
      <c r="G320" s="7"/>
      <c r="H320" s="7"/>
      <c r="I320" s="6"/>
      <c r="J320" s="9" t="str">
        <f aca="false">IF(NOT(ISNUMBER($G320)),"",IF(AND(ASH_CORRECTED="Yes",ISNUMBER($H320)),$G320*(1-$H320),$G320))</f>
        <v/>
      </c>
      <c r="K320" s="9" t="str">
        <f aca="false">IF($B320="","",IFERROR(AVERAGEIFS('2. Soil Data'!$G$5:$G$604,'2. Soil Data'!$B$5:$B$604,$B320),""))</f>
        <v/>
      </c>
      <c r="L320" s="9" t="str">
        <f aca="false">IF(NOT(ISNUMBER($K320)),"",PI()*($K320/2)^2)</f>
        <v/>
      </c>
      <c r="M320" s="9" t="str">
        <f aca="false">IF(OR(NOT(ISNUMBER($J320)),NOT(ISNUMBER($L320)),$L320=0),"",$J320/$L320*10000)</f>
        <v/>
      </c>
      <c r="N320" s="9" t="str">
        <f aca="false">IF(NOT(ISNUMBER($M320)),"",$M320*CARBON_FRACTION_ROOT/1000)</f>
        <v/>
      </c>
      <c r="O320" s="11" t="str">
        <f aca="false">IF(AND($A320="",$B320="",$G320=""),"",IF(AND($B320&lt;&gt;"",COUNTIFS('2. Soil Data'!$B$5:$B$604,$B320)=0),"Core ID not found in Soil Data, so the corer diameter cannot be looked up. ","")&amp;IF(ASH_CORRECTED&lt;&gt;"Yes","Root mass is NOT ash-corrected, so it includes adhering mineral soil and is too high. Set ASH_CORRECTED once you have done it. ","")&amp;IF(AND(ASH_CORRECTED="Yes",NOT(ISNUMBER($H320))),"Ash correction is switched on but no ash fraction is given for this row. ","")&amp;IF($I320="","Sieve mesh not recorded — a fine-root figure cannot be interpreted without it. ","")&amp;IF(AND(ISNUMBER($H320),$H320&gt;0.5),"Ash fraction above 0.5 — over half this sample was mineral soil. Re-wash. ","")&amp;IF($F320="Not separated","Live and dead not separated. Fine for a stock, but "&amp;"note it in reporting. ",""))</f>
        <v/>
      </c>
      <c r="P320" s="6"/>
      <c r="Q320" s="9" t="n">
        <f aca="false">IF($B320="",0,IF(COUNTIFS($B$5:$B320,$B320)=1,1,0))</f>
        <v>0</v>
      </c>
    </row>
    <row r="321" customFormat="false" ht="15" hidden="false" customHeight="false" outlineLevel="0" collapsed="false">
      <c r="A321" s="6"/>
      <c r="B321" s="6"/>
      <c r="C321" s="6"/>
      <c r="D321" s="6"/>
      <c r="E321" s="6"/>
      <c r="F321" s="6"/>
      <c r="G321" s="7"/>
      <c r="H321" s="7"/>
      <c r="I321" s="6"/>
      <c r="J321" s="9" t="str">
        <f aca="false">IF(NOT(ISNUMBER($G321)),"",IF(AND(ASH_CORRECTED="Yes",ISNUMBER($H321)),$G321*(1-$H321),$G321))</f>
        <v/>
      </c>
      <c r="K321" s="9" t="str">
        <f aca="false">IF($B321="","",IFERROR(AVERAGEIFS('2. Soil Data'!$G$5:$G$604,'2. Soil Data'!$B$5:$B$604,$B321),""))</f>
        <v/>
      </c>
      <c r="L321" s="9" t="str">
        <f aca="false">IF(NOT(ISNUMBER($K321)),"",PI()*($K321/2)^2)</f>
        <v/>
      </c>
      <c r="M321" s="9" t="str">
        <f aca="false">IF(OR(NOT(ISNUMBER($J321)),NOT(ISNUMBER($L321)),$L321=0),"",$J321/$L321*10000)</f>
        <v/>
      </c>
      <c r="N321" s="9" t="str">
        <f aca="false">IF(NOT(ISNUMBER($M321)),"",$M321*CARBON_FRACTION_ROOT/1000)</f>
        <v/>
      </c>
      <c r="O321" s="11" t="str">
        <f aca="false">IF(AND($A321="",$B321="",$G321=""),"",IF(AND($B321&lt;&gt;"",COUNTIFS('2. Soil Data'!$B$5:$B$604,$B321)=0),"Core ID not found in Soil Data, so the corer diameter cannot be looked up. ","")&amp;IF(ASH_CORRECTED&lt;&gt;"Yes","Root mass is NOT ash-corrected, so it includes adhering mineral soil and is too high. Set ASH_CORRECTED once you have done it. ","")&amp;IF(AND(ASH_CORRECTED="Yes",NOT(ISNUMBER($H321))),"Ash correction is switched on but no ash fraction is given for this row. ","")&amp;IF($I321="","Sieve mesh not recorded — a fine-root figure cannot be interpreted without it. ","")&amp;IF(AND(ISNUMBER($H321),$H321&gt;0.5),"Ash fraction above 0.5 — over half this sample was mineral soil. Re-wash. ","")&amp;IF($F321="Not separated","Live and dead not separated. Fine for a stock, but "&amp;"note it in reporting. ",""))</f>
        <v/>
      </c>
      <c r="P321" s="6"/>
      <c r="Q321" s="9" t="n">
        <f aca="false">IF($B321="",0,IF(COUNTIFS($B$5:$B321,$B321)=1,1,0))</f>
        <v>0</v>
      </c>
    </row>
    <row r="322" customFormat="false" ht="15" hidden="false" customHeight="false" outlineLevel="0" collapsed="false">
      <c r="A322" s="6"/>
      <c r="B322" s="6"/>
      <c r="C322" s="6"/>
      <c r="D322" s="6"/>
      <c r="E322" s="6"/>
      <c r="F322" s="6"/>
      <c r="G322" s="7"/>
      <c r="H322" s="7"/>
      <c r="I322" s="6"/>
      <c r="J322" s="9" t="str">
        <f aca="false">IF(NOT(ISNUMBER($G322)),"",IF(AND(ASH_CORRECTED="Yes",ISNUMBER($H322)),$G322*(1-$H322),$G322))</f>
        <v/>
      </c>
      <c r="K322" s="9" t="str">
        <f aca="false">IF($B322="","",IFERROR(AVERAGEIFS('2. Soil Data'!$G$5:$G$604,'2. Soil Data'!$B$5:$B$604,$B322),""))</f>
        <v/>
      </c>
      <c r="L322" s="9" t="str">
        <f aca="false">IF(NOT(ISNUMBER($K322)),"",PI()*($K322/2)^2)</f>
        <v/>
      </c>
      <c r="M322" s="9" t="str">
        <f aca="false">IF(OR(NOT(ISNUMBER($J322)),NOT(ISNUMBER($L322)),$L322=0),"",$J322/$L322*10000)</f>
        <v/>
      </c>
      <c r="N322" s="9" t="str">
        <f aca="false">IF(NOT(ISNUMBER($M322)),"",$M322*CARBON_FRACTION_ROOT/1000)</f>
        <v/>
      </c>
      <c r="O322" s="11" t="str">
        <f aca="false">IF(AND($A322="",$B322="",$G322=""),"",IF(AND($B322&lt;&gt;"",COUNTIFS('2. Soil Data'!$B$5:$B$604,$B322)=0),"Core ID not found in Soil Data, so the corer diameter cannot be looked up. ","")&amp;IF(ASH_CORRECTED&lt;&gt;"Yes","Root mass is NOT ash-corrected, so it includes adhering mineral soil and is too high. Set ASH_CORRECTED once you have done it. ","")&amp;IF(AND(ASH_CORRECTED="Yes",NOT(ISNUMBER($H322))),"Ash correction is switched on but no ash fraction is given for this row. ","")&amp;IF($I322="","Sieve mesh not recorded — a fine-root figure cannot be interpreted without it. ","")&amp;IF(AND(ISNUMBER($H322),$H322&gt;0.5),"Ash fraction above 0.5 — over half this sample was mineral soil. Re-wash. ","")&amp;IF($F322="Not separated","Live and dead not separated. Fine for a stock, but "&amp;"note it in reporting. ",""))</f>
        <v/>
      </c>
      <c r="P322" s="6"/>
      <c r="Q322" s="9" t="n">
        <f aca="false">IF($B322="",0,IF(COUNTIFS($B$5:$B322,$B322)=1,1,0))</f>
        <v>0</v>
      </c>
    </row>
    <row r="323" customFormat="false" ht="15" hidden="false" customHeight="false" outlineLevel="0" collapsed="false">
      <c r="A323" s="6"/>
      <c r="B323" s="6"/>
      <c r="C323" s="6"/>
      <c r="D323" s="6"/>
      <c r="E323" s="6"/>
      <c r="F323" s="6"/>
      <c r="G323" s="7"/>
      <c r="H323" s="7"/>
      <c r="I323" s="6"/>
      <c r="J323" s="9" t="str">
        <f aca="false">IF(NOT(ISNUMBER($G323)),"",IF(AND(ASH_CORRECTED="Yes",ISNUMBER($H323)),$G323*(1-$H323),$G323))</f>
        <v/>
      </c>
      <c r="K323" s="9" t="str">
        <f aca="false">IF($B323="","",IFERROR(AVERAGEIFS('2. Soil Data'!$G$5:$G$604,'2. Soil Data'!$B$5:$B$604,$B323),""))</f>
        <v/>
      </c>
      <c r="L323" s="9" t="str">
        <f aca="false">IF(NOT(ISNUMBER($K323)),"",PI()*($K323/2)^2)</f>
        <v/>
      </c>
      <c r="M323" s="9" t="str">
        <f aca="false">IF(OR(NOT(ISNUMBER($J323)),NOT(ISNUMBER($L323)),$L323=0),"",$J323/$L323*10000)</f>
        <v/>
      </c>
      <c r="N323" s="9" t="str">
        <f aca="false">IF(NOT(ISNUMBER($M323)),"",$M323*CARBON_FRACTION_ROOT/1000)</f>
        <v/>
      </c>
      <c r="O323" s="11" t="str">
        <f aca="false">IF(AND($A323="",$B323="",$G323=""),"",IF(AND($B323&lt;&gt;"",COUNTIFS('2. Soil Data'!$B$5:$B$604,$B323)=0),"Core ID not found in Soil Data, so the corer diameter cannot be looked up. ","")&amp;IF(ASH_CORRECTED&lt;&gt;"Yes","Root mass is NOT ash-corrected, so it includes adhering mineral soil and is too high. Set ASH_CORRECTED once you have done it. ","")&amp;IF(AND(ASH_CORRECTED="Yes",NOT(ISNUMBER($H323))),"Ash correction is switched on but no ash fraction is given for this row. ","")&amp;IF($I323="","Sieve mesh not recorded — a fine-root figure cannot be interpreted without it. ","")&amp;IF(AND(ISNUMBER($H323),$H323&gt;0.5),"Ash fraction above 0.5 — over half this sample was mineral soil. Re-wash. ","")&amp;IF($F323="Not separated","Live and dead not separated. Fine for a stock, but "&amp;"note it in reporting. ",""))</f>
        <v/>
      </c>
      <c r="P323" s="6"/>
      <c r="Q323" s="9" t="n">
        <f aca="false">IF($B323="",0,IF(COUNTIFS($B$5:$B323,$B323)=1,1,0))</f>
        <v>0</v>
      </c>
    </row>
    <row r="324" customFormat="false" ht="15" hidden="false" customHeight="false" outlineLevel="0" collapsed="false">
      <c r="A324" s="6"/>
      <c r="B324" s="6"/>
      <c r="C324" s="6"/>
      <c r="D324" s="6"/>
      <c r="E324" s="6"/>
      <c r="F324" s="6"/>
      <c r="G324" s="7"/>
      <c r="H324" s="7"/>
      <c r="I324" s="6"/>
      <c r="J324" s="9" t="str">
        <f aca="false">IF(NOT(ISNUMBER($G324)),"",IF(AND(ASH_CORRECTED="Yes",ISNUMBER($H324)),$G324*(1-$H324),$G324))</f>
        <v/>
      </c>
      <c r="K324" s="9" t="str">
        <f aca="false">IF($B324="","",IFERROR(AVERAGEIFS('2. Soil Data'!$G$5:$G$604,'2. Soil Data'!$B$5:$B$604,$B324),""))</f>
        <v/>
      </c>
      <c r="L324" s="9" t="str">
        <f aca="false">IF(NOT(ISNUMBER($K324)),"",PI()*($K324/2)^2)</f>
        <v/>
      </c>
      <c r="M324" s="9" t="str">
        <f aca="false">IF(OR(NOT(ISNUMBER($J324)),NOT(ISNUMBER($L324)),$L324=0),"",$J324/$L324*10000)</f>
        <v/>
      </c>
      <c r="N324" s="9" t="str">
        <f aca="false">IF(NOT(ISNUMBER($M324)),"",$M324*CARBON_FRACTION_ROOT/1000)</f>
        <v/>
      </c>
      <c r="O324" s="11" t="str">
        <f aca="false">IF(AND($A324="",$B324="",$G324=""),"",IF(AND($B324&lt;&gt;"",COUNTIFS('2. Soil Data'!$B$5:$B$604,$B324)=0),"Core ID not found in Soil Data, so the corer diameter cannot be looked up. ","")&amp;IF(ASH_CORRECTED&lt;&gt;"Yes","Root mass is NOT ash-corrected, so it includes adhering mineral soil and is too high. Set ASH_CORRECTED once you have done it. ","")&amp;IF(AND(ASH_CORRECTED="Yes",NOT(ISNUMBER($H324))),"Ash correction is switched on but no ash fraction is given for this row. ","")&amp;IF($I324="","Sieve mesh not recorded — a fine-root figure cannot be interpreted without it. ","")&amp;IF(AND(ISNUMBER($H324),$H324&gt;0.5),"Ash fraction above 0.5 — over half this sample was mineral soil. Re-wash. ","")&amp;IF($F324="Not separated","Live and dead not separated. Fine for a stock, but "&amp;"note it in reporting. ",""))</f>
        <v/>
      </c>
      <c r="P324" s="6"/>
      <c r="Q324" s="9" t="n">
        <f aca="false">IF($B324="",0,IF(COUNTIFS($B$5:$B324,$B324)=1,1,0))</f>
        <v>0</v>
      </c>
    </row>
    <row r="325" customFormat="false" ht="15" hidden="false" customHeight="false" outlineLevel="0" collapsed="false">
      <c r="A325" s="6"/>
      <c r="B325" s="6"/>
      <c r="C325" s="6"/>
      <c r="D325" s="6"/>
      <c r="E325" s="6"/>
      <c r="F325" s="6"/>
      <c r="G325" s="7"/>
      <c r="H325" s="7"/>
      <c r="I325" s="6"/>
      <c r="J325" s="9" t="str">
        <f aca="false">IF(NOT(ISNUMBER($G325)),"",IF(AND(ASH_CORRECTED="Yes",ISNUMBER($H325)),$G325*(1-$H325),$G325))</f>
        <v/>
      </c>
      <c r="K325" s="9" t="str">
        <f aca="false">IF($B325="","",IFERROR(AVERAGEIFS('2. Soil Data'!$G$5:$G$604,'2. Soil Data'!$B$5:$B$604,$B325),""))</f>
        <v/>
      </c>
      <c r="L325" s="9" t="str">
        <f aca="false">IF(NOT(ISNUMBER($K325)),"",PI()*($K325/2)^2)</f>
        <v/>
      </c>
      <c r="M325" s="9" t="str">
        <f aca="false">IF(OR(NOT(ISNUMBER($J325)),NOT(ISNUMBER($L325)),$L325=0),"",$J325/$L325*10000)</f>
        <v/>
      </c>
      <c r="N325" s="9" t="str">
        <f aca="false">IF(NOT(ISNUMBER($M325)),"",$M325*CARBON_FRACTION_ROOT/1000)</f>
        <v/>
      </c>
      <c r="O325" s="11" t="str">
        <f aca="false">IF(AND($A325="",$B325="",$G325=""),"",IF(AND($B325&lt;&gt;"",COUNTIFS('2. Soil Data'!$B$5:$B$604,$B325)=0),"Core ID not found in Soil Data, so the corer diameter cannot be looked up. ","")&amp;IF(ASH_CORRECTED&lt;&gt;"Yes","Root mass is NOT ash-corrected, so it includes adhering mineral soil and is too high. Set ASH_CORRECTED once you have done it. ","")&amp;IF(AND(ASH_CORRECTED="Yes",NOT(ISNUMBER($H325))),"Ash correction is switched on but no ash fraction is given for this row. ","")&amp;IF($I325="","Sieve mesh not recorded — a fine-root figure cannot be interpreted without it. ","")&amp;IF(AND(ISNUMBER($H325),$H325&gt;0.5),"Ash fraction above 0.5 — over half this sample was mineral soil. Re-wash. ","")&amp;IF($F325="Not separated","Live and dead not separated. Fine for a stock, but "&amp;"note it in reporting. ",""))</f>
        <v/>
      </c>
      <c r="P325" s="6"/>
      <c r="Q325" s="9" t="n">
        <f aca="false">IF($B325="",0,IF(COUNTIFS($B$5:$B325,$B325)=1,1,0))</f>
        <v>0</v>
      </c>
    </row>
    <row r="326" customFormat="false" ht="15" hidden="false" customHeight="false" outlineLevel="0" collapsed="false">
      <c r="A326" s="6"/>
      <c r="B326" s="6"/>
      <c r="C326" s="6"/>
      <c r="D326" s="6"/>
      <c r="E326" s="6"/>
      <c r="F326" s="6"/>
      <c r="G326" s="7"/>
      <c r="H326" s="7"/>
      <c r="I326" s="6"/>
      <c r="J326" s="9" t="str">
        <f aca="false">IF(NOT(ISNUMBER($G326)),"",IF(AND(ASH_CORRECTED="Yes",ISNUMBER($H326)),$G326*(1-$H326),$G326))</f>
        <v/>
      </c>
      <c r="K326" s="9" t="str">
        <f aca="false">IF($B326="","",IFERROR(AVERAGEIFS('2. Soil Data'!$G$5:$G$604,'2. Soil Data'!$B$5:$B$604,$B326),""))</f>
        <v/>
      </c>
      <c r="L326" s="9" t="str">
        <f aca="false">IF(NOT(ISNUMBER($K326)),"",PI()*($K326/2)^2)</f>
        <v/>
      </c>
      <c r="M326" s="9" t="str">
        <f aca="false">IF(OR(NOT(ISNUMBER($J326)),NOT(ISNUMBER($L326)),$L326=0),"",$J326/$L326*10000)</f>
        <v/>
      </c>
      <c r="N326" s="9" t="str">
        <f aca="false">IF(NOT(ISNUMBER($M326)),"",$M326*CARBON_FRACTION_ROOT/1000)</f>
        <v/>
      </c>
      <c r="O326" s="11" t="str">
        <f aca="false">IF(AND($A326="",$B326="",$G326=""),"",IF(AND($B326&lt;&gt;"",COUNTIFS('2. Soil Data'!$B$5:$B$604,$B326)=0),"Core ID not found in Soil Data, so the corer diameter cannot be looked up. ","")&amp;IF(ASH_CORRECTED&lt;&gt;"Yes","Root mass is NOT ash-corrected, so it includes adhering mineral soil and is too high. Set ASH_CORRECTED once you have done it. ","")&amp;IF(AND(ASH_CORRECTED="Yes",NOT(ISNUMBER($H326))),"Ash correction is switched on but no ash fraction is given for this row. ","")&amp;IF($I326="","Sieve mesh not recorded — a fine-root figure cannot be interpreted without it. ","")&amp;IF(AND(ISNUMBER($H326),$H326&gt;0.5),"Ash fraction above 0.5 — over half this sample was mineral soil. Re-wash. ","")&amp;IF($F326="Not separated","Live and dead not separated. Fine for a stock, but "&amp;"note it in reporting. ",""))</f>
        <v/>
      </c>
      <c r="P326" s="6"/>
      <c r="Q326" s="9" t="n">
        <f aca="false">IF($B326="",0,IF(COUNTIFS($B$5:$B326,$B326)=1,1,0))</f>
        <v>0</v>
      </c>
    </row>
    <row r="327" customFormat="false" ht="15" hidden="false" customHeight="false" outlineLevel="0" collapsed="false">
      <c r="A327" s="6"/>
      <c r="B327" s="6"/>
      <c r="C327" s="6"/>
      <c r="D327" s="6"/>
      <c r="E327" s="6"/>
      <c r="F327" s="6"/>
      <c r="G327" s="7"/>
      <c r="H327" s="7"/>
      <c r="I327" s="6"/>
      <c r="J327" s="9" t="str">
        <f aca="false">IF(NOT(ISNUMBER($G327)),"",IF(AND(ASH_CORRECTED="Yes",ISNUMBER($H327)),$G327*(1-$H327),$G327))</f>
        <v/>
      </c>
      <c r="K327" s="9" t="str">
        <f aca="false">IF($B327="","",IFERROR(AVERAGEIFS('2. Soil Data'!$G$5:$G$604,'2. Soil Data'!$B$5:$B$604,$B327),""))</f>
        <v/>
      </c>
      <c r="L327" s="9" t="str">
        <f aca="false">IF(NOT(ISNUMBER($K327)),"",PI()*($K327/2)^2)</f>
        <v/>
      </c>
      <c r="M327" s="9" t="str">
        <f aca="false">IF(OR(NOT(ISNUMBER($J327)),NOT(ISNUMBER($L327)),$L327=0),"",$J327/$L327*10000)</f>
        <v/>
      </c>
      <c r="N327" s="9" t="str">
        <f aca="false">IF(NOT(ISNUMBER($M327)),"",$M327*CARBON_FRACTION_ROOT/1000)</f>
        <v/>
      </c>
      <c r="O327" s="11" t="str">
        <f aca="false">IF(AND($A327="",$B327="",$G327=""),"",IF(AND($B327&lt;&gt;"",COUNTIFS('2. Soil Data'!$B$5:$B$604,$B327)=0),"Core ID not found in Soil Data, so the corer diameter cannot be looked up. ","")&amp;IF(ASH_CORRECTED&lt;&gt;"Yes","Root mass is NOT ash-corrected, so it includes adhering mineral soil and is too high. Set ASH_CORRECTED once you have done it. ","")&amp;IF(AND(ASH_CORRECTED="Yes",NOT(ISNUMBER($H327))),"Ash correction is switched on but no ash fraction is given for this row. ","")&amp;IF($I327="","Sieve mesh not recorded — a fine-root figure cannot be interpreted without it. ","")&amp;IF(AND(ISNUMBER($H327),$H327&gt;0.5),"Ash fraction above 0.5 — over half this sample was mineral soil. Re-wash. ","")&amp;IF($F327="Not separated","Live and dead not separated. Fine for a stock, but "&amp;"note it in reporting. ",""))</f>
        <v/>
      </c>
      <c r="P327" s="6"/>
      <c r="Q327" s="9" t="n">
        <f aca="false">IF($B327="",0,IF(COUNTIFS($B$5:$B327,$B327)=1,1,0))</f>
        <v>0</v>
      </c>
    </row>
    <row r="328" customFormat="false" ht="15" hidden="false" customHeight="false" outlineLevel="0" collapsed="false">
      <c r="A328" s="6"/>
      <c r="B328" s="6"/>
      <c r="C328" s="6"/>
      <c r="D328" s="6"/>
      <c r="E328" s="6"/>
      <c r="F328" s="6"/>
      <c r="G328" s="7"/>
      <c r="H328" s="7"/>
      <c r="I328" s="6"/>
      <c r="J328" s="9" t="str">
        <f aca="false">IF(NOT(ISNUMBER($G328)),"",IF(AND(ASH_CORRECTED="Yes",ISNUMBER($H328)),$G328*(1-$H328),$G328))</f>
        <v/>
      </c>
      <c r="K328" s="9" t="str">
        <f aca="false">IF($B328="","",IFERROR(AVERAGEIFS('2. Soil Data'!$G$5:$G$604,'2. Soil Data'!$B$5:$B$604,$B328),""))</f>
        <v/>
      </c>
      <c r="L328" s="9" t="str">
        <f aca="false">IF(NOT(ISNUMBER($K328)),"",PI()*($K328/2)^2)</f>
        <v/>
      </c>
      <c r="M328" s="9" t="str">
        <f aca="false">IF(OR(NOT(ISNUMBER($J328)),NOT(ISNUMBER($L328)),$L328=0),"",$J328/$L328*10000)</f>
        <v/>
      </c>
      <c r="N328" s="9" t="str">
        <f aca="false">IF(NOT(ISNUMBER($M328)),"",$M328*CARBON_FRACTION_ROOT/1000)</f>
        <v/>
      </c>
      <c r="O328" s="11" t="str">
        <f aca="false">IF(AND($A328="",$B328="",$G328=""),"",IF(AND($B328&lt;&gt;"",COUNTIFS('2. Soil Data'!$B$5:$B$604,$B328)=0),"Core ID not found in Soil Data, so the corer diameter cannot be looked up. ","")&amp;IF(ASH_CORRECTED&lt;&gt;"Yes","Root mass is NOT ash-corrected, so it includes adhering mineral soil and is too high. Set ASH_CORRECTED once you have done it. ","")&amp;IF(AND(ASH_CORRECTED="Yes",NOT(ISNUMBER($H328))),"Ash correction is switched on but no ash fraction is given for this row. ","")&amp;IF($I328="","Sieve mesh not recorded — a fine-root figure cannot be interpreted without it. ","")&amp;IF(AND(ISNUMBER($H328),$H328&gt;0.5),"Ash fraction above 0.5 — over half this sample was mineral soil. Re-wash. ","")&amp;IF($F328="Not separated","Live and dead not separated. Fine for a stock, but "&amp;"note it in reporting. ",""))</f>
        <v/>
      </c>
      <c r="P328" s="6"/>
      <c r="Q328" s="9" t="n">
        <f aca="false">IF($B328="",0,IF(COUNTIFS($B$5:$B328,$B328)=1,1,0))</f>
        <v>0</v>
      </c>
    </row>
    <row r="329" customFormat="false" ht="15" hidden="false" customHeight="false" outlineLevel="0" collapsed="false">
      <c r="A329" s="6"/>
      <c r="B329" s="6"/>
      <c r="C329" s="6"/>
      <c r="D329" s="6"/>
      <c r="E329" s="6"/>
      <c r="F329" s="6"/>
      <c r="G329" s="7"/>
      <c r="H329" s="7"/>
      <c r="I329" s="6"/>
      <c r="J329" s="9" t="str">
        <f aca="false">IF(NOT(ISNUMBER($G329)),"",IF(AND(ASH_CORRECTED="Yes",ISNUMBER($H329)),$G329*(1-$H329),$G329))</f>
        <v/>
      </c>
      <c r="K329" s="9" t="str">
        <f aca="false">IF($B329="","",IFERROR(AVERAGEIFS('2. Soil Data'!$G$5:$G$604,'2. Soil Data'!$B$5:$B$604,$B329),""))</f>
        <v/>
      </c>
      <c r="L329" s="9" t="str">
        <f aca="false">IF(NOT(ISNUMBER($K329)),"",PI()*($K329/2)^2)</f>
        <v/>
      </c>
      <c r="M329" s="9" t="str">
        <f aca="false">IF(OR(NOT(ISNUMBER($J329)),NOT(ISNUMBER($L329)),$L329=0),"",$J329/$L329*10000)</f>
        <v/>
      </c>
      <c r="N329" s="9" t="str">
        <f aca="false">IF(NOT(ISNUMBER($M329)),"",$M329*CARBON_FRACTION_ROOT/1000)</f>
        <v/>
      </c>
      <c r="O329" s="11" t="str">
        <f aca="false">IF(AND($A329="",$B329="",$G329=""),"",IF(AND($B329&lt;&gt;"",COUNTIFS('2. Soil Data'!$B$5:$B$604,$B329)=0),"Core ID not found in Soil Data, so the corer diameter cannot be looked up. ","")&amp;IF(ASH_CORRECTED&lt;&gt;"Yes","Root mass is NOT ash-corrected, so it includes adhering mineral soil and is too high. Set ASH_CORRECTED once you have done it. ","")&amp;IF(AND(ASH_CORRECTED="Yes",NOT(ISNUMBER($H329))),"Ash correction is switched on but no ash fraction is given for this row. ","")&amp;IF($I329="","Sieve mesh not recorded — a fine-root figure cannot be interpreted without it. ","")&amp;IF(AND(ISNUMBER($H329),$H329&gt;0.5),"Ash fraction above 0.5 — over half this sample was mineral soil. Re-wash. ","")&amp;IF($F329="Not separated","Live and dead not separated. Fine for a stock, but "&amp;"note it in reporting. ",""))</f>
        <v/>
      </c>
      <c r="P329" s="6"/>
      <c r="Q329" s="9" t="n">
        <f aca="false">IF($B329="",0,IF(COUNTIFS($B$5:$B329,$B329)=1,1,0))</f>
        <v>0</v>
      </c>
    </row>
    <row r="330" customFormat="false" ht="15" hidden="false" customHeight="false" outlineLevel="0" collapsed="false">
      <c r="A330" s="6"/>
      <c r="B330" s="6"/>
      <c r="C330" s="6"/>
      <c r="D330" s="6"/>
      <c r="E330" s="6"/>
      <c r="F330" s="6"/>
      <c r="G330" s="7"/>
      <c r="H330" s="7"/>
      <c r="I330" s="6"/>
      <c r="J330" s="9" t="str">
        <f aca="false">IF(NOT(ISNUMBER($G330)),"",IF(AND(ASH_CORRECTED="Yes",ISNUMBER($H330)),$G330*(1-$H330),$G330))</f>
        <v/>
      </c>
      <c r="K330" s="9" t="str">
        <f aca="false">IF($B330="","",IFERROR(AVERAGEIFS('2. Soil Data'!$G$5:$G$604,'2. Soil Data'!$B$5:$B$604,$B330),""))</f>
        <v/>
      </c>
      <c r="L330" s="9" t="str">
        <f aca="false">IF(NOT(ISNUMBER($K330)),"",PI()*($K330/2)^2)</f>
        <v/>
      </c>
      <c r="M330" s="9" t="str">
        <f aca="false">IF(OR(NOT(ISNUMBER($J330)),NOT(ISNUMBER($L330)),$L330=0),"",$J330/$L330*10000)</f>
        <v/>
      </c>
      <c r="N330" s="9" t="str">
        <f aca="false">IF(NOT(ISNUMBER($M330)),"",$M330*CARBON_FRACTION_ROOT/1000)</f>
        <v/>
      </c>
      <c r="O330" s="11" t="str">
        <f aca="false">IF(AND($A330="",$B330="",$G330=""),"",IF(AND($B330&lt;&gt;"",COUNTIFS('2. Soil Data'!$B$5:$B$604,$B330)=0),"Core ID not found in Soil Data, so the corer diameter cannot be looked up. ","")&amp;IF(ASH_CORRECTED&lt;&gt;"Yes","Root mass is NOT ash-corrected, so it includes adhering mineral soil and is too high. Set ASH_CORRECTED once you have done it. ","")&amp;IF(AND(ASH_CORRECTED="Yes",NOT(ISNUMBER($H330))),"Ash correction is switched on but no ash fraction is given for this row. ","")&amp;IF($I330="","Sieve mesh not recorded — a fine-root figure cannot be interpreted without it. ","")&amp;IF(AND(ISNUMBER($H330),$H330&gt;0.5),"Ash fraction above 0.5 — over half this sample was mineral soil. Re-wash. ","")&amp;IF($F330="Not separated","Live and dead not separated. Fine for a stock, but "&amp;"note it in reporting. ",""))</f>
        <v/>
      </c>
      <c r="P330" s="6"/>
      <c r="Q330" s="9" t="n">
        <f aca="false">IF($B330="",0,IF(COUNTIFS($B$5:$B330,$B330)=1,1,0))</f>
        <v>0</v>
      </c>
    </row>
    <row r="331" customFormat="false" ht="15" hidden="false" customHeight="false" outlineLevel="0" collapsed="false">
      <c r="A331" s="6"/>
      <c r="B331" s="6"/>
      <c r="C331" s="6"/>
      <c r="D331" s="6"/>
      <c r="E331" s="6"/>
      <c r="F331" s="6"/>
      <c r="G331" s="7"/>
      <c r="H331" s="7"/>
      <c r="I331" s="6"/>
      <c r="J331" s="9" t="str">
        <f aca="false">IF(NOT(ISNUMBER($G331)),"",IF(AND(ASH_CORRECTED="Yes",ISNUMBER($H331)),$G331*(1-$H331),$G331))</f>
        <v/>
      </c>
      <c r="K331" s="9" t="str">
        <f aca="false">IF($B331="","",IFERROR(AVERAGEIFS('2. Soil Data'!$G$5:$G$604,'2. Soil Data'!$B$5:$B$604,$B331),""))</f>
        <v/>
      </c>
      <c r="L331" s="9" t="str">
        <f aca="false">IF(NOT(ISNUMBER($K331)),"",PI()*($K331/2)^2)</f>
        <v/>
      </c>
      <c r="M331" s="9" t="str">
        <f aca="false">IF(OR(NOT(ISNUMBER($J331)),NOT(ISNUMBER($L331)),$L331=0),"",$J331/$L331*10000)</f>
        <v/>
      </c>
      <c r="N331" s="9" t="str">
        <f aca="false">IF(NOT(ISNUMBER($M331)),"",$M331*CARBON_FRACTION_ROOT/1000)</f>
        <v/>
      </c>
      <c r="O331" s="11" t="str">
        <f aca="false">IF(AND($A331="",$B331="",$G331=""),"",IF(AND($B331&lt;&gt;"",COUNTIFS('2. Soil Data'!$B$5:$B$604,$B331)=0),"Core ID not found in Soil Data, so the corer diameter cannot be looked up. ","")&amp;IF(ASH_CORRECTED&lt;&gt;"Yes","Root mass is NOT ash-corrected, so it includes adhering mineral soil and is too high. Set ASH_CORRECTED once you have done it. ","")&amp;IF(AND(ASH_CORRECTED="Yes",NOT(ISNUMBER($H331))),"Ash correction is switched on but no ash fraction is given for this row. ","")&amp;IF($I331="","Sieve mesh not recorded — a fine-root figure cannot be interpreted without it. ","")&amp;IF(AND(ISNUMBER($H331),$H331&gt;0.5),"Ash fraction above 0.5 — over half this sample was mineral soil. Re-wash. ","")&amp;IF($F331="Not separated","Live and dead not separated. Fine for a stock, but "&amp;"note it in reporting. ",""))</f>
        <v/>
      </c>
      <c r="P331" s="6"/>
      <c r="Q331" s="9" t="n">
        <f aca="false">IF($B331="",0,IF(COUNTIFS($B$5:$B331,$B331)=1,1,0))</f>
        <v>0</v>
      </c>
    </row>
    <row r="332" customFormat="false" ht="15" hidden="false" customHeight="false" outlineLevel="0" collapsed="false">
      <c r="A332" s="6"/>
      <c r="B332" s="6"/>
      <c r="C332" s="6"/>
      <c r="D332" s="6"/>
      <c r="E332" s="6"/>
      <c r="F332" s="6"/>
      <c r="G332" s="7"/>
      <c r="H332" s="7"/>
      <c r="I332" s="6"/>
      <c r="J332" s="9" t="str">
        <f aca="false">IF(NOT(ISNUMBER($G332)),"",IF(AND(ASH_CORRECTED="Yes",ISNUMBER($H332)),$G332*(1-$H332),$G332))</f>
        <v/>
      </c>
      <c r="K332" s="9" t="str">
        <f aca="false">IF($B332="","",IFERROR(AVERAGEIFS('2. Soil Data'!$G$5:$G$604,'2. Soil Data'!$B$5:$B$604,$B332),""))</f>
        <v/>
      </c>
      <c r="L332" s="9" t="str">
        <f aca="false">IF(NOT(ISNUMBER($K332)),"",PI()*($K332/2)^2)</f>
        <v/>
      </c>
      <c r="M332" s="9" t="str">
        <f aca="false">IF(OR(NOT(ISNUMBER($J332)),NOT(ISNUMBER($L332)),$L332=0),"",$J332/$L332*10000)</f>
        <v/>
      </c>
      <c r="N332" s="9" t="str">
        <f aca="false">IF(NOT(ISNUMBER($M332)),"",$M332*CARBON_FRACTION_ROOT/1000)</f>
        <v/>
      </c>
      <c r="O332" s="11" t="str">
        <f aca="false">IF(AND($A332="",$B332="",$G332=""),"",IF(AND($B332&lt;&gt;"",COUNTIFS('2. Soil Data'!$B$5:$B$604,$B332)=0),"Core ID not found in Soil Data, so the corer diameter cannot be looked up. ","")&amp;IF(ASH_CORRECTED&lt;&gt;"Yes","Root mass is NOT ash-corrected, so it includes adhering mineral soil and is too high. Set ASH_CORRECTED once you have done it. ","")&amp;IF(AND(ASH_CORRECTED="Yes",NOT(ISNUMBER($H332))),"Ash correction is switched on but no ash fraction is given for this row. ","")&amp;IF($I332="","Sieve mesh not recorded — a fine-root figure cannot be interpreted without it. ","")&amp;IF(AND(ISNUMBER($H332),$H332&gt;0.5),"Ash fraction above 0.5 — over half this sample was mineral soil. Re-wash. ","")&amp;IF($F332="Not separated","Live and dead not separated. Fine for a stock, but "&amp;"note it in reporting. ",""))</f>
        <v/>
      </c>
      <c r="P332" s="6"/>
      <c r="Q332" s="9" t="n">
        <f aca="false">IF($B332="",0,IF(COUNTIFS($B$5:$B332,$B332)=1,1,0))</f>
        <v>0</v>
      </c>
    </row>
    <row r="333" customFormat="false" ht="15" hidden="false" customHeight="false" outlineLevel="0" collapsed="false">
      <c r="A333" s="6"/>
      <c r="B333" s="6"/>
      <c r="C333" s="6"/>
      <c r="D333" s="6"/>
      <c r="E333" s="6"/>
      <c r="F333" s="6"/>
      <c r="G333" s="7"/>
      <c r="H333" s="7"/>
      <c r="I333" s="6"/>
      <c r="J333" s="9" t="str">
        <f aca="false">IF(NOT(ISNUMBER($G333)),"",IF(AND(ASH_CORRECTED="Yes",ISNUMBER($H333)),$G333*(1-$H333),$G333))</f>
        <v/>
      </c>
      <c r="K333" s="9" t="str">
        <f aca="false">IF($B333="","",IFERROR(AVERAGEIFS('2. Soil Data'!$G$5:$G$604,'2. Soil Data'!$B$5:$B$604,$B333),""))</f>
        <v/>
      </c>
      <c r="L333" s="9" t="str">
        <f aca="false">IF(NOT(ISNUMBER($K333)),"",PI()*($K333/2)^2)</f>
        <v/>
      </c>
      <c r="M333" s="9" t="str">
        <f aca="false">IF(OR(NOT(ISNUMBER($J333)),NOT(ISNUMBER($L333)),$L333=0),"",$J333/$L333*10000)</f>
        <v/>
      </c>
      <c r="N333" s="9" t="str">
        <f aca="false">IF(NOT(ISNUMBER($M333)),"",$M333*CARBON_FRACTION_ROOT/1000)</f>
        <v/>
      </c>
      <c r="O333" s="11" t="str">
        <f aca="false">IF(AND($A333="",$B333="",$G333=""),"",IF(AND($B333&lt;&gt;"",COUNTIFS('2. Soil Data'!$B$5:$B$604,$B333)=0),"Core ID not found in Soil Data, so the corer diameter cannot be looked up. ","")&amp;IF(ASH_CORRECTED&lt;&gt;"Yes","Root mass is NOT ash-corrected, so it includes adhering mineral soil and is too high. Set ASH_CORRECTED once you have done it. ","")&amp;IF(AND(ASH_CORRECTED="Yes",NOT(ISNUMBER($H333))),"Ash correction is switched on but no ash fraction is given for this row. ","")&amp;IF($I333="","Sieve mesh not recorded — a fine-root figure cannot be interpreted without it. ","")&amp;IF(AND(ISNUMBER($H333),$H333&gt;0.5),"Ash fraction above 0.5 — over half this sample was mineral soil. Re-wash. ","")&amp;IF($F333="Not separated","Live and dead not separated. Fine for a stock, but "&amp;"note it in reporting. ",""))</f>
        <v/>
      </c>
      <c r="P333" s="6"/>
      <c r="Q333" s="9" t="n">
        <f aca="false">IF($B333="",0,IF(COUNTIFS($B$5:$B333,$B333)=1,1,0))</f>
        <v>0</v>
      </c>
    </row>
    <row r="334" customFormat="false" ht="15" hidden="false" customHeight="false" outlineLevel="0" collapsed="false">
      <c r="A334" s="6"/>
      <c r="B334" s="6"/>
      <c r="C334" s="6"/>
      <c r="D334" s="6"/>
      <c r="E334" s="6"/>
      <c r="F334" s="6"/>
      <c r="G334" s="7"/>
      <c r="H334" s="7"/>
      <c r="I334" s="6"/>
      <c r="J334" s="9" t="str">
        <f aca="false">IF(NOT(ISNUMBER($G334)),"",IF(AND(ASH_CORRECTED="Yes",ISNUMBER($H334)),$G334*(1-$H334),$G334))</f>
        <v/>
      </c>
      <c r="K334" s="9" t="str">
        <f aca="false">IF($B334="","",IFERROR(AVERAGEIFS('2. Soil Data'!$G$5:$G$604,'2. Soil Data'!$B$5:$B$604,$B334),""))</f>
        <v/>
      </c>
      <c r="L334" s="9" t="str">
        <f aca="false">IF(NOT(ISNUMBER($K334)),"",PI()*($K334/2)^2)</f>
        <v/>
      </c>
      <c r="M334" s="9" t="str">
        <f aca="false">IF(OR(NOT(ISNUMBER($J334)),NOT(ISNUMBER($L334)),$L334=0),"",$J334/$L334*10000)</f>
        <v/>
      </c>
      <c r="N334" s="9" t="str">
        <f aca="false">IF(NOT(ISNUMBER($M334)),"",$M334*CARBON_FRACTION_ROOT/1000)</f>
        <v/>
      </c>
      <c r="O334" s="11" t="str">
        <f aca="false">IF(AND($A334="",$B334="",$G334=""),"",IF(AND($B334&lt;&gt;"",COUNTIFS('2. Soil Data'!$B$5:$B$604,$B334)=0),"Core ID not found in Soil Data, so the corer diameter cannot be looked up. ","")&amp;IF(ASH_CORRECTED&lt;&gt;"Yes","Root mass is NOT ash-corrected, so it includes adhering mineral soil and is too high. Set ASH_CORRECTED once you have done it. ","")&amp;IF(AND(ASH_CORRECTED="Yes",NOT(ISNUMBER($H334))),"Ash correction is switched on but no ash fraction is given for this row. ","")&amp;IF($I334="","Sieve mesh not recorded — a fine-root figure cannot be interpreted without it. ","")&amp;IF(AND(ISNUMBER($H334),$H334&gt;0.5),"Ash fraction above 0.5 — over half this sample was mineral soil. Re-wash. ","")&amp;IF($F334="Not separated","Live and dead not separated. Fine for a stock, but "&amp;"note it in reporting. ",""))</f>
        <v/>
      </c>
      <c r="P334" s="6"/>
      <c r="Q334" s="9" t="n">
        <f aca="false">IF($B334="",0,IF(COUNTIFS($B$5:$B334,$B334)=1,1,0))</f>
        <v>0</v>
      </c>
    </row>
    <row r="335" customFormat="false" ht="15" hidden="false" customHeight="false" outlineLevel="0" collapsed="false">
      <c r="A335" s="6"/>
      <c r="B335" s="6"/>
      <c r="C335" s="6"/>
      <c r="D335" s="6"/>
      <c r="E335" s="6"/>
      <c r="F335" s="6"/>
      <c r="G335" s="7"/>
      <c r="H335" s="7"/>
      <c r="I335" s="6"/>
      <c r="J335" s="9" t="str">
        <f aca="false">IF(NOT(ISNUMBER($G335)),"",IF(AND(ASH_CORRECTED="Yes",ISNUMBER($H335)),$G335*(1-$H335),$G335))</f>
        <v/>
      </c>
      <c r="K335" s="9" t="str">
        <f aca="false">IF($B335="","",IFERROR(AVERAGEIFS('2. Soil Data'!$G$5:$G$604,'2. Soil Data'!$B$5:$B$604,$B335),""))</f>
        <v/>
      </c>
      <c r="L335" s="9" t="str">
        <f aca="false">IF(NOT(ISNUMBER($K335)),"",PI()*($K335/2)^2)</f>
        <v/>
      </c>
      <c r="M335" s="9" t="str">
        <f aca="false">IF(OR(NOT(ISNUMBER($J335)),NOT(ISNUMBER($L335)),$L335=0),"",$J335/$L335*10000)</f>
        <v/>
      </c>
      <c r="N335" s="9" t="str">
        <f aca="false">IF(NOT(ISNUMBER($M335)),"",$M335*CARBON_FRACTION_ROOT/1000)</f>
        <v/>
      </c>
      <c r="O335" s="11" t="str">
        <f aca="false">IF(AND($A335="",$B335="",$G335=""),"",IF(AND($B335&lt;&gt;"",COUNTIFS('2. Soil Data'!$B$5:$B$604,$B335)=0),"Core ID not found in Soil Data, so the corer diameter cannot be looked up. ","")&amp;IF(ASH_CORRECTED&lt;&gt;"Yes","Root mass is NOT ash-corrected, so it includes adhering mineral soil and is too high. Set ASH_CORRECTED once you have done it. ","")&amp;IF(AND(ASH_CORRECTED="Yes",NOT(ISNUMBER($H335))),"Ash correction is switched on but no ash fraction is given for this row. ","")&amp;IF($I335="","Sieve mesh not recorded — a fine-root figure cannot be interpreted without it. ","")&amp;IF(AND(ISNUMBER($H335),$H335&gt;0.5),"Ash fraction above 0.5 — over half this sample was mineral soil. Re-wash. ","")&amp;IF($F335="Not separated","Live and dead not separated. Fine for a stock, but "&amp;"note it in reporting. ",""))</f>
        <v/>
      </c>
      <c r="P335" s="6"/>
      <c r="Q335" s="9" t="n">
        <f aca="false">IF($B335="",0,IF(COUNTIFS($B$5:$B335,$B335)=1,1,0))</f>
        <v>0</v>
      </c>
    </row>
    <row r="336" customFormat="false" ht="15" hidden="false" customHeight="false" outlineLevel="0" collapsed="false">
      <c r="A336" s="6"/>
      <c r="B336" s="6"/>
      <c r="C336" s="6"/>
      <c r="D336" s="6"/>
      <c r="E336" s="6"/>
      <c r="F336" s="6"/>
      <c r="G336" s="7"/>
      <c r="H336" s="7"/>
      <c r="I336" s="6"/>
      <c r="J336" s="9" t="str">
        <f aca="false">IF(NOT(ISNUMBER($G336)),"",IF(AND(ASH_CORRECTED="Yes",ISNUMBER($H336)),$G336*(1-$H336),$G336))</f>
        <v/>
      </c>
      <c r="K336" s="9" t="str">
        <f aca="false">IF($B336="","",IFERROR(AVERAGEIFS('2. Soil Data'!$G$5:$G$604,'2. Soil Data'!$B$5:$B$604,$B336),""))</f>
        <v/>
      </c>
      <c r="L336" s="9" t="str">
        <f aca="false">IF(NOT(ISNUMBER($K336)),"",PI()*($K336/2)^2)</f>
        <v/>
      </c>
      <c r="M336" s="9" t="str">
        <f aca="false">IF(OR(NOT(ISNUMBER($J336)),NOT(ISNUMBER($L336)),$L336=0),"",$J336/$L336*10000)</f>
        <v/>
      </c>
      <c r="N336" s="9" t="str">
        <f aca="false">IF(NOT(ISNUMBER($M336)),"",$M336*CARBON_FRACTION_ROOT/1000)</f>
        <v/>
      </c>
      <c r="O336" s="11" t="str">
        <f aca="false">IF(AND($A336="",$B336="",$G336=""),"",IF(AND($B336&lt;&gt;"",COUNTIFS('2. Soil Data'!$B$5:$B$604,$B336)=0),"Core ID not found in Soil Data, so the corer diameter cannot be looked up. ","")&amp;IF(ASH_CORRECTED&lt;&gt;"Yes","Root mass is NOT ash-corrected, so it includes adhering mineral soil and is too high. Set ASH_CORRECTED once you have done it. ","")&amp;IF(AND(ASH_CORRECTED="Yes",NOT(ISNUMBER($H336))),"Ash correction is switched on but no ash fraction is given for this row. ","")&amp;IF($I336="","Sieve mesh not recorded — a fine-root figure cannot be interpreted without it. ","")&amp;IF(AND(ISNUMBER($H336),$H336&gt;0.5),"Ash fraction above 0.5 — over half this sample was mineral soil. Re-wash. ","")&amp;IF($F336="Not separated","Live and dead not separated. Fine for a stock, but "&amp;"note it in reporting. ",""))</f>
        <v/>
      </c>
      <c r="P336" s="6"/>
      <c r="Q336" s="9" t="n">
        <f aca="false">IF($B336="",0,IF(COUNTIFS($B$5:$B336,$B336)=1,1,0))</f>
        <v>0</v>
      </c>
    </row>
    <row r="337" customFormat="false" ht="15" hidden="false" customHeight="false" outlineLevel="0" collapsed="false">
      <c r="A337" s="6"/>
      <c r="B337" s="6"/>
      <c r="C337" s="6"/>
      <c r="D337" s="6"/>
      <c r="E337" s="6"/>
      <c r="F337" s="6"/>
      <c r="G337" s="7"/>
      <c r="H337" s="7"/>
      <c r="I337" s="6"/>
      <c r="J337" s="9" t="str">
        <f aca="false">IF(NOT(ISNUMBER($G337)),"",IF(AND(ASH_CORRECTED="Yes",ISNUMBER($H337)),$G337*(1-$H337),$G337))</f>
        <v/>
      </c>
      <c r="K337" s="9" t="str">
        <f aca="false">IF($B337="","",IFERROR(AVERAGEIFS('2. Soil Data'!$G$5:$G$604,'2. Soil Data'!$B$5:$B$604,$B337),""))</f>
        <v/>
      </c>
      <c r="L337" s="9" t="str">
        <f aca="false">IF(NOT(ISNUMBER($K337)),"",PI()*($K337/2)^2)</f>
        <v/>
      </c>
      <c r="M337" s="9" t="str">
        <f aca="false">IF(OR(NOT(ISNUMBER($J337)),NOT(ISNUMBER($L337)),$L337=0),"",$J337/$L337*10000)</f>
        <v/>
      </c>
      <c r="N337" s="9" t="str">
        <f aca="false">IF(NOT(ISNUMBER($M337)),"",$M337*CARBON_FRACTION_ROOT/1000)</f>
        <v/>
      </c>
      <c r="O337" s="11" t="str">
        <f aca="false">IF(AND($A337="",$B337="",$G337=""),"",IF(AND($B337&lt;&gt;"",COUNTIFS('2. Soil Data'!$B$5:$B$604,$B337)=0),"Core ID not found in Soil Data, so the corer diameter cannot be looked up. ","")&amp;IF(ASH_CORRECTED&lt;&gt;"Yes","Root mass is NOT ash-corrected, so it includes adhering mineral soil and is too high. Set ASH_CORRECTED once you have done it. ","")&amp;IF(AND(ASH_CORRECTED="Yes",NOT(ISNUMBER($H337))),"Ash correction is switched on but no ash fraction is given for this row. ","")&amp;IF($I337="","Sieve mesh not recorded — a fine-root figure cannot be interpreted without it. ","")&amp;IF(AND(ISNUMBER($H337),$H337&gt;0.5),"Ash fraction above 0.5 — over half this sample was mineral soil. Re-wash. ","")&amp;IF($F337="Not separated","Live and dead not separated. Fine for a stock, but "&amp;"note it in reporting. ",""))</f>
        <v/>
      </c>
      <c r="P337" s="6"/>
      <c r="Q337" s="9" t="n">
        <f aca="false">IF($B337="",0,IF(COUNTIFS($B$5:$B337,$B337)=1,1,0))</f>
        <v>0</v>
      </c>
    </row>
    <row r="338" customFormat="false" ht="15" hidden="false" customHeight="false" outlineLevel="0" collapsed="false">
      <c r="A338" s="6"/>
      <c r="B338" s="6"/>
      <c r="C338" s="6"/>
      <c r="D338" s="6"/>
      <c r="E338" s="6"/>
      <c r="F338" s="6"/>
      <c r="G338" s="7"/>
      <c r="H338" s="7"/>
      <c r="I338" s="6"/>
      <c r="J338" s="9" t="str">
        <f aca="false">IF(NOT(ISNUMBER($G338)),"",IF(AND(ASH_CORRECTED="Yes",ISNUMBER($H338)),$G338*(1-$H338),$G338))</f>
        <v/>
      </c>
      <c r="K338" s="9" t="str">
        <f aca="false">IF($B338="","",IFERROR(AVERAGEIFS('2. Soil Data'!$G$5:$G$604,'2. Soil Data'!$B$5:$B$604,$B338),""))</f>
        <v/>
      </c>
      <c r="L338" s="9" t="str">
        <f aca="false">IF(NOT(ISNUMBER($K338)),"",PI()*($K338/2)^2)</f>
        <v/>
      </c>
      <c r="M338" s="9" t="str">
        <f aca="false">IF(OR(NOT(ISNUMBER($J338)),NOT(ISNUMBER($L338)),$L338=0),"",$J338/$L338*10000)</f>
        <v/>
      </c>
      <c r="N338" s="9" t="str">
        <f aca="false">IF(NOT(ISNUMBER($M338)),"",$M338*CARBON_FRACTION_ROOT/1000)</f>
        <v/>
      </c>
      <c r="O338" s="11" t="str">
        <f aca="false">IF(AND($A338="",$B338="",$G338=""),"",IF(AND($B338&lt;&gt;"",COUNTIFS('2. Soil Data'!$B$5:$B$604,$B338)=0),"Core ID not found in Soil Data, so the corer diameter cannot be looked up. ","")&amp;IF(ASH_CORRECTED&lt;&gt;"Yes","Root mass is NOT ash-corrected, so it includes adhering mineral soil and is too high. Set ASH_CORRECTED once you have done it. ","")&amp;IF(AND(ASH_CORRECTED="Yes",NOT(ISNUMBER($H338))),"Ash correction is switched on but no ash fraction is given for this row. ","")&amp;IF($I338="","Sieve mesh not recorded — a fine-root figure cannot be interpreted without it. ","")&amp;IF(AND(ISNUMBER($H338),$H338&gt;0.5),"Ash fraction above 0.5 — over half this sample was mineral soil. Re-wash. ","")&amp;IF($F338="Not separated","Live and dead not separated. Fine for a stock, but "&amp;"note it in reporting. ",""))</f>
        <v/>
      </c>
      <c r="P338" s="6"/>
      <c r="Q338" s="9" t="n">
        <f aca="false">IF($B338="",0,IF(COUNTIFS($B$5:$B338,$B338)=1,1,0))</f>
        <v>0</v>
      </c>
    </row>
    <row r="339" customFormat="false" ht="15" hidden="false" customHeight="false" outlineLevel="0" collapsed="false">
      <c r="A339" s="6"/>
      <c r="B339" s="6"/>
      <c r="C339" s="6"/>
      <c r="D339" s="6"/>
      <c r="E339" s="6"/>
      <c r="F339" s="6"/>
      <c r="G339" s="7"/>
      <c r="H339" s="7"/>
      <c r="I339" s="6"/>
      <c r="J339" s="9" t="str">
        <f aca="false">IF(NOT(ISNUMBER($G339)),"",IF(AND(ASH_CORRECTED="Yes",ISNUMBER($H339)),$G339*(1-$H339),$G339))</f>
        <v/>
      </c>
      <c r="K339" s="9" t="str">
        <f aca="false">IF($B339="","",IFERROR(AVERAGEIFS('2. Soil Data'!$G$5:$G$604,'2. Soil Data'!$B$5:$B$604,$B339),""))</f>
        <v/>
      </c>
      <c r="L339" s="9" t="str">
        <f aca="false">IF(NOT(ISNUMBER($K339)),"",PI()*($K339/2)^2)</f>
        <v/>
      </c>
      <c r="M339" s="9" t="str">
        <f aca="false">IF(OR(NOT(ISNUMBER($J339)),NOT(ISNUMBER($L339)),$L339=0),"",$J339/$L339*10000)</f>
        <v/>
      </c>
      <c r="N339" s="9" t="str">
        <f aca="false">IF(NOT(ISNUMBER($M339)),"",$M339*CARBON_FRACTION_ROOT/1000)</f>
        <v/>
      </c>
      <c r="O339" s="11" t="str">
        <f aca="false">IF(AND($A339="",$B339="",$G339=""),"",IF(AND($B339&lt;&gt;"",COUNTIFS('2. Soil Data'!$B$5:$B$604,$B339)=0),"Core ID not found in Soil Data, so the corer diameter cannot be looked up. ","")&amp;IF(ASH_CORRECTED&lt;&gt;"Yes","Root mass is NOT ash-corrected, so it includes adhering mineral soil and is too high. Set ASH_CORRECTED once you have done it. ","")&amp;IF(AND(ASH_CORRECTED="Yes",NOT(ISNUMBER($H339))),"Ash correction is switched on but no ash fraction is given for this row. ","")&amp;IF($I339="","Sieve mesh not recorded — a fine-root figure cannot be interpreted without it. ","")&amp;IF(AND(ISNUMBER($H339),$H339&gt;0.5),"Ash fraction above 0.5 — over half this sample was mineral soil. Re-wash. ","")&amp;IF($F339="Not separated","Live and dead not separated. Fine for a stock, but "&amp;"note it in reporting. ",""))</f>
        <v/>
      </c>
      <c r="P339" s="6"/>
      <c r="Q339" s="9" t="n">
        <f aca="false">IF($B339="",0,IF(COUNTIFS($B$5:$B339,$B339)=1,1,0))</f>
        <v>0</v>
      </c>
    </row>
    <row r="340" customFormat="false" ht="15" hidden="false" customHeight="false" outlineLevel="0" collapsed="false">
      <c r="A340" s="6"/>
      <c r="B340" s="6"/>
      <c r="C340" s="6"/>
      <c r="D340" s="6"/>
      <c r="E340" s="6"/>
      <c r="F340" s="6"/>
      <c r="G340" s="7"/>
      <c r="H340" s="7"/>
      <c r="I340" s="6"/>
      <c r="J340" s="9" t="str">
        <f aca="false">IF(NOT(ISNUMBER($G340)),"",IF(AND(ASH_CORRECTED="Yes",ISNUMBER($H340)),$G340*(1-$H340),$G340))</f>
        <v/>
      </c>
      <c r="K340" s="9" t="str">
        <f aca="false">IF($B340="","",IFERROR(AVERAGEIFS('2. Soil Data'!$G$5:$G$604,'2. Soil Data'!$B$5:$B$604,$B340),""))</f>
        <v/>
      </c>
      <c r="L340" s="9" t="str">
        <f aca="false">IF(NOT(ISNUMBER($K340)),"",PI()*($K340/2)^2)</f>
        <v/>
      </c>
      <c r="M340" s="9" t="str">
        <f aca="false">IF(OR(NOT(ISNUMBER($J340)),NOT(ISNUMBER($L340)),$L340=0),"",$J340/$L340*10000)</f>
        <v/>
      </c>
      <c r="N340" s="9" t="str">
        <f aca="false">IF(NOT(ISNUMBER($M340)),"",$M340*CARBON_FRACTION_ROOT/1000)</f>
        <v/>
      </c>
      <c r="O340" s="11" t="str">
        <f aca="false">IF(AND($A340="",$B340="",$G340=""),"",IF(AND($B340&lt;&gt;"",COUNTIFS('2. Soil Data'!$B$5:$B$604,$B340)=0),"Core ID not found in Soil Data, so the corer diameter cannot be looked up. ","")&amp;IF(ASH_CORRECTED&lt;&gt;"Yes","Root mass is NOT ash-corrected, so it includes adhering mineral soil and is too high. Set ASH_CORRECTED once you have done it. ","")&amp;IF(AND(ASH_CORRECTED="Yes",NOT(ISNUMBER($H340))),"Ash correction is switched on but no ash fraction is given for this row. ","")&amp;IF($I340="","Sieve mesh not recorded — a fine-root figure cannot be interpreted without it. ","")&amp;IF(AND(ISNUMBER($H340),$H340&gt;0.5),"Ash fraction above 0.5 — over half this sample was mineral soil. Re-wash. ","")&amp;IF($F340="Not separated","Live and dead not separated. Fine for a stock, but "&amp;"note it in reporting. ",""))</f>
        <v/>
      </c>
      <c r="P340" s="6"/>
      <c r="Q340" s="9" t="n">
        <f aca="false">IF($B340="",0,IF(COUNTIFS($B$5:$B340,$B340)=1,1,0))</f>
        <v>0</v>
      </c>
    </row>
    <row r="341" customFormat="false" ht="15" hidden="false" customHeight="false" outlineLevel="0" collapsed="false">
      <c r="A341" s="6"/>
      <c r="B341" s="6"/>
      <c r="C341" s="6"/>
      <c r="D341" s="6"/>
      <c r="E341" s="6"/>
      <c r="F341" s="6"/>
      <c r="G341" s="7"/>
      <c r="H341" s="7"/>
      <c r="I341" s="6"/>
      <c r="J341" s="9" t="str">
        <f aca="false">IF(NOT(ISNUMBER($G341)),"",IF(AND(ASH_CORRECTED="Yes",ISNUMBER($H341)),$G341*(1-$H341),$G341))</f>
        <v/>
      </c>
      <c r="K341" s="9" t="str">
        <f aca="false">IF($B341="","",IFERROR(AVERAGEIFS('2. Soil Data'!$G$5:$G$604,'2. Soil Data'!$B$5:$B$604,$B341),""))</f>
        <v/>
      </c>
      <c r="L341" s="9" t="str">
        <f aca="false">IF(NOT(ISNUMBER($K341)),"",PI()*($K341/2)^2)</f>
        <v/>
      </c>
      <c r="M341" s="9" t="str">
        <f aca="false">IF(OR(NOT(ISNUMBER($J341)),NOT(ISNUMBER($L341)),$L341=0),"",$J341/$L341*10000)</f>
        <v/>
      </c>
      <c r="N341" s="9" t="str">
        <f aca="false">IF(NOT(ISNUMBER($M341)),"",$M341*CARBON_FRACTION_ROOT/1000)</f>
        <v/>
      </c>
      <c r="O341" s="11" t="str">
        <f aca="false">IF(AND($A341="",$B341="",$G341=""),"",IF(AND($B341&lt;&gt;"",COUNTIFS('2. Soil Data'!$B$5:$B$604,$B341)=0),"Core ID not found in Soil Data, so the corer diameter cannot be looked up. ","")&amp;IF(ASH_CORRECTED&lt;&gt;"Yes","Root mass is NOT ash-corrected, so it includes adhering mineral soil and is too high. Set ASH_CORRECTED once you have done it. ","")&amp;IF(AND(ASH_CORRECTED="Yes",NOT(ISNUMBER($H341))),"Ash correction is switched on but no ash fraction is given for this row. ","")&amp;IF($I341="","Sieve mesh not recorded — a fine-root figure cannot be interpreted without it. ","")&amp;IF(AND(ISNUMBER($H341),$H341&gt;0.5),"Ash fraction above 0.5 — over half this sample was mineral soil. Re-wash. ","")&amp;IF($F341="Not separated","Live and dead not separated. Fine for a stock, but "&amp;"note it in reporting. ",""))</f>
        <v/>
      </c>
      <c r="P341" s="6"/>
      <c r="Q341" s="9" t="n">
        <f aca="false">IF($B341="",0,IF(COUNTIFS($B$5:$B341,$B341)=1,1,0))</f>
        <v>0</v>
      </c>
    </row>
    <row r="342" customFormat="false" ht="15" hidden="false" customHeight="false" outlineLevel="0" collapsed="false">
      <c r="A342" s="6"/>
      <c r="B342" s="6"/>
      <c r="C342" s="6"/>
      <c r="D342" s="6"/>
      <c r="E342" s="6"/>
      <c r="F342" s="6"/>
      <c r="G342" s="7"/>
      <c r="H342" s="7"/>
      <c r="I342" s="6"/>
      <c r="J342" s="9" t="str">
        <f aca="false">IF(NOT(ISNUMBER($G342)),"",IF(AND(ASH_CORRECTED="Yes",ISNUMBER($H342)),$G342*(1-$H342),$G342))</f>
        <v/>
      </c>
      <c r="K342" s="9" t="str">
        <f aca="false">IF($B342="","",IFERROR(AVERAGEIFS('2. Soil Data'!$G$5:$G$604,'2. Soil Data'!$B$5:$B$604,$B342),""))</f>
        <v/>
      </c>
      <c r="L342" s="9" t="str">
        <f aca="false">IF(NOT(ISNUMBER($K342)),"",PI()*($K342/2)^2)</f>
        <v/>
      </c>
      <c r="M342" s="9" t="str">
        <f aca="false">IF(OR(NOT(ISNUMBER($J342)),NOT(ISNUMBER($L342)),$L342=0),"",$J342/$L342*10000)</f>
        <v/>
      </c>
      <c r="N342" s="9" t="str">
        <f aca="false">IF(NOT(ISNUMBER($M342)),"",$M342*CARBON_FRACTION_ROOT/1000)</f>
        <v/>
      </c>
      <c r="O342" s="11" t="str">
        <f aca="false">IF(AND($A342="",$B342="",$G342=""),"",IF(AND($B342&lt;&gt;"",COUNTIFS('2. Soil Data'!$B$5:$B$604,$B342)=0),"Core ID not found in Soil Data, so the corer diameter cannot be looked up. ","")&amp;IF(ASH_CORRECTED&lt;&gt;"Yes","Root mass is NOT ash-corrected, so it includes adhering mineral soil and is too high. Set ASH_CORRECTED once you have done it. ","")&amp;IF(AND(ASH_CORRECTED="Yes",NOT(ISNUMBER($H342))),"Ash correction is switched on but no ash fraction is given for this row. ","")&amp;IF($I342="","Sieve mesh not recorded — a fine-root figure cannot be interpreted without it. ","")&amp;IF(AND(ISNUMBER($H342),$H342&gt;0.5),"Ash fraction above 0.5 — over half this sample was mineral soil. Re-wash. ","")&amp;IF($F342="Not separated","Live and dead not separated. Fine for a stock, but "&amp;"note it in reporting. ",""))</f>
        <v/>
      </c>
      <c r="P342" s="6"/>
      <c r="Q342" s="9" t="n">
        <f aca="false">IF($B342="",0,IF(COUNTIFS($B$5:$B342,$B342)=1,1,0))</f>
        <v>0</v>
      </c>
    </row>
    <row r="343" customFormat="false" ht="15" hidden="false" customHeight="false" outlineLevel="0" collapsed="false">
      <c r="A343" s="6"/>
      <c r="B343" s="6"/>
      <c r="C343" s="6"/>
      <c r="D343" s="6"/>
      <c r="E343" s="6"/>
      <c r="F343" s="6"/>
      <c r="G343" s="7"/>
      <c r="H343" s="7"/>
      <c r="I343" s="6"/>
      <c r="J343" s="9" t="str">
        <f aca="false">IF(NOT(ISNUMBER($G343)),"",IF(AND(ASH_CORRECTED="Yes",ISNUMBER($H343)),$G343*(1-$H343),$G343))</f>
        <v/>
      </c>
      <c r="K343" s="9" t="str">
        <f aca="false">IF($B343="","",IFERROR(AVERAGEIFS('2. Soil Data'!$G$5:$G$604,'2. Soil Data'!$B$5:$B$604,$B343),""))</f>
        <v/>
      </c>
      <c r="L343" s="9" t="str">
        <f aca="false">IF(NOT(ISNUMBER($K343)),"",PI()*($K343/2)^2)</f>
        <v/>
      </c>
      <c r="M343" s="9" t="str">
        <f aca="false">IF(OR(NOT(ISNUMBER($J343)),NOT(ISNUMBER($L343)),$L343=0),"",$J343/$L343*10000)</f>
        <v/>
      </c>
      <c r="N343" s="9" t="str">
        <f aca="false">IF(NOT(ISNUMBER($M343)),"",$M343*CARBON_FRACTION_ROOT/1000)</f>
        <v/>
      </c>
      <c r="O343" s="11" t="str">
        <f aca="false">IF(AND($A343="",$B343="",$G343=""),"",IF(AND($B343&lt;&gt;"",COUNTIFS('2. Soil Data'!$B$5:$B$604,$B343)=0),"Core ID not found in Soil Data, so the corer diameter cannot be looked up. ","")&amp;IF(ASH_CORRECTED&lt;&gt;"Yes","Root mass is NOT ash-corrected, so it includes adhering mineral soil and is too high. Set ASH_CORRECTED once you have done it. ","")&amp;IF(AND(ASH_CORRECTED="Yes",NOT(ISNUMBER($H343))),"Ash correction is switched on but no ash fraction is given for this row. ","")&amp;IF($I343="","Sieve mesh not recorded — a fine-root figure cannot be interpreted without it. ","")&amp;IF(AND(ISNUMBER($H343),$H343&gt;0.5),"Ash fraction above 0.5 — over half this sample was mineral soil. Re-wash. ","")&amp;IF($F343="Not separated","Live and dead not separated. Fine for a stock, but "&amp;"note it in reporting. ",""))</f>
        <v/>
      </c>
      <c r="P343" s="6"/>
      <c r="Q343" s="9" t="n">
        <f aca="false">IF($B343="",0,IF(COUNTIFS($B$5:$B343,$B343)=1,1,0))</f>
        <v>0</v>
      </c>
    </row>
    <row r="344" customFormat="false" ht="15" hidden="false" customHeight="false" outlineLevel="0" collapsed="false">
      <c r="A344" s="6"/>
      <c r="B344" s="6"/>
      <c r="C344" s="6"/>
      <c r="D344" s="6"/>
      <c r="E344" s="6"/>
      <c r="F344" s="6"/>
      <c r="G344" s="7"/>
      <c r="H344" s="7"/>
      <c r="I344" s="6"/>
      <c r="J344" s="9" t="str">
        <f aca="false">IF(NOT(ISNUMBER($G344)),"",IF(AND(ASH_CORRECTED="Yes",ISNUMBER($H344)),$G344*(1-$H344),$G344))</f>
        <v/>
      </c>
      <c r="K344" s="9" t="str">
        <f aca="false">IF($B344="","",IFERROR(AVERAGEIFS('2. Soil Data'!$G$5:$G$604,'2. Soil Data'!$B$5:$B$604,$B344),""))</f>
        <v/>
      </c>
      <c r="L344" s="9" t="str">
        <f aca="false">IF(NOT(ISNUMBER($K344)),"",PI()*($K344/2)^2)</f>
        <v/>
      </c>
      <c r="M344" s="9" t="str">
        <f aca="false">IF(OR(NOT(ISNUMBER($J344)),NOT(ISNUMBER($L344)),$L344=0),"",$J344/$L344*10000)</f>
        <v/>
      </c>
      <c r="N344" s="9" t="str">
        <f aca="false">IF(NOT(ISNUMBER($M344)),"",$M344*CARBON_FRACTION_ROOT/1000)</f>
        <v/>
      </c>
      <c r="O344" s="11" t="str">
        <f aca="false">IF(AND($A344="",$B344="",$G344=""),"",IF(AND($B344&lt;&gt;"",COUNTIFS('2. Soil Data'!$B$5:$B$604,$B344)=0),"Core ID not found in Soil Data, so the corer diameter cannot be looked up. ","")&amp;IF(ASH_CORRECTED&lt;&gt;"Yes","Root mass is NOT ash-corrected, so it includes adhering mineral soil and is too high. Set ASH_CORRECTED once you have done it. ","")&amp;IF(AND(ASH_CORRECTED="Yes",NOT(ISNUMBER($H344))),"Ash correction is switched on but no ash fraction is given for this row. ","")&amp;IF($I344="","Sieve mesh not recorded — a fine-root figure cannot be interpreted without it. ","")&amp;IF(AND(ISNUMBER($H344),$H344&gt;0.5),"Ash fraction above 0.5 — over half this sample was mineral soil. Re-wash. ","")&amp;IF($F344="Not separated","Live and dead not separated. Fine for a stock, but "&amp;"note it in reporting. ",""))</f>
        <v/>
      </c>
      <c r="P344" s="6"/>
      <c r="Q344" s="9" t="n">
        <f aca="false">IF($B344="",0,IF(COUNTIFS($B$5:$B344,$B344)=1,1,0))</f>
        <v>0</v>
      </c>
    </row>
    <row r="345" customFormat="false" ht="15" hidden="false" customHeight="false" outlineLevel="0" collapsed="false">
      <c r="A345" s="6"/>
      <c r="B345" s="6"/>
      <c r="C345" s="6"/>
      <c r="D345" s="6"/>
      <c r="E345" s="6"/>
      <c r="F345" s="6"/>
      <c r="G345" s="7"/>
      <c r="H345" s="7"/>
      <c r="I345" s="6"/>
      <c r="J345" s="9" t="str">
        <f aca="false">IF(NOT(ISNUMBER($G345)),"",IF(AND(ASH_CORRECTED="Yes",ISNUMBER($H345)),$G345*(1-$H345),$G345))</f>
        <v/>
      </c>
      <c r="K345" s="9" t="str">
        <f aca="false">IF($B345="","",IFERROR(AVERAGEIFS('2. Soil Data'!$G$5:$G$604,'2. Soil Data'!$B$5:$B$604,$B345),""))</f>
        <v/>
      </c>
      <c r="L345" s="9" t="str">
        <f aca="false">IF(NOT(ISNUMBER($K345)),"",PI()*($K345/2)^2)</f>
        <v/>
      </c>
      <c r="M345" s="9" t="str">
        <f aca="false">IF(OR(NOT(ISNUMBER($J345)),NOT(ISNUMBER($L345)),$L345=0),"",$J345/$L345*10000)</f>
        <v/>
      </c>
      <c r="N345" s="9" t="str">
        <f aca="false">IF(NOT(ISNUMBER($M345)),"",$M345*CARBON_FRACTION_ROOT/1000)</f>
        <v/>
      </c>
      <c r="O345" s="11" t="str">
        <f aca="false">IF(AND($A345="",$B345="",$G345=""),"",IF(AND($B345&lt;&gt;"",COUNTIFS('2. Soil Data'!$B$5:$B$604,$B345)=0),"Core ID not found in Soil Data, so the corer diameter cannot be looked up. ","")&amp;IF(ASH_CORRECTED&lt;&gt;"Yes","Root mass is NOT ash-corrected, so it includes adhering mineral soil and is too high. Set ASH_CORRECTED once you have done it. ","")&amp;IF(AND(ASH_CORRECTED="Yes",NOT(ISNUMBER($H345))),"Ash correction is switched on but no ash fraction is given for this row. ","")&amp;IF($I345="","Sieve mesh not recorded — a fine-root figure cannot be interpreted without it. ","")&amp;IF(AND(ISNUMBER($H345),$H345&gt;0.5),"Ash fraction above 0.5 — over half this sample was mineral soil. Re-wash. ","")&amp;IF($F345="Not separated","Live and dead not separated. Fine for a stock, but "&amp;"note it in reporting. ",""))</f>
        <v/>
      </c>
      <c r="P345" s="6"/>
      <c r="Q345" s="9" t="n">
        <f aca="false">IF($B345="",0,IF(COUNTIFS($B$5:$B345,$B345)=1,1,0))</f>
        <v>0</v>
      </c>
    </row>
    <row r="346" customFormat="false" ht="15" hidden="false" customHeight="false" outlineLevel="0" collapsed="false">
      <c r="A346" s="6"/>
      <c r="B346" s="6"/>
      <c r="C346" s="6"/>
      <c r="D346" s="6"/>
      <c r="E346" s="6"/>
      <c r="F346" s="6"/>
      <c r="G346" s="7"/>
      <c r="H346" s="7"/>
      <c r="I346" s="6"/>
      <c r="J346" s="9" t="str">
        <f aca="false">IF(NOT(ISNUMBER($G346)),"",IF(AND(ASH_CORRECTED="Yes",ISNUMBER($H346)),$G346*(1-$H346),$G346))</f>
        <v/>
      </c>
      <c r="K346" s="9" t="str">
        <f aca="false">IF($B346="","",IFERROR(AVERAGEIFS('2. Soil Data'!$G$5:$G$604,'2. Soil Data'!$B$5:$B$604,$B346),""))</f>
        <v/>
      </c>
      <c r="L346" s="9" t="str">
        <f aca="false">IF(NOT(ISNUMBER($K346)),"",PI()*($K346/2)^2)</f>
        <v/>
      </c>
      <c r="M346" s="9" t="str">
        <f aca="false">IF(OR(NOT(ISNUMBER($J346)),NOT(ISNUMBER($L346)),$L346=0),"",$J346/$L346*10000)</f>
        <v/>
      </c>
      <c r="N346" s="9" t="str">
        <f aca="false">IF(NOT(ISNUMBER($M346)),"",$M346*CARBON_FRACTION_ROOT/1000)</f>
        <v/>
      </c>
      <c r="O346" s="11" t="str">
        <f aca="false">IF(AND($A346="",$B346="",$G346=""),"",IF(AND($B346&lt;&gt;"",COUNTIFS('2. Soil Data'!$B$5:$B$604,$B346)=0),"Core ID not found in Soil Data, so the corer diameter cannot be looked up. ","")&amp;IF(ASH_CORRECTED&lt;&gt;"Yes","Root mass is NOT ash-corrected, so it includes adhering mineral soil and is too high. Set ASH_CORRECTED once you have done it. ","")&amp;IF(AND(ASH_CORRECTED="Yes",NOT(ISNUMBER($H346))),"Ash correction is switched on but no ash fraction is given for this row. ","")&amp;IF($I346="","Sieve mesh not recorded — a fine-root figure cannot be interpreted without it. ","")&amp;IF(AND(ISNUMBER($H346),$H346&gt;0.5),"Ash fraction above 0.5 — over half this sample was mineral soil. Re-wash. ","")&amp;IF($F346="Not separated","Live and dead not separated. Fine for a stock, but "&amp;"note it in reporting. ",""))</f>
        <v/>
      </c>
      <c r="P346" s="6"/>
      <c r="Q346" s="9" t="n">
        <f aca="false">IF($B346="",0,IF(COUNTIFS($B$5:$B346,$B346)=1,1,0))</f>
        <v>0</v>
      </c>
    </row>
    <row r="347" customFormat="false" ht="15" hidden="false" customHeight="false" outlineLevel="0" collapsed="false">
      <c r="A347" s="6"/>
      <c r="B347" s="6"/>
      <c r="C347" s="6"/>
      <c r="D347" s="6"/>
      <c r="E347" s="6"/>
      <c r="F347" s="6"/>
      <c r="G347" s="7"/>
      <c r="H347" s="7"/>
      <c r="I347" s="6"/>
      <c r="J347" s="9" t="str">
        <f aca="false">IF(NOT(ISNUMBER($G347)),"",IF(AND(ASH_CORRECTED="Yes",ISNUMBER($H347)),$G347*(1-$H347),$G347))</f>
        <v/>
      </c>
      <c r="K347" s="9" t="str">
        <f aca="false">IF($B347="","",IFERROR(AVERAGEIFS('2. Soil Data'!$G$5:$G$604,'2. Soil Data'!$B$5:$B$604,$B347),""))</f>
        <v/>
      </c>
      <c r="L347" s="9" t="str">
        <f aca="false">IF(NOT(ISNUMBER($K347)),"",PI()*($K347/2)^2)</f>
        <v/>
      </c>
      <c r="M347" s="9" t="str">
        <f aca="false">IF(OR(NOT(ISNUMBER($J347)),NOT(ISNUMBER($L347)),$L347=0),"",$J347/$L347*10000)</f>
        <v/>
      </c>
      <c r="N347" s="9" t="str">
        <f aca="false">IF(NOT(ISNUMBER($M347)),"",$M347*CARBON_FRACTION_ROOT/1000)</f>
        <v/>
      </c>
      <c r="O347" s="11" t="str">
        <f aca="false">IF(AND($A347="",$B347="",$G347=""),"",IF(AND($B347&lt;&gt;"",COUNTIFS('2. Soil Data'!$B$5:$B$604,$B347)=0),"Core ID not found in Soil Data, so the corer diameter cannot be looked up. ","")&amp;IF(ASH_CORRECTED&lt;&gt;"Yes","Root mass is NOT ash-corrected, so it includes adhering mineral soil and is too high. Set ASH_CORRECTED once you have done it. ","")&amp;IF(AND(ASH_CORRECTED="Yes",NOT(ISNUMBER($H347))),"Ash correction is switched on but no ash fraction is given for this row. ","")&amp;IF($I347="","Sieve mesh not recorded — a fine-root figure cannot be interpreted without it. ","")&amp;IF(AND(ISNUMBER($H347),$H347&gt;0.5),"Ash fraction above 0.5 — over half this sample was mineral soil. Re-wash. ","")&amp;IF($F347="Not separated","Live and dead not separated. Fine for a stock, but "&amp;"note it in reporting. ",""))</f>
        <v/>
      </c>
      <c r="P347" s="6"/>
      <c r="Q347" s="9" t="n">
        <f aca="false">IF($B347="",0,IF(COUNTIFS($B$5:$B347,$B347)=1,1,0))</f>
        <v>0</v>
      </c>
    </row>
    <row r="348" customFormat="false" ht="15" hidden="false" customHeight="false" outlineLevel="0" collapsed="false">
      <c r="A348" s="6"/>
      <c r="B348" s="6"/>
      <c r="C348" s="6"/>
      <c r="D348" s="6"/>
      <c r="E348" s="6"/>
      <c r="F348" s="6"/>
      <c r="G348" s="7"/>
      <c r="H348" s="7"/>
      <c r="I348" s="6"/>
      <c r="J348" s="9" t="str">
        <f aca="false">IF(NOT(ISNUMBER($G348)),"",IF(AND(ASH_CORRECTED="Yes",ISNUMBER($H348)),$G348*(1-$H348),$G348))</f>
        <v/>
      </c>
      <c r="K348" s="9" t="str">
        <f aca="false">IF($B348="","",IFERROR(AVERAGEIFS('2. Soil Data'!$G$5:$G$604,'2. Soil Data'!$B$5:$B$604,$B348),""))</f>
        <v/>
      </c>
      <c r="L348" s="9" t="str">
        <f aca="false">IF(NOT(ISNUMBER($K348)),"",PI()*($K348/2)^2)</f>
        <v/>
      </c>
      <c r="M348" s="9" t="str">
        <f aca="false">IF(OR(NOT(ISNUMBER($J348)),NOT(ISNUMBER($L348)),$L348=0),"",$J348/$L348*10000)</f>
        <v/>
      </c>
      <c r="N348" s="9" t="str">
        <f aca="false">IF(NOT(ISNUMBER($M348)),"",$M348*CARBON_FRACTION_ROOT/1000)</f>
        <v/>
      </c>
      <c r="O348" s="11" t="str">
        <f aca="false">IF(AND($A348="",$B348="",$G348=""),"",IF(AND($B348&lt;&gt;"",COUNTIFS('2. Soil Data'!$B$5:$B$604,$B348)=0),"Core ID not found in Soil Data, so the corer diameter cannot be looked up. ","")&amp;IF(ASH_CORRECTED&lt;&gt;"Yes","Root mass is NOT ash-corrected, so it includes adhering mineral soil and is too high. Set ASH_CORRECTED once you have done it. ","")&amp;IF(AND(ASH_CORRECTED="Yes",NOT(ISNUMBER($H348))),"Ash correction is switched on but no ash fraction is given for this row. ","")&amp;IF($I348="","Sieve mesh not recorded — a fine-root figure cannot be interpreted without it. ","")&amp;IF(AND(ISNUMBER($H348),$H348&gt;0.5),"Ash fraction above 0.5 — over half this sample was mineral soil. Re-wash. ","")&amp;IF($F348="Not separated","Live and dead not separated. Fine for a stock, but "&amp;"note it in reporting. ",""))</f>
        <v/>
      </c>
      <c r="P348" s="6"/>
      <c r="Q348" s="9" t="n">
        <f aca="false">IF($B348="",0,IF(COUNTIFS($B$5:$B348,$B348)=1,1,0))</f>
        <v>0</v>
      </c>
    </row>
    <row r="349" customFormat="false" ht="15" hidden="false" customHeight="false" outlineLevel="0" collapsed="false">
      <c r="A349" s="6"/>
      <c r="B349" s="6"/>
      <c r="C349" s="6"/>
      <c r="D349" s="6"/>
      <c r="E349" s="6"/>
      <c r="F349" s="6"/>
      <c r="G349" s="7"/>
      <c r="H349" s="7"/>
      <c r="I349" s="6"/>
      <c r="J349" s="9" t="str">
        <f aca="false">IF(NOT(ISNUMBER($G349)),"",IF(AND(ASH_CORRECTED="Yes",ISNUMBER($H349)),$G349*(1-$H349),$G349))</f>
        <v/>
      </c>
      <c r="K349" s="9" t="str">
        <f aca="false">IF($B349="","",IFERROR(AVERAGEIFS('2. Soil Data'!$G$5:$G$604,'2. Soil Data'!$B$5:$B$604,$B349),""))</f>
        <v/>
      </c>
      <c r="L349" s="9" t="str">
        <f aca="false">IF(NOT(ISNUMBER($K349)),"",PI()*($K349/2)^2)</f>
        <v/>
      </c>
      <c r="M349" s="9" t="str">
        <f aca="false">IF(OR(NOT(ISNUMBER($J349)),NOT(ISNUMBER($L349)),$L349=0),"",$J349/$L349*10000)</f>
        <v/>
      </c>
      <c r="N349" s="9" t="str">
        <f aca="false">IF(NOT(ISNUMBER($M349)),"",$M349*CARBON_FRACTION_ROOT/1000)</f>
        <v/>
      </c>
      <c r="O349" s="11" t="str">
        <f aca="false">IF(AND($A349="",$B349="",$G349=""),"",IF(AND($B349&lt;&gt;"",COUNTIFS('2. Soil Data'!$B$5:$B$604,$B349)=0),"Core ID not found in Soil Data, so the corer diameter cannot be looked up. ","")&amp;IF(ASH_CORRECTED&lt;&gt;"Yes","Root mass is NOT ash-corrected, so it includes adhering mineral soil and is too high. Set ASH_CORRECTED once you have done it. ","")&amp;IF(AND(ASH_CORRECTED="Yes",NOT(ISNUMBER($H349))),"Ash correction is switched on but no ash fraction is given for this row. ","")&amp;IF($I349="","Sieve mesh not recorded — a fine-root figure cannot be interpreted without it. ","")&amp;IF(AND(ISNUMBER($H349),$H349&gt;0.5),"Ash fraction above 0.5 — over half this sample was mineral soil. Re-wash. ","")&amp;IF($F349="Not separated","Live and dead not separated. Fine for a stock, but "&amp;"note it in reporting. ",""))</f>
        <v/>
      </c>
      <c r="P349" s="6"/>
      <c r="Q349" s="9" t="n">
        <f aca="false">IF($B349="",0,IF(COUNTIFS($B$5:$B349,$B349)=1,1,0))</f>
        <v>0</v>
      </c>
    </row>
    <row r="350" customFormat="false" ht="15" hidden="false" customHeight="false" outlineLevel="0" collapsed="false">
      <c r="A350" s="6"/>
      <c r="B350" s="6"/>
      <c r="C350" s="6"/>
      <c r="D350" s="6"/>
      <c r="E350" s="6"/>
      <c r="F350" s="6"/>
      <c r="G350" s="7"/>
      <c r="H350" s="7"/>
      <c r="I350" s="6"/>
      <c r="J350" s="9" t="str">
        <f aca="false">IF(NOT(ISNUMBER($G350)),"",IF(AND(ASH_CORRECTED="Yes",ISNUMBER($H350)),$G350*(1-$H350),$G350))</f>
        <v/>
      </c>
      <c r="K350" s="9" t="str">
        <f aca="false">IF($B350="","",IFERROR(AVERAGEIFS('2. Soil Data'!$G$5:$G$604,'2. Soil Data'!$B$5:$B$604,$B350),""))</f>
        <v/>
      </c>
      <c r="L350" s="9" t="str">
        <f aca="false">IF(NOT(ISNUMBER($K350)),"",PI()*($K350/2)^2)</f>
        <v/>
      </c>
      <c r="M350" s="9" t="str">
        <f aca="false">IF(OR(NOT(ISNUMBER($J350)),NOT(ISNUMBER($L350)),$L350=0),"",$J350/$L350*10000)</f>
        <v/>
      </c>
      <c r="N350" s="9" t="str">
        <f aca="false">IF(NOT(ISNUMBER($M350)),"",$M350*CARBON_FRACTION_ROOT/1000)</f>
        <v/>
      </c>
      <c r="O350" s="11" t="str">
        <f aca="false">IF(AND($A350="",$B350="",$G350=""),"",IF(AND($B350&lt;&gt;"",COUNTIFS('2. Soil Data'!$B$5:$B$604,$B350)=0),"Core ID not found in Soil Data, so the corer diameter cannot be looked up. ","")&amp;IF(ASH_CORRECTED&lt;&gt;"Yes","Root mass is NOT ash-corrected, so it includes adhering mineral soil and is too high. Set ASH_CORRECTED once you have done it. ","")&amp;IF(AND(ASH_CORRECTED="Yes",NOT(ISNUMBER($H350))),"Ash correction is switched on but no ash fraction is given for this row. ","")&amp;IF($I350="","Sieve mesh not recorded — a fine-root figure cannot be interpreted without it. ","")&amp;IF(AND(ISNUMBER($H350),$H350&gt;0.5),"Ash fraction above 0.5 — over half this sample was mineral soil. Re-wash. ","")&amp;IF($F350="Not separated","Live and dead not separated. Fine for a stock, but "&amp;"note it in reporting. ",""))</f>
        <v/>
      </c>
      <c r="P350" s="6"/>
      <c r="Q350" s="9" t="n">
        <f aca="false">IF($B350="",0,IF(COUNTIFS($B$5:$B350,$B350)=1,1,0))</f>
        <v>0</v>
      </c>
    </row>
    <row r="351" customFormat="false" ht="15" hidden="false" customHeight="false" outlineLevel="0" collapsed="false">
      <c r="A351" s="6"/>
      <c r="B351" s="6"/>
      <c r="C351" s="6"/>
      <c r="D351" s="6"/>
      <c r="E351" s="6"/>
      <c r="F351" s="6"/>
      <c r="G351" s="7"/>
      <c r="H351" s="7"/>
      <c r="I351" s="6"/>
      <c r="J351" s="9" t="str">
        <f aca="false">IF(NOT(ISNUMBER($G351)),"",IF(AND(ASH_CORRECTED="Yes",ISNUMBER($H351)),$G351*(1-$H351),$G351))</f>
        <v/>
      </c>
      <c r="K351" s="9" t="str">
        <f aca="false">IF($B351="","",IFERROR(AVERAGEIFS('2. Soil Data'!$G$5:$G$604,'2. Soil Data'!$B$5:$B$604,$B351),""))</f>
        <v/>
      </c>
      <c r="L351" s="9" t="str">
        <f aca="false">IF(NOT(ISNUMBER($K351)),"",PI()*($K351/2)^2)</f>
        <v/>
      </c>
      <c r="M351" s="9" t="str">
        <f aca="false">IF(OR(NOT(ISNUMBER($J351)),NOT(ISNUMBER($L351)),$L351=0),"",$J351/$L351*10000)</f>
        <v/>
      </c>
      <c r="N351" s="9" t="str">
        <f aca="false">IF(NOT(ISNUMBER($M351)),"",$M351*CARBON_FRACTION_ROOT/1000)</f>
        <v/>
      </c>
      <c r="O351" s="11" t="str">
        <f aca="false">IF(AND($A351="",$B351="",$G351=""),"",IF(AND($B351&lt;&gt;"",COUNTIFS('2. Soil Data'!$B$5:$B$604,$B351)=0),"Core ID not found in Soil Data, so the corer diameter cannot be looked up. ","")&amp;IF(ASH_CORRECTED&lt;&gt;"Yes","Root mass is NOT ash-corrected, so it includes adhering mineral soil and is too high. Set ASH_CORRECTED once you have done it. ","")&amp;IF(AND(ASH_CORRECTED="Yes",NOT(ISNUMBER($H351))),"Ash correction is switched on but no ash fraction is given for this row. ","")&amp;IF($I351="","Sieve mesh not recorded — a fine-root figure cannot be interpreted without it. ","")&amp;IF(AND(ISNUMBER($H351),$H351&gt;0.5),"Ash fraction above 0.5 — over half this sample was mineral soil. Re-wash. ","")&amp;IF($F351="Not separated","Live and dead not separated. Fine for a stock, but "&amp;"note it in reporting. ",""))</f>
        <v/>
      </c>
      <c r="P351" s="6"/>
      <c r="Q351" s="9" t="n">
        <f aca="false">IF($B351="",0,IF(COUNTIFS($B$5:$B351,$B351)=1,1,0))</f>
        <v>0</v>
      </c>
    </row>
    <row r="352" customFormat="false" ht="15" hidden="false" customHeight="false" outlineLevel="0" collapsed="false">
      <c r="A352" s="6"/>
      <c r="B352" s="6"/>
      <c r="C352" s="6"/>
      <c r="D352" s="6"/>
      <c r="E352" s="6"/>
      <c r="F352" s="6"/>
      <c r="G352" s="7"/>
      <c r="H352" s="7"/>
      <c r="I352" s="6"/>
      <c r="J352" s="9" t="str">
        <f aca="false">IF(NOT(ISNUMBER($G352)),"",IF(AND(ASH_CORRECTED="Yes",ISNUMBER($H352)),$G352*(1-$H352),$G352))</f>
        <v/>
      </c>
      <c r="K352" s="9" t="str">
        <f aca="false">IF($B352="","",IFERROR(AVERAGEIFS('2. Soil Data'!$G$5:$G$604,'2. Soil Data'!$B$5:$B$604,$B352),""))</f>
        <v/>
      </c>
      <c r="L352" s="9" t="str">
        <f aca="false">IF(NOT(ISNUMBER($K352)),"",PI()*($K352/2)^2)</f>
        <v/>
      </c>
      <c r="M352" s="9" t="str">
        <f aca="false">IF(OR(NOT(ISNUMBER($J352)),NOT(ISNUMBER($L352)),$L352=0),"",$J352/$L352*10000)</f>
        <v/>
      </c>
      <c r="N352" s="9" t="str">
        <f aca="false">IF(NOT(ISNUMBER($M352)),"",$M352*CARBON_FRACTION_ROOT/1000)</f>
        <v/>
      </c>
      <c r="O352" s="11" t="str">
        <f aca="false">IF(AND($A352="",$B352="",$G352=""),"",IF(AND($B352&lt;&gt;"",COUNTIFS('2. Soil Data'!$B$5:$B$604,$B352)=0),"Core ID not found in Soil Data, so the corer diameter cannot be looked up. ","")&amp;IF(ASH_CORRECTED&lt;&gt;"Yes","Root mass is NOT ash-corrected, so it includes adhering mineral soil and is too high. Set ASH_CORRECTED once you have done it. ","")&amp;IF(AND(ASH_CORRECTED="Yes",NOT(ISNUMBER($H352))),"Ash correction is switched on but no ash fraction is given for this row. ","")&amp;IF($I352="","Sieve mesh not recorded — a fine-root figure cannot be interpreted without it. ","")&amp;IF(AND(ISNUMBER($H352),$H352&gt;0.5),"Ash fraction above 0.5 — over half this sample was mineral soil. Re-wash. ","")&amp;IF($F352="Not separated","Live and dead not separated. Fine for a stock, but "&amp;"note it in reporting. ",""))</f>
        <v/>
      </c>
      <c r="P352" s="6"/>
      <c r="Q352" s="9" t="n">
        <f aca="false">IF($B352="",0,IF(COUNTIFS($B$5:$B352,$B352)=1,1,0))</f>
        <v>0</v>
      </c>
    </row>
    <row r="353" customFormat="false" ht="15" hidden="false" customHeight="false" outlineLevel="0" collapsed="false">
      <c r="A353" s="6"/>
      <c r="B353" s="6"/>
      <c r="C353" s="6"/>
      <c r="D353" s="6"/>
      <c r="E353" s="6"/>
      <c r="F353" s="6"/>
      <c r="G353" s="7"/>
      <c r="H353" s="7"/>
      <c r="I353" s="6"/>
      <c r="J353" s="9" t="str">
        <f aca="false">IF(NOT(ISNUMBER($G353)),"",IF(AND(ASH_CORRECTED="Yes",ISNUMBER($H353)),$G353*(1-$H353),$G353))</f>
        <v/>
      </c>
      <c r="K353" s="9" t="str">
        <f aca="false">IF($B353="","",IFERROR(AVERAGEIFS('2. Soil Data'!$G$5:$G$604,'2. Soil Data'!$B$5:$B$604,$B353),""))</f>
        <v/>
      </c>
      <c r="L353" s="9" t="str">
        <f aca="false">IF(NOT(ISNUMBER($K353)),"",PI()*($K353/2)^2)</f>
        <v/>
      </c>
      <c r="M353" s="9" t="str">
        <f aca="false">IF(OR(NOT(ISNUMBER($J353)),NOT(ISNUMBER($L353)),$L353=0),"",$J353/$L353*10000)</f>
        <v/>
      </c>
      <c r="N353" s="9" t="str">
        <f aca="false">IF(NOT(ISNUMBER($M353)),"",$M353*CARBON_FRACTION_ROOT/1000)</f>
        <v/>
      </c>
      <c r="O353" s="11" t="str">
        <f aca="false">IF(AND($A353="",$B353="",$G353=""),"",IF(AND($B353&lt;&gt;"",COUNTIFS('2. Soil Data'!$B$5:$B$604,$B353)=0),"Core ID not found in Soil Data, so the corer diameter cannot be looked up. ","")&amp;IF(ASH_CORRECTED&lt;&gt;"Yes","Root mass is NOT ash-corrected, so it includes adhering mineral soil and is too high. Set ASH_CORRECTED once you have done it. ","")&amp;IF(AND(ASH_CORRECTED="Yes",NOT(ISNUMBER($H353))),"Ash correction is switched on but no ash fraction is given for this row. ","")&amp;IF($I353="","Sieve mesh not recorded — a fine-root figure cannot be interpreted without it. ","")&amp;IF(AND(ISNUMBER($H353),$H353&gt;0.5),"Ash fraction above 0.5 — over half this sample was mineral soil. Re-wash. ","")&amp;IF($F353="Not separated","Live and dead not separated. Fine for a stock, but "&amp;"note it in reporting. ",""))</f>
        <v/>
      </c>
      <c r="P353" s="6"/>
      <c r="Q353" s="9" t="n">
        <f aca="false">IF($B353="",0,IF(COUNTIFS($B$5:$B353,$B353)=1,1,0))</f>
        <v>0</v>
      </c>
    </row>
    <row r="354" customFormat="false" ht="15" hidden="false" customHeight="false" outlineLevel="0" collapsed="false">
      <c r="A354" s="6"/>
      <c r="B354" s="6"/>
      <c r="C354" s="6"/>
      <c r="D354" s="6"/>
      <c r="E354" s="6"/>
      <c r="F354" s="6"/>
      <c r="G354" s="7"/>
      <c r="H354" s="7"/>
      <c r="I354" s="6"/>
      <c r="J354" s="9" t="str">
        <f aca="false">IF(NOT(ISNUMBER($G354)),"",IF(AND(ASH_CORRECTED="Yes",ISNUMBER($H354)),$G354*(1-$H354),$G354))</f>
        <v/>
      </c>
      <c r="K354" s="9" t="str">
        <f aca="false">IF($B354="","",IFERROR(AVERAGEIFS('2. Soil Data'!$G$5:$G$604,'2. Soil Data'!$B$5:$B$604,$B354),""))</f>
        <v/>
      </c>
      <c r="L354" s="9" t="str">
        <f aca="false">IF(NOT(ISNUMBER($K354)),"",PI()*($K354/2)^2)</f>
        <v/>
      </c>
      <c r="M354" s="9" t="str">
        <f aca="false">IF(OR(NOT(ISNUMBER($J354)),NOT(ISNUMBER($L354)),$L354=0),"",$J354/$L354*10000)</f>
        <v/>
      </c>
      <c r="N354" s="9" t="str">
        <f aca="false">IF(NOT(ISNUMBER($M354)),"",$M354*CARBON_FRACTION_ROOT/1000)</f>
        <v/>
      </c>
      <c r="O354" s="11" t="str">
        <f aca="false">IF(AND($A354="",$B354="",$G354=""),"",IF(AND($B354&lt;&gt;"",COUNTIFS('2. Soil Data'!$B$5:$B$604,$B354)=0),"Core ID not found in Soil Data, so the corer diameter cannot be looked up. ","")&amp;IF(ASH_CORRECTED&lt;&gt;"Yes","Root mass is NOT ash-corrected, so it includes adhering mineral soil and is too high. Set ASH_CORRECTED once you have done it. ","")&amp;IF(AND(ASH_CORRECTED="Yes",NOT(ISNUMBER($H354))),"Ash correction is switched on but no ash fraction is given for this row. ","")&amp;IF($I354="","Sieve mesh not recorded — a fine-root figure cannot be interpreted without it. ","")&amp;IF(AND(ISNUMBER($H354),$H354&gt;0.5),"Ash fraction above 0.5 — over half this sample was mineral soil. Re-wash. ","")&amp;IF($F354="Not separated","Live and dead not separated. Fine for a stock, but "&amp;"note it in reporting. ",""))</f>
        <v/>
      </c>
      <c r="P354" s="6"/>
      <c r="Q354" s="9" t="n">
        <f aca="false">IF($B354="",0,IF(COUNTIFS($B$5:$B354,$B354)=1,1,0))</f>
        <v>0</v>
      </c>
    </row>
    <row r="355" customFormat="false" ht="15" hidden="false" customHeight="false" outlineLevel="0" collapsed="false">
      <c r="A355" s="6"/>
      <c r="B355" s="6"/>
      <c r="C355" s="6"/>
      <c r="D355" s="6"/>
      <c r="E355" s="6"/>
      <c r="F355" s="6"/>
      <c r="G355" s="7"/>
      <c r="H355" s="7"/>
      <c r="I355" s="6"/>
      <c r="J355" s="9" t="str">
        <f aca="false">IF(NOT(ISNUMBER($G355)),"",IF(AND(ASH_CORRECTED="Yes",ISNUMBER($H355)),$G355*(1-$H355),$G355))</f>
        <v/>
      </c>
      <c r="K355" s="9" t="str">
        <f aca="false">IF($B355="","",IFERROR(AVERAGEIFS('2. Soil Data'!$G$5:$G$604,'2. Soil Data'!$B$5:$B$604,$B355),""))</f>
        <v/>
      </c>
      <c r="L355" s="9" t="str">
        <f aca="false">IF(NOT(ISNUMBER($K355)),"",PI()*($K355/2)^2)</f>
        <v/>
      </c>
      <c r="M355" s="9" t="str">
        <f aca="false">IF(OR(NOT(ISNUMBER($J355)),NOT(ISNUMBER($L355)),$L355=0),"",$J355/$L355*10000)</f>
        <v/>
      </c>
      <c r="N355" s="9" t="str">
        <f aca="false">IF(NOT(ISNUMBER($M355)),"",$M355*CARBON_FRACTION_ROOT/1000)</f>
        <v/>
      </c>
      <c r="O355" s="11" t="str">
        <f aca="false">IF(AND($A355="",$B355="",$G355=""),"",IF(AND($B355&lt;&gt;"",COUNTIFS('2. Soil Data'!$B$5:$B$604,$B355)=0),"Core ID not found in Soil Data, so the corer diameter cannot be looked up. ","")&amp;IF(ASH_CORRECTED&lt;&gt;"Yes","Root mass is NOT ash-corrected, so it includes adhering mineral soil and is too high. Set ASH_CORRECTED once you have done it. ","")&amp;IF(AND(ASH_CORRECTED="Yes",NOT(ISNUMBER($H355))),"Ash correction is switched on but no ash fraction is given for this row. ","")&amp;IF($I355="","Sieve mesh not recorded — a fine-root figure cannot be interpreted without it. ","")&amp;IF(AND(ISNUMBER($H355),$H355&gt;0.5),"Ash fraction above 0.5 — over half this sample was mineral soil. Re-wash. ","")&amp;IF($F355="Not separated","Live and dead not separated. Fine for a stock, but "&amp;"note it in reporting. ",""))</f>
        <v/>
      </c>
      <c r="P355" s="6"/>
      <c r="Q355" s="9" t="n">
        <f aca="false">IF($B355="",0,IF(COUNTIFS($B$5:$B355,$B355)=1,1,0))</f>
        <v>0</v>
      </c>
    </row>
    <row r="356" customFormat="false" ht="15" hidden="false" customHeight="false" outlineLevel="0" collapsed="false">
      <c r="A356" s="6"/>
      <c r="B356" s="6"/>
      <c r="C356" s="6"/>
      <c r="D356" s="6"/>
      <c r="E356" s="6"/>
      <c r="F356" s="6"/>
      <c r="G356" s="7"/>
      <c r="H356" s="7"/>
      <c r="I356" s="6"/>
      <c r="J356" s="9" t="str">
        <f aca="false">IF(NOT(ISNUMBER($G356)),"",IF(AND(ASH_CORRECTED="Yes",ISNUMBER($H356)),$G356*(1-$H356),$G356))</f>
        <v/>
      </c>
      <c r="K356" s="9" t="str">
        <f aca="false">IF($B356="","",IFERROR(AVERAGEIFS('2. Soil Data'!$G$5:$G$604,'2. Soil Data'!$B$5:$B$604,$B356),""))</f>
        <v/>
      </c>
      <c r="L356" s="9" t="str">
        <f aca="false">IF(NOT(ISNUMBER($K356)),"",PI()*($K356/2)^2)</f>
        <v/>
      </c>
      <c r="M356" s="9" t="str">
        <f aca="false">IF(OR(NOT(ISNUMBER($J356)),NOT(ISNUMBER($L356)),$L356=0),"",$J356/$L356*10000)</f>
        <v/>
      </c>
      <c r="N356" s="9" t="str">
        <f aca="false">IF(NOT(ISNUMBER($M356)),"",$M356*CARBON_FRACTION_ROOT/1000)</f>
        <v/>
      </c>
      <c r="O356" s="11" t="str">
        <f aca="false">IF(AND($A356="",$B356="",$G356=""),"",IF(AND($B356&lt;&gt;"",COUNTIFS('2. Soil Data'!$B$5:$B$604,$B356)=0),"Core ID not found in Soil Data, so the corer diameter cannot be looked up. ","")&amp;IF(ASH_CORRECTED&lt;&gt;"Yes","Root mass is NOT ash-corrected, so it includes adhering mineral soil and is too high. Set ASH_CORRECTED once you have done it. ","")&amp;IF(AND(ASH_CORRECTED="Yes",NOT(ISNUMBER($H356))),"Ash correction is switched on but no ash fraction is given for this row. ","")&amp;IF($I356="","Sieve mesh not recorded — a fine-root figure cannot be interpreted without it. ","")&amp;IF(AND(ISNUMBER($H356),$H356&gt;0.5),"Ash fraction above 0.5 — over half this sample was mineral soil. Re-wash. ","")&amp;IF($F356="Not separated","Live and dead not separated. Fine for a stock, but "&amp;"note it in reporting. ",""))</f>
        <v/>
      </c>
      <c r="P356" s="6"/>
      <c r="Q356" s="9" t="n">
        <f aca="false">IF($B356="",0,IF(COUNTIFS($B$5:$B356,$B356)=1,1,0))</f>
        <v>0</v>
      </c>
    </row>
    <row r="357" customFormat="false" ht="15" hidden="false" customHeight="false" outlineLevel="0" collapsed="false">
      <c r="A357" s="6"/>
      <c r="B357" s="6"/>
      <c r="C357" s="6"/>
      <c r="D357" s="6"/>
      <c r="E357" s="6"/>
      <c r="F357" s="6"/>
      <c r="G357" s="7"/>
      <c r="H357" s="7"/>
      <c r="I357" s="6"/>
      <c r="J357" s="9" t="str">
        <f aca="false">IF(NOT(ISNUMBER($G357)),"",IF(AND(ASH_CORRECTED="Yes",ISNUMBER($H357)),$G357*(1-$H357),$G357))</f>
        <v/>
      </c>
      <c r="K357" s="9" t="str">
        <f aca="false">IF($B357="","",IFERROR(AVERAGEIFS('2. Soil Data'!$G$5:$G$604,'2. Soil Data'!$B$5:$B$604,$B357),""))</f>
        <v/>
      </c>
      <c r="L357" s="9" t="str">
        <f aca="false">IF(NOT(ISNUMBER($K357)),"",PI()*($K357/2)^2)</f>
        <v/>
      </c>
      <c r="M357" s="9" t="str">
        <f aca="false">IF(OR(NOT(ISNUMBER($J357)),NOT(ISNUMBER($L357)),$L357=0),"",$J357/$L357*10000)</f>
        <v/>
      </c>
      <c r="N357" s="9" t="str">
        <f aca="false">IF(NOT(ISNUMBER($M357)),"",$M357*CARBON_FRACTION_ROOT/1000)</f>
        <v/>
      </c>
      <c r="O357" s="11" t="str">
        <f aca="false">IF(AND($A357="",$B357="",$G357=""),"",IF(AND($B357&lt;&gt;"",COUNTIFS('2. Soil Data'!$B$5:$B$604,$B357)=0),"Core ID not found in Soil Data, so the corer diameter cannot be looked up. ","")&amp;IF(ASH_CORRECTED&lt;&gt;"Yes","Root mass is NOT ash-corrected, so it includes adhering mineral soil and is too high. Set ASH_CORRECTED once you have done it. ","")&amp;IF(AND(ASH_CORRECTED="Yes",NOT(ISNUMBER($H357))),"Ash correction is switched on but no ash fraction is given for this row. ","")&amp;IF($I357="","Sieve mesh not recorded — a fine-root figure cannot be interpreted without it. ","")&amp;IF(AND(ISNUMBER($H357),$H357&gt;0.5),"Ash fraction above 0.5 — over half this sample was mineral soil. Re-wash. ","")&amp;IF($F357="Not separated","Live and dead not separated. Fine for a stock, but "&amp;"note it in reporting. ",""))</f>
        <v/>
      </c>
      <c r="P357" s="6"/>
      <c r="Q357" s="9" t="n">
        <f aca="false">IF($B357="",0,IF(COUNTIFS($B$5:$B357,$B357)=1,1,0))</f>
        <v>0</v>
      </c>
    </row>
    <row r="358" customFormat="false" ht="15" hidden="false" customHeight="false" outlineLevel="0" collapsed="false">
      <c r="A358" s="6"/>
      <c r="B358" s="6"/>
      <c r="C358" s="6"/>
      <c r="D358" s="6"/>
      <c r="E358" s="6"/>
      <c r="F358" s="6"/>
      <c r="G358" s="7"/>
      <c r="H358" s="7"/>
      <c r="I358" s="6"/>
      <c r="J358" s="9" t="str">
        <f aca="false">IF(NOT(ISNUMBER($G358)),"",IF(AND(ASH_CORRECTED="Yes",ISNUMBER($H358)),$G358*(1-$H358),$G358))</f>
        <v/>
      </c>
      <c r="K358" s="9" t="str">
        <f aca="false">IF($B358="","",IFERROR(AVERAGEIFS('2. Soil Data'!$G$5:$G$604,'2. Soil Data'!$B$5:$B$604,$B358),""))</f>
        <v/>
      </c>
      <c r="L358" s="9" t="str">
        <f aca="false">IF(NOT(ISNUMBER($K358)),"",PI()*($K358/2)^2)</f>
        <v/>
      </c>
      <c r="M358" s="9" t="str">
        <f aca="false">IF(OR(NOT(ISNUMBER($J358)),NOT(ISNUMBER($L358)),$L358=0),"",$J358/$L358*10000)</f>
        <v/>
      </c>
      <c r="N358" s="9" t="str">
        <f aca="false">IF(NOT(ISNUMBER($M358)),"",$M358*CARBON_FRACTION_ROOT/1000)</f>
        <v/>
      </c>
      <c r="O358" s="11" t="str">
        <f aca="false">IF(AND($A358="",$B358="",$G358=""),"",IF(AND($B358&lt;&gt;"",COUNTIFS('2. Soil Data'!$B$5:$B$604,$B358)=0),"Core ID not found in Soil Data, so the corer diameter cannot be looked up. ","")&amp;IF(ASH_CORRECTED&lt;&gt;"Yes","Root mass is NOT ash-corrected, so it includes adhering mineral soil and is too high. Set ASH_CORRECTED once you have done it. ","")&amp;IF(AND(ASH_CORRECTED="Yes",NOT(ISNUMBER($H358))),"Ash correction is switched on but no ash fraction is given for this row. ","")&amp;IF($I358="","Sieve mesh not recorded — a fine-root figure cannot be interpreted without it. ","")&amp;IF(AND(ISNUMBER($H358),$H358&gt;0.5),"Ash fraction above 0.5 — over half this sample was mineral soil. Re-wash. ","")&amp;IF($F358="Not separated","Live and dead not separated. Fine for a stock, but "&amp;"note it in reporting. ",""))</f>
        <v/>
      </c>
      <c r="P358" s="6"/>
      <c r="Q358" s="9" t="n">
        <f aca="false">IF($B358="",0,IF(COUNTIFS($B$5:$B358,$B358)=1,1,0))</f>
        <v>0</v>
      </c>
    </row>
    <row r="359" customFormat="false" ht="15" hidden="false" customHeight="false" outlineLevel="0" collapsed="false">
      <c r="A359" s="6"/>
      <c r="B359" s="6"/>
      <c r="C359" s="6"/>
      <c r="D359" s="6"/>
      <c r="E359" s="6"/>
      <c r="F359" s="6"/>
      <c r="G359" s="7"/>
      <c r="H359" s="7"/>
      <c r="I359" s="6"/>
      <c r="J359" s="9" t="str">
        <f aca="false">IF(NOT(ISNUMBER($G359)),"",IF(AND(ASH_CORRECTED="Yes",ISNUMBER($H359)),$G359*(1-$H359),$G359))</f>
        <v/>
      </c>
      <c r="K359" s="9" t="str">
        <f aca="false">IF($B359="","",IFERROR(AVERAGEIFS('2. Soil Data'!$G$5:$G$604,'2. Soil Data'!$B$5:$B$604,$B359),""))</f>
        <v/>
      </c>
      <c r="L359" s="9" t="str">
        <f aca="false">IF(NOT(ISNUMBER($K359)),"",PI()*($K359/2)^2)</f>
        <v/>
      </c>
      <c r="M359" s="9" t="str">
        <f aca="false">IF(OR(NOT(ISNUMBER($J359)),NOT(ISNUMBER($L359)),$L359=0),"",$J359/$L359*10000)</f>
        <v/>
      </c>
      <c r="N359" s="9" t="str">
        <f aca="false">IF(NOT(ISNUMBER($M359)),"",$M359*CARBON_FRACTION_ROOT/1000)</f>
        <v/>
      </c>
      <c r="O359" s="11" t="str">
        <f aca="false">IF(AND($A359="",$B359="",$G359=""),"",IF(AND($B359&lt;&gt;"",COUNTIFS('2. Soil Data'!$B$5:$B$604,$B359)=0),"Core ID not found in Soil Data, so the corer diameter cannot be looked up. ","")&amp;IF(ASH_CORRECTED&lt;&gt;"Yes","Root mass is NOT ash-corrected, so it includes adhering mineral soil and is too high. Set ASH_CORRECTED once you have done it. ","")&amp;IF(AND(ASH_CORRECTED="Yes",NOT(ISNUMBER($H359))),"Ash correction is switched on but no ash fraction is given for this row. ","")&amp;IF($I359="","Sieve mesh not recorded — a fine-root figure cannot be interpreted without it. ","")&amp;IF(AND(ISNUMBER($H359),$H359&gt;0.5),"Ash fraction above 0.5 — over half this sample was mineral soil. Re-wash. ","")&amp;IF($F359="Not separated","Live and dead not separated. Fine for a stock, but "&amp;"note it in reporting. ",""))</f>
        <v/>
      </c>
      <c r="P359" s="6"/>
      <c r="Q359" s="9" t="n">
        <f aca="false">IF($B359="",0,IF(COUNTIFS($B$5:$B359,$B359)=1,1,0))</f>
        <v>0</v>
      </c>
    </row>
    <row r="360" customFormat="false" ht="15" hidden="false" customHeight="false" outlineLevel="0" collapsed="false">
      <c r="A360" s="6"/>
      <c r="B360" s="6"/>
      <c r="C360" s="6"/>
      <c r="D360" s="6"/>
      <c r="E360" s="6"/>
      <c r="F360" s="6"/>
      <c r="G360" s="7"/>
      <c r="H360" s="7"/>
      <c r="I360" s="6"/>
      <c r="J360" s="9" t="str">
        <f aca="false">IF(NOT(ISNUMBER($G360)),"",IF(AND(ASH_CORRECTED="Yes",ISNUMBER($H360)),$G360*(1-$H360),$G360))</f>
        <v/>
      </c>
      <c r="K360" s="9" t="str">
        <f aca="false">IF($B360="","",IFERROR(AVERAGEIFS('2. Soil Data'!$G$5:$G$604,'2. Soil Data'!$B$5:$B$604,$B360),""))</f>
        <v/>
      </c>
      <c r="L360" s="9" t="str">
        <f aca="false">IF(NOT(ISNUMBER($K360)),"",PI()*($K360/2)^2)</f>
        <v/>
      </c>
      <c r="M360" s="9" t="str">
        <f aca="false">IF(OR(NOT(ISNUMBER($J360)),NOT(ISNUMBER($L360)),$L360=0),"",$J360/$L360*10000)</f>
        <v/>
      </c>
      <c r="N360" s="9" t="str">
        <f aca="false">IF(NOT(ISNUMBER($M360)),"",$M360*CARBON_FRACTION_ROOT/1000)</f>
        <v/>
      </c>
      <c r="O360" s="11" t="str">
        <f aca="false">IF(AND($A360="",$B360="",$G360=""),"",IF(AND($B360&lt;&gt;"",COUNTIFS('2. Soil Data'!$B$5:$B$604,$B360)=0),"Core ID not found in Soil Data, so the corer diameter cannot be looked up. ","")&amp;IF(ASH_CORRECTED&lt;&gt;"Yes","Root mass is NOT ash-corrected, so it includes adhering mineral soil and is too high. Set ASH_CORRECTED once you have done it. ","")&amp;IF(AND(ASH_CORRECTED="Yes",NOT(ISNUMBER($H360))),"Ash correction is switched on but no ash fraction is given for this row. ","")&amp;IF($I360="","Sieve mesh not recorded — a fine-root figure cannot be interpreted without it. ","")&amp;IF(AND(ISNUMBER($H360),$H360&gt;0.5),"Ash fraction above 0.5 — over half this sample was mineral soil. Re-wash. ","")&amp;IF($F360="Not separated","Live and dead not separated. Fine for a stock, but "&amp;"note it in reporting. ",""))</f>
        <v/>
      </c>
      <c r="P360" s="6"/>
      <c r="Q360" s="9" t="n">
        <f aca="false">IF($B360="",0,IF(COUNTIFS($B$5:$B360,$B360)=1,1,0))</f>
        <v>0</v>
      </c>
    </row>
    <row r="361" customFormat="false" ht="15" hidden="false" customHeight="false" outlineLevel="0" collapsed="false">
      <c r="A361" s="6"/>
      <c r="B361" s="6"/>
      <c r="C361" s="6"/>
      <c r="D361" s="6"/>
      <c r="E361" s="6"/>
      <c r="F361" s="6"/>
      <c r="G361" s="7"/>
      <c r="H361" s="7"/>
      <c r="I361" s="6"/>
      <c r="J361" s="9" t="str">
        <f aca="false">IF(NOT(ISNUMBER($G361)),"",IF(AND(ASH_CORRECTED="Yes",ISNUMBER($H361)),$G361*(1-$H361),$G361))</f>
        <v/>
      </c>
      <c r="K361" s="9" t="str">
        <f aca="false">IF($B361="","",IFERROR(AVERAGEIFS('2. Soil Data'!$G$5:$G$604,'2. Soil Data'!$B$5:$B$604,$B361),""))</f>
        <v/>
      </c>
      <c r="L361" s="9" t="str">
        <f aca="false">IF(NOT(ISNUMBER($K361)),"",PI()*($K361/2)^2)</f>
        <v/>
      </c>
      <c r="M361" s="9" t="str">
        <f aca="false">IF(OR(NOT(ISNUMBER($J361)),NOT(ISNUMBER($L361)),$L361=0),"",$J361/$L361*10000)</f>
        <v/>
      </c>
      <c r="N361" s="9" t="str">
        <f aca="false">IF(NOT(ISNUMBER($M361)),"",$M361*CARBON_FRACTION_ROOT/1000)</f>
        <v/>
      </c>
      <c r="O361" s="11" t="str">
        <f aca="false">IF(AND($A361="",$B361="",$G361=""),"",IF(AND($B361&lt;&gt;"",COUNTIFS('2. Soil Data'!$B$5:$B$604,$B361)=0),"Core ID not found in Soil Data, so the corer diameter cannot be looked up. ","")&amp;IF(ASH_CORRECTED&lt;&gt;"Yes","Root mass is NOT ash-corrected, so it includes adhering mineral soil and is too high. Set ASH_CORRECTED once you have done it. ","")&amp;IF(AND(ASH_CORRECTED="Yes",NOT(ISNUMBER($H361))),"Ash correction is switched on but no ash fraction is given for this row. ","")&amp;IF($I361="","Sieve mesh not recorded — a fine-root figure cannot be interpreted without it. ","")&amp;IF(AND(ISNUMBER($H361),$H361&gt;0.5),"Ash fraction above 0.5 — over half this sample was mineral soil. Re-wash. ","")&amp;IF($F361="Not separated","Live and dead not separated. Fine for a stock, but "&amp;"note it in reporting. ",""))</f>
        <v/>
      </c>
      <c r="P361" s="6"/>
      <c r="Q361" s="9" t="n">
        <f aca="false">IF($B361="",0,IF(COUNTIFS($B$5:$B361,$B361)=1,1,0))</f>
        <v>0</v>
      </c>
    </row>
    <row r="362" customFormat="false" ht="15" hidden="false" customHeight="false" outlineLevel="0" collapsed="false">
      <c r="A362" s="6"/>
      <c r="B362" s="6"/>
      <c r="C362" s="6"/>
      <c r="D362" s="6"/>
      <c r="E362" s="6"/>
      <c r="F362" s="6"/>
      <c r="G362" s="7"/>
      <c r="H362" s="7"/>
      <c r="I362" s="6"/>
      <c r="J362" s="9" t="str">
        <f aca="false">IF(NOT(ISNUMBER($G362)),"",IF(AND(ASH_CORRECTED="Yes",ISNUMBER($H362)),$G362*(1-$H362),$G362))</f>
        <v/>
      </c>
      <c r="K362" s="9" t="str">
        <f aca="false">IF($B362="","",IFERROR(AVERAGEIFS('2. Soil Data'!$G$5:$G$604,'2. Soil Data'!$B$5:$B$604,$B362),""))</f>
        <v/>
      </c>
      <c r="L362" s="9" t="str">
        <f aca="false">IF(NOT(ISNUMBER($K362)),"",PI()*($K362/2)^2)</f>
        <v/>
      </c>
      <c r="M362" s="9" t="str">
        <f aca="false">IF(OR(NOT(ISNUMBER($J362)),NOT(ISNUMBER($L362)),$L362=0),"",$J362/$L362*10000)</f>
        <v/>
      </c>
      <c r="N362" s="9" t="str">
        <f aca="false">IF(NOT(ISNUMBER($M362)),"",$M362*CARBON_FRACTION_ROOT/1000)</f>
        <v/>
      </c>
      <c r="O362" s="11" t="str">
        <f aca="false">IF(AND($A362="",$B362="",$G362=""),"",IF(AND($B362&lt;&gt;"",COUNTIFS('2. Soil Data'!$B$5:$B$604,$B362)=0),"Core ID not found in Soil Data, so the corer diameter cannot be looked up. ","")&amp;IF(ASH_CORRECTED&lt;&gt;"Yes","Root mass is NOT ash-corrected, so it includes adhering mineral soil and is too high. Set ASH_CORRECTED once you have done it. ","")&amp;IF(AND(ASH_CORRECTED="Yes",NOT(ISNUMBER($H362))),"Ash correction is switched on but no ash fraction is given for this row. ","")&amp;IF($I362="","Sieve mesh not recorded — a fine-root figure cannot be interpreted without it. ","")&amp;IF(AND(ISNUMBER($H362),$H362&gt;0.5),"Ash fraction above 0.5 — over half this sample was mineral soil. Re-wash. ","")&amp;IF($F362="Not separated","Live and dead not separated. Fine for a stock, but "&amp;"note it in reporting. ",""))</f>
        <v/>
      </c>
      <c r="P362" s="6"/>
      <c r="Q362" s="9" t="n">
        <f aca="false">IF($B362="",0,IF(COUNTIFS($B$5:$B362,$B362)=1,1,0))</f>
        <v>0</v>
      </c>
    </row>
    <row r="363" customFormat="false" ht="15" hidden="false" customHeight="false" outlineLevel="0" collapsed="false">
      <c r="A363" s="6"/>
      <c r="B363" s="6"/>
      <c r="C363" s="6"/>
      <c r="D363" s="6"/>
      <c r="E363" s="6"/>
      <c r="F363" s="6"/>
      <c r="G363" s="7"/>
      <c r="H363" s="7"/>
      <c r="I363" s="6"/>
      <c r="J363" s="9" t="str">
        <f aca="false">IF(NOT(ISNUMBER($G363)),"",IF(AND(ASH_CORRECTED="Yes",ISNUMBER($H363)),$G363*(1-$H363),$G363))</f>
        <v/>
      </c>
      <c r="K363" s="9" t="str">
        <f aca="false">IF($B363="","",IFERROR(AVERAGEIFS('2. Soil Data'!$G$5:$G$604,'2. Soil Data'!$B$5:$B$604,$B363),""))</f>
        <v/>
      </c>
      <c r="L363" s="9" t="str">
        <f aca="false">IF(NOT(ISNUMBER($K363)),"",PI()*($K363/2)^2)</f>
        <v/>
      </c>
      <c r="M363" s="9" t="str">
        <f aca="false">IF(OR(NOT(ISNUMBER($J363)),NOT(ISNUMBER($L363)),$L363=0),"",$J363/$L363*10000)</f>
        <v/>
      </c>
      <c r="N363" s="9" t="str">
        <f aca="false">IF(NOT(ISNUMBER($M363)),"",$M363*CARBON_FRACTION_ROOT/1000)</f>
        <v/>
      </c>
      <c r="O363" s="11" t="str">
        <f aca="false">IF(AND($A363="",$B363="",$G363=""),"",IF(AND($B363&lt;&gt;"",COUNTIFS('2. Soil Data'!$B$5:$B$604,$B363)=0),"Core ID not found in Soil Data, so the corer diameter cannot be looked up. ","")&amp;IF(ASH_CORRECTED&lt;&gt;"Yes","Root mass is NOT ash-corrected, so it includes adhering mineral soil and is too high. Set ASH_CORRECTED once you have done it. ","")&amp;IF(AND(ASH_CORRECTED="Yes",NOT(ISNUMBER($H363))),"Ash correction is switched on but no ash fraction is given for this row. ","")&amp;IF($I363="","Sieve mesh not recorded — a fine-root figure cannot be interpreted without it. ","")&amp;IF(AND(ISNUMBER($H363),$H363&gt;0.5),"Ash fraction above 0.5 — over half this sample was mineral soil. Re-wash. ","")&amp;IF($F363="Not separated","Live and dead not separated. Fine for a stock, but "&amp;"note it in reporting. ",""))</f>
        <v/>
      </c>
      <c r="P363" s="6"/>
      <c r="Q363" s="9" t="n">
        <f aca="false">IF($B363="",0,IF(COUNTIFS($B$5:$B363,$B363)=1,1,0))</f>
        <v>0</v>
      </c>
    </row>
    <row r="364" customFormat="false" ht="15" hidden="false" customHeight="false" outlineLevel="0" collapsed="false">
      <c r="A364" s="6"/>
      <c r="B364" s="6"/>
      <c r="C364" s="6"/>
      <c r="D364" s="6"/>
      <c r="E364" s="6"/>
      <c r="F364" s="6"/>
      <c r="G364" s="7"/>
      <c r="H364" s="7"/>
      <c r="I364" s="6"/>
      <c r="J364" s="9" t="str">
        <f aca="false">IF(NOT(ISNUMBER($G364)),"",IF(AND(ASH_CORRECTED="Yes",ISNUMBER($H364)),$G364*(1-$H364),$G364))</f>
        <v/>
      </c>
      <c r="K364" s="9" t="str">
        <f aca="false">IF($B364="","",IFERROR(AVERAGEIFS('2. Soil Data'!$G$5:$G$604,'2. Soil Data'!$B$5:$B$604,$B364),""))</f>
        <v/>
      </c>
      <c r="L364" s="9" t="str">
        <f aca="false">IF(NOT(ISNUMBER($K364)),"",PI()*($K364/2)^2)</f>
        <v/>
      </c>
      <c r="M364" s="9" t="str">
        <f aca="false">IF(OR(NOT(ISNUMBER($J364)),NOT(ISNUMBER($L364)),$L364=0),"",$J364/$L364*10000)</f>
        <v/>
      </c>
      <c r="N364" s="9" t="str">
        <f aca="false">IF(NOT(ISNUMBER($M364)),"",$M364*CARBON_FRACTION_ROOT/1000)</f>
        <v/>
      </c>
      <c r="O364" s="11" t="str">
        <f aca="false">IF(AND($A364="",$B364="",$G364=""),"",IF(AND($B364&lt;&gt;"",COUNTIFS('2. Soil Data'!$B$5:$B$604,$B364)=0),"Core ID not found in Soil Data, so the corer diameter cannot be looked up. ","")&amp;IF(ASH_CORRECTED&lt;&gt;"Yes","Root mass is NOT ash-corrected, so it includes adhering mineral soil and is too high. Set ASH_CORRECTED once you have done it. ","")&amp;IF(AND(ASH_CORRECTED="Yes",NOT(ISNUMBER($H364))),"Ash correction is switched on but no ash fraction is given for this row. ","")&amp;IF($I364="","Sieve mesh not recorded — a fine-root figure cannot be interpreted without it. ","")&amp;IF(AND(ISNUMBER($H364),$H364&gt;0.5),"Ash fraction above 0.5 — over half this sample was mineral soil. Re-wash. ","")&amp;IF($F364="Not separated","Live and dead not separated. Fine for a stock, but "&amp;"note it in reporting. ",""))</f>
        <v/>
      </c>
      <c r="P364" s="6"/>
      <c r="Q364" s="9" t="n">
        <f aca="false">IF($B364="",0,IF(COUNTIFS($B$5:$B364,$B364)=1,1,0))</f>
        <v>0</v>
      </c>
    </row>
    <row r="365" customFormat="false" ht="15" hidden="false" customHeight="false" outlineLevel="0" collapsed="false">
      <c r="A365" s="6"/>
      <c r="B365" s="6"/>
      <c r="C365" s="6"/>
      <c r="D365" s="6"/>
      <c r="E365" s="6"/>
      <c r="F365" s="6"/>
      <c r="G365" s="7"/>
      <c r="H365" s="7"/>
      <c r="I365" s="6"/>
      <c r="J365" s="9" t="str">
        <f aca="false">IF(NOT(ISNUMBER($G365)),"",IF(AND(ASH_CORRECTED="Yes",ISNUMBER($H365)),$G365*(1-$H365),$G365))</f>
        <v/>
      </c>
      <c r="K365" s="9" t="str">
        <f aca="false">IF($B365="","",IFERROR(AVERAGEIFS('2. Soil Data'!$G$5:$G$604,'2. Soil Data'!$B$5:$B$604,$B365),""))</f>
        <v/>
      </c>
      <c r="L365" s="9" t="str">
        <f aca="false">IF(NOT(ISNUMBER($K365)),"",PI()*($K365/2)^2)</f>
        <v/>
      </c>
      <c r="M365" s="9" t="str">
        <f aca="false">IF(OR(NOT(ISNUMBER($J365)),NOT(ISNUMBER($L365)),$L365=0),"",$J365/$L365*10000)</f>
        <v/>
      </c>
      <c r="N365" s="9" t="str">
        <f aca="false">IF(NOT(ISNUMBER($M365)),"",$M365*CARBON_FRACTION_ROOT/1000)</f>
        <v/>
      </c>
      <c r="O365" s="11" t="str">
        <f aca="false">IF(AND($A365="",$B365="",$G365=""),"",IF(AND($B365&lt;&gt;"",COUNTIFS('2. Soil Data'!$B$5:$B$604,$B365)=0),"Core ID not found in Soil Data, so the corer diameter cannot be looked up. ","")&amp;IF(ASH_CORRECTED&lt;&gt;"Yes","Root mass is NOT ash-corrected, so it includes adhering mineral soil and is too high. Set ASH_CORRECTED once you have done it. ","")&amp;IF(AND(ASH_CORRECTED="Yes",NOT(ISNUMBER($H365))),"Ash correction is switched on but no ash fraction is given for this row. ","")&amp;IF($I365="","Sieve mesh not recorded — a fine-root figure cannot be interpreted without it. ","")&amp;IF(AND(ISNUMBER($H365),$H365&gt;0.5),"Ash fraction above 0.5 — over half this sample was mineral soil. Re-wash. ","")&amp;IF($F365="Not separated","Live and dead not separated. Fine for a stock, but "&amp;"note it in reporting. ",""))</f>
        <v/>
      </c>
      <c r="P365" s="6"/>
      <c r="Q365" s="9" t="n">
        <f aca="false">IF($B365="",0,IF(COUNTIFS($B$5:$B365,$B365)=1,1,0))</f>
        <v>0</v>
      </c>
    </row>
    <row r="366" customFormat="false" ht="15" hidden="false" customHeight="false" outlineLevel="0" collapsed="false">
      <c r="A366" s="6"/>
      <c r="B366" s="6"/>
      <c r="C366" s="6"/>
      <c r="D366" s="6"/>
      <c r="E366" s="6"/>
      <c r="F366" s="6"/>
      <c r="G366" s="7"/>
      <c r="H366" s="7"/>
      <c r="I366" s="6"/>
      <c r="J366" s="9" t="str">
        <f aca="false">IF(NOT(ISNUMBER($G366)),"",IF(AND(ASH_CORRECTED="Yes",ISNUMBER($H366)),$G366*(1-$H366),$G366))</f>
        <v/>
      </c>
      <c r="K366" s="9" t="str">
        <f aca="false">IF($B366="","",IFERROR(AVERAGEIFS('2. Soil Data'!$G$5:$G$604,'2. Soil Data'!$B$5:$B$604,$B366),""))</f>
        <v/>
      </c>
      <c r="L366" s="9" t="str">
        <f aca="false">IF(NOT(ISNUMBER($K366)),"",PI()*($K366/2)^2)</f>
        <v/>
      </c>
      <c r="M366" s="9" t="str">
        <f aca="false">IF(OR(NOT(ISNUMBER($J366)),NOT(ISNUMBER($L366)),$L366=0),"",$J366/$L366*10000)</f>
        <v/>
      </c>
      <c r="N366" s="9" t="str">
        <f aca="false">IF(NOT(ISNUMBER($M366)),"",$M366*CARBON_FRACTION_ROOT/1000)</f>
        <v/>
      </c>
      <c r="O366" s="11" t="str">
        <f aca="false">IF(AND($A366="",$B366="",$G366=""),"",IF(AND($B366&lt;&gt;"",COUNTIFS('2. Soil Data'!$B$5:$B$604,$B366)=0),"Core ID not found in Soil Data, so the corer diameter cannot be looked up. ","")&amp;IF(ASH_CORRECTED&lt;&gt;"Yes","Root mass is NOT ash-corrected, so it includes adhering mineral soil and is too high. Set ASH_CORRECTED once you have done it. ","")&amp;IF(AND(ASH_CORRECTED="Yes",NOT(ISNUMBER($H366))),"Ash correction is switched on but no ash fraction is given for this row. ","")&amp;IF($I366="","Sieve mesh not recorded — a fine-root figure cannot be interpreted without it. ","")&amp;IF(AND(ISNUMBER($H366),$H366&gt;0.5),"Ash fraction above 0.5 — over half this sample was mineral soil. Re-wash. ","")&amp;IF($F366="Not separated","Live and dead not separated. Fine for a stock, but "&amp;"note it in reporting. ",""))</f>
        <v/>
      </c>
      <c r="P366" s="6"/>
      <c r="Q366" s="9" t="n">
        <f aca="false">IF($B366="",0,IF(COUNTIFS($B$5:$B366,$B366)=1,1,0))</f>
        <v>0</v>
      </c>
    </row>
    <row r="367" customFormat="false" ht="15" hidden="false" customHeight="false" outlineLevel="0" collapsed="false">
      <c r="A367" s="6"/>
      <c r="B367" s="6"/>
      <c r="C367" s="6"/>
      <c r="D367" s="6"/>
      <c r="E367" s="6"/>
      <c r="F367" s="6"/>
      <c r="G367" s="7"/>
      <c r="H367" s="7"/>
      <c r="I367" s="6"/>
      <c r="J367" s="9" t="str">
        <f aca="false">IF(NOT(ISNUMBER($G367)),"",IF(AND(ASH_CORRECTED="Yes",ISNUMBER($H367)),$G367*(1-$H367),$G367))</f>
        <v/>
      </c>
      <c r="K367" s="9" t="str">
        <f aca="false">IF($B367="","",IFERROR(AVERAGEIFS('2. Soil Data'!$G$5:$G$604,'2. Soil Data'!$B$5:$B$604,$B367),""))</f>
        <v/>
      </c>
      <c r="L367" s="9" t="str">
        <f aca="false">IF(NOT(ISNUMBER($K367)),"",PI()*($K367/2)^2)</f>
        <v/>
      </c>
      <c r="M367" s="9" t="str">
        <f aca="false">IF(OR(NOT(ISNUMBER($J367)),NOT(ISNUMBER($L367)),$L367=0),"",$J367/$L367*10000)</f>
        <v/>
      </c>
      <c r="N367" s="9" t="str">
        <f aca="false">IF(NOT(ISNUMBER($M367)),"",$M367*CARBON_FRACTION_ROOT/1000)</f>
        <v/>
      </c>
      <c r="O367" s="11" t="str">
        <f aca="false">IF(AND($A367="",$B367="",$G367=""),"",IF(AND($B367&lt;&gt;"",COUNTIFS('2. Soil Data'!$B$5:$B$604,$B367)=0),"Core ID not found in Soil Data, so the corer diameter cannot be looked up. ","")&amp;IF(ASH_CORRECTED&lt;&gt;"Yes","Root mass is NOT ash-corrected, so it includes adhering mineral soil and is too high. Set ASH_CORRECTED once you have done it. ","")&amp;IF(AND(ASH_CORRECTED="Yes",NOT(ISNUMBER($H367))),"Ash correction is switched on but no ash fraction is given for this row. ","")&amp;IF($I367="","Sieve mesh not recorded — a fine-root figure cannot be interpreted without it. ","")&amp;IF(AND(ISNUMBER($H367),$H367&gt;0.5),"Ash fraction above 0.5 — over half this sample was mineral soil. Re-wash. ","")&amp;IF($F367="Not separated","Live and dead not separated. Fine for a stock, but "&amp;"note it in reporting. ",""))</f>
        <v/>
      </c>
      <c r="P367" s="6"/>
      <c r="Q367" s="9" t="n">
        <f aca="false">IF($B367="",0,IF(COUNTIFS($B$5:$B367,$B367)=1,1,0))</f>
        <v>0</v>
      </c>
    </row>
    <row r="368" customFormat="false" ht="15" hidden="false" customHeight="false" outlineLevel="0" collapsed="false">
      <c r="A368" s="6"/>
      <c r="B368" s="6"/>
      <c r="C368" s="6"/>
      <c r="D368" s="6"/>
      <c r="E368" s="6"/>
      <c r="F368" s="6"/>
      <c r="G368" s="7"/>
      <c r="H368" s="7"/>
      <c r="I368" s="6"/>
      <c r="J368" s="9" t="str">
        <f aca="false">IF(NOT(ISNUMBER($G368)),"",IF(AND(ASH_CORRECTED="Yes",ISNUMBER($H368)),$G368*(1-$H368),$G368))</f>
        <v/>
      </c>
      <c r="K368" s="9" t="str">
        <f aca="false">IF($B368="","",IFERROR(AVERAGEIFS('2. Soil Data'!$G$5:$G$604,'2. Soil Data'!$B$5:$B$604,$B368),""))</f>
        <v/>
      </c>
      <c r="L368" s="9" t="str">
        <f aca="false">IF(NOT(ISNUMBER($K368)),"",PI()*($K368/2)^2)</f>
        <v/>
      </c>
      <c r="M368" s="9" t="str">
        <f aca="false">IF(OR(NOT(ISNUMBER($J368)),NOT(ISNUMBER($L368)),$L368=0),"",$J368/$L368*10000)</f>
        <v/>
      </c>
      <c r="N368" s="9" t="str">
        <f aca="false">IF(NOT(ISNUMBER($M368)),"",$M368*CARBON_FRACTION_ROOT/1000)</f>
        <v/>
      </c>
      <c r="O368" s="11" t="str">
        <f aca="false">IF(AND($A368="",$B368="",$G368=""),"",IF(AND($B368&lt;&gt;"",COUNTIFS('2. Soil Data'!$B$5:$B$604,$B368)=0),"Core ID not found in Soil Data, so the corer diameter cannot be looked up. ","")&amp;IF(ASH_CORRECTED&lt;&gt;"Yes","Root mass is NOT ash-corrected, so it includes adhering mineral soil and is too high. Set ASH_CORRECTED once you have done it. ","")&amp;IF(AND(ASH_CORRECTED="Yes",NOT(ISNUMBER($H368))),"Ash correction is switched on but no ash fraction is given for this row. ","")&amp;IF($I368="","Sieve mesh not recorded — a fine-root figure cannot be interpreted without it. ","")&amp;IF(AND(ISNUMBER($H368),$H368&gt;0.5),"Ash fraction above 0.5 — over half this sample was mineral soil. Re-wash. ","")&amp;IF($F368="Not separated","Live and dead not separated. Fine for a stock, but "&amp;"note it in reporting. ",""))</f>
        <v/>
      </c>
      <c r="P368" s="6"/>
      <c r="Q368" s="9" t="n">
        <f aca="false">IF($B368="",0,IF(COUNTIFS($B$5:$B368,$B368)=1,1,0))</f>
        <v>0</v>
      </c>
    </row>
    <row r="369" customFormat="false" ht="15" hidden="false" customHeight="false" outlineLevel="0" collapsed="false">
      <c r="A369" s="6"/>
      <c r="B369" s="6"/>
      <c r="C369" s="6"/>
      <c r="D369" s="6"/>
      <c r="E369" s="6"/>
      <c r="F369" s="6"/>
      <c r="G369" s="7"/>
      <c r="H369" s="7"/>
      <c r="I369" s="6"/>
      <c r="J369" s="9" t="str">
        <f aca="false">IF(NOT(ISNUMBER($G369)),"",IF(AND(ASH_CORRECTED="Yes",ISNUMBER($H369)),$G369*(1-$H369),$G369))</f>
        <v/>
      </c>
      <c r="K369" s="9" t="str">
        <f aca="false">IF($B369="","",IFERROR(AVERAGEIFS('2. Soil Data'!$G$5:$G$604,'2. Soil Data'!$B$5:$B$604,$B369),""))</f>
        <v/>
      </c>
      <c r="L369" s="9" t="str">
        <f aca="false">IF(NOT(ISNUMBER($K369)),"",PI()*($K369/2)^2)</f>
        <v/>
      </c>
      <c r="M369" s="9" t="str">
        <f aca="false">IF(OR(NOT(ISNUMBER($J369)),NOT(ISNUMBER($L369)),$L369=0),"",$J369/$L369*10000)</f>
        <v/>
      </c>
      <c r="N369" s="9" t="str">
        <f aca="false">IF(NOT(ISNUMBER($M369)),"",$M369*CARBON_FRACTION_ROOT/1000)</f>
        <v/>
      </c>
      <c r="O369" s="11" t="str">
        <f aca="false">IF(AND($A369="",$B369="",$G369=""),"",IF(AND($B369&lt;&gt;"",COUNTIFS('2. Soil Data'!$B$5:$B$604,$B369)=0),"Core ID not found in Soil Data, so the corer diameter cannot be looked up. ","")&amp;IF(ASH_CORRECTED&lt;&gt;"Yes","Root mass is NOT ash-corrected, so it includes adhering mineral soil and is too high. Set ASH_CORRECTED once you have done it. ","")&amp;IF(AND(ASH_CORRECTED="Yes",NOT(ISNUMBER($H369))),"Ash correction is switched on but no ash fraction is given for this row. ","")&amp;IF($I369="","Sieve mesh not recorded — a fine-root figure cannot be interpreted without it. ","")&amp;IF(AND(ISNUMBER($H369),$H369&gt;0.5),"Ash fraction above 0.5 — over half this sample was mineral soil. Re-wash. ","")&amp;IF($F369="Not separated","Live and dead not separated. Fine for a stock, but "&amp;"note it in reporting. ",""))</f>
        <v/>
      </c>
      <c r="P369" s="6"/>
      <c r="Q369" s="9" t="n">
        <f aca="false">IF($B369="",0,IF(COUNTIFS($B$5:$B369,$B369)=1,1,0))</f>
        <v>0</v>
      </c>
    </row>
    <row r="370" customFormat="false" ht="15" hidden="false" customHeight="false" outlineLevel="0" collapsed="false">
      <c r="A370" s="6"/>
      <c r="B370" s="6"/>
      <c r="C370" s="6"/>
      <c r="D370" s="6"/>
      <c r="E370" s="6"/>
      <c r="F370" s="6"/>
      <c r="G370" s="7"/>
      <c r="H370" s="7"/>
      <c r="I370" s="6"/>
      <c r="J370" s="9" t="str">
        <f aca="false">IF(NOT(ISNUMBER($G370)),"",IF(AND(ASH_CORRECTED="Yes",ISNUMBER($H370)),$G370*(1-$H370),$G370))</f>
        <v/>
      </c>
      <c r="K370" s="9" t="str">
        <f aca="false">IF($B370="","",IFERROR(AVERAGEIFS('2. Soil Data'!$G$5:$G$604,'2. Soil Data'!$B$5:$B$604,$B370),""))</f>
        <v/>
      </c>
      <c r="L370" s="9" t="str">
        <f aca="false">IF(NOT(ISNUMBER($K370)),"",PI()*($K370/2)^2)</f>
        <v/>
      </c>
      <c r="M370" s="9" t="str">
        <f aca="false">IF(OR(NOT(ISNUMBER($J370)),NOT(ISNUMBER($L370)),$L370=0),"",$J370/$L370*10000)</f>
        <v/>
      </c>
      <c r="N370" s="9" t="str">
        <f aca="false">IF(NOT(ISNUMBER($M370)),"",$M370*CARBON_FRACTION_ROOT/1000)</f>
        <v/>
      </c>
      <c r="O370" s="11" t="str">
        <f aca="false">IF(AND($A370="",$B370="",$G370=""),"",IF(AND($B370&lt;&gt;"",COUNTIFS('2. Soil Data'!$B$5:$B$604,$B370)=0),"Core ID not found in Soil Data, so the corer diameter cannot be looked up. ","")&amp;IF(ASH_CORRECTED&lt;&gt;"Yes","Root mass is NOT ash-corrected, so it includes adhering mineral soil and is too high. Set ASH_CORRECTED once you have done it. ","")&amp;IF(AND(ASH_CORRECTED="Yes",NOT(ISNUMBER($H370))),"Ash correction is switched on but no ash fraction is given for this row. ","")&amp;IF($I370="","Sieve mesh not recorded — a fine-root figure cannot be interpreted without it. ","")&amp;IF(AND(ISNUMBER($H370),$H370&gt;0.5),"Ash fraction above 0.5 — over half this sample was mineral soil. Re-wash. ","")&amp;IF($F370="Not separated","Live and dead not separated. Fine for a stock, but "&amp;"note it in reporting. ",""))</f>
        <v/>
      </c>
      <c r="P370" s="6"/>
      <c r="Q370" s="9" t="n">
        <f aca="false">IF($B370="",0,IF(COUNTIFS($B$5:$B370,$B370)=1,1,0))</f>
        <v>0</v>
      </c>
    </row>
    <row r="371" customFormat="false" ht="15" hidden="false" customHeight="false" outlineLevel="0" collapsed="false">
      <c r="A371" s="6"/>
      <c r="B371" s="6"/>
      <c r="C371" s="6"/>
      <c r="D371" s="6"/>
      <c r="E371" s="6"/>
      <c r="F371" s="6"/>
      <c r="G371" s="7"/>
      <c r="H371" s="7"/>
      <c r="I371" s="6"/>
      <c r="J371" s="9" t="str">
        <f aca="false">IF(NOT(ISNUMBER($G371)),"",IF(AND(ASH_CORRECTED="Yes",ISNUMBER($H371)),$G371*(1-$H371),$G371))</f>
        <v/>
      </c>
      <c r="K371" s="9" t="str">
        <f aca="false">IF($B371="","",IFERROR(AVERAGEIFS('2. Soil Data'!$G$5:$G$604,'2. Soil Data'!$B$5:$B$604,$B371),""))</f>
        <v/>
      </c>
      <c r="L371" s="9" t="str">
        <f aca="false">IF(NOT(ISNUMBER($K371)),"",PI()*($K371/2)^2)</f>
        <v/>
      </c>
      <c r="M371" s="9" t="str">
        <f aca="false">IF(OR(NOT(ISNUMBER($J371)),NOT(ISNUMBER($L371)),$L371=0),"",$J371/$L371*10000)</f>
        <v/>
      </c>
      <c r="N371" s="9" t="str">
        <f aca="false">IF(NOT(ISNUMBER($M371)),"",$M371*CARBON_FRACTION_ROOT/1000)</f>
        <v/>
      </c>
      <c r="O371" s="11" t="str">
        <f aca="false">IF(AND($A371="",$B371="",$G371=""),"",IF(AND($B371&lt;&gt;"",COUNTIFS('2. Soil Data'!$B$5:$B$604,$B371)=0),"Core ID not found in Soil Data, so the corer diameter cannot be looked up. ","")&amp;IF(ASH_CORRECTED&lt;&gt;"Yes","Root mass is NOT ash-corrected, so it includes adhering mineral soil and is too high. Set ASH_CORRECTED once you have done it. ","")&amp;IF(AND(ASH_CORRECTED="Yes",NOT(ISNUMBER($H371))),"Ash correction is switched on but no ash fraction is given for this row. ","")&amp;IF($I371="","Sieve mesh not recorded — a fine-root figure cannot be interpreted without it. ","")&amp;IF(AND(ISNUMBER($H371),$H371&gt;0.5),"Ash fraction above 0.5 — over half this sample was mineral soil. Re-wash. ","")&amp;IF($F371="Not separated","Live and dead not separated. Fine for a stock, but "&amp;"note it in reporting. ",""))</f>
        <v/>
      </c>
      <c r="P371" s="6"/>
      <c r="Q371" s="9" t="n">
        <f aca="false">IF($B371="",0,IF(COUNTIFS($B$5:$B371,$B371)=1,1,0))</f>
        <v>0</v>
      </c>
    </row>
    <row r="372" customFormat="false" ht="15" hidden="false" customHeight="false" outlineLevel="0" collapsed="false">
      <c r="A372" s="6"/>
      <c r="B372" s="6"/>
      <c r="C372" s="6"/>
      <c r="D372" s="6"/>
      <c r="E372" s="6"/>
      <c r="F372" s="6"/>
      <c r="G372" s="7"/>
      <c r="H372" s="7"/>
      <c r="I372" s="6"/>
      <c r="J372" s="9" t="str">
        <f aca="false">IF(NOT(ISNUMBER($G372)),"",IF(AND(ASH_CORRECTED="Yes",ISNUMBER($H372)),$G372*(1-$H372),$G372))</f>
        <v/>
      </c>
      <c r="K372" s="9" t="str">
        <f aca="false">IF($B372="","",IFERROR(AVERAGEIFS('2. Soil Data'!$G$5:$G$604,'2. Soil Data'!$B$5:$B$604,$B372),""))</f>
        <v/>
      </c>
      <c r="L372" s="9" t="str">
        <f aca="false">IF(NOT(ISNUMBER($K372)),"",PI()*($K372/2)^2)</f>
        <v/>
      </c>
      <c r="M372" s="9" t="str">
        <f aca="false">IF(OR(NOT(ISNUMBER($J372)),NOT(ISNUMBER($L372)),$L372=0),"",$J372/$L372*10000)</f>
        <v/>
      </c>
      <c r="N372" s="9" t="str">
        <f aca="false">IF(NOT(ISNUMBER($M372)),"",$M372*CARBON_FRACTION_ROOT/1000)</f>
        <v/>
      </c>
      <c r="O372" s="11" t="str">
        <f aca="false">IF(AND($A372="",$B372="",$G372=""),"",IF(AND($B372&lt;&gt;"",COUNTIFS('2. Soil Data'!$B$5:$B$604,$B372)=0),"Core ID not found in Soil Data, so the corer diameter cannot be looked up. ","")&amp;IF(ASH_CORRECTED&lt;&gt;"Yes","Root mass is NOT ash-corrected, so it includes adhering mineral soil and is too high. Set ASH_CORRECTED once you have done it. ","")&amp;IF(AND(ASH_CORRECTED="Yes",NOT(ISNUMBER($H372))),"Ash correction is switched on but no ash fraction is given for this row. ","")&amp;IF($I372="","Sieve mesh not recorded — a fine-root figure cannot be interpreted without it. ","")&amp;IF(AND(ISNUMBER($H372),$H372&gt;0.5),"Ash fraction above 0.5 — over half this sample was mineral soil. Re-wash. ","")&amp;IF($F372="Not separated","Live and dead not separated. Fine for a stock, but "&amp;"note it in reporting. ",""))</f>
        <v/>
      </c>
      <c r="P372" s="6"/>
      <c r="Q372" s="9" t="n">
        <f aca="false">IF($B372="",0,IF(COUNTIFS($B$5:$B372,$B372)=1,1,0))</f>
        <v>0</v>
      </c>
    </row>
    <row r="373" customFormat="false" ht="15" hidden="false" customHeight="false" outlineLevel="0" collapsed="false">
      <c r="A373" s="6"/>
      <c r="B373" s="6"/>
      <c r="C373" s="6"/>
      <c r="D373" s="6"/>
      <c r="E373" s="6"/>
      <c r="F373" s="6"/>
      <c r="G373" s="7"/>
      <c r="H373" s="7"/>
      <c r="I373" s="6"/>
      <c r="J373" s="9" t="str">
        <f aca="false">IF(NOT(ISNUMBER($G373)),"",IF(AND(ASH_CORRECTED="Yes",ISNUMBER($H373)),$G373*(1-$H373),$G373))</f>
        <v/>
      </c>
      <c r="K373" s="9" t="str">
        <f aca="false">IF($B373="","",IFERROR(AVERAGEIFS('2. Soil Data'!$G$5:$G$604,'2. Soil Data'!$B$5:$B$604,$B373),""))</f>
        <v/>
      </c>
      <c r="L373" s="9" t="str">
        <f aca="false">IF(NOT(ISNUMBER($K373)),"",PI()*($K373/2)^2)</f>
        <v/>
      </c>
      <c r="M373" s="9" t="str">
        <f aca="false">IF(OR(NOT(ISNUMBER($J373)),NOT(ISNUMBER($L373)),$L373=0),"",$J373/$L373*10000)</f>
        <v/>
      </c>
      <c r="N373" s="9" t="str">
        <f aca="false">IF(NOT(ISNUMBER($M373)),"",$M373*CARBON_FRACTION_ROOT/1000)</f>
        <v/>
      </c>
      <c r="O373" s="11" t="str">
        <f aca="false">IF(AND($A373="",$B373="",$G373=""),"",IF(AND($B373&lt;&gt;"",COUNTIFS('2. Soil Data'!$B$5:$B$604,$B373)=0),"Core ID not found in Soil Data, so the corer diameter cannot be looked up. ","")&amp;IF(ASH_CORRECTED&lt;&gt;"Yes","Root mass is NOT ash-corrected, so it includes adhering mineral soil and is too high. Set ASH_CORRECTED once you have done it. ","")&amp;IF(AND(ASH_CORRECTED="Yes",NOT(ISNUMBER($H373))),"Ash correction is switched on but no ash fraction is given for this row. ","")&amp;IF($I373="","Sieve mesh not recorded — a fine-root figure cannot be interpreted without it. ","")&amp;IF(AND(ISNUMBER($H373),$H373&gt;0.5),"Ash fraction above 0.5 — over half this sample was mineral soil. Re-wash. ","")&amp;IF($F373="Not separated","Live and dead not separated. Fine for a stock, but "&amp;"note it in reporting. ",""))</f>
        <v/>
      </c>
      <c r="P373" s="6"/>
      <c r="Q373" s="9" t="n">
        <f aca="false">IF($B373="",0,IF(COUNTIFS($B$5:$B373,$B373)=1,1,0))</f>
        <v>0</v>
      </c>
    </row>
    <row r="374" customFormat="false" ht="15" hidden="false" customHeight="false" outlineLevel="0" collapsed="false">
      <c r="A374" s="6"/>
      <c r="B374" s="6"/>
      <c r="C374" s="6"/>
      <c r="D374" s="6"/>
      <c r="E374" s="6"/>
      <c r="F374" s="6"/>
      <c r="G374" s="7"/>
      <c r="H374" s="7"/>
      <c r="I374" s="6"/>
      <c r="J374" s="9" t="str">
        <f aca="false">IF(NOT(ISNUMBER($G374)),"",IF(AND(ASH_CORRECTED="Yes",ISNUMBER($H374)),$G374*(1-$H374),$G374))</f>
        <v/>
      </c>
      <c r="K374" s="9" t="str">
        <f aca="false">IF($B374="","",IFERROR(AVERAGEIFS('2. Soil Data'!$G$5:$G$604,'2. Soil Data'!$B$5:$B$604,$B374),""))</f>
        <v/>
      </c>
      <c r="L374" s="9" t="str">
        <f aca="false">IF(NOT(ISNUMBER($K374)),"",PI()*($K374/2)^2)</f>
        <v/>
      </c>
      <c r="M374" s="9" t="str">
        <f aca="false">IF(OR(NOT(ISNUMBER($J374)),NOT(ISNUMBER($L374)),$L374=0),"",$J374/$L374*10000)</f>
        <v/>
      </c>
      <c r="N374" s="9" t="str">
        <f aca="false">IF(NOT(ISNUMBER($M374)),"",$M374*CARBON_FRACTION_ROOT/1000)</f>
        <v/>
      </c>
      <c r="O374" s="11" t="str">
        <f aca="false">IF(AND($A374="",$B374="",$G374=""),"",IF(AND($B374&lt;&gt;"",COUNTIFS('2. Soil Data'!$B$5:$B$604,$B374)=0),"Core ID not found in Soil Data, so the corer diameter cannot be looked up. ","")&amp;IF(ASH_CORRECTED&lt;&gt;"Yes","Root mass is NOT ash-corrected, so it includes adhering mineral soil and is too high. Set ASH_CORRECTED once you have done it. ","")&amp;IF(AND(ASH_CORRECTED="Yes",NOT(ISNUMBER($H374))),"Ash correction is switched on but no ash fraction is given for this row. ","")&amp;IF($I374="","Sieve mesh not recorded — a fine-root figure cannot be interpreted without it. ","")&amp;IF(AND(ISNUMBER($H374),$H374&gt;0.5),"Ash fraction above 0.5 — over half this sample was mineral soil. Re-wash. ","")&amp;IF($F374="Not separated","Live and dead not separated. Fine for a stock, but "&amp;"note it in reporting. ",""))</f>
        <v/>
      </c>
      <c r="P374" s="6"/>
      <c r="Q374" s="9" t="n">
        <f aca="false">IF($B374="",0,IF(COUNTIFS($B$5:$B374,$B374)=1,1,0))</f>
        <v>0</v>
      </c>
    </row>
    <row r="375" customFormat="false" ht="15" hidden="false" customHeight="false" outlineLevel="0" collapsed="false">
      <c r="A375" s="6"/>
      <c r="B375" s="6"/>
      <c r="C375" s="6"/>
      <c r="D375" s="6"/>
      <c r="E375" s="6"/>
      <c r="F375" s="6"/>
      <c r="G375" s="7"/>
      <c r="H375" s="7"/>
      <c r="I375" s="6"/>
      <c r="J375" s="9" t="str">
        <f aca="false">IF(NOT(ISNUMBER($G375)),"",IF(AND(ASH_CORRECTED="Yes",ISNUMBER($H375)),$G375*(1-$H375),$G375))</f>
        <v/>
      </c>
      <c r="K375" s="9" t="str">
        <f aca="false">IF($B375="","",IFERROR(AVERAGEIFS('2. Soil Data'!$G$5:$G$604,'2. Soil Data'!$B$5:$B$604,$B375),""))</f>
        <v/>
      </c>
      <c r="L375" s="9" t="str">
        <f aca="false">IF(NOT(ISNUMBER($K375)),"",PI()*($K375/2)^2)</f>
        <v/>
      </c>
      <c r="M375" s="9" t="str">
        <f aca="false">IF(OR(NOT(ISNUMBER($J375)),NOT(ISNUMBER($L375)),$L375=0),"",$J375/$L375*10000)</f>
        <v/>
      </c>
      <c r="N375" s="9" t="str">
        <f aca="false">IF(NOT(ISNUMBER($M375)),"",$M375*CARBON_FRACTION_ROOT/1000)</f>
        <v/>
      </c>
      <c r="O375" s="11" t="str">
        <f aca="false">IF(AND($A375="",$B375="",$G375=""),"",IF(AND($B375&lt;&gt;"",COUNTIFS('2. Soil Data'!$B$5:$B$604,$B375)=0),"Core ID not found in Soil Data, so the corer diameter cannot be looked up. ","")&amp;IF(ASH_CORRECTED&lt;&gt;"Yes","Root mass is NOT ash-corrected, so it includes adhering mineral soil and is too high. Set ASH_CORRECTED once you have done it. ","")&amp;IF(AND(ASH_CORRECTED="Yes",NOT(ISNUMBER($H375))),"Ash correction is switched on but no ash fraction is given for this row. ","")&amp;IF($I375="","Sieve mesh not recorded — a fine-root figure cannot be interpreted without it. ","")&amp;IF(AND(ISNUMBER($H375),$H375&gt;0.5),"Ash fraction above 0.5 — over half this sample was mineral soil. Re-wash. ","")&amp;IF($F375="Not separated","Live and dead not separated. Fine for a stock, but "&amp;"note it in reporting. ",""))</f>
        <v/>
      </c>
      <c r="P375" s="6"/>
      <c r="Q375" s="9" t="n">
        <f aca="false">IF($B375="",0,IF(COUNTIFS($B$5:$B375,$B375)=1,1,0))</f>
        <v>0</v>
      </c>
    </row>
    <row r="376" customFormat="false" ht="15" hidden="false" customHeight="false" outlineLevel="0" collapsed="false">
      <c r="A376" s="6"/>
      <c r="B376" s="6"/>
      <c r="C376" s="6"/>
      <c r="D376" s="6"/>
      <c r="E376" s="6"/>
      <c r="F376" s="6"/>
      <c r="G376" s="7"/>
      <c r="H376" s="7"/>
      <c r="I376" s="6"/>
      <c r="J376" s="9" t="str">
        <f aca="false">IF(NOT(ISNUMBER($G376)),"",IF(AND(ASH_CORRECTED="Yes",ISNUMBER($H376)),$G376*(1-$H376),$G376))</f>
        <v/>
      </c>
      <c r="K376" s="9" t="str">
        <f aca="false">IF($B376="","",IFERROR(AVERAGEIFS('2. Soil Data'!$G$5:$G$604,'2. Soil Data'!$B$5:$B$604,$B376),""))</f>
        <v/>
      </c>
      <c r="L376" s="9" t="str">
        <f aca="false">IF(NOT(ISNUMBER($K376)),"",PI()*($K376/2)^2)</f>
        <v/>
      </c>
      <c r="M376" s="9" t="str">
        <f aca="false">IF(OR(NOT(ISNUMBER($J376)),NOT(ISNUMBER($L376)),$L376=0),"",$J376/$L376*10000)</f>
        <v/>
      </c>
      <c r="N376" s="9" t="str">
        <f aca="false">IF(NOT(ISNUMBER($M376)),"",$M376*CARBON_FRACTION_ROOT/1000)</f>
        <v/>
      </c>
      <c r="O376" s="11" t="str">
        <f aca="false">IF(AND($A376="",$B376="",$G376=""),"",IF(AND($B376&lt;&gt;"",COUNTIFS('2. Soil Data'!$B$5:$B$604,$B376)=0),"Core ID not found in Soil Data, so the corer diameter cannot be looked up. ","")&amp;IF(ASH_CORRECTED&lt;&gt;"Yes","Root mass is NOT ash-corrected, so it includes adhering mineral soil and is too high. Set ASH_CORRECTED once you have done it. ","")&amp;IF(AND(ASH_CORRECTED="Yes",NOT(ISNUMBER($H376))),"Ash correction is switched on but no ash fraction is given for this row. ","")&amp;IF($I376="","Sieve mesh not recorded — a fine-root figure cannot be interpreted without it. ","")&amp;IF(AND(ISNUMBER($H376),$H376&gt;0.5),"Ash fraction above 0.5 — over half this sample was mineral soil. Re-wash. ","")&amp;IF($F376="Not separated","Live and dead not separated. Fine for a stock, but "&amp;"note it in reporting. ",""))</f>
        <v/>
      </c>
      <c r="P376" s="6"/>
      <c r="Q376" s="9" t="n">
        <f aca="false">IF($B376="",0,IF(COUNTIFS($B$5:$B376,$B376)=1,1,0))</f>
        <v>0</v>
      </c>
    </row>
    <row r="377" customFormat="false" ht="15" hidden="false" customHeight="false" outlineLevel="0" collapsed="false">
      <c r="A377" s="6"/>
      <c r="B377" s="6"/>
      <c r="C377" s="6"/>
      <c r="D377" s="6"/>
      <c r="E377" s="6"/>
      <c r="F377" s="6"/>
      <c r="G377" s="7"/>
      <c r="H377" s="7"/>
      <c r="I377" s="6"/>
      <c r="J377" s="9" t="str">
        <f aca="false">IF(NOT(ISNUMBER($G377)),"",IF(AND(ASH_CORRECTED="Yes",ISNUMBER($H377)),$G377*(1-$H377),$G377))</f>
        <v/>
      </c>
      <c r="K377" s="9" t="str">
        <f aca="false">IF($B377="","",IFERROR(AVERAGEIFS('2. Soil Data'!$G$5:$G$604,'2. Soil Data'!$B$5:$B$604,$B377),""))</f>
        <v/>
      </c>
      <c r="L377" s="9" t="str">
        <f aca="false">IF(NOT(ISNUMBER($K377)),"",PI()*($K377/2)^2)</f>
        <v/>
      </c>
      <c r="M377" s="9" t="str">
        <f aca="false">IF(OR(NOT(ISNUMBER($J377)),NOT(ISNUMBER($L377)),$L377=0),"",$J377/$L377*10000)</f>
        <v/>
      </c>
      <c r="N377" s="9" t="str">
        <f aca="false">IF(NOT(ISNUMBER($M377)),"",$M377*CARBON_FRACTION_ROOT/1000)</f>
        <v/>
      </c>
      <c r="O377" s="11" t="str">
        <f aca="false">IF(AND($A377="",$B377="",$G377=""),"",IF(AND($B377&lt;&gt;"",COUNTIFS('2. Soil Data'!$B$5:$B$604,$B377)=0),"Core ID not found in Soil Data, so the corer diameter cannot be looked up. ","")&amp;IF(ASH_CORRECTED&lt;&gt;"Yes","Root mass is NOT ash-corrected, so it includes adhering mineral soil and is too high. Set ASH_CORRECTED once you have done it. ","")&amp;IF(AND(ASH_CORRECTED="Yes",NOT(ISNUMBER($H377))),"Ash correction is switched on but no ash fraction is given for this row. ","")&amp;IF($I377="","Sieve mesh not recorded — a fine-root figure cannot be interpreted without it. ","")&amp;IF(AND(ISNUMBER($H377),$H377&gt;0.5),"Ash fraction above 0.5 — over half this sample was mineral soil. Re-wash. ","")&amp;IF($F377="Not separated","Live and dead not separated. Fine for a stock, but "&amp;"note it in reporting. ",""))</f>
        <v/>
      </c>
      <c r="P377" s="6"/>
      <c r="Q377" s="9" t="n">
        <f aca="false">IF($B377="",0,IF(COUNTIFS($B$5:$B377,$B377)=1,1,0))</f>
        <v>0</v>
      </c>
    </row>
    <row r="378" customFormat="false" ht="15" hidden="false" customHeight="false" outlineLevel="0" collapsed="false">
      <c r="A378" s="6"/>
      <c r="B378" s="6"/>
      <c r="C378" s="6"/>
      <c r="D378" s="6"/>
      <c r="E378" s="6"/>
      <c r="F378" s="6"/>
      <c r="G378" s="7"/>
      <c r="H378" s="7"/>
      <c r="I378" s="6"/>
      <c r="J378" s="9" t="str">
        <f aca="false">IF(NOT(ISNUMBER($G378)),"",IF(AND(ASH_CORRECTED="Yes",ISNUMBER($H378)),$G378*(1-$H378),$G378))</f>
        <v/>
      </c>
      <c r="K378" s="9" t="str">
        <f aca="false">IF($B378="","",IFERROR(AVERAGEIFS('2. Soil Data'!$G$5:$G$604,'2. Soil Data'!$B$5:$B$604,$B378),""))</f>
        <v/>
      </c>
      <c r="L378" s="9" t="str">
        <f aca="false">IF(NOT(ISNUMBER($K378)),"",PI()*($K378/2)^2)</f>
        <v/>
      </c>
      <c r="M378" s="9" t="str">
        <f aca="false">IF(OR(NOT(ISNUMBER($J378)),NOT(ISNUMBER($L378)),$L378=0),"",$J378/$L378*10000)</f>
        <v/>
      </c>
      <c r="N378" s="9" t="str">
        <f aca="false">IF(NOT(ISNUMBER($M378)),"",$M378*CARBON_FRACTION_ROOT/1000)</f>
        <v/>
      </c>
      <c r="O378" s="11" t="str">
        <f aca="false">IF(AND($A378="",$B378="",$G378=""),"",IF(AND($B378&lt;&gt;"",COUNTIFS('2. Soil Data'!$B$5:$B$604,$B378)=0),"Core ID not found in Soil Data, so the corer diameter cannot be looked up. ","")&amp;IF(ASH_CORRECTED&lt;&gt;"Yes","Root mass is NOT ash-corrected, so it includes adhering mineral soil and is too high. Set ASH_CORRECTED once you have done it. ","")&amp;IF(AND(ASH_CORRECTED="Yes",NOT(ISNUMBER($H378))),"Ash correction is switched on but no ash fraction is given for this row. ","")&amp;IF($I378="","Sieve mesh not recorded — a fine-root figure cannot be interpreted without it. ","")&amp;IF(AND(ISNUMBER($H378),$H378&gt;0.5),"Ash fraction above 0.5 — over half this sample was mineral soil. Re-wash. ","")&amp;IF($F378="Not separated","Live and dead not separated. Fine for a stock, but "&amp;"note it in reporting. ",""))</f>
        <v/>
      </c>
      <c r="P378" s="6"/>
      <c r="Q378" s="9" t="n">
        <f aca="false">IF($B378="",0,IF(COUNTIFS($B$5:$B378,$B378)=1,1,0))</f>
        <v>0</v>
      </c>
    </row>
    <row r="379" customFormat="false" ht="15" hidden="false" customHeight="false" outlineLevel="0" collapsed="false">
      <c r="A379" s="6"/>
      <c r="B379" s="6"/>
      <c r="C379" s="6"/>
      <c r="D379" s="6"/>
      <c r="E379" s="6"/>
      <c r="F379" s="6"/>
      <c r="G379" s="7"/>
      <c r="H379" s="7"/>
      <c r="I379" s="6"/>
      <c r="J379" s="9" t="str">
        <f aca="false">IF(NOT(ISNUMBER($G379)),"",IF(AND(ASH_CORRECTED="Yes",ISNUMBER($H379)),$G379*(1-$H379),$G379))</f>
        <v/>
      </c>
      <c r="K379" s="9" t="str">
        <f aca="false">IF($B379="","",IFERROR(AVERAGEIFS('2. Soil Data'!$G$5:$G$604,'2. Soil Data'!$B$5:$B$604,$B379),""))</f>
        <v/>
      </c>
      <c r="L379" s="9" t="str">
        <f aca="false">IF(NOT(ISNUMBER($K379)),"",PI()*($K379/2)^2)</f>
        <v/>
      </c>
      <c r="M379" s="9" t="str">
        <f aca="false">IF(OR(NOT(ISNUMBER($J379)),NOT(ISNUMBER($L379)),$L379=0),"",$J379/$L379*10000)</f>
        <v/>
      </c>
      <c r="N379" s="9" t="str">
        <f aca="false">IF(NOT(ISNUMBER($M379)),"",$M379*CARBON_FRACTION_ROOT/1000)</f>
        <v/>
      </c>
      <c r="O379" s="11" t="str">
        <f aca="false">IF(AND($A379="",$B379="",$G379=""),"",IF(AND($B379&lt;&gt;"",COUNTIFS('2. Soil Data'!$B$5:$B$604,$B379)=0),"Core ID not found in Soil Data, so the corer diameter cannot be looked up. ","")&amp;IF(ASH_CORRECTED&lt;&gt;"Yes","Root mass is NOT ash-corrected, so it includes adhering mineral soil and is too high. Set ASH_CORRECTED once you have done it. ","")&amp;IF(AND(ASH_CORRECTED="Yes",NOT(ISNUMBER($H379))),"Ash correction is switched on but no ash fraction is given for this row. ","")&amp;IF($I379="","Sieve mesh not recorded — a fine-root figure cannot be interpreted without it. ","")&amp;IF(AND(ISNUMBER($H379),$H379&gt;0.5),"Ash fraction above 0.5 — over half this sample was mineral soil. Re-wash. ","")&amp;IF($F379="Not separated","Live and dead not separated. Fine for a stock, but "&amp;"note it in reporting. ",""))</f>
        <v/>
      </c>
      <c r="P379" s="6"/>
      <c r="Q379" s="9" t="n">
        <f aca="false">IF($B379="",0,IF(COUNTIFS($B$5:$B379,$B379)=1,1,0))</f>
        <v>0</v>
      </c>
    </row>
    <row r="380" customFormat="false" ht="15" hidden="false" customHeight="false" outlineLevel="0" collapsed="false">
      <c r="A380" s="6"/>
      <c r="B380" s="6"/>
      <c r="C380" s="6"/>
      <c r="D380" s="6"/>
      <c r="E380" s="6"/>
      <c r="F380" s="6"/>
      <c r="G380" s="7"/>
      <c r="H380" s="7"/>
      <c r="I380" s="6"/>
      <c r="J380" s="9" t="str">
        <f aca="false">IF(NOT(ISNUMBER($G380)),"",IF(AND(ASH_CORRECTED="Yes",ISNUMBER($H380)),$G380*(1-$H380),$G380))</f>
        <v/>
      </c>
      <c r="K380" s="9" t="str">
        <f aca="false">IF($B380="","",IFERROR(AVERAGEIFS('2. Soil Data'!$G$5:$G$604,'2. Soil Data'!$B$5:$B$604,$B380),""))</f>
        <v/>
      </c>
      <c r="L380" s="9" t="str">
        <f aca="false">IF(NOT(ISNUMBER($K380)),"",PI()*($K380/2)^2)</f>
        <v/>
      </c>
      <c r="M380" s="9" t="str">
        <f aca="false">IF(OR(NOT(ISNUMBER($J380)),NOT(ISNUMBER($L380)),$L380=0),"",$J380/$L380*10000)</f>
        <v/>
      </c>
      <c r="N380" s="9" t="str">
        <f aca="false">IF(NOT(ISNUMBER($M380)),"",$M380*CARBON_FRACTION_ROOT/1000)</f>
        <v/>
      </c>
      <c r="O380" s="11" t="str">
        <f aca="false">IF(AND($A380="",$B380="",$G380=""),"",IF(AND($B380&lt;&gt;"",COUNTIFS('2. Soil Data'!$B$5:$B$604,$B380)=0),"Core ID not found in Soil Data, so the corer diameter cannot be looked up. ","")&amp;IF(ASH_CORRECTED&lt;&gt;"Yes","Root mass is NOT ash-corrected, so it includes adhering mineral soil and is too high. Set ASH_CORRECTED once you have done it. ","")&amp;IF(AND(ASH_CORRECTED="Yes",NOT(ISNUMBER($H380))),"Ash correction is switched on but no ash fraction is given for this row. ","")&amp;IF($I380="","Sieve mesh not recorded — a fine-root figure cannot be interpreted without it. ","")&amp;IF(AND(ISNUMBER($H380),$H380&gt;0.5),"Ash fraction above 0.5 — over half this sample was mineral soil. Re-wash. ","")&amp;IF($F380="Not separated","Live and dead not separated. Fine for a stock, but "&amp;"note it in reporting. ",""))</f>
        <v/>
      </c>
      <c r="P380" s="6"/>
      <c r="Q380" s="9" t="n">
        <f aca="false">IF($B380="",0,IF(COUNTIFS($B$5:$B380,$B380)=1,1,0))</f>
        <v>0</v>
      </c>
    </row>
    <row r="381" customFormat="false" ht="15" hidden="false" customHeight="false" outlineLevel="0" collapsed="false">
      <c r="A381" s="6"/>
      <c r="B381" s="6"/>
      <c r="C381" s="6"/>
      <c r="D381" s="6"/>
      <c r="E381" s="6"/>
      <c r="F381" s="6"/>
      <c r="G381" s="7"/>
      <c r="H381" s="7"/>
      <c r="I381" s="6"/>
      <c r="J381" s="9" t="str">
        <f aca="false">IF(NOT(ISNUMBER($G381)),"",IF(AND(ASH_CORRECTED="Yes",ISNUMBER($H381)),$G381*(1-$H381),$G381))</f>
        <v/>
      </c>
      <c r="K381" s="9" t="str">
        <f aca="false">IF($B381="","",IFERROR(AVERAGEIFS('2. Soil Data'!$G$5:$G$604,'2. Soil Data'!$B$5:$B$604,$B381),""))</f>
        <v/>
      </c>
      <c r="L381" s="9" t="str">
        <f aca="false">IF(NOT(ISNUMBER($K381)),"",PI()*($K381/2)^2)</f>
        <v/>
      </c>
      <c r="M381" s="9" t="str">
        <f aca="false">IF(OR(NOT(ISNUMBER($J381)),NOT(ISNUMBER($L381)),$L381=0),"",$J381/$L381*10000)</f>
        <v/>
      </c>
      <c r="N381" s="9" t="str">
        <f aca="false">IF(NOT(ISNUMBER($M381)),"",$M381*CARBON_FRACTION_ROOT/1000)</f>
        <v/>
      </c>
      <c r="O381" s="11" t="str">
        <f aca="false">IF(AND($A381="",$B381="",$G381=""),"",IF(AND($B381&lt;&gt;"",COUNTIFS('2. Soil Data'!$B$5:$B$604,$B381)=0),"Core ID not found in Soil Data, so the corer diameter cannot be looked up. ","")&amp;IF(ASH_CORRECTED&lt;&gt;"Yes","Root mass is NOT ash-corrected, so it includes adhering mineral soil and is too high. Set ASH_CORRECTED once you have done it. ","")&amp;IF(AND(ASH_CORRECTED="Yes",NOT(ISNUMBER($H381))),"Ash correction is switched on but no ash fraction is given for this row. ","")&amp;IF($I381="","Sieve mesh not recorded — a fine-root figure cannot be interpreted without it. ","")&amp;IF(AND(ISNUMBER($H381),$H381&gt;0.5),"Ash fraction above 0.5 — over half this sample was mineral soil. Re-wash. ","")&amp;IF($F381="Not separated","Live and dead not separated. Fine for a stock, but "&amp;"note it in reporting. ",""))</f>
        <v/>
      </c>
      <c r="P381" s="6"/>
      <c r="Q381" s="9" t="n">
        <f aca="false">IF($B381="",0,IF(COUNTIFS($B$5:$B381,$B381)=1,1,0))</f>
        <v>0</v>
      </c>
    </row>
    <row r="382" customFormat="false" ht="15" hidden="false" customHeight="false" outlineLevel="0" collapsed="false">
      <c r="A382" s="6"/>
      <c r="B382" s="6"/>
      <c r="C382" s="6"/>
      <c r="D382" s="6"/>
      <c r="E382" s="6"/>
      <c r="F382" s="6"/>
      <c r="G382" s="7"/>
      <c r="H382" s="7"/>
      <c r="I382" s="6"/>
      <c r="J382" s="9" t="str">
        <f aca="false">IF(NOT(ISNUMBER($G382)),"",IF(AND(ASH_CORRECTED="Yes",ISNUMBER($H382)),$G382*(1-$H382),$G382))</f>
        <v/>
      </c>
      <c r="K382" s="9" t="str">
        <f aca="false">IF($B382="","",IFERROR(AVERAGEIFS('2. Soil Data'!$G$5:$G$604,'2. Soil Data'!$B$5:$B$604,$B382),""))</f>
        <v/>
      </c>
      <c r="L382" s="9" t="str">
        <f aca="false">IF(NOT(ISNUMBER($K382)),"",PI()*($K382/2)^2)</f>
        <v/>
      </c>
      <c r="M382" s="9" t="str">
        <f aca="false">IF(OR(NOT(ISNUMBER($J382)),NOT(ISNUMBER($L382)),$L382=0),"",$J382/$L382*10000)</f>
        <v/>
      </c>
      <c r="N382" s="9" t="str">
        <f aca="false">IF(NOT(ISNUMBER($M382)),"",$M382*CARBON_FRACTION_ROOT/1000)</f>
        <v/>
      </c>
      <c r="O382" s="11" t="str">
        <f aca="false">IF(AND($A382="",$B382="",$G382=""),"",IF(AND($B382&lt;&gt;"",COUNTIFS('2. Soil Data'!$B$5:$B$604,$B382)=0),"Core ID not found in Soil Data, so the corer diameter cannot be looked up. ","")&amp;IF(ASH_CORRECTED&lt;&gt;"Yes","Root mass is NOT ash-corrected, so it includes adhering mineral soil and is too high. Set ASH_CORRECTED once you have done it. ","")&amp;IF(AND(ASH_CORRECTED="Yes",NOT(ISNUMBER($H382))),"Ash correction is switched on but no ash fraction is given for this row. ","")&amp;IF($I382="","Sieve mesh not recorded — a fine-root figure cannot be interpreted without it. ","")&amp;IF(AND(ISNUMBER($H382),$H382&gt;0.5),"Ash fraction above 0.5 — over half this sample was mineral soil. Re-wash. ","")&amp;IF($F382="Not separated","Live and dead not separated. Fine for a stock, but "&amp;"note it in reporting. ",""))</f>
        <v/>
      </c>
      <c r="P382" s="6"/>
      <c r="Q382" s="9" t="n">
        <f aca="false">IF($B382="",0,IF(COUNTIFS($B$5:$B382,$B382)=1,1,0))</f>
        <v>0</v>
      </c>
    </row>
    <row r="383" customFormat="false" ht="15" hidden="false" customHeight="false" outlineLevel="0" collapsed="false">
      <c r="A383" s="6"/>
      <c r="B383" s="6"/>
      <c r="C383" s="6"/>
      <c r="D383" s="6"/>
      <c r="E383" s="6"/>
      <c r="F383" s="6"/>
      <c r="G383" s="7"/>
      <c r="H383" s="7"/>
      <c r="I383" s="6"/>
      <c r="J383" s="9" t="str">
        <f aca="false">IF(NOT(ISNUMBER($G383)),"",IF(AND(ASH_CORRECTED="Yes",ISNUMBER($H383)),$G383*(1-$H383),$G383))</f>
        <v/>
      </c>
      <c r="K383" s="9" t="str">
        <f aca="false">IF($B383="","",IFERROR(AVERAGEIFS('2. Soil Data'!$G$5:$G$604,'2. Soil Data'!$B$5:$B$604,$B383),""))</f>
        <v/>
      </c>
      <c r="L383" s="9" t="str">
        <f aca="false">IF(NOT(ISNUMBER($K383)),"",PI()*($K383/2)^2)</f>
        <v/>
      </c>
      <c r="M383" s="9" t="str">
        <f aca="false">IF(OR(NOT(ISNUMBER($J383)),NOT(ISNUMBER($L383)),$L383=0),"",$J383/$L383*10000)</f>
        <v/>
      </c>
      <c r="N383" s="9" t="str">
        <f aca="false">IF(NOT(ISNUMBER($M383)),"",$M383*CARBON_FRACTION_ROOT/1000)</f>
        <v/>
      </c>
      <c r="O383" s="11" t="str">
        <f aca="false">IF(AND($A383="",$B383="",$G383=""),"",IF(AND($B383&lt;&gt;"",COUNTIFS('2. Soil Data'!$B$5:$B$604,$B383)=0),"Core ID not found in Soil Data, so the corer diameter cannot be looked up. ","")&amp;IF(ASH_CORRECTED&lt;&gt;"Yes","Root mass is NOT ash-corrected, so it includes adhering mineral soil and is too high. Set ASH_CORRECTED once you have done it. ","")&amp;IF(AND(ASH_CORRECTED="Yes",NOT(ISNUMBER($H383))),"Ash correction is switched on but no ash fraction is given for this row. ","")&amp;IF($I383="","Sieve mesh not recorded — a fine-root figure cannot be interpreted without it. ","")&amp;IF(AND(ISNUMBER($H383),$H383&gt;0.5),"Ash fraction above 0.5 — over half this sample was mineral soil. Re-wash. ","")&amp;IF($F383="Not separated","Live and dead not separated. Fine for a stock, but "&amp;"note it in reporting. ",""))</f>
        <v/>
      </c>
      <c r="P383" s="6"/>
      <c r="Q383" s="9" t="n">
        <f aca="false">IF($B383="",0,IF(COUNTIFS($B$5:$B383,$B383)=1,1,0))</f>
        <v>0</v>
      </c>
    </row>
    <row r="384" customFormat="false" ht="15" hidden="false" customHeight="false" outlineLevel="0" collapsed="false">
      <c r="A384" s="6"/>
      <c r="B384" s="6"/>
      <c r="C384" s="6"/>
      <c r="D384" s="6"/>
      <c r="E384" s="6"/>
      <c r="F384" s="6"/>
      <c r="G384" s="7"/>
      <c r="H384" s="7"/>
      <c r="I384" s="6"/>
      <c r="J384" s="9" t="str">
        <f aca="false">IF(NOT(ISNUMBER($G384)),"",IF(AND(ASH_CORRECTED="Yes",ISNUMBER($H384)),$G384*(1-$H384),$G384))</f>
        <v/>
      </c>
      <c r="K384" s="9" t="str">
        <f aca="false">IF($B384="","",IFERROR(AVERAGEIFS('2. Soil Data'!$G$5:$G$604,'2. Soil Data'!$B$5:$B$604,$B384),""))</f>
        <v/>
      </c>
      <c r="L384" s="9" t="str">
        <f aca="false">IF(NOT(ISNUMBER($K384)),"",PI()*($K384/2)^2)</f>
        <v/>
      </c>
      <c r="M384" s="9" t="str">
        <f aca="false">IF(OR(NOT(ISNUMBER($J384)),NOT(ISNUMBER($L384)),$L384=0),"",$J384/$L384*10000)</f>
        <v/>
      </c>
      <c r="N384" s="9" t="str">
        <f aca="false">IF(NOT(ISNUMBER($M384)),"",$M384*CARBON_FRACTION_ROOT/1000)</f>
        <v/>
      </c>
      <c r="O384" s="11" t="str">
        <f aca="false">IF(AND($A384="",$B384="",$G384=""),"",IF(AND($B384&lt;&gt;"",COUNTIFS('2. Soil Data'!$B$5:$B$604,$B384)=0),"Core ID not found in Soil Data, so the corer diameter cannot be looked up. ","")&amp;IF(ASH_CORRECTED&lt;&gt;"Yes","Root mass is NOT ash-corrected, so it includes adhering mineral soil and is too high. Set ASH_CORRECTED once you have done it. ","")&amp;IF(AND(ASH_CORRECTED="Yes",NOT(ISNUMBER($H384))),"Ash correction is switched on but no ash fraction is given for this row. ","")&amp;IF($I384="","Sieve mesh not recorded — a fine-root figure cannot be interpreted without it. ","")&amp;IF(AND(ISNUMBER($H384),$H384&gt;0.5),"Ash fraction above 0.5 — over half this sample was mineral soil. Re-wash. ","")&amp;IF($F384="Not separated","Live and dead not separated. Fine for a stock, but "&amp;"note it in reporting. ",""))</f>
        <v/>
      </c>
      <c r="P384" s="6"/>
      <c r="Q384" s="9" t="n">
        <f aca="false">IF($B384="",0,IF(COUNTIFS($B$5:$B384,$B384)=1,1,0))</f>
        <v>0</v>
      </c>
    </row>
    <row r="385" customFormat="false" ht="15" hidden="false" customHeight="false" outlineLevel="0" collapsed="false">
      <c r="A385" s="6"/>
      <c r="B385" s="6"/>
      <c r="C385" s="6"/>
      <c r="D385" s="6"/>
      <c r="E385" s="6"/>
      <c r="F385" s="6"/>
      <c r="G385" s="7"/>
      <c r="H385" s="7"/>
      <c r="I385" s="6"/>
      <c r="J385" s="9" t="str">
        <f aca="false">IF(NOT(ISNUMBER($G385)),"",IF(AND(ASH_CORRECTED="Yes",ISNUMBER($H385)),$G385*(1-$H385),$G385))</f>
        <v/>
      </c>
      <c r="K385" s="9" t="str">
        <f aca="false">IF($B385="","",IFERROR(AVERAGEIFS('2. Soil Data'!$G$5:$G$604,'2. Soil Data'!$B$5:$B$604,$B385),""))</f>
        <v/>
      </c>
      <c r="L385" s="9" t="str">
        <f aca="false">IF(NOT(ISNUMBER($K385)),"",PI()*($K385/2)^2)</f>
        <v/>
      </c>
      <c r="M385" s="9" t="str">
        <f aca="false">IF(OR(NOT(ISNUMBER($J385)),NOT(ISNUMBER($L385)),$L385=0),"",$J385/$L385*10000)</f>
        <v/>
      </c>
      <c r="N385" s="9" t="str">
        <f aca="false">IF(NOT(ISNUMBER($M385)),"",$M385*CARBON_FRACTION_ROOT/1000)</f>
        <v/>
      </c>
      <c r="O385" s="11" t="str">
        <f aca="false">IF(AND($A385="",$B385="",$G385=""),"",IF(AND($B385&lt;&gt;"",COUNTIFS('2. Soil Data'!$B$5:$B$604,$B385)=0),"Core ID not found in Soil Data, so the corer diameter cannot be looked up. ","")&amp;IF(ASH_CORRECTED&lt;&gt;"Yes","Root mass is NOT ash-corrected, so it includes adhering mineral soil and is too high. Set ASH_CORRECTED once you have done it. ","")&amp;IF(AND(ASH_CORRECTED="Yes",NOT(ISNUMBER($H385))),"Ash correction is switched on but no ash fraction is given for this row. ","")&amp;IF($I385="","Sieve mesh not recorded — a fine-root figure cannot be interpreted without it. ","")&amp;IF(AND(ISNUMBER($H385),$H385&gt;0.5),"Ash fraction above 0.5 — over half this sample was mineral soil. Re-wash. ","")&amp;IF($F385="Not separated","Live and dead not separated. Fine for a stock, but "&amp;"note it in reporting. ",""))</f>
        <v/>
      </c>
      <c r="P385" s="6"/>
      <c r="Q385" s="9" t="n">
        <f aca="false">IF($B385="",0,IF(COUNTIFS($B$5:$B385,$B385)=1,1,0))</f>
        <v>0</v>
      </c>
    </row>
    <row r="386" customFormat="false" ht="15" hidden="false" customHeight="false" outlineLevel="0" collapsed="false">
      <c r="A386" s="6"/>
      <c r="B386" s="6"/>
      <c r="C386" s="6"/>
      <c r="D386" s="6"/>
      <c r="E386" s="6"/>
      <c r="F386" s="6"/>
      <c r="G386" s="7"/>
      <c r="H386" s="7"/>
      <c r="I386" s="6"/>
      <c r="J386" s="9" t="str">
        <f aca="false">IF(NOT(ISNUMBER($G386)),"",IF(AND(ASH_CORRECTED="Yes",ISNUMBER($H386)),$G386*(1-$H386),$G386))</f>
        <v/>
      </c>
      <c r="K386" s="9" t="str">
        <f aca="false">IF($B386="","",IFERROR(AVERAGEIFS('2. Soil Data'!$G$5:$G$604,'2. Soil Data'!$B$5:$B$604,$B386),""))</f>
        <v/>
      </c>
      <c r="L386" s="9" t="str">
        <f aca="false">IF(NOT(ISNUMBER($K386)),"",PI()*($K386/2)^2)</f>
        <v/>
      </c>
      <c r="M386" s="9" t="str">
        <f aca="false">IF(OR(NOT(ISNUMBER($J386)),NOT(ISNUMBER($L386)),$L386=0),"",$J386/$L386*10000)</f>
        <v/>
      </c>
      <c r="N386" s="9" t="str">
        <f aca="false">IF(NOT(ISNUMBER($M386)),"",$M386*CARBON_FRACTION_ROOT/1000)</f>
        <v/>
      </c>
      <c r="O386" s="11" t="str">
        <f aca="false">IF(AND($A386="",$B386="",$G386=""),"",IF(AND($B386&lt;&gt;"",COUNTIFS('2. Soil Data'!$B$5:$B$604,$B386)=0),"Core ID not found in Soil Data, so the corer diameter cannot be looked up. ","")&amp;IF(ASH_CORRECTED&lt;&gt;"Yes","Root mass is NOT ash-corrected, so it includes adhering mineral soil and is too high. Set ASH_CORRECTED once you have done it. ","")&amp;IF(AND(ASH_CORRECTED="Yes",NOT(ISNUMBER($H386))),"Ash correction is switched on but no ash fraction is given for this row. ","")&amp;IF($I386="","Sieve mesh not recorded — a fine-root figure cannot be interpreted without it. ","")&amp;IF(AND(ISNUMBER($H386),$H386&gt;0.5),"Ash fraction above 0.5 — over half this sample was mineral soil. Re-wash. ","")&amp;IF($F386="Not separated","Live and dead not separated. Fine for a stock, but "&amp;"note it in reporting. ",""))</f>
        <v/>
      </c>
      <c r="P386" s="6"/>
      <c r="Q386" s="9" t="n">
        <f aca="false">IF($B386="",0,IF(COUNTIFS($B$5:$B386,$B386)=1,1,0))</f>
        <v>0</v>
      </c>
    </row>
    <row r="387" customFormat="false" ht="15" hidden="false" customHeight="false" outlineLevel="0" collapsed="false">
      <c r="A387" s="6"/>
      <c r="B387" s="6"/>
      <c r="C387" s="6"/>
      <c r="D387" s="6"/>
      <c r="E387" s="6"/>
      <c r="F387" s="6"/>
      <c r="G387" s="7"/>
      <c r="H387" s="7"/>
      <c r="I387" s="6"/>
      <c r="J387" s="9" t="str">
        <f aca="false">IF(NOT(ISNUMBER($G387)),"",IF(AND(ASH_CORRECTED="Yes",ISNUMBER($H387)),$G387*(1-$H387),$G387))</f>
        <v/>
      </c>
      <c r="K387" s="9" t="str">
        <f aca="false">IF($B387="","",IFERROR(AVERAGEIFS('2. Soil Data'!$G$5:$G$604,'2. Soil Data'!$B$5:$B$604,$B387),""))</f>
        <v/>
      </c>
      <c r="L387" s="9" t="str">
        <f aca="false">IF(NOT(ISNUMBER($K387)),"",PI()*($K387/2)^2)</f>
        <v/>
      </c>
      <c r="M387" s="9" t="str">
        <f aca="false">IF(OR(NOT(ISNUMBER($J387)),NOT(ISNUMBER($L387)),$L387=0),"",$J387/$L387*10000)</f>
        <v/>
      </c>
      <c r="N387" s="9" t="str">
        <f aca="false">IF(NOT(ISNUMBER($M387)),"",$M387*CARBON_FRACTION_ROOT/1000)</f>
        <v/>
      </c>
      <c r="O387" s="11" t="str">
        <f aca="false">IF(AND($A387="",$B387="",$G387=""),"",IF(AND($B387&lt;&gt;"",COUNTIFS('2. Soil Data'!$B$5:$B$604,$B387)=0),"Core ID not found in Soil Data, so the corer diameter cannot be looked up. ","")&amp;IF(ASH_CORRECTED&lt;&gt;"Yes","Root mass is NOT ash-corrected, so it includes adhering mineral soil and is too high. Set ASH_CORRECTED once you have done it. ","")&amp;IF(AND(ASH_CORRECTED="Yes",NOT(ISNUMBER($H387))),"Ash correction is switched on but no ash fraction is given for this row. ","")&amp;IF($I387="","Sieve mesh not recorded — a fine-root figure cannot be interpreted without it. ","")&amp;IF(AND(ISNUMBER($H387),$H387&gt;0.5),"Ash fraction above 0.5 — over half this sample was mineral soil. Re-wash. ","")&amp;IF($F387="Not separated","Live and dead not separated. Fine for a stock, but "&amp;"note it in reporting. ",""))</f>
        <v/>
      </c>
      <c r="P387" s="6"/>
      <c r="Q387" s="9" t="n">
        <f aca="false">IF($B387="",0,IF(COUNTIFS($B$5:$B387,$B387)=1,1,0))</f>
        <v>0</v>
      </c>
    </row>
    <row r="388" customFormat="false" ht="15" hidden="false" customHeight="false" outlineLevel="0" collapsed="false">
      <c r="A388" s="6"/>
      <c r="B388" s="6"/>
      <c r="C388" s="6"/>
      <c r="D388" s="6"/>
      <c r="E388" s="6"/>
      <c r="F388" s="6"/>
      <c r="G388" s="7"/>
      <c r="H388" s="7"/>
      <c r="I388" s="6"/>
      <c r="J388" s="9" t="str">
        <f aca="false">IF(NOT(ISNUMBER($G388)),"",IF(AND(ASH_CORRECTED="Yes",ISNUMBER($H388)),$G388*(1-$H388),$G388))</f>
        <v/>
      </c>
      <c r="K388" s="9" t="str">
        <f aca="false">IF($B388="","",IFERROR(AVERAGEIFS('2. Soil Data'!$G$5:$G$604,'2. Soil Data'!$B$5:$B$604,$B388),""))</f>
        <v/>
      </c>
      <c r="L388" s="9" t="str">
        <f aca="false">IF(NOT(ISNUMBER($K388)),"",PI()*($K388/2)^2)</f>
        <v/>
      </c>
      <c r="M388" s="9" t="str">
        <f aca="false">IF(OR(NOT(ISNUMBER($J388)),NOT(ISNUMBER($L388)),$L388=0),"",$J388/$L388*10000)</f>
        <v/>
      </c>
      <c r="N388" s="9" t="str">
        <f aca="false">IF(NOT(ISNUMBER($M388)),"",$M388*CARBON_FRACTION_ROOT/1000)</f>
        <v/>
      </c>
      <c r="O388" s="11" t="str">
        <f aca="false">IF(AND($A388="",$B388="",$G388=""),"",IF(AND($B388&lt;&gt;"",COUNTIFS('2. Soil Data'!$B$5:$B$604,$B388)=0),"Core ID not found in Soil Data, so the corer diameter cannot be looked up. ","")&amp;IF(ASH_CORRECTED&lt;&gt;"Yes","Root mass is NOT ash-corrected, so it includes adhering mineral soil and is too high. Set ASH_CORRECTED once you have done it. ","")&amp;IF(AND(ASH_CORRECTED="Yes",NOT(ISNUMBER($H388))),"Ash correction is switched on but no ash fraction is given for this row. ","")&amp;IF($I388="","Sieve mesh not recorded — a fine-root figure cannot be interpreted without it. ","")&amp;IF(AND(ISNUMBER($H388),$H388&gt;0.5),"Ash fraction above 0.5 — over half this sample was mineral soil. Re-wash. ","")&amp;IF($F388="Not separated","Live and dead not separated. Fine for a stock, but "&amp;"note it in reporting. ",""))</f>
        <v/>
      </c>
      <c r="P388" s="6"/>
      <c r="Q388" s="9" t="n">
        <f aca="false">IF($B388="",0,IF(COUNTIFS($B$5:$B388,$B388)=1,1,0))</f>
        <v>0</v>
      </c>
    </row>
    <row r="389" customFormat="false" ht="15" hidden="false" customHeight="false" outlineLevel="0" collapsed="false">
      <c r="A389" s="6"/>
      <c r="B389" s="6"/>
      <c r="C389" s="6"/>
      <c r="D389" s="6"/>
      <c r="E389" s="6"/>
      <c r="F389" s="6"/>
      <c r="G389" s="7"/>
      <c r="H389" s="7"/>
      <c r="I389" s="6"/>
      <c r="J389" s="9" t="str">
        <f aca="false">IF(NOT(ISNUMBER($G389)),"",IF(AND(ASH_CORRECTED="Yes",ISNUMBER($H389)),$G389*(1-$H389),$G389))</f>
        <v/>
      </c>
      <c r="K389" s="9" t="str">
        <f aca="false">IF($B389="","",IFERROR(AVERAGEIFS('2. Soil Data'!$G$5:$G$604,'2. Soil Data'!$B$5:$B$604,$B389),""))</f>
        <v/>
      </c>
      <c r="L389" s="9" t="str">
        <f aca="false">IF(NOT(ISNUMBER($K389)),"",PI()*($K389/2)^2)</f>
        <v/>
      </c>
      <c r="M389" s="9" t="str">
        <f aca="false">IF(OR(NOT(ISNUMBER($J389)),NOT(ISNUMBER($L389)),$L389=0),"",$J389/$L389*10000)</f>
        <v/>
      </c>
      <c r="N389" s="9" t="str">
        <f aca="false">IF(NOT(ISNUMBER($M389)),"",$M389*CARBON_FRACTION_ROOT/1000)</f>
        <v/>
      </c>
      <c r="O389" s="11" t="str">
        <f aca="false">IF(AND($A389="",$B389="",$G389=""),"",IF(AND($B389&lt;&gt;"",COUNTIFS('2. Soil Data'!$B$5:$B$604,$B389)=0),"Core ID not found in Soil Data, so the corer diameter cannot be looked up. ","")&amp;IF(ASH_CORRECTED&lt;&gt;"Yes","Root mass is NOT ash-corrected, so it includes adhering mineral soil and is too high. Set ASH_CORRECTED once you have done it. ","")&amp;IF(AND(ASH_CORRECTED="Yes",NOT(ISNUMBER($H389))),"Ash correction is switched on but no ash fraction is given for this row. ","")&amp;IF($I389="","Sieve mesh not recorded — a fine-root figure cannot be interpreted without it. ","")&amp;IF(AND(ISNUMBER($H389),$H389&gt;0.5),"Ash fraction above 0.5 — over half this sample was mineral soil. Re-wash. ","")&amp;IF($F389="Not separated","Live and dead not separated. Fine for a stock, but "&amp;"note it in reporting. ",""))</f>
        <v/>
      </c>
      <c r="P389" s="6"/>
      <c r="Q389" s="9" t="n">
        <f aca="false">IF($B389="",0,IF(COUNTIFS($B$5:$B389,$B389)=1,1,0))</f>
        <v>0</v>
      </c>
    </row>
    <row r="390" customFormat="false" ht="15" hidden="false" customHeight="false" outlineLevel="0" collapsed="false">
      <c r="A390" s="6"/>
      <c r="B390" s="6"/>
      <c r="C390" s="6"/>
      <c r="D390" s="6"/>
      <c r="E390" s="6"/>
      <c r="F390" s="6"/>
      <c r="G390" s="7"/>
      <c r="H390" s="7"/>
      <c r="I390" s="6"/>
      <c r="J390" s="9" t="str">
        <f aca="false">IF(NOT(ISNUMBER($G390)),"",IF(AND(ASH_CORRECTED="Yes",ISNUMBER($H390)),$G390*(1-$H390),$G390))</f>
        <v/>
      </c>
      <c r="K390" s="9" t="str">
        <f aca="false">IF($B390="","",IFERROR(AVERAGEIFS('2. Soil Data'!$G$5:$G$604,'2. Soil Data'!$B$5:$B$604,$B390),""))</f>
        <v/>
      </c>
      <c r="L390" s="9" t="str">
        <f aca="false">IF(NOT(ISNUMBER($K390)),"",PI()*($K390/2)^2)</f>
        <v/>
      </c>
      <c r="M390" s="9" t="str">
        <f aca="false">IF(OR(NOT(ISNUMBER($J390)),NOT(ISNUMBER($L390)),$L390=0),"",$J390/$L390*10000)</f>
        <v/>
      </c>
      <c r="N390" s="9" t="str">
        <f aca="false">IF(NOT(ISNUMBER($M390)),"",$M390*CARBON_FRACTION_ROOT/1000)</f>
        <v/>
      </c>
      <c r="O390" s="11" t="str">
        <f aca="false">IF(AND($A390="",$B390="",$G390=""),"",IF(AND($B390&lt;&gt;"",COUNTIFS('2. Soil Data'!$B$5:$B$604,$B390)=0),"Core ID not found in Soil Data, so the corer diameter cannot be looked up. ","")&amp;IF(ASH_CORRECTED&lt;&gt;"Yes","Root mass is NOT ash-corrected, so it includes adhering mineral soil and is too high. Set ASH_CORRECTED once you have done it. ","")&amp;IF(AND(ASH_CORRECTED="Yes",NOT(ISNUMBER($H390))),"Ash correction is switched on but no ash fraction is given for this row. ","")&amp;IF($I390="","Sieve mesh not recorded — a fine-root figure cannot be interpreted without it. ","")&amp;IF(AND(ISNUMBER($H390),$H390&gt;0.5),"Ash fraction above 0.5 — over half this sample was mineral soil. Re-wash. ","")&amp;IF($F390="Not separated","Live and dead not separated. Fine for a stock, but "&amp;"note it in reporting. ",""))</f>
        <v/>
      </c>
      <c r="P390" s="6"/>
      <c r="Q390" s="9" t="n">
        <f aca="false">IF($B390="",0,IF(COUNTIFS($B$5:$B390,$B390)=1,1,0))</f>
        <v>0</v>
      </c>
    </row>
    <row r="391" customFormat="false" ht="15" hidden="false" customHeight="false" outlineLevel="0" collapsed="false">
      <c r="A391" s="6"/>
      <c r="B391" s="6"/>
      <c r="C391" s="6"/>
      <c r="D391" s="6"/>
      <c r="E391" s="6"/>
      <c r="F391" s="6"/>
      <c r="G391" s="7"/>
      <c r="H391" s="7"/>
      <c r="I391" s="6"/>
      <c r="J391" s="9" t="str">
        <f aca="false">IF(NOT(ISNUMBER($G391)),"",IF(AND(ASH_CORRECTED="Yes",ISNUMBER($H391)),$G391*(1-$H391),$G391))</f>
        <v/>
      </c>
      <c r="K391" s="9" t="str">
        <f aca="false">IF($B391="","",IFERROR(AVERAGEIFS('2. Soil Data'!$G$5:$G$604,'2. Soil Data'!$B$5:$B$604,$B391),""))</f>
        <v/>
      </c>
      <c r="L391" s="9" t="str">
        <f aca="false">IF(NOT(ISNUMBER($K391)),"",PI()*($K391/2)^2)</f>
        <v/>
      </c>
      <c r="M391" s="9" t="str">
        <f aca="false">IF(OR(NOT(ISNUMBER($J391)),NOT(ISNUMBER($L391)),$L391=0),"",$J391/$L391*10000)</f>
        <v/>
      </c>
      <c r="N391" s="9" t="str">
        <f aca="false">IF(NOT(ISNUMBER($M391)),"",$M391*CARBON_FRACTION_ROOT/1000)</f>
        <v/>
      </c>
      <c r="O391" s="11" t="str">
        <f aca="false">IF(AND($A391="",$B391="",$G391=""),"",IF(AND($B391&lt;&gt;"",COUNTIFS('2. Soil Data'!$B$5:$B$604,$B391)=0),"Core ID not found in Soil Data, so the corer diameter cannot be looked up. ","")&amp;IF(ASH_CORRECTED&lt;&gt;"Yes","Root mass is NOT ash-corrected, so it includes adhering mineral soil and is too high. Set ASH_CORRECTED once you have done it. ","")&amp;IF(AND(ASH_CORRECTED="Yes",NOT(ISNUMBER($H391))),"Ash correction is switched on but no ash fraction is given for this row. ","")&amp;IF($I391="","Sieve mesh not recorded — a fine-root figure cannot be interpreted without it. ","")&amp;IF(AND(ISNUMBER($H391),$H391&gt;0.5),"Ash fraction above 0.5 — over half this sample was mineral soil. Re-wash. ","")&amp;IF($F391="Not separated","Live and dead not separated. Fine for a stock, but "&amp;"note it in reporting. ",""))</f>
        <v/>
      </c>
      <c r="P391" s="6"/>
      <c r="Q391" s="9" t="n">
        <f aca="false">IF($B391="",0,IF(COUNTIFS($B$5:$B391,$B391)=1,1,0))</f>
        <v>0</v>
      </c>
    </row>
    <row r="392" customFormat="false" ht="15" hidden="false" customHeight="false" outlineLevel="0" collapsed="false">
      <c r="A392" s="6"/>
      <c r="B392" s="6"/>
      <c r="C392" s="6"/>
      <c r="D392" s="6"/>
      <c r="E392" s="6"/>
      <c r="F392" s="6"/>
      <c r="G392" s="7"/>
      <c r="H392" s="7"/>
      <c r="I392" s="6"/>
      <c r="J392" s="9" t="str">
        <f aca="false">IF(NOT(ISNUMBER($G392)),"",IF(AND(ASH_CORRECTED="Yes",ISNUMBER($H392)),$G392*(1-$H392),$G392))</f>
        <v/>
      </c>
      <c r="K392" s="9" t="str">
        <f aca="false">IF($B392="","",IFERROR(AVERAGEIFS('2. Soil Data'!$G$5:$G$604,'2. Soil Data'!$B$5:$B$604,$B392),""))</f>
        <v/>
      </c>
      <c r="L392" s="9" t="str">
        <f aca="false">IF(NOT(ISNUMBER($K392)),"",PI()*($K392/2)^2)</f>
        <v/>
      </c>
      <c r="M392" s="9" t="str">
        <f aca="false">IF(OR(NOT(ISNUMBER($J392)),NOT(ISNUMBER($L392)),$L392=0),"",$J392/$L392*10000)</f>
        <v/>
      </c>
      <c r="N392" s="9" t="str">
        <f aca="false">IF(NOT(ISNUMBER($M392)),"",$M392*CARBON_FRACTION_ROOT/1000)</f>
        <v/>
      </c>
      <c r="O392" s="11" t="str">
        <f aca="false">IF(AND($A392="",$B392="",$G392=""),"",IF(AND($B392&lt;&gt;"",COUNTIFS('2. Soil Data'!$B$5:$B$604,$B392)=0),"Core ID not found in Soil Data, so the corer diameter cannot be looked up. ","")&amp;IF(ASH_CORRECTED&lt;&gt;"Yes","Root mass is NOT ash-corrected, so it includes adhering mineral soil and is too high. Set ASH_CORRECTED once you have done it. ","")&amp;IF(AND(ASH_CORRECTED="Yes",NOT(ISNUMBER($H392))),"Ash correction is switched on but no ash fraction is given for this row. ","")&amp;IF($I392="","Sieve mesh not recorded — a fine-root figure cannot be interpreted without it. ","")&amp;IF(AND(ISNUMBER($H392),$H392&gt;0.5),"Ash fraction above 0.5 — over half this sample was mineral soil. Re-wash. ","")&amp;IF($F392="Not separated","Live and dead not separated. Fine for a stock, but "&amp;"note it in reporting. ",""))</f>
        <v/>
      </c>
      <c r="P392" s="6"/>
      <c r="Q392" s="9" t="n">
        <f aca="false">IF($B392="",0,IF(COUNTIFS($B$5:$B392,$B392)=1,1,0))</f>
        <v>0</v>
      </c>
    </row>
    <row r="393" customFormat="false" ht="15" hidden="false" customHeight="false" outlineLevel="0" collapsed="false">
      <c r="A393" s="6"/>
      <c r="B393" s="6"/>
      <c r="C393" s="6"/>
      <c r="D393" s="6"/>
      <c r="E393" s="6"/>
      <c r="F393" s="6"/>
      <c r="G393" s="7"/>
      <c r="H393" s="7"/>
      <c r="I393" s="6"/>
      <c r="J393" s="9" t="str">
        <f aca="false">IF(NOT(ISNUMBER($G393)),"",IF(AND(ASH_CORRECTED="Yes",ISNUMBER($H393)),$G393*(1-$H393),$G393))</f>
        <v/>
      </c>
      <c r="K393" s="9" t="str">
        <f aca="false">IF($B393="","",IFERROR(AVERAGEIFS('2. Soil Data'!$G$5:$G$604,'2. Soil Data'!$B$5:$B$604,$B393),""))</f>
        <v/>
      </c>
      <c r="L393" s="9" t="str">
        <f aca="false">IF(NOT(ISNUMBER($K393)),"",PI()*($K393/2)^2)</f>
        <v/>
      </c>
      <c r="M393" s="9" t="str">
        <f aca="false">IF(OR(NOT(ISNUMBER($J393)),NOT(ISNUMBER($L393)),$L393=0),"",$J393/$L393*10000)</f>
        <v/>
      </c>
      <c r="N393" s="9" t="str">
        <f aca="false">IF(NOT(ISNUMBER($M393)),"",$M393*CARBON_FRACTION_ROOT/1000)</f>
        <v/>
      </c>
      <c r="O393" s="11" t="str">
        <f aca="false">IF(AND($A393="",$B393="",$G393=""),"",IF(AND($B393&lt;&gt;"",COUNTIFS('2. Soil Data'!$B$5:$B$604,$B393)=0),"Core ID not found in Soil Data, so the corer diameter cannot be looked up. ","")&amp;IF(ASH_CORRECTED&lt;&gt;"Yes","Root mass is NOT ash-corrected, so it includes adhering mineral soil and is too high. Set ASH_CORRECTED once you have done it. ","")&amp;IF(AND(ASH_CORRECTED="Yes",NOT(ISNUMBER($H393))),"Ash correction is switched on but no ash fraction is given for this row. ","")&amp;IF($I393="","Sieve mesh not recorded — a fine-root figure cannot be interpreted without it. ","")&amp;IF(AND(ISNUMBER($H393),$H393&gt;0.5),"Ash fraction above 0.5 — over half this sample was mineral soil. Re-wash. ","")&amp;IF($F393="Not separated","Live and dead not separated. Fine for a stock, but "&amp;"note it in reporting. ",""))</f>
        <v/>
      </c>
      <c r="P393" s="6"/>
      <c r="Q393" s="9" t="n">
        <f aca="false">IF($B393="",0,IF(COUNTIFS($B$5:$B393,$B393)=1,1,0))</f>
        <v>0</v>
      </c>
    </row>
    <row r="394" customFormat="false" ht="15" hidden="false" customHeight="false" outlineLevel="0" collapsed="false">
      <c r="A394" s="6"/>
      <c r="B394" s="6"/>
      <c r="C394" s="6"/>
      <c r="D394" s="6"/>
      <c r="E394" s="6"/>
      <c r="F394" s="6"/>
      <c r="G394" s="7"/>
      <c r="H394" s="7"/>
      <c r="I394" s="6"/>
      <c r="J394" s="9" t="str">
        <f aca="false">IF(NOT(ISNUMBER($G394)),"",IF(AND(ASH_CORRECTED="Yes",ISNUMBER($H394)),$G394*(1-$H394),$G394))</f>
        <v/>
      </c>
      <c r="K394" s="9" t="str">
        <f aca="false">IF($B394="","",IFERROR(AVERAGEIFS('2. Soil Data'!$G$5:$G$604,'2. Soil Data'!$B$5:$B$604,$B394),""))</f>
        <v/>
      </c>
      <c r="L394" s="9" t="str">
        <f aca="false">IF(NOT(ISNUMBER($K394)),"",PI()*($K394/2)^2)</f>
        <v/>
      </c>
      <c r="M394" s="9" t="str">
        <f aca="false">IF(OR(NOT(ISNUMBER($J394)),NOT(ISNUMBER($L394)),$L394=0),"",$J394/$L394*10000)</f>
        <v/>
      </c>
      <c r="N394" s="9" t="str">
        <f aca="false">IF(NOT(ISNUMBER($M394)),"",$M394*CARBON_FRACTION_ROOT/1000)</f>
        <v/>
      </c>
      <c r="O394" s="11" t="str">
        <f aca="false">IF(AND($A394="",$B394="",$G394=""),"",IF(AND($B394&lt;&gt;"",COUNTIFS('2. Soil Data'!$B$5:$B$604,$B394)=0),"Core ID not found in Soil Data, so the corer diameter cannot be looked up. ","")&amp;IF(ASH_CORRECTED&lt;&gt;"Yes","Root mass is NOT ash-corrected, so it includes adhering mineral soil and is too high. Set ASH_CORRECTED once you have done it. ","")&amp;IF(AND(ASH_CORRECTED="Yes",NOT(ISNUMBER($H394))),"Ash correction is switched on but no ash fraction is given for this row. ","")&amp;IF($I394="","Sieve mesh not recorded — a fine-root figure cannot be interpreted without it. ","")&amp;IF(AND(ISNUMBER($H394),$H394&gt;0.5),"Ash fraction above 0.5 — over half this sample was mineral soil. Re-wash. ","")&amp;IF($F394="Not separated","Live and dead not separated. Fine for a stock, but "&amp;"note it in reporting. ",""))</f>
        <v/>
      </c>
      <c r="P394" s="6"/>
      <c r="Q394" s="9" t="n">
        <f aca="false">IF($B394="",0,IF(COUNTIFS($B$5:$B394,$B394)=1,1,0))</f>
        <v>0</v>
      </c>
    </row>
    <row r="395" customFormat="false" ht="15" hidden="false" customHeight="false" outlineLevel="0" collapsed="false">
      <c r="A395" s="6"/>
      <c r="B395" s="6"/>
      <c r="C395" s="6"/>
      <c r="D395" s="6"/>
      <c r="E395" s="6"/>
      <c r="F395" s="6"/>
      <c r="G395" s="7"/>
      <c r="H395" s="7"/>
      <c r="I395" s="6"/>
      <c r="J395" s="9" t="str">
        <f aca="false">IF(NOT(ISNUMBER($G395)),"",IF(AND(ASH_CORRECTED="Yes",ISNUMBER($H395)),$G395*(1-$H395),$G395))</f>
        <v/>
      </c>
      <c r="K395" s="9" t="str">
        <f aca="false">IF($B395="","",IFERROR(AVERAGEIFS('2. Soil Data'!$G$5:$G$604,'2. Soil Data'!$B$5:$B$604,$B395),""))</f>
        <v/>
      </c>
      <c r="L395" s="9" t="str">
        <f aca="false">IF(NOT(ISNUMBER($K395)),"",PI()*($K395/2)^2)</f>
        <v/>
      </c>
      <c r="M395" s="9" t="str">
        <f aca="false">IF(OR(NOT(ISNUMBER($J395)),NOT(ISNUMBER($L395)),$L395=0),"",$J395/$L395*10000)</f>
        <v/>
      </c>
      <c r="N395" s="9" t="str">
        <f aca="false">IF(NOT(ISNUMBER($M395)),"",$M395*CARBON_FRACTION_ROOT/1000)</f>
        <v/>
      </c>
      <c r="O395" s="11" t="str">
        <f aca="false">IF(AND($A395="",$B395="",$G395=""),"",IF(AND($B395&lt;&gt;"",COUNTIFS('2. Soil Data'!$B$5:$B$604,$B395)=0),"Core ID not found in Soil Data, so the corer diameter cannot be looked up. ","")&amp;IF(ASH_CORRECTED&lt;&gt;"Yes","Root mass is NOT ash-corrected, so it includes adhering mineral soil and is too high. Set ASH_CORRECTED once you have done it. ","")&amp;IF(AND(ASH_CORRECTED="Yes",NOT(ISNUMBER($H395))),"Ash correction is switched on but no ash fraction is given for this row. ","")&amp;IF($I395="","Sieve mesh not recorded — a fine-root figure cannot be interpreted without it. ","")&amp;IF(AND(ISNUMBER($H395),$H395&gt;0.5),"Ash fraction above 0.5 — over half this sample was mineral soil. Re-wash. ","")&amp;IF($F395="Not separated","Live and dead not separated. Fine for a stock, but "&amp;"note it in reporting. ",""))</f>
        <v/>
      </c>
      <c r="P395" s="6"/>
      <c r="Q395" s="9" t="n">
        <f aca="false">IF($B395="",0,IF(COUNTIFS($B$5:$B395,$B395)=1,1,0))</f>
        <v>0</v>
      </c>
    </row>
    <row r="396" customFormat="false" ht="15" hidden="false" customHeight="false" outlineLevel="0" collapsed="false">
      <c r="A396" s="6"/>
      <c r="B396" s="6"/>
      <c r="C396" s="6"/>
      <c r="D396" s="6"/>
      <c r="E396" s="6"/>
      <c r="F396" s="6"/>
      <c r="G396" s="7"/>
      <c r="H396" s="7"/>
      <c r="I396" s="6"/>
      <c r="J396" s="9" t="str">
        <f aca="false">IF(NOT(ISNUMBER($G396)),"",IF(AND(ASH_CORRECTED="Yes",ISNUMBER($H396)),$G396*(1-$H396),$G396))</f>
        <v/>
      </c>
      <c r="K396" s="9" t="str">
        <f aca="false">IF($B396="","",IFERROR(AVERAGEIFS('2. Soil Data'!$G$5:$G$604,'2. Soil Data'!$B$5:$B$604,$B396),""))</f>
        <v/>
      </c>
      <c r="L396" s="9" t="str">
        <f aca="false">IF(NOT(ISNUMBER($K396)),"",PI()*($K396/2)^2)</f>
        <v/>
      </c>
      <c r="M396" s="9" t="str">
        <f aca="false">IF(OR(NOT(ISNUMBER($J396)),NOT(ISNUMBER($L396)),$L396=0),"",$J396/$L396*10000)</f>
        <v/>
      </c>
      <c r="N396" s="9" t="str">
        <f aca="false">IF(NOT(ISNUMBER($M396)),"",$M396*CARBON_FRACTION_ROOT/1000)</f>
        <v/>
      </c>
      <c r="O396" s="11" t="str">
        <f aca="false">IF(AND($A396="",$B396="",$G396=""),"",IF(AND($B396&lt;&gt;"",COUNTIFS('2. Soil Data'!$B$5:$B$604,$B396)=0),"Core ID not found in Soil Data, so the corer diameter cannot be looked up. ","")&amp;IF(ASH_CORRECTED&lt;&gt;"Yes","Root mass is NOT ash-corrected, so it includes adhering mineral soil and is too high. Set ASH_CORRECTED once you have done it. ","")&amp;IF(AND(ASH_CORRECTED="Yes",NOT(ISNUMBER($H396))),"Ash correction is switched on but no ash fraction is given for this row. ","")&amp;IF($I396="","Sieve mesh not recorded — a fine-root figure cannot be interpreted without it. ","")&amp;IF(AND(ISNUMBER($H396),$H396&gt;0.5),"Ash fraction above 0.5 — over half this sample was mineral soil. Re-wash. ","")&amp;IF($F396="Not separated","Live and dead not separated. Fine for a stock, but "&amp;"note it in reporting. ",""))</f>
        <v/>
      </c>
      <c r="P396" s="6"/>
      <c r="Q396" s="9" t="n">
        <f aca="false">IF($B396="",0,IF(COUNTIFS($B$5:$B396,$B396)=1,1,0))</f>
        <v>0</v>
      </c>
    </row>
    <row r="397" customFormat="false" ht="15" hidden="false" customHeight="false" outlineLevel="0" collapsed="false">
      <c r="A397" s="6"/>
      <c r="B397" s="6"/>
      <c r="C397" s="6"/>
      <c r="D397" s="6"/>
      <c r="E397" s="6"/>
      <c r="F397" s="6"/>
      <c r="G397" s="7"/>
      <c r="H397" s="7"/>
      <c r="I397" s="6"/>
      <c r="J397" s="9" t="str">
        <f aca="false">IF(NOT(ISNUMBER($G397)),"",IF(AND(ASH_CORRECTED="Yes",ISNUMBER($H397)),$G397*(1-$H397),$G397))</f>
        <v/>
      </c>
      <c r="K397" s="9" t="str">
        <f aca="false">IF($B397="","",IFERROR(AVERAGEIFS('2. Soil Data'!$G$5:$G$604,'2. Soil Data'!$B$5:$B$604,$B397),""))</f>
        <v/>
      </c>
      <c r="L397" s="9" t="str">
        <f aca="false">IF(NOT(ISNUMBER($K397)),"",PI()*($K397/2)^2)</f>
        <v/>
      </c>
      <c r="M397" s="9" t="str">
        <f aca="false">IF(OR(NOT(ISNUMBER($J397)),NOT(ISNUMBER($L397)),$L397=0),"",$J397/$L397*10000)</f>
        <v/>
      </c>
      <c r="N397" s="9" t="str">
        <f aca="false">IF(NOT(ISNUMBER($M397)),"",$M397*CARBON_FRACTION_ROOT/1000)</f>
        <v/>
      </c>
      <c r="O397" s="11" t="str">
        <f aca="false">IF(AND($A397="",$B397="",$G397=""),"",IF(AND($B397&lt;&gt;"",COUNTIFS('2. Soil Data'!$B$5:$B$604,$B397)=0),"Core ID not found in Soil Data, so the corer diameter cannot be looked up. ","")&amp;IF(ASH_CORRECTED&lt;&gt;"Yes","Root mass is NOT ash-corrected, so it includes adhering mineral soil and is too high. Set ASH_CORRECTED once you have done it. ","")&amp;IF(AND(ASH_CORRECTED="Yes",NOT(ISNUMBER($H397))),"Ash correction is switched on but no ash fraction is given for this row. ","")&amp;IF($I397="","Sieve mesh not recorded — a fine-root figure cannot be interpreted without it. ","")&amp;IF(AND(ISNUMBER($H397),$H397&gt;0.5),"Ash fraction above 0.5 — over half this sample was mineral soil. Re-wash. ","")&amp;IF($F397="Not separated","Live and dead not separated. Fine for a stock, but "&amp;"note it in reporting. ",""))</f>
        <v/>
      </c>
      <c r="P397" s="6"/>
      <c r="Q397" s="9" t="n">
        <f aca="false">IF($B397="",0,IF(COUNTIFS($B$5:$B397,$B397)=1,1,0))</f>
        <v>0</v>
      </c>
    </row>
    <row r="398" customFormat="false" ht="15" hidden="false" customHeight="false" outlineLevel="0" collapsed="false">
      <c r="A398" s="6"/>
      <c r="B398" s="6"/>
      <c r="C398" s="6"/>
      <c r="D398" s="6"/>
      <c r="E398" s="6"/>
      <c r="F398" s="6"/>
      <c r="G398" s="7"/>
      <c r="H398" s="7"/>
      <c r="I398" s="6"/>
      <c r="J398" s="9" t="str">
        <f aca="false">IF(NOT(ISNUMBER($G398)),"",IF(AND(ASH_CORRECTED="Yes",ISNUMBER($H398)),$G398*(1-$H398),$G398))</f>
        <v/>
      </c>
      <c r="K398" s="9" t="str">
        <f aca="false">IF($B398="","",IFERROR(AVERAGEIFS('2. Soil Data'!$G$5:$G$604,'2. Soil Data'!$B$5:$B$604,$B398),""))</f>
        <v/>
      </c>
      <c r="L398" s="9" t="str">
        <f aca="false">IF(NOT(ISNUMBER($K398)),"",PI()*($K398/2)^2)</f>
        <v/>
      </c>
      <c r="M398" s="9" t="str">
        <f aca="false">IF(OR(NOT(ISNUMBER($J398)),NOT(ISNUMBER($L398)),$L398=0),"",$J398/$L398*10000)</f>
        <v/>
      </c>
      <c r="N398" s="9" t="str">
        <f aca="false">IF(NOT(ISNUMBER($M398)),"",$M398*CARBON_FRACTION_ROOT/1000)</f>
        <v/>
      </c>
      <c r="O398" s="11" t="str">
        <f aca="false">IF(AND($A398="",$B398="",$G398=""),"",IF(AND($B398&lt;&gt;"",COUNTIFS('2. Soil Data'!$B$5:$B$604,$B398)=0),"Core ID not found in Soil Data, so the corer diameter cannot be looked up. ","")&amp;IF(ASH_CORRECTED&lt;&gt;"Yes","Root mass is NOT ash-corrected, so it includes adhering mineral soil and is too high. Set ASH_CORRECTED once you have done it. ","")&amp;IF(AND(ASH_CORRECTED="Yes",NOT(ISNUMBER($H398))),"Ash correction is switched on but no ash fraction is given for this row. ","")&amp;IF($I398="","Sieve mesh not recorded — a fine-root figure cannot be interpreted without it. ","")&amp;IF(AND(ISNUMBER($H398),$H398&gt;0.5),"Ash fraction above 0.5 — over half this sample was mineral soil. Re-wash. ","")&amp;IF($F398="Not separated","Live and dead not separated. Fine for a stock, but "&amp;"note it in reporting. ",""))</f>
        <v/>
      </c>
      <c r="P398" s="6"/>
      <c r="Q398" s="9" t="n">
        <f aca="false">IF($B398="",0,IF(COUNTIFS($B$5:$B398,$B398)=1,1,0))</f>
        <v>0</v>
      </c>
    </row>
    <row r="399" customFormat="false" ht="15" hidden="false" customHeight="false" outlineLevel="0" collapsed="false">
      <c r="A399" s="6"/>
      <c r="B399" s="6"/>
      <c r="C399" s="6"/>
      <c r="D399" s="6"/>
      <c r="E399" s="6"/>
      <c r="F399" s="6"/>
      <c r="G399" s="7"/>
      <c r="H399" s="7"/>
      <c r="I399" s="6"/>
      <c r="J399" s="9" t="str">
        <f aca="false">IF(NOT(ISNUMBER($G399)),"",IF(AND(ASH_CORRECTED="Yes",ISNUMBER($H399)),$G399*(1-$H399),$G399))</f>
        <v/>
      </c>
      <c r="K399" s="9" t="str">
        <f aca="false">IF($B399="","",IFERROR(AVERAGEIFS('2. Soil Data'!$G$5:$G$604,'2. Soil Data'!$B$5:$B$604,$B399),""))</f>
        <v/>
      </c>
      <c r="L399" s="9" t="str">
        <f aca="false">IF(NOT(ISNUMBER($K399)),"",PI()*($K399/2)^2)</f>
        <v/>
      </c>
      <c r="M399" s="9" t="str">
        <f aca="false">IF(OR(NOT(ISNUMBER($J399)),NOT(ISNUMBER($L399)),$L399=0),"",$J399/$L399*10000)</f>
        <v/>
      </c>
      <c r="N399" s="9" t="str">
        <f aca="false">IF(NOT(ISNUMBER($M399)),"",$M399*CARBON_FRACTION_ROOT/1000)</f>
        <v/>
      </c>
      <c r="O399" s="11" t="str">
        <f aca="false">IF(AND($A399="",$B399="",$G399=""),"",IF(AND($B399&lt;&gt;"",COUNTIFS('2. Soil Data'!$B$5:$B$604,$B399)=0),"Core ID not found in Soil Data, so the corer diameter cannot be looked up. ","")&amp;IF(ASH_CORRECTED&lt;&gt;"Yes","Root mass is NOT ash-corrected, so it includes adhering mineral soil and is too high. Set ASH_CORRECTED once you have done it. ","")&amp;IF(AND(ASH_CORRECTED="Yes",NOT(ISNUMBER($H399))),"Ash correction is switched on but no ash fraction is given for this row. ","")&amp;IF($I399="","Sieve mesh not recorded — a fine-root figure cannot be interpreted without it. ","")&amp;IF(AND(ISNUMBER($H399),$H399&gt;0.5),"Ash fraction above 0.5 — over half this sample was mineral soil. Re-wash. ","")&amp;IF($F399="Not separated","Live and dead not separated. Fine for a stock, but "&amp;"note it in reporting. ",""))</f>
        <v/>
      </c>
      <c r="P399" s="6"/>
      <c r="Q399" s="9" t="n">
        <f aca="false">IF($B399="",0,IF(COUNTIFS($B$5:$B399,$B399)=1,1,0))</f>
        <v>0</v>
      </c>
    </row>
    <row r="400" customFormat="false" ht="15" hidden="false" customHeight="false" outlineLevel="0" collapsed="false">
      <c r="A400" s="6"/>
      <c r="B400" s="6"/>
      <c r="C400" s="6"/>
      <c r="D400" s="6"/>
      <c r="E400" s="6"/>
      <c r="F400" s="6"/>
      <c r="G400" s="7"/>
      <c r="H400" s="7"/>
      <c r="I400" s="6"/>
      <c r="J400" s="9" t="str">
        <f aca="false">IF(NOT(ISNUMBER($G400)),"",IF(AND(ASH_CORRECTED="Yes",ISNUMBER($H400)),$G400*(1-$H400),$G400))</f>
        <v/>
      </c>
      <c r="K400" s="9" t="str">
        <f aca="false">IF($B400="","",IFERROR(AVERAGEIFS('2. Soil Data'!$G$5:$G$604,'2. Soil Data'!$B$5:$B$604,$B400),""))</f>
        <v/>
      </c>
      <c r="L400" s="9" t="str">
        <f aca="false">IF(NOT(ISNUMBER($K400)),"",PI()*($K400/2)^2)</f>
        <v/>
      </c>
      <c r="M400" s="9" t="str">
        <f aca="false">IF(OR(NOT(ISNUMBER($J400)),NOT(ISNUMBER($L400)),$L400=0),"",$J400/$L400*10000)</f>
        <v/>
      </c>
      <c r="N400" s="9" t="str">
        <f aca="false">IF(NOT(ISNUMBER($M400)),"",$M400*CARBON_FRACTION_ROOT/1000)</f>
        <v/>
      </c>
      <c r="O400" s="11" t="str">
        <f aca="false">IF(AND($A400="",$B400="",$G400=""),"",IF(AND($B400&lt;&gt;"",COUNTIFS('2. Soil Data'!$B$5:$B$604,$B400)=0),"Core ID not found in Soil Data, so the corer diameter cannot be looked up. ","")&amp;IF(ASH_CORRECTED&lt;&gt;"Yes","Root mass is NOT ash-corrected, so it includes adhering mineral soil and is too high. Set ASH_CORRECTED once you have done it. ","")&amp;IF(AND(ASH_CORRECTED="Yes",NOT(ISNUMBER($H400))),"Ash correction is switched on but no ash fraction is given for this row. ","")&amp;IF($I400="","Sieve mesh not recorded — a fine-root figure cannot be interpreted without it. ","")&amp;IF(AND(ISNUMBER($H400),$H400&gt;0.5),"Ash fraction above 0.5 — over half this sample was mineral soil. Re-wash. ","")&amp;IF($F400="Not separated","Live and dead not separated. Fine for a stock, but "&amp;"note it in reporting. ",""))</f>
        <v/>
      </c>
      <c r="P400" s="6"/>
      <c r="Q400" s="9" t="n">
        <f aca="false">IF($B400="",0,IF(COUNTIFS($B$5:$B400,$B400)=1,1,0))</f>
        <v>0</v>
      </c>
    </row>
    <row r="401" customFormat="false" ht="15" hidden="false" customHeight="false" outlineLevel="0" collapsed="false">
      <c r="A401" s="6"/>
      <c r="B401" s="6"/>
      <c r="C401" s="6"/>
      <c r="D401" s="6"/>
      <c r="E401" s="6"/>
      <c r="F401" s="6"/>
      <c r="G401" s="7"/>
      <c r="H401" s="7"/>
      <c r="I401" s="6"/>
      <c r="J401" s="9" t="str">
        <f aca="false">IF(NOT(ISNUMBER($G401)),"",IF(AND(ASH_CORRECTED="Yes",ISNUMBER($H401)),$G401*(1-$H401),$G401))</f>
        <v/>
      </c>
      <c r="K401" s="9" t="str">
        <f aca="false">IF($B401="","",IFERROR(AVERAGEIFS('2. Soil Data'!$G$5:$G$604,'2. Soil Data'!$B$5:$B$604,$B401),""))</f>
        <v/>
      </c>
      <c r="L401" s="9" t="str">
        <f aca="false">IF(NOT(ISNUMBER($K401)),"",PI()*($K401/2)^2)</f>
        <v/>
      </c>
      <c r="M401" s="9" t="str">
        <f aca="false">IF(OR(NOT(ISNUMBER($J401)),NOT(ISNUMBER($L401)),$L401=0),"",$J401/$L401*10000)</f>
        <v/>
      </c>
      <c r="N401" s="9" t="str">
        <f aca="false">IF(NOT(ISNUMBER($M401)),"",$M401*CARBON_FRACTION_ROOT/1000)</f>
        <v/>
      </c>
      <c r="O401" s="11" t="str">
        <f aca="false">IF(AND($A401="",$B401="",$G401=""),"",IF(AND($B401&lt;&gt;"",COUNTIFS('2. Soil Data'!$B$5:$B$604,$B401)=0),"Core ID not found in Soil Data, so the corer diameter cannot be looked up. ","")&amp;IF(ASH_CORRECTED&lt;&gt;"Yes","Root mass is NOT ash-corrected, so it includes adhering mineral soil and is too high. Set ASH_CORRECTED once you have done it. ","")&amp;IF(AND(ASH_CORRECTED="Yes",NOT(ISNUMBER($H401))),"Ash correction is switched on but no ash fraction is given for this row. ","")&amp;IF($I401="","Sieve mesh not recorded — a fine-root figure cannot be interpreted without it. ","")&amp;IF(AND(ISNUMBER($H401),$H401&gt;0.5),"Ash fraction above 0.5 — over half this sample was mineral soil. Re-wash. ","")&amp;IF($F401="Not separated","Live and dead not separated. Fine for a stock, but "&amp;"note it in reporting. ",""))</f>
        <v/>
      </c>
      <c r="P401" s="6"/>
      <c r="Q401" s="9" t="n">
        <f aca="false">IF($B401="",0,IF(COUNTIFS($B$5:$B401,$B401)=1,1,0))</f>
        <v>0</v>
      </c>
    </row>
    <row r="402" customFormat="false" ht="15" hidden="false" customHeight="false" outlineLevel="0" collapsed="false">
      <c r="A402" s="6"/>
      <c r="B402" s="6"/>
      <c r="C402" s="6"/>
      <c r="D402" s="6"/>
      <c r="E402" s="6"/>
      <c r="F402" s="6"/>
      <c r="G402" s="7"/>
      <c r="H402" s="7"/>
      <c r="I402" s="6"/>
      <c r="J402" s="9" t="str">
        <f aca="false">IF(NOT(ISNUMBER($G402)),"",IF(AND(ASH_CORRECTED="Yes",ISNUMBER($H402)),$G402*(1-$H402),$G402))</f>
        <v/>
      </c>
      <c r="K402" s="9" t="str">
        <f aca="false">IF($B402="","",IFERROR(AVERAGEIFS('2. Soil Data'!$G$5:$G$604,'2. Soil Data'!$B$5:$B$604,$B402),""))</f>
        <v/>
      </c>
      <c r="L402" s="9" t="str">
        <f aca="false">IF(NOT(ISNUMBER($K402)),"",PI()*($K402/2)^2)</f>
        <v/>
      </c>
      <c r="M402" s="9" t="str">
        <f aca="false">IF(OR(NOT(ISNUMBER($J402)),NOT(ISNUMBER($L402)),$L402=0),"",$J402/$L402*10000)</f>
        <v/>
      </c>
      <c r="N402" s="9" t="str">
        <f aca="false">IF(NOT(ISNUMBER($M402)),"",$M402*CARBON_FRACTION_ROOT/1000)</f>
        <v/>
      </c>
      <c r="O402" s="11" t="str">
        <f aca="false">IF(AND($A402="",$B402="",$G402=""),"",IF(AND($B402&lt;&gt;"",COUNTIFS('2. Soil Data'!$B$5:$B$604,$B402)=0),"Core ID not found in Soil Data, so the corer diameter cannot be looked up. ","")&amp;IF(ASH_CORRECTED&lt;&gt;"Yes","Root mass is NOT ash-corrected, so it includes adhering mineral soil and is too high. Set ASH_CORRECTED once you have done it. ","")&amp;IF(AND(ASH_CORRECTED="Yes",NOT(ISNUMBER($H402))),"Ash correction is switched on but no ash fraction is given for this row. ","")&amp;IF($I402="","Sieve mesh not recorded — a fine-root figure cannot be interpreted without it. ","")&amp;IF(AND(ISNUMBER($H402),$H402&gt;0.5),"Ash fraction above 0.5 — over half this sample was mineral soil. Re-wash. ","")&amp;IF($F402="Not separated","Live and dead not separated. Fine for a stock, but "&amp;"note it in reporting. ",""))</f>
        <v/>
      </c>
      <c r="P402" s="6"/>
      <c r="Q402" s="9" t="n">
        <f aca="false">IF($B402="",0,IF(COUNTIFS($B$5:$B402,$B402)=1,1,0))</f>
        <v>0</v>
      </c>
    </row>
    <row r="403" customFormat="false" ht="15" hidden="false" customHeight="false" outlineLevel="0" collapsed="false">
      <c r="A403" s="6"/>
      <c r="B403" s="6"/>
      <c r="C403" s="6"/>
      <c r="D403" s="6"/>
      <c r="E403" s="6"/>
      <c r="F403" s="6"/>
      <c r="G403" s="7"/>
      <c r="H403" s="7"/>
      <c r="I403" s="6"/>
      <c r="J403" s="9" t="str">
        <f aca="false">IF(NOT(ISNUMBER($G403)),"",IF(AND(ASH_CORRECTED="Yes",ISNUMBER($H403)),$G403*(1-$H403),$G403))</f>
        <v/>
      </c>
      <c r="K403" s="9" t="str">
        <f aca="false">IF($B403="","",IFERROR(AVERAGEIFS('2. Soil Data'!$G$5:$G$604,'2. Soil Data'!$B$5:$B$604,$B403),""))</f>
        <v/>
      </c>
      <c r="L403" s="9" t="str">
        <f aca="false">IF(NOT(ISNUMBER($K403)),"",PI()*($K403/2)^2)</f>
        <v/>
      </c>
      <c r="M403" s="9" t="str">
        <f aca="false">IF(OR(NOT(ISNUMBER($J403)),NOT(ISNUMBER($L403)),$L403=0),"",$J403/$L403*10000)</f>
        <v/>
      </c>
      <c r="N403" s="9" t="str">
        <f aca="false">IF(NOT(ISNUMBER($M403)),"",$M403*CARBON_FRACTION_ROOT/1000)</f>
        <v/>
      </c>
      <c r="O403" s="11" t="str">
        <f aca="false">IF(AND($A403="",$B403="",$G403=""),"",IF(AND($B403&lt;&gt;"",COUNTIFS('2. Soil Data'!$B$5:$B$604,$B403)=0),"Core ID not found in Soil Data, so the corer diameter cannot be looked up. ","")&amp;IF(ASH_CORRECTED&lt;&gt;"Yes","Root mass is NOT ash-corrected, so it includes adhering mineral soil and is too high. Set ASH_CORRECTED once you have done it. ","")&amp;IF(AND(ASH_CORRECTED="Yes",NOT(ISNUMBER($H403))),"Ash correction is switched on but no ash fraction is given for this row. ","")&amp;IF($I403="","Sieve mesh not recorded — a fine-root figure cannot be interpreted without it. ","")&amp;IF(AND(ISNUMBER($H403),$H403&gt;0.5),"Ash fraction above 0.5 — over half this sample was mineral soil. Re-wash. ","")&amp;IF($F403="Not separated","Live and dead not separated. Fine for a stock, but "&amp;"note it in reporting. ",""))</f>
        <v/>
      </c>
      <c r="P403" s="6"/>
      <c r="Q403" s="9" t="n">
        <f aca="false">IF($B403="",0,IF(COUNTIFS($B$5:$B403,$B403)=1,1,0))</f>
        <v>0</v>
      </c>
    </row>
    <row r="404" customFormat="false" ht="15" hidden="false" customHeight="false" outlineLevel="0" collapsed="false">
      <c r="A404" s="6"/>
      <c r="B404" s="6"/>
      <c r="C404" s="6"/>
      <c r="D404" s="6"/>
      <c r="E404" s="6"/>
      <c r="F404" s="6"/>
      <c r="G404" s="7"/>
      <c r="H404" s="7"/>
      <c r="I404" s="6"/>
      <c r="J404" s="9" t="str">
        <f aca="false">IF(NOT(ISNUMBER($G404)),"",IF(AND(ASH_CORRECTED="Yes",ISNUMBER($H404)),$G404*(1-$H404),$G404))</f>
        <v/>
      </c>
      <c r="K404" s="9" t="str">
        <f aca="false">IF($B404="","",IFERROR(AVERAGEIFS('2. Soil Data'!$G$5:$G$604,'2. Soil Data'!$B$5:$B$604,$B404),""))</f>
        <v/>
      </c>
      <c r="L404" s="9" t="str">
        <f aca="false">IF(NOT(ISNUMBER($K404)),"",PI()*($K404/2)^2)</f>
        <v/>
      </c>
      <c r="M404" s="9" t="str">
        <f aca="false">IF(OR(NOT(ISNUMBER($J404)),NOT(ISNUMBER($L404)),$L404=0),"",$J404/$L404*10000)</f>
        <v/>
      </c>
      <c r="N404" s="9" t="str">
        <f aca="false">IF(NOT(ISNUMBER($M404)),"",$M404*CARBON_FRACTION_ROOT/1000)</f>
        <v/>
      </c>
      <c r="O404" s="11" t="str">
        <f aca="false">IF(AND($A404="",$B404="",$G404=""),"",IF(AND($B404&lt;&gt;"",COUNTIFS('2. Soil Data'!$B$5:$B$604,$B404)=0),"Core ID not found in Soil Data, so the corer diameter cannot be looked up. ","")&amp;IF(ASH_CORRECTED&lt;&gt;"Yes","Root mass is NOT ash-corrected, so it includes adhering mineral soil and is too high. Set ASH_CORRECTED once you have done it. ","")&amp;IF(AND(ASH_CORRECTED="Yes",NOT(ISNUMBER($H404))),"Ash correction is switched on but no ash fraction is given for this row. ","")&amp;IF($I404="","Sieve mesh not recorded — a fine-root figure cannot be interpreted without it. ","")&amp;IF(AND(ISNUMBER($H404),$H404&gt;0.5),"Ash fraction above 0.5 — over half this sample was mineral soil. Re-wash. ","")&amp;IF($F404="Not separated","Live and dead not separated. Fine for a stock, but "&amp;"note it in reporting. ",""))</f>
        <v/>
      </c>
      <c r="P404" s="6"/>
      <c r="Q404" s="9" t="n">
        <f aca="false">IF($B404="",0,IF(COUNTIFS($B$5:$B404,$B404)=1,1,0))</f>
        <v>0</v>
      </c>
    </row>
    <row r="405" customFormat="false" ht="15" hidden="false" customHeight="false" outlineLevel="0" collapsed="false">
      <c r="A405" s="6"/>
      <c r="B405" s="6"/>
      <c r="C405" s="6"/>
      <c r="D405" s="6"/>
      <c r="E405" s="6"/>
      <c r="F405" s="6"/>
      <c r="G405" s="7"/>
      <c r="H405" s="7"/>
      <c r="I405" s="6"/>
      <c r="J405" s="9" t="str">
        <f aca="false">IF(NOT(ISNUMBER($G405)),"",IF(AND(ASH_CORRECTED="Yes",ISNUMBER($H405)),$G405*(1-$H405),$G405))</f>
        <v/>
      </c>
      <c r="K405" s="9" t="str">
        <f aca="false">IF($B405="","",IFERROR(AVERAGEIFS('2. Soil Data'!$G$5:$G$604,'2. Soil Data'!$B$5:$B$604,$B405),""))</f>
        <v/>
      </c>
      <c r="L405" s="9" t="str">
        <f aca="false">IF(NOT(ISNUMBER($K405)),"",PI()*($K405/2)^2)</f>
        <v/>
      </c>
      <c r="M405" s="9" t="str">
        <f aca="false">IF(OR(NOT(ISNUMBER($J405)),NOT(ISNUMBER($L405)),$L405=0),"",$J405/$L405*10000)</f>
        <v/>
      </c>
      <c r="N405" s="9" t="str">
        <f aca="false">IF(NOT(ISNUMBER($M405)),"",$M405*CARBON_FRACTION_ROOT/1000)</f>
        <v/>
      </c>
      <c r="O405" s="11" t="str">
        <f aca="false">IF(AND($A405="",$B405="",$G405=""),"",IF(AND($B405&lt;&gt;"",COUNTIFS('2. Soil Data'!$B$5:$B$604,$B405)=0),"Core ID not found in Soil Data, so the corer diameter cannot be looked up. ","")&amp;IF(ASH_CORRECTED&lt;&gt;"Yes","Root mass is NOT ash-corrected, so it includes adhering mineral soil and is too high. Set ASH_CORRECTED once you have done it. ","")&amp;IF(AND(ASH_CORRECTED="Yes",NOT(ISNUMBER($H405))),"Ash correction is switched on but no ash fraction is given for this row. ","")&amp;IF($I405="","Sieve mesh not recorded — a fine-root figure cannot be interpreted without it. ","")&amp;IF(AND(ISNUMBER($H405),$H405&gt;0.5),"Ash fraction above 0.5 — over half this sample was mineral soil. Re-wash. ","")&amp;IF($F405="Not separated","Live and dead not separated. Fine for a stock, but "&amp;"note it in reporting. ",""))</f>
        <v/>
      </c>
      <c r="P405" s="6"/>
      <c r="Q405" s="9" t="n">
        <f aca="false">IF($B405="",0,IF(COUNTIFS($B$5:$B405,$B405)=1,1,0))</f>
        <v>0</v>
      </c>
    </row>
    <row r="406" customFormat="false" ht="15" hidden="false" customHeight="false" outlineLevel="0" collapsed="false">
      <c r="A406" s="6"/>
      <c r="B406" s="6"/>
      <c r="C406" s="6"/>
      <c r="D406" s="6"/>
      <c r="E406" s="6"/>
      <c r="F406" s="6"/>
      <c r="G406" s="7"/>
      <c r="H406" s="7"/>
      <c r="I406" s="6"/>
      <c r="J406" s="9" t="str">
        <f aca="false">IF(NOT(ISNUMBER($G406)),"",IF(AND(ASH_CORRECTED="Yes",ISNUMBER($H406)),$G406*(1-$H406),$G406))</f>
        <v/>
      </c>
      <c r="K406" s="9" t="str">
        <f aca="false">IF($B406="","",IFERROR(AVERAGEIFS('2. Soil Data'!$G$5:$G$604,'2. Soil Data'!$B$5:$B$604,$B406),""))</f>
        <v/>
      </c>
      <c r="L406" s="9" t="str">
        <f aca="false">IF(NOT(ISNUMBER($K406)),"",PI()*($K406/2)^2)</f>
        <v/>
      </c>
      <c r="M406" s="9" t="str">
        <f aca="false">IF(OR(NOT(ISNUMBER($J406)),NOT(ISNUMBER($L406)),$L406=0),"",$J406/$L406*10000)</f>
        <v/>
      </c>
      <c r="N406" s="9" t="str">
        <f aca="false">IF(NOT(ISNUMBER($M406)),"",$M406*CARBON_FRACTION_ROOT/1000)</f>
        <v/>
      </c>
      <c r="O406" s="11" t="str">
        <f aca="false">IF(AND($A406="",$B406="",$G406=""),"",IF(AND($B406&lt;&gt;"",COUNTIFS('2. Soil Data'!$B$5:$B$604,$B406)=0),"Core ID not found in Soil Data, so the corer diameter cannot be looked up. ","")&amp;IF(ASH_CORRECTED&lt;&gt;"Yes","Root mass is NOT ash-corrected, so it includes adhering mineral soil and is too high. Set ASH_CORRECTED once you have done it. ","")&amp;IF(AND(ASH_CORRECTED="Yes",NOT(ISNUMBER($H406))),"Ash correction is switched on but no ash fraction is given for this row. ","")&amp;IF($I406="","Sieve mesh not recorded — a fine-root figure cannot be interpreted without it. ","")&amp;IF(AND(ISNUMBER($H406),$H406&gt;0.5),"Ash fraction above 0.5 — over half this sample was mineral soil. Re-wash. ","")&amp;IF($F406="Not separated","Live and dead not separated. Fine for a stock, but "&amp;"note it in reporting. ",""))</f>
        <v/>
      </c>
      <c r="P406" s="6"/>
      <c r="Q406" s="9" t="n">
        <f aca="false">IF($B406="",0,IF(COUNTIFS($B$5:$B406,$B406)=1,1,0))</f>
        <v>0</v>
      </c>
    </row>
    <row r="407" customFormat="false" ht="15" hidden="false" customHeight="false" outlineLevel="0" collapsed="false">
      <c r="A407" s="6"/>
      <c r="B407" s="6"/>
      <c r="C407" s="6"/>
      <c r="D407" s="6"/>
      <c r="E407" s="6"/>
      <c r="F407" s="6"/>
      <c r="G407" s="7"/>
      <c r="H407" s="7"/>
      <c r="I407" s="6"/>
      <c r="J407" s="9" t="str">
        <f aca="false">IF(NOT(ISNUMBER($G407)),"",IF(AND(ASH_CORRECTED="Yes",ISNUMBER($H407)),$G407*(1-$H407),$G407))</f>
        <v/>
      </c>
      <c r="K407" s="9" t="str">
        <f aca="false">IF($B407="","",IFERROR(AVERAGEIFS('2. Soil Data'!$G$5:$G$604,'2. Soil Data'!$B$5:$B$604,$B407),""))</f>
        <v/>
      </c>
      <c r="L407" s="9" t="str">
        <f aca="false">IF(NOT(ISNUMBER($K407)),"",PI()*($K407/2)^2)</f>
        <v/>
      </c>
      <c r="M407" s="9" t="str">
        <f aca="false">IF(OR(NOT(ISNUMBER($J407)),NOT(ISNUMBER($L407)),$L407=0),"",$J407/$L407*10000)</f>
        <v/>
      </c>
      <c r="N407" s="9" t="str">
        <f aca="false">IF(NOT(ISNUMBER($M407)),"",$M407*CARBON_FRACTION_ROOT/1000)</f>
        <v/>
      </c>
      <c r="O407" s="11" t="str">
        <f aca="false">IF(AND($A407="",$B407="",$G407=""),"",IF(AND($B407&lt;&gt;"",COUNTIFS('2. Soil Data'!$B$5:$B$604,$B407)=0),"Core ID not found in Soil Data, so the corer diameter cannot be looked up. ","")&amp;IF(ASH_CORRECTED&lt;&gt;"Yes","Root mass is NOT ash-corrected, so it includes adhering mineral soil and is too high. Set ASH_CORRECTED once you have done it. ","")&amp;IF(AND(ASH_CORRECTED="Yes",NOT(ISNUMBER($H407))),"Ash correction is switched on but no ash fraction is given for this row. ","")&amp;IF($I407="","Sieve mesh not recorded — a fine-root figure cannot be interpreted without it. ","")&amp;IF(AND(ISNUMBER($H407),$H407&gt;0.5),"Ash fraction above 0.5 — over half this sample was mineral soil. Re-wash. ","")&amp;IF($F407="Not separated","Live and dead not separated. Fine for a stock, but "&amp;"note it in reporting. ",""))</f>
        <v/>
      </c>
      <c r="P407" s="6"/>
      <c r="Q407" s="9" t="n">
        <f aca="false">IF($B407="",0,IF(COUNTIFS($B$5:$B407,$B407)=1,1,0))</f>
        <v>0</v>
      </c>
    </row>
    <row r="408" customFormat="false" ht="15" hidden="false" customHeight="false" outlineLevel="0" collapsed="false">
      <c r="A408" s="6"/>
      <c r="B408" s="6"/>
      <c r="C408" s="6"/>
      <c r="D408" s="6"/>
      <c r="E408" s="6"/>
      <c r="F408" s="6"/>
      <c r="G408" s="7"/>
      <c r="H408" s="7"/>
      <c r="I408" s="6"/>
      <c r="J408" s="9" t="str">
        <f aca="false">IF(NOT(ISNUMBER($G408)),"",IF(AND(ASH_CORRECTED="Yes",ISNUMBER($H408)),$G408*(1-$H408),$G408))</f>
        <v/>
      </c>
      <c r="K408" s="9" t="str">
        <f aca="false">IF($B408="","",IFERROR(AVERAGEIFS('2. Soil Data'!$G$5:$G$604,'2. Soil Data'!$B$5:$B$604,$B408),""))</f>
        <v/>
      </c>
      <c r="L408" s="9" t="str">
        <f aca="false">IF(NOT(ISNUMBER($K408)),"",PI()*($K408/2)^2)</f>
        <v/>
      </c>
      <c r="M408" s="9" t="str">
        <f aca="false">IF(OR(NOT(ISNUMBER($J408)),NOT(ISNUMBER($L408)),$L408=0),"",$J408/$L408*10000)</f>
        <v/>
      </c>
      <c r="N408" s="9" t="str">
        <f aca="false">IF(NOT(ISNUMBER($M408)),"",$M408*CARBON_FRACTION_ROOT/1000)</f>
        <v/>
      </c>
      <c r="O408" s="11" t="str">
        <f aca="false">IF(AND($A408="",$B408="",$G408=""),"",IF(AND($B408&lt;&gt;"",COUNTIFS('2. Soil Data'!$B$5:$B$604,$B408)=0),"Core ID not found in Soil Data, so the corer diameter cannot be looked up. ","")&amp;IF(ASH_CORRECTED&lt;&gt;"Yes","Root mass is NOT ash-corrected, so it includes adhering mineral soil and is too high. Set ASH_CORRECTED once you have done it. ","")&amp;IF(AND(ASH_CORRECTED="Yes",NOT(ISNUMBER($H408))),"Ash correction is switched on but no ash fraction is given for this row. ","")&amp;IF($I408="","Sieve mesh not recorded — a fine-root figure cannot be interpreted without it. ","")&amp;IF(AND(ISNUMBER($H408),$H408&gt;0.5),"Ash fraction above 0.5 — over half this sample was mineral soil. Re-wash. ","")&amp;IF($F408="Not separated","Live and dead not separated. Fine for a stock, but "&amp;"note it in reporting. ",""))</f>
        <v/>
      </c>
      <c r="P408" s="6"/>
      <c r="Q408" s="9" t="n">
        <f aca="false">IF($B408="",0,IF(COUNTIFS($B$5:$B408,$B408)=1,1,0))</f>
        <v>0</v>
      </c>
    </row>
    <row r="409" customFormat="false" ht="15" hidden="false" customHeight="false" outlineLevel="0" collapsed="false">
      <c r="A409" s="6"/>
      <c r="B409" s="6"/>
      <c r="C409" s="6"/>
      <c r="D409" s="6"/>
      <c r="E409" s="6"/>
      <c r="F409" s="6"/>
      <c r="G409" s="7"/>
      <c r="H409" s="7"/>
      <c r="I409" s="6"/>
      <c r="J409" s="9" t="str">
        <f aca="false">IF(NOT(ISNUMBER($G409)),"",IF(AND(ASH_CORRECTED="Yes",ISNUMBER($H409)),$G409*(1-$H409),$G409))</f>
        <v/>
      </c>
      <c r="K409" s="9" t="str">
        <f aca="false">IF($B409="","",IFERROR(AVERAGEIFS('2. Soil Data'!$G$5:$G$604,'2. Soil Data'!$B$5:$B$604,$B409),""))</f>
        <v/>
      </c>
      <c r="L409" s="9" t="str">
        <f aca="false">IF(NOT(ISNUMBER($K409)),"",PI()*($K409/2)^2)</f>
        <v/>
      </c>
      <c r="M409" s="9" t="str">
        <f aca="false">IF(OR(NOT(ISNUMBER($J409)),NOT(ISNUMBER($L409)),$L409=0),"",$J409/$L409*10000)</f>
        <v/>
      </c>
      <c r="N409" s="9" t="str">
        <f aca="false">IF(NOT(ISNUMBER($M409)),"",$M409*CARBON_FRACTION_ROOT/1000)</f>
        <v/>
      </c>
      <c r="O409" s="11" t="str">
        <f aca="false">IF(AND($A409="",$B409="",$G409=""),"",IF(AND($B409&lt;&gt;"",COUNTIFS('2. Soil Data'!$B$5:$B$604,$B409)=0),"Core ID not found in Soil Data, so the corer diameter cannot be looked up. ","")&amp;IF(ASH_CORRECTED&lt;&gt;"Yes","Root mass is NOT ash-corrected, so it includes adhering mineral soil and is too high. Set ASH_CORRECTED once you have done it. ","")&amp;IF(AND(ASH_CORRECTED="Yes",NOT(ISNUMBER($H409))),"Ash correction is switched on but no ash fraction is given for this row. ","")&amp;IF($I409="","Sieve mesh not recorded — a fine-root figure cannot be interpreted without it. ","")&amp;IF(AND(ISNUMBER($H409),$H409&gt;0.5),"Ash fraction above 0.5 — over half this sample was mineral soil. Re-wash. ","")&amp;IF($F409="Not separated","Live and dead not separated. Fine for a stock, but "&amp;"note it in reporting. ",""))</f>
        <v/>
      </c>
      <c r="P409" s="6"/>
      <c r="Q409" s="9" t="n">
        <f aca="false">IF($B409="",0,IF(COUNTIFS($B$5:$B409,$B409)=1,1,0))</f>
        <v>0</v>
      </c>
    </row>
    <row r="410" customFormat="false" ht="15" hidden="false" customHeight="false" outlineLevel="0" collapsed="false">
      <c r="A410" s="6"/>
      <c r="B410" s="6"/>
      <c r="C410" s="6"/>
      <c r="D410" s="6"/>
      <c r="E410" s="6"/>
      <c r="F410" s="6"/>
      <c r="G410" s="7"/>
      <c r="H410" s="7"/>
      <c r="I410" s="6"/>
      <c r="J410" s="9" t="str">
        <f aca="false">IF(NOT(ISNUMBER($G410)),"",IF(AND(ASH_CORRECTED="Yes",ISNUMBER($H410)),$G410*(1-$H410),$G410))</f>
        <v/>
      </c>
      <c r="K410" s="9" t="str">
        <f aca="false">IF($B410="","",IFERROR(AVERAGEIFS('2. Soil Data'!$G$5:$G$604,'2. Soil Data'!$B$5:$B$604,$B410),""))</f>
        <v/>
      </c>
      <c r="L410" s="9" t="str">
        <f aca="false">IF(NOT(ISNUMBER($K410)),"",PI()*($K410/2)^2)</f>
        <v/>
      </c>
      <c r="M410" s="9" t="str">
        <f aca="false">IF(OR(NOT(ISNUMBER($J410)),NOT(ISNUMBER($L410)),$L410=0),"",$J410/$L410*10000)</f>
        <v/>
      </c>
      <c r="N410" s="9" t="str">
        <f aca="false">IF(NOT(ISNUMBER($M410)),"",$M410*CARBON_FRACTION_ROOT/1000)</f>
        <v/>
      </c>
      <c r="O410" s="11" t="str">
        <f aca="false">IF(AND($A410="",$B410="",$G410=""),"",IF(AND($B410&lt;&gt;"",COUNTIFS('2. Soil Data'!$B$5:$B$604,$B410)=0),"Core ID not found in Soil Data, so the corer diameter cannot be looked up. ","")&amp;IF(ASH_CORRECTED&lt;&gt;"Yes","Root mass is NOT ash-corrected, so it includes adhering mineral soil and is too high. Set ASH_CORRECTED once you have done it. ","")&amp;IF(AND(ASH_CORRECTED="Yes",NOT(ISNUMBER($H410))),"Ash correction is switched on but no ash fraction is given for this row. ","")&amp;IF($I410="","Sieve mesh not recorded — a fine-root figure cannot be interpreted without it. ","")&amp;IF(AND(ISNUMBER($H410),$H410&gt;0.5),"Ash fraction above 0.5 — over half this sample was mineral soil. Re-wash. ","")&amp;IF($F410="Not separated","Live and dead not separated. Fine for a stock, but "&amp;"note it in reporting. ",""))</f>
        <v/>
      </c>
      <c r="P410" s="6"/>
      <c r="Q410" s="9" t="n">
        <f aca="false">IF($B410="",0,IF(COUNTIFS($B$5:$B410,$B410)=1,1,0))</f>
        <v>0</v>
      </c>
    </row>
    <row r="411" customFormat="false" ht="15" hidden="false" customHeight="false" outlineLevel="0" collapsed="false">
      <c r="A411" s="6"/>
      <c r="B411" s="6"/>
      <c r="C411" s="6"/>
      <c r="D411" s="6"/>
      <c r="E411" s="6"/>
      <c r="F411" s="6"/>
      <c r="G411" s="7"/>
      <c r="H411" s="7"/>
      <c r="I411" s="6"/>
      <c r="J411" s="9" t="str">
        <f aca="false">IF(NOT(ISNUMBER($G411)),"",IF(AND(ASH_CORRECTED="Yes",ISNUMBER($H411)),$G411*(1-$H411),$G411))</f>
        <v/>
      </c>
      <c r="K411" s="9" t="str">
        <f aca="false">IF($B411="","",IFERROR(AVERAGEIFS('2. Soil Data'!$G$5:$G$604,'2. Soil Data'!$B$5:$B$604,$B411),""))</f>
        <v/>
      </c>
      <c r="L411" s="9" t="str">
        <f aca="false">IF(NOT(ISNUMBER($K411)),"",PI()*($K411/2)^2)</f>
        <v/>
      </c>
      <c r="M411" s="9" t="str">
        <f aca="false">IF(OR(NOT(ISNUMBER($J411)),NOT(ISNUMBER($L411)),$L411=0),"",$J411/$L411*10000)</f>
        <v/>
      </c>
      <c r="N411" s="9" t="str">
        <f aca="false">IF(NOT(ISNUMBER($M411)),"",$M411*CARBON_FRACTION_ROOT/1000)</f>
        <v/>
      </c>
      <c r="O411" s="11" t="str">
        <f aca="false">IF(AND($A411="",$B411="",$G411=""),"",IF(AND($B411&lt;&gt;"",COUNTIFS('2. Soil Data'!$B$5:$B$604,$B411)=0),"Core ID not found in Soil Data, so the corer diameter cannot be looked up. ","")&amp;IF(ASH_CORRECTED&lt;&gt;"Yes","Root mass is NOT ash-corrected, so it includes adhering mineral soil and is too high. Set ASH_CORRECTED once you have done it. ","")&amp;IF(AND(ASH_CORRECTED="Yes",NOT(ISNUMBER($H411))),"Ash correction is switched on but no ash fraction is given for this row. ","")&amp;IF($I411="","Sieve mesh not recorded — a fine-root figure cannot be interpreted without it. ","")&amp;IF(AND(ISNUMBER($H411),$H411&gt;0.5),"Ash fraction above 0.5 — over half this sample was mineral soil. Re-wash. ","")&amp;IF($F411="Not separated","Live and dead not separated. Fine for a stock, but "&amp;"note it in reporting. ",""))</f>
        <v/>
      </c>
      <c r="P411" s="6"/>
      <c r="Q411" s="9" t="n">
        <f aca="false">IF($B411="",0,IF(COUNTIFS($B$5:$B411,$B411)=1,1,0))</f>
        <v>0</v>
      </c>
    </row>
    <row r="412" customFormat="false" ht="15" hidden="false" customHeight="false" outlineLevel="0" collapsed="false">
      <c r="A412" s="6"/>
      <c r="B412" s="6"/>
      <c r="C412" s="6"/>
      <c r="D412" s="6"/>
      <c r="E412" s="6"/>
      <c r="F412" s="6"/>
      <c r="G412" s="7"/>
      <c r="H412" s="7"/>
      <c r="I412" s="6"/>
      <c r="J412" s="9" t="str">
        <f aca="false">IF(NOT(ISNUMBER($G412)),"",IF(AND(ASH_CORRECTED="Yes",ISNUMBER($H412)),$G412*(1-$H412),$G412))</f>
        <v/>
      </c>
      <c r="K412" s="9" t="str">
        <f aca="false">IF($B412="","",IFERROR(AVERAGEIFS('2. Soil Data'!$G$5:$G$604,'2. Soil Data'!$B$5:$B$604,$B412),""))</f>
        <v/>
      </c>
      <c r="L412" s="9" t="str">
        <f aca="false">IF(NOT(ISNUMBER($K412)),"",PI()*($K412/2)^2)</f>
        <v/>
      </c>
      <c r="M412" s="9" t="str">
        <f aca="false">IF(OR(NOT(ISNUMBER($J412)),NOT(ISNUMBER($L412)),$L412=0),"",$J412/$L412*10000)</f>
        <v/>
      </c>
      <c r="N412" s="9" t="str">
        <f aca="false">IF(NOT(ISNUMBER($M412)),"",$M412*CARBON_FRACTION_ROOT/1000)</f>
        <v/>
      </c>
      <c r="O412" s="11" t="str">
        <f aca="false">IF(AND($A412="",$B412="",$G412=""),"",IF(AND($B412&lt;&gt;"",COUNTIFS('2. Soil Data'!$B$5:$B$604,$B412)=0),"Core ID not found in Soil Data, so the corer diameter cannot be looked up. ","")&amp;IF(ASH_CORRECTED&lt;&gt;"Yes","Root mass is NOT ash-corrected, so it includes adhering mineral soil and is too high. Set ASH_CORRECTED once you have done it. ","")&amp;IF(AND(ASH_CORRECTED="Yes",NOT(ISNUMBER($H412))),"Ash correction is switched on but no ash fraction is given for this row. ","")&amp;IF($I412="","Sieve mesh not recorded — a fine-root figure cannot be interpreted without it. ","")&amp;IF(AND(ISNUMBER($H412),$H412&gt;0.5),"Ash fraction above 0.5 — over half this sample was mineral soil. Re-wash. ","")&amp;IF($F412="Not separated","Live and dead not separated. Fine for a stock, but "&amp;"note it in reporting. ",""))</f>
        <v/>
      </c>
      <c r="P412" s="6"/>
      <c r="Q412" s="9" t="n">
        <f aca="false">IF($B412="",0,IF(COUNTIFS($B$5:$B412,$B412)=1,1,0))</f>
        <v>0</v>
      </c>
    </row>
    <row r="413" customFormat="false" ht="15" hidden="false" customHeight="false" outlineLevel="0" collapsed="false">
      <c r="A413" s="6"/>
      <c r="B413" s="6"/>
      <c r="C413" s="6"/>
      <c r="D413" s="6"/>
      <c r="E413" s="6"/>
      <c r="F413" s="6"/>
      <c r="G413" s="7"/>
      <c r="H413" s="7"/>
      <c r="I413" s="6"/>
      <c r="J413" s="9" t="str">
        <f aca="false">IF(NOT(ISNUMBER($G413)),"",IF(AND(ASH_CORRECTED="Yes",ISNUMBER($H413)),$G413*(1-$H413),$G413))</f>
        <v/>
      </c>
      <c r="K413" s="9" t="str">
        <f aca="false">IF($B413="","",IFERROR(AVERAGEIFS('2. Soil Data'!$G$5:$G$604,'2. Soil Data'!$B$5:$B$604,$B413),""))</f>
        <v/>
      </c>
      <c r="L413" s="9" t="str">
        <f aca="false">IF(NOT(ISNUMBER($K413)),"",PI()*($K413/2)^2)</f>
        <v/>
      </c>
      <c r="M413" s="9" t="str">
        <f aca="false">IF(OR(NOT(ISNUMBER($J413)),NOT(ISNUMBER($L413)),$L413=0),"",$J413/$L413*10000)</f>
        <v/>
      </c>
      <c r="N413" s="9" t="str">
        <f aca="false">IF(NOT(ISNUMBER($M413)),"",$M413*CARBON_FRACTION_ROOT/1000)</f>
        <v/>
      </c>
      <c r="O413" s="11" t="str">
        <f aca="false">IF(AND($A413="",$B413="",$G413=""),"",IF(AND($B413&lt;&gt;"",COUNTIFS('2. Soil Data'!$B$5:$B$604,$B413)=0),"Core ID not found in Soil Data, so the corer diameter cannot be looked up. ","")&amp;IF(ASH_CORRECTED&lt;&gt;"Yes","Root mass is NOT ash-corrected, so it includes adhering mineral soil and is too high. Set ASH_CORRECTED once you have done it. ","")&amp;IF(AND(ASH_CORRECTED="Yes",NOT(ISNUMBER($H413))),"Ash correction is switched on but no ash fraction is given for this row. ","")&amp;IF($I413="","Sieve mesh not recorded — a fine-root figure cannot be interpreted without it. ","")&amp;IF(AND(ISNUMBER($H413),$H413&gt;0.5),"Ash fraction above 0.5 — over half this sample was mineral soil. Re-wash. ","")&amp;IF($F413="Not separated","Live and dead not separated. Fine for a stock, but "&amp;"note it in reporting. ",""))</f>
        <v/>
      </c>
      <c r="P413" s="6"/>
      <c r="Q413" s="9" t="n">
        <f aca="false">IF($B413="",0,IF(COUNTIFS($B$5:$B413,$B413)=1,1,0))</f>
        <v>0</v>
      </c>
    </row>
    <row r="414" customFormat="false" ht="15" hidden="false" customHeight="false" outlineLevel="0" collapsed="false">
      <c r="A414" s="6"/>
      <c r="B414" s="6"/>
      <c r="C414" s="6"/>
      <c r="D414" s="6"/>
      <c r="E414" s="6"/>
      <c r="F414" s="6"/>
      <c r="G414" s="7"/>
      <c r="H414" s="7"/>
      <c r="I414" s="6"/>
      <c r="J414" s="9" t="str">
        <f aca="false">IF(NOT(ISNUMBER($G414)),"",IF(AND(ASH_CORRECTED="Yes",ISNUMBER($H414)),$G414*(1-$H414),$G414))</f>
        <v/>
      </c>
      <c r="K414" s="9" t="str">
        <f aca="false">IF($B414="","",IFERROR(AVERAGEIFS('2. Soil Data'!$G$5:$G$604,'2. Soil Data'!$B$5:$B$604,$B414),""))</f>
        <v/>
      </c>
      <c r="L414" s="9" t="str">
        <f aca="false">IF(NOT(ISNUMBER($K414)),"",PI()*($K414/2)^2)</f>
        <v/>
      </c>
      <c r="M414" s="9" t="str">
        <f aca="false">IF(OR(NOT(ISNUMBER($J414)),NOT(ISNUMBER($L414)),$L414=0),"",$J414/$L414*10000)</f>
        <v/>
      </c>
      <c r="N414" s="9" t="str">
        <f aca="false">IF(NOT(ISNUMBER($M414)),"",$M414*CARBON_FRACTION_ROOT/1000)</f>
        <v/>
      </c>
      <c r="O414" s="11" t="str">
        <f aca="false">IF(AND($A414="",$B414="",$G414=""),"",IF(AND($B414&lt;&gt;"",COUNTIFS('2. Soil Data'!$B$5:$B$604,$B414)=0),"Core ID not found in Soil Data, so the corer diameter cannot be looked up. ","")&amp;IF(ASH_CORRECTED&lt;&gt;"Yes","Root mass is NOT ash-corrected, so it includes adhering mineral soil and is too high. Set ASH_CORRECTED once you have done it. ","")&amp;IF(AND(ASH_CORRECTED="Yes",NOT(ISNUMBER($H414))),"Ash correction is switched on but no ash fraction is given for this row. ","")&amp;IF($I414="","Sieve mesh not recorded — a fine-root figure cannot be interpreted without it. ","")&amp;IF(AND(ISNUMBER($H414),$H414&gt;0.5),"Ash fraction above 0.5 — over half this sample was mineral soil. Re-wash. ","")&amp;IF($F414="Not separated","Live and dead not separated. Fine for a stock, but "&amp;"note it in reporting. ",""))</f>
        <v/>
      </c>
      <c r="P414" s="6"/>
      <c r="Q414" s="9" t="n">
        <f aca="false">IF($B414="",0,IF(COUNTIFS($B$5:$B414,$B414)=1,1,0))</f>
        <v>0</v>
      </c>
    </row>
    <row r="415" customFormat="false" ht="15" hidden="false" customHeight="false" outlineLevel="0" collapsed="false">
      <c r="A415" s="6"/>
      <c r="B415" s="6"/>
      <c r="C415" s="6"/>
      <c r="D415" s="6"/>
      <c r="E415" s="6"/>
      <c r="F415" s="6"/>
      <c r="G415" s="7"/>
      <c r="H415" s="7"/>
      <c r="I415" s="6"/>
      <c r="J415" s="9" t="str">
        <f aca="false">IF(NOT(ISNUMBER($G415)),"",IF(AND(ASH_CORRECTED="Yes",ISNUMBER($H415)),$G415*(1-$H415),$G415))</f>
        <v/>
      </c>
      <c r="K415" s="9" t="str">
        <f aca="false">IF($B415="","",IFERROR(AVERAGEIFS('2. Soil Data'!$G$5:$G$604,'2. Soil Data'!$B$5:$B$604,$B415),""))</f>
        <v/>
      </c>
      <c r="L415" s="9" t="str">
        <f aca="false">IF(NOT(ISNUMBER($K415)),"",PI()*($K415/2)^2)</f>
        <v/>
      </c>
      <c r="M415" s="9" t="str">
        <f aca="false">IF(OR(NOT(ISNUMBER($J415)),NOT(ISNUMBER($L415)),$L415=0),"",$J415/$L415*10000)</f>
        <v/>
      </c>
      <c r="N415" s="9" t="str">
        <f aca="false">IF(NOT(ISNUMBER($M415)),"",$M415*CARBON_FRACTION_ROOT/1000)</f>
        <v/>
      </c>
      <c r="O415" s="11" t="str">
        <f aca="false">IF(AND($A415="",$B415="",$G415=""),"",IF(AND($B415&lt;&gt;"",COUNTIFS('2. Soil Data'!$B$5:$B$604,$B415)=0),"Core ID not found in Soil Data, so the corer diameter cannot be looked up. ","")&amp;IF(ASH_CORRECTED&lt;&gt;"Yes","Root mass is NOT ash-corrected, so it includes adhering mineral soil and is too high. Set ASH_CORRECTED once you have done it. ","")&amp;IF(AND(ASH_CORRECTED="Yes",NOT(ISNUMBER($H415))),"Ash correction is switched on but no ash fraction is given for this row. ","")&amp;IF($I415="","Sieve mesh not recorded — a fine-root figure cannot be interpreted without it. ","")&amp;IF(AND(ISNUMBER($H415),$H415&gt;0.5),"Ash fraction above 0.5 — over half this sample was mineral soil. Re-wash. ","")&amp;IF($F415="Not separated","Live and dead not separated. Fine for a stock, but "&amp;"note it in reporting. ",""))</f>
        <v/>
      </c>
      <c r="P415" s="6"/>
      <c r="Q415" s="9" t="n">
        <f aca="false">IF($B415="",0,IF(COUNTIFS($B$5:$B415,$B415)=1,1,0))</f>
        <v>0</v>
      </c>
    </row>
    <row r="416" customFormat="false" ht="15" hidden="false" customHeight="false" outlineLevel="0" collapsed="false">
      <c r="A416" s="6"/>
      <c r="B416" s="6"/>
      <c r="C416" s="6"/>
      <c r="D416" s="6"/>
      <c r="E416" s="6"/>
      <c r="F416" s="6"/>
      <c r="G416" s="7"/>
      <c r="H416" s="7"/>
      <c r="I416" s="6"/>
      <c r="J416" s="9" t="str">
        <f aca="false">IF(NOT(ISNUMBER($G416)),"",IF(AND(ASH_CORRECTED="Yes",ISNUMBER($H416)),$G416*(1-$H416),$G416))</f>
        <v/>
      </c>
      <c r="K416" s="9" t="str">
        <f aca="false">IF($B416="","",IFERROR(AVERAGEIFS('2. Soil Data'!$G$5:$G$604,'2. Soil Data'!$B$5:$B$604,$B416),""))</f>
        <v/>
      </c>
      <c r="L416" s="9" t="str">
        <f aca="false">IF(NOT(ISNUMBER($K416)),"",PI()*($K416/2)^2)</f>
        <v/>
      </c>
      <c r="M416" s="9" t="str">
        <f aca="false">IF(OR(NOT(ISNUMBER($J416)),NOT(ISNUMBER($L416)),$L416=0),"",$J416/$L416*10000)</f>
        <v/>
      </c>
      <c r="N416" s="9" t="str">
        <f aca="false">IF(NOT(ISNUMBER($M416)),"",$M416*CARBON_FRACTION_ROOT/1000)</f>
        <v/>
      </c>
      <c r="O416" s="11" t="str">
        <f aca="false">IF(AND($A416="",$B416="",$G416=""),"",IF(AND($B416&lt;&gt;"",COUNTIFS('2. Soil Data'!$B$5:$B$604,$B416)=0),"Core ID not found in Soil Data, so the corer diameter cannot be looked up. ","")&amp;IF(ASH_CORRECTED&lt;&gt;"Yes","Root mass is NOT ash-corrected, so it includes adhering mineral soil and is too high. Set ASH_CORRECTED once you have done it. ","")&amp;IF(AND(ASH_CORRECTED="Yes",NOT(ISNUMBER($H416))),"Ash correction is switched on but no ash fraction is given for this row. ","")&amp;IF($I416="","Sieve mesh not recorded — a fine-root figure cannot be interpreted without it. ","")&amp;IF(AND(ISNUMBER($H416),$H416&gt;0.5),"Ash fraction above 0.5 — over half this sample was mineral soil. Re-wash. ","")&amp;IF($F416="Not separated","Live and dead not separated. Fine for a stock, but "&amp;"note it in reporting. ",""))</f>
        <v/>
      </c>
      <c r="P416" s="6"/>
      <c r="Q416" s="9" t="n">
        <f aca="false">IF($B416="",0,IF(COUNTIFS($B$5:$B416,$B416)=1,1,0))</f>
        <v>0</v>
      </c>
    </row>
    <row r="417" customFormat="false" ht="15" hidden="false" customHeight="false" outlineLevel="0" collapsed="false">
      <c r="A417" s="6"/>
      <c r="B417" s="6"/>
      <c r="C417" s="6"/>
      <c r="D417" s="6"/>
      <c r="E417" s="6"/>
      <c r="F417" s="6"/>
      <c r="G417" s="7"/>
      <c r="H417" s="7"/>
      <c r="I417" s="6"/>
      <c r="J417" s="9" t="str">
        <f aca="false">IF(NOT(ISNUMBER($G417)),"",IF(AND(ASH_CORRECTED="Yes",ISNUMBER($H417)),$G417*(1-$H417),$G417))</f>
        <v/>
      </c>
      <c r="K417" s="9" t="str">
        <f aca="false">IF($B417="","",IFERROR(AVERAGEIFS('2. Soil Data'!$G$5:$G$604,'2. Soil Data'!$B$5:$B$604,$B417),""))</f>
        <v/>
      </c>
      <c r="L417" s="9" t="str">
        <f aca="false">IF(NOT(ISNUMBER($K417)),"",PI()*($K417/2)^2)</f>
        <v/>
      </c>
      <c r="M417" s="9" t="str">
        <f aca="false">IF(OR(NOT(ISNUMBER($J417)),NOT(ISNUMBER($L417)),$L417=0),"",$J417/$L417*10000)</f>
        <v/>
      </c>
      <c r="N417" s="9" t="str">
        <f aca="false">IF(NOT(ISNUMBER($M417)),"",$M417*CARBON_FRACTION_ROOT/1000)</f>
        <v/>
      </c>
      <c r="O417" s="11" t="str">
        <f aca="false">IF(AND($A417="",$B417="",$G417=""),"",IF(AND($B417&lt;&gt;"",COUNTIFS('2. Soil Data'!$B$5:$B$604,$B417)=0),"Core ID not found in Soil Data, so the corer diameter cannot be looked up. ","")&amp;IF(ASH_CORRECTED&lt;&gt;"Yes","Root mass is NOT ash-corrected, so it includes adhering mineral soil and is too high. Set ASH_CORRECTED once you have done it. ","")&amp;IF(AND(ASH_CORRECTED="Yes",NOT(ISNUMBER($H417))),"Ash correction is switched on but no ash fraction is given for this row. ","")&amp;IF($I417="","Sieve mesh not recorded — a fine-root figure cannot be interpreted without it. ","")&amp;IF(AND(ISNUMBER($H417),$H417&gt;0.5),"Ash fraction above 0.5 — over half this sample was mineral soil. Re-wash. ","")&amp;IF($F417="Not separated","Live and dead not separated. Fine for a stock, but "&amp;"note it in reporting. ",""))</f>
        <v/>
      </c>
      <c r="P417" s="6"/>
      <c r="Q417" s="9" t="n">
        <f aca="false">IF($B417="",0,IF(COUNTIFS($B$5:$B417,$B417)=1,1,0))</f>
        <v>0</v>
      </c>
    </row>
    <row r="418" customFormat="false" ht="15" hidden="false" customHeight="false" outlineLevel="0" collapsed="false">
      <c r="A418" s="6"/>
      <c r="B418" s="6"/>
      <c r="C418" s="6"/>
      <c r="D418" s="6"/>
      <c r="E418" s="6"/>
      <c r="F418" s="6"/>
      <c r="G418" s="7"/>
      <c r="H418" s="7"/>
      <c r="I418" s="6"/>
      <c r="J418" s="9" t="str">
        <f aca="false">IF(NOT(ISNUMBER($G418)),"",IF(AND(ASH_CORRECTED="Yes",ISNUMBER($H418)),$G418*(1-$H418),$G418))</f>
        <v/>
      </c>
      <c r="K418" s="9" t="str">
        <f aca="false">IF($B418="","",IFERROR(AVERAGEIFS('2. Soil Data'!$G$5:$G$604,'2. Soil Data'!$B$5:$B$604,$B418),""))</f>
        <v/>
      </c>
      <c r="L418" s="9" t="str">
        <f aca="false">IF(NOT(ISNUMBER($K418)),"",PI()*($K418/2)^2)</f>
        <v/>
      </c>
      <c r="M418" s="9" t="str">
        <f aca="false">IF(OR(NOT(ISNUMBER($J418)),NOT(ISNUMBER($L418)),$L418=0),"",$J418/$L418*10000)</f>
        <v/>
      </c>
      <c r="N418" s="9" t="str">
        <f aca="false">IF(NOT(ISNUMBER($M418)),"",$M418*CARBON_FRACTION_ROOT/1000)</f>
        <v/>
      </c>
      <c r="O418" s="11" t="str">
        <f aca="false">IF(AND($A418="",$B418="",$G418=""),"",IF(AND($B418&lt;&gt;"",COUNTIFS('2. Soil Data'!$B$5:$B$604,$B418)=0),"Core ID not found in Soil Data, so the corer diameter cannot be looked up. ","")&amp;IF(ASH_CORRECTED&lt;&gt;"Yes","Root mass is NOT ash-corrected, so it includes adhering mineral soil and is too high. Set ASH_CORRECTED once you have done it. ","")&amp;IF(AND(ASH_CORRECTED="Yes",NOT(ISNUMBER($H418))),"Ash correction is switched on but no ash fraction is given for this row. ","")&amp;IF($I418="","Sieve mesh not recorded — a fine-root figure cannot be interpreted without it. ","")&amp;IF(AND(ISNUMBER($H418),$H418&gt;0.5),"Ash fraction above 0.5 — over half this sample was mineral soil. Re-wash. ","")&amp;IF($F418="Not separated","Live and dead not separated. Fine for a stock, but "&amp;"note it in reporting. ",""))</f>
        <v/>
      </c>
      <c r="P418" s="6"/>
      <c r="Q418" s="9" t="n">
        <f aca="false">IF($B418="",0,IF(COUNTIFS($B$5:$B418,$B418)=1,1,0))</f>
        <v>0</v>
      </c>
    </row>
    <row r="419" customFormat="false" ht="15" hidden="false" customHeight="false" outlineLevel="0" collapsed="false">
      <c r="A419" s="6"/>
      <c r="B419" s="6"/>
      <c r="C419" s="6"/>
      <c r="D419" s="6"/>
      <c r="E419" s="6"/>
      <c r="F419" s="6"/>
      <c r="G419" s="7"/>
      <c r="H419" s="7"/>
      <c r="I419" s="6"/>
      <c r="J419" s="9" t="str">
        <f aca="false">IF(NOT(ISNUMBER($G419)),"",IF(AND(ASH_CORRECTED="Yes",ISNUMBER($H419)),$G419*(1-$H419),$G419))</f>
        <v/>
      </c>
      <c r="K419" s="9" t="str">
        <f aca="false">IF($B419="","",IFERROR(AVERAGEIFS('2. Soil Data'!$G$5:$G$604,'2. Soil Data'!$B$5:$B$604,$B419),""))</f>
        <v/>
      </c>
      <c r="L419" s="9" t="str">
        <f aca="false">IF(NOT(ISNUMBER($K419)),"",PI()*($K419/2)^2)</f>
        <v/>
      </c>
      <c r="M419" s="9" t="str">
        <f aca="false">IF(OR(NOT(ISNUMBER($J419)),NOT(ISNUMBER($L419)),$L419=0),"",$J419/$L419*10000)</f>
        <v/>
      </c>
      <c r="N419" s="9" t="str">
        <f aca="false">IF(NOT(ISNUMBER($M419)),"",$M419*CARBON_FRACTION_ROOT/1000)</f>
        <v/>
      </c>
      <c r="O419" s="11" t="str">
        <f aca="false">IF(AND($A419="",$B419="",$G419=""),"",IF(AND($B419&lt;&gt;"",COUNTIFS('2. Soil Data'!$B$5:$B$604,$B419)=0),"Core ID not found in Soil Data, so the corer diameter cannot be looked up. ","")&amp;IF(ASH_CORRECTED&lt;&gt;"Yes","Root mass is NOT ash-corrected, so it includes adhering mineral soil and is too high. Set ASH_CORRECTED once you have done it. ","")&amp;IF(AND(ASH_CORRECTED="Yes",NOT(ISNUMBER($H419))),"Ash correction is switched on but no ash fraction is given for this row. ","")&amp;IF($I419="","Sieve mesh not recorded — a fine-root figure cannot be interpreted without it. ","")&amp;IF(AND(ISNUMBER($H419),$H419&gt;0.5),"Ash fraction above 0.5 — over half this sample was mineral soil. Re-wash. ","")&amp;IF($F419="Not separated","Live and dead not separated. Fine for a stock, but "&amp;"note it in reporting. ",""))</f>
        <v/>
      </c>
      <c r="P419" s="6"/>
      <c r="Q419" s="9" t="n">
        <f aca="false">IF($B419="",0,IF(COUNTIFS($B$5:$B419,$B419)=1,1,0))</f>
        <v>0</v>
      </c>
    </row>
    <row r="420" customFormat="false" ht="15" hidden="false" customHeight="false" outlineLevel="0" collapsed="false">
      <c r="A420" s="6"/>
      <c r="B420" s="6"/>
      <c r="C420" s="6"/>
      <c r="D420" s="6"/>
      <c r="E420" s="6"/>
      <c r="F420" s="6"/>
      <c r="G420" s="7"/>
      <c r="H420" s="7"/>
      <c r="I420" s="6"/>
      <c r="J420" s="9" t="str">
        <f aca="false">IF(NOT(ISNUMBER($G420)),"",IF(AND(ASH_CORRECTED="Yes",ISNUMBER($H420)),$G420*(1-$H420),$G420))</f>
        <v/>
      </c>
      <c r="K420" s="9" t="str">
        <f aca="false">IF($B420="","",IFERROR(AVERAGEIFS('2. Soil Data'!$G$5:$G$604,'2. Soil Data'!$B$5:$B$604,$B420),""))</f>
        <v/>
      </c>
      <c r="L420" s="9" t="str">
        <f aca="false">IF(NOT(ISNUMBER($K420)),"",PI()*($K420/2)^2)</f>
        <v/>
      </c>
      <c r="M420" s="9" t="str">
        <f aca="false">IF(OR(NOT(ISNUMBER($J420)),NOT(ISNUMBER($L420)),$L420=0),"",$J420/$L420*10000)</f>
        <v/>
      </c>
      <c r="N420" s="9" t="str">
        <f aca="false">IF(NOT(ISNUMBER($M420)),"",$M420*CARBON_FRACTION_ROOT/1000)</f>
        <v/>
      </c>
      <c r="O420" s="11" t="str">
        <f aca="false">IF(AND($A420="",$B420="",$G420=""),"",IF(AND($B420&lt;&gt;"",COUNTIFS('2. Soil Data'!$B$5:$B$604,$B420)=0),"Core ID not found in Soil Data, so the corer diameter cannot be looked up. ","")&amp;IF(ASH_CORRECTED&lt;&gt;"Yes","Root mass is NOT ash-corrected, so it includes adhering mineral soil and is too high. Set ASH_CORRECTED once you have done it. ","")&amp;IF(AND(ASH_CORRECTED="Yes",NOT(ISNUMBER($H420))),"Ash correction is switched on but no ash fraction is given for this row. ","")&amp;IF($I420="","Sieve mesh not recorded — a fine-root figure cannot be interpreted without it. ","")&amp;IF(AND(ISNUMBER($H420),$H420&gt;0.5),"Ash fraction above 0.5 — over half this sample was mineral soil. Re-wash. ","")&amp;IF($F420="Not separated","Live and dead not separated. Fine for a stock, but "&amp;"note it in reporting. ",""))</f>
        <v/>
      </c>
      <c r="P420" s="6"/>
      <c r="Q420" s="9" t="n">
        <f aca="false">IF($B420="",0,IF(COUNTIFS($B$5:$B420,$B420)=1,1,0))</f>
        <v>0</v>
      </c>
    </row>
    <row r="421" customFormat="false" ht="15" hidden="false" customHeight="false" outlineLevel="0" collapsed="false">
      <c r="A421" s="6"/>
      <c r="B421" s="6"/>
      <c r="C421" s="6"/>
      <c r="D421" s="6"/>
      <c r="E421" s="6"/>
      <c r="F421" s="6"/>
      <c r="G421" s="7"/>
      <c r="H421" s="7"/>
      <c r="I421" s="6"/>
      <c r="J421" s="9" t="str">
        <f aca="false">IF(NOT(ISNUMBER($G421)),"",IF(AND(ASH_CORRECTED="Yes",ISNUMBER($H421)),$G421*(1-$H421),$G421))</f>
        <v/>
      </c>
      <c r="K421" s="9" t="str">
        <f aca="false">IF($B421="","",IFERROR(AVERAGEIFS('2. Soil Data'!$G$5:$G$604,'2. Soil Data'!$B$5:$B$604,$B421),""))</f>
        <v/>
      </c>
      <c r="L421" s="9" t="str">
        <f aca="false">IF(NOT(ISNUMBER($K421)),"",PI()*($K421/2)^2)</f>
        <v/>
      </c>
      <c r="M421" s="9" t="str">
        <f aca="false">IF(OR(NOT(ISNUMBER($J421)),NOT(ISNUMBER($L421)),$L421=0),"",$J421/$L421*10000)</f>
        <v/>
      </c>
      <c r="N421" s="9" t="str">
        <f aca="false">IF(NOT(ISNUMBER($M421)),"",$M421*CARBON_FRACTION_ROOT/1000)</f>
        <v/>
      </c>
      <c r="O421" s="11" t="str">
        <f aca="false">IF(AND($A421="",$B421="",$G421=""),"",IF(AND($B421&lt;&gt;"",COUNTIFS('2. Soil Data'!$B$5:$B$604,$B421)=0),"Core ID not found in Soil Data, so the corer diameter cannot be looked up. ","")&amp;IF(ASH_CORRECTED&lt;&gt;"Yes","Root mass is NOT ash-corrected, so it includes adhering mineral soil and is too high. Set ASH_CORRECTED once you have done it. ","")&amp;IF(AND(ASH_CORRECTED="Yes",NOT(ISNUMBER($H421))),"Ash correction is switched on but no ash fraction is given for this row. ","")&amp;IF($I421="","Sieve mesh not recorded — a fine-root figure cannot be interpreted without it. ","")&amp;IF(AND(ISNUMBER($H421),$H421&gt;0.5),"Ash fraction above 0.5 — over half this sample was mineral soil. Re-wash. ","")&amp;IF($F421="Not separated","Live and dead not separated. Fine for a stock, but "&amp;"note it in reporting. ",""))</f>
        <v/>
      </c>
      <c r="P421" s="6"/>
      <c r="Q421" s="9" t="n">
        <f aca="false">IF($B421="",0,IF(COUNTIFS($B$5:$B421,$B421)=1,1,0))</f>
        <v>0</v>
      </c>
    </row>
    <row r="422" customFormat="false" ht="15" hidden="false" customHeight="false" outlineLevel="0" collapsed="false">
      <c r="A422" s="6"/>
      <c r="B422" s="6"/>
      <c r="C422" s="6"/>
      <c r="D422" s="6"/>
      <c r="E422" s="6"/>
      <c r="F422" s="6"/>
      <c r="G422" s="7"/>
      <c r="H422" s="7"/>
      <c r="I422" s="6"/>
      <c r="J422" s="9" t="str">
        <f aca="false">IF(NOT(ISNUMBER($G422)),"",IF(AND(ASH_CORRECTED="Yes",ISNUMBER($H422)),$G422*(1-$H422),$G422))</f>
        <v/>
      </c>
      <c r="K422" s="9" t="str">
        <f aca="false">IF($B422="","",IFERROR(AVERAGEIFS('2. Soil Data'!$G$5:$G$604,'2. Soil Data'!$B$5:$B$604,$B422),""))</f>
        <v/>
      </c>
      <c r="L422" s="9" t="str">
        <f aca="false">IF(NOT(ISNUMBER($K422)),"",PI()*($K422/2)^2)</f>
        <v/>
      </c>
      <c r="M422" s="9" t="str">
        <f aca="false">IF(OR(NOT(ISNUMBER($J422)),NOT(ISNUMBER($L422)),$L422=0),"",$J422/$L422*10000)</f>
        <v/>
      </c>
      <c r="N422" s="9" t="str">
        <f aca="false">IF(NOT(ISNUMBER($M422)),"",$M422*CARBON_FRACTION_ROOT/1000)</f>
        <v/>
      </c>
      <c r="O422" s="11" t="str">
        <f aca="false">IF(AND($A422="",$B422="",$G422=""),"",IF(AND($B422&lt;&gt;"",COUNTIFS('2. Soil Data'!$B$5:$B$604,$B422)=0),"Core ID not found in Soil Data, so the corer diameter cannot be looked up. ","")&amp;IF(ASH_CORRECTED&lt;&gt;"Yes","Root mass is NOT ash-corrected, so it includes adhering mineral soil and is too high. Set ASH_CORRECTED once you have done it. ","")&amp;IF(AND(ASH_CORRECTED="Yes",NOT(ISNUMBER($H422))),"Ash correction is switched on but no ash fraction is given for this row. ","")&amp;IF($I422="","Sieve mesh not recorded — a fine-root figure cannot be interpreted without it. ","")&amp;IF(AND(ISNUMBER($H422),$H422&gt;0.5),"Ash fraction above 0.5 — over half this sample was mineral soil. Re-wash. ","")&amp;IF($F422="Not separated","Live and dead not separated. Fine for a stock, but "&amp;"note it in reporting. ",""))</f>
        <v/>
      </c>
      <c r="P422" s="6"/>
      <c r="Q422" s="9" t="n">
        <f aca="false">IF($B422="",0,IF(COUNTIFS($B$5:$B422,$B422)=1,1,0))</f>
        <v>0</v>
      </c>
    </row>
    <row r="423" customFormat="false" ht="15" hidden="false" customHeight="false" outlineLevel="0" collapsed="false">
      <c r="A423" s="6"/>
      <c r="B423" s="6"/>
      <c r="C423" s="6"/>
      <c r="D423" s="6"/>
      <c r="E423" s="6"/>
      <c r="F423" s="6"/>
      <c r="G423" s="7"/>
      <c r="H423" s="7"/>
      <c r="I423" s="6"/>
      <c r="J423" s="9" t="str">
        <f aca="false">IF(NOT(ISNUMBER($G423)),"",IF(AND(ASH_CORRECTED="Yes",ISNUMBER($H423)),$G423*(1-$H423),$G423))</f>
        <v/>
      </c>
      <c r="K423" s="9" t="str">
        <f aca="false">IF($B423="","",IFERROR(AVERAGEIFS('2. Soil Data'!$G$5:$G$604,'2. Soil Data'!$B$5:$B$604,$B423),""))</f>
        <v/>
      </c>
      <c r="L423" s="9" t="str">
        <f aca="false">IF(NOT(ISNUMBER($K423)),"",PI()*($K423/2)^2)</f>
        <v/>
      </c>
      <c r="M423" s="9" t="str">
        <f aca="false">IF(OR(NOT(ISNUMBER($J423)),NOT(ISNUMBER($L423)),$L423=0),"",$J423/$L423*10000)</f>
        <v/>
      </c>
      <c r="N423" s="9" t="str">
        <f aca="false">IF(NOT(ISNUMBER($M423)),"",$M423*CARBON_FRACTION_ROOT/1000)</f>
        <v/>
      </c>
      <c r="O423" s="11" t="str">
        <f aca="false">IF(AND($A423="",$B423="",$G423=""),"",IF(AND($B423&lt;&gt;"",COUNTIFS('2. Soil Data'!$B$5:$B$604,$B423)=0),"Core ID not found in Soil Data, so the corer diameter cannot be looked up. ","")&amp;IF(ASH_CORRECTED&lt;&gt;"Yes","Root mass is NOT ash-corrected, so it includes adhering mineral soil and is too high. Set ASH_CORRECTED once you have done it. ","")&amp;IF(AND(ASH_CORRECTED="Yes",NOT(ISNUMBER($H423))),"Ash correction is switched on but no ash fraction is given for this row. ","")&amp;IF($I423="","Sieve mesh not recorded — a fine-root figure cannot be interpreted without it. ","")&amp;IF(AND(ISNUMBER($H423),$H423&gt;0.5),"Ash fraction above 0.5 — over half this sample was mineral soil. Re-wash. ","")&amp;IF($F423="Not separated","Live and dead not separated. Fine for a stock, but "&amp;"note it in reporting. ",""))</f>
        <v/>
      </c>
      <c r="P423" s="6"/>
      <c r="Q423" s="9" t="n">
        <f aca="false">IF($B423="",0,IF(COUNTIFS($B$5:$B423,$B423)=1,1,0))</f>
        <v>0</v>
      </c>
    </row>
    <row r="424" customFormat="false" ht="15" hidden="false" customHeight="false" outlineLevel="0" collapsed="false">
      <c r="A424" s="6"/>
      <c r="B424" s="6"/>
      <c r="C424" s="6"/>
      <c r="D424" s="6"/>
      <c r="E424" s="6"/>
      <c r="F424" s="6"/>
      <c r="G424" s="7"/>
      <c r="H424" s="7"/>
      <c r="I424" s="6"/>
      <c r="J424" s="9" t="str">
        <f aca="false">IF(NOT(ISNUMBER($G424)),"",IF(AND(ASH_CORRECTED="Yes",ISNUMBER($H424)),$G424*(1-$H424),$G424))</f>
        <v/>
      </c>
      <c r="K424" s="9" t="str">
        <f aca="false">IF($B424="","",IFERROR(AVERAGEIFS('2. Soil Data'!$G$5:$G$604,'2. Soil Data'!$B$5:$B$604,$B424),""))</f>
        <v/>
      </c>
      <c r="L424" s="9" t="str">
        <f aca="false">IF(NOT(ISNUMBER($K424)),"",PI()*($K424/2)^2)</f>
        <v/>
      </c>
      <c r="M424" s="9" t="str">
        <f aca="false">IF(OR(NOT(ISNUMBER($J424)),NOT(ISNUMBER($L424)),$L424=0),"",$J424/$L424*10000)</f>
        <v/>
      </c>
      <c r="N424" s="9" t="str">
        <f aca="false">IF(NOT(ISNUMBER($M424)),"",$M424*CARBON_FRACTION_ROOT/1000)</f>
        <v/>
      </c>
      <c r="O424" s="11" t="str">
        <f aca="false">IF(AND($A424="",$B424="",$G424=""),"",IF(AND($B424&lt;&gt;"",COUNTIFS('2. Soil Data'!$B$5:$B$604,$B424)=0),"Core ID not found in Soil Data, so the corer diameter cannot be looked up. ","")&amp;IF(ASH_CORRECTED&lt;&gt;"Yes","Root mass is NOT ash-corrected, so it includes adhering mineral soil and is too high. Set ASH_CORRECTED once you have done it. ","")&amp;IF(AND(ASH_CORRECTED="Yes",NOT(ISNUMBER($H424))),"Ash correction is switched on but no ash fraction is given for this row. ","")&amp;IF($I424="","Sieve mesh not recorded — a fine-root figure cannot be interpreted without it. ","")&amp;IF(AND(ISNUMBER($H424),$H424&gt;0.5),"Ash fraction above 0.5 — over half this sample was mineral soil. Re-wash. ","")&amp;IF($F424="Not separated","Live and dead not separated. Fine for a stock, but "&amp;"note it in reporting. ",""))</f>
        <v/>
      </c>
      <c r="P424" s="6"/>
      <c r="Q424" s="9" t="n">
        <f aca="false">IF($B424="",0,IF(COUNTIFS($B$5:$B424,$B424)=1,1,0))</f>
        <v>0</v>
      </c>
    </row>
    <row r="425" customFormat="false" ht="15" hidden="false" customHeight="false" outlineLevel="0" collapsed="false">
      <c r="A425" s="6"/>
      <c r="B425" s="6"/>
      <c r="C425" s="6"/>
      <c r="D425" s="6"/>
      <c r="E425" s="6"/>
      <c r="F425" s="6"/>
      <c r="G425" s="7"/>
      <c r="H425" s="7"/>
      <c r="I425" s="6"/>
      <c r="J425" s="9" t="str">
        <f aca="false">IF(NOT(ISNUMBER($G425)),"",IF(AND(ASH_CORRECTED="Yes",ISNUMBER($H425)),$G425*(1-$H425),$G425))</f>
        <v/>
      </c>
      <c r="K425" s="9" t="str">
        <f aca="false">IF($B425="","",IFERROR(AVERAGEIFS('2. Soil Data'!$G$5:$G$604,'2. Soil Data'!$B$5:$B$604,$B425),""))</f>
        <v/>
      </c>
      <c r="L425" s="9" t="str">
        <f aca="false">IF(NOT(ISNUMBER($K425)),"",PI()*($K425/2)^2)</f>
        <v/>
      </c>
      <c r="M425" s="9" t="str">
        <f aca="false">IF(OR(NOT(ISNUMBER($J425)),NOT(ISNUMBER($L425)),$L425=0),"",$J425/$L425*10000)</f>
        <v/>
      </c>
      <c r="N425" s="9" t="str">
        <f aca="false">IF(NOT(ISNUMBER($M425)),"",$M425*CARBON_FRACTION_ROOT/1000)</f>
        <v/>
      </c>
      <c r="O425" s="11" t="str">
        <f aca="false">IF(AND($A425="",$B425="",$G425=""),"",IF(AND($B425&lt;&gt;"",COUNTIFS('2. Soil Data'!$B$5:$B$604,$B425)=0),"Core ID not found in Soil Data, so the corer diameter cannot be looked up. ","")&amp;IF(ASH_CORRECTED&lt;&gt;"Yes","Root mass is NOT ash-corrected, so it includes adhering mineral soil and is too high. Set ASH_CORRECTED once you have done it. ","")&amp;IF(AND(ASH_CORRECTED="Yes",NOT(ISNUMBER($H425))),"Ash correction is switched on but no ash fraction is given for this row. ","")&amp;IF($I425="","Sieve mesh not recorded — a fine-root figure cannot be interpreted without it. ","")&amp;IF(AND(ISNUMBER($H425),$H425&gt;0.5),"Ash fraction above 0.5 — over half this sample was mineral soil. Re-wash. ","")&amp;IF($F425="Not separated","Live and dead not separated. Fine for a stock, but "&amp;"note it in reporting. ",""))</f>
        <v/>
      </c>
      <c r="P425" s="6"/>
      <c r="Q425" s="9" t="n">
        <f aca="false">IF($B425="",0,IF(COUNTIFS($B$5:$B425,$B425)=1,1,0))</f>
        <v>0</v>
      </c>
    </row>
    <row r="426" customFormat="false" ht="15" hidden="false" customHeight="false" outlineLevel="0" collapsed="false">
      <c r="A426" s="6"/>
      <c r="B426" s="6"/>
      <c r="C426" s="6"/>
      <c r="D426" s="6"/>
      <c r="E426" s="6"/>
      <c r="F426" s="6"/>
      <c r="G426" s="7"/>
      <c r="H426" s="7"/>
      <c r="I426" s="6"/>
      <c r="J426" s="9" t="str">
        <f aca="false">IF(NOT(ISNUMBER($G426)),"",IF(AND(ASH_CORRECTED="Yes",ISNUMBER($H426)),$G426*(1-$H426),$G426))</f>
        <v/>
      </c>
      <c r="K426" s="9" t="str">
        <f aca="false">IF($B426="","",IFERROR(AVERAGEIFS('2. Soil Data'!$G$5:$G$604,'2. Soil Data'!$B$5:$B$604,$B426),""))</f>
        <v/>
      </c>
      <c r="L426" s="9" t="str">
        <f aca="false">IF(NOT(ISNUMBER($K426)),"",PI()*($K426/2)^2)</f>
        <v/>
      </c>
      <c r="M426" s="9" t="str">
        <f aca="false">IF(OR(NOT(ISNUMBER($J426)),NOT(ISNUMBER($L426)),$L426=0),"",$J426/$L426*10000)</f>
        <v/>
      </c>
      <c r="N426" s="9" t="str">
        <f aca="false">IF(NOT(ISNUMBER($M426)),"",$M426*CARBON_FRACTION_ROOT/1000)</f>
        <v/>
      </c>
      <c r="O426" s="11" t="str">
        <f aca="false">IF(AND($A426="",$B426="",$G426=""),"",IF(AND($B426&lt;&gt;"",COUNTIFS('2. Soil Data'!$B$5:$B$604,$B426)=0),"Core ID not found in Soil Data, so the corer diameter cannot be looked up. ","")&amp;IF(ASH_CORRECTED&lt;&gt;"Yes","Root mass is NOT ash-corrected, so it includes adhering mineral soil and is too high. Set ASH_CORRECTED once you have done it. ","")&amp;IF(AND(ASH_CORRECTED="Yes",NOT(ISNUMBER($H426))),"Ash correction is switched on but no ash fraction is given for this row. ","")&amp;IF($I426="","Sieve mesh not recorded — a fine-root figure cannot be interpreted without it. ","")&amp;IF(AND(ISNUMBER($H426),$H426&gt;0.5),"Ash fraction above 0.5 — over half this sample was mineral soil. Re-wash. ","")&amp;IF($F426="Not separated","Live and dead not separated. Fine for a stock, but "&amp;"note it in reporting. ",""))</f>
        <v/>
      </c>
      <c r="P426" s="6"/>
      <c r="Q426" s="9" t="n">
        <f aca="false">IF($B426="",0,IF(COUNTIFS($B$5:$B426,$B426)=1,1,0))</f>
        <v>0</v>
      </c>
    </row>
    <row r="427" customFormat="false" ht="15" hidden="false" customHeight="false" outlineLevel="0" collapsed="false">
      <c r="A427" s="6"/>
      <c r="B427" s="6"/>
      <c r="C427" s="6"/>
      <c r="D427" s="6"/>
      <c r="E427" s="6"/>
      <c r="F427" s="6"/>
      <c r="G427" s="7"/>
      <c r="H427" s="7"/>
      <c r="I427" s="6"/>
      <c r="J427" s="9" t="str">
        <f aca="false">IF(NOT(ISNUMBER($G427)),"",IF(AND(ASH_CORRECTED="Yes",ISNUMBER($H427)),$G427*(1-$H427),$G427))</f>
        <v/>
      </c>
      <c r="K427" s="9" t="str">
        <f aca="false">IF($B427="","",IFERROR(AVERAGEIFS('2. Soil Data'!$G$5:$G$604,'2. Soil Data'!$B$5:$B$604,$B427),""))</f>
        <v/>
      </c>
      <c r="L427" s="9" t="str">
        <f aca="false">IF(NOT(ISNUMBER($K427)),"",PI()*($K427/2)^2)</f>
        <v/>
      </c>
      <c r="M427" s="9" t="str">
        <f aca="false">IF(OR(NOT(ISNUMBER($J427)),NOT(ISNUMBER($L427)),$L427=0),"",$J427/$L427*10000)</f>
        <v/>
      </c>
      <c r="N427" s="9" t="str">
        <f aca="false">IF(NOT(ISNUMBER($M427)),"",$M427*CARBON_FRACTION_ROOT/1000)</f>
        <v/>
      </c>
      <c r="O427" s="11" t="str">
        <f aca="false">IF(AND($A427="",$B427="",$G427=""),"",IF(AND($B427&lt;&gt;"",COUNTIFS('2. Soil Data'!$B$5:$B$604,$B427)=0),"Core ID not found in Soil Data, so the corer diameter cannot be looked up. ","")&amp;IF(ASH_CORRECTED&lt;&gt;"Yes","Root mass is NOT ash-corrected, so it includes adhering mineral soil and is too high. Set ASH_CORRECTED once you have done it. ","")&amp;IF(AND(ASH_CORRECTED="Yes",NOT(ISNUMBER($H427))),"Ash correction is switched on but no ash fraction is given for this row. ","")&amp;IF($I427="","Sieve mesh not recorded — a fine-root figure cannot be interpreted without it. ","")&amp;IF(AND(ISNUMBER($H427),$H427&gt;0.5),"Ash fraction above 0.5 — over half this sample was mineral soil. Re-wash. ","")&amp;IF($F427="Not separated","Live and dead not separated. Fine for a stock, but "&amp;"note it in reporting. ",""))</f>
        <v/>
      </c>
      <c r="P427" s="6"/>
      <c r="Q427" s="9" t="n">
        <f aca="false">IF($B427="",0,IF(COUNTIFS($B$5:$B427,$B427)=1,1,0))</f>
        <v>0</v>
      </c>
    </row>
    <row r="428" customFormat="false" ht="15" hidden="false" customHeight="false" outlineLevel="0" collapsed="false">
      <c r="A428" s="6"/>
      <c r="B428" s="6"/>
      <c r="C428" s="6"/>
      <c r="D428" s="6"/>
      <c r="E428" s="6"/>
      <c r="F428" s="6"/>
      <c r="G428" s="7"/>
      <c r="H428" s="7"/>
      <c r="I428" s="6"/>
      <c r="J428" s="9" t="str">
        <f aca="false">IF(NOT(ISNUMBER($G428)),"",IF(AND(ASH_CORRECTED="Yes",ISNUMBER($H428)),$G428*(1-$H428),$G428))</f>
        <v/>
      </c>
      <c r="K428" s="9" t="str">
        <f aca="false">IF($B428="","",IFERROR(AVERAGEIFS('2. Soil Data'!$G$5:$G$604,'2. Soil Data'!$B$5:$B$604,$B428),""))</f>
        <v/>
      </c>
      <c r="L428" s="9" t="str">
        <f aca="false">IF(NOT(ISNUMBER($K428)),"",PI()*($K428/2)^2)</f>
        <v/>
      </c>
      <c r="M428" s="9" t="str">
        <f aca="false">IF(OR(NOT(ISNUMBER($J428)),NOT(ISNUMBER($L428)),$L428=0),"",$J428/$L428*10000)</f>
        <v/>
      </c>
      <c r="N428" s="9" t="str">
        <f aca="false">IF(NOT(ISNUMBER($M428)),"",$M428*CARBON_FRACTION_ROOT/1000)</f>
        <v/>
      </c>
      <c r="O428" s="11" t="str">
        <f aca="false">IF(AND($A428="",$B428="",$G428=""),"",IF(AND($B428&lt;&gt;"",COUNTIFS('2. Soil Data'!$B$5:$B$604,$B428)=0),"Core ID not found in Soil Data, so the corer diameter cannot be looked up. ","")&amp;IF(ASH_CORRECTED&lt;&gt;"Yes","Root mass is NOT ash-corrected, so it includes adhering mineral soil and is too high. Set ASH_CORRECTED once you have done it. ","")&amp;IF(AND(ASH_CORRECTED="Yes",NOT(ISNUMBER($H428))),"Ash correction is switched on but no ash fraction is given for this row. ","")&amp;IF($I428="","Sieve mesh not recorded — a fine-root figure cannot be interpreted without it. ","")&amp;IF(AND(ISNUMBER($H428),$H428&gt;0.5),"Ash fraction above 0.5 — over half this sample was mineral soil. Re-wash. ","")&amp;IF($F428="Not separated","Live and dead not separated. Fine for a stock, but "&amp;"note it in reporting. ",""))</f>
        <v/>
      </c>
      <c r="P428" s="6"/>
      <c r="Q428" s="9" t="n">
        <f aca="false">IF($B428="",0,IF(COUNTIFS($B$5:$B428,$B428)=1,1,0))</f>
        <v>0</v>
      </c>
    </row>
    <row r="429" customFormat="false" ht="15" hidden="false" customHeight="false" outlineLevel="0" collapsed="false">
      <c r="A429" s="6"/>
      <c r="B429" s="6"/>
      <c r="C429" s="6"/>
      <c r="D429" s="6"/>
      <c r="E429" s="6"/>
      <c r="F429" s="6"/>
      <c r="G429" s="7"/>
      <c r="H429" s="7"/>
      <c r="I429" s="6"/>
      <c r="J429" s="9" t="str">
        <f aca="false">IF(NOT(ISNUMBER($G429)),"",IF(AND(ASH_CORRECTED="Yes",ISNUMBER($H429)),$G429*(1-$H429),$G429))</f>
        <v/>
      </c>
      <c r="K429" s="9" t="str">
        <f aca="false">IF($B429="","",IFERROR(AVERAGEIFS('2. Soil Data'!$G$5:$G$604,'2. Soil Data'!$B$5:$B$604,$B429),""))</f>
        <v/>
      </c>
      <c r="L429" s="9" t="str">
        <f aca="false">IF(NOT(ISNUMBER($K429)),"",PI()*($K429/2)^2)</f>
        <v/>
      </c>
      <c r="M429" s="9" t="str">
        <f aca="false">IF(OR(NOT(ISNUMBER($J429)),NOT(ISNUMBER($L429)),$L429=0),"",$J429/$L429*10000)</f>
        <v/>
      </c>
      <c r="N429" s="9" t="str">
        <f aca="false">IF(NOT(ISNUMBER($M429)),"",$M429*CARBON_FRACTION_ROOT/1000)</f>
        <v/>
      </c>
      <c r="O429" s="11" t="str">
        <f aca="false">IF(AND($A429="",$B429="",$G429=""),"",IF(AND($B429&lt;&gt;"",COUNTIFS('2. Soil Data'!$B$5:$B$604,$B429)=0),"Core ID not found in Soil Data, so the corer diameter cannot be looked up. ","")&amp;IF(ASH_CORRECTED&lt;&gt;"Yes","Root mass is NOT ash-corrected, so it includes adhering mineral soil and is too high. Set ASH_CORRECTED once you have done it. ","")&amp;IF(AND(ASH_CORRECTED="Yes",NOT(ISNUMBER($H429))),"Ash correction is switched on but no ash fraction is given for this row. ","")&amp;IF($I429="","Sieve mesh not recorded — a fine-root figure cannot be interpreted without it. ","")&amp;IF(AND(ISNUMBER($H429),$H429&gt;0.5),"Ash fraction above 0.5 — over half this sample was mineral soil. Re-wash. ","")&amp;IF($F429="Not separated","Live and dead not separated. Fine for a stock, but "&amp;"note it in reporting. ",""))</f>
        <v/>
      </c>
      <c r="P429" s="6"/>
      <c r="Q429" s="9" t="n">
        <f aca="false">IF($B429="",0,IF(COUNTIFS($B$5:$B429,$B429)=1,1,0))</f>
        <v>0</v>
      </c>
    </row>
    <row r="430" customFormat="false" ht="15" hidden="false" customHeight="false" outlineLevel="0" collapsed="false">
      <c r="A430" s="6"/>
      <c r="B430" s="6"/>
      <c r="C430" s="6"/>
      <c r="D430" s="6"/>
      <c r="E430" s="6"/>
      <c r="F430" s="6"/>
      <c r="G430" s="7"/>
      <c r="H430" s="7"/>
      <c r="I430" s="6"/>
      <c r="J430" s="9" t="str">
        <f aca="false">IF(NOT(ISNUMBER($G430)),"",IF(AND(ASH_CORRECTED="Yes",ISNUMBER($H430)),$G430*(1-$H430),$G430))</f>
        <v/>
      </c>
      <c r="K430" s="9" t="str">
        <f aca="false">IF($B430="","",IFERROR(AVERAGEIFS('2. Soil Data'!$G$5:$G$604,'2. Soil Data'!$B$5:$B$604,$B430),""))</f>
        <v/>
      </c>
      <c r="L430" s="9" t="str">
        <f aca="false">IF(NOT(ISNUMBER($K430)),"",PI()*($K430/2)^2)</f>
        <v/>
      </c>
      <c r="M430" s="9" t="str">
        <f aca="false">IF(OR(NOT(ISNUMBER($J430)),NOT(ISNUMBER($L430)),$L430=0),"",$J430/$L430*10000)</f>
        <v/>
      </c>
      <c r="N430" s="9" t="str">
        <f aca="false">IF(NOT(ISNUMBER($M430)),"",$M430*CARBON_FRACTION_ROOT/1000)</f>
        <v/>
      </c>
      <c r="O430" s="11" t="str">
        <f aca="false">IF(AND($A430="",$B430="",$G430=""),"",IF(AND($B430&lt;&gt;"",COUNTIFS('2. Soil Data'!$B$5:$B$604,$B430)=0),"Core ID not found in Soil Data, so the corer diameter cannot be looked up. ","")&amp;IF(ASH_CORRECTED&lt;&gt;"Yes","Root mass is NOT ash-corrected, so it includes adhering mineral soil and is too high. Set ASH_CORRECTED once you have done it. ","")&amp;IF(AND(ASH_CORRECTED="Yes",NOT(ISNUMBER($H430))),"Ash correction is switched on but no ash fraction is given for this row. ","")&amp;IF($I430="","Sieve mesh not recorded — a fine-root figure cannot be interpreted without it. ","")&amp;IF(AND(ISNUMBER($H430),$H430&gt;0.5),"Ash fraction above 0.5 — over half this sample was mineral soil. Re-wash. ","")&amp;IF($F430="Not separated","Live and dead not separated. Fine for a stock, but "&amp;"note it in reporting. ",""))</f>
        <v/>
      </c>
      <c r="P430" s="6"/>
      <c r="Q430" s="9" t="n">
        <f aca="false">IF($B430="",0,IF(COUNTIFS($B$5:$B430,$B430)=1,1,0))</f>
        <v>0</v>
      </c>
    </row>
    <row r="431" customFormat="false" ht="15" hidden="false" customHeight="false" outlineLevel="0" collapsed="false">
      <c r="A431" s="6"/>
      <c r="B431" s="6"/>
      <c r="C431" s="6"/>
      <c r="D431" s="6"/>
      <c r="E431" s="6"/>
      <c r="F431" s="6"/>
      <c r="G431" s="7"/>
      <c r="H431" s="7"/>
      <c r="I431" s="6"/>
      <c r="J431" s="9" t="str">
        <f aca="false">IF(NOT(ISNUMBER($G431)),"",IF(AND(ASH_CORRECTED="Yes",ISNUMBER($H431)),$G431*(1-$H431),$G431))</f>
        <v/>
      </c>
      <c r="K431" s="9" t="str">
        <f aca="false">IF($B431="","",IFERROR(AVERAGEIFS('2. Soil Data'!$G$5:$G$604,'2. Soil Data'!$B$5:$B$604,$B431),""))</f>
        <v/>
      </c>
      <c r="L431" s="9" t="str">
        <f aca="false">IF(NOT(ISNUMBER($K431)),"",PI()*($K431/2)^2)</f>
        <v/>
      </c>
      <c r="M431" s="9" t="str">
        <f aca="false">IF(OR(NOT(ISNUMBER($J431)),NOT(ISNUMBER($L431)),$L431=0),"",$J431/$L431*10000)</f>
        <v/>
      </c>
      <c r="N431" s="9" t="str">
        <f aca="false">IF(NOT(ISNUMBER($M431)),"",$M431*CARBON_FRACTION_ROOT/1000)</f>
        <v/>
      </c>
      <c r="O431" s="11" t="str">
        <f aca="false">IF(AND($A431="",$B431="",$G431=""),"",IF(AND($B431&lt;&gt;"",COUNTIFS('2. Soil Data'!$B$5:$B$604,$B431)=0),"Core ID not found in Soil Data, so the corer diameter cannot be looked up. ","")&amp;IF(ASH_CORRECTED&lt;&gt;"Yes","Root mass is NOT ash-corrected, so it includes adhering mineral soil and is too high. Set ASH_CORRECTED once you have done it. ","")&amp;IF(AND(ASH_CORRECTED="Yes",NOT(ISNUMBER($H431))),"Ash correction is switched on but no ash fraction is given for this row. ","")&amp;IF($I431="","Sieve mesh not recorded — a fine-root figure cannot be interpreted without it. ","")&amp;IF(AND(ISNUMBER($H431),$H431&gt;0.5),"Ash fraction above 0.5 — over half this sample was mineral soil. Re-wash. ","")&amp;IF($F431="Not separated","Live and dead not separated. Fine for a stock, but "&amp;"note it in reporting. ",""))</f>
        <v/>
      </c>
      <c r="P431" s="6"/>
      <c r="Q431" s="9" t="n">
        <f aca="false">IF($B431="",0,IF(COUNTIFS($B$5:$B431,$B431)=1,1,0))</f>
        <v>0</v>
      </c>
    </row>
    <row r="432" customFormat="false" ht="15" hidden="false" customHeight="false" outlineLevel="0" collapsed="false">
      <c r="A432" s="6"/>
      <c r="B432" s="6"/>
      <c r="C432" s="6"/>
      <c r="D432" s="6"/>
      <c r="E432" s="6"/>
      <c r="F432" s="6"/>
      <c r="G432" s="7"/>
      <c r="H432" s="7"/>
      <c r="I432" s="6"/>
      <c r="J432" s="9" t="str">
        <f aca="false">IF(NOT(ISNUMBER($G432)),"",IF(AND(ASH_CORRECTED="Yes",ISNUMBER($H432)),$G432*(1-$H432),$G432))</f>
        <v/>
      </c>
      <c r="K432" s="9" t="str">
        <f aca="false">IF($B432="","",IFERROR(AVERAGEIFS('2. Soil Data'!$G$5:$G$604,'2. Soil Data'!$B$5:$B$604,$B432),""))</f>
        <v/>
      </c>
      <c r="L432" s="9" t="str">
        <f aca="false">IF(NOT(ISNUMBER($K432)),"",PI()*($K432/2)^2)</f>
        <v/>
      </c>
      <c r="M432" s="9" t="str">
        <f aca="false">IF(OR(NOT(ISNUMBER($J432)),NOT(ISNUMBER($L432)),$L432=0),"",$J432/$L432*10000)</f>
        <v/>
      </c>
      <c r="N432" s="9" t="str">
        <f aca="false">IF(NOT(ISNUMBER($M432)),"",$M432*CARBON_FRACTION_ROOT/1000)</f>
        <v/>
      </c>
      <c r="O432" s="11" t="str">
        <f aca="false">IF(AND($A432="",$B432="",$G432=""),"",IF(AND($B432&lt;&gt;"",COUNTIFS('2. Soil Data'!$B$5:$B$604,$B432)=0),"Core ID not found in Soil Data, so the corer diameter cannot be looked up. ","")&amp;IF(ASH_CORRECTED&lt;&gt;"Yes","Root mass is NOT ash-corrected, so it includes adhering mineral soil and is too high. Set ASH_CORRECTED once you have done it. ","")&amp;IF(AND(ASH_CORRECTED="Yes",NOT(ISNUMBER($H432))),"Ash correction is switched on but no ash fraction is given for this row. ","")&amp;IF($I432="","Sieve mesh not recorded — a fine-root figure cannot be interpreted without it. ","")&amp;IF(AND(ISNUMBER($H432),$H432&gt;0.5),"Ash fraction above 0.5 — over half this sample was mineral soil. Re-wash. ","")&amp;IF($F432="Not separated","Live and dead not separated. Fine for a stock, but "&amp;"note it in reporting. ",""))</f>
        <v/>
      </c>
      <c r="P432" s="6"/>
      <c r="Q432" s="9" t="n">
        <f aca="false">IF($B432="",0,IF(COUNTIFS($B$5:$B432,$B432)=1,1,0))</f>
        <v>0</v>
      </c>
    </row>
    <row r="433" customFormat="false" ht="15" hidden="false" customHeight="false" outlineLevel="0" collapsed="false">
      <c r="A433" s="6"/>
      <c r="B433" s="6"/>
      <c r="C433" s="6"/>
      <c r="D433" s="6"/>
      <c r="E433" s="6"/>
      <c r="F433" s="6"/>
      <c r="G433" s="7"/>
      <c r="H433" s="7"/>
      <c r="I433" s="6"/>
      <c r="J433" s="9" t="str">
        <f aca="false">IF(NOT(ISNUMBER($G433)),"",IF(AND(ASH_CORRECTED="Yes",ISNUMBER($H433)),$G433*(1-$H433),$G433))</f>
        <v/>
      </c>
      <c r="K433" s="9" t="str">
        <f aca="false">IF($B433="","",IFERROR(AVERAGEIFS('2. Soil Data'!$G$5:$G$604,'2. Soil Data'!$B$5:$B$604,$B433),""))</f>
        <v/>
      </c>
      <c r="L433" s="9" t="str">
        <f aca="false">IF(NOT(ISNUMBER($K433)),"",PI()*($K433/2)^2)</f>
        <v/>
      </c>
      <c r="M433" s="9" t="str">
        <f aca="false">IF(OR(NOT(ISNUMBER($J433)),NOT(ISNUMBER($L433)),$L433=0),"",$J433/$L433*10000)</f>
        <v/>
      </c>
      <c r="N433" s="9" t="str">
        <f aca="false">IF(NOT(ISNUMBER($M433)),"",$M433*CARBON_FRACTION_ROOT/1000)</f>
        <v/>
      </c>
      <c r="O433" s="11" t="str">
        <f aca="false">IF(AND($A433="",$B433="",$G433=""),"",IF(AND($B433&lt;&gt;"",COUNTIFS('2. Soil Data'!$B$5:$B$604,$B433)=0),"Core ID not found in Soil Data, so the corer diameter cannot be looked up. ","")&amp;IF(ASH_CORRECTED&lt;&gt;"Yes","Root mass is NOT ash-corrected, so it includes adhering mineral soil and is too high. Set ASH_CORRECTED once you have done it. ","")&amp;IF(AND(ASH_CORRECTED="Yes",NOT(ISNUMBER($H433))),"Ash correction is switched on but no ash fraction is given for this row. ","")&amp;IF($I433="","Sieve mesh not recorded — a fine-root figure cannot be interpreted without it. ","")&amp;IF(AND(ISNUMBER($H433),$H433&gt;0.5),"Ash fraction above 0.5 — over half this sample was mineral soil. Re-wash. ","")&amp;IF($F433="Not separated","Live and dead not separated. Fine for a stock, but "&amp;"note it in reporting. ",""))</f>
        <v/>
      </c>
      <c r="P433" s="6"/>
      <c r="Q433" s="9" t="n">
        <f aca="false">IF($B433="",0,IF(COUNTIFS($B$5:$B433,$B433)=1,1,0))</f>
        <v>0</v>
      </c>
    </row>
    <row r="434" customFormat="false" ht="15" hidden="false" customHeight="false" outlineLevel="0" collapsed="false">
      <c r="A434" s="6"/>
      <c r="B434" s="6"/>
      <c r="C434" s="6"/>
      <c r="D434" s="6"/>
      <c r="E434" s="6"/>
      <c r="F434" s="6"/>
      <c r="G434" s="7"/>
      <c r="H434" s="7"/>
      <c r="I434" s="6"/>
      <c r="J434" s="9" t="str">
        <f aca="false">IF(NOT(ISNUMBER($G434)),"",IF(AND(ASH_CORRECTED="Yes",ISNUMBER($H434)),$G434*(1-$H434),$G434))</f>
        <v/>
      </c>
      <c r="K434" s="9" t="str">
        <f aca="false">IF($B434="","",IFERROR(AVERAGEIFS('2. Soil Data'!$G$5:$G$604,'2. Soil Data'!$B$5:$B$604,$B434),""))</f>
        <v/>
      </c>
      <c r="L434" s="9" t="str">
        <f aca="false">IF(NOT(ISNUMBER($K434)),"",PI()*($K434/2)^2)</f>
        <v/>
      </c>
      <c r="M434" s="9" t="str">
        <f aca="false">IF(OR(NOT(ISNUMBER($J434)),NOT(ISNUMBER($L434)),$L434=0),"",$J434/$L434*10000)</f>
        <v/>
      </c>
      <c r="N434" s="9" t="str">
        <f aca="false">IF(NOT(ISNUMBER($M434)),"",$M434*CARBON_FRACTION_ROOT/1000)</f>
        <v/>
      </c>
      <c r="O434" s="11" t="str">
        <f aca="false">IF(AND($A434="",$B434="",$G434=""),"",IF(AND($B434&lt;&gt;"",COUNTIFS('2. Soil Data'!$B$5:$B$604,$B434)=0),"Core ID not found in Soil Data, so the corer diameter cannot be looked up. ","")&amp;IF(ASH_CORRECTED&lt;&gt;"Yes","Root mass is NOT ash-corrected, so it includes adhering mineral soil and is too high. Set ASH_CORRECTED once you have done it. ","")&amp;IF(AND(ASH_CORRECTED="Yes",NOT(ISNUMBER($H434))),"Ash correction is switched on but no ash fraction is given for this row. ","")&amp;IF($I434="","Sieve mesh not recorded — a fine-root figure cannot be interpreted without it. ","")&amp;IF(AND(ISNUMBER($H434),$H434&gt;0.5),"Ash fraction above 0.5 — over half this sample was mineral soil. Re-wash. ","")&amp;IF($F434="Not separated","Live and dead not separated. Fine for a stock, but "&amp;"note it in reporting. ",""))</f>
        <v/>
      </c>
      <c r="P434" s="6"/>
      <c r="Q434" s="9" t="n">
        <f aca="false">IF($B434="",0,IF(COUNTIFS($B$5:$B434,$B434)=1,1,0))</f>
        <v>0</v>
      </c>
    </row>
    <row r="435" customFormat="false" ht="15" hidden="false" customHeight="false" outlineLevel="0" collapsed="false">
      <c r="A435" s="6"/>
      <c r="B435" s="6"/>
      <c r="C435" s="6"/>
      <c r="D435" s="6"/>
      <c r="E435" s="6"/>
      <c r="F435" s="6"/>
      <c r="G435" s="7"/>
      <c r="H435" s="7"/>
      <c r="I435" s="6"/>
      <c r="J435" s="9" t="str">
        <f aca="false">IF(NOT(ISNUMBER($G435)),"",IF(AND(ASH_CORRECTED="Yes",ISNUMBER($H435)),$G435*(1-$H435),$G435))</f>
        <v/>
      </c>
      <c r="K435" s="9" t="str">
        <f aca="false">IF($B435="","",IFERROR(AVERAGEIFS('2. Soil Data'!$G$5:$G$604,'2. Soil Data'!$B$5:$B$604,$B435),""))</f>
        <v/>
      </c>
      <c r="L435" s="9" t="str">
        <f aca="false">IF(NOT(ISNUMBER($K435)),"",PI()*($K435/2)^2)</f>
        <v/>
      </c>
      <c r="M435" s="9" t="str">
        <f aca="false">IF(OR(NOT(ISNUMBER($J435)),NOT(ISNUMBER($L435)),$L435=0),"",$J435/$L435*10000)</f>
        <v/>
      </c>
      <c r="N435" s="9" t="str">
        <f aca="false">IF(NOT(ISNUMBER($M435)),"",$M435*CARBON_FRACTION_ROOT/1000)</f>
        <v/>
      </c>
      <c r="O435" s="11" t="str">
        <f aca="false">IF(AND($A435="",$B435="",$G435=""),"",IF(AND($B435&lt;&gt;"",COUNTIFS('2. Soil Data'!$B$5:$B$604,$B435)=0),"Core ID not found in Soil Data, so the corer diameter cannot be looked up. ","")&amp;IF(ASH_CORRECTED&lt;&gt;"Yes","Root mass is NOT ash-corrected, so it includes adhering mineral soil and is too high. Set ASH_CORRECTED once you have done it. ","")&amp;IF(AND(ASH_CORRECTED="Yes",NOT(ISNUMBER($H435))),"Ash correction is switched on but no ash fraction is given for this row. ","")&amp;IF($I435="","Sieve mesh not recorded — a fine-root figure cannot be interpreted without it. ","")&amp;IF(AND(ISNUMBER($H435),$H435&gt;0.5),"Ash fraction above 0.5 — over half this sample was mineral soil. Re-wash. ","")&amp;IF($F435="Not separated","Live and dead not separated. Fine for a stock, but "&amp;"note it in reporting. ",""))</f>
        <v/>
      </c>
      <c r="P435" s="6"/>
      <c r="Q435" s="9" t="n">
        <f aca="false">IF($B435="",0,IF(COUNTIFS($B$5:$B435,$B435)=1,1,0))</f>
        <v>0</v>
      </c>
    </row>
    <row r="436" customFormat="false" ht="15" hidden="false" customHeight="false" outlineLevel="0" collapsed="false">
      <c r="A436" s="6"/>
      <c r="B436" s="6"/>
      <c r="C436" s="6"/>
      <c r="D436" s="6"/>
      <c r="E436" s="6"/>
      <c r="F436" s="6"/>
      <c r="G436" s="7"/>
      <c r="H436" s="7"/>
      <c r="I436" s="6"/>
      <c r="J436" s="9" t="str">
        <f aca="false">IF(NOT(ISNUMBER($G436)),"",IF(AND(ASH_CORRECTED="Yes",ISNUMBER($H436)),$G436*(1-$H436),$G436))</f>
        <v/>
      </c>
      <c r="K436" s="9" t="str">
        <f aca="false">IF($B436="","",IFERROR(AVERAGEIFS('2. Soil Data'!$G$5:$G$604,'2. Soil Data'!$B$5:$B$604,$B436),""))</f>
        <v/>
      </c>
      <c r="L436" s="9" t="str">
        <f aca="false">IF(NOT(ISNUMBER($K436)),"",PI()*($K436/2)^2)</f>
        <v/>
      </c>
      <c r="M436" s="9" t="str">
        <f aca="false">IF(OR(NOT(ISNUMBER($J436)),NOT(ISNUMBER($L436)),$L436=0),"",$J436/$L436*10000)</f>
        <v/>
      </c>
      <c r="N436" s="9" t="str">
        <f aca="false">IF(NOT(ISNUMBER($M436)),"",$M436*CARBON_FRACTION_ROOT/1000)</f>
        <v/>
      </c>
      <c r="O436" s="11" t="str">
        <f aca="false">IF(AND($A436="",$B436="",$G436=""),"",IF(AND($B436&lt;&gt;"",COUNTIFS('2. Soil Data'!$B$5:$B$604,$B436)=0),"Core ID not found in Soil Data, so the corer diameter cannot be looked up. ","")&amp;IF(ASH_CORRECTED&lt;&gt;"Yes","Root mass is NOT ash-corrected, so it includes adhering mineral soil and is too high. Set ASH_CORRECTED once you have done it. ","")&amp;IF(AND(ASH_CORRECTED="Yes",NOT(ISNUMBER($H436))),"Ash correction is switched on but no ash fraction is given for this row. ","")&amp;IF($I436="","Sieve mesh not recorded — a fine-root figure cannot be interpreted without it. ","")&amp;IF(AND(ISNUMBER($H436),$H436&gt;0.5),"Ash fraction above 0.5 — over half this sample was mineral soil. Re-wash. ","")&amp;IF($F436="Not separated","Live and dead not separated. Fine for a stock, but "&amp;"note it in reporting. ",""))</f>
        <v/>
      </c>
      <c r="P436" s="6"/>
      <c r="Q436" s="9" t="n">
        <f aca="false">IF($B436="",0,IF(COUNTIFS($B$5:$B436,$B436)=1,1,0))</f>
        <v>0</v>
      </c>
    </row>
    <row r="437" customFormat="false" ht="15" hidden="false" customHeight="false" outlineLevel="0" collapsed="false">
      <c r="A437" s="6"/>
      <c r="B437" s="6"/>
      <c r="C437" s="6"/>
      <c r="D437" s="6"/>
      <c r="E437" s="6"/>
      <c r="F437" s="6"/>
      <c r="G437" s="7"/>
      <c r="H437" s="7"/>
      <c r="I437" s="6"/>
      <c r="J437" s="9" t="str">
        <f aca="false">IF(NOT(ISNUMBER($G437)),"",IF(AND(ASH_CORRECTED="Yes",ISNUMBER($H437)),$G437*(1-$H437),$G437))</f>
        <v/>
      </c>
      <c r="K437" s="9" t="str">
        <f aca="false">IF($B437="","",IFERROR(AVERAGEIFS('2. Soil Data'!$G$5:$G$604,'2. Soil Data'!$B$5:$B$604,$B437),""))</f>
        <v/>
      </c>
      <c r="L437" s="9" t="str">
        <f aca="false">IF(NOT(ISNUMBER($K437)),"",PI()*($K437/2)^2)</f>
        <v/>
      </c>
      <c r="M437" s="9" t="str">
        <f aca="false">IF(OR(NOT(ISNUMBER($J437)),NOT(ISNUMBER($L437)),$L437=0),"",$J437/$L437*10000)</f>
        <v/>
      </c>
      <c r="N437" s="9" t="str">
        <f aca="false">IF(NOT(ISNUMBER($M437)),"",$M437*CARBON_FRACTION_ROOT/1000)</f>
        <v/>
      </c>
      <c r="O437" s="11" t="str">
        <f aca="false">IF(AND($A437="",$B437="",$G437=""),"",IF(AND($B437&lt;&gt;"",COUNTIFS('2. Soil Data'!$B$5:$B$604,$B437)=0),"Core ID not found in Soil Data, so the corer diameter cannot be looked up. ","")&amp;IF(ASH_CORRECTED&lt;&gt;"Yes","Root mass is NOT ash-corrected, so it includes adhering mineral soil and is too high. Set ASH_CORRECTED once you have done it. ","")&amp;IF(AND(ASH_CORRECTED="Yes",NOT(ISNUMBER($H437))),"Ash correction is switched on but no ash fraction is given for this row. ","")&amp;IF($I437="","Sieve mesh not recorded — a fine-root figure cannot be interpreted without it. ","")&amp;IF(AND(ISNUMBER($H437),$H437&gt;0.5),"Ash fraction above 0.5 — over half this sample was mineral soil. Re-wash. ","")&amp;IF($F437="Not separated","Live and dead not separated. Fine for a stock, but "&amp;"note it in reporting. ",""))</f>
        <v/>
      </c>
      <c r="P437" s="6"/>
      <c r="Q437" s="9" t="n">
        <f aca="false">IF($B437="",0,IF(COUNTIFS($B$5:$B437,$B437)=1,1,0))</f>
        <v>0</v>
      </c>
    </row>
    <row r="438" customFormat="false" ht="15" hidden="false" customHeight="false" outlineLevel="0" collapsed="false">
      <c r="A438" s="6"/>
      <c r="B438" s="6"/>
      <c r="C438" s="6"/>
      <c r="D438" s="6"/>
      <c r="E438" s="6"/>
      <c r="F438" s="6"/>
      <c r="G438" s="7"/>
      <c r="H438" s="7"/>
      <c r="I438" s="6"/>
      <c r="J438" s="9" t="str">
        <f aca="false">IF(NOT(ISNUMBER($G438)),"",IF(AND(ASH_CORRECTED="Yes",ISNUMBER($H438)),$G438*(1-$H438),$G438))</f>
        <v/>
      </c>
      <c r="K438" s="9" t="str">
        <f aca="false">IF($B438="","",IFERROR(AVERAGEIFS('2. Soil Data'!$G$5:$G$604,'2. Soil Data'!$B$5:$B$604,$B438),""))</f>
        <v/>
      </c>
      <c r="L438" s="9" t="str">
        <f aca="false">IF(NOT(ISNUMBER($K438)),"",PI()*($K438/2)^2)</f>
        <v/>
      </c>
      <c r="M438" s="9" t="str">
        <f aca="false">IF(OR(NOT(ISNUMBER($J438)),NOT(ISNUMBER($L438)),$L438=0),"",$J438/$L438*10000)</f>
        <v/>
      </c>
      <c r="N438" s="9" t="str">
        <f aca="false">IF(NOT(ISNUMBER($M438)),"",$M438*CARBON_FRACTION_ROOT/1000)</f>
        <v/>
      </c>
      <c r="O438" s="11" t="str">
        <f aca="false">IF(AND($A438="",$B438="",$G438=""),"",IF(AND($B438&lt;&gt;"",COUNTIFS('2. Soil Data'!$B$5:$B$604,$B438)=0),"Core ID not found in Soil Data, so the corer diameter cannot be looked up. ","")&amp;IF(ASH_CORRECTED&lt;&gt;"Yes","Root mass is NOT ash-corrected, so it includes adhering mineral soil and is too high. Set ASH_CORRECTED once you have done it. ","")&amp;IF(AND(ASH_CORRECTED="Yes",NOT(ISNUMBER($H438))),"Ash correction is switched on but no ash fraction is given for this row. ","")&amp;IF($I438="","Sieve mesh not recorded — a fine-root figure cannot be interpreted without it. ","")&amp;IF(AND(ISNUMBER($H438),$H438&gt;0.5),"Ash fraction above 0.5 — over half this sample was mineral soil. Re-wash. ","")&amp;IF($F438="Not separated","Live and dead not separated. Fine for a stock, but "&amp;"note it in reporting. ",""))</f>
        <v/>
      </c>
      <c r="P438" s="6"/>
      <c r="Q438" s="9" t="n">
        <f aca="false">IF($B438="",0,IF(COUNTIFS($B$5:$B438,$B438)=1,1,0))</f>
        <v>0</v>
      </c>
    </row>
    <row r="439" customFormat="false" ht="15" hidden="false" customHeight="false" outlineLevel="0" collapsed="false">
      <c r="A439" s="6"/>
      <c r="B439" s="6"/>
      <c r="C439" s="6"/>
      <c r="D439" s="6"/>
      <c r="E439" s="6"/>
      <c r="F439" s="6"/>
      <c r="G439" s="7"/>
      <c r="H439" s="7"/>
      <c r="I439" s="6"/>
      <c r="J439" s="9" t="str">
        <f aca="false">IF(NOT(ISNUMBER($G439)),"",IF(AND(ASH_CORRECTED="Yes",ISNUMBER($H439)),$G439*(1-$H439),$G439))</f>
        <v/>
      </c>
      <c r="K439" s="9" t="str">
        <f aca="false">IF($B439="","",IFERROR(AVERAGEIFS('2. Soil Data'!$G$5:$G$604,'2. Soil Data'!$B$5:$B$604,$B439),""))</f>
        <v/>
      </c>
      <c r="L439" s="9" t="str">
        <f aca="false">IF(NOT(ISNUMBER($K439)),"",PI()*($K439/2)^2)</f>
        <v/>
      </c>
      <c r="M439" s="9" t="str">
        <f aca="false">IF(OR(NOT(ISNUMBER($J439)),NOT(ISNUMBER($L439)),$L439=0),"",$J439/$L439*10000)</f>
        <v/>
      </c>
      <c r="N439" s="9" t="str">
        <f aca="false">IF(NOT(ISNUMBER($M439)),"",$M439*CARBON_FRACTION_ROOT/1000)</f>
        <v/>
      </c>
      <c r="O439" s="11" t="str">
        <f aca="false">IF(AND($A439="",$B439="",$G439=""),"",IF(AND($B439&lt;&gt;"",COUNTIFS('2. Soil Data'!$B$5:$B$604,$B439)=0),"Core ID not found in Soil Data, so the corer diameter cannot be looked up. ","")&amp;IF(ASH_CORRECTED&lt;&gt;"Yes","Root mass is NOT ash-corrected, so it includes adhering mineral soil and is too high. Set ASH_CORRECTED once you have done it. ","")&amp;IF(AND(ASH_CORRECTED="Yes",NOT(ISNUMBER($H439))),"Ash correction is switched on but no ash fraction is given for this row. ","")&amp;IF($I439="","Sieve mesh not recorded — a fine-root figure cannot be interpreted without it. ","")&amp;IF(AND(ISNUMBER($H439),$H439&gt;0.5),"Ash fraction above 0.5 — over half this sample was mineral soil. Re-wash. ","")&amp;IF($F439="Not separated","Live and dead not separated. Fine for a stock, but "&amp;"note it in reporting. ",""))</f>
        <v/>
      </c>
      <c r="P439" s="6"/>
      <c r="Q439" s="9" t="n">
        <f aca="false">IF($B439="",0,IF(COUNTIFS($B$5:$B439,$B439)=1,1,0))</f>
        <v>0</v>
      </c>
    </row>
    <row r="440" customFormat="false" ht="15" hidden="false" customHeight="false" outlineLevel="0" collapsed="false">
      <c r="A440" s="6"/>
      <c r="B440" s="6"/>
      <c r="C440" s="6"/>
      <c r="D440" s="6"/>
      <c r="E440" s="6"/>
      <c r="F440" s="6"/>
      <c r="G440" s="7"/>
      <c r="H440" s="7"/>
      <c r="I440" s="6"/>
      <c r="J440" s="9" t="str">
        <f aca="false">IF(NOT(ISNUMBER($G440)),"",IF(AND(ASH_CORRECTED="Yes",ISNUMBER($H440)),$G440*(1-$H440),$G440))</f>
        <v/>
      </c>
      <c r="K440" s="9" t="str">
        <f aca="false">IF($B440="","",IFERROR(AVERAGEIFS('2. Soil Data'!$G$5:$G$604,'2. Soil Data'!$B$5:$B$604,$B440),""))</f>
        <v/>
      </c>
      <c r="L440" s="9" t="str">
        <f aca="false">IF(NOT(ISNUMBER($K440)),"",PI()*($K440/2)^2)</f>
        <v/>
      </c>
      <c r="M440" s="9" t="str">
        <f aca="false">IF(OR(NOT(ISNUMBER($J440)),NOT(ISNUMBER($L440)),$L440=0),"",$J440/$L440*10000)</f>
        <v/>
      </c>
      <c r="N440" s="9" t="str">
        <f aca="false">IF(NOT(ISNUMBER($M440)),"",$M440*CARBON_FRACTION_ROOT/1000)</f>
        <v/>
      </c>
      <c r="O440" s="11" t="str">
        <f aca="false">IF(AND($A440="",$B440="",$G440=""),"",IF(AND($B440&lt;&gt;"",COUNTIFS('2. Soil Data'!$B$5:$B$604,$B440)=0),"Core ID not found in Soil Data, so the corer diameter cannot be looked up. ","")&amp;IF(ASH_CORRECTED&lt;&gt;"Yes","Root mass is NOT ash-corrected, so it includes adhering mineral soil and is too high. Set ASH_CORRECTED once you have done it. ","")&amp;IF(AND(ASH_CORRECTED="Yes",NOT(ISNUMBER($H440))),"Ash correction is switched on but no ash fraction is given for this row. ","")&amp;IF($I440="","Sieve mesh not recorded — a fine-root figure cannot be interpreted without it. ","")&amp;IF(AND(ISNUMBER($H440),$H440&gt;0.5),"Ash fraction above 0.5 — over half this sample was mineral soil. Re-wash. ","")&amp;IF($F440="Not separated","Live and dead not separated. Fine for a stock, but "&amp;"note it in reporting. ",""))</f>
        <v/>
      </c>
      <c r="P440" s="6"/>
      <c r="Q440" s="9" t="n">
        <f aca="false">IF($B440="",0,IF(COUNTIFS($B$5:$B440,$B440)=1,1,0))</f>
        <v>0</v>
      </c>
    </row>
    <row r="441" customFormat="false" ht="15" hidden="false" customHeight="false" outlineLevel="0" collapsed="false">
      <c r="A441" s="6"/>
      <c r="B441" s="6"/>
      <c r="C441" s="6"/>
      <c r="D441" s="6"/>
      <c r="E441" s="6"/>
      <c r="F441" s="6"/>
      <c r="G441" s="7"/>
      <c r="H441" s="7"/>
      <c r="I441" s="6"/>
      <c r="J441" s="9" t="str">
        <f aca="false">IF(NOT(ISNUMBER($G441)),"",IF(AND(ASH_CORRECTED="Yes",ISNUMBER($H441)),$G441*(1-$H441),$G441))</f>
        <v/>
      </c>
      <c r="K441" s="9" t="str">
        <f aca="false">IF($B441="","",IFERROR(AVERAGEIFS('2. Soil Data'!$G$5:$G$604,'2. Soil Data'!$B$5:$B$604,$B441),""))</f>
        <v/>
      </c>
      <c r="L441" s="9" t="str">
        <f aca="false">IF(NOT(ISNUMBER($K441)),"",PI()*($K441/2)^2)</f>
        <v/>
      </c>
      <c r="M441" s="9" t="str">
        <f aca="false">IF(OR(NOT(ISNUMBER($J441)),NOT(ISNUMBER($L441)),$L441=0),"",$J441/$L441*10000)</f>
        <v/>
      </c>
      <c r="N441" s="9" t="str">
        <f aca="false">IF(NOT(ISNUMBER($M441)),"",$M441*CARBON_FRACTION_ROOT/1000)</f>
        <v/>
      </c>
      <c r="O441" s="11" t="str">
        <f aca="false">IF(AND($A441="",$B441="",$G441=""),"",IF(AND($B441&lt;&gt;"",COUNTIFS('2. Soil Data'!$B$5:$B$604,$B441)=0),"Core ID not found in Soil Data, so the corer diameter cannot be looked up. ","")&amp;IF(ASH_CORRECTED&lt;&gt;"Yes","Root mass is NOT ash-corrected, so it includes adhering mineral soil and is too high. Set ASH_CORRECTED once you have done it. ","")&amp;IF(AND(ASH_CORRECTED="Yes",NOT(ISNUMBER($H441))),"Ash correction is switched on but no ash fraction is given for this row. ","")&amp;IF($I441="","Sieve mesh not recorded — a fine-root figure cannot be interpreted without it. ","")&amp;IF(AND(ISNUMBER($H441),$H441&gt;0.5),"Ash fraction above 0.5 — over half this sample was mineral soil. Re-wash. ","")&amp;IF($F441="Not separated","Live and dead not separated. Fine for a stock, but "&amp;"note it in reporting. ",""))</f>
        <v/>
      </c>
      <c r="P441" s="6"/>
      <c r="Q441" s="9" t="n">
        <f aca="false">IF($B441="",0,IF(COUNTIFS($B$5:$B441,$B441)=1,1,0))</f>
        <v>0</v>
      </c>
    </row>
    <row r="442" customFormat="false" ht="15" hidden="false" customHeight="false" outlineLevel="0" collapsed="false">
      <c r="A442" s="6"/>
      <c r="B442" s="6"/>
      <c r="C442" s="6"/>
      <c r="D442" s="6"/>
      <c r="E442" s="6"/>
      <c r="F442" s="6"/>
      <c r="G442" s="7"/>
      <c r="H442" s="7"/>
      <c r="I442" s="6"/>
      <c r="J442" s="9" t="str">
        <f aca="false">IF(NOT(ISNUMBER($G442)),"",IF(AND(ASH_CORRECTED="Yes",ISNUMBER($H442)),$G442*(1-$H442),$G442))</f>
        <v/>
      </c>
      <c r="K442" s="9" t="str">
        <f aca="false">IF($B442="","",IFERROR(AVERAGEIFS('2. Soil Data'!$G$5:$G$604,'2. Soil Data'!$B$5:$B$604,$B442),""))</f>
        <v/>
      </c>
      <c r="L442" s="9" t="str">
        <f aca="false">IF(NOT(ISNUMBER($K442)),"",PI()*($K442/2)^2)</f>
        <v/>
      </c>
      <c r="M442" s="9" t="str">
        <f aca="false">IF(OR(NOT(ISNUMBER($J442)),NOT(ISNUMBER($L442)),$L442=0),"",$J442/$L442*10000)</f>
        <v/>
      </c>
      <c r="N442" s="9" t="str">
        <f aca="false">IF(NOT(ISNUMBER($M442)),"",$M442*CARBON_FRACTION_ROOT/1000)</f>
        <v/>
      </c>
      <c r="O442" s="11" t="str">
        <f aca="false">IF(AND($A442="",$B442="",$G442=""),"",IF(AND($B442&lt;&gt;"",COUNTIFS('2. Soil Data'!$B$5:$B$604,$B442)=0),"Core ID not found in Soil Data, so the corer diameter cannot be looked up. ","")&amp;IF(ASH_CORRECTED&lt;&gt;"Yes","Root mass is NOT ash-corrected, so it includes adhering mineral soil and is too high. Set ASH_CORRECTED once you have done it. ","")&amp;IF(AND(ASH_CORRECTED="Yes",NOT(ISNUMBER($H442))),"Ash correction is switched on but no ash fraction is given for this row. ","")&amp;IF($I442="","Sieve mesh not recorded — a fine-root figure cannot be interpreted without it. ","")&amp;IF(AND(ISNUMBER($H442),$H442&gt;0.5),"Ash fraction above 0.5 — over half this sample was mineral soil. Re-wash. ","")&amp;IF($F442="Not separated","Live and dead not separated. Fine for a stock, but "&amp;"note it in reporting. ",""))</f>
        <v/>
      </c>
      <c r="P442" s="6"/>
      <c r="Q442" s="9" t="n">
        <f aca="false">IF($B442="",0,IF(COUNTIFS($B$5:$B442,$B442)=1,1,0))</f>
        <v>0</v>
      </c>
    </row>
    <row r="443" customFormat="false" ht="15" hidden="false" customHeight="false" outlineLevel="0" collapsed="false">
      <c r="A443" s="6"/>
      <c r="B443" s="6"/>
      <c r="C443" s="6"/>
      <c r="D443" s="6"/>
      <c r="E443" s="6"/>
      <c r="F443" s="6"/>
      <c r="G443" s="7"/>
      <c r="H443" s="7"/>
      <c r="I443" s="6"/>
      <c r="J443" s="9" t="str">
        <f aca="false">IF(NOT(ISNUMBER($G443)),"",IF(AND(ASH_CORRECTED="Yes",ISNUMBER($H443)),$G443*(1-$H443),$G443))</f>
        <v/>
      </c>
      <c r="K443" s="9" t="str">
        <f aca="false">IF($B443="","",IFERROR(AVERAGEIFS('2. Soil Data'!$G$5:$G$604,'2. Soil Data'!$B$5:$B$604,$B443),""))</f>
        <v/>
      </c>
      <c r="L443" s="9" t="str">
        <f aca="false">IF(NOT(ISNUMBER($K443)),"",PI()*($K443/2)^2)</f>
        <v/>
      </c>
      <c r="M443" s="9" t="str">
        <f aca="false">IF(OR(NOT(ISNUMBER($J443)),NOT(ISNUMBER($L443)),$L443=0),"",$J443/$L443*10000)</f>
        <v/>
      </c>
      <c r="N443" s="9" t="str">
        <f aca="false">IF(NOT(ISNUMBER($M443)),"",$M443*CARBON_FRACTION_ROOT/1000)</f>
        <v/>
      </c>
      <c r="O443" s="11" t="str">
        <f aca="false">IF(AND($A443="",$B443="",$G443=""),"",IF(AND($B443&lt;&gt;"",COUNTIFS('2. Soil Data'!$B$5:$B$604,$B443)=0),"Core ID not found in Soil Data, so the corer diameter cannot be looked up. ","")&amp;IF(ASH_CORRECTED&lt;&gt;"Yes","Root mass is NOT ash-corrected, so it includes adhering mineral soil and is too high. Set ASH_CORRECTED once you have done it. ","")&amp;IF(AND(ASH_CORRECTED="Yes",NOT(ISNUMBER($H443))),"Ash correction is switched on but no ash fraction is given for this row. ","")&amp;IF($I443="","Sieve mesh not recorded — a fine-root figure cannot be interpreted without it. ","")&amp;IF(AND(ISNUMBER($H443),$H443&gt;0.5),"Ash fraction above 0.5 — over half this sample was mineral soil. Re-wash. ","")&amp;IF($F443="Not separated","Live and dead not separated. Fine for a stock, but "&amp;"note it in reporting. ",""))</f>
        <v/>
      </c>
      <c r="P443" s="6"/>
      <c r="Q443" s="9" t="n">
        <f aca="false">IF($B443="",0,IF(COUNTIFS($B$5:$B443,$B443)=1,1,0))</f>
        <v>0</v>
      </c>
    </row>
    <row r="444" customFormat="false" ht="15" hidden="false" customHeight="false" outlineLevel="0" collapsed="false">
      <c r="A444" s="6"/>
      <c r="B444" s="6"/>
      <c r="C444" s="6"/>
      <c r="D444" s="6"/>
      <c r="E444" s="6"/>
      <c r="F444" s="6"/>
      <c r="G444" s="7"/>
      <c r="H444" s="7"/>
      <c r="I444" s="6"/>
      <c r="J444" s="9" t="str">
        <f aca="false">IF(NOT(ISNUMBER($G444)),"",IF(AND(ASH_CORRECTED="Yes",ISNUMBER($H444)),$G444*(1-$H444),$G444))</f>
        <v/>
      </c>
      <c r="K444" s="9" t="str">
        <f aca="false">IF($B444="","",IFERROR(AVERAGEIFS('2. Soil Data'!$G$5:$G$604,'2. Soil Data'!$B$5:$B$604,$B444),""))</f>
        <v/>
      </c>
      <c r="L444" s="9" t="str">
        <f aca="false">IF(NOT(ISNUMBER($K444)),"",PI()*($K444/2)^2)</f>
        <v/>
      </c>
      <c r="M444" s="9" t="str">
        <f aca="false">IF(OR(NOT(ISNUMBER($J444)),NOT(ISNUMBER($L444)),$L444=0),"",$J444/$L444*10000)</f>
        <v/>
      </c>
      <c r="N444" s="9" t="str">
        <f aca="false">IF(NOT(ISNUMBER($M444)),"",$M444*CARBON_FRACTION_ROOT/1000)</f>
        <v/>
      </c>
      <c r="O444" s="11" t="str">
        <f aca="false">IF(AND($A444="",$B444="",$G444=""),"",IF(AND($B444&lt;&gt;"",COUNTIFS('2. Soil Data'!$B$5:$B$604,$B444)=0),"Core ID not found in Soil Data, so the corer diameter cannot be looked up. ","")&amp;IF(ASH_CORRECTED&lt;&gt;"Yes","Root mass is NOT ash-corrected, so it includes adhering mineral soil and is too high. Set ASH_CORRECTED once you have done it. ","")&amp;IF(AND(ASH_CORRECTED="Yes",NOT(ISNUMBER($H444))),"Ash correction is switched on but no ash fraction is given for this row. ","")&amp;IF($I444="","Sieve mesh not recorded — a fine-root figure cannot be interpreted without it. ","")&amp;IF(AND(ISNUMBER($H444),$H444&gt;0.5),"Ash fraction above 0.5 — over half this sample was mineral soil. Re-wash. ","")&amp;IF($F444="Not separated","Live and dead not separated. Fine for a stock, but "&amp;"note it in reporting. ",""))</f>
        <v/>
      </c>
      <c r="P444" s="6"/>
      <c r="Q444" s="9" t="n">
        <f aca="false">IF($B444="",0,IF(COUNTIFS($B$5:$B444,$B444)=1,1,0))</f>
        <v>0</v>
      </c>
    </row>
    <row r="445" customFormat="false" ht="15" hidden="false" customHeight="false" outlineLevel="0" collapsed="false">
      <c r="A445" s="6"/>
      <c r="B445" s="6"/>
      <c r="C445" s="6"/>
      <c r="D445" s="6"/>
      <c r="E445" s="6"/>
      <c r="F445" s="6"/>
      <c r="G445" s="7"/>
      <c r="H445" s="7"/>
      <c r="I445" s="6"/>
      <c r="J445" s="9" t="str">
        <f aca="false">IF(NOT(ISNUMBER($G445)),"",IF(AND(ASH_CORRECTED="Yes",ISNUMBER($H445)),$G445*(1-$H445),$G445))</f>
        <v/>
      </c>
      <c r="K445" s="9" t="str">
        <f aca="false">IF($B445="","",IFERROR(AVERAGEIFS('2. Soil Data'!$G$5:$G$604,'2. Soil Data'!$B$5:$B$604,$B445),""))</f>
        <v/>
      </c>
      <c r="L445" s="9" t="str">
        <f aca="false">IF(NOT(ISNUMBER($K445)),"",PI()*($K445/2)^2)</f>
        <v/>
      </c>
      <c r="M445" s="9" t="str">
        <f aca="false">IF(OR(NOT(ISNUMBER($J445)),NOT(ISNUMBER($L445)),$L445=0),"",$J445/$L445*10000)</f>
        <v/>
      </c>
      <c r="N445" s="9" t="str">
        <f aca="false">IF(NOT(ISNUMBER($M445)),"",$M445*CARBON_FRACTION_ROOT/1000)</f>
        <v/>
      </c>
      <c r="O445" s="11" t="str">
        <f aca="false">IF(AND($A445="",$B445="",$G445=""),"",IF(AND($B445&lt;&gt;"",COUNTIFS('2. Soil Data'!$B$5:$B$604,$B445)=0),"Core ID not found in Soil Data, so the corer diameter cannot be looked up. ","")&amp;IF(ASH_CORRECTED&lt;&gt;"Yes","Root mass is NOT ash-corrected, so it includes adhering mineral soil and is too high. Set ASH_CORRECTED once you have done it. ","")&amp;IF(AND(ASH_CORRECTED="Yes",NOT(ISNUMBER($H445))),"Ash correction is switched on but no ash fraction is given for this row. ","")&amp;IF($I445="","Sieve mesh not recorded — a fine-root figure cannot be interpreted without it. ","")&amp;IF(AND(ISNUMBER($H445),$H445&gt;0.5),"Ash fraction above 0.5 — over half this sample was mineral soil. Re-wash. ","")&amp;IF($F445="Not separated","Live and dead not separated. Fine for a stock, but "&amp;"note it in reporting. ",""))</f>
        <v/>
      </c>
      <c r="P445" s="6"/>
      <c r="Q445" s="9" t="n">
        <f aca="false">IF($B445="",0,IF(COUNTIFS($B$5:$B445,$B445)=1,1,0))</f>
        <v>0</v>
      </c>
    </row>
    <row r="446" customFormat="false" ht="15" hidden="false" customHeight="false" outlineLevel="0" collapsed="false">
      <c r="A446" s="6"/>
      <c r="B446" s="6"/>
      <c r="C446" s="6"/>
      <c r="D446" s="6"/>
      <c r="E446" s="6"/>
      <c r="F446" s="6"/>
      <c r="G446" s="7"/>
      <c r="H446" s="7"/>
      <c r="I446" s="6"/>
      <c r="J446" s="9" t="str">
        <f aca="false">IF(NOT(ISNUMBER($G446)),"",IF(AND(ASH_CORRECTED="Yes",ISNUMBER($H446)),$G446*(1-$H446),$G446))</f>
        <v/>
      </c>
      <c r="K446" s="9" t="str">
        <f aca="false">IF($B446="","",IFERROR(AVERAGEIFS('2. Soil Data'!$G$5:$G$604,'2. Soil Data'!$B$5:$B$604,$B446),""))</f>
        <v/>
      </c>
      <c r="L446" s="9" t="str">
        <f aca="false">IF(NOT(ISNUMBER($K446)),"",PI()*($K446/2)^2)</f>
        <v/>
      </c>
      <c r="M446" s="9" t="str">
        <f aca="false">IF(OR(NOT(ISNUMBER($J446)),NOT(ISNUMBER($L446)),$L446=0),"",$J446/$L446*10000)</f>
        <v/>
      </c>
      <c r="N446" s="9" t="str">
        <f aca="false">IF(NOT(ISNUMBER($M446)),"",$M446*CARBON_FRACTION_ROOT/1000)</f>
        <v/>
      </c>
      <c r="O446" s="11" t="str">
        <f aca="false">IF(AND($A446="",$B446="",$G446=""),"",IF(AND($B446&lt;&gt;"",COUNTIFS('2. Soil Data'!$B$5:$B$604,$B446)=0),"Core ID not found in Soil Data, so the corer diameter cannot be looked up. ","")&amp;IF(ASH_CORRECTED&lt;&gt;"Yes","Root mass is NOT ash-corrected, so it includes adhering mineral soil and is too high. Set ASH_CORRECTED once you have done it. ","")&amp;IF(AND(ASH_CORRECTED="Yes",NOT(ISNUMBER($H446))),"Ash correction is switched on but no ash fraction is given for this row. ","")&amp;IF($I446="","Sieve mesh not recorded — a fine-root figure cannot be interpreted without it. ","")&amp;IF(AND(ISNUMBER($H446),$H446&gt;0.5),"Ash fraction above 0.5 — over half this sample was mineral soil. Re-wash. ","")&amp;IF($F446="Not separated","Live and dead not separated. Fine for a stock, but "&amp;"note it in reporting. ",""))</f>
        <v/>
      </c>
      <c r="P446" s="6"/>
      <c r="Q446" s="9" t="n">
        <f aca="false">IF($B446="",0,IF(COUNTIFS($B$5:$B446,$B446)=1,1,0))</f>
        <v>0</v>
      </c>
    </row>
    <row r="447" customFormat="false" ht="15" hidden="false" customHeight="false" outlineLevel="0" collapsed="false">
      <c r="A447" s="6"/>
      <c r="B447" s="6"/>
      <c r="C447" s="6"/>
      <c r="D447" s="6"/>
      <c r="E447" s="6"/>
      <c r="F447" s="6"/>
      <c r="G447" s="7"/>
      <c r="H447" s="7"/>
      <c r="I447" s="6"/>
      <c r="J447" s="9" t="str">
        <f aca="false">IF(NOT(ISNUMBER($G447)),"",IF(AND(ASH_CORRECTED="Yes",ISNUMBER($H447)),$G447*(1-$H447),$G447))</f>
        <v/>
      </c>
      <c r="K447" s="9" t="str">
        <f aca="false">IF($B447="","",IFERROR(AVERAGEIFS('2. Soil Data'!$G$5:$G$604,'2. Soil Data'!$B$5:$B$604,$B447),""))</f>
        <v/>
      </c>
      <c r="L447" s="9" t="str">
        <f aca="false">IF(NOT(ISNUMBER($K447)),"",PI()*($K447/2)^2)</f>
        <v/>
      </c>
      <c r="M447" s="9" t="str">
        <f aca="false">IF(OR(NOT(ISNUMBER($J447)),NOT(ISNUMBER($L447)),$L447=0),"",$J447/$L447*10000)</f>
        <v/>
      </c>
      <c r="N447" s="9" t="str">
        <f aca="false">IF(NOT(ISNUMBER($M447)),"",$M447*CARBON_FRACTION_ROOT/1000)</f>
        <v/>
      </c>
      <c r="O447" s="11" t="str">
        <f aca="false">IF(AND($A447="",$B447="",$G447=""),"",IF(AND($B447&lt;&gt;"",COUNTIFS('2. Soil Data'!$B$5:$B$604,$B447)=0),"Core ID not found in Soil Data, so the corer diameter cannot be looked up. ","")&amp;IF(ASH_CORRECTED&lt;&gt;"Yes","Root mass is NOT ash-corrected, so it includes adhering mineral soil and is too high. Set ASH_CORRECTED once you have done it. ","")&amp;IF(AND(ASH_CORRECTED="Yes",NOT(ISNUMBER($H447))),"Ash correction is switched on but no ash fraction is given for this row. ","")&amp;IF($I447="","Sieve mesh not recorded — a fine-root figure cannot be interpreted without it. ","")&amp;IF(AND(ISNUMBER($H447),$H447&gt;0.5),"Ash fraction above 0.5 — over half this sample was mineral soil. Re-wash. ","")&amp;IF($F447="Not separated","Live and dead not separated. Fine for a stock, but "&amp;"note it in reporting. ",""))</f>
        <v/>
      </c>
      <c r="P447" s="6"/>
      <c r="Q447" s="9" t="n">
        <f aca="false">IF($B447="",0,IF(COUNTIFS($B$5:$B447,$B447)=1,1,0))</f>
        <v>0</v>
      </c>
    </row>
    <row r="448" customFormat="false" ht="15" hidden="false" customHeight="false" outlineLevel="0" collapsed="false">
      <c r="A448" s="6"/>
      <c r="B448" s="6"/>
      <c r="C448" s="6"/>
      <c r="D448" s="6"/>
      <c r="E448" s="6"/>
      <c r="F448" s="6"/>
      <c r="G448" s="7"/>
      <c r="H448" s="7"/>
      <c r="I448" s="6"/>
      <c r="J448" s="9" t="str">
        <f aca="false">IF(NOT(ISNUMBER($G448)),"",IF(AND(ASH_CORRECTED="Yes",ISNUMBER($H448)),$G448*(1-$H448),$G448))</f>
        <v/>
      </c>
      <c r="K448" s="9" t="str">
        <f aca="false">IF($B448="","",IFERROR(AVERAGEIFS('2. Soil Data'!$G$5:$G$604,'2. Soil Data'!$B$5:$B$604,$B448),""))</f>
        <v/>
      </c>
      <c r="L448" s="9" t="str">
        <f aca="false">IF(NOT(ISNUMBER($K448)),"",PI()*($K448/2)^2)</f>
        <v/>
      </c>
      <c r="M448" s="9" t="str">
        <f aca="false">IF(OR(NOT(ISNUMBER($J448)),NOT(ISNUMBER($L448)),$L448=0),"",$J448/$L448*10000)</f>
        <v/>
      </c>
      <c r="N448" s="9" t="str">
        <f aca="false">IF(NOT(ISNUMBER($M448)),"",$M448*CARBON_FRACTION_ROOT/1000)</f>
        <v/>
      </c>
      <c r="O448" s="11" t="str">
        <f aca="false">IF(AND($A448="",$B448="",$G448=""),"",IF(AND($B448&lt;&gt;"",COUNTIFS('2. Soil Data'!$B$5:$B$604,$B448)=0),"Core ID not found in Soil Data, so the corer diameter cannot be looked up. ","")&amp;IF(ASH_CORRECTED&lt;&gt;"Yes","Root mass is NOT ash-corrected, so it includes adhering mineral soil and is too high. Set ASH_CORRECTED once you have done it. ","")&amp;IF(AND(ASH_CORRECTED="Yes",NOT(ISNUMBER($H448))),"Ash correction is switched on but no ash fraction is given for this row. ","")&amp;IF($I448="","Sieve mesh not recorded — a fine-root figure cannot be interpreted without it. ","")&amp;IF(AND(ISNUMBER($H448),$H448&gt;0.5),"Ash fraction above 0.5 — over half this sample was mineral soil. Re-wash. ","")&amp;IF($F448="Not separated","Live and dead not separated. Fine for a stock, but "&amp;"note it in reporting. ",""))</f>
        <v/>
      </c>
      <c r="P448" s="6"/>
      <c r="Q448" s="9" t="n">
        <f aca="false">IF($B448="",0,IF(COUNTIFS($B$5:$B448,$B448)=1,1,0))</f>
        <v>0</v>
      </c>
    </row>
    <row r="449" customFormat="false" ht="15" hidden="false" customHeight="false" outlineLevel="0" collapsed="false">
      <c r="A449" s="6"/>
      <c r="B449" s="6"/>
      <c r="C449" s="6"/>
      <c r="D449" s="6"/>
      <c r="E449" s="6"/>
      <c r="F449" s="6"/>
      <c r="G449" s="7"/>
      <c r="H449" s="7"/>
      <c r="I449" s="6"/>
      <c r="J449" s="9" t="str">
        <f aca="false">IF(NOT(ISNUMBER($G449)),"",IF(AND(ASH_CORRECTED="Yes",ISNUMBER($H449)),$G449*(1-$H449),$G449))</f>
        <v/>
      </c>
      <c r="K449" s="9" t="str">
        <f aca="false">IF($B449="","",IFERROR(AVERAGEIFS('2. Soil Data'!$G$5:$G$604,'2. Soil Data'!$B$5:$B$604,$B449),""))</f>
        <v/>
      </c>
      <c r="L449" s="9" t="str">
        <f aca="false">IF(NOT(ISNUMBER($K449)),"",PI()*($K449/2)^2)</f>
        <v/>
      </c>
      <c r="M449" s="9" t="str">
        <f aca="false">IF(OR(NOT(ISNUMBER($J449)),NOT(ISNUMBER($L449)),$L449=0),"",$J449/$L449*10000)</f>
        <v/>
      </c>
      <c r="N449" s="9" t="str">
        <f aca="false">IF(NOT(ISNUMBER($M449)),"",$M449*CARBON_FRACTION_ROOT/1000)</f>
        <v/>
      </c>
      <c r="O449" s="11" t="str">
        <f aca="false">IF(AND($A449="",$B449="",$G449=""),"",IF(AND($B449&lt;&gt;"",COUNTIFS('2. Soil Data'!$B$5:$B$604,$B449)=0),"Core ID not found in Soil Data, so the corer diameter cannot be looked up. ","")&amp;IF(ASH_CORRECTED&lt;&gt;"Yes","Root mass is NOT ash-corrected, so it includes adhering mineral soil and is too high. Set ASH_CORRECTED once you have done it. ","")&amp;IF(AND(ASH_CORRECTED="Yes",NOT(ISNUMBER($H449))),"Ash correction is switched on but no ash fraction is given for this row. ","")&amp;IF($I449="","Sieve mesh not recorded — a fine-root figure cannot be interpreted without it. ","")&amp;IF(AND(ISNUMBER($H449),$H449&gt;0.5),"Ash fraction above 0.5 — over half this sample was mineral soil. Re-wash. ","")&amp;IF($F449="Not separated","Live and dead not separated. Fine for a stock, but "&amp;"note it in reporting. ",""))</f>
        <v/>
      </c>
      <c r="P449" s="6"/>
      <c r="Q449" s="9" t="n">
        <f aca="false">IF($B449="",0,IF(COUNTIFS($B$5:$B449,$B449)=1,1,0))</f>
        <v>0</v>
      </c>
    </row>
    <row r="450" customFormat="false" ht="15" hidden="false" customHeight="false" outlineLevel="0" collapsed="false">
      <c r="A450" s="6"/>
      <c r="B450" s="6"/>
      <c r="C450" s="6"/>
      <c r="D450" s="6"/>
      <c r="E450" s="6"/>
      <c r="F450" s="6"/>
      <c r="G450" s="7"/>
      <c r="H450" s="7"/>
      <c r="I450" s="6"/>
      <c r="J450" s="9" t="str">
        <f aca="false">IF(NOT(ISNUMBER($G450)),"",IF(AND(ASH_CORRECTED="Yes",ISNUMBER($H450)),$G450*(1-$H450),$G450))</f>
        <v/>
      </c>
      <c r="K450" s="9" t="str">
        <f aca="false">IF($B450="","",IFERROR(AVERAGEIFS('2. Soil Data'!$G$5:$G$604,'2. Soil Data'!$B$5:$B$604,$B450),""))</f>
        <v/>
      </c>
      <c r="L450" s="9" t="str">
        <f aca="false">IF(NOT(ISNUMBER($K450)),"",PI()*($K450/2)^2)</f>
        <v/>
      </c>
      <c r="M450" s="9" t="str">
        <f aca="false">IF(OR(NOT(ISNUMBER($J450)),NOT(ISNUMBER($L450)),$L450=0),"",$J450/$L450*10000)</f>
        <v/>
      </c>
      <c r="N450" s="9" t="str">
        <f aca="false">IF(NOT(ISNUMBER($M450)),"",$M450*CARBON_FRACTION_ROOT/1000)</f>
        <v/>
      </c>
      <c r="O450" s="11" t="str">
        <f aca="false">IF(AND($A450="",$B450="",$G450=""),"",IF(AND($B450&lt;&gt;"",COUNTIFS('2. Soil Data'!$B$5:$B$604,$B450)=0),"Core ID not found in Soil Data, so the corer diameter cannot be looked up. ","")&amp;IF(ASH_CORRECTED&lt;&gt;"Yes","Root mass is NOT ash-corrected, so it includes adhering mineral soil and is too high. Set ASH_CORRECTED once you have done it. ","")&amp;IF(AND(ASH_CORRECTED="Yes",NOT(ISNUMBER($H450))),"Ash correction is switched on but no ash fraction is given for this row. ","")&amp;IF($I450="","Sieve mesh not recorded — a fine-root figure cannot be interpreted without it. ","")&amp;IF(AND(ISNUMBER($H450),$H450&gt;0.5),"Ash fraction above 0.5 — over half this sample was mineral soil. Re-wash. ","")&amp;IF($F450="Not separated","Live and dead not separated. Fine for a stock, but "&amp;"note it in reporting. ",""))</f>
        <v/>
      </c>
      <c r="P450" s="6"/>
      <c r="Q450" s="9" t="n">
        <f aca="false">IF($B450="",0,IF(COUNTIFS($B$5:$B450,$B450)=1,1,0))</f>
        <v>0</v>
      </c>
    </row>
    <row r="451" customFormat="false" ht="15" hidden="false" customHeight="false" outlineLevel="0" collapsed="false">
      <c r="A451" s="6"/>
      <c r="B451" s="6"/>
      <c r="C451" s="6"/>
      <c r="D451" s="6"/>
      <c r="E451" s="6"/>
      <c r="F451" s="6"/>
      <c r="G451" s="7"/>
      <c r="H451" s="7"/>
      <c r="I451" s="6"/>
      <c r="J451" s="9" t="str">
        <f aca="false">IF(NOT(ISNUMBER($G451)),"",IF(AND(ASH_CORRECTED="Yes",ISNUMBER($H451)),$G451*(1-$H451),$G451))</f>
        <v/>
      </c>
      <c r="K451" s="9" t="str">
        <f aca="false">IF($B451="","",IFERROR(AVERAGEIFS('2. Soil Data'!$G$5:$G$604,'2. Soil Data'!$B$5:$B$604,$B451),""))</f>
        <v/>
      </c>
      <c r="L451" s="9" t="str">
        <f aca="false">IF(NOT(ISNUMBER($K451)),"",PI()*($K451/2)^2)</f>
        <v/>
      </c>
      <c r="M451" s="9" t="str">
        <f aca="false">IF(OR(NOT(ISNUMBER($J451)),NOT(ISNUMBER($L451)),$L451=0),"",$J451/$L451*10000)</f>
        <v/>
      </c>
      <c r="N451" s="9" t="str">
        <f aca="false">IF(NOT(ISNUMBER($M451)),"",$M451*CARBON_FRACTION_ROOT/1000)</f>
        <v/>
      </c>
      <c r="O451" s="11" t="str">
        <f aca="false">IF(AND($A451="",$B451="",$G451=""),"",IF(AND($B451&lt;&gt;"",COUNTIFS('2. Soil Data'!$B$5:$B$604,$B451)=0),"Core ID not found in Soil Data, so the corer diameter cannot be looked up. ","")&amp;IF(ASH_CORRECTED&lt;&gt;"Yes","Root mass is NOT ash-corrected, so it includes adhering mineral soil and is too high. Set ASH_CORRECTED once you have done it. ","")&amp;IF(AND(ASH_CORRECTED="Yes",NOT(ISNUMBER($H451))),"Ash correction is switched on but no ash fraction is given for this row. ","")&amp;IF($I451="","Sieve mesh not recorded — a fine-root figure cannot be interpreted without it. ","")&amp;IF(AND(ISNUMBER($H451),$H451&gt;0.5),"Ash fraction above 0.5 — over half this sample was mineral soil. Re-wash. ","")&amp;IF($F451="Not separated","Live and dead not separated. Fine for a stock, but "&amp;"note it in reporting. ",""))</f>
        <v/>
      </c>
      <c r="P451" s="6"/>
      <c r="Q451" s="9" t="n">
        <f aca="false">IF($B451="",0,IF(COUNTIFS($B$5:$B451,$B451)=1,1,0))</f>
        <v>0</v>
      </c>
    </row>
    <row r="452" customFormat="false" ht="15" hidden="false" customHeight="false" outlineLevel="0" collapsed="false">
      <c r="A452" s="6"/>
      <c r="B452" s="6"/>
      <c r="C452" s="6"/>
      <c r="D452" s="6"/>
      <c r="E452" s="6"/>
      <c r="F452" s="6"/>
      <c r="G452" s="7"/>
      <c r="H452" s="7"/>
      <c r="I452" s="6"/>
      <c r="J452" s="9" t="str">
        <f aca="false">IF(NOT(ISNUMBER($G452)),"",IF(AND(ASH_CORRECTED="Yes",ISNUMBER($H452)),$G452*(1-$H452),$G452))</f>
        <v/>
      </c>
      <c r="K452" s="9" t="str">
        <f aca="false">IF($B452="","",IFERROR(AVERAGEIFS('2. Soil Data'!$G$5:$G$604,'2. Soil Data'!$B$5:$B$604,$B452),""))</f>
        <v/>
      </c>
      <c r="L452" s="9" t="str">
        <f aca="false">IF(NOT(ISNUMBER($K452)),"",PI()*($K452/2)^2)</f>
        <v/>
      </c>
      <c r="M452" s="9" t="str">
        <f aca="false">IF(OR(NOT(ISNUMBER($J452)),NOT(ISNUMBER($L452)),$L452=0),"",$J452/$L452*10000)</f>
        <v/>
      </c>
      <c r="N452" s="9" t="str">
        <f aca="false">IF(NOT(ISNUMBER($M452)),"",$M452*CARBON_FRACTION_ROOT/1000)</f>
        <v/>
      </c>
      <c r="O452" s="11" t="str">
        <f aca="false">IF(AND($A452="",$B452="",$G452=""),"",IF(AND($B452&lt;&gt;"",COUNTIFS('2. Soil Data'!$B$5:$B$604,$B452)=0),"Core ID not found in Soil Data, so the corer diameter cannot be looked up. ","")&amp;IF(ASH_CORRECTED&lt;&gt;"Yes","Root mass is NOT ash-corrected, so it includes adhering mineral soil and is too high. Set ASH_CORRECTED once you have done it. ","")&amp;IF(AND(ASH_CORRECTED="Yes",NOT(ISNUMBER($H452))),"Ash correction is switched on but no ash fraction is given for this row. ","")&amp;IF($I452="","Sieve mesh not recorded — a fine-root figure cannot be interpreted without it. ","")&amp;IF(AND(ISNUMBER($H452),$H452&gt;0.5),"Ash fraction above 0.5 — over half this sample was mineral soil. Re-wash. ","")&amp;IF($F452="Not separated","Live and dead not separated. Fine for a stock, but "&amp;"note it in reporting. ",""))</f>
        <v/>
      </c>
      <c r="P452" s="6"/>
      <c r="Q452" s="9" t="n">
        <f aca="false">IF($B452="",0,IF(COUNTIFS($B$5:$B452,$B452)=1,1,0))</f>
        <v>0</v>
      </c>
    </row>
    <row r="453" customFormat="false" ht="15" hidden="false" customHeight="false" outlineLevel="0" collapsed="false">
      <c r="A453" s="6"/>
      <c r="B453" s="6"/>
      <c r="C453" s="6"/>
      <c r="D453" s="6"/>
      <c r="E453" s="6"/>
      <c r="F453" s="6"/>
      <c r="G453" s="7"/>
      <c r="H453" s="7"/>
      <c r="I453" s="6"/>
      <c r="J453" s="9" t="str">
        <f aca="false">IF(NOT(ISNUMBER($G453)),"",IF(AND(ASH_CORRECTED="Yes",ISNUMBER($H453)),$G453*(1-$H453),$G453))</f>
        <v/>
      </c>
      <c r="K453" s="9" t="str">
        <f aca="false">IF($B453="","",IFERROR(AVERAGEIFS('2. Soil Data'!$G$5:$G$604,'2. Soil Data'!$B$5:$B$604,$B453),""))</f>
        <v/>
      </c>
      <c r="L453" s="9" t="str">
        <f aca="false">IF(NOT(ISNUMBER($K453)),"",PI()*($K453/2)^2)</f>
        <v/>
      </c>
      <c r="M453" s="9" t="str">
        <f aca="false">IF(OR(NOT(ISNUMBER($J453)),NOT(ISNUMBER($L453)),$L453=0),"",$J453/$L453*10000)</f>
        <v/>
      </c>
      <c r="N453" s="9" t="str">
        <f aca="false">IF(NOT(ISNUMBER($M453)),"",$M453*CARBON_FRACTION_ROOT/1000)</f>
        <v/>
      </c>
      <c r="O453" s="11" t="str">
        <f aca="false">IF(AND($A453="",$B453="",$G453=""),"",IF(AND($B453&lt;&gt;"",COUNTIFS('2. Soil Data'!$B$5:$B$604,$B453)=0),"Core ID not found in Soil Data, so the corer diameter cannot be looked up. ","")&amp;IF(ASH_CORRECTED&lt;&gt;"Yes","Root mass is NOT ash-corrected, so it includes adhering mineral soil and is too high. Set ASH_CORRECTED once you have done it. ","")&amp;IF(AND(ASH_CORRECTED="Yes",NOT(ISNUMBER($H453))),"Ash correction is switched on but no ash fraction is given for this row. ","")&amp;IF($I453="","Sieve mesh not recorded — a fine-root figure cannot be interpreted without it. ","")&amp;IF(AND(ISNUMBER($H453),$H453&gt;0.5),"Ash fraction above 0.5 — over half this sample was mineral soil. Re-wash. ","")&amp;IF($F453="Not separated","Live and dead not separated. Fine for a stock, but "&amp;"note it in reporting. ",""))</f>
        <v/>
      </c>
      <c r="P453" s="6"/>
      <c r="Q453" s="9" t="n">
        <f aca="false">IF($B453="",0,IF(COUNTIFS($B$5:$B453,$B453)=1,1,0))</f>
        <v>0</v>
      </c>
    </row>
    <row r="454" customFormat="false" ht="15" hidden="false" customHeight="false" outlineLevel="0" collapsed="false">
      <c r="A454" s="6"/>
      <c r="B454" s="6"/>
      <c r="C454" s="6"/>
      <c r="D454" s="6"/>
      <c r="E454" s="6"/>
      <c r="F454" s="6"/>
      <c r="G454" s="7"/>
      <c r="H454" s="7"/>
      <c r="I454" s="6"/>
      <c r="J454" s="9" t="str">
        <f aca="false">IF(NOT(ISNUMBER($G454)),"",IF(AND(ASH_CORRECTED="Yes",ISNUMBER($H454)),$G454*(1-$H454),$G454))</f>
        <v/>
      </c>
      <c r="K454" s="9" t="str">
        <f aca="false">IF($B454="","",IFERROR(AVERAGEIFS('2. Soil Data'!$G$5:$G$604,'2. Soil Data'!$B$5:$B$604,$B454),""))</f>
        <v/>
      </c>
      <c r="L454" s="9" t="str">
        <f aca="false">IF(NOT(ISNUMBER($K454)),"",PI()*($K454/2)^2)</f>
        <v/>
      </c>
      <c r="M454" s="9" t="str">
        <f aca="false">IF(OR(NOT(ISNUMBER($J454)),NOT(ISNUMBER($L454)),$L454=0),"",$J454/$L454*10000)</f>
        <v/>
      </c>
      <c r="N454" s="9" t="str">
        <f aca="false">IF(NOT(ISNUMBER($M454)),"",$M454*CARBON_FRACTION_ROOT/1000)</f>
        <v/>
      </c>
      <c r="O454" s="11" t="str">
        <f aca="false">IF(AND($A454="",$B454="",$G454=""),"",IF(AND($B454&lt;&gt;"",COUNTIFS('2. Soil Data'!$B$5:$B$604,$B454)=0),"Core ID not found in Soil Data, so the corer diameter cannot be looked up. ","")&amp;IF(ASH_CORRECTED&lt;&gt;"Yes","Root mass is NOT ash-corrected, so it includes adhering mineral soil and is too high. Set ASH_CORRECTED once you have done it. ","")&amp;IF(AND(ASH_CORRECTED="Yes",NOT(ISNUMBER($H454))),"Ash correction is switched on but no ash fraction is given for this row. ","")&amp;IF($I454="","Sieve mesh not recorded — a fine-root figure cannot be interpreted without it. ","")&amp;IF(AND(ISNUMBER($H454),$H454&gt;0.5),"Ash fraction above 0.5 — over half this sample was mineral soil. Re-wash. ","")&amp;IF($F454="Not separated","Live and dead not separated. Fine for a stock, but "&amp;"note it in reporting. ",""))</f>
        <v/>
      </c>
      <c r="P454" s="6"/>
      <c r="Q454" s="9" t="n">
        <f aca="false">IF($B454="",0,IF(COUNTIFS($B$5:$B454,$B454)=1,1,0))</f>
        <v>0</v>
      </c>
    </row>
    <row r="455" customFormat="false" ht="15" hidden="false" customHeight="false" outlineLevel="0" collapsed="false">
      <c r="A455" s="6"/>
      <c r="B455" s="6"/>
      <c r="C455" s="6"/>
      <c r="D455" s="6"/>
      <c r="E455" s="6"/>
      <c r="F455" s="6"/>
      <c r="G455" s="7"/>
      <c r="H455" s="7"/>
      <c r="I455" s="6"/>
      <c r="J455" s="9" t="str">
        <f aca="false">IF(NOT(ISNUMBER($G455)),"",IF(AND(ASH_CORRECTED="Yes",ISNUMBER($H455)),$G455*(1-$H455),$G455))</f>
        <v/>
      </c>
      <c r="K455" s="9" t="str">
        <f aca="false">IF($B455="","",IFERROR(AVERAGEIFS('2. Soil Data'!$G$5:$G$604,'2. Soil Data'!$B$5:$B$604,$B455),""))</f>
        <v/>
      </c>
      <c r="L455" s="9" t="str">
        <f aca="false">IF(NOT(ISNUMBER($K455)),"",PI()*($K455/2)^2)</f>
        <v/>
      </c>
      <c r="M455" s="9" t="str">
        <f aca="false">IF(OR(NOT(ISNUMBER($J455)),NOT(ISNUMBER($L455)),$L455=0),"",$J455/$L455*10000)</f>
        <v/>
      </c>
      <c r="N455" s="9" t="str">
        <f aca="false">IF(NOT(ISNUMBER($M455)),"",$M455*CARBON_FRACTION_ROOT/1000)</f>
        <v/>
      </c>
      <c r="O455" s="11" t="str">
        <f aca="false">IF(AND($A455="",$B455="",$G455=""),"",IF(AND($B455&lt;&gt;"",COUNTIFS('2. Soil Data'!$B$5:$B$604,$B455)=0),"Core ID not found in Soil Data, so the corer diameter cannot be looked up. ","")&amp;IF(ASH_CORRECTED&lt;&gt;"Yes","Root mass is NOT ash-corrected, so it includes adhering mineral soil and is too high. Set ASH_CORRECTED once you have done it. ","")&amp;IF(AND(ASH_CORRECTED="Yes",NOT(ISNUMBER($H455))),"Ash correction is switched on but no ash fraction is given for this row. ","")&amp;IF($I455="","Sieve mesh not recorded — a fine-root figure cannot be interpreted without it. ","")&amp;IF(AND(ISNUMBER($H455),$H455&gt;0.5),"Ash fraction above 0.5 — over half this sample was mineral soil. Re-wash. ","")&amp;IF($F455="Not separated","Live and dead not separated. Fine for a stock, but "&amp;"note it in reporting. ",""))</f>
        <v/>
      </c>
      <c r="P455" s="6"/>
      <c r="Q455" s="9" t="n">
        <f aca="false">IF($B455="",0,IF(COUNTIFS($B$5:$B455,$B455)=1,1,0))</f>
        <v>0</v>
      </c>
    </row>
    <row r="456" customFormat="false" ht="15" hidden="false" customHeight="false" outlineLevel="0" collapsed="false">
      <c r="A456" s="6"/>
      <c r="B456" s="6"/>
      <c r="C456" s="6"/>
      <c r="D456" s="6"/>
      <c r="E456" s="6"/>
      <c r="F456" s="6"/>
      <c r="G456" s="7"/>
      <c r="H456" s="7"/>
      <c r="I456" s="6"/>
      <c r="J456" s="9" t="str">
        <f aca="false">IF(NOT(ISNUMBER($G456)),"",IF(AND(ASH_CORRECTED="Yes",ISNUMBER($H456)),$G456*(1-$H456),$G456))</f>
        <v/>
      </c>
      <c r="K456" s="9" t="str">
        <f aca="false">IF($B456="","",IFERROR(AVERAGEIFS('2. Soil Data'!$G$5:$G$604,'2. Soil Data'!$B$5:$B$604,$B456),""))</f>
        <v/>
      </c>
      <c r="L456" s="9" t="str">
        <f aca="false">IF(NOT(ISNUMBER($K456)),"",PI()*($K456/2)^2)</f>
        <v/>
      </c>
      <c r="M456" s="9" t="str">
        <f aca="false">IF(OR(NOT(ISNUMBER($J456)),NOT(ISNUMBER($L456)),$L456=0),"",$J456/$L456*10000)</f>
        <v/>
      </c>
      <c r="N456" s="9" t="str">
        <f aca="false">IF(NOT(ISNUMBER($M456)),"",$M456*CARBON_FRACTION_ROOT/1000)</f>
        <v/>
      </c>
      <c r="O456" s="11" t="str">
        <f aca="false">IF(AND($A456="",$B456="",$G456=""),"",IF(AND($B456&lt;&gt;"",COUNTIFS('2. Soil Data'!$B$5:$B$604,$B456)=0),"Core ID not found in Soil Data, so the corer diameter cannot be looked up. ","")&amp;IF(ASH_CORRECTED&lt;&gt;"Yes","Root mass is NOT ash-corrected, so it includes adhering mineral soil and is too high. Set ASH_CORRECTED once you have done it. ","")&amp;IF(AND(ASH_CORRECTED="Yes",NOT(ISNUMBER($H456))),"Ash correction is switched on but no ash fraction is given for this row. ","")&amp;IF($I456="","Sieve mesh not recorded — a fine-root figure cannot be interpreted without it. ","")&amp;IF(AND(ISNUMBER($H456),$H456&gt;0.5),"Ash fraction above 0.5 — over half this sample was mineral soil. Re-wash. ","")&amp;IF($F456="Not separated","Live and dead not separated. Fine for a stock, but "&amp;"note it in reporting. ",""))</f>
        <v/>
      </c>
      <c r="P456" s="6"/>
      <c r="Q456" s="9" t="n">
        <f aca="false">IF($B456="",0,IF(COUNTIFS($B$5:$B456,$B456)=1,1,0))</f>
        <v>0</v>
      </c>
    </row>
    <row r="457" customFormat="false" ht="15" hidden="false" customHeight="false" outlineLevel="0" collapsed="false">
      <c r="A457" s="6"/>
      <c r="B457" s="6"/>
      <c r="C457" s="6"/>
      <c r="D457" s="6"/>
      <c r="E457" s="6"/>
      <c r="F457" s="6"/>
      <c r="G457" s="7"/>
      <c r="H457" s="7"/>
      <c r="I457" s="6"/>
      <c r="J457" s="9" t="str">
        <f aca="false">IF(NOT(ISNUMBER($G457)),"",IF(AND(ASH_CORRECTED="Yes",ISNUMBER($H457)),$G457*(1-$H457),$G457))</f>
        <v/>
      </c>
      <c r="K457" s="9" t="str">
        <f aca="false">IF($B457="","",IFERROR(AVERAGEIFS('2. Soil Data'!$G$5:$G$604,'2. Soil Data'!$B$5:$B$604,$B457),""))</f>
        <v/>
      </c>
      <c r="L457" s="9" t="str">
        <f aca="false">IF(NOT(ISNUMBER($K457)),"",PI()*($K457/2)^2)</f>
        <v/>
      </c>
      <c r="M457" s="9" t="str">
        <f aca="false">IF(OR(NOT(ISNUMBER($J457)),NOT(ISNUMBER($L457)),$L457=0),"",$J457/$L457*10000)</f>
        <v/>
      </c>
      <c r="N457" s="9" t="str">
        <f aca="false">IF(NOT(ISNUMBER($M457)),"",$M457*CARBON_FRACTION_ROOT/1000)</f>
        <v/>
      </c>
      <c r="O457" s="11" t="str">
        <f aca="false">IF(AND($A457="",$B457="",$G457=""),"",IF(AND($B457&lt;&gt;"",COUNTIFS('2. Soil Data'!$B$5:$B$604,$B457)=0),"Core ID not found in Soil Data, so the corer diameter cannot be looked up. ","")&amp;IF(ASH_CORRECTED&lt;&gt;"Yes","Root mass is NOT ash-corrected, so it includes adhering mineral soil and is too high. Set ASH_CORRECTED once you have done it. ","")&amp;IF(AND(ASH_CORRECTED="Yes",NOT(ISNUMBER($H457))),"Ash correction is switched on but no ash fraction is given for this row. ","")&amp;IF($I457="","Sieve mesh not recorded — a fine-root figure cannot be interpreted without it. ","")&amp;IF(AND(ISNUMBER($H457),$H457&gt;0.5),"Ash fraction above 0.5 — over half this sample was mineral soil. Re-wash. ","")&amp;IF($F457="Not separated","Live and dead not separated. Fine for a stock, but "&amp;"note it in reporting. ",""))</f>
        <v/>
      </c>
      <c r="P457" s="6"/>
      <c r="Q457" s="9" t="n">
        <f aca="false">IF($B457="",0,IF(COUNTIFS($B$5:$B457,$B457)=1,1,0))</f>
        <v>0</v>
      </c>
    </row>
    <row r="458" customFormat="false" ht="15" hidden="false" customHeight="false" outlineLevel="0" collapsed="false">
      <c r="A458" s="6"/>
      <c r="B458" s="6"/>
      <c r="C458" s="6"/>
      <c r="D458" s="6"/>
      <c r="E458" s="6"/>
      <c r="F458" s="6"/>
      <c r="G458" s="7"/>
      <c r="H458" s="7"/>
      <c r="I458" s="6"/>
      <c r="J458" s="9" t="str">
        <f aca="false">IF(NOT(ISNUMBER($G458)),"",IF(AND(ASH_CORRECTED="Yes",ISNUMBER($H458)),$G458*(1-$H458),$G458))</f>
        <v/>
      </c>
      <c r="K458" s="9" t="str">
        <f aca="false">IF($B458="","",IFERROR(AVERAGEIFS('2. Soil Data'!$G$5:$G$604,'2. Soil Data'!$B$5:$B$604,$B458),""))</f>
        <v/>
      </c>
      <c r="L458" s="9" t="str">
        <f aca="false">IF(NOT(ISNUMBER($K458)),"",PI()*($K458/2)^2)</f>
        <v/>
      </c>
      <c r="M458" s="9" t="str">
        <f aca="false">IF(OR(NOT(ISNUMBER($J458)),NOT(ISNUMBER($L458)),$L458=0),"",$J458/$L458*10000)</f>
        <v/>
      </c>
      <c r="N458" s="9" t="str">
        <f aca="false">IF(NOT(ISNUMBER($M458)),"",$M458*CARBON_FRACTION_ROOT/1000)</f>
        <v/>
      </c>
      <c r="O458" s="11" t="str">
        <f aca="false">IF(AND($A458="",$B458="",$G458=""),"",IF(AND($B458&lt;&gt;"",COUNTIFS('2. Soil Data'!$B$5:$B$604,$B458)=0),"Core ID not found in Soil Data, so the corer diameter cannot be looked up. ","")&amp;IF(ASH_CORRECTED&lt;&gt;"Yes","Root mass is NOT ash-corrected, so it includes adhering mineral soil and is too high. Set ASH_CORRECTED once you have done it. ","")&amp;IF(AND(ASH_CORRECTED="Yes",NOT(ISNUMBER($H458))),"Ash correction is switched on but no ash fraction is given for this row. ","")&amp;IF($I458="","Sieve mesh not recorded — a fine-root figure cannot be interpreted without it. ","")&amp;IF(AND(ISNUMBER($H458),$H458&gt;0.5),"Ash fraction above 0.5 — over half this sample was mineral soil. Re-wash. ","")&amp;IF($F458="Not separated","Live and dead not separated. Fine for a stock, but "&amp;"note it in reporting. ",""))</f>
        <v/>
      </c>
      <c r="P458" s="6"/>
      <c r="Q458" s="9" t="n">
        <f aca="false">IF($B458="",0,IF(COUNTIFS($B$5:$B458,$B458)=1,1,0))</f>
        <v>0</v>
      </c>
    </row>
    <row r="459" customFormat="false" ht="15" hidden="false" customHeight="false" outlineLevel="0" collapsed="false">
      <c r="A459" s="6"/>
      <c r="B459" s="6"/>
      <c r="C459" s="6"/>
      <c r="D459" s="6"/>
      <c r="E459" s="6"/>
      <c r="F459" s="6"/>
      <c r="G459" s="7"/>
      <c r="H459" s="7"/>
      <c r="I459" s="6"/>
      <c r="J459" s="9" t="str">
        <f aca="false">IF(NOT(ISNUMBER($G459)),"",IF(AND(ASH_CORRECTED="Yes",ISNUMBER($H459)),$G459*(1-$H459),$G459))</f>
        <v/>
      </c>
      <c r="K459" s="9" t="str">
        <f aca="false">IF($B459="","",IFERROR(AVERAGEIFS('2. Soil Data'!$G$5:$G$604,'2. Soil Data'!$B$5:$B$604,$B459),""))</f>
        <v/>
      </c>
      <c r="L459" s="9" t="str">
        <f aca="false">IF(NOT(ISNUMBER($K459)),"",PI()*($K459/2)^2)</f>
        <v/>
      </c>
      <c r="M459" s="9" t="str">
        <f aca="false">IF(OR(NOT(ISNUMBER($J459)),NOT(ISNUMBER($L459)),$L459=0),"",$J459/$L459*10000)</f>
        <v/>
      </c>
      <c r="N459" s="9" t="str">
        <f aca="false">IF(NOT(ISNUMBER($M459)),"",$M459*CARBON_FRACTION_ROOT/1000)</f>
        <v/>
      </c>
      <c r="O459" s="11" t="str">
        <f aca="false">IF(AND($A459="",$B459="",$G459=""),"",IF(AND($B459&lt;&gt;"",COUNTIFS('2. Soil Data'!$B$5:$B$604,$B459)=0),"Core ID not found in Soil Data, so the corer diameter cannot be looked up. ","")&amp;IF(ASH_CORRECTED&lt;&gt;"Yes","Root mass is NOT ash-corrected, so it includes adhering mineral soil and is too high. Set ASH_CORRECTED once you have done it. ","")&amp;IF(AND(ASH_CORRECTED="Yes",NOT(ISNUMBER($H459))),"Ash correction is switched on but no ash fraction is given for this row. ","")&amp;IF($I459="","Sieve mesh not recorded — a fine-root figure cannot be interpreted without it. ","")&amp;IF(AND(ISNUMBER($H459),$H459&gt;0.5),"Ash fraction above 0.5 — over half this sample was mineral soil. Re-wash. ","")&amp;IF($F459="Not separated","Live and dead not separated. Fine for a stock, but "&amp;"note it in reporting. ",""))</f>
        <v/>
      </c>
      <c r="P459" s="6"/>
      <c r="Q459" s="9" t="n">
        <f aca="false">IF($B459="",0,IF(COUNTIFS($B$5:$B459,$B459)=1,1,0))</f>
        <v>0</v>
      </c>
    </row>
    <row r="460" customFormat="false" ht="15" hidden="false" customHeight="false" outlineLevel="0" collapsed="false">
      <c r="A460" s="6"/>
      <c r="B460" s="6"/>
      <c r="C460" s="6"/>
      <c r="D460" s="6"/>
      <c r="E460" s="6"/>
      <c r="F460" s="6"/>
      <c r="G460" s="7"/>
      <c r="H460" s="7"/>
      <c r="I460" s="6"/>
      <c r="J460" s="9" t="str">
        <f aca="false">IF(NOT(ISNUMBER($G460)),"",IF(AND(ASH_CORRECTED="Yes",ISNUMBER($H460)),$G460*(1-$H460),$G460))</f>
        <v/>
      </c>
      <c r="K460" s="9" t="str">
        <f aca="false">IF($B460="","",IFERROR(AVERAGEIFS('2. Soil Data'!$G$5:$G$604,'2. Soil Data'!$B$5:$B$604,$B460),""))</f>
        <v/>
      </c>
      <c r="L460" s="9" t="str">
        <f aca="false">IF(NOT(ISNUMBER($K460)),"",PI()*($K460/2)^2)</f>
        <v/>
      </c>
      <c r="M460" s="9" t="str">
        <f aca="false">IF(OR(NOT(ISNUMBER($J460)),NOT(ISNUMBER($L460)),$L460=0),"",$J460/$L460*10000)</f>
        <v/>
      </c>
      <c r="N460" s="9" t="str">
        <f aca="false">IF(NOT(ISNUMBER($M460)),"",$M460*CARBON_FRACTION_ROOT/1000)</f>
        <v/>
      </c>
      <c r="O460" s="11" t="str">
        <f aca="false">IF(AND($A460="",$B460="",$G460=""),"",IF(AND($B460&lt;&gt;"",COUNTIFS('2. Soil Data'!$B$5:$B$604,$B460)=0),"Core ID not found in Soil Data, so the corer diameter cannot be looked up. ","")&amp;IF(ASH_CORRECTED&lt;&gt;"Yes","Root mass is NOT ash-corrected, so it includes adhering mineral soil and is too high. Set ASH_CORRECTED once you have done it. ","")&amp;IF(AND(ASH_CORRECTED="Yes",NOT(ISNUMBER($H460))),"Ash correction is switched on but no ash fraction is given for this row. ","")&amp;IF($I460="","Sieve mesh not recorded — a fine-root figure cannot be interpreted without it. ","")&amp;IF(AND(ISNUMBER($H460),$H460&gt;0.5),"Ash fraction above 0.5 — over half this sample was mineral soil. Re-wash. ","")&amp;IF($F460="Not separated","Live and dead not separated. Fine for a stock, but "&amp;"note it in reporting. ",""))</f>
        <v/>
      </c>
      <c r="P460" s="6"/>
      <c r="Q460" s="9" t="n">
        <f aca="false">IF($B460="",0,IF(COUNTIFS($B$5:$B460,$B460)=1,1,0))</f>
        <v>0</v>
      </c>
    </row>
    <row r="461" customFormat="false" ht="15" hidden="false" customHeight="false" outlineLevel="0" collapsed="false">
      <c r="A461" s="6"/>
      <c r="B461" s="6"/>
      <c r="C461" s="6"/>
      <c r="D461" s="6"/>
      <c r="E461" s="6"/>
      <c r="F461" s="6"/>
      <c r="G461" s="7"/>
      <c r="H461" s="7"/>
      <c r="I461" s="6"/>
      <c r="J461" s="9" t="str">
        <f aca="false">IF(NOT(ISNUMBER($G461)),"",IF(AND(ASH_CORRECTED="Yes",ISNUMBER($H461)),$G461*(1-$H461),$G461))</f>
        <v/>
      </c>
      <c r="K461" s="9" t="str">
        <f aca="false">IF($B461="","",IFERROR(AVERAGEIFS('2. Soil Data'!$G$5:$G$604,'2. Soil Data'!$B$5:$B$604,$B461),""))</f>
        <v/>
      </c>
      <c r="L461" s="9" t="str">
        <f aca="false">IF(NOT(ISNUMBER($K461)),"",PI()*($K461/2)^2)</f>
        <v/>
      </c>
      <c r="M461" s="9" t="str">
        <f aca="false">IF(OR(NOT(ISNUMBER($J461)),NOT(ISNUMBER($L461)),$L461=0),"",$J461/$L461*10000)</f>
        <v/>
      </c>
      <c r="N461" s="9" t="str">
        <f aca="false">IF(NOT(ISNUMBER($M461)),"",$M461*CARBON_FRACTION_ROOT/1000)</f>
        <v/>
      </c>
      <c r="O461" s="11" t="str">
        <f aca="false">IF(AND($A461="",$B461="",$G461=""),"",IF(AND($B461&lt;&gt;"",COUNTIFS('2. Soil Data'!$B$5:$B$604,$B461)=0),"Core ID not found in Soil Data, so the corer diameter cannot be looked up. ","")&amp;IF(ASH_CORRECTED&lt;&gt;"Yes","Root mass is NOT ash-corrected, so it includes adhering mineral soil and is too high. Set ASH_CORRECTED once you have done it. ","")&amp;IF(AND(ASH_CORRECTED="Yes",NOT(ISNUMBER($H461))),"Ash correction is switched on but no ash fraction is given for this row. ","")&amp;IF($I461="","Sieve mesh not recorded — a fine-root figure cannot be interpreted without it. ","")&amp;IF(AND(ISNUMBER($H461),$H461&gt;0.5),"Ash fraction above 0.5 — over half this sample was mineral soil. Re-wash. ","")&amp;IF($F461="Not separated","Live and dead not separated. Fine for a stock, but "&amp;"note it in reporting. ",""))</f>
        <v/>
      </c>
      <c r="P461" s="6"/>
      <c r="Q461" s="9" t="n">
        <f aca="false">IF($B461="",0,IF(COUNTIFS($B$5:$B461,$B461)=1,1,0))</f>
        <v>0</v>
      </c>
    </row>
    <row r="462" customFormat="false" ht="15" hidden="false" customHeight="false" outlineLevel="0" collapsed="false">
      <c r="A462" s="6"/>
      <c r="B462" s="6"/>
      <c r="C462" s="6"/>
      <c r="D462" s="6"/>
      <c r="E462" s="6"/>
      <c r="F462" s="6"/>
      <c r="G462" s="7"/>
      <c r="H462" s="7"/>
      <c r="I462" s="6"/>
      <c r="J462" s="9" t="str">
        <f aca="false">IF(NOT(ISNUMBER($G462)),"",IF(AND(ASH_CORRECTED="Yes",ISNUMBER($H462)),$G462*(1-$H462),$G462))</f>
        <v/>
      </c>
      <c r="K462" s="9" t="str">
        <f aca="false">IF($B462="","",IFERROR(AVERAGEIFS('2. Soil Data'!$G$5:$G$604,'2. Soil Data'!$B$5:$B$604,$B462),""))</f>
        <v/>
      </c>
      <c r="L462" s="9" t="str">
        <f aca="false">IF(NOT(ISNUMBER($K462)),"",PI()*($K462/2)^2)</f>
        <v/>
      </c>
      <c r="M462" s="9" t="str">
        <f aca="false">IF(OR(NOT(ISNUMBER($J462)),NOT(ISNUMBER($L462)),$L462=0),"",$J462/$L462*10000)</f>
        <v/>
      </c>
      <c r="N462" s="9" t="str">
        <f aca="false">IF(NOT(ISNUMBER($M462)),"",$M462*CARBON_FRACTION_ROOT/1000)</f>
        <v/>
      </c>
      <c r="O462" s="11" t="str">
        <f aca="false">IF(AND($A462="",$B462="",$G462=""),"",IF(AND($B462&lt;&gt;"",COUNTIFS('2. Soil Data'!$B$5:$B$604,$B462)=0),"Core ID not found in Soil Data, so the corer diameter cannot be looked up. ","")&amp;IF(ASH_CORRECTED&lt;&gt;"Yes","Root mass is NOT ash-corrected, so it includes adhering mineral soil and is too high. Set ASH_CORRECTED once you have done it. ","")&amp;IF(AND(ASH_CORRECTED="Yes",NOT(ISNUMBER($H462))),"Ash correction is switched on but no ash fraction is given for this row. ","")&amp;IF($I462="","Sieve mesh not recorded — a fine-root figure cannot be interpreted without it. ","")&amp;IF(AND(ISNUMBER($H462),$H462&gt;0.5),"Ash fraction above 0.5 — over half this sample was mineral soil. Re-wash. ","")&amp;IF($F462="Not separated","Live and dead not separated. Fine for a stock, but "&amp;"note it in reporting. ",""))</f>
        <v/>
      </c>
      <c r="P462" s="6"/>
      <c r="Q462" s="9" t="n">
        <f aca="false">IF($B462="",0,IF(COUNTIFS($B$5:$B462,$B462)=1,1,0))</f>
        <v>0</v>
      </c>
    </row>
    <row r="463" customFormat="false" ht="15" hidden="false" customHeight="false" outlineLevel="0" collapsed="false">
      <c r="A463" s="6"/>
      <c r="B463" s="6"/>
      <c r="C463" s="6"/>
      <c r="D463" s="6"/>
      <c r="E463" s="6"/>
      <c r="F463" s="6"/>
      <c r="G463" s="7"/>
      <c r="H463" s="7"/>
      <c r="I463" s="6"/>
      <c r="J463" s="9" t="str">
        <f aca="false">IF(NOT(ISNUMBER($G463)),"",IF(AND(ASH_CORRECTED="Yes",ISNUMBER($H463)),$G463*(1-$H463),$G463))</f>
        <v/>
      </c>
      <c r="K463" s="9" t="str">
        <f aca="false">IF($B463="","",IFERROR(AVERAGEIFS('2. Soil Data'!$G$5:$G$604,'2. Soil Data'!$B$5:$B$604,$B463),""))</f>
        <v/>
      </c>
      <c r="L463" s="9" t="str">
        <f aca="false">IF(NOT(ISNUMBER($K463)),"",PI()*($K463/2)^2)</f>
        <v/>
      </c>
      <c r="M463" s="9" t="str">
        <f aca="false">IF(OR(NOT(ISNUMBER($J463)),NOT(ISNUMBER($L463)),$L463=0),"",$J463/$L463*10000)</f>
        <v/>
      </c>
      <c r="N463" s="9" t="str">
        <f aca="false">IF(NOT(ISNUMBER($M463)),"",$M463*CARBON_FRACTION_ROOT/1000)</f>
        <v/>
      </c>
      <c r="O463" s="11" t="str">
        <f aca="false">IF(AND($A463="",$B463="",$G463=""),"",IF(AND($B463&lt;&gt;"",COUNTIFS('2. Soil Data'!$B$5:$B$604,$B463)=0),"Core ID not found in Soil Data, so the corer diameter cannot be looked up. ","")&amp;IF(ASH_CORRECTED&lt;&gt;"Yes","Root mass is NOT ash-corrected, so it includes adhering mineral soil and is too high. Set ASH_CORRECTED once you have done it. ","")&amp;IF(AND(ASH_CORRECTED="Yes",NOT(ISNUMBER($H463))),"Ash correction is switched on but no ash fraction is given for this row. ","")&amp;IF($I463="","Sieve mesh not recorded — a fine-root figure cannot be interpreted without it. ","")&amp;IF(AND(ISNUMBER($H463),$H463&gt;0.5),"Ash fraction above 0.5 — over half this sample was mineral soil. Re-wash. ","")&amp;IF($F463="Not separated","Live and dead not separated. Fine for a stock, but "&amp;"note it in reporting. ",""))</f>
        <v/>
      </c>
      <c r="P463" s="6"/>
      <c r="Q463" s="9" t="n">
        <f aca="false">IF($B463="",0,IF(COUNTIFS($B$5:$B463,$B463)=1,1,0))</f>
        <v>0</v>
      </c>
    </row>
    <row r="464" customFormat="false" ht="15" hidden="false" customHeight="false" outlineLevel="0" collapsed="false">
      <c r="A464" s="6"/>
      <c r="B464" s="6"/>
      <c r="C464" s="6"/>
      <c r="D464" s="6"/>
      <c r="E464" s="6"/>
      <c r="F464" s="6"/>
      <c r="G464" s="7"/>
      <c r="H464" s="7"/>
      <c r="I464" s="6"/>
      <c r="J464" s="9" t="str">
        <f aca="false">IF(NOT(ISNUMBER($G464)),"",IF(AND(ASH_CORRECTED="Yes",ISNUMBER($H464)),$G464*(1-$H464),$G464))</f>
        <v/>
      </c>
      <c r="K464" s="9" t="str">
        <f aca="false">IF($B464="","",IFERROR(AVERAGEIFS('2. Soil Data'!$G$5:$G$604,'2. Soil Data'!$B$5:$B$604,$B464),""))</f>
        <v/>
      </c>
      <c r="L464" s="9" t="str">
        <f aca="false">IF(NOT(ISNUMBER($K464)),"",PI()*($K464/2)^2)</f>
        <v/>
      </c>
      <c r="M464" s="9" t="str">
        <f aca="false">IF(OR(NOT(ISNUMBER($J464)),NOT(ISNUMBER($L464)),$L464=0),"",$J464/$L464*10000)</f>
        <v/>
      </c>
      <c r="N464" s="9" t="str">
        <f aca="false">IF(NOT(ISNUMBER($M464)),"",$M464*CARBON_FRACTION_ROOT/1000)</f>
        <v/>
      </c>
      <c r="O464" s="11" t="str">
        <f aca="false">IF(AND($A464="",$B464="",$G464=""),"",IF(AND($B464&lt;&gt;"",COUNTIFS('2. Soil Data'!$B$5:$B$604,$B464)=0),"Core ID not found in Soil Data, so the corer diameter cannot be looked up. ","")&amp;IF(ASH_CORRECTED&lt;&gt;"Yes","Root mass is NOT ash-corrected, so it includes adhering mineral soil and is too high. Set ASH_CORRECTED once you have done it. ","")&amp;IF(AND(ASH_CORRECTED="Yes",NOT(ISNUMBER($H464))),"Ash correction is switched on but no ash fraction is given for this row. ","")&amp;IF($I464="","Sieve mesh not recorded — a fine-root figure cannot be interpreted without it. ","")&amp;IF(AND(ISNUMBER($H464),$H464&gt;0.5),"Ash fraction above 0.5 — over half this sample was mineral soil. Re-wash. ","")&amp;IF($F464="Not separated","Live and dead not separated. Fine for a stock, but "&amp;"note it in reporting. ",""))</f>
        <v/>
      </c>
      <c r="P464" s="6"/>
      <c r="Q464" s="9" t="n">
        <f aca="false">IF($B464="",0,IF(COUNTIFS($B$5:$B464,$B464)=1,1,0))</f>
        <v>0</v>
      </c>
    </row>
    <row r="465" customFormat="false" ht="15" hidden="false" customHeight="false" outlineLevel="0" collapsed="false">
      <c r="A465" s="6"/>
      <c r="B465" s="6"/>
      <c r="C465" s="6"/>
      <c r="D465" s="6"/>
      <c r="E465" s="6"/>
      <c r="F465" s="6"/>
      <c r="G465" s="7"/>
      <c r="H465" s="7"/>
      <c r="I465" s="6"/>
      <c r="J465" s="9" t="str">
        <f aca="false">IF(NOT(ISNUMBER($G465)),"",IF(AND(ASH_CORRECTED="Yes",ISNUMBER($H465)),$G465*(1-$H465),$G465))</f>
        <v/>
      </c>
      <c r="K465" s="9" t="str">
        <f aca="false">IF($B465="","",IFERROR(AVERAGEIFS('2. Soil Data'!$G$5:$G$604,'2. Soil Data'!$B$5:$B$604,$B465),""))</f>
        <v/>
      </c>
      <c r="L465" s="9" t="str">
        <f aca="false">IF(NOT(ISNUMBER($K465)),"",PI()*($K465/2)^2)</f>
        <v/>
      </c>
      <c r="M465" s="9" t="str">
        <f aca="false">IF(OR(NOT(ISNUMBER($J465)),NOT(ISNUMBER($L465)),$L465=0),"",$J465/$L465*10000)</f>
        <v/>
      </c>
      <c r="N465" s="9" t="str">
        <f aca="false">IF(NOT(ISNUMBER($M465)),"",$M465*CARBON_FRACTION_ROOT/1000)</f>
        <v/>
      </c>
      <c r="O465" s="11" t="str">
        <f aca="false">IF(AND($A465="",$B465="",$G465=""),"",IF(AND($B465&lt;&gt;"",COUNTIFS('2. Soil Data'!$B$5:$B$604,$B465)=0),"Core ID not found in Soil Data, so the corer diameter cannot be looked up. ","")&amp;IF(ASH_CORRECTED&lt;&gt;"Yes","Root mass is NOT ash-corrected, so it includes adhering mineral soil and is too high. Set ASH_CORRECTED once you have done it. ","")&amp;IF(AND(ASH_CORRECTED="Yes",NOT(ISNUMBER($H465))),"Ash correction is switched on but no ash fraction is given for this row. ","")&amp;IF($I465="","Sieve mesh not recorded — a fine-root figure cannot be interpreted without it. ","")&amp;IF(AND(ISNUMBER($H465),$H465&gt;0.5),"Ash fraction above 0.5 — over half this sample was mineral soil. Re-wash. ","")&amp;IF($F465="Not separated","Live and dead not separated. Fine for a stock, but "&amp;"note it in reporting. ",""))</f>
        <v/>
      </c>
      <c r="P465" s="6"/>
      <c r="Q465" s="9" t="n">
        <f aca="false">IF($B465="",0,IF(COUNTIFS($B$5:$B465,$B465)=1,1,0))</f>
        <v>0</v>
      </c>
    </row>
    <row r="466" customFormat="false" ht="15" hidden="false" customHeight="false" outlineLevel="0" collapsed="false">
      <c r="A466" s="6"/>
      <c r="B466" s="6"/>
      <c r="C466" s="6"/>
      <c r="D466" s="6"/>
      <c r="E466" s="6"/>
      <c r="F466" s="6"/>
      <c r="G466" s="7"/>
      <c r="H466" s="7"/>
      <c r="I466" s="6"/>
      <c r="J466" s="9" t="str">
        <f aca="false">IF(NOT(ISNUMBER($G466)),"",IF(AND(ASH_CORRECTED="Yes",ISNUMBER($H466)),$G466*(1-$H466),$G466))</f>
        <v/>
      </c>
      <c r="K466" s="9" t="str">
        <f aca="false">IF($B466="","",IFERROR(AVERAGEIFS('2. Soil Data'!$G$5:$G$604,'2. Soil Data'!$B$5:$B$604,$B466),""))</f>
        <v/>
      </c>
      <c r="L466" s="9" t="str">
        <f aca="false">IF(NOT(ISNUMBER($K466)),"",PI()*($K466/2)^2)</f>
        <v/>
      </c>
      <c r="M466" s="9" t="str">
        <f aca="false">IF(OR(NOT(ISNUMBER($J466)),NOT(ISNUMBER($L466)),$L466=0),"",$J466/$L466*10000)</f>
        <v/>
      </c>
      <c r="N466" s="9" t="str">
        <f aca="false">IF(NOT(ISNUMBER($M466)),"",$M466*CARBON_FRACTION_ROOT/1000)</f>
        <v/>
      </c>
      <c r="O466" s="11" t="str">
        <f aca="false">IF(AND($A466="",$B466="",$G466=""),"",IF(AND($B466&lt;&gt;"",COUNTIFS('2. Soil Data'!$B$5:$B$604,$B466)=0),"Core ID not found in Soil Data, so the corer diameter cannot be looked up. ","")&amp;IF(ASH_CORRECTED&lt;&gt;"Yes","Root mass is NOT ash-corrected, so it includes adhering mineral soil and is too high. Set ASH_CORRECTED once you have done it. ","")&amp;IF(AND(ASH_CORRECTED="Yes",NOT(ISNUMBER($H466))),"Ash correction is switched on but no ash fraction is given for this row. ","")&amp;IF($I466="","Sieve mesh not recorded — a fine-root figure cannot be interpreted without it. ","")&amp;IF(AND(ISNUMBER($H466),$H466&gt;0.5),"Ash fraction above 0.5 — over half this sample was mineral soil. Re-wash. ","")&amp;IF($F466="Not separated","Live and dead not separated. Fine for a stock, but "&amp;"note it in reporting. ",""))</f>
        <v/>
      </c>
      <c r="P466" s="6"/>
      <c r="Q466" s="9" t="n">
        <f aca="false">IF($B466="",0,IF(COUNTIFS($B$5:$B466,$B466)=1,1,0))</f>
        <v>0</v>
      </c>
    </row>
    <row r="467" customFormat="false" ht="15" hidden="false" customHeight="false" outlineLevel="0" collapsed="false">
      <c r="A467" s="6"/>
      <c r="B467" s="6"/>
      <c r="C467" s="6"/>
      <c r="D467" s="6"/>
      <c r="E467" s="6"/>
      <c r="F467" s="6"/>
      <c r="G467" s="7"/>
      <c r="H467" s="7"/>
      <c r="I467" s="6"/>
      <c r="J467" s="9" t="str">
        <f aca="false">IF(NOT(ISNUMBER($G467)),"",IF(AND(ASH_CORRECTED="Yes",ISNUMBER($H467)),$G467*(1-$H467),$G467))</f>
        <v/>
      </c>
      <c r="K467" s="9" t="str">
        <f aca="false">IF($B467="","",IFERROR(AVERAGEIFS('2. Soil Data'!$G$5:$G$604,'2. Soil Data'!$B$5:$B$604,$B467),""))</f>
        <v/>
      </c>
      <c r="L467" s="9" t="str">
        <f aca="false">IF(NOT(ISNUMBER($K467)),"",PI()*($K467/2)^2)</f>
        <v/>
      </c>
      <c r="M467" s="9" t="str">
        <f aca="false">IF(OR(NOT(ISNUMBER($J467)),NOT(ISNUMBER($L467)),$L467=0),"",$J467/$L467*10000)</f>
        <v/>
      </c>
      <c r="N467" s="9" t="str">
        <f aca="false">IF(NOT(ISNUMBER($M467)),"",$M467*CARBON_FRACTION_ROOT/1000)</f>
        <v/>
      </c>
      <c r="O467" s="11" t="str">
        <f aca="false">IF(AND($A467="",$B467="",$G467=""),"",IF(AND($B467&lt;&gt;"",COUNTIFS('2. Soil Data'!$B$5:$B$604,$B467)=0),"Core ID not found in Soil Data, so the corer diameter cannot be looked up. ","")&amp;IF(ASH_CORRECTED&lt;&gt;"Yes","Root mass is NOT ash-corrected, so it includes adhering mineral soil and is too high. Set ASH_CORRECTED once you have done it. ","")&amp;IF(AND(ASH_CORRECTED="Yes",NOT(ISNUMBER($H467))),"Ash correction is switched on but no ash fraction is given for this row. ","")&amp;IF($I467="","Sieve mesh not recorded — a fine-root figure cannot be interpreted without it. ","")&amp;IF(AND(ISNUMBER($H467),$H467&gt;0.5),"Ash fraction above 0.5 — over half this sample was mineral soil. Re-wash. ","")&amp;IF($F467="Not separated","Live and dead not separated. Fine for a stock, but "&amp;"note it in reporting. ",""))</f>
        <v/>
      </c>
      <c r="P467" s="6"/>
      <c r="Q467" s="9" t="n">
        <f aca="false">IF($B467="",0,IF(COUNTIFS($B$5:$B467,$B467)=1,1,0))</f>
        <v>0</v>
      </c>
    </row>
    <row r="468" customFormat="false" ht="15" hidden="false" customHeight="false" outlineLevel="0" collapsed="false">
      <c r="A468" s="6"/>
      <c r="B468" s="6"/>
      <c r="C468" s="6"/>
      <c r="D468" s="6"/>
      <c r="E468" s="6"/>
      <c r="F468" s="6"/>
      <c r="G468" s="7"/>
      <c r="H468" s="7"/>
      <c r="I468" s="6"/>
      <c r="J468" s="9" t="str">
        <f aca="false">IF(NOT(ISNUMBER($G468)),"",IF(AND(ASH_CORRECTED="Yes",ISNUMBER($H468)),$G468*(1-$H468),$G468))</f>
        <v/>
      </c>
      <c r="K468" s="9" t="str">
        <f aca="false">IF($B468="","",IFERROR(AVERAGEIFS('2. Soil Data'!$G$5:$G$604,'2. Soil Data'!$B$5:$B$604,$B468),""))</f>
        <v/>
      </c>
      <c r="L468" s="9" t="str">
        <f aca="false">IF(NOT(ISNUMBER($K468)),"",PI()*($K468/2)^2)</f>
        <v/>
      </c>
      <c r="M468" s="9" t="str">
        <f aca="false">IF(OR(NOT(ISNUMBER($J468)),NOT(ISNUMBER($L468)),$L468=0),"",$J468/$L468*10000)</f>
        <v/>
      </c>
      <c r="N468" s="9" t="str">
        <f aca="false">IF(NOT(ISNUMBER($M468)),"",$M468*CARBON_FRACTION_ROOT/1000)</f>
        <v/>
      </c>
      <c r="O468" s="11" t="str">
        <f aca="false">IF(AND($A468="",$B468="",$G468=""),"",IF(AND($B468&lt;&gt;"",COUNTIFS('2. Soil Data'!$B$5:$B$604,$B468)=0),"Core ID not found in Soil Data, so the corer diameter cannot be looked up. ","")&amp;IF(ASH_CORRECTED&lt;&gt;"Yes","Root mass is NOT ash-corrected, so it includes adhering mineral soil and is too high. Set ASH_CORRECTED once you have done it. ","")&amp;IF(AND(ASH_CORRECTED="Yes",NOT(ISNUMBER($H468))),"Ash correction is switched on but no ash fraction is given for this row. ","")&amp;IF($I468="","Sieve mesh not recorded — a fine-root figure cannot be interpreted without it. ","")&amp;IF(AND(ISNUMBER($H468),$H468&gt;0.5),"Ash fraction above 0.5 — over half this sample was mineral soil. Re-wash. ","")&amp;IF($F468="Not separated","Live and dead not separated. Fine for a stock, but "&amp;"note it in reporting. ",""))</f>
        <v/>
      </c>
      <c r="P468" s="6"/>
      <c r="Q468" s="9" t="n">
        <f aca="false">IF($B468="",0,IF(COUNTIFS($B$5:$B468,$B468)=1,1,0))</f>
        <v>0</v>
      </c>
    </row>
    <row r="469" customFormat="false" ht="15" hidden="false" customHeight="false" outlineLevel="0" collapsed="false">
      <c r="A469" s="6"/>
      <c r="B469" s="6"/>
      <c r="C469" s="6"/>
      <c r="D469" s="6"/>
      <c r="E469" s="6"/>
      <c r="F469" s="6"/>
      <c r="G469" s="7"/>
      <c r="H469" s="7"/>
      <c r="I469" s="6"/>
      <c r="J469" s="9" t="str">
        <f aca="false">IF(NOT(ISNUMBER($G469)),"",IF(AND(ASH_CORRECTED="Yes",ISNUMBER($H469)),$G469*(1-$H469),$G469))</f>
        <v/>
      </c>
      <c r="K469" s="9" t="str">
        <f aca="false">IF($B469="","",IFERROR(AVERAGEIFS('2. Soil Data'!$G$5:$G$604,'2. Soil Data'!$B$5:$B$604,$B469),""))</f>
        <v/>
      </c>
      <c r="L469" s="9" t="str">
        <f aca="false">IF(NOT(ISNUMBER($K469)),"",PI()*($K469/2)^2)</f>
        <v/>
      </c>
      <c r="M469" s="9" t="str">
        <f aca="false">IF(OR(NOT(ISNUMBER($J469)),NOT(ISNUMBER($L469)),$L469=0),"",$J469/$L469*10000)</f>
        <v/>
      </c>
      <c r="N469" s="9" t="str">
        <f aca="false">IF(NOT(ISNUMBER($M469)),"",$M469*CARBON_FRACTION_ROOT/1000)</f>
        <v/>
      </c>
      <c r="O469" s="11" t="str">
        <f aca="false">IF(AND($A469="",$B469="",$G469=""),"",IF(AND($B469&lt;&gt;"",COUNTIFS('2. Soil Data'!$B$5:$B$604,$B469)=0),"Core ID not found in Soil Data, so the corer diameter cannot be looked up. ","")&amp;IF(ASH_CORRECTED&lt;&gt;"Yes","Root mass is NOT ash-corrected, so it includes adhering mineral soil and is too high. Set ASH_CORRECTED once you have done it. ","")&amp;IF(AND(ASH_CORRECTED="Yes",NOT(ISNUMBER($H469))),"Ash correction is switched on but no ash fraction is given for this row. ","")&amp;IF($I469="","Sieve mesh not recorded — a fine-root figure cannot be interpreted without it. ","")&amp;IF(AND(ISNUMBER($H469),$H469&gt;0.5),"Ash fraction above 0.5 — over half this sample was mineral soil. Re-wash. ","")&amp;IF($F469="Not separated","Live and dead not separated. Fine for a stock, but "&amp;"note it in reporting. ",""))</f>
        <v/>
      </c>
      <c r="P469" s="6"/>
      <c r="Q469" s="9" t="n">
        <f aca="false">IF($B469="",0,IF(COUNTIFS($B$5:$B469,$B469)=1,1,0))</f>
        <v>0</v>
      </c>
    </row>
    <row r="470" customFormat="false" ht="15" hidden="false" customHeight="false" outlineLevel="0" collapsed="false">
      <c r="A470" s="6"/>
      <c r="B470" s="6"/>
      <c r="C470" s="6"/>
      <c r="D470" s="6"/>
      <c r="E470" s="6"/>
      <c r="F470" s="6"/>
      <c r="G470" s="7"/>
      <c r="H470" s="7"/>
      <c r="I470" s="6"/>
      <c r="J470" s="9" t="str">
        <f aca="false">IF(NOT(ISNUMBER($G470)),"",IF(AND(ASH_CORRECTED="Yes",ISNUMBER($H470)),$G470*(1-$H470),$G470))</f>
        <v/>
      </c>
      <c r="K470" s="9" t="str">
        <f aca="false">IF($B470="","",IFERROR(AVERAGEIFS('2. Soil Data'!$G$5:$G$604,'2. Soil Data'!$B$5:$B$604,$B470),""))</f>
        <v/>
      </c>
      <c r="L470" s="9" t="str">
        <f aca="false">IF(NOT(ISNUMBER($K470)),"",PI()*($K470/2)^2)</f>
        <v/>
      </c>
      <c r="M470" s="9" t="str">
        <f aca="false">IF(OR(NOT(ISNUMBER($J470)),NOT(ISNUMBER($L470)),$L470=0),"",$J470/$L470*10000)</f>
        <v/>
      </c>
      <c r="N470" s="9" t="str">
        <f aca="false">IF(NOT(ISNUMBER($M470)),"",$M470*CARBON_FRACTION_ROOT/1000)</f>
        <v/>
      </c>
      <c r="O470" s="11" t="str">
        <f aca="false">IF(AND($A470="",$B470="",$G470=""),"",IF(AND($B470&lt;&gt;"",COUNTIFS('2. Soil Data'!$B$5:$B$604,$B470)=0),"Core ID not found in Soil Data, so the corer diameter cannot be looked up. ","")&amp;IF(ASH_CORRECTED&lt;&gt;"Yes","Root mass is NOT ash-corrected, so it includes adhering mineral soil and is too high. Set ASH_CORRECTED once you have done it. ","")&amp;IF(AND(ASH_CORRECTED="Yes",NOT(ISNUMBER($H470))),"Ash correction is switched on but no ash fraction is given for this row. ","")&amp;IF($I470="","Sieve mesh not recorded — a fine-root figure cannot be interpreted without it. ","")&amp;IF(AND(ISNUMBER($H470),$H470&gt;0.5),"Ash fraction above 0.5 — over half this sample was mineral soil. Re-wash. ","")&amp;IF($F470="Not separated","Live and dead not separated. Fine for a stock, but "&amp;"note it in reporting. ",""))</f>
        <v/>
      </c>
      <c r="P470" s="6"/>
      <c r="Q470" s="9" t="n">
        <f aca="false">IF($B470="",0,IF(COUNTIFS($B$5:$B470,$B470)=1,1,0))</f>
        <v>0</v>
      </c>
    </row>
    <row r="471" customFormat="false" ht="15" hidden="false" customHeight="false" outlineLevel="0" collapsed="false">
      <c r="A471" s="6"/>
      <c r="B471" s="6"/>
      <c r="C471" s="6"/>
      <c r="D471" s="6"/>
      <c r="E471" s="6"/>
      <c r="F471" s="6"/>
      <c r="G471" s="7"/>
      <c r="H471" s="7"/>
      <c r="I471" s="6"/>
      <c r="J471" s="9" t="str">
        <f aca="false">IF(NOT(ISNUMBER($G471)),"",IF(AND(ASH_CORRECTED="Yes",ISNUMBER($H471)),$G471*(1-$H471),$G471))</f>
        <v/>
      </c>
      <c r="K471" s="9" t="str">
        <f aca="false">IF($B471="","",IFERROR(AVERAGEIFS('2. Soil Data'!$G$5:$G$604,'2. Soil Data'!$B$5:$B$604,$B471),""))</f>
        <v/>
      </c>
      <c r="L471" s="9" t="str">
        <f aca="false">IF(NOT(ISNUMBER($K471)),"",PI()*($K471/2)^2)</f>
        <v/>
      </c>
      <c r="M471" s="9" t="str">
        <f aca="false">IF(OR(NOT(ISNUMBER($J471)),NOT(ISNUMBER($L471)),$L471=0),"",$J471/$L471*10000)</f>
        <v/>
      </c>
      <c r="N471" s="9" t="str">
        <f aca="false">IF(NOT(ISNUMBER($M471)),"",$M471*CARBON_FRACTION_ROOT/1000)</f>
        <v/>
      </c>
      <c r="O471" s="11" t="str">
        <f aca="false">IF(AND($A471="",$B471="",$G471=""),"",IF(AND($B471&lt;&gt;"",COUNTIFS('2. Soil Data'!$B$5:$B$604,$B471)=0),"Core ID not found in Soil Data, so the corer diameter cannot be looked up. ","")&amp;IF(ASH_CORRECTED&lt;&gt;"Yes","Root mass is NOT ash-corrected, so it includes adhering mineral soil and is too high. Set ASH_CORRECTED once you have done it. ","")&amp;IF(AND(ASH_CORRECTED="Yes",NOT(ISNUMBER($H471))),"Ash correction is switched on but no ash fraction is given for this row. ","")&amp;IF($I471="","Sieve mesh not recorded — a fine-root figure cannot be interpreted without it. ","")&amp;IF(AND(ISNUMBER($H471),$H471&gt;0.5),"Ash fraction above 0.5 — over half this sample was mineral soil. Re-wash. ","")&amp;IF($F471="Not separated","Live and dead not separated. Fine for a stock, but "&amp;"note it in reporting. ",""))</f>
        <v/>
      </c>
      <c r="P471" s="6"/>
      <c r="Q471" s="9" t="n">
        <f aca="false">IF($B471="",0,IF(COUNTIFS($B$5:$B471,$B471)=1,1,0))</f>
        <v>0</v>
      </c>
    </row>
    <row r="472" customFormat="false" ht="15" hidden="false" customHeight="false" outlineLevel="0" collapsed="false">
      <c r="A472" s="6"/>
      <c r="B472" s="6"/>
      <c r="C472" s="6"/>
      <c r="D472" s="6"/>
      <c r="E472" s="6"/>
      <c r="F472" s="6"/>
      <c r="G472" s="7"/>
      <c r="H472" s="7"/>
      <c r="I472" s="6"/>
      <c r="J472" s="9" t="str">
        <f aca="false">IF(NOT(ISNUMBER($G472)),"",IF(AND(ASH_CORRECTED="Yes",ISNUMBER($H472)),$G472*(1-$H472),$G472))</f>
        <v/>
      </c>
      <c r="K472" s="9" t="str">
        <f aca="false">IF($B472="","",IFERROR(AVERAGEIFS('2. Soil Data'!$G$5:$G$604,'2. Soil Data'!$B$5:$B$604,$B472),""))</f>
        <v/>
      </c>
      <c r="L472" s="9" t="str">
        <f aca="false">IF(NOT(ISNUMBER($K472)),"",PI()*($K472/2)^2)</f>
        <v/>
      </c>
      <c r="M472" s="9" t="str">
        <f aca="false">IF(OR(NOT(ISNUMBER($J472)),NOT(ISNUMBER($L472)),$L472=0),"",$J472/$L472*10000)</f>
        <v/>
      </c>
      <c r="N472" s="9" t="str">
        <f aca="false">IF(NOT(ISNUMBER($M472)),"",$M472*CARBON_FRACTION_ROOT/1000)</f>
        <v/>
      </c>
      <c r="O472" s="11" t="str">
        <f aca="false">IF(AND($A472="",$B472="",$G472=""),"",IF(AND($B472&lt;&gt;"",COUNTIFS('2. Soil Data'!$B$5:$B$604,$B472)=0),"Core ID not found in Soil Data, so the corer diameter cannot be looked up. ","")&amp;IF(ASH_CORRECTED&lt;&gt;"Yes","Root mass is NOT ash-corrected, so it includes adhering mineral soil and is too high. Set ASH_CORRECTED once you have done it. ","")&amp;IF(AND(ASH_CORRECTED="Yes",NOT(ISNUMBER($H472))),"Ash correction is switched on but no ash fraction is given for this row. ","")&amp;IF($I472="","Sieve mesh not recorded — a fine-root figure cannot be interpreted without it. ","")&amp;IF(AND(ISNUMBER($H472),$H472&gt;0.5),"Ash fraction above 0.5 — over half this sample was mineral soil. Re-wash. ","")&amp;IF($F472="Not separated","Live and dead not separated. Fine for a stock, but "&amp;"note it in reporting. ",""))</f>
        <v/>
      </c>
      <c r="P472" s="6"/>
      <c r="Q472" s="9" t="n">
        <f aca="false">IF($B472="",0,IF(COUNTIFS($B$5:$B472,$B472)=1,1,0))</f>
        <v>0</v>
      </c>
    </row>
    <row r="473" customFormat="false" ht="15" hidden="false" customHeight="false" outlineLevel="0" collapsed="false">
      <c r="A473" s="6"/>
      <c r="B473" s="6"/>
      <c r="C473" s="6"/>
      <c r="D473" s="6"/>
      <c r="E473" s="6"/>
      <c r="F473" s="6"/>
      <c r="G473" s="7"/>
      <c r="H473" s="7"/>
      <c r="I473" s="6"/>
      <c r="J473" s="9" t="str">
        <f aca="false">IF(NOT(ISNUMBER($G473)),"",IF(AND(ASH_CORRECTED="Yes",ISNUMBER($H473)),$G473*(1-$H473),$G473))</f>
        <v/>
      </c>
      <c r="K473" s="9" t="str">
        <f aca="false">IF($B473="","",IFERROR(AVERAGEIFS('2. Soil Data'!$G$5:$G$604,'2. Soil Data'!$B$5:$B$604,$B473),""))</f>
        <v/>
      </c>
      <c r="L473" s="9" t="str">
        <f aca="false">IF(NOT(ISNUMBER($K473)),"",PI()*($K473/2)^2)</f>
        <v/>
      </c>
      <c r="M473" s="9" t="str">
        <f aca="false">IF(OR(NOT(ISNUMBER($J473)),NOT(ISNUMBER($L473)),$L473=0),"",$J473/$L473*10000)</f>
        <v/>
      </c>
      <c r="N473" s="9" t="str">
        <f aca="false">IF(NOT(ISNUMBER($M473)),"",$M473*CARBON_FRACTION_ROOT/1000)</f>
        <v/>
      </c>
      <c r="O473" s="11" t="str">
        <f aca="false">IF(AND($A473="",$B473="",$G473=""),"",IF(AND($B473&lt;&gt;"",COUNTIFS('2. Soil Data'!$B$5:$B$604,$B473)=0),"Core ID not found in Soil Data, so the corer diameter cannot be looked up. ","")&amp;IF(ASH_CORRECTED&lt;&gt;"Yes","Root mass is NOT ash-corrected, so it includes adhering mineral soil and is too high. Set ASH_CORRECTED once you have done it. ","")&amp;IF(AND(ASH_CORRECTED="Yes",NOT(ISNUMBER($H473))),"Ash correction is switched on but no ash fraction is given for this row. ","")&amp;IF($I473="","Sieve mesh not recorded — a fine-root figure cannot be interpreted without it. ","")&amp;IF(AND(ISNUMBER($H473),$H473&gt;0.5),"Ash fraction above 0.5 — over half this sample was mineral soil. Re-wash. ","")&amp;IF($F473="Not separated","Live and dead not separated. Fine for a stock, but "&amp;"note it in reporting. ",""))</f>
        <v/>
      </c>
      <c r="P473" s="6"/>
      <c r="Q473" s="9" t="n">
        <f aca="false">IF($B473="",0,IF(COUNTIFS($B$5:$B473,$B473)=1,1,0))</f>
        <v>0</v>
      </c>
    </row>
    <row r="474" customFormat="false" ht="15" hidden="false" customHeight="false" outlineLevel="0" collapsed="false">
      <c r="A474" s="6"/>
      <c r="B474" s="6"/>
      <c r="C474" s="6"/>
      <c r="D474" s="6"/>
      <c r="E474" s="6"/>
      <c r="F474" s="6"/>
      <c r="G474" s="7"/>
      <c r="H474" s="7"/>
      <c r="I474" s="6"/>
      <c r="J474" s="9" t="str">
        <f aca="false">IF(NOT(ISNUMBER($G474)),"",IF(AND(ASH_CORRECTED="Yes",ISNUMBER($H474)),$G474*(1-$H474),$G474))</f>
        <v/>
      </c>
      <c r="K474" s="9" t="str">
        <f aca="false">IF($B474="","",IFERROR(AVERAGEIFS('2. Soil Data'!$G$5:$G$604,'2. Soil Data'!$B$5:$B$604,$B474),""))</f>
        <v/>
      </c>
      <c r="L474" s="9" t="str">
        <f aca="false">IF(NOT(ISNUMBER($K474)),"",PI()*($K474/2)^2)</f>
        <v/>
      </c>
      <c r="M474" s="9" t="str">
        <f aca="false">IF(OR(NOT(ISNUMBER($J474)),NOT(ISNUMBER($L474)),$L474=0),"",$J474/$L474*10000)</f>
        <v/>
      </c>
      <c r="N474" s="9" t="str">
        <f aca="false">IF(NOT(ISNUMBER($M474)),"",$M474*CARBON_FRACTION_ROOT/1000)</f>
        <v/>
      </c>
      <c r="O474" s="11" t="str">
        <f aca="false">IF(AND($A474="",$B474="",$G474=""),"",IF(AND($B474&lt;&gt;"",COUNTIFS('2. Soil Data'!$B$5:$B$604,$B474)=0),"Core ID not found in Soil Data, so the corer diameter cannot be looked up. ","")&amp;IF(ASH_CORRECTED&lt;&gt;"Yes","Root mass is NOT ash-corrected, so it includes adhering mineral soil and is too high. Set ASH_CORRECTED once you have done it. ","")&amp;IF(AND(ASH_CORRECTED="Yes",NOT(ISNUMBER($H474))),"Ash correction is switched on but no ash fraction is given for this row. ","")&amp;IF($I474="","Sieve mesh not recorded — a fine-root figure cannot be interpreted without it. ","")&amp;IF(AND(ISNUMBER($H474),$H474&gt;0.5),"Ash fraction above 0.5 — over half this sample was mineral soil. Re-wash. ","")&amp;IF($F474="Not separated","Live and dead not separated. Fine for a stock, but "&amp;"note it in reporting. ",""))</f>
        <v/>
      </c>
      <c r="P474" s="6"/>
      <c r="Q474" s="9" t="n">
        <f aca="false">IF($B474="",0,IF(COUNTIFS($B$5:$B474,$B474)=1,1,0))</f>
        <v>0</v>
      </c>
    </row>
    <row r="475" customFormat="false" ht="15" hidden="false" customHeight="false" outlineLevel="0" collapsed="false">
      <c r="A475" s="6"/>
      <c r="B475" s="6"/>
      <c r="C475" s="6"/>
      <c r="D475" s="6"/>
      <c r="E475" s="6"/>
      <c r="F475" s="6"/>
      <c r="G475" s="7"/>
      <c r="H475" s="7"/>
      <c r="I475" s="6"/>
      <c r="J475" s="9" t="str">
        <f aca="false">IF(NOT(ISNUMBER($G475)),"",IF(AND(ASH_CORRECTED="Yes",ISNUMBER($H475)),$G475*(1-$H475),$G475))</f>
        <v/>
      </c>
      <c r="K475" s="9" t="str">
        <f aca="false">IF($B475="","",IFERROR(AVERAGEIFS('2. Soil Data'!$G$5:$G$604,'2. Soil Data'!$B$5:$B$604,$B475),""))</f>
        <v/>
      </c>
      <c r="L475" s="9" t="str">
        <f aca="false">IF(NOT(ISNUMBER($K475)),"",PI()*($K475/2)^2)</f>
        <v/>
      </c>
      <c r="M475" s="9" t="str">
        <f aca="false">IF(OR(NOT(ISNUMBER($J475)),NOT(ISNUMBER($L475)),$L475=0),"",$J475/$L475*10000)</f>
        <v/>
      </c>
      <c r="N475" s="9" t="str">
        <f aca="false">IF(NOT(ISNUMBER($M475)),"",$M475*CARBON_FRACTION_ROOT/1000)</f>
        <v/>
      </c>
      <c r="O475" s="11" t="str">
        <f aca="false">IF(AND($A475="",$B475="",$G475=""),"",IF(AND($B475&lt;&gt;"",COUNTIFS('2. Soil Data'!$B$5:$B$604,$B475)=0),"Core ID not found in Soil Data, so the corer diameter cannot be looked up. ","")&amp;IF(ASH_CORRECTED&lt;&gt;"Yes","Root mass is NOT ash-corrected, so it includes adhering mineral soil and is too high. Set ASH_CORRECTED once you have done it. ","")&amp;IF(AND(ASH_CORRECTED="Yes",NOT(ISNUMBER($H475))),"Ash correction is switched on but no ash fraction is given for this row. ","")&amp;IF($I475="","Sieve mesh not recorded — a fine-root figure cannot be interpreted without it. ","")&amp;IF(AND(ISNUMBER($H475),$H475&gt;0.5),"Ash fraction above 0.5 — over half this sample was mineral soil. Re-wash. ","")&amp;IF($F475="Not separated","Live and dead not separated. Fine for a stock, but "&amp;"note it in reporting. ",""))</f>
        <v/>
      </c>
      <c r="P475" s="6"/>
      <c r="Q475" s="9" t="n">
        <f aca="false">IF($B475="",0,IF(COUNTIFS($B$5:$B475,$B475)=1,1,0))</f>
        <v>0</v>
      </c>
    </row>
    <row r="476" customFormat="false" ht="15" hidden="false" customHeight="false" outlineLevel="0" collapsed="false">
      <c r="A476" s="6"/>
      <c r="B476" s="6"/>
      <c r="C476" s="6"/>
      <c r="D476" s="6"/>
      <c r="E476" s="6"/>
      <c r="F476" s="6"/>
      <c r="G476" s="7"/>
      <c r="H476" s="7"/>
      <c r="I476" s="6"/>
      <c r="J476" s="9" t="str">
        <f aca="false">IF(NOT(ISNUMBER($G476)),"",IF(AND(ASH_CORRECTED="Yes",ISNUMBER($H476)),$G476*(1-$H476),$G476))</f>
        <v/>
      </c>
      <c r="K476" s="9" t="str">
        <f aca="false">IF($B476="","",IFERROR(AVERAGEIFS('2. Soil Data'!$G$5:$G$604,'2. Soil Data'!$B$5:$B$604,$B476),""))</f>
        <v/>
      </c>
      <c r="L476" s="9" t="str">
        <f aca="false">IF(NOT(ISNUMBER($K476)),"",PI()*($K476/2)^2)</f>
        <v/>
      </c>
      <c r="M476" s="9" t="str">
        <f aca="false">IF(OR(NOT(ISNUMBER($J476)),NOT(ISNUMBER($L476)),$L476=0),"",$J476/$L476*10000)</f>
        <v/>
      </c>
      <c r="N476" s="9" t="str">
        <f aca="false">IF(NOT(ISNUMBER($M476)),"",$M476*CARBON_FRACTION_ROOT/1000)</f>
        <v/>
      </c>
      <c r="O476" s="11" t="str">
        <f aca="false">IF(AND($A476="",$B476="",$G476=""),"",IF(AND($B476&lt;&gt;"",COUNTIFS('2. Soil Data'!$B$5:$B$604,$B476)=0),"Core ID not found in Soil Data, so the corer diameter cannot be looked up. ","")&amp;IF(ASH_CORRECTED&lt;&gt;"Yes","Root mass is NOT ash-corrected, so it includes adhering mineral soil and is too high. Set ASH_CORRECTED once you have done it. ","")&amp;IF(AND(ASH_CORRECTED="Yes",NOT(ISNUMBER($H476))),"Ash correction is switched on but no ash fraction is given for this row. ","")&amp;IF($I476="","Sieve mesh not recorded — a fine-root figure cannot be interpreted without it. ","")&amp;IF(AND(ISNUMBER($H476),$H476&gt;0.5),"Ash fraction above 0.5 — over half this sample was mineral soil. Re-wash. ","")&amp;IF($F476="Not separated","Live and dead not separated. Fine for a stock, but "&amp;"note it in reporting. ",""))</f>
        <v/>
      </c>
      <c r="P476" s="6"/>
      <c r="Q476" s="9" t="n">
        <f aca="false">IF($B476="",0,IF(COUNTIFS($B$5:$B476,$B476)=1,1,0))</f>
        <v>0</v>
      </c>
    </row>
    <row r="477" customFormat="false" ht="15" hidden="false" customHeight="false" outlineLevel="0" collapsed="false">
      <c r="A477" s="6"/>
      <c r="B477" s="6"/>
      <c r="C477" s="6"/>
      <c r="D477" s="6"/>
      <c r="E477" s="6"/>
      <c r="F477" s="6"/>
      <c r="G477" s="7"/>
      <c r="H477" s="7"/>
      <c r="I477" s="6"/>
      <c r="J477" s="9" t="str">
        <f aca="false">IF(NOT(ISNUMBER($G477)),"",IF(AND(ASH_CORRECTED="Yes",ISNUMBER($H477)),$G477*(1-$H477),$G477))</f>
        <v/>
      </c>
      <c r="K477" s="9" t="str">
        <f aca="false">IF($B477="","",IFERROR(AVERAGEIFS('2. Soil Data'!$G$5:$G$604,'2. Soil Data'!$B$5:$B$604,$B477),""))</f>
        <v/>
      </c>
      <c r="L477" s="9" t="str">
        <f aca="false">IF(NOT(ISNUMBER($K477)),"",PI()*($K477/2)^2)</f>
        <v/>
      </c>
      <c r="M477" s="9" t="str">
        <f aca="false">IF(OR(NOT(ISNUMBER($J477)),NOT(ISNUMBER($L477)),$L477=0),"",$J477/$L477*10000)</f>
        <v/>
      </c>
      <c r="N477" s="9" t="str">
        <f aca="false">IF(NOT(ISNUMBER($M477)),"",$M477*CARBON_FRACTION_ROOT/1000)</f>
        <v/>
      </c>
      <c r="O477" s="11" t="str">
        <f aca="false">IF(AND($A477="",$B477="",$G477=""),"",IF(AND($B477&lt;&gt;"",COUNTIFS('2. Soil Data'!$B$5:$B$604,$B477)=0),"Core ID not found in Soil Data, so the corer diameter cannot be looked up. ","")&amp;IF(ASH_CORRECTED&lt;&gt;"Yes","Root mass is NOT ash-corrected, so it includes adhering mineral soil and is too high. Set ASH_CORRECTED once you have done it. ","")&amp;IF(AND(ASH_CORRECTED="Yes",NOT(ISNUMBER($H477))),"Ash correction is switched on but no ash fraction is given for this row. ","")&amp;IF($I477="","Sieve mesh not recorded — a fine-root figure cannot be interpreted without it. ","")&amp;IF(AND(ISNUMBER($H477),$H477&gt;0.5),"Ash fraction above 0.5 — over half this sample was mineral soil. Re-wash. ","")&amp;IF($F477="Not separated","Live and dead not separated. Fine for a stock, but "&amp;"note it in reporting. ",""))</f>
        <v/>
      </c>
      <c r="P477" s="6"/>
      <c r="Q477" s="9" t="n">
        <f aca="false">IF($B477="",0,IF(COUNTIFS($B$5:$B477,$B477)=1,1,0))</f>
        <v>0</v>
      </c>
    </row>
    <row r="478" customFormat="false" ht="15" hidden="false" customHeight="false" outlineLevel="0" collapsed="false">
      <c r="A478" s="6"/>
      <c r="B478" s="6"/>
      <c r="C478" s="6"/>
      <c r="D478" s="6"/>
      <c r="E478" s="6"/>
      <c r="F478" s="6"/>
      <c r="G478" s="7"/>
      <c r="H478" s="7"/>
      <c r="I478" s="6"/>
      <c r="J478" s="9" t="str">
        <f aca="false">IF(NOT(ISNUMBER($G478)),"",IF(AND(ASH_CORRECTED="Yes",ISNUMBER($H478)),$G478*(1-$H478),$G478))</f>
        <v/>
      </c>
      <c r="K478" s="9" t="str">
        <f aca="false">IF($B478="","",IFERROR(AVERAGEIFS('2. Soil Data'!$G$5:$G$604,'2. Soil Data'!$B$5:$B$604,$B478),""))</f>
        <v/>
      </c>
      <c r="L478" s="9" t="str">
        <f aca="false">IF(NOT(ISNUMBER($K478)),"",PI()*($K478/2)^2)</f>
        <v/>
      </c>
      <c r="M478" s="9" t="str">
        <f aca="false">IF(OR(NOT(ISNUMBER($J478)),NOT(ISNUMBER($L478)),$L478=0),"",$J478/$L478*10000)</f>
        <v/>
      </c>
      <c r="N478" s="9" t="str">
        <f aca="false">IF(NOT(ISNUMBER($M478)),"",$M478*CARBON_FRACTION_ROOT/1000)</f>
        <v/>
      </c>
      <c r="O478" s="11" t="str">
        <f aca="false">IF(AND($A478="",$B478="",$G478=""),"",IF(AND($B478&lt;&gt;"",COUNTIFS('2. Soil Data'!$B$5:$B$604,$B478)=0),"Core ID not found in Soil Data, so the corer diameter cannot be looked up. ","")&amp;IF(ASH_CORRECTED&lt;&gt;"Yes","Root mass is NOT ash-corrected, so it includes adhering mineral soil and is too high. Set ASH_CORRECTED once you have done it. ","")&amp;IF(AND(ASH_CORRECTED="Yes",NOT(ISNUMBER($H478))),"Ash correction is switched on but no ash fraction is given for this row. ","")&amp;IF($I478="","Sieve mesh not recorded — a fine-root figure cannot be interpreted without it. ","")&amp;IF(AND(ISNUMBER($H478),$H478&gt;0.5),"Ash fraction above 0.5 — over half this sample was mineral soil. Re-wash. ","")&amp;IF($F478="Not separated","Live and dead not separated. Fine for a stock, but "&amp;"note it in reporting. ",""))</f>
        <v/>
      </c>
      <c r="P478" s="6"/>
      <c r="Q478" s="9" t="n">
        <f aca="false">IF($B478="",0,IF(COUNTIFS($B$5:$B478,$B478)=1,1,0))</f>
        <v>0</v>
      </c>
    </row>
    <row r="479" customFormat="false" ht="15" hidden="false" customHeight="false" outlineLevel="0" collapsed="false">
      <c r="A479" s="6"/>
      <c r="B479" s="6"/>
      <c r="C479" s="6"/>
      <c r="D479" s="6"/>
      <c r="E479" s="6"/>
      <c r="F479" s="6"/>
      <c r="G479" s="7"/>
      <c r="H479" s="7"/>
      <c r="I479" s="6"/>
      <c r="J479" s="9" t="str">
        <f aca="false">IF(NOT(ISNUMBER($G479)),"",IF(AND(ASH_CORRECTED="Yes",ISNUMBER($H479)),$G479*(1-$H479),$G479))</f>
        <v/>
      </c>
      <c r="K479" s="9" t="str">
        <f aca="false">IF($B479="","",IFERROR(AVERAGEIFS('2. Soil Data'!$G$5:$G$604,'2. Soil Data'!$B$5:$B$604,$B479),""))</f>
        <v/>
      </c>
      <c r="L479" s="9" t="str">
        <f aca="false">IF(NOT(ISNUMBER($K479)),"",PI()*($K479/2)^2)</f>
        <v/>
      </c>
      <c r="M479" s="9" t="str">
        <f aca="false">IF(OR(NOT(ISNUMBER($J479)),NOT(ISNUMBER($L479)),$L479=0),"",$J479/$L479*10000)</f>
        <v/>
      </c>
      <c r="N479" s="9" t="str">
        <f aca="false">IF(NOT(ISNUMBER($M479)),"",$M479*CARBON_FRACTION_ROOT/1000)</f>
        <v/>
      </c>
      <c r="O479" s="11" t="str">
        <f aca="false">IF(AND($A479="",$B479="",$G479=""),"",IF(AND($B479&lt;&gt;"",COUNTIFS('2. Soil Data'!$B$5:$B$604,$B479)=0),"Core ID not found in Soil Data, so the corer diameter cannot be looked up. ","")&amp;IF(ASH_CORRECTED&lt;&gt;"Yes","Root mass is NOT ash-corrected, so it includes adhering mineral soil and is too high. Set ASH_CORRECTED once you have done it. ","")&amp;IF(AND(ASH_CORRECTED="Yes",NOT(ISNUMBER($H479))),"Ash correction is switched on but no ash fraction is given for this row. ","")&amp;IF($I479="","Sieve mesh not recorded — a fine-root figure cannot be interpreted without it. ","")&amp;IF(AND(ISNUMBER($H479),$H479&gt;0.5),"Ash fraction above 0.5 — over half this sample was mineral soil. Re-wash. ","")&amp;IF($F479="Not separated","Live and dead not separated. Fine for a stock, but "&amp;"note it in reporting. ",""))</f>
        <v/>
      </c>
      <c r="P479" s="6"/>
      <c r="Q479" s="9" t="n">
        <f aca="false">IF($B479="",0,IF(COUNTIFS($B$5:$B479,$B479)=1,1,0))</f>
        <v>0</v>
      </c>
    </row>
    <row r="480" customFormat="false" ht="15" hidden="false" customHeight="false" outlineLevel="0" collapsed="false">
      <c r="A480" s="6"/>
      <c r="B480" s="6"/>
      <c r="C480" s="6"/>
      <c r="D480" s="6"/>
      <c r="E480" s="6"/>
      <c r="F480" s="6"/>
      <c r="G480" s="7"/>
      <c r="H480" s="7"/>
      <c r="I480" s="6"/>
      <c r="J480" s="9" t="str">
        <f aca="false">IF(NOT(ISNUMBER($G480)),"",IF(AND(ASH_CORRECTED="Yes",ISNUMBER($H480)),$G480*(1-$H480),$G480))</f>
        <v/>
      </c>
      <c r="K480" s="9" t="str">
        <f aca="false">IF($B480="","",IFERROR(AVERAGEIFS('2. Soil Data'!$G$5:$G$604,'2. Soil Data'!$B$5:$B$604,$B480),""))</f>
        <v/>
      </c>
      <c r="L480" s="9" t="str">
        <f aca="false">IF(NOT(ISNUMBER($K480)),"",PI()*($K480/2)^2)</f>
        <v/>
      </c>
      <c r="M480" s="9" t="str">
        <f aca="false">IF(OR(NOT(ISNUMBER($J480)),NOT(ISNUMBER($L480)),$L480=0),"",$J480/$L480*10000)</f>
        <v/>
      </c>
      <c r="N480" s="9" t="str">
        <f aca="false">IF(NOT(ISNUMBER($M480)),"",$M480*CARBON_FRACTION_ROOT/1000)</f>
        <v/>
      </c>
      <c r="O480" s="11" t="str">
        <f aca="false">IF(AND($A480="",$B480="",$G480=""),"",IF(AND($B480&lt;&gt;"",COUNTIFS('2. Soil Data'!$B$5:$B$604,$B480)=0),"Core ID not found in Soil Data, so the corer diameter cannot be looked up. ","")&amp;IF(ASH_CORRECTED&lt;&gt;"Yes","Root mass is NOT ash-corrected, so it includes adhering mineral soil and is too high. Set ASH_CORRECTED once you have done it. ","")&amp;IF(AND(ASH_CORRECTED="Yes",NOT(ISNUMBER($H480))),"Ash correction is switched on but no ash fraction is given for this row. ","")&amp;IF($I480="","Sieve mesh not recorded — a fine-root figure cannot be interpreted without it. ","")&amp;IF(AND(ISNUMBER($H480),$H480&gt;0.5),"Ash fraction above 0.5 — over half this sample was mineral soil. Re-wash. ","")&amp;IF($F480="Not separated","Live and dead not separated. Fine for a stock, but "&amp;"note it in reporting. ",""))</f>
        <v/>
      </c>
      <c r="P480" s="6"/>
      <c r="Q480" s="9" t="n">
        <f aca="false">IF($B480="",0,IF(COUNTIFS($B$5:$B480,$B480)=1,1,0))</f>
        <v>0</v>
      </c>
    </row>
    <row r="481" customFormat="false" ht="15" hidden="false" customHeight="false" outlineLevel="0" collapsed="false">
      <c r="A481" s="6"/>
      <c r="B481" s="6"/>
      <c r="C481" s="6"/>
      <c r="D481" s="6"/>
      <c r="E481" s="6"/>
      <c r="F481" s="6"/>
      <c r="G481" s="7"/>
      <c r="H481" s="7"/>
      <c r="I481" s="6"/>
      <c r="J481" s="9" t="str">
        <f aca="false">IF(NOT(ISNUMBER($G481)),"",IF(AND(ASH_CORRECTED="Yes",ISNUMBER($H481)),$G481*(1-$H481),$G481))</f>
        <v/>
      </c>
      <c r="K481" s="9" t="str">
        <f aca="false">IF($B481="","",IFERROR(AVERAGEIFS('2. Soil Data'!$G$5:$G$604,'2. Soil Data'!$B$5:$B$604,$B481),""))</f>
        <v/>
      </c>
      <c r="L481" s="9" t="str">
        <f aca="false">IF(NOT(ISNUMBER($K481)),"",PI()*($K481/2)^2)</f>
        <v/>
      </c>
      <c r="M481" s="9" t="str">
        <f aca="false">IF(OR(NOT(ISNUMBER($J481)),NOT(ISNUMBER($L481)),$L481=0),"",$J481/$L481*10000)</f>
        <v/>
      </c>
      <c r="N481" s="9" t="str">
        <f aca="false">IF(NOT(ISNUMBER($M481)),"",$M481*CARBON_FRACTION_ROOT/1000)</f>
        <v/>
      </c>
      <c r="O481" s="11" t="str">
        <f aca="false">IF(AND($A481="",$B481="",$G481=""),"",IF(AND($B481&lt;&gt;"",COUNTIFS('2. Soil Data'!$B$5:$B$604,$B481)=0),"Core ID not found in Soil Data, so the corer diameter cannot be looked up. ","")&amp;IF(ASH_CORRECTED&lt;&gt;"Yes","Root mass is NOT ash-corrected, so it includes adhering mineral soil and is too high. Set ASH_CORRECTED once you have done it. ","")&amp;IF(AND(ASH_CORRECTED="Yes",NOT(ISNUMBER($H481))),"Ash correction is switched on but no ash fraction is given for this row. ","")&amp;IF($I481="","Sieve mesh not recorded — a fine-root figure cannot be interpreted without it. ","")&amp;IF(AND(ISNUMBER($H481),$H481&gt;0.5),"Ash fraction above 0.5 — over half this sample was mineral soil. Re-wash. ","")&amp;IF($F481="Not separated","Live and dead not separated. Fine for a stock, but "&amp;"note it in reporting. ",""))</f>
        <v/>
      </c>
      <c r="P481" s="6"/>
      <c r="Q481" s="9" t="n">
        <f aca="false">IF($B481="",0,IF(COUNTIFS($B$5:$B481,$B481)=1,1,0))</f>
        <v>0</v>
      </c>
    </row>
    <row r="482" customFormat="false" ht="15" hidden="false" customHeight="false" outlineLevel="0" collapsed="false">
      <c r="A482" s="6"/>
      <c r="B482" s="6"/>
      <c r="C482" s="6"/>
      <c r="D482" s="6"/>
      <c r="E482" s="6"/>
      <c r="F482" s="6"/>
      <c r="G482" s="7"/>
      <c r="H482" s="7"/>
      <c r="I482" s="6"/>
      <c r="J482" s="9" t="str">
        <f aca="false">IF(NOT(ISNUMBER($G482)),"",IF(AND(ASH_CORRECTED="Yes",ISNUMBER($H482)),$G482*(1-$H482),$G482))</f>
        <v/>
      </c>
      <c r="K482" s="9" t="str">
        <f aca="false">IF($B482="","",IFERROR(AVERAGEIFS('2. Soil Data'!$G$5:$G$604,'2. Soil Data'!$B$5:$B$604,$B482),""))</f>
        <v/>
      </c>
      <c r="L482" s="9" t="str">
        <f aca="false">IF(NOT(ISNUMBER($K482)),"",PI()*($K482/2)^2)</f>
        <v/>
      </c>
      <c r="M482" s="9" t="str">
        <f aca="false">IF(OR(NOT(ISNUMBER($J482)),NOT(ISNUMBER($L482)),$L482=0),"",$J482/$L482*10000)</f>
        <v/>
      </c>
      <c r="N482" s="9" t="str">
        <f aca="false">IF(NOT(ISNUMBER($M482)),"",$M482*CARBON_FRACTION_ROOT/1000)</f>
        <v/>
      </c>
      <c r="O482" s="11" t="str">
        <f aca="false">IF(AND($A482="",$B482="",$G482=""),"",IF(AND($B482&lt;&gt;"",COUNTIFS('2. Soil Data'!$B$5:$B$604,$B482)=0),"Core ID not found in Soil Data, so the corer diameter cannot be looked up. ","")&amp;IF(ASH_CORRECTED&lt;&gt;"Yes","Root mass is NOT ash-corrected, so it includes adhering mineral soil and is too high. Set ASH_CORRECTED once you have done it. ","")&amp;IF(AND(ASH_CORRECTED="Yes",NOT(ISNUMBER($H482))),"Ash correction is switched on but no ash fraction is given for this row. ","")&amp;IF($I482="","Sieve mesh not recorded — a fine-root figure cannot be interpreted without it. ","")&amp;IF(AND(ISNUMBER($H482),$H482&gt;0.5),"Ash fraction above 0.5 — over half this sample was mineral soil. Re-wash. ","")&amp;IF($F482="Not separated","Live and dead not separated. Fine for a stock, but "&amp;"note it in reporting. ",""))</f>
        <v/>
      </c>
      <c r="P482" s="6"/>
      <c r="Q482" s="9" t="n">
        <f aca="false">IF($B482="",0,IF(COUNTIFS($B$5:$B482,$B482)=1,1,0))</f>
        <v>0</v>
      </c>
    </row>
    <row r="483" customFormat="false" ht="15" hidden="false" customHeight="false" outlineLevel="0" collapsed="false">
      <c r="A483" s="6"/>
      <c r="B483" s="6"/>
      <c r="C483" s="6"/>
      <c r="D483" s="6"/>
      <c r="E483" s="6"/>
      <c r="F483" s="6"/>
      <c r="G483" s="7"/>
      <c r="H483" s="7"/>
      <c r="I483" s="6"/>
      <c r="J483" s="9" t="str">
        <f aca="false">IF(NOT(ISNUMBER($G483)),"",IF(AND(ASH_CORRECTED="Yes",ISNUMBER($H483)),$G483*(1-$H483),$G483))</f>
        <v/>
      </c>
      <c r="K483" s="9" t="str">
        <f aca="false">IF($B483="","",IFERROR(AVERAGEIFS('2. Soil Data'!$G$5:$G$604,'2. Soil Data'!$B$5:$B$604,$B483),""))</f>
        <v/>
      </c>
      <c r="L483" s="9" t="str">
        <f aca="false">IF(NOT(ISNUMBER($K483)),"",PI()*($K483/2)^2)</f>
        <v/>
      </c>
      <c r="M483" s="9" t="str">
        <f aca="false">IF(OR(NOT(ISNUMBER($J483)),NOT(ISNUMBER($L483)),$L483=0),"",$J483/$L483*10000)</f>
        <v/>
      </c>
      <c r="N483" s="9" t="str">
        <f aca="false">IF(NOT(ISNUMBER($M483)),"",$M483*CARBON_FRACTION_ROOT/1000)</f>
        <v/>
      </c>
      <c r="O483" s="11" t="str">
        <f aca="false">IF(AND($A483="",$B483="",$G483=""),"",IF(AND($B483&lt;&gt;"",COUNTIFS('2. Soil Data'!$B$5:$B$604,$B483)=0),"Core ID not found in Soil Data, so the corer diameter cannot be looked up. ","")&amp;IF(ASH_CORRECTED&lt;&gt;"Yes","Root mass is NOT ash-corrected, so it includes adhering mineral soil and is too high. Set ASH_CORRECTED once you have done it. ","")&amp;IF(AND(ASH_CORRECTED="Yes",NOT(ISNUMBER($H483))),"Ash correction is switched on but no ash fraction is given for this row. ","")&amp;IF($I483="","Sieve mesh not recorded — a fine-root figure cannot be interpreted without it. ","")&amp;IF(AND(ISNUMBER($H483),$H483&gt;0.5),"Ash fraction above 0.5 — over half this sample was mineral soil. Re-wash. ","")&amp;IF($F483="Not separated","Live and dead not separated. Fine for a stock, but "&amp;"note it in reporting. ",""))</f>
        <v/>
      </c>
      <c r="P483" s="6"/>
      <c r="Q483" s="9" t="n">
        <f aca="false">IF($B483="",0,IF(COUNTIFS($B$5:$B483,$B483)=1,1,0))</f>
        <v>0</v>
      </c>
    </row>
    <row r="484" customFormat="false" ht="15" hidden="false" customHeight="false" outlineLevel="0" collapsed="false">
      <c r="A484" s="6"/>
      <c r="B484" s="6"/>
      <c r="C484" s="6"/>
      <c r="D484" s="6"/>
      <c r="E484" s="6"/>
      <c r="F484" s="6"/>
      <c r="G484" s="7"/>
      <c r="H484" s="7"/>
      <c r="I484" s="6"/>
      <c r="J484" s="9" t="str">
        <f aca="false">IF(NOT(ISNUMBER($G484)),"",IF(AND(ASH_CORRECTED="Yes",ISNUMBER($H484)),$G484*(1-$H484),$G484))</f>
        <v/>
      </c>
      <c r="K484" s="9" t="str">
        <f aca="false">IF($B484="","",IFERROR(AVERAGEIFS('2. Soil Data'!$G$5:$G$604,'2. Soil Data'!$B$5:$B$604,$B484),""))</f>
        <v/>
      </c>
      <c r="L484" s="9" t="str">
        <f aca="false">IF(NOT(ISNUMBER($K484)),"",PI()*($K484/2)^2)</f>
        <v/>
      </c>
      <c r="M484" s="9" t="str">
        <f aca="false">IF(OR(NOT(ISNUMBER($J484)),NOT(ISNUMBER($L484)),$L484=0),"",$J484/$L484*10000)</f>
        <v/>
      </c>
      <c r="N484" s="9" t="str">
        <f aca="false">IF(NOT(ISNUMBER($M484)),"",$M484*CARBON_FRACTION_ROOT/1000)</f>
        <v/>
      </c>
      <c r="O484" s="11" t="str">
        <f aca="false">IF(AND($A484="",$B484="",$G484=""),"",IF(AND($B484&lt;&gt;"",COUNTIFS('2. Soil Data'!$B$5:$B$604,$B484)=0),"Core ID not found in Soil Data, so the corer diameter cannot be looked up. ","")&amp;IF(ASH_CORRECTED&lt;&gt;"Yes","Root mass is NOT ash-corrected, so it includes adhering mineral soil and is too high. Set ASH_CORRECTED once you have done it. ","")&amp;IF(AND(ASH_CORRECTED="Yes",NOT(ISNUMBER($H484))),"Ash correction is switched on but no ash fraction is given for this row. ","")&amp;IF($I484="","Sieve mesh not recorded — a fine-root figure cannot be interpreted without it. ","")&amp;IF(AND(ISNUMBER($H484),$H484&gt;0.5),"Ash fraction above 0.5 — over half this sample was mineral soil. Re-wash. ","")&amp;IF($F484="Not separated","Live and dead not separated. Fine for a stock, but "&amp;"note it in reporting. ",""))</f>
        <v/>
      </c>
      <c r="P484" s="6"/>
      <c r="Q484" s="9" t="n">
        <f aca="false">IF($B484="",0,IF(COUNTIFS($B$5:$B484,$B484)=1,1,0))</f>
        <v>0</v>
      </c>
    </row>
    <row r="485" customFormat="false" ht="15" hidden="false" customHeight="false" outlineLevel="0" collapsed="false">
      <c r="A485" s="6"/>
      <c r="B485" s="6"/>
      <c r="C485" s="6"/>
      <c r="D485" s="6"/>
      <c r="E485" s="6"/>
      <c r="F485" s="6"/>
      <c r="G485" s="7"/>
      <c r="H485" s="7"/>
      <c r="I485" s="6"/>
      <c r="J485" s="9" t="str">
        <f aca="false">IF(NOT(ISNUMBER($G485)),"",IF(AND(ASH_CORRECTED="Yes",ISNUMBER($H485)),$G485*(1-$H485),$G485))</f>
        <v/>
      </c>
      <c r="K485" s="9" t="str">
        <f aca="false">IF($B485="","",IFERROR(AVERAGEIFS('2. Soil Data'!$G$5:$G$604,'2. Soil Data'!$B$5:$B$604,$B485),""))</f>
        <v/>
      </c>
      <c r="L485" s="9" t="str">
        <f aca="false">IF(NOT(ISNUMBER($K485)),"",PI()*($K485/2)^2)</f>
        <v/>
      </c>
      <c r="M485" s="9" t="str">
        <f aca="false">IF(OR(NOT(ISNUMBER($J485)),NOT(ISNUMBER($L485)),$L485=0),"",$J485/$L485*10000)</f>
        <v/>
      </c>
      <c r="N485" s="9" t="str">
        <f aca="false">IF(NOT(ISNUMBER($M485)),"",$M485*CARBON_FRACTION_ROOT/1000)</f>
        <v/>
      </c>
      <c r="O485" s="11" t="str">
        <f aca="false">IF(AND($A485="",$B485="",$G485=""),"",IF(AND($B485&lt;&gt;"",COUNTIFS('2. Soil Data'!$B$5:$B$604,$B485)=0),"Core ID not found in Soil Data, so the corer diameter cannot be looked up. ","")&amp;IF(ASH_CORRECTED&lt;&gt;"Yes","Root mass is NOT ash-corrected, so it includes adhering mineral soil and is too high. Set ASH_CORRECTED once you have done it. ","")&amp;IF(AND(ASH_CORRECTED="Yes",NOT(ISNUMBER($H485))),"Ash correction is switched on but no ash fraction is given for this row. ","")&amp;IF($I485="","Sieve mesh not recorded — a fine-root figure cannot be interpreted without it. ","")&amp;IF(AND(ISNUMBER($H485),$H485&gt;0.5),"Ash fraction above 0.5 — over half this sample was mineral soil. Re-wash. ","")&amp;IF($F485="Not separated","Live and dead not separated. Fine for a stock, but "&amp;"note it in reporting. ",""))</f>
        <v/>
      </c>
      <c r="P485" s="6"/>
      <c r="Q485" s="9" t="n">
        <f aca="false">IF($B485="",0,IF(COUNTIFS($B$5:$B485,$B485)=1,1,0))</f>
        <v>0</v>
      </c>
    </row>
    <row r="486" customFormat="false" ht="15" hidden="false" customHeight="false" outlineLevel="0" collapsed="false">
      <c r="A486" s="6"/>
      <c r="B486" s="6"/>
      <c r="C486" s="6"/>
      <c r="D486" s="6"/>
      <c r="E486" s="6"/>
      <c r="F486" s="6"/>
      <c r="G486" s="7"/>
      <c r="H486" s="7"/>
      <c r="I486" s="6"/>
      <c r="J486" s="9" t="str">
        <f aca="false">IF(NOT(ISNUMBER($G486)),"",IF(AND(ASH_CORRECTED="Yes",ISNUMBER($H486)),$G486*(1-$H486),$G486))</f>
        <v/>
      </c>
      <c r="K486" s="9" t="str">
        <f aca="false">IF($B486="","",IFERROR(AVERAGEIFS('2. Soil Data'!$G$5:$G$604,'2. Soil Data'!$B$5:$B$604,$B486),""))</f>
        <v/>
      </c>
      <c r="L486" s="9" t="str">
        <f aca="false">IF(NOT(ISNUMBER($K486)),"",PI()*($K486/2)^2)</f>
        <v/>
      </c>
      <c r="M486" s="9" t="str">
        <f aca="false">IF(OR(NOT(ISNUMBER($J486)),NOT(ISNUMBER($L486)),$L486=0),"",$J486/$L486*10000)</f>
        <v/>
      </c>
      <c r="N486" s="9" t="str">
        <f aca="false">IF(NOT(ISNUMBER($M486)),"",$M486*CARBON_FRACTION_ROOT/1000)</f>
        <v/>
      </c>
      <c r="O486" s="11" t="str">
        <f aca="false">IF(AND($A486="",$B486="",$G486=""),"",IF(AND($B486&lt;&gt;"",COUNTIFS('2. Soil Data'!$B$5:$B$604,$B486)=0),"Core ID not found in Soil Data, so the corer diameter cannot be looked up. ","")&amp;IF(ASH_CORRECTED&lt;&gt;"Yes","Root mass is NOT ash-corrected, so it includes adhering mineral soil and is too high. Set ASH_CORRECTED once you have done it. ","")&amp;IF(AND(ASH_CORRECTED="Yes",NOT(ISNUMBER($H486))),"Ash correction is switched on but no ash fraction is given for this row. ","")&amp;IF($I486="","Sieve mesh not recorded — a fine-root figure cannot be interpreted without it. ","")&amp;IF(AND(ISNUMBER($H486),$H486&gt;0.5),"Ash fraction above 0.5 — over half this sample was mineral soil. Re-wash. ","")&amp;IF($F486="Not separated","Live and dead not separated. Fine for a stock, but "&amp;"note it in reporting. ",""))</f>
        <v/>
      </c>
      <c r="P486" s="6"/>
      <c r="Q486" s="9" t="n">
        <f aca="false">IF($B486="",0,IF(COUNTIFS($B$5:$B486,$B486)=1,1,0))</f>
        <v>0</v>
      </c>
    </row>
    <row r="487" customFormat="false" ht="15" hidden="false" customHeight="false" outlineLevel="0" collapsed="false">
      <c r="A487" s="6"/>
      <c r="B487" s="6"/>
      <c r="C487" s="6"/>
      <c r="D487" s="6"/>
      <c r="E487" s="6"/>
      <c r="F487" s="6"/>
      <c r="G487" s="7"/>
      <c r="H487" s="7"/>
      <c r="I487" s="6"/>
      <c r="J487" s="9" t="str">
        <f aca="false">IF(NOT(ISNUMBER($G487)),"",IF(AND(ASH_CORRECTED="Yes",ISNUMBER($H487)),$G487*(1-$H487),$G487))</f>
        <v/>
      </c>
      <c r="K487" s="9" t="str">
        <f aca="false">IF($B487="","",IFERROR(AVERAGEIFS('2. Soil Data'!$G$5:$G$604,'2. Soil Data'!$B$5:$B$604,$B487),""))</f>
        <v/>
      </c>
      <c r="L487" s="9" t="str">
        <f aca="false">IF(NOT(ISNUMBER($K487)),"",PI()*($K487/2)^2)</f>
        <v/>
      </c>
      <c r="M487" s="9" t="str">
        <f aca="false">IF(OR(NOT(ISNUMBER($J487)),NOT(ISNUMBER($L487)),$L487=0),"",$J487/$L487*10000)</f>
        <v/>
      </c>
      <c r="N487" s="9" t="str">
        <f aca="false">IF(NOT(ISNUMBER($M487)),"",$M487*CARBON_FRACTION_ROOT/1000)</f>
        <v/>
      </c>
      <c r="O487" s="11" t="str">
        <f aca="false">IF(AND($A487="",$B487="",$G487=""),"",IF(AND($B487&lt;&gt;"",COUNTIFS('2. Soil Data'!$B$5:$B$604,$B487)=0),"Core ID not found in Soil Data, so the corer diameter cannot be looked up. ","")&amp;IF(ASH_CORRECTED&lt;&gt;"Yes","Root mass is NOT ash-corrected, so it includes adhering mineral soil and is too high. Set ASH_CORRECTED once you have done it. ","")&amp;IF(AND(ASH_CORRECTED="Yes",NOT(ISNUMBER($H487))),"Ash correction is switched on but no ash fraction is given for this row. ","")&amp;IF($I487="","Sieve mesh not recorded — a fine-root figure cannot be interpreted without it. ","")&amp;IF(AND(ISNUMBER($H487),$H487&gt;0.5),"Ash fraction above 0.5 — over half this sample was mineral soil. Re-wash. ","")&amp;IF($F487="Not separated","Live and dead not separated. Fine for a stock, but "&amp;"note it in reporting. ",""))</f>
        <v/>
      </c>
      <c r="P487" s="6"/>
      <c r="Q487" s="9" t="n">
        <f aca="false">IF($B487="",0,IF(COUNTIFS($B$5:$B487,$B487)=1,1,0))</f>
        <v>0</v>
      </c>
    </row>
    <row r="488" customFormat="false" ht="15" hidden="false" customHeight="false" outlineLevel="0" collapsed="false">
      <c r="A488" s="6"/>
      <c r="B488" s="6"/>
      <c r="C488" s="6"/>
      <c r="D488" s="6"/>
      <c r="E488" s="6"/>
      <c r="F488" s="6"/>
      <c r="G488" s="7"/>
      <c r="H488" s="7"/>
      <c r="I488" s="6"/>
      <c r="J488" s="9" t="str">
        <f aca="false">IF(NOT(ISNUMBER($G488)),"",IF(AND(ASH_CORRECTED="Yes",ISNUMBER($H488)),$G488*(1-$H488),$G488))</f>
        <v/>
      </c>
      <c r="K488" s="9" t="str">
        <f aca="false">IF($B488="","",IFERROR(AVERAGEIFS('2. Soil Data'!$G$5:$G$604,'2. Soil Data'!$B$5:$B$604,$B488),""))</f>
        <v/>
      </c>
      <c r="L488" s="9" t="str">
        <f aca="false">IF(NOT(ISNUMBER($K488)),"",PI()*($K488/2)^2)</f>
        <v/>
      </c>
      <c r="M488" s="9" t="str">
        <f aca="false">IF(OR(NOT(ISNUMBER($J488)),NOT(ISNUMBER($L488)),$L488=0),"",$J488/$L488*10000)</f>
        <v/>
      </c>
      <c r="N488" s="9" t="str">
        <f aca="false">IF(NOT(ISNUMBER($M488)),"",$M488*CARBON_FRACTION_ROOT/1000)</f>
        <v/>
      </c>
      <c r="O488" s="11" t="str">
        <f aca="false">IF(AND($A488="",$B488="",$G488=""),"",IF(AND($B488&lt;&gt;"",COUNTIFS('2. Soil Data'!$B$5:$B$604,$B488)=0),"Core ID not found in Soil Data, so the corer diameter cannot be looked up. ","")&amp;IF(ASH_CORRECTED&lt;&gt;"Yes","Root mass is NOT ash-corrected, so it includes adhering mineral soil and is too high. Set ASH_CORRECTED once you have done it. ","")&amp;IF(AND(ASH_CORRECTED="Yes",NOT(ISNUMBER($H488))),"Ash correction is switched on but no ash fraction is given for this row. ","")&amp;IF($I488="","Sieve mesh not recorded — a fine-root figure cannot be interpreted without it. ","")&amp;IF(AND(ISNUMBER($H488),$H488&gt;0.5),"Ash fraction above 0.5 — over half this sample was mineral soil. Re-wash. ","")&amp;IF($F488="Not separated","Live and dead not separated. Fine for a stock, but "&amp;"note it in reporting. ",""))</f>
        <v/>
      </c>
      <c r="P488" s="6"/>
      <c r="Q488" s="9" t="n">
        <f aca="false">IF($B488="",0,IF(COUNTIFS($B$5:$B488,$B488)=1,1,0))</f>
        <v>0</v>
      </c>
    </row>
    <row r="489" customFormat="false" ht="15" hidden="false" customHeight="false" outlineLevel="0" collapsed="false">
      <c r="A489" s="6"/>
      <c r="B489" s="6"/>
      <c r="C489" s="6"/>
      <c r="D489" s="6"/>
      <c r="E489" s="6"/>
      <c r="F489" s="6"/>
      <c r="G489" s="7"/>
      <c r="H489" s="7"/>
      <c r="I489" s="6"/>
      <c r="J489" s="9" t="str">
        <f aca="false">IF(NOT(ISNUMBER($G489)),"",IF(AND(ASH_CORRECTED="Yes",ISNUMBER($H489)),$G489*(1-$H489),$G489))</f>
        <v/>
      </c>
      <c r="K489" s="9" t="str">
        <f aca="false">IF($B489="","",IFERROR(AVERAGEIFS('2. Soil Data'!$G$5:$G$604,'2. Soil Data'!$B$5:$B$604,$B489),""))</f>
        <v/>
      </c>
      <c r="L489" s="9" t="str">
        <f aca="false">IF(NOT(ISNUMBER($K489)),"",PI()*($K489/2)^2)</f>
        <v/>
      </c>
      <c r="M489" s="9" t="str">
        <f aca="false">IF(OR(NOT(ISNUMBER($J489)),NOT(ISNUMBER($L489)),$L489=0),"",$J489/$L489*10000)</f>
        <v/>
      </c>
      <c r="N489" s="9" t="str">
        <f aca="false">IF(NOT(ISNUMBER($M489)),"",$M489*CARBON_FRACTION_ROOT/1000)</f>
        <v/>
      </c>
      <c r="O489" s="11" t="str">
        <f aca="false">IF(AND($A489="",$B489="",$G489=""),"",IF(AND($B489&lt;&gt;"",COUNTIFS('2. Soil Data'!$B$5:$B$604,$B489)=0),"Core ID not found in Soil Data, so the corer diameter cannot be looked up. ","")&amp;IF(ASH_CORRECTED&lt;&gt;"Yes","Root mass is NOT ash-corrected, so it includes adhering mineral soil and is too high. Set ASH_CORRECTED once you have done it. ","")&amp;IF(AND(ASH_CORRECTED="Yes",NOT(ISNUMBER($H489))),"Ash correction is switched on but no ash fraction is given for this row. ","")&amp;IF($I489="","Sieve mesh not recorded — a fine-root figure cannot be interpreted without it. ","")&amp;IF(AND(ISNUMBER($H489),$H489&gt;0.5),"Ash fraction above 0.5 — over half this sample was mineral soil. Re-wash. ","")&amp;IF($F489="Not separated","Live and dead not separated. Fine for a stock, but "&amp;"note it in reporting. ",""))</f>
        <v/>
      </c>
      <c r="P489" s="6"/>
      <c r="Q489" s="9" t="n">
        <f aca="false">IF($B489="",0,IF(COUNTIFS($B$5:$B489,$B489)=1,1,0))</f>
        <v>0</v>
      </c>
    </row>
    <row r="490" customFormat="false" ht="15" hidden="false" customHeight="false" outlineLevel="0" collapsed="false">
      <c r="A490" s="6"/>
      <c r="B490" s="6"/>
      <c r="C490" s="6"/>
      <c r="D490" s="6"/>
      <c r="E490" s="6"/>
      <c r="F490" s="6"/>
      <c r="G490" s="7"/>
      <c r="H490" s="7"/>
      <c r="I490" s="6"/>
      <c r="J490" s="9" t="str">
        <f aca="false">IF(NOT(ISNUMBER($G490)),"",IF(AND(ASH_CORRECTED="Yes",ISNUMBER($H490)),$G490*(1-$H490),$G490))</f>
        <v/>
      </c>
      <c r="K490" s="9" t="str">
        <f aca="false">IF($B490="","",IFERROR(AVERAGEIFS('2. Soil Data'!$G$5:$G$604,'2. Soil Data'!$B$5:$B$604,$B490),""))</f>
        <v/>
      </c>
      <c r="L490" s="9" t="str">
        <f aca="false">IF(NOT(ISNUMBER($K490)),"",PI()*($K490/2)^2)</f>
        <v/>
      </c>
      <c r="M490" s="9" t="str">
        <f aca="false">IF(OR(NOT(ISNUMBER($J490)),NOT(ISNUMBER($L490)),$L490=0),"",$J490/$L490*10000)</f>
        <v/>
      </c>
      <c r="N490" s="9" t="str">
        <f aca="false">IF(NOT(ISNUMBER($M490)),"",$M490*CARBON_FRACTION_ROOT/1000)</f>
        <v/>
      </c>
      <c r="O490" s="11" t="str">
        <f aca="false">IF(AND($A490="",$B490="",$G490=""),"",IF(AND($B490&lt;&gt;"",COUNTIFS('2. Soil Data'!$B$5:$B$604,$B490)=0),"Core ID not found in Soil Data, so the corer diameter cannot be looked up. ","")&amp;IF(ASH_CORRECTED&lt;&gt;"Yes","Root mass is NOT ash-corrected, so it includes adhering mineral soil and is too high. Set ASH_CORRECTED once you have done it. ","")&amp;IF(AND(ASH_CORRECTED="Yes",NOT(ISNUMBER($H490))),"Ash correction is switched on but no ash fraction is given for this row. ","")&amp;IF($I490="","Sieve mesh not recorded — a fine-root figure cannot be interpreted without it. ","")&amp;IF(AND(ISNUMBER($H490),$H490&gt;0.5),"Ash fraction above 0.5 — over half this sample was mineral soil. Re-wash. ","")&amp;IF($F490="Not separated","Live and dead not separated. Fine for a stock, but "&amp;"note it in reporting. ",""))</f>
        <v/>
      </c>
      <c r="P490" s="6"/>
      <c r="Q490" s="9" t="n">
        <f aca="false">IF($B490="",0,IF(COUNTIFS($B$5:$B490,$B490)=1,1,0))</f>
        <v>0</v>
      </c>
    </row>
    <row r="491" customFormat="false" ht="15" hidden="false" customHeight="false" outlineLevel="0" collapsed="false">
      <c r="A491" s="6"/>
      <c r="B491" s="6"/>
      <c r="C491" s="6"/>
      <c r="D491" s="6"/>
      <c r="E491" s="6"/>
      <c r="F491" s="6"/>
      <c r="G491" s="7"/>
      <c r="H491" s="7"/>
      <c r="I491" s="6"/>
      <c r="J491" s="9" t="str">
        <f aca="false">IF(NOT(ISNUMBER($G491)),"",IF(AND(ASH_CORRECTED="Yes",ISNUMBER($H491)),$G491*(1-$H491),$G491))</f>
        <v/>
      </c>
      <c r="K491" s="9" t="str">
        <f aca="false">IF($B491="","",IFERROR(AVERAGEIFS('2. Soil Data'!$G$5:$G$604,'2. Soil Data'!$B$5:$B$604,$B491),""))</f>
        <v/>
      </c>
      <c r="L491" s="9" t="str">
        <f aca="false">IF(NOT(ISNUMBER($K491)),"",PI()*($K491/2)^2)</f>
        <v/>
      </c>
      <c r="M491" s="9" t="str">
        <f aca="false">IF(OR(NOT(ISNUMBER($J491)),NOT(ISNUMBER($L491)),$L491=0),"",$J491/$L491*10000)</f>
        <v/>
      </c>
      <c r="N491" s="9" t="str">
        <f aca="false">IF(NOT(ISNUMBER($M491)),"",$M491*CARBON_FRACTION_ROOT/1000)</f>
        <v/>
      </c>
      <c r="O491" s="11" t="str">
        <f aca="false">IF(AND($A491="",$B491="",$G491=""),"",IF(AND($B491&lt;&gt;"",COUNTIFS('2. Soil Data'!$B$5:$B$604,$B491)=0),"Core ID not found in Soil Data, so the corer diameter cannot be looked up. ","")&amp;IF(ASH_CORRECTED&lt;&gt;"Yes","Root mass is NOT ash-corrected, so it includes adhering mineral soil and is too high. Set ASH_CORRECTED once you have done it. ","")&amp;IF(AND(ASH_CORRECTED="Yes",NOT(ISNUMBER($H491))),"Ash correction is switched on but no ash fraction is given for this row. ","")&amp;IF($I491="","Sieve mesh not recorded — a fine-root figure cannot be interpreted without it. ","")&amp;IF(AND(ISNUMBER($H491),$H491&gt;0.5),"Ash fraction above 0.5 — over half this sample was mineral soil. Re-wash. ","")&amp;IF($F491="Not separated","Live and dead not separated. Fine for a stock, but "&amp;"note it in reporting. ",""))</f>
        <v/>
      </c>
      <c r="P491" s="6"/>
      <c r="Q491" s="9" t="n">
        <f aca="false">IF($B491="",0,IF(COUNTIFS($B$5:$B491,$B491)=1,1,0))</f>
        <v>0</v>
      </c>
    </row>
    <row r="492" customFormat="false" ht="15" hidden="false" customHeight="false" outlineLevel="0" collapsed="false">
      <c r="A492" s="6"/>
      <c r="B492" s="6"/>
      <c r="C492" s="6"/>
      <c r="D492" s="6"/>
      <c r="E492" s="6"/>
      <c r="F492" s="6"/>
      <c r="G492" s="7"/>
      <c r="H492" s="7"/>
      <c r="I492" s="6"/>
      <c r="J492" s="9" t="str">
        <f aca="false">IF(NOT(ISNUMBER($G492)),"",IF(AND(ASH_CORRECTED="Yes",ISNUMBER($H492)),$G492*(1-$H492),$G492))</f>
        <v/>
      </c>
      <c r="K492" s="9" t="str">
        <f aca="false">IF($B492="","",IFERROR(AVERAGEIFS('2. Soil Data'!$G$5:$G$604,'2. Soil Data'!$B$5:$B$604,$B492),""))</f>
        <v/>
      </c>
      <c r="L492" s="9" t="str">
        <f aca="false">IF(NOT(ISNUMBER($K492)),"",PI()*($K492/2)^2)</f>
        <v/>
      </c>
      <c r="M492" s="9" t="str">
        <f aca="false">IF(OR(NOT(ISNUMBER($J492)),NOT(ISNUMBER($L492)),$L492=0),"",$J492/$L492*10000)</f>
        <v/>
      </c>
      <c r="N492" s="9" t="str">
        <f aca="false">IF(NOT(ISNUMBER($M492)),"",$M492*CARBON_FRACTION_ROOT/1000)</f>
        <v/>
      </c>
      <c r="O492" s="11" t="str">
        <f aca="false">IF(AND($A492="",$B492="",$G492=""),"",IF(AND($B492&lt;&gt;"",COUNTIFS('2. Soil Data'!$B$5:$B$604,$B492)=0),"Core ID not found in Soil Data, so the corer diameter cannot be looked up. ","")&amp;IF(ASH_CORRECTED&lt;&gt;"Yes","Root mass is NOT ash-corrected, so it includes adhering mineral soil and is too high. Set ASH_CORRECTED once you have done it. ","")&amp;IF(AND(ASH_CORRECTED="Yes",NOT(ISNUMBER($H492))),"Ash correction is switched on but no ash fraction is given for this row. ","")&amp;IF($I492="","Sieve mesh not recorded — a fine-root figure cannot be interpreted without it. ","")&amp;IF(AND(ISNUMBER($H492),$H492&gt;0.5),"Ash fraction above 0.5 — over half this sample was mineral soil. Re-wash. ","")&amp;IF($F492="Not separated","Live and dead not separated. Fine for a stock, but "&amp;"note it in reporting. ",""))</f>
        <v/>
      </c>
      <c r="P492" s="6"/>
      <c r="Q492" s="9" t="n">
        <f aca="false">IF($B492="",0,IF(COUNTIFS($B$5:$B492,$B492)=1,1,0))</f>
        <v>0</v>
      </c>
    </row>
    <row r="493" customFormat="false" ht="15" hidden="false" customHeight="false" outlineLevel="0" collapsed="false">
      <c r="A493" s="6"/>
      <c r="B493" s="6"/>
      <c r="C493" s="6"/>
      <c r="D493" s="6"/>
      <c r="E493" s="6"/>
      <c r="F493" s="6"/>
      <c r="G493" s="7"/>
      <c r="H493" s="7"/>
      <c r="I493" s="6"/>
      <c r="J493" s="9" t="str">
        <f aca="false">IF(NOT(ISNUMBER($G493)),"",IF(AND(ASH_CORRECTED="Yes",ISNUMBER($H493)),$G493*(1-$H493),$G493))</f>
        <v/>
      </c>
      <c r="K493" s="9" t="str">
        <f aca="false">IF($B493="","",IFERROR(AVERAGEIFS('2. Soil Data'!$G$5:$G$604,'2. Soil Data'!$B$5:$B$604,$B493),""))</f>
        <v/>
      </c>
      <c r="L493" s="9" t="str">
        <f aca="false">IF(NOT(ISNUMBER($K493)),"",PI()*($K493/2)^2)</f>
        <v/>
      </c>
      <c r="M493" s="9" t="str">
        <f aca="false">IF(OR(NOT(ISNUMBER($J493)),NOT(ISNUMBER($L493)),$L493=0),"",$J493/$L493*10000)</f>
        <v/>
      </c>
      <c r="N493" s="9" t="str">
        <f aca="false">IF(NOT(ISNUMBER($M493)),"",$M493*CARBON_FRACTION_ROOT/1000)</f>
        <v/>
      </c>
      <c r="O493" s="11" t="str">
        <f aca="false">IF(AND($A493="",$B493="",$G493=""),"",IF(AND($B493&lt;&gt;"",COUNTIFS('2. Soil Data'!$B$5:$B$604,$B493)=0),"Core ID not found in Soil Data, so the corer diameter cannot be looked up. ","")&amp;IF(ASH_CORRECTED&lt;&gt;"Yes","Root mass is NOT ash-corrected, so it includes adhering mineral soil and is too high. Set ASH_CORRECTED once you have done it. ","")&amp;IF(AND(ASH_CORRECTED="Yes",NOT(ISNUMBER($H493))),"Ash correction is switched on but no ash fraction is given for this row. ","")&amp;IF($I493="","Sieve mesh not recorded — a fine-root figure cannot be interpreted without it. ","")&amp;IF(AND(ISNUMBER($H493),$H493&gt;0.5),"Ash fraction above 0.5 — over half this sample was mineral soil. Re-wash. ","")&amp;IF($F493="Not separated","Live and dead not separated. Fine for a stock, but "&amp;"note it in reporting. ",""))</f>
        <v/>
      </c>
      <c r="P493" s="6"/>
      <c r="Q493" s="9" t="n">
        <f aca="false">IF($B493="",0,IF(COUNTIFS($B$5:$B493,$B493)=1,1,0))</f>
        <v>0</v>
      </c>
    </row>
    <row r="494" customFormat="false" ht="15" hidden="false" customHeight="false" outlineLevel="0" collapsed="false">
      <c r="A494" s="6"/>
      <c r="B494" s="6"/>
      <c r="C494" s="6"/>
      <c r="D494" s="6"/>
      <c r="E494" s="6"/>
      <c r="F494" s="6"/>
      <c r="G494" s="7"/>
      <c r="H494" s="7"/>
      <c r="I494" s="6"/>
      <c r="J494" s="9" t="str">
        <f aca="false">IF(NOT(ISNUMBER($G494)),"",IF(AND(ASH_CORRECTED="Yes",ISNUMBER($H494)),$G494*(1-$H494),$G494))</f>
        <v/>
      </c>
      <c r="K494" s="9" t="str">
        <f aca="false">IF($B494="","",IFERROR(AVERAGEIFS('2. Soil Data'!$G$5:$G$604,'2. Soil Data'!$B$5:$B$604,$B494),""))</f>
        <v/>
      </c>
      <c r="L494" s="9" t="str">
        <f aca="false">IF(NOT(ISNUMBER($K494)),"",PI()*($K494/2)^2)</f>
        <v/>
      </c>
      <c r="M494" s="9" t="str">
        <f aca="false">IF(OR(NOT(ISNUMBER($J494)),NOT(ISNUMBER($L494)),$L494=0),"",$J494/$L494*10000)</f>
        <v/>
      </c>
      <c r="N494" s="9" t="str">
        <f aca="false">IF(NOT(ISNUMBER($M494)),"",$M494*CARBON_FRACTION_ROOT/1000)</f>
        <v/>
      </c>
      <c r="O494" s="11" t="str">
        <f aca="false">IF(AND($A494="",$B494="",$G494=""),"",IF(AND($B494&lt;&gt;"",COUNTIFS('2. Soil Data'!$B$5:$B$604,$B494)=0),"Core ID not found in Soil Data, so the corer diameter cannot be looked up. ","")&amp;IF(ASH_CORRECTED&lt;&gt;"Yes","Root mass is NOT ash-corrected, so it includes adhering mineral soil and is too high. Set ASH_CORRECTED once you have done it. ","")&amp;IF(AND(ASH_CORRECTED="Yes",NOT(ISNUMBER($H494))),"Ash correction is switched on but no ash fraction is given for this row. ","")&amp;IF($I494="","Sieve mesh not recorded — a fine-root figure cannot be interpreted without it. ","")&amp;IF(AND(ISNUMBER($H494),$H494&gt;0.5),"Ash fraction above 0.5 — over half this sample was mineral soil. Re-wash. ","")&amp;IF($F494="Not separated","Live and dead not separated. Fine for a stock, but "&amp;"note it in reporting. ",""))</f>
        <v/>
      </c>
      <c r="P494" s="6"/>
      <c r="Q494" s="9" t="n">
        <f aca="false">IF($B494="",0,IF(COUNTIFS($B$5:$B494,$B494)=1,1,0))</f>
        <v>0</v>
      </c>
    </row>
    <row r="495" customFormat="false" ht="15" hidden="false" customHeight="false" outlineLevel="0" collapsed="false">
      <c r="A495" s="6"/>
      <c r="B495" s="6"/>
      <c r="C495" s="6"/>
      <c r="D495" s="6"/>
      <c r="E495" s="6"/>
      <c r="F495" s="6"/>
      <c r="G495" s="7"/>
      <c r="H495" s="7"/>
      <c r="I495" s="6"/>
      <c r="J495" s="9" t="str">
        <f aca="false">IF(NOT(ISNUMBER($G495)),"",IF(AND(ASH_CORRECTED="Yes",ISNUMBER($H495)),$G495*(1-$H495),$G495))</f>
        <v/>
      </c>
      <c r="K495" s="9" t="str">
        <f aca="false">IF($B495="","",IFERROR(AVERAGEIFS('2. Soil Data'!$G$5:$G$604,'2. Soil Data'!$B$5:$B$604,$B495),""))</f>
        <v/>
      </c>
      <c r="L495" s="9" t="str">
        <f aca="false">IF(NOT(ISNUMBER($K495)),"",PI()*($K495/2)^2)</f>
        <v/>
      </c>
      <c r="M495" s="9" t="str">
        <f aca="false">IF(OR(NOT(ISNUMBER($J495)),NOT(ISNUMBER($L495)),$L495=0),"",$J495/$L495*10000)</f>
        <v/>
      </c>
      <c r="N495" s="9" t="str">
        <f aca="false">IF(NOT(ISNUMBER($M495)),"",$M495*CARBON_FRACTION_ROOT/1000)</f>
        <v/>
      </c>
      <c r="O495" s="11" t="str">
        <f aca="false">IF(AND($A495="",$B495="",$G495=""),"",IF(AND($B495&lt;&gt;"",COUNTIFS('2. Soil Data'!$B$5:$B$604,$B495)=0),"Core ID not found in Soil Data, so the corer diameter cannot be looked up. ","")&amp;IF(ASH_CORRECTED&lt;&gt;"Yes","Root mass is NOT ash-corrected, so it includes adhering mineral soil and is too high. Set ASH_CORRECTED once you have done it. ","")&amp;IF(AND(ASH_CORRECTED="Yes",NOT(ISNUMBER($H495))),"Ash correction is switched on but no ash fraction is given for this row. ","")&amp;IF($I495="","Sieve mesh not recorded — a fine-root figure cannot be interpreted without it. ","")&amp;IF(AND(ISNUMBER($H495),$H495&gt;0.5),"Ash fraction above 0.5 — over half this sample was mineral soil. Re-wash. ","")&amp;IF($F495="Not separated","Live and dead not separated. Fine for a stock, but "&amp;"note it in reporting. ",""))</f>
        <v/>
      </c>
      <c r="P495" s="6"/>
      <c r="Q495" s="9" t="n">
        <f aca="false">IF($B495="",0,IF(COUNTIFS($B$5:$B495,$B495)=1,1,0))</f>
        <v>0</v>
      </c>
    </row>
    <row r="496" customFormat="false" ht="15" hidden="false" customHeight="false" outlineLevel="0" collapsed="false">
      <c r="A496" s="6"/>
      <c r="B496" s="6"/>
      <c r="C496" s="6"/>
      <c r="D496" s="6"/>
      <c r="E496" s="6"/>
      <c r="F496" s="6"/>
      <c r="G496" s="7"/>
      <c r="H496" s="7"/>
      <c r="I496" s="6"/>
      <c r="J496" s="9" t="str">
        <f aca="false">IF(NOT(ISNUMBER($G496)),"",IF(AND(ASH_CORRECTED="Yes",ISNUMBER($H496)),$G496*(1-$H496),$G496))</f>
        <v/>
      </c>
      <c r="K496" s="9" t="str">
        <f aca="false">IF($B496="","",IFERROR(AVERAGEIFS('2. Soil Data'!$G$5:$G$604,'2. Soil Data'!$B$5:$B$604,$B496),""))</f>
        <v/>
      </c>
      <c r="L496" s="9" t="str">
        <f aca="false">IF(NOT(ISNUMBER($K496)),"",PI()*($K496/2)^2)</f>
        <v/>
      </c>
      <c r="M496" s="9" t="str">
        <f aca="false">IF(OR(NOT(ISNUMBER($J496)),NOT(ISNUMBER($L496)),$L496=0),"",$J496/$L496*10000)</f>
        <v/>
      </c>
      <c r="N496" s="9" t="str">
        <f aca="false">IF(NOT(ISNUMBER($M496)),"",$M496*CARBON_FRACTION_ROOT/1000)</f>
        <v/>
      </c>
      <c r="O496" s="11" t="str">
        <f aca="false">IF(AND($A496="",$B496="",$G496=""),"",IF(AND($B496&lt;&gt;"",COUNTIFS('2. Soil Data'!$B$5:$B$604,$B496)=0),"Core ID not found in Soil Data, so the corer diameter cannot be looked up. ","")&amp;IF(ASH_CORRECTED&lt;&gt;"Yes","Root mass is NOT ash-corrected, so it includes adhering mineral soil and is too high. Set ASH_CORRECTED once you have done it. ","")&amp;IF(AND(ASH_CORRECTED="Yes",NOT(ISNUMBER($H496))),"Ash correction is switched on but no ash fraction is given for this row. ","")&amp;IF($I496="","Sieve mesh not recorded — a fine-root figure cannot be interpreted without it. ","")&amp;IF(AND(ISNUMBER($H496),$H496&gt;0.5),"Ash fraction above 0.5 — over half this sample was mineral soil. Re-wash. ","")&amp;IF($F496="Not separated","Live and dead not separated. Fine for a stock, but "&amp;"note it in reporting. ",""))</f>
        <v/>
      </c>
      <c r="P496" s="6"/>
      <c r="Q496" s="9" t="n">
        <f aca="false">IF($B496="",0,IF(COUNTIFS($B$5:$B496,$B496)=1,1,0))</f>
        <v>0</v>
      </c>
    </row>
    <row r="497" customFormat="false" ht="15" hidden="false" customHeight="false" outlineLevel="0" collapsed="false">
      <c r="A497" s="6"/>
      <c r="B497" s="6"/>
      <c r="C497" s="6"/>
      <c r="D497" s="6"/>
      <c r="E497" s="6"/>
      <c r="F497" s="6"/>
      <c r="G497" s="7"/>
      <c r="H497" s="7"/>
      <c r="I497" s="6"/>
      <c r="J497" s="9" t="str">
        <f aca="false">IF(NOT(ISNUMBER($G497)),"",IF(AND(ASH_CORRECTED="Yes",ISNUMBER($H497)),$G497*(1-$H497),$G497))</f>
        <v/>
      </c>
      <c r="K497" s="9" t="str">
        <f aca="false">IF($B497="","",IFERROR(AVERAGEIFS('2. Soil Data'!$G$5:$G$604,'2. Soil Data'!$B$5:$B$604,$B497),""))</f>
        <v/>
      </c>
      <c r="L497" s="9" t="str">
        <f aca="false">IF(NOT(ISNUMBER($K497)),"",PI()*($K497/2)^2)</f>
        <v/>
      </c>
      <c r="M497" s="9" t="str">
        <f aca="false">IF(OR(NOT(ISNUMBER($J497)),NOT(ISNUMBER($L497)),$L497=0),"",$J497/$L497*10000)</f>
        <v/>
      </c>
      <c r="N497" s="9" t="str">
        <f aca="false">IF(NOT(ISNUMBER($M497)),"",$M497*CARBON_FRACTION_ROOT/1000)</f>
        <v/>
      </c>
      <c r="O497" s="11" t="str">
        <f aca="false">IF(AND($A497="",$B497="",$G497=""),"",IF(AND($B497&lt;&gt;"",COUNTIFS('2. Soil Data'!$B$5:$B$604,$B497)=0),"Core ID not found in Soil Data, so the corer diameter cannot be looked up. ","")&amp;IF(ASH_CORRECTED&lt;&gt;"Yes","Root mass is NOT ash-corrected, so it includes adhering mineral soil and is too high. Set ASH_CORRECTED once you have done it. ","")&amp;IF(AND(ASH_CORRECTED="Yes",NOT(ISNUMBER($H497))),"Ash correction is switched on but no ash fraction is given for this row. ","")&amp;IF($I497="","Sieve mesh not recorded — a fine-root figure cannot be interpreted without it. ","")&amp;IF(AND(ISNUMBER($H497),$H497&gt;0.5),"Ash fraction above 0.5 — over half this sample was mineral soil. Re-wash. ","")&amp;IF($F497="Not separated","Live and dead not separated. Fine for a stock, but "&amp;"note it in reporting. ",""))</f>
        <v/>
      </c>
      <c r="P497" s="6"/>
      <c r="Q497" s="9" t="n">
        <f aca="false">IF($B497="",0,IF(COUNTIFS($B$5:$B497,$B497)=1,1,0))</f>
        <v>0</v>
      </c>
    </row>
    <row r="498" customFormat="false" ht="15" hidden="false" customHeight="false" outlineLevel="0" collapsed="false">
      <c r="A498" s="6"/>
      <c r="B498" s="6"/>
      <c r="C498" s="6"/>
      <c r="D498" s="6"/>
      <c r="E498" s="6"/>
      <c r="F498" s="6"/>
      <c r="G498" s="7"/>
      <c r="H498" s="7"/>
      <c r="I498" s="6"/>
      <c r="J498" s="9" t="str">
        <f aca="false">IF(NOT(ISNUMBER($G498)),"",IF(AND(ASH_CORRECTED="Yes",ISNUMBER($H498)),$G498*(1-$H498),$G498))</f>
        <v/>
      </c>
      <c r="K498" s="9" t="str">
        <f aca="false">IF($B498="","",IFERROR(AVERAGEIFS('2. Soil Data'!$G$5:$G$604,'2. Soil Data'!$B$5:$B$604,$B498),""))</f>
        <v/>
      </c>
      <c r="L498" s="9" t="str">
        <f aca="false">IF(NOT(ISNUMBER($K498)),"",PI()*($K498/2)^2)</f>
        <v/>
      </c>
      <c r="M498" s="9" t="str">
        <f aca="false">IF(OR(NOT(ISNUMBER($J498)),NOT(ISNUMBER($L498)),$L498=0),"",$J498/$L498*10000)</f>
        <v/>
      </c>
      <c r="N498" s="9" t="str">
        <f aca="false">IF(NOT(ISNUMBER($M498)),"",$M498*CARBON_FRACTION_ROOT/1000)</f>
        <v/>
      </c>
      <c r="O498" s="11" t="str">
        <f aca="false">IF(AND($A498="",$B498="",$G498=""),"",IF(AND($B498&lt;&gt;"",COUNTIFS('2. Soil Data'!$B$5:$B$604,$B498)=0),"Core ID not found in Soil Data, so the corer diameter cannot be looked up. ","")&amp;IF(ASH_CORRECTED&lt;&gt;"Yes","Root mass is NOT ash-corrected, so it includes adhering mineral soil and is too high. Set ASH_CORRECTED once you have done it. ","")&amp;IF(AND(ASH_CORRECTED="Yes",NOT(ISNUMBER($H498))),"Ash correction is switched on but no ash fraction is given for this row. ","")&amp;IF($I498="","Sieve mesh not recorded — a fine-root figure cannot be interpreted without it. ","")&amp;IF(AND(ISNUMBER($H498),$H498&gt;0.5),"Ash fraction above 0.5 — over half this sample was mineral soil. Re-wash. ","")&amp;IF($F498="Not separated","Live and dead not separated. Fine for a stock, but "&amp;"note it in reporting. ",""))</f>
        <v/>
      </c>
      <c r="P498" s="6"/>
      <c r="Q498" s="9" t="n">
        <f aca="false">IF($B498="",0,IF(COUNTIFS($B$5:$B498,$B498)=1,1,0))</f>
        <v>0</v>
      </c>
    </row>
    <row r="499" customFormat="false" ht="15" hidden="false" customHeight="false" outlineLevel="0" collapsed="false">
      <c r="A499" s="6"/>
      <c r="B499" s="6"/>
      <c r="C499" s="6"/>
      <c r="D499" s="6"/>
      <c r="E499" s="6"/>
      <c r="F499" s="6"/>
      <c r="G499" s="7"/>
      <c r="H499" s="7"/>
      <c r="I499" s="6"/>
      <c r="J499" s="9" t="str">
        <f aca="false">IF(NOT(ISNUMBER($G499)),"",IF(AND(ASH_CORRECTED="Yes",ISNUMBER($H499)),$G499*(1-$H499),$G499))</f>
        <v/>
      </c>
      <c r="K499" s="9" t="str">
        <f aca="false">IF($B499="","",IFERROR(AVERAGEIFS('2. Soil Data'!$G$5:$G$604,'2. Soil Data'!$B$5:$B$604,$B499),""))</f>
        <v/>
      </c>
      <c r="L499" s="9" t="str">
        <f aca="false">IF(NOT(ISNUMBER($K499)),"",PI()*($K499/2)^2)</f>
        <v/>
      </c>
      <c r="M499" s="9" t="str">
        <f aca="false">IF(OR(NOT(ISNUMBER($J499)),NOT(ISNUMBER($L499)),$L499=0),"",$J499/$L499*10000)</f>
        <v/>
      </c>
      <c r="N499" s="9" t="str">
        <f aca="false">IF(NOT(ISNUMBER($M499)),"",$M499*CARBON_FRACTION_ROOT/1000)</f>
        <v/>
      </c>
      <c r="O499" s="11" t="str">
        <f aca="false">IF(AND($A499="",$B499="",$G499=""),"",IF(AND($B499&lt;&gt;"",COUNTIFS('2. Soil Data'!$B$5:$B$604,$B499)=0),"Core ID not found in Soil Data, so the corer diameter cannot be looked up. ","")&amp;IF(ASH_CORRECTED&lt;&gt;"Yes","Root mass is NOT ash-corrected, so it includes adhering mineral soil and is too high. Set ASH_CORRECTED once you have done it. ","")&amp;IF(AND(ASH_CORRECTED="Yes",NOT(ISNUMBER($H499))),"Ash correction is switched on but no ash fraction is given for this row. ","")&amp;IF($I499="","Sieve mesh not recorded — a fine-root figure cannot be interpreted without it. ","")&amp;IF(AND(ISNUMBER($H499),$H499&gt;0.5),"Ash fraction above 0.5 — over half this sample was mineral soil. Re-wash. ","")&amp;IF($F499="Not separated","Live and dead not separated. Fine for a stock, but "&amp;"note it in reporting. ",""))</f>
        <v/>
      </c>
      <c r="P499" s="6"/>
      <c r="Q499" s="9" t="n">
        <f aca="false">IF($B499="",0,IF(COUNTIFS($B$5:$B499,$B499)=1,1,0))</f>
        <v>0</v>
      </c>
    </row>
    <row r="500" customFormat="false" ht="15" hidden="false" customHeight="false" outlineLevel="0" collapsed="false">
      <c r="A500" s="6"/>
      <c r="B500" s="6"/>
      <c r="C500" s="6"/>
      <c r="D500" s="6"/>
      <c r="E500" s="6"/>
      <c r="F500" s="6"/>
      <c r="G500" s="7"/>
      <c r="H500" s="7"/>
      <c r="I500" s="6"/>
      <c r="J500" s="9" t="str">
        <f aca="false">IF(NOT(ISNUMBER($G500)),"",IF(AND(ASH_CORRECTED="Yes",ISNUMBER($H500)),$G500*(1-$H500),$G500))</f>
        <v/>
      </c>
      <c r="K500" s="9" t="str">
        <f aca="false">IF($B500="","",IFERROR(AVERAGEIFS('2. Soil Data'!$G$5:$G$604,'2. Soil Data'!$B$5:$B$604,$B500),""))</f>
        <v/>
      </c>
      <c r="L500" s="9" t="str">
        <f aca="false">IF(NOT(ISNUMBER($K500)),"",PI()*($K500/2)^2)</f>
        <v/>
      </c>
      <c r="M500" s="9" t="str">
        <f aca="false">IF(OR(NOT(ISNUMBER($J500)),NOT(ISNUMBER($L500)),$L500=0),"",$J500/$L500*10000)</f>
        <v/>
      </c>
      <c r="N500" s="9" t="str">
        <f aca="false">IF(NOT(ISNUMBER($M500)),"",$M500*CARBON_FRACTION_ROOT/1000)</f>
        <v/>
      </c>
      <c r="O500" s="11" t="str">
        <f aca="false">IF(AND($A500="",$B500="",$G500=""),"",IF(AND($B500&lt;&gt;"",COUNTIFS('2. Soil Data'!$B$5:$B$604,$B500)=0),"Core ID not found in Soil Data, so the corer diameter cannot be looked up. ","")&amp;IF(ASH_CORRECTED&lt;&gt;"Yes","Root mass is NOT ash-corrected, so it includes adhering mineral soil and is too high. Set ASH_CORRECTED once you have done it. ","")&amp;IF(AND(ASH_CORRECTED="Yes",NOT(ISNUMBER($H500))),"Ash correction is switched on but no ash fraction is given for this row. ","")&amp;IF($I500="","Sieve mesh not recorded — a fine-root figure cannot be interpreted without it. ","")&amp;IF(AND(ISNUMBER($H500),$H500&gt;0.5),"Ash fraction above 0.5 — over half this sample was mineral soil. Re-wash. ","")&amp;IF($F500="Not separated","Live and dead not separated. Fine for a stock, but "&amp;"note it in reporting. ",""))</f>
        <v/>
      </c>
      <c r="P500" s="6"/>
      <c r="Q500" s="9" t="n">
        <f aca="false">IF($B500="",0,IF(COUNTIFS($B$5:$B500,$B500)=1,1,0))</f>
        <v>0</v>
      </c>
    </row>
    <row r="501" customFormat="false" ht="15" hidden="false" customHeight="false" outlineLevel="0" collapsed="false">
      <c r="A501" s="6"/>
      <c r="B501" s="6"/>
      <c r="C501" s="6"/>
      <c r="D501" s="6"/>
      <c r="E501" s="6"/>
      <c r="F501" s="6"/>
      <c r="G501" s="7"/>
      <c r="H501" s="7"/>
      <c r="I501" s="6"/>
      <c r="J501" s="9" t="str">
        <f aca="false">IF(NOT(ISNUMBER($G501)),"",IF(AND(ASH_CORRECTED="Yes",ISNUMBER($H501)),$G501*(1-$H501),$G501))</f>
        <v/>
      </c>
      <c r="K501" s="9" t="str">
        <f aca="false">IF($B501="","",IFERROR(AVERAGEIFS('2. Soil Data'!$G$5:$G$604,'2. Soil Data'!$B$5:$B$604,$B501),""))</f>
        <v/>
      </c>
      <c r="L501" s="9" t="str">
        <f aca="false">IF(NOT(ISNUMBER($K501)),"",PI()*($K501/2)^2)</f>
        <v/>
      </c>
      <c r="M501" s="9" t="str">
        <f aca="false">IF(OR(NOT(ISNUMBER($J501)),NOT(ISNUMBER($L501)),$L501=0),"",$J501/$L501*10000)</f>
        <v/>
      </c>
      <c r="N501" s="9" t="str">
        <f aca="false">IF(NOT(ISNUMBER($M501)),"",$M501*CARBON_FRACTION_ROOT/1000)</f>
        <v/>
      </c>
      <c r="O501" s="11" t="str">
        <f aca="false">IF(AND($A501="",$B501="",$G501=""),"",IF(AND($B501&lt;&gt;"",COUNTIFS('2. Soil Data'!$B$5:$B$604,$B501)=0),"Core ID not found in Soil Data, so the corer diameter cannot be looked up. ","")&amp;IF(ASH_CORRECTED&lt;&gt;"Yes","Root mass is NOT ash-corrected, so it includes adhering mineral soil and is too high. Set ASH_CORRECTED once you have done it. ","")&amp;IF(AND(ASH_CORRECTED="Yes",NOT(ISNUMBER($H501))),"Ash correction is switched on but no ash fraction is given for this row. ","")&amp;IF($I501="","Sieve mesh not recorded — a fine-root figure cannot be interpreted without it. ","")&amp;IF(AND(ISNUMBER($H501),$H501&gt;0.5),"Ash fraction above 0.5 — over half this sample was mineral soil. Re-wash. ","")&amp;IF($F501="Not separated","Live and dead not separated. Fine for a stock, but "&amp;"note it in reporting. ",""))</f>
        <v/>
      </c>
      <c r="P501" s="6"/>
      <c r="Q501" s="9" t="n">
        <f aca="false">IF($B501="",0,IF(COUNTIFS($B$5:$B501,$B501)=1,1,0))</f>
        <v>0</v>
      </c>
    </row>
    <row r="502" customFormat="false" ht="15" hidden="false" customHeight="false" outlineLevel="0" collapsed="false">
      <c r="A502" s="6"/>
      <c r="B502" s="6"/>
      <c r="C502" s="6"/>
      <c r="D502" s="6"/>
      <c r="E502" s="6"/>
      <c r="F502" s="6"/>
      <c r="G502" s="7"/>
      <c r="H502" s="7"/>
      <c r="I502" s="6"/>
      <c r="J502" s="9" t="str">
        <f aca="false">IF(NOT(ISNUMBER($G502)),"",IF(AND(ASH_CORRECTED="Yes",ISNUMBER($H502)),$G502*(1-$H502),$G502))</f>
        <v/>
      </c>
      <c r="K502" s="9" t="str">
        <f aca="false">IF($B502="","",IFERROR(AVERAGEIFS('2. Soil Data'!$G$5:$G$604,'2. Soil Data'!$B$5:$B$604,$B502),""))</f>
        <v/>
      </c>
      <c r="L502" s="9" t="str">
        <f aca="false">IF(NOT(ISNUMBER($K502)),"",PI()*($K502/2)^2)</f>
        <v/>
      </c>
      <c r="M502" s="9" t="str">
        <f aca="false">IF(OR(NOT(ISNUMBER($J502)),NOT(ISNUMBER($L502)),$L502=0),"",$J502/$L502*10000)</f>
        <v/>
      </c>
      <c r="N502" s="9" t="str">
        <f aca="false">IF(NOT(ISNUMBER($M502)),"",$M502*CARBON_FRACTION_ROOT/1000)</f>
        <v/>
      </c>
      <c r="O502" s="11" t="str">
        <f aca="false">IF(AND($A502="",$B502="",$G502=""),"",IF(AND($B502&lt;&gt;"",COUNTIFS('2. Soil Data'!$B$5:$B$604,$B502)=0),"Core ID not found in Soil Data, so the corer diameter cannot be looked up. ","")&amp;IF(ASH_CORRECTED&lt;&gt;"Yes","Root mass is NOT ash-corrected, so it includes adhering mineral soil and is too high. Set ASH_CORRECTED once you have done it. ","")&amp;IF(AND(ASH_CORRECTED="Yes",NOT(ISNUMBER($H502))),"Ash correction is switched on but no ash fraction is given for this row. ","")&amp;IF($I502="","Sieve mesh not recorded — a fine-root figure cannot be interpreted without it. ","")&amp;IF(AND(ISNUMBER($H502),$H502&gt;0.5),"Ash fraction above 0.5 — over half this sample was mineral soil. Re-wash. ","")&amp;IF($F502="Not separated","Live and dead not separated. Fine for a stock, but "&amp;"note it in reporting. ",""))</f>
        <v/>
      </c>
      <c r="P502" s="6"/>
      <c r="Q502" s="9" t="n">
        <f aca="false">IF($B502="",0,IF(COUNTIFS($B$5:$B502,$B502)=1,1,0))</f>
        <v>0</v>
      </c>
    </row>
    <row r="503" customFormat="false" ht="15" hidden="false" customHeight="false" outlineLevel="0" collapsed="false">
      <c r="A503" s="6"/>
      <c r="B503" s="6"/>
      <c r="C503" s="6"/>
      <c r="D503" s="6"/>
      <c r="E503" s="6"/>
      <c r="F503" s="6"/>
      <c r="G503" s="7"/>
      <c r="H503" s="7"/>
      <c r="I503" s="6"/>
      <c r="J503" s="9" t="str">
        <f aca="false">IF(NOT(ISNUMBER($G503)),"",IF(AND(ASH_CORRECTED="Yes",ISNUMBER($H503)),$G503*(1-$H503),$G503))</f>
        <v/>
      </c>
      <c r="K503" s="9" t="str">
        <f aca="false">IF($B503="","",IFERROR(AVERAGEIFS('2. Soil Data'!$G$5:$G$604,'2. Soil Data'!$B$5:$B$604,$B503),""))</f>
        <v/>
      </c>
      <c r="L503" s="9" t="str">
        <f aca="false">IF(NOT(ISNUMBER($K503)),"",PI()*($K503/2)^2)</f>
        <v/>
      </c>
      <c r="M503" s="9" t="str">
        <f aca="false">IF(OR(NOT(ISNUMBER($J503)),NOT(ISNUMBER($L503)),$L503=0),"",$J503/$L503*10000)</f>
        <v/>
      </c>
      <c r="N503" s="9" t="str">
        <f aca="false">IF(NOT(ISNUMBER($M503)),"",$M503*CARBON_FRACTION_ROOT/1000)</f>
        <v/>
      </c>
      <c r="O503" s="11" t="str">
        <f aca="false">IF(AND($A503="",$B503="",$G503=""),"",IF(AND($B503&lt;&gt;"",COUNTIFS('2. Soil Data'!$B$5:$B$604,$B503)=0),"Core ID not found in Soil Data, so the corer diameter cannot be looked up. ","")&amp;IF(ASH_CORRECTED&lt;&gt;"Yes","Root mass is NOT ash-corrected, so it includes adhering mineral soil and is too high. Set ASH_CORRECTED once you have done it. ","")&amp;IF(AND(ASH_CORRECTED="Yes",NOT(ISNUMBER($H503))),"Ash correction is switched on but no ash fraction is given for this row. ","")&amp;IF($I503="","Sieve mesh not recorded — a fine-root figure cannot be interpreted without it. ","")&amp;IF(AND(ISNUMBER($H503),$H503&gt;0.5),"Ash fraction above 0.5 — over half this sample was mineral soil. Re-wash. ","")&amp;IF($F503="Not separated","Live and dead not separated. Fine for a stock, but "&amp;"note it in reporting. ",""))</f>
        <v/>
      </c>
      <c r="P503" s="6"/>
      <c r="Q503" s="9" t="n">
        <f aca="false">IF($B503="",0,IF(COUNTIFS($B$5:$B503,$B503)=1,1,0))</f>
        <v>0</v>
      </c>
    </row>
    <row r="504" customFormat="false" ht="15" hidden="false" customHeight="false" outlineLevel="0" collapsed="false">
      <c r="A504" s="6"/>
      <c r="B504" s="6"/>
      <c r="C504" s="6"/>
      <c r="D504" s="6"/>
      <c r="E504" s="6"/>
      <c r="F504" s="6"/>
      <c r="G504" s="7"/>
      <c r="H504" s="7"/>
      <c r="I504" s="6"/>
      <c r="J504" s="9" t="str">
        <f aca="false">IF(NOT(ISNUMBER($G504)),"",IF(AND(ASH_CORRECTED="Yes",ISNUMBER($H504)),$G504*(1-$H504),$G504))</f>
        <v/>
      </c>
      <c r="K504" s="9" t="str">
        <f aca="false">IF($B504="","",IFERROR(AVERAGEIFS('2. Soil Data'!$G$5:$G$604,'2. Soil Data'!$B$5:$B$604,$B504),""))</f>
        <v/>
      </c>
      <c r="L504" s="9" t="str">
        <f aca="false">IF(NOT(ISNUMBER($K504)),"",PI()*($K504/2)^2)</f>
        <v/>
      </c>
      <c r="M504" s="9" t="str">
        <f aca="false">IF(OR(NOT(ISNUMBER($J504)),NOT(ISNUMBER($L504)),$L504=0),"",$J504/$L504*10000)</f>
        <v/>
      </c>
      <c r="N504" s="9" t="str">
        <f aca="false">IF(NOT(ISNUMBER($M504)),"",$M504*CARBON_FRACTION_ROOT/1000)</f>
        <v/>
      </c>
      <c r="O504" s="11" t="str">
        <f aca="false">IF(AND($A504="",$B504="",$G504=""),"",IF(AND($B504&lt;&gt;"",COUNTIFS('2. Soil Data'!$B$5:$B$604,$B504)=0),"Core ID not found in Soil Data, so the corer diameter cannot be looked up. ","")&amp;IF(ASH_CORRECTED&lt;&gt;"Yes","Root mass is NOT ash-corrected, so it includes adhering mineral soil and is too high. Set ASH_CORRECTED once you have done it. ","")&amp;IF(AND(ASH_CORRECTED="Yes",NOT(ISNUMBER($H504))),"Ash correction is switched on but no ash fraction is given for this row. ","")&amp;IF($I504="","Sieve mesh not recorded — a fine-root figure cannot be interpreted without it. ","")&amp;IF(AND(ISNUMBER($H504),$H504&gt;0.5),"Ash fraction above 0.5 — over half this sample was mineral soil. Re-wash. ","")&amp;IF($F504="Not separated","Live and dead not separated. Fine for a stock, but "&amp;"note it in reporting. ",""))</f>
        <v/>
      </c>
      <c r="P504" s="6"/>
      <c r="Q504" s="9" t="n">
        <f aca="false">IF($B504="",0,IF(COUNTIFS($B$5:$B504,$B504)=1,1,0))</f>
        <v>0</v>
      </c>
    </row>
    <row r="505" customFormat="false" ht="15" hidden="false" customHeight="false" outlineLevel="0" collapsed="false">
      <c r="A505" s="6"/>
      <c r="B505" s="6"/>
      <c r="C505" s="6"/>
      <c r="D505" s="6"/>
      <c r="E505" s="6"/>
      <c r="F505" s="6"/>
      <c r="G505" s="7"/>
      <c r="H505" s="7"/>
      <c r="I505" s="6"/>
      <c r="J505" s="9" t="str">
        <f aca="false">IF(NOT(ISNUMBER($G505)),"",IF(AND(ASH_CORRECTED="Yes",ISNUMBER($H505)),$G505*(1-$H505),$G505))</f>
        <v/>
      </c>
      <c r="K505" s="9" t="str">
        <f aca="false">IF($B505="","",IFERROR(AVERAGEIFS('2. Soil Data'!$G$5:$G$604,'2. Soil Data'!$B$5:$B$604,$B505),""))</f>
        <v/>
      </c>
      <c r="L505" s="9" t="str">
        <f aca="false">IF(NOT(ISNUMBER($K505)),"",PI()*($K505/2)^2)</f>
        <v/>
      </c>
      <c r="M505" s="9" t="str">
        <f aca="false">IF(OR(NOT(ISNUMBER($J505)),NOT(ISNUMBER($L505)),$L505=0),"",$J505/$L505*10000)</f>
        <v/>
      </c>
      <c r="N505" s="9" t="str">
        <f aca="false">IF(NOT(ISNUMBER($M505)),"",$M505*CARBON_FRACTION_ROOT/1000)</f>
        <v/>
      </c>
      <c r="O505" s="11" t="str">
        <f aca="false">IF(AND($A505="",$B505="",$G505=""),"",IF(AND($B505&lt;&gt;"",COUNTIFS('2. Soil Data'!$B$5:$B$604,$B505)=0),"Core ID not found in Soil Data, so the corer diameter cannot be looked up. ","")&amp;IF(ASH_CORRECTED&lt;&gt;"Yes","Root mass is NOT ash-corrected, so it includes adhering mineral soil and is too high. Set ASH_CORRECTED once you have done it. ","")&amp;IF(AND(ASH_CORRECTED="Yes",NOT(ISNUMBER($H505))),"Ash correction is switched on but no ash fraction is given for this row. ","")&amp;IF($I505="","Sieve mesh not recorded — a fine-root figure cannot be interpreted without it. ","")&amp;IF(AND(ISNUMBER($H505),$H505&gt;0.5),"Ash fraction above 0.5 — over half this sample was mineral soil. Re-wash. ","")&amp;IF($F505="Not separated","Live and dead not separated. Fine for a stock, but "&amp;"note it in reporting. ",""))</f>
        <v/>
      </c>
      <c r="P505" s="6"/>
      <c r="Q505" s="9" t="n">
        <f aca="false">IF($B505="",0,IF(COUNTIFS($B$5:$B505,$B505)=1,1,0))</f>
        <v>0</v>
      </c>
    </row>
    <row r="506" customFormat="false" ht="15" hidden="false" customHeight="false" outlineLevel="0" collapsed="false">
      <c r="A506" s="6"/>
      <c r="B506" s="6"/>
      <c r="C506" s="6"/>
      <c r="D506" s="6"/>
      <c r="E506" s="6"/>
      <c r="F506" s="6"/>
      <c r="G506" s="7"/>
      <c r="H506" s="7"/>
      <c r="I506" s="6"/>
      <c r="J506" s="9" t="str">
        <f aca="false">IF(NOT(ISNUMBER($G506)),"",IF(AND(ASH_CORRECTED="Yes",ISNUMBER($H506)),$G506*(1-$H506),$G506))</f>
        <v/>
      </c>
      <c r="K506" s="9" t="str">
        <f aca="false">IF($B506="","",IFERROR(AVERAGEIFS('2. Soil Data'!$G$5:$G$604,'2. Soil Data'!$B$5:$B$604,$B506),""))</f>
        <v/>
      </c>
      <c r="L506" s="9" t="str">
        <f aca="false">IF(NOT(ISNUMBER($K506)),"",PI()*($K506/2)^2)</f>
        <v/>
      </c>
      <c r="M506" s="9" t="str">
        <f aca="false">IF(OR(NOT(ISNUMBER($J506)),NOT(ISNUMBER($L506)),$L506=0),"",$J506/$L506*10000)</f>
        <v/>
      </c>
      <c r="N506" s="9" t="str">
        <f aca="false">IF(NOT(ISNUMBER($M506)),"",$M506*CARBON_FRACTION_ROOT/1000)</f>
        <v/>
      </c>
      <c r="O506" s="11" t="str">
        <f aca="false">IF(AND($A506="",$B506="",$G506=""),"",IF(AND($B506&lt;&gt;"",COUNTIFS('2. Soil Data'!$B$5:$B$604,$B506)=0),"Core ID not found in Soil Data, so the corer diameter cannot be looked up. ","")&amp;IF(ASH_CORRECTED&lt;&gt;"Yes","Root mass is NOT ash-corrected, so it includes adhering mineral soil and is too high. Set ASH_CORRECTED once you have done it. ","")&amp;IF(AND(ASH_CORRECTED="Yes",NOT(ISNUMBER($H506))),"Ash correction is switched on but no ash fraction is given for this row. ","")&amp;IF($I506="","Sieve mesh not recorded — a fine-root figure cannot be interpreted without it. ","")&amp;IF(AND(ISNUMBER($H506),$H506&gt;0.5),"Ash fraction above 0.5 — over half this sample was mineral soil. Re-wash. ","")&amp;IF($F506="Not separated","Live and dead not separated. Fine for a stock, but "&amp;"note it in reporting. ",""))</f>
        <v/>
      </c>
      <c r="P506" s="6"/>
      <c r="Q506" s="9" t="n">
        <f aca="false">IF($B506="",0,IF(COUNTIFS($B$5:$B506,$B506)=1,1,0))</f>
        <v>0</v>
      </c>
    </row>
    <row r="507" customFormat="false" ht="15" hidden="false" customHeight="false" outlineLevel="0" collapsed="false">
      <c r="A507" s="6"/>
      <c r="B507" s="6"/>
      <c r="C507" s="6"/>
      <c r="D507" s="6"/>
      <c r="E507" s="6"/>
      <c r="F507" s="6"/>
      <c r="G507" s="7"/>
      <c r="H507" s="7"/>
      <c r="I507" s="6"/>
      <c r="J507" s="9" t="str">
        <f aca="false">IF(NOT(ISNUMBER($G507)),"",IF(AND(ASH_CORRECTED="Yes",ISNUMBER($H507)),$G507*(1-$H507),$G507))</f>
        <v/>
      </c>
      <c r="K507" s="9" t="str">
        <f aca="false">IF($B507="","",IFERROR(AVERAGEIFS('2. Soil Data'!$G$5:$G$604,'2. Soil Data'!$B$5:$B$604,$B507),""))</f>
        <v/>
      </c>
      <c r="L507" s="9" t="str">
        <f aca="false">IF(NOT(ISNUMBER($K507)),"",PI()*($K507/2)^2)</f>
        <v/>
      </c>
      <c r="M507" s="9" t="str">
        <f aca="false">IF(OR(NOT(ISNUMBER($J507)),NOT(ISNUMBER($L507)),$L507=0),"",$J507/$L507*10000)</f>
        <v/>
      </c>
      <c r="N507" s="9" t="str">
        <f aca="false">IF(NOT(ISNUMBER($M507)),"",$M507*CARBON_FRACTION_ROOT/1000)</f>
        <v/>
      </c>
      <c r="O507" s="11" t="str">
        <f aca="false">IF(AND($A507="",$B507="",$G507=""),"",IF(AND($B507&lt;&gt;"",COUNTIFS('2. Soil Data'!$B$5:$B$604,$B507)=0),"Core ID not found in Soil Data, so the corer diameter cannot be looked up. ","")&amp;IF(ASH_CORRECTED&lt;&gt;"Yes","Root mass is NOT ash-corrected, so it includes adhering mineral soil and is too high. Set ASH_CORRECTED once you have done it. ","")&amp;IF(AND(ASH_CORRECTED="Yes",NOT(ISNUMBER($H507))),"Ash correction is switched on but no ash fraction is given for this row. ","")&amp;IF($I507="","Sieve mesh not recorded — a fine-root figure cannot be interpreted without it. ","")&amp;IF(AND(ISNUMBER($H507),$H507&gt;0.5),"Ash fraction above 0.5 — over half this sample was mineral soil. Re-wash. ","")&amp;IF($F507="Not separated","Live and dead not separated. Fine for a stock, but "&amp;"note it in reporting. ",""))</f>
        <v/>
      </c>
      <c r="P507" s="6"/>
      <c r="Q507" s="9" t="n">
        <f aca="false">IF($B507="",0,IF(COUNTIFS($B$5:$B507,$B507)=1,1,0))</f>
        <v>0</v>
      </c>
    </row>
    <row r="508" customFormat="false" ht="15" hidden="false" customHeight="false" outlineLevel="0" collapsed="false">
      <c r="A508" s="6"/>
      <c r="B508" s="6"/>
      <c r="C508" s="6"/>
      <c r="D508" s="6"/>
      <c r="E508" s="6"/>
      <c r="F508" s="6"/>
      <c r="G508" s="7"/>
      <c r="H508" s="7"/>
      <c r="I508" s="6"/>
      <c r="J508" s="9" t="str">
        <f aca="false">IF(NOT(ISNUMBER($G508)),"",IF(AND(ASH_CORRECTED="Yes",ISNUMBER($H508)),$G508*(1-$H508),$G508))</f>
        <v/>
      </c>
      <c r="K508" s="9" t="str">
        <f aca="false">IF($B508="","",IFERROR(AVERAGEIFS('2. Soil Data'!$G$5:$G$604,'2. Soil Data'!$B$5:$B$604,$B508),""))</f>
        <v/>
      </c>
      <c r="L508" s="9" t="str">
        <f aca="false">IF(NOT(ISNUMBER($K508)),"",PI()*($K508/2)^2)</f>
        <v/>
      </c>
      <c r="M508" s="9" t="str">
        <f aca="false">IF(OR(NOT(ISNUMBER($J508)),NOT(ISNUMBER($L508)),$L508=0),"",$J508/$L508*10000)</f>
        <v/>
      </c>
      <c r="N508" s="9" t="str">
        <f aca="false">IF(NOT(ISNUMBER($M508)),"",$M508*CARBON_FRACTION_ROOT/1000)</f>
        <v/>
      </c>
      <c r="O508" s="11" t="str">
        <f aca="false">IF(AND($A508="",$B508="",$G508=""),"",IF(AND($B508&lt;&gt;"",COUNTIFS('2. Soil Data'!$B$5:$B$604,$B508)=0),"Core ID not found in Soil Data, so the corer diameter cannot be looked up. ","")&amp;IF(ASH_CORRECTED&lt;&gt;"Yes","Root mass is NOT ash-corrected, so it includes adhering mineral soil and is too high. Set ASH_CORRECTED once you have done it. ","")&amp;IF(AND(ASH_CORRECTED="Yes",NOT(ISNUMBER($H508))),"Ash correction is switched on but no ash fraction is given for this row. ","")&amp;IF($I508="","Sieve mesh not recorded — a fine-root figure cannot be interpreted without it. ","")&amp;IF(AND(ISNUMBER($H508),$H508&gt;0.5),"Ash fraction above 0.5 — over half this sample was mineral soil. Re-wash. ","")&amp;IF($F508="Not separated","Live and dead not separated. Fine for a stock, but "&amp;"note it in reporting. ",""))</f>
        <v/>
      </c>
      <c r="P508" s="6"/>
      <c r="Q508" s="9" t="n">
        <f aca="false">IF($B508="",0,IF(COUNTIFS($B$5:$B508,$B508)=1,1,0))</f>
        <v>0</v>
      </c>
    </row>
    <row r="509" customFormat="false" ht="15" hidden="false" customHeight="false" outlineLevel="0" collapsed="false">
      <c r="A509" s="6"/>
      <c r="B509" s="6"/>
      <c r="C509" s="6"/>
      <c r="D509" s="6"/>
      <c r="E509" s="6"/>
      <c r="F509" s="6"/>
      <c r="G509" s="7"/>
      <c r="H509" s="7"/>
      <c r="I509" s="6"/>
      <c r="J509" s="9" t="str">
        <f aca="false">IF(NOT(ISNUMBER($G509)),"",IF(AND(ASH_CORRECTED="Yes",ISNUMBER($H509)),$G509*(1-$H509),$G509))</f>
        <v/>
      </c>
      <c r="K509" s="9" t="str">
        <f aca="false">IF($B509="","",IFERROR(AVERAGEIFS('2. Soil Data'!$G$5:$G$604,'2. Soil Data'!$B$5:$B$604,$B509),""))</f>
        <v/>
      </c>
      <c r="L509" s="9" t="str">
        <f aca="false">IF(NOT(ISNUMBER($K509)),"",PI()*($K509/2)^2)</f>
        <v/>
      </c>
      <c r="M509" s="9" t="str">
        <f aca="false">IF(OR(NOT(ISNUMBER($J509)),NOT(ISNUMBER($L509)),$L509=0),"",$J509/$L509*10000)</f>
        <v/>
      </c>
      <c r="N509" s="9" t="str">
        <f aca="false">IF(NOT(ISNUMBER($M509)),"",$M509*CARBON_FRACTION_ROOT/1000)</f>
        <v/>
      </c>
      <c r="O509" s="11" t="str">
        <f aca="false">IF(AND($A509="",$B509="",$G509=""),"",IF(AND($B509&lt;&gt;"",COUNTIFS('2. Soil Data'!$B$5:$B$604,$B509)=0),"Core ID not found in Soil Data, so the corer diameter cannot be looked up. ","")&amp;IF(ASH_CORRECTED&lt;&gt;"Yes","Root mass is NOT ash-corrected, so it includes adhering mineral soil and is too high. Set ASH_CORRECTED once you have done it. ","")&amp;IF(AND(ASH_CORRECTED="Yes",NOT(ISNUMBER($H509))),"Ash correction is switched on but no ash fraction is given for this row. ","")&amp;IF($I509="","Sieve mesh not recorded — a fine-root figure cannot be interpreted without it. ","")&amp;IF(AND(ISNUMBER($H509),$H509&gt;0.5),"Ash fraction above 0.5 — over half this sample was mineral soil. Re-wash. ","")&amp;IF($F509="Not separated","Live and dead not separated. Fine for a stock, but "&amp;"note it in reporting. ",""))</f>
        <v/>
      </c>
      <c r="P509" s="6"/>
      <c r="Q509" s="9" t="n">
        <f aca="false">IF($B509="",0,IF(COUNTIFS($B$5:$B509,$B509)=1,1,0))</f>
        <v>0</v>
      </c>
    </row>
    <row r="510" customFormat="false" ht="15" hidden="false" customHeight="false" outlineLevel="0" collapsed="false">
      <c r="A510" s="6"/>
      <c r="B510" s="6"/>
      <c r="C510" s="6"/>
      <c r="D510" s="6"/>
      <c r="E510" s="6"/>
      <c r="F510" s="6"/>
      <c r="G510" s="7"/>
      <c r="H510" s="7"/>
      <c r="I510" s="6"/>
      <c r="J510" s="9" t="str">
        <f aca="false">IF(NOT(ISNUMBER($G510)),"",IF(AND(ASH_CORRECTED="Yes",ISNUMBER($H510)),$G510*(1-$H510),$G510))</f>
        <v/>
      </c>
      <c r="K510" s="9" t="str">
        <f aca="false">IF($B510="","",IFERROR(AVERAGEIFS('2. Soil Data'!$G$5:$G$604,'2. Soil Data'!$B$5:$B$604,$B510),""))</f>
        <v/>
      </c>
      <c r="L510" s="9" t="str">
        <f aca="false">IF(NOT(ISNUMBER($K510)),"",PI()*($K510/2)^2)</f>
        <v/>
      </c>
      <c r="M510" s="9" t="str">
        <f aca="false">IF(OR(NOT(ISNUMBER($J510)),NOT(ISNUMBER($L510)),$L510=0),"",$J510/$L510*10000)</f>
        <v/>
      </c>
      <c r="N510" s="9" t="str">
        <f aca="false">IF(NOT(ISNUMBER($M510)),"",$M510*CARBON_FRACTION_ROOT/1000)</f>
        <v/>
      </c>
      <c r="O510" s="11" t="str">
        <f aca="false">IF(AND($A510="",$B510="",$G510=""),"",IF(AND($B510&lt;&gt;"",COUNTIFS('2. Soil Data'!$B$5:$B$604,$B510)=0),"Core ID not found in Soil Data, so the corer diameter cannot be looked up. ","")&amp;IF(ASH_CORRECTED&lt;&gt;"Yes","Root mass is NOT ash-corrected, so it includes adhering mineral soil and is too high. Set ASH_CORRECTED once you have done it. ","")&amp;IF(AND(ASH_CORRECTED="Yes",NOT(ISNUMBER($H510))),"Ash correction is switched on but no ash fraction is given for this row. ","")&amp;IF($I510="","Sieve mesh not recorded — a fine-root figure cannot be interpreted without it. ","")&amp;IF(AND(ISNUMBER($H510),$H510&gt;0.5),"Ash fraction above 0.5 — over half this sample was mineral soil. Re-wash. ","")&amp;IF($F510="Not separated","Live and dead not separated. Fine for a stock, but "&amp;"note it in reporting. ",""))</f>
        <v/>
      </c>
      <c r="P510" s="6"/>
      <c r="Q510" s="9" t="n">
        <f aca="false">IF($B510="",0,IF(COUNTIFS($B$5:$B510,$B510)=1,1,0))</f>
        <v>0</v>
      </c>
    </row>
    <row r="511" customFormat="false" ht="15" hidden="false" customHeight="false" outlineLevel="0" collapsed="false">
      <c r="A511" s="6"/>
      <c r="B511" s="6"/>
      <c r="C511" s="6"/>
      <c r="D511" s="6"/>
      <c r="E511" s="6"/>
      <c r="F511" s="6"/>
      <c r="G511" s="7"/>
      <c r="H511" s="7"/>
      <c r="I511" s="6"/>
      <c r="J511" s="9" t="str">
        <f aca="false">IF(NOT(ISNUMBER($G511)),"",IF(AND(ASH_CORRECTED="Yes",ISNUMBER($H511)),$G511*(1-$H511),$G511))</f>
        <v/>
      </c>
      <c r="K511" s="9" t="str">
        <f aca="false">IF($B511="","",IFERROR(AVERAGEIFS('2. Soil Data'!$G$5:$G$604,'2. Soil Data'!$B$5:$B$604,$B511),""))</f>
        <v/>
      </c>
      <c r="L511" s="9" t="str">
        <f aca="false">IF(NOT(ISNUMBER($K511)),"",PI()*($K511/2)^2)</f>
        <v/>
      </c>
      <c r="M511" s="9" t="str">
        <f aca="false">IF(OR(NOT(ISNUMBER($J511)),NOT(ISNUMBER($L511)),$L511=0),"",$J511/$L511*10000)</f>
        <v/>
      </c>
      <c r="N511" s="9" t="str">
        <f aca="false">IF(NOT(ISNUMBER($M511)),"",$M511*CARBON_FRACTION_ROOT/1000)</f>
        <v/>
      </c>
      <c r="O511" s="11" t="str">
        <f aca="false">IF(AND($A511="",$B511="",$G511=""),"",IF(AND($B511&lt;&gt;"",COUNTIFS('2. Soil Data'!$B$5:$B$604,$B511)=0),"Core ID not found in Soil Data, so the corer diameter cannot be looked up. ","")&amp;IF(ASH_CORRECTED&lt;&gt;"Yes","Root mass is NOT ash-corrected, so it includes adhering mineral soil and is too high. Set ASH_CORRECTED once you have done it. ","")&amp;IF(AND(ASH_CORRECTED="Yes",NOT(ISNUMBER($H511))),"Ash correction is switched on but no ash fraction is given for this row. ","")&amp;IF($I511="","Sieve mesh not recorded — a fine-root figure cannot be interpreted without it. ","")&amp;IF(AND(ISNUMBER($H511),$H511&gt;0.5),"Ash fraction above 0.5 — over half this sample was mineral soil. Re-wash. ","")&amp;IF($F511="Not separated","Live and dead not separated. Fine for a stock, but "&amp;"note it in reporting. ",""))</f>
        <v/>
      </c>
      <c r="P511" s="6"/>
      <c r="Q511" s="9" t="n">
        <f aca="false">IF($B511="",0,IF(COUNTIFS($B$5:$B511,$B511)=1,1,0))</f>
        <v>0</v>
      </c>
    </row>
    <row r="512" customFormat="false" ht="15" hidden="false" customHeight="false" outlineLevel="0" collapsed="false">
      <c r="A512" s="6"/>
      <c r="B512" s="6"/>
      <c r="C512" s="6"/>
      <c r="D512" s="6"/>
      <c r="E512" s="6"/>
      <c r="F512" s="6"/>
      <c r="G512" s="7"/>
      <c r="H512" s="7"/>
      <c r="I512" s="6"/>
      <c r="J512" s="9" t="str">
        <f aca="false">IF(NOT(ISNUMBER($G512)),"",IF(AND(ASH_CORRECTED="Yes",ISNUMBER($H512)),$G512*(1-$H512),$G512))</f>
        <v/>
      </c>
      <c r="K512" s="9" t="str">
        <f aca="false">IF($B512="","",IFERROR(AVERAGEIFS('2. Soil Data'!$G$5:$G$604,'2. Soil Data'!$B$5:$B$604,$B512),""))</f>
        <v/>
      </c>
      <c r="L512" s="9" t="str">
        <f aca="false">IF(NOT(ISNUMBER($K512)),"",PI()*($K512/2)^2)</f>
        <v/>
      </c>
      <c r="M512" s="9" t="str">
        <f aca="false">IF(OR(NOT(ISNUMBER($J512)),NOT(ISNUMBER($L512)),$L512=0),"",$J512/$L512*10000)</f>
        <v/>
      </c>
      <c r="N512" s="9" t="str">
        <f aca="false">IF(NOT(ISNUMBER($M512)),"",$M512*CARBON_FRACTION_ROOT/1000)</f>
        <v/>
      </c>
      <c r="O512" s="11" t="str">
        <f aca="false">IF(AND($A512="",$B512="",$G512=""),"",IF(AND($B512&lt;&gt;"",COUNTIFS('2. Soil Data'!$B$5:$B$604,$B512)=0),"Core ID not found in Soil Data, so the corer diameter cannot be looked up. ","")&amp;IF(ASH_CORRECTED&lt;&gt;"Yes","Root mass is NOT ash-corrected, so it includes adhering mineral soil and is too high. Set ASH_CORRECTED once you have done it. ","")&amp;IF(AND(ASH_CORRECTED="Yes",NOT(ISNUMBER($H512))),"Ash correction is switched on but no ash fraction is given for this row. ","")&amp;IF($I512="","Sieve mesh not recorded — a fine-root figure cannot be interpreted without it. ","")&amp;IF(AND(ISNUMBER($H512),$H512&gt;0.5),"Ash fraction above 0.5 — over half this sample was mineral soil. Re-wash. ","")&amp;IF($F512="Not separated","Live and dead not separated. Fine for a stock, but "&amp;"note it in reporting. ",""))</f>
        <v/>
      </c>
      <c r="P512" s="6"/>
      <c r="Q512" s="9" t="n">
        <f aca="false">IF($B512="",0,IF(COUNTIFS($B$5:$B512,$B512)=1,1,0))</f>
        <v>0</v>
      </c>
    </row>
    <row r="513" customFormat="false" ht="15" hidden="false" customHeight="false" outlineLevel="0" collapsed="false">
      <c r="A513" s="6"/>
      <c r="B513" s="6"/>
      <c r="C513" s="6"/>
      <c r="D513" s="6"/>
      <c r="E513" s="6"/>
      <c r="F513" s="6"/>
      <c r="G513" s="7"/>
      <c r="H513" s="7"/>
      <c r="I513" s="6"/>
      <c r="J513" s="9" t="str">
        <f aca="false">IF(NOT(ISNUMBER($G513)),"",IF(AND(ASH_CORRECTED="Yes",ISNUMBER($H513)),$G513*(1-$H513),$G513))</f>
        <v/>
      </c>
      <c r="K513" s="9" t="str">
        <f aca="false">IF($B513="","",IFERROR(AVERAGEIFS('2. Soil Data'!$G$5:$G$604,'2. Soil Data'!$B$5:$B$604,$B513),""))</f>
        <v/>
      </c>
      <c r="L513" s="9" t="str">
        <f aca="false">IF(NOT(ISNUMBER($K513)),"",PI()*($K513/2)^2)</f>
        <v/>
      </c>
      <c r="M513" s="9" t="str">
        <f aca="false">IF(OR(NOT(ISNUMBER($J513)),NOT(ISNUMBER($L513)),$L513=0),"",$J513/$L513*10000)</f>
        <v/>
      </c>
      <c r="N513" s="9" t="str">
        <f aca="false">IF(NOT(ISNUMBER($M513)),"",$M513*CARBON_FRACTION_ROOT/1000)</f>
        <v/>
      </c>
      <c r="O513" s="11" t="str">
        <f aca="false">IF(AND($A513="",$B513="",$G513=""),"",IF(AND($B513&lt;&gt;"",COUNTIFS('2. Soil Data'!$B$5:$B$604,$B513)=0),"Core ID not found in Soil Data, so the corer diameter cannot be looked up. ","")&amp;IF(ASH_CORRECTED&lt;&gt;"Yes","Root mass is NOT ash-corrected, so it includes adhering mineral soil and is too high. Set ASH_CORRECTED once you have done it. ","")&amp;IF(AND(ASH_CORRECTED="Yes",NOT(ISNUMBER($H513))),"Ash correction is switched on but no ash fraction is given for this row. ","")&amp;IF($I513="","Sieve mesh not recorded — a fine-root figure cannot be interpreted without it. ","")&amp;IF(AND(ISNUMBER($H513),$H513&gt;0.5),"Ash fraction above 0.5 — over half this sample was mineral soil. Re-wash. ","")&amp;IF($F513="Not separated","Live and dead not separated. Fine for a stock, but "&amp;"note it in reporting. ",""))</f>
        <v/>
      </c>
      <c r="P513" s="6"/>
      <c r="Q513" s="9" t="n">
        <f aca="false">IF($B513="",0,IF(COUNTIFS($B$5:$B513,$B513)=1,1,0))</f>
        <v>0</v>
      </c>
    </row>
    <row r="514" customFormat="false" ht="15" hidden="false" customHeight="false" outlineLevel="0" collapsed="false">
      <c r="A514" s="6"/>
      <c r="B514" s="6"/>
      <c r="C514" s="6"/>
      <c r="D514" s="6"/>
      <c r="E514" s="6"/>
      <c r="F514" s="6"/>
      <c r="G514" s="7"/>
      <c r="H514" s="7"/>
      <c r="I514" s="6"/>
      <c r="J514" s="9" t="str">
        <f aca="false">IF(NOT(ISNUMBER($G514)),"",IF(AND(ASH_CORRECTED="Yes",ISNUMBER($H514)),$G514*(1-$H514),$G514))</f>
        <v/>
      </c>
      <c r="K514" s="9" t="str">
        <f aca="false">IF($B514="","",IFERROR(AVERAGEIFS('2. Soil Data'!$G$5:$G$604,'2. Soil Data'!$B$5:$B$604,$B514),""))</f>
        <v/>
      </c>
      <c r="L514" s="9" t="str">
        <f aca="false">IF(NOT(ISNUMBER($K514)),"",PI()*($K514/2)^2)</f>
        <v/>
      </c>
      <c r="M514" s="9" t="str">
        <f aca="false">IF(OR(NOT(ISNUMBER($J514)),NOT(ISNUMBER($L514)),$L514=0),"",$J514/$L514*10000)</f>
        <v/>
      </c>
      <c r="N514" s="9" t="str">
        <f aca="false">IF(NOT(ISNUMBER($M514)),"",$M514*CARBON_FRACTION_ROOT/1000)</f>
        <v/>
      </c>
      <c r="O514" s="11" t="str">
        <f aca="false">IF(AND($A514="",$B514="",$G514=""),"",IF(AND($B514&lt;&gt;"",COUNTIFS('2. Soil Data'!$B$5:$B$604,$B514)=0),"Core ID not found in Soil Data, so the corer diameter cannot be looked up. ","")&amp;IF(ASH_CORRECTED&lt;&gt;"Yes","Root mass is NOT ash-corrected, so it includes adhering mineral soil and is too high. Set ASH_CORRECTED once you have done it. ","")&amp;IF(AND(ASH_CORRECTED="Yes",NOT(ISNUMBER($H514))),"Ash correction is switched on but no ash fraction is given for this row. ","")&amp;IF($I514="","Sieve mesh not recorded — a fine-root figure cannot be interpreted without it. ","")&amp;IF(AND(ISNUMBER($H514),$H514&gt;0.5),"Ash fraction above 0.5 — over half this sample was mineral soil. Re-wash. ","")&amp;IF($F514="Not separated","Live and dead not separated. Fine for a stock, but "&amp;"note it in reporting. ",""))</f>
        <v/>
      </c>
      <c r="P514" s="6"/>
      <c r="Q514" s="9" t="n">
        <f aca="false">IF($B514="",0,IF(COUNTIFS($B$5:$B514,$B514)=1,1,0))</f>
        <v>0</v>
      </c>
    </row>
    <row r="515" customFormat="false" ht="15" hidden="false" customHeight="false" outlineLevel="0" collapsed="false">
      <c r="A515" s="6"/>
      <c r="B515" s="6"/>
      <c r="C515" s="6"/>
      <c r="D515" s="6"/>
      <c r="E515" s="6"/>
      <c r="F515" s="6"/>
      <c r="G515" s="7"/>
      <c r="H515" s="7"/>
      <c r="I515" s="6"/>
      <c r="J515" s="9" t="str">
        <f aca="false">IF(NOT(ISNUMBER($G515)),"",IF(AND(ASH_CORRECTED="Yes",ISNUMBER($H515)),$G515*(1-$H515),$G515))</f>
        <v/>
      </c>
      <c r="K515" s="9" t="str">
        <f aca="false">IF($B515="","",IFERROR(AVERAGEIFS('2. Soil Data'!$G$5:$G$604,'2. Soil Data'!$B$5:$B$604,$B515),""))</f>
        <v/>
      </c>
      <c r="L515" s="9" t="str">
        <f aca="false">IF(NOT(ISNUMBER($K515)),"",PI()*($K515/2)^2)</f>
        <v/>
      </c>
      <c r="M515" s="9" t="str">
        <f aca="false">IF(OR(NOT(ISNUMBER($J515)),NOT(ISNUMBER($L515)),$L515=0),"",$J515/$L515*10000)</f>
        <v/>
      </c>
      <c r="N515" s="9" t="str">
        <f aca="false">IF(NOT(ISNUMBER($M515)),"",$M515*CARBON_FRACTION_ROOT/1000)</f>
        <v/>
      </c>
      <c r="O515" s="11" t="str">
        <f aca="false">IF(AND($A515="",$B515="",$G515=""),"",IF(AND($B515&lt;&gt;"",COUNTIFS('2. Soil Data'!$B$5:$B$604,$B515)=0),"Core ID not found in Soil Data, so the corer diameter cannot be looked up. ","")&amp;IF(ASH_CORRECTED&lt;&gt;"Yes","Root mass is NOT ash-corrected, so it includes adhering mineral soil and is too high. Set ASH_CORRECTED once you have done it. ","")&amp;IF(AND(ASH_CORRECTED="Yes",NOT(ISNUMBER($H515))),"Ash correction is switched on but no ash fraction is given for this row. ","")&amp;IF($I515="","Sieve mesh not recorded — a fine-root figure cannot be interpreted without it. ","")&amp;IF(AND(ISNUMBER($H515),$H515&gt;0.5),"Ash fraction above 0.5 — over half this sample was mineral soil. Re-wash. ","")&amp;IF($F515="Not separated","Live and dead not separated. Fine for a stock, but "&amp;"note it in reporting. ",""))</f>
        <v/>
      </c>
      <c r="P515" s="6"/>
      <c r="Q515" s="9" t="n">
        <f aca="false">IF($B515="",0,IF(COUNTIFS($B$5:$B515,$B515)=1,1,0))</f>
        <v>0</v>
      </c>
    </row>
    <row r="516" customFormat="false" ht="15" hidden="false" customHeight="false" outlineLevel="0" collapsed="false">
      <c r="A516" s="6"/>
      <c r="B516" s="6"/>
      <c r="C516" s="6"/>
      <c r="D516" s="6"/>
      <c r="E516" s="6"/>
      <c r="F516" s="6"/>
      <c r="G516" s="7"/>
      <c r="H516" s="7"/>
      <c r="I516" s="6"/>
      <c r="J516" s="9" t="str">
        <f aca="false">IF(NOT(ISNUMBER($G516)),"",IF(AND(ASH_CORRECTED="Yes",ISNUMBER($H516)),$G516*(1-$H516),$G516))</f>
        <v/>
      </c>
      <c r="K516" s="9" t="str">
        <f aca="false">IF($B516="","",IFERROR(AVERAGEIFS('2. Soil Data'!$G$5:$G$604,'2. Soil Data'!$B$5:$B$604,$B516),""))</f>
        <v/>
      </c>
      <c r="L516" s="9" t="str">
        <f aca="false">IF(NOT(ISNUMBER($K516)),"",PI()*($K516/2)^2)</f>
        <v/>
      </c>
      <c r="M516" s="9" t="str">
        <f aca="false">IF(OR(NOT(ISNUMBER($J516)),NOT(ISNUMBER($L516)),$L516=0),"",$J516/$L516*10000)</f>
        <v/>
      </c>
      <c r="N516" s="9" t="str">
        <f aca="false">IF(NOT(ISNUMBER($M516)),"",$M516*CARBON_FRACTION_ROOT/1000)</f>
        <v/>
      </c>
      <c r="O516" s="11" t="str">
        <f aca="false">IF(AND($A516="",$B516="",$G516=""),"",IF(AND($B516&lt;&gt;"",COUNTIFS('2. Soil Data'!$B$5:$B$604,$B516)=0),"Core ID not found in Soil Data, so the corer diameter cannot be looked up. ","")&amp;IF(ASH_CORRECTED&lt;&gt;"Yes","Root mass is NOT ash-corrected, so it includes adhering mineral soil and is too high. Set ASH_CORRECTED once you have done it. ","")&amp;IF(AND(ASH_CORRECTED="Yes",NOT(ISNUMBER($H516))),"Ash correction is switched on but no ash fraction is given for this row. ","")&amp;IF($I516="","Sieve mesh not recorded — a fine-root figure cannot be interpreted without it. ","")&amp;IF(AND(ISNUMBER($H516),$H516&gt;0.5),"Ash fraction above 0.5 — over half this sample was mineral soil. Re-wash. ","")&amp;IF($F516="Not separated","Live and dead not separated. Fine for a stock, but "&amp;"note it in reporting. ",""))</f>
        <v/>
      </c>
      <c r="P516" s="6"/>
      <c r="Q516" s="9" t="n">
        <f aca="false">IF($B516="",0,IF(COUNTIFS($B$5:$B516,$B516)=1,1,0))</f>
        <v>0</v>
      </c>
    </row>
    <row r="517" customFormat="false" ht="15" hidden="false" customHeight="false" outlineLevel="0" collapsed="false">
      <c r="A517" s="6"/>
      <c r="B517" s="6"/>
      <c r="C517" s="6"/>
      <c r="D517" s="6"/>
      <c r="E517" s="6"/>
      <c r="F517" s="6"/>
      <c r="G517" s="7"/>
      <c r="H517" s="7"/>
      <c r="I517" s="6"/>
      <c r="J517" s="9" t="str">
        <f aca="false">IF(NOT(ISNUMBER($G517)),"",IF(AND(ASH_CORRECTED="Yes",ISNUMBER($H517)),$G517*(1-$H517),$G517))</f>
        <v/>
      </c>
      <c r="K517" s="9" t="str">
        <f aca="false">IF($B517="","",IFERROR(AVERAGEIFS('2. Soil Data'!$G$5:$G$604,'2. Soil Data'!$B$5:$B$604,$B517),""))</f>
        <v/>
      </c>
      <c r="L517" s="9" t="str">
        <f aca="false">IF(NOT(ISNUMBER($K517)),"",PI()*($K517/2)^2)</f>
        <v/>
      </c>
      <c r="M517" s="9" t="str">
        <f aca="false">IF(OR(NOT(ISNUMBER($J517)),NOT(ISNUMBER($L517)),$L517=0),"",$J517/$L517*10000)</f>
        <v/>
      </c>
      <c r="N517" s="9" t="str">
        <f aca="false">IF(NOT(ISNUMBER($M517)),"",$M517*CARBON_FRACTION_ROOT/1000)</f>
        <v/>
      </c>
      <c r="O517" s="11" t="str">
        <f aca="false">IF(AND($A517="",$B517="",$G517=""),"",IF(AND($B517&lt;&gt;"",COUNTIFS('2. Soil Data'!$B$5:$B$604,$B517)=0),"Core ID not found in Soil Data, so the corer diameter cannot be looked up. ","")&amp;IF(ASH_CORRECTED&lt;&gt;"Yes","Root mass is NOT ash-corrected, so it includes adhering mineral soil and is too high. Set ASH_CORRECTED once you have done it. ","")&amp;IF(AND(ASH_CORRECTED="Yes",NOT(ISNUMBER($H517))),"Ash correction is switched on but no ash fraction is given for this row. ","")&amp;IF($I517="","Sieve mesh not recorded — a fine-root figure cannot be interpreted without it. ","")&amp;IF(AND(ISNUMBER($H517),$H517&gt;0.5),"Ash fraction above 0.5 — over half this sample was mineral soil. Re-wash. ","")&amp;IF($F517="Not separated","Live and dead not separated. Fine for a stock, but "&amp;"note it in reporting. ",""))</f>
        <v/>
      </c>
      <c r="P517" s="6"/>
      <c r="Q517" s="9" t="n">
        <f aca="false">IF($B517="",0,IF(COUNTIFS($B$5:$B517,$B517)=1,1,0))</f>
        <v>0</v>
      </c>
    </row>
    <row r="518" customFormat="false" ht="15" hidden="false" customHeight="false" outlineLevel="0" collapsed="false">
      <c r="A518" s="6"/>
      <c r="B518" s="6"/>
      <c r="C518" s="6"/>
      <c r="D518" s="6"/>
      <c r="E518" s="6"/>
      <c r="F518" s="6"/>
      <c r="G518" s="7"/>
      <c r="H518" s="7"/>
      <c r="I518" s="6"/>
      <c r="J518" s="9" t="str">
        <f aca="false">IF(NOT(ISNUMBER($G518)),"",IF(AND(ASH_CORRECTED="Yes",ISNUMBER($H518)),$G518*(1-$H518),$G518))</f>
        <v/>
      </c>
      <c r="K518" s="9" t="str">
        <f aca="false">IF($B518="","",IFERROR(AVERAGEIFS('2. Soil Data'!$G$5:$G$604,'2. Soil Data'!$B$5:$B$604,$B518),""))</f>
        <v/>
      </c>
      <c r="L518" s="9" t="str">
        <f aca="false">IF(NOT(ISNUMBER($K518)),"",PI()*($K518/2)^2)</f>
        <v/>
      </c>
      <c r="M518" s="9" t="str">
        <f aca="false">IF(OR(NOT(ISNUMBER($J518)),NOT(ISNUMBER($L518)),$L518=0),"",$J518/$L518*10000)</f>
        <v/>
      </c>
      <c r="N518" s="9" t="str">
        <f aca="false">IF(NOT(ISNUMBER($M518)),"",$M518*CARBON_FRACTION_ROOT/1000)</f>
        <v/>
      </c>
      <c r="O518" s="11" t="str">
        <f aca="false">IF(AND($A518="",$B518="",$G518=""),"",IF(AND($B518&lt;&gt;"",COUNTIFS('2. Soil Data'!$B$5:$B$604,$B518)=0),"Core ID not found in Soil Data, so the corer diameter cannot be looked up. ","")&amp;IF(ASH_CORRECTED&lt;&gt;"Yes","Root mass is NOT ash-corrected, so it includes adhering mineral soil and is too high. Set ASH_CORRECTED once you have done it. ","")&amp;IF(AND(ASH_CORRECTED="Yes",NOT(ISNUMBER($H518))),"Ash correction is switched on but no ash fraction is given for this row. ","")&amp;IF($I518="","Sieve mesh not recorded — a fine-root figure cannot be interpreted without it. ","")&amp;IF(AND(ISNUMBER($H518),$H518&gt;0.5),"Ash fraction above 0.5 — over half this sample was mineral soil. Re-wash. ","")&amp;IF($F518="Not separated","Live and dead not separated. Fine for a stock, but "&amp;"note it in reporting. ",""))</f>
        <v/>
      </c>
      <c r="P518" s="6"/>
      <c r="Q518" s="9" t="n">
        <f aca="false">IF($B518="",0,IF(COUNTIFS($B$5:$B518,$B518)=1,1,0))</f>
        <v>0</v>
      </c>
    </row>
    <row r="519" customFormat="false" ht="15" hidden="false" customHeight="false" outlineLevel="0" collapsed="false">
      <c r="A519" s="6"/>
      <c r="B519" s="6"/>
      <c r="C519" s="6"/>
      <c r="D519" s="6"/>
      <c r="E519" s="6"/>
      <c r="F519" s="6"/>
      <c r="G519" s="7"/>
      <c r="H519" s="7"/>
      <c r="I519" s="6"/>
      <c r="J519" s="9" t="str">
        <f aca="false">IF(NOT(ISNUMBER($G519)),"",IF(AND(ASH_CORRECTED="Yes",ISNUMBER($H519)),$G519*(1-$H519),$G519))</f>
        <v/>
      </c>
      <c r="K519" s="9" t="str">
        <f aca="false">IF($B519="","",IFERROR(AVERAGEIFS('2. Soil Data'!$G$5:$G$604,'2. Soil Data'!$B$5:$B$604,$B519),""))</f>
        <v/>
      </c>
      <c r="L519" s="9" t="str">
        <f aca="false">IF(NOT(ISNUMBER($K519)),"",PI()*($K519/2)^2)</f>
        <v/>
      </c>
      <c r="M519" s="9" t="str">
        <f aca="false">IF(OR(NOT(ISNUMBER($J519)),NOT(ISNUMBER($L519)),$L519=0),"",$J519/$L519*10000)</f>
        <v/>
      </c>
      <c r="N519" s="9" t="str">
        <f aca="false">IF(NOT(ISNUMBER($M519)),"",$M519*CARBON_FRACTION_ROOT/1000)</f>
        <v/>
      </c>
      <c r="O519" s="11" t="str">
        <f aca="false">IF(AND($A519="",$B519="",$G519=""),"",IF(AND($B519&lt;&gt;"",COUNTIFS('2. Soil Data'!$B$5:$B$604,$B519)=0),"Core ID not found in Soil Data, so the corer diameter cannot be looked up. ","")&amp;IF(ASH_CORRECTED&lt;&gt;"Yes","Root mass is NOT ash-corrected, so it includes adhering mineral soil and is too high. Set ASH_CORRECTED once you have done it. ","")&amp;IF(AND(ASH_CORRECTED="Yes",NOT(ISNUMBER($H519))),"Ash correction is switched on but no ash fraction is given for this row. ","")&amp;IF($I519="","Sieve mesh not recorded — a fine-root figure cannot be interpreted without it. ","")&amp;IF(AND(ISNUMBER($H519),$H519&gt;0.5),"Ash fraction above 0.5 — over half this sample was mineral soil. Re-wash. ","")&amp;IF($F519="Not separated","Live and dead not separated. Fine for a stock, but "&amp;"note it in reporting. ",""))</f>
        <v/>
      </c>
      <c r="P519" s="6"/>
      <c r="Q519" s="9" t="n">
        <f aca="false">IF($B519="",0,IF(COUNTIFS($B$5:$B519,$B519)=1,1,0))</f>
        <v>0</v>
      </c>
    </row>
    <row r="520" customFormat="false" ht="15" hidden="false" customHeight="false" outlineLevel="0" collapsed="false">
      <c r="A520" s="6"/>
      <c r="B520" s="6"/>
      <c r="C520" s="6"/>
      <c r="D520" s="6"/>
      <c r="E520" s="6"/>
      <c r="F520" s="6"/>
      <c r="G520" s="7"/>
      <c r="H520" s="7"/>
      <c r="I520" s="6"/>
      <c r="J520" s="9" t="str">
        <f aca="false">IF(NOT(ISNUMBER($G520)),"",IF(AND(ASH_CORRECTED="Yes",ISNUMBER($H520)),$G520*(1-$H520),$G520))</f>
        <v/>
      </c>
      <c r="K520" s="9" t="str">
        <f aca="false">IF($B520="","",IFERROR(AVERAGEIFS('2. Soil Data'!$G$5:$G$604,'2. Soil Data'!$B$5:$B$604,$B520),""))</f>
        <v/>
      </c>
      <c r="L520" s="9" t="str">
        <f aca="false">IF(NOT(ISNUMBER($K520)),"",PI()*($K520/2)^2)</f>
        <v/>
      </c>
      <c r="M520" s="9" t="str">
        <f aca="false">IF(OR(NOT(ISNUMBER($J520)),NOT(ISNUMBER($L520)),$L520=0),"",$J520/$L520*10000)</f>
        <v/>
      </c>
      <c r="N520" s="9" t="str">
        <f aca="false">IF(NOT(ISNUMBER($M520)),"",$M520*CARBON_FRACTION_ROOT/1000)</f>
        <v/>
      </c>
      <c r="O520" s="11" t="str">
        <f aca="false">IF(AND($A520="",$B520="",$G520=""),"",IF(AND($B520&lt;&gt;"",COUNTIFS('2. Soil Data'!$B$5:$B$604,$B520)=0),"Core ID not found in Soil Data, so the corer diameter cannot be looked up. ","")&amp;IF(ASH_CORRECTED&lt;&gt;"Yes","Root mass is NOT ash-corrected, so it includes adhering mineral soil and is too high. Set ASH_CORRECTED once you have done it. ","")&amp;IF(AND(ASH_CORRECTED="Yes",NOT(ISNUMBER($H520))),"Ash correction is switched on but no ash fraction is given for this row. ","")&amp;IF($I520="","Sieve mesh not recorded — a fine-root figure cannot be interpreted without it. ","")&amp;IF(AND(ISNUMBER($H520),$H520&gt;0.5),"Ash fraction above 0.5 — over half this sample was mineral soil. Re-wash. ","")&amp;IF($F520="Not separated","Live and dead not separated. Fine for a stock, but "&amp;"note it in reporting. ",""))</f>
        <v/>
      </c>
      <c r="P520" s="6"/>
      <c r="Q520" s="9" t="n">
        <f aca="false">IF($B520="",0,IF(COUNTIFS($B$5:$B520,$B520)=1,1,0))</f>
        <v>0</v>
      </c>
    </row>
    <row r="521" customFormat="false" ht="15" hidden="false" customHeight="false" outlineLevel="0" collapsed="false">
      <c r="A521" s="6"/>
      <c r="B521" s="6"/>
      <c r="C521" s="6"/>
      <c r="D521" s="6"/>
      <c r="E521" s="6"/>
      <c r="F521" s="6"/>
      <c r="G521" s="7"/>
      <c r="H521" s="7"/>
      <c r="I521" s="6"/>
      <c r="J521" s="9" t="str">
        <f aca="false">IF(NOT(ISNUMBER($G521)),"",IF(AND(ASH_CORRECTED="Yes",ISNUMBER($H521)),$G521*(1-$H521),$G521))</f>
        <v/>
      </c>
      <c r="K521" s="9" t="str">
        <f aca="false">IF($B521="","",IFERROR(AVERAGEIFS('2. Soil Data'!$G$5:$G$604,'2. Soil Data'!$B$5:$B$604,$B521),""))</f>
        <v/>
      </c>
      <c r="L521" s="9" t="str">
        <f aca="false">IF(NOT(ISNUMBER($K521)),"",PI()*($K521/2)^2)</f>
        <v/>
      </c>
      <c r="M521" s="9" t="str">
        <f aca="false">IF(OR(NOT(ISNUMBER($J521)),NOT(ISNUMBER($L521)),$L521=0),"",$J521/$L521*10000)</f>
        <v/>
      </c>
      <c r="N521" s="9" t="str">
        <f aca="false">IF(NOT(ISNUMBER($M521)),"",$M521*CARBON_FRACTION_ROOT/1000)</f>
        <v/>
      </c>
      <c r="O521" s="11" t="str">
        <f aca="false">IF(AND($A521="",$B521="",$G521=""),"",IF(AND($B521&lt;&gt;"",COUNTIFS('2. Soil Data'!$B$5:$B$604,$B521)=0),"Core ID not found in Soil Data, so the corer diameter cannot be looked up. ","")&amp;IF(ASH_CORRECTED&lt;&gt;"Yes","Root mass is NOT ash-corrected, so it includes adhering mineral soil and is too high. Set ASH_CORRECTED once you have done it. ","")&amp;IF(AND(ASH_CORRECTED="Yes",NOT(ISNUMBER($H521))),"Ash correction is switched on but no ash fraction is given for this row. ","")&amp;IF($I521="","Sieve mesh not recorded — a fine-root figure cannot be interpreted without it. ","")&amp;IF(AND(ISNUMBER($H521),$H521&gt;0.5),"Ash fraction above 0.5 — over half this sample was mineral soil. Re-wash. ","")&amp;IF($F521="Not separated","Live and dead not separated. Fine for a stock, but "&amp;"note it in reporting. ",""))</f>
        <v/>
      </c>
      <c r="P521" s="6"/>
      <c r="Q521" s="9" t="n">
        <f aca="false">IF($B521="",0,IF(COUNTIFS($B$5:$B521,$B521)=1,1,0))</f>
        <v>0</v>
      </c>
    </row>
    <row r="522" customFormat="false" ht="15" hidden="false" customHeight="false" outlineLevel="0" collapsed="false">
      <c r="A522" s="6"/>
      <c r="B522" s="6"/>
      <c r="C522" s="6"/>
      <c r="D522" s="6"/>
      <c r="E522" s="6"/>
      <c r="F522" s="6"/>
      <c r="G522" s="7"/>
      <c r="H522" s="7"/>
      <c r="I522" s="6"/>
      <c r="J522" s="9" t="str">
        <f aca="false">IF(NOT(ISNUMBER($G522)),"",IF(AND(ASH_CORRECTED="Yes",ISNUMBER($H522)),$G522*(1-$H522),$G522))</f>
        <v/>
      </c>
      <c r="K522" s="9" t="str">
        <f aca="false">IF($B522="","",IFERROR(AVERAGEIFS('2. Soil Data'!$G$5:$G$604,'2. Soil Data'!$B$5:$B$604,$B522),""))</f>
        <v/>
      </c>
      <c r="L522" s="9" t="str">
        <f aca="false">IF(NOT(ISNUMBER($K522)),"",PI()*($K522/2)^2)</f>
        <v/>
      </c>
      <c r="M522" s="9" t="str">
        <f aca="false">IF(OR(NOT(ISNUMBER($J522)),NOT(ISNUMBER($L522)),$L522=0),"",$J522/$L522*10000)</f>
        <v/>
      </c>
      <c r="N522" s="9" t="str">
        <f aca="false">IF(NOT(ISNUMBER($M522)),"",$M522*CARBON_FRACTION_ROOT/1000)</f>
        <v/>
      </c>
      <c r="O522" s="11" t="str">
        <f aca="false">IF(AND($A522="",$B522="",$G522=""),"",IF(AND($B522&lt;&gt;"",COUNTIFS('2. Soil Data'!$B$5:$B$604,$B522)=0),"Core ID not found in Soil Data, so the corer diameter cannot be looked up. ","")&amp;IF(ASH_CORRECTED&lt;&gt;"Yes","Root mass is NOT ash-corrected, so it includes adhering mineral soil and is too high. Set ASH_CORRECTED once you have done it. ","")&amp;IF(AND(ASH_CORRECTED="Yes",NOT(ISNUMBER($H522))),"Ash correction is switched on but no ash fraction is given for this row. ","")&amp;IF($I522="","Sieve mesh not recorded — a fine-root figure cannot be interpreted without it. ","")&amp;IF(AND(ISNUMBER($H522),$H522&gt;0.5),"Ash fraction above 0.5 — over half this sample was mineral soil. Re-wash. ","")&amp;IF($F522="Not separated","Live and dead not separated. Fine for a stock, but "&amp;"note it in reporting. ",""))</f>
        <v/>
      </c>
      <c r="P522" s="6"/>
      <c r="Q522" s="9" t="n">
        <f aca="false">IF($B522="",0,IF(COUNTIFS($B$5:$B522,$B522)=1,1,0))</f>
        <v>0</v>
      </c>
    </row>
    <row r="523" customFormat="false" ht="15" hidden="false" customHeight="false" outlineLevel="0" collapsed="false">
      <c r="A523" s="6"/>
      <c r="B523" s="6"/>
      <c r="C523" s="6"/>
      <c r="D523" s="6"/>
      <c r="E523" s="6"/>
      <c r="F523" s="6"/>
      <c r="G523" s="7"/>
      <c r="H523" s="7"/>
      <c r="I523" s="6"/>
      <c r="J523" s="9" t="str">
        <f aca="false">IF(NOT(ISNUMBER($G523)),"",IF(AND(ASH_CORRECTED="Yes",ISNUMBER($H523)),$G523*(1-$H523),$G523))</f>
        <v/>
      </c>
      <c r="K523" s="9" t="str">
        <f aca="false">IF($B523="","",IFERROR(AVERAGEIFS('2. Soil Data'!$G$5:$G$604,'2. Soil Data'!$B$5:$B$604,$B523),""))</f>
        <v/>
      </c>
      <c r="L523" s="9" t="str">
        <f aca="false">IF(NOT(ISNUMBER($K523)),"",PI()*($K523/2)^2)</f>
        <v/>
      </c>
      <c r="M523" s="9" t="str">
        <f aca="false">IF(OR(NOT(ISNUMBER($J523)),NOT(ISNUMBER($L523)),$L523=0),"",$J523/$L523*10000)</f>
        <v/>
      </c>
      <c r="N523" s="9" t="str">
        <f aca="false">IF(NOT(ISNUMBER($M523)),"",$M523*CARBON_FRACTION_ROOT/1000)</f>
        <v/>
      </c>
      <c r="O523" s="11" t="str">
        <f aca="false">IF(AND($A523="",$B523="",$G523=""),"",IF(AND($B523&lt;&gt;"",COUNTIFS('2. Soil Data'!$B$5:$B$604,$B523)=0),"Core ID not found in Soil Data, so the corer diameter cannot be looked up. ","")&amp;IF(ASH_CORRECTED&lt;&gt;"Yes","Root mass is NOT ash-corrected, so it includes adhering mineral soil and is too high. Set ASH_CORRECTED once you have done it. ","")&amp;IF(AND(ASH_CORRECTED="Yes",NOT(ISNUMBER($H523))),"Ash correction is switched on but no ash fraction is given for this row. ","")&amp;IF($I523="","Sieve mesh not recorded — a fine-root figure cannot be interpreted without it. ","")&amp;IF(AND(ISNUMBER($H523),$H523&gt;0.5),"Ash fraction above 0.5 — over half this sample was mineral soil. Re-wash. ","")&amp;IF($F523="Not separated","Live and dead not separated. Fine for a stock, but "&amp;"note it in reporting. ",""))</f>
        <v/>
      </c>
      <c r="P523" s="6"/>
      <c r="Q523" s="9" t="n">
        <f aca="false">IF($B523="",0,IF(COUNTIFS($B$5:$B523,$B523)=1,1,0))</f>
        <v>0</v>
      </c>
    </row>
    <row r="524" customFormat="false" ht="15" hidden="false" customHeight="false" outlineLevel="0" collapsed="false">
      <c r="A524" s="6"/>
      <c r="B524" s="6"/>
      <c r="C524" s="6"/>
      <c r="D524" s="6"/>
      <c r="E524" s="6"/>
      <c r="F524" s="6"/>
      <c r="G524" s="7"/>
      <c r="H524" s="7"/>
      <c r="I524" s="6"/>
      <c r="J524" s="9" t="str">
        <f aca="false">IF(NOT(ISNUMBER($G524)),"",IF(AND(ASH_CORRECTED="Yes",ISNUMBER($H524)),$G524*(1-$H524),$G524))</f>
        <v/>
      </c>
      <c r="K524" s="9" t="str">
        <f aca="false">IF($B524="","",IFERROR(AVERAGEIFS('2. Soil Data'!$G$5:$G$604,'2. Soil Data'!$B$5:$B$604,$B524),""))</f>
        <v/>
      </c>
      <c r="L524" s="9" t="str">
        <f aca="false">IF(NOT(ISNUMBER($K524)),"",PI()*($K524/2)^2)</f>
        <v/>
      </c>
      <c r="M524" s="9" t="str">
        <f aca="false">IF(OR(NOT(ISNUMBER($J524)),NOT(ISNUMBER($L524)),$L524=0),"",$J524/$L524*10000)</f>
        <v/>
      </c>
      <c r="N524" s="9" t="str">
        <f aca="false">IF(NOT(ISNUMBER($M524)),"",$M524*CARBON_FRACTION_ROOT/1000)</f>
        <v/>
      </c>
      <c r="O524" s="11" t="str">
        <f aca="false">IF(AND($A524="",$B524="",$G524=""),"",IF(AND($B524&lt;&gt;"",COUNTIFS('2. Soil Data'!$B$5:$B$604,$B524)=0),"Core ID not found in Soil Data, so the corer diameter cannot be looked up. ","")&amp;IF(ASH_CORRECTED&lt;&gt;"Yes","Root mass is NOT ash-corrected, so it includes adhering mineral soil and is too high. Set ASH_CORRECTED once you have done it. ","")&amp;IF(AND(ASH_CORRECTED="Yes",NOT(ISNUMBER($H524))),"Ash correction is switched on but no ash fraction is given for this row. ","")&amp;IF($I524="","Sieve mesh not recorded — a fine-root figure cannot be interpreted without it. ","")&amp;IF(AND(ISNUMBER($H524),$H524&gt;0.5),"Ash fraction above 0.5 — over half this sample was mineral soil. Re-wash. ","")&amp;IF($F524="Not separated","Live and dead not separated. Fine for a stock, but "&amp;"note it in reporting. ",""))</f>
        <v/>
      </c>
      <c r="P524" s="6"/>
      <c r="Q524" s="9" t="n">
        <f aca="false">IF($B524="",0,IF(COUNTIFS($B$5:$B524,$B524)=1,1,0))</f>
        <v>0</v>
      </c>
    </row>
    <row r="525" customFormat="false" ht="15" hidden="false" customHeight="false" outlineLevel="0" collapsed="false">
      <c r="A525" s="6"/>
      <c r="B525" s="6"/>
      <c r="C525" s="6"/>
      <c r="D525" s="6"/>
      <c r="E525" s="6"/>
      <c r="F525" s="6"/>
      <c r="G525" s="7"/>
      <c r="H525" s="7"/>
      <c r="I525" s="6"/>
      <c r="J525" s="9" t="str">
        <f aca="false">IF(NOT(ISNUMBER($G525)),"",IF(AND(ASH_CORRECTED="Yes",ISNUMBER($H525)),$G525*(1-$H525),$G525))</f>
        <v/>
      </c>
      <c r="K525" s="9" t="str">
        <f aca="false">IF($B525="","",IFERROR(AVERAGEIFS('2. Soil Data'!$G$5:$G$604,'2. Soil Data'!$B$5:$B$604,$B525),""))</f>
        <v/>
      </c>
      <c r="L525" s="9" t="str">
        <f aca="false">IF(NOT(ISNUMBER($K525)),"",PI()*($K525/2)^2)</f>
        <v/>
      </c>
      <c r="M525" s="9" t="str">
        <f aca="false">IF(OR(NOT(ISNUMBER($J525)),NOT(ISNUMBER($L525)),$L525=0),"",$J525/$L525*10000)</f>
        <v/>
      </c>
      <c r="N525" s="9" t="str">
        <f aca="false">IF(NOT(ISNUMBER($M525)),"",$M525*CARBON_FRACTION_ROOT/1000)</f>
        <v/>
      </c>
      <c r="O525" s="11" t="str">
        <f aca="false">IF(AND($A525="",$B525="",$G525=""),"",IF(AND($B525&lt;&gt;"",COUNTIFS('2. Soil Data'!$B$5:$B$604,$B525)=0),"Core ID not found in Soil Data, so the corer diameter cannot be looked up. ","")&amp;IF(ASH_CORRECTED&lt;&gt;"Yes","Root mass is NOT ash-corrected, so it includes adhering mineral soil and is too high. Set ASH_CORRECTED once you have done it. ","")&amp;IF(AND(ASH_CORRECTED="Yes",NOT(ISNUMBER($H525))),"Ash correction is switched on but no ash fraction is given for this row. ","")&amp;IF($I525="","Sieve mesh not recorded — a fine-root figure cannot be interpreted without it. ","")&amp;IF(AND(ISNUMBER($H525),$H525&gt;0.5),"Ash fraction above 0.5 — over half this sample was mineral soil. Re-wash. ","")&amp;IF($F525="Not separated","Live and dead not separated. Fine for a stock, but "&amp;"note it in reporting. ",""))</f>
        <v/>
      </c>
      <c r="P525" s="6"/>
      <c r="Q525" s="9" t="n">
        <f aca="false">IF($B525="",0,IF(COUNTIFS($B$5:$B525,$B525)=1,1,0))</f>
        <v>0</v>
      </c>
    </row>
    <row r="526" customFormat="false" ht="15" hidden="false" customHeight="false" outlineLevel="0" collapsed="false">
      <c r="A526" s="6"/>
      <c r="B526" s="6"/>
      <c r="C526" s="6"/>
      <c r="D526" s="6"/>
      <c r="E526" s="6"/>
      <c r="F526" s="6"/>
      <c r="G526" s="7"/>
      <c r="H526" s="7"/>
      <c r="I526" s="6"/>
      <c r="J526" s="9" t="str">
        <f aca="false">IF(NOT(ISNUMBER($G526)),"",IF(AND(ASH_CORRECTED="Yes",ISNUMBER($H526)),$G526*(1-$H526),$G526))</f>
        <v/>
      </c>
      <c r="K526" s="9" t="str">
        <f aca="false">IF($B526="","",IFERROR(AVERAGEIFS('2. Soil Data'!$G$5:$G$604,'2. Soil Data'!$B$5:$B$604,$B526),""))</f>
        <v/>
      </c>
      <c r="L526" s="9" t="str">
        <f aca="false">IF(NOT(ISNUMBER($K526)),"",PI()*($K526/2)^2)</f>
        <v/>
      </c>
      <c r="M526" s="9" t="str">
        <f aca="false">IF(OR(NOT(ISNUMBER($J526)),NOT(ISNUMBER($L526)),$L526=0),"",$J526/$L526*10000)</f>
        <v/>
      </c>
      <c r="N526" s="9" t="str">
        <f aca="false">IF(NOT(ISNUMBER($M526)),"",$M526*CARBON_FRACTION_ROOT/1000)</f>
        <v/>
      </c>
      <c r="O526" s="11" t="str">
        <f aca="false">IF(AND($A526="",$B526="",$G526=""),"",IF(AND($B526&lt;&gt;"",COUNTIFS('2. Soil Data'!$B$5:$B$604,$B526)=0),"Core ID not found in Soil Data, so the corer diameter cannot be looked up. ","")&amp;IF(ASH_CORRECTED&lt;&gt;"Yes","Root mass is NOT ash-corrected, so it includes adhering mineral soil and is too high. Set ASH_CORRECTED once you have done it. ","")&amp;IF(AND(ASH_CORRECTED="Yes",NOT(ISNUMBER($H526))),"Ash correction is switched on but no ash fraction is given for this row. ","")&amp;IF($I526="","Sieve mesh not recorded — a fine-root figure cannot be interpreted without it. ","")&amp;IF(AND(ISNUMBER($H526),$H526&gt;0.5),"Ash fraction above 0.5 — over half this sample was mineral soil. Re-wash. ","")&amp;IF($F526="Not separated","Live and dead not separated. Fine for a stock, but "&amp;"note it in reporting. ",""))</f>
        <v/>
      </c>
      <c r="P526" s="6"/>
      <c r="Q526" s="9" t="n">
        <f aca="false">IF($B526="",0,IF(COUNTIFS($B$5:$B526,$B526)=1,1,0))</f>
        <v>0</v>
      </c>
    </row>
    <row r="527" customFormat="false" ht="15" hidden="false" customHeight="false" outlineLevel="0" collapsed="false">
      <c r="A527" s="6"/>
      <c r="B527" s="6"/>
      <c r="C527" s="6"/>
      <c r="D527" s="6"/>
      <c r="E527" s="6"/>
      <c r="F527" s="6"/>
      <c r="G527" s="7"/>
      <c r="H527" s="7"/>
      <c r="I527" s="6"/>
      <c r="J527" s="9" t="str">
        <f aca="false">IF(NOT(ISNUMBER($G527)),"",IF(AND(ASH_CORRECTED="Yes",ISNUMBER($H527)),$G527*(1-$H527),$G527))</f>
        <v/>
      </c>
      <c r="K527" s="9" t="str">
        <f aca="false">IF($B527="","",IFERROR(AVERAGEIFS('2. Soil Data'!$G$5:$G$604,'2. Soil Data'!$B$5:$B$604,$B527),""))</f>
        <v/>
      </c>
      <c r="L527" s="9" t="str">
        <f aca="false">IF(NOT(ISNUMBER($K527)),"",PI()*($K527/2)^2)</f>
        <v/>
      </c>
      <c r="M527" s="9" t="str">
        <f aca="false">IF(OR(NOT(ISNUMBER($J527)),NOT(ISNUMBER($L527)),$L527=0),"",$J527/$L527*10000)</f>
        <v/>
      </c>
      <c r="N527" s="9" t="str">
        <f aca="false">IF(NOT(ISNUMBER($M527)),"",$M527*CARBON_FRACTION_ROOT/1000)</f>
        <v/>
      </c>
      <c r="O527" s="11" t="str">
        <f aca="false">IF(AND($A527="",$B527="",$G527=""),"",IF(AND($B527&lt;&gt;"",COUNTIFS('2. Soil Data'!$B$5:$B$604,$B527)=0),"Core ID not found in Soil Data, so the corer diameter cannot be looked up. ","")&amp;IF(ASH_CORRECTED&lt;&gt;"Yes","Root mass is NOT ash-corrected, so it includes adhering mineral soil and is too high. Set ASH_CORRECTED once you have done it. ","")&amp;IF(AND(ASH_CORRECTED="Yes",NOT(ISNUMBER($H527))),"Ash correction is switched on but no ash fraction is given for this row. ","")&amp;IF($I527="","Sieve mesh not recorded — a fine-root figure cannot be interpreted without it. ","")&amp;IF(AND(ISNUMBER($H527),$H527&gt;0.5),"Ash fraction above 0.5 — over half this sample was mineral soil. Re-wash. ","")&amp;IF($F527="Not separated","Live and dead not separated. Fine for a stock, but "&amp;"note it in reporting. ",""))</f>
        <v/>
      </c>
      <c r="P527" s="6"/>
      <c r="Q527" s="9" t="n">
        <f aca="false">IF($B527="",0,IF(COUNTIFS($B$5:$B527,$B527)=1,1,0))</f>
        <v>0</v>
      </c>
    </row>
    <row r="528" customFormat="false" ht="15" hidden="false" customHeight="false" outlineLevel="0" collapsed="false">
      <c r="A528" s="6"/>
      <c r="B528" s="6"/>
      <c r="C528" s="6"/>
      <c r="D528" s="6"/>
      <c r="E528" s="6"/>
      <c r="F528" s="6"/>
      <c r="G528" s="7"/>
      <c r="H528" s="7"/>
      <c r="I528" s="6"/>
      <c r="J528" s="9" t="str">
        <f aca="false">IF(NOT(ISNUMBER($G528)),"",IF(AND(ASH_CORRECTED="Yes",ISNUMBER($H528)),$G528*(1-$H528),$G528))</f>
        <v/>
      </c>
      <c r="K528" s="9" t="str">
        <f aca="false">IF($B528="","",IFERROR(AVERAGEIFS('2. Soil Data'!$G$5:$G$604,'2. Soil Data'!$B$5:$B$604,$B528),""))</f>
        <v/>
      </c>
      <c r="L528" s="9" t="str">
        <f aca="false">IF(NOT(ISNUMBER($K528)),"",PI()*($K528/2)^2)</f>
        <v/>
      </c>
      <c r="M528" s="9" t="str">
        <f aca="false">IF(OR(NOT(ISNUMBER($J528)),NOT(ISNUMBER($L528)),$L528=0),"",$J528/$L528*10000)</f>
        <v/>
      </c>
      <c r="N528" s="9" t="str">
        <f aca="false">IF(NOT(ISNUMBER($M528)),"",$M528*CARBON_FRACTION_ROOT/1000)</f>
        <v/>
      </c>
      <c r="O528" s="11" t="str">
        <f aca="false">IF(AND($A528="",$B528="",$G528=""),"",IF(AND($B528&lt;&gt;"",COUNTIFS('2. Soil Data'!$B$5:$B$604,$B528)=0),"Core ID not found in Soil Data, so the corer diameter cannot be looked up. ","")&amp;IF(ASH_CORRECTED&lt;&gt;"Yes","Root mass is NOT ash-corrected, so it includes adhering mineral soil and is too high. Set ASH_CORRECTED once you have done it. ","")&amp;IF(AND(ASH_CORRECTED="Yes",NOT(ISNUMBER($H528))),"Ash correction is switched on but no ash fraction is given for this row. ","")&amp;IF($I528="","Sieve mesh not recorded — a fine-root figure cannot be interpreted without it. ","")&amp;IF(AND(ISNUMBER($H528),$H528&gt;0.5),"Ash fraction above 0.5 — over half this sample was mineral soil. Re-wash. ","")&amp;IF($F528="Not separated","Live and dead not separated. Fine for a stock, but "&amp;"note it in reporting. ",""))</f>
        <v/>
      </c>
      <c r="P528" s="6"/>
      <c r="Q528" s="9" t="n">
        <f aca="false">IF($B528="",0,IF(COUNTIFS($B$5:$B528,$B528)=1,1,0))</f>
        <v>0</v>
      </c>
    </row>
    <row r="529" customFormat="false" ht="15" hidden="false" customHeight="false" outlineLevel="0" collapsed="false">
      <c r="A529" s="6"/>
      <c r="B529" s="6"/>
      <c r="C529" s="6"/>
      <c r="D529" s="6"/>
      <c r="E529" s="6"/>
      <c r="F529" s="6"/>
      <c r="G529" s="7"/>
      <c r="H529" s="7"/>
      <c r="I529" s="6"/>
      <c r="J529" s="9" t="str">
        <f aca="false">IF(NOT(ISNUMBER($G529)),"",IF(AND(ASH_CORRECTED="Yes",ISNUMBER($H529)),$G529*(1-$H529),$G529))</f>
        <v/>
      </c>
      <c r="K529" s="9" t="str">
        <f aca="false">IF($B529="","",IFERROR(AVERAGEIFS('2. Soil Data'!$G$5:$G$604,'2. Soil Data'!$B$5:$B$604,$B529),""))</f>
        <v/>
      </c>
      <c r="L529" s="9" t="str">
        <f aca="false">IF(NOT(ISNUMBER($K529)),"",PI()*($K529/2)^2)</f>
        <v/>
      </c>
      <c r="M529" s="9" t="str">
        <f aca="false">IF(OR(NOT(ISNUMBER($J529)),NOT(ISNUMBER($L529)),$L529=0),"",$J529/$L529*10000)</f>
        <v/>
      </c>
      <c r="N529" s="9" t="str">
        <f aca="false">IF(NOT(ISNUMBER($M529)),"",$M529*CARBON_FRACTION_ROOT/1000)</f>
        <v/>
      </c>
      <c r="O529" s="11" t="str">
        <f aca="false">IF(AND($A529="",$B529="",$G529=""),"",IF(AND($B529&lt;&gt;"",COUNTIFS('2. Soil Data'!$B$5:$B$604,$B529)=0),"Core ID not found in Soil Data, so the corer diameter cannot be looked up. ","")&amp;IF(ASH_CORRECTED&lt;&gt;"Yes","Root mass is NOT ash-corrected, so it includes adhering mineral soil and is too high. Set ASH_CORRECTED once you have done it. ","")&amp;IF(AND(ASH_CORRECTED="Yes",NOT(ISNUMBER($H529))),"Ash correction is switched on but no ash fraction is given for this row. ","")&amp;IF($I529="","Sieve mesh not recorded — a fine-root figure cannot be interpreted without it. ","")&amp;IF(AND(ISNUMBER($H529),$H529&gt;0.5),"Ash fraction above 0.5 — over half this sample was mineral soil. Re-wash. ","")&amp;IF($F529="Not separated","Live and dead not separated. Fine for a stock, but "&amp;"note it in reporting. ",""))</f>
        <v/>
      </c>
      <c r="P529" s="6"/>
      <c r="Q529" s="9" t="n">
        <f aca="false">IF($B529="",0,IF(COUNTIFS($B$5:$B529,$B529)=1,1,0))</f>
        <v>0</v>
      </c>
    </row>
    <row r="530" customFormat="false" ht="15" hidden="false" customHeight="false" outlineLevel="0" collapsed="false">
      <c r="A530" s="6"/>
      <c r="B530" s="6"/>
      <c r="C530" s="6"/>
      <c r="D530" s="6"/>
      <c r="E530" s="6"/>
      <c r="F530" s="6"/>
      <c r="G530" s="7"/>
      <c r="H530" s="7"/>
      <c r="I530" s="6"/>
      <c r="J530" s="9" t="str">
        <f aca="false">IF(NOT(ISNUMBER($G530)),"",IF(AND(ASH_CORRECTED="Yes",ISNUMBER($H530)),$G530*(1-$H530),$G530))</f>
        <v/>
      </c>
      <c r="K530" s="9" t="str">
        <f aca="false">IF($B530="","",IFERROR(AVERAGEIFS('2. Soil Data'!$G$5:$G$604,'2. Soil Data'!$B$5:$B$604,$B530),""))</f>
        <v/>
      </c>
      <c r="L530" s="9" t="str">
        <f aca="false">IF(NOT(ISNUMBER($K530)),"",PI()*($K530/2)^2)</f>
        <v/>
      </c>
      <c r="M530" s="9" t="str">
        <f aca="false">IF(OR(NOT(ISNUMBER($J530)),NOT(ISNUMBER($L530)),$L530=0),"",$J530/$L530*10000)</f>
        <v/>
      </c>
      <c r="N530" s="9" t="str">
        <f aca="false">IF(NOT(ISNUMBER($M530)),"",$M530*CARBON_FRACTION_ROOT/1000)</f>
        <v/>
      </c>
      <c r="O530" s="11" t="str">
        <f aca="false">IF(AND($A530="",$B530="",$G530=""),"",IF(AND($B530&lt;&gt;"",COUNTIFS('2. Soil Data'!$B$5:$B$604,$B530)=0),"Core ID not found in Soil Data, so the corer diameter cannot be looked up. ","")&amp;IF(ASH_CORRECTED&lt;&gt;"Yes","Root mass is NOT ash-corrected, so it includes adhering mineral soil and is too high. Set ASH_CORRECTED once you have done it. ","")&amp;IF(AND(ASH_CORRECTED="Yes",NOT(ISNUMBER($H530))),"Ash correction is switched on but no ash fraction is given for this row. ","")&amp;IF($I530="","Sieve mesh not recorded — a fine-root figure cannot be interpreted without it. ","")&amp;IF(AND(ISNUMBER($H530),$H530&gt;0.5),"Ash fraction above 0.5 — over half this sample was mineral soil. Re-wash. ","")&amp;IF($F530="Not separated","Live and dead not separated. Fine for a stock, but "&amp;"note it in reporting. ",""))</f>
        <v/>
      </c>
      <c r="P530" s="6"/>
      <c r="Q530" s="9" t="n">
        <f aca="false">IF($B530="",0,IF(COUNTIFS($B$5:$B530,$B530)=1,1,0))</f>
        <v>0</v>
      </c>
    </row>
    <row r="531" customFormat="false" ht="15" hidden="false" customHeight="false" outlineLevel="0" collapsed="false">
      <c r="A531" s="6"/>
      <c r="B531" s="6"/>
      <c r="C531" s="6"/>
      <c r="D531" s="6"/>
      <c r="E531" s="6"/>
      <c r="F531" s="6"/>
      <c r="G531" s="7"/>
      <c r="H531" s="7"/>
      <c r="I531" s="6"/>
      <c r="J531" s="9" t="str">
        <f aca="false">IF(NOT(ISNUMBER($G531)),"",IF(AND(ASH_CORRECTED="Yes",ISNUMBER($H531)),$G531*(1-$H531),$G531))</f>
        <v/>
      </c>
      <c r="K531" s="9" t="str">
        <f aca="false">IF($B531="","",IFERROR(AVERAGEIFS('2. Soil Data'!$G$5:$G$604,'2. Soil Data'!$B$5:$B$604,$B531),""))</f>
        <v/>
      </c>
      <c r="L531" s="9" t="str">
        <f aca="false">IF(NOT(ISNUMBER($K531)),"",PI()*($K531/2)^2)</f>
        <v/>
      </c>
      <c r="M531" s="9" t="str">
        <f aca="false">IF(OR(NOT(ISNUMBER($J531)),NOT(ISNUMBER($L531)),$L531=0),"",$J531/$L531*10000)</f>
        <v/>
      </c>
      <c r="N531" s="9" t="str">
        <f aca="false">IF(NOT(ISNUMBER($M531)),"",$M531*CARBON_FRACTION_ROOT/1000)</f>
        <v/>
      </c>
      <c r="O531" s="11" t="str">
        <f aca="false">IF(AND($A531="",$B531="",$G531=""),"",IF(AND($B531&lt;&gt;"",COUNTIFS('2. Soil Data'!$B$5:$B$604,$B531)=0),"Core ID not found in Soil Data, so the corer diameter cannot be looked up. ","")&amp;IF(ASH_CORRECTED&lt;&gt;"Yes","Root mass is NOT ash-corrected, so it includes adhering mineral soil and is too high. Set ASH_CORRECTED once you have done it. ","")&amp;IF(AND(ASH_CORRECTED="Yes",NOT(ISNUMBER($H531))),"Ash correction is switched on but no ash fraction is given for this row. ","")&amp;IF($I531="","Sieve mesh not recorded — a fine-root figure cannot be interpreted without it. ","")&amp;IF(AND(ISNUMBER($H531),$H531&gt;0.5),"Ash fraction above 0.5 — over half this sample was mineral soil. Re-wash. ","")&amp;IF($F531="Not separated","Live and dead not separated. Fine for a stock, but "&amp;"note it in reporting. ",""))</f>
        <v/>
      </c>
      <c r="P531" s="6"/>
      <c r="Q531" s="9" t="n">
        <f aca="false">IF($B531="",0,IF(COUNTIFS($B$5:$B531,$B531)=1,1,0))</f>
        <v>0</v>
      </c>
    </row>
    <row r="532" customFormat="false" ht="15" hidden="false" customHeight="false" outlineLevel="0" collapsed="false">
      <c r="A532" s="6"/>
      <c r="B532" s="6"/>
      <c r="C532" s="6"/>
      <c r="D532" s="6"/>
      <c r="E532" s="6"/>
      <c r="F532" s="6"/>
      <c r="G532" s="7"/>
      <c r="H532" s="7"/>
      <c r="I532" s="6"/>
      <c r="J532" s="9" t="str">
        <f aca="false">IF(NOT(ISNUMBER($G532)),"",IF(AND(ASH_CORRECTED="Yes",ISNUMBER($H532)),$G532*(1-$H532),$G532))</f>
        <v/>
      </c>
      <c r="K532" s="9" t="str">
        <f aca="false">IF($B532="","",IFERROR(AVERAGEIFS('2. Soil Data'!$G$5:$G$604,'2. Soil Data'!$B$5:$B$604,$B532),""))</f>
        <v/>
      </c>
      <c r="L532" s="9" t="str">
        <f aca="false">IF(NOT(ISNUMBER($K532)),"",PI()*($K532/2)^2)</f>
        <v/>
      </c>
      <c r="M532" s="9" t="str">
        <f aca="false">IF(OR(NOT(ISNUMBER($J532)),NOT(ISNUMBER($L532)),$L532=0),"",$J532/$L532*10000)</f>
        <v/>
      </c>
      <c r="N532" s="9" t="str">
        <f aca="false">IF(NOT(ISNUMBER($M532)),"",$M532*CARBON_FRACTION_ROOT/1000)</f>
        <v/>
      </c>
      <c r="O532" s="11" t="str">
        <f aca="false">IF(AND($A532="",$B532="",$G532=""),"",IF(AND($B532&lt;&gt;"",COUNTIFS('2. Soil Data'!$B$5:$B$604,$B532)=0),"Core ID not found in Soil Data, so the corer diameter cannot be looked up. ","")&amp;IF(ASH_CORRECTED&lt;&gt;"Yes","Root mass is NOT ash-corrected, so it includes adhering mineral soil and is too high. Set ASH_CORRECTED once you have done it. ","")&amp;IF(AND(ASH_CORRECTED="Yes",NOT(ISNUMBER($H532))),"Ash correction is switched on but no ash fraction is given for this row. ","")&amp;IF($I532="","Sieve mesh not recorded — a fine-root figure cannot be interpreted without it. ","")&amp;IF(AND(ISNUMBER($H532),$H532&gt;0.5),"Ash fraction above 0.5 — over half this sample was mineral soil. Re-wash. ","")&amp;IF($F532="Not separated","Live and dead not separated. Fine for a stock, but "&amp;"note it in reporting. ",""))</f>
        <v/>
      </c>
      <c r="P532" s="6"/>
      <c r="Q532" s="9" t="n">
        <f aca="false">IF($B532="",0,IF(COUNTIFS($B$5:$B532,$B532)=1,1,0))</f>
        <v>0</v>
      </c>
    </row>
    <row r="533" customFormat="false" ht="15" hidden="false" customHeight="false" outlineLevel="0" collapsed="false">
      <c r="A533" s="6"/>
      <c r="B533" s="6"/>
      <c r="C533" s="6"/>
      <c r="D533" s="6"/>
      <c r="E533" s="6"/>
      <c r="F533" s="6"/>
      <c r="G533" s="7"/>
      <c r="H533" s="7"/>
      <c r="I533" s="6"/>
      <c r="J533" s="9" t="str">
        <f aca="false">IF(NOT(ISNUMBER($G533)),"",IF(AND(ASH_CORRECTED="Yes",ISNUMBER($H533)),$G533*(1-$H533),$G533))</f>
        <v/>
      </c>
      <c r="K533" s="9" t="str">
        <f aca="false">IF($B533="","",IFERROR(AVERAGEIFS('2. Soil Data'!$G$5:$G$604,'2. Soil Data'!$B$5:$B$604,$B533),""))</f>
        <v/>
      </c>
      <c r="L533" s="9" t="str">
        <f aca="false">IF(NOT(ISNUMBER($K533)),"",PI()*($K533/2)^2)</f>
        <v/>
      </c>
      <c r="M533" s="9" t="str">
        <f aca="false">IF(OR(NOT(ISNUMBER($J533)),NOT(ISNUMBER($L533)),$L533=0),"",$J533/$L533*10000)</f>
        <v/>
      </c>
      <c r="N533" s="9" t="str">
        <f aca="false">IF(NOT(ISNUMBER($M533)),"",$M533*CARBON_FRACTION_ROOT/1000)</f>
        <v/>
      </c>
      <c r="O533" s="11" t="str">
        <f aca="false">IF(AND($A533="",$B533="",$G533=""),"",IF(AND($B533&lt;&gt;"",COUNTIFS('2. Soil Data'!$B$5:$B$604,$B533)=0),"Core ID not found in Soil Data, so the corer diameter cannot be looked up. ","")&amp;IF(ASH_CORRECTED&lt;&gt;"Yes","Root mass is NOT ash-corrected, so it includes adhering mineral soil and is too high. Set ASH_CORRECTED once you have done it. ","")&amp;IF(AND(ASH_CORRECTED="Yes",NOT(ISNUMBER($H533))),"Ash correction is switched on but no ash fraction is given for this row. ","")&amp;IF($I533="","Sieve mesh not recorded — a fine-root figure cannot be interpreted without it. ","")&amp;IF(AND(ISNUMBER($H533),$H533&gt;0.5),"Ash fraction above 0.5 — over half this sample was mineral soil. Re-wash. ","")&amp;IF($F533="Not separated","Live and dead not separated. Fine for a stock, but "&amp;"note it in reporting. ",""))</f>
        <v/>
      </c>
      <c r="P533" s="6"/>
      <c r="Q533" s="9" t="n">
        <f aca="false">IF($B533="",0,IF(COUNTIFS($B$5:$B533,$B533)=1,1,0))</f>
        <v>0</v>
      </c>
    </row>
    <row r="534" customFormat="false" ht="15" hidden="false" customHeight="false" outlineLevel="0" collapsed="false">
      <c r="A534" s="6"/>
      <c r="B534" s="6"/>
      <c r="C534" s="6"/>
      <c r="D534" s="6"/>
      <c r="E534" s="6"/>
      <c r="F534" s="6"/>
      <c r="G534" s="7"/>
      <c r="H534" s="7"/>
      <c r="I534" s="6"/>
      <c r="J534" s="9" t="str">
        <f aca="false">IF(NOT(ISNUMBER($G534)),"",IF(AND(ASH_CORRECTED="Yes",ISNUMBER($H534)),$G534*(1-$H534),$G534))</f>
        <v/>
      </c>
      <c r="K534" s="9" t="str">
        <f aca="false">IF($B534="","",IFERROR(AVERAGEIFS('2. Soil Data'!$G$5:$G$604,'2. Soil Data'!$B$5:$B$604,$B534),""))</f>
        <v/>
      </c>
      <c r="L534" s="9" t="str">
        <f aca="false">IF(NOT(ISNUMBER($K534)),"",PI()*($K534/2)^2)</f>
        <v/>
      </c>
      <c r="M534" s="9" t="str">
        <f aca="false">IF(OR(NOT(ISNUMBER($J534)),NOT(ISNUMBER($L534)),$L534=0),"",$J534/$L534*10000)</f>
        <v/>
      </c>
      <c r="N534" s="9" t="str">
        <f aca="false">IF(NOT(ISNUMBER($M534)),"",$M534*CARBON_FRACTION_ROOT/1000)</f>
        <v/>
      </c>
      <c r="O534" s="11" t="str">
        <f aca="false">IF(AND($A534="",$B534="",$G534=""),"",IF(AND($B534&lt;&gt;"",COUNTIFS('2. Soil Data'!$B$5:$B$604,$B534)=0),"Core ID not found in Soil Data, so the corer diameter cannot be looked up. ","")&amp;IF(ASH_CORRECTED&lt;&gt;"Yes","Root mass is NOT ash-corrected, so it includes adhering mineral soil and is too high. Set ASH_CORRECTED once you have done it. ","")&amp;IF(AND(ASH_CORRECTED="Yes",NOT(ISNUMBER($H534))),"Ash correction is switched on but no ash fraction is given for this row. ","")&amp;IF($I534="","Sieve mesh not recorded — a fine-root figure cannot be interpreted without it. ","")&amp;IF(AND(ISNUMBER($H534),$H534&gt;0.5),"Ash fraction above 0.5 — over half this sample was mineral soil. Re-wash. ","")&amp;IF($F534="Not separated","Live and dead not separated. Fine for a stock, but "&amp;"note it in reporting. ",""))</f>
        <v/>
      </c>
      <c r="P534" s="6"/>
      <c r="Q534" s="9" t="n">
        <f aca="false">IF($B534="",0,IF(COUNTIFS($B$5:$B534,$B534)=1,1,0))</f>
        <v>0</v>
      </c>
    </row>
    <row r="535" customFormat="false" ht="15" hidden="false" customHeight="false" outlineLevel="0" collapsed="false">
      <c r="A535" s="6"/>
      <c r="B535" s="6"/>
      <c r="C535" s="6"/>
      <c r="D535" s="6"/>
      <c r="E535" s="6"/>
      <c r="F535" s="6"/>
      <c r="G535" s="7"/>
      <c r="H535" s="7"/>
      <c r="I535" s="6"/>
      <c r="J535" s="9" t="str">
        <f aca="false">IF(NOT(ISNUMBER($G535)),"",IF(AND(ASH_CORRECTED="Yes",ISNUMBER($H535)),$G535*(1-$H535),$G535))</f>
        <v/>
      </c>
      <c r="K535" s="9" t="str">
        <f aca="false">IF($B535="","",IFERROR(AVERAGEIFS('2. Soil Data'!$G$5:$G$604,'2. Soil Data'!$B$5:$B$604,$B535),""))</f>
        <v/>
      </c>
      <c r="L535" s="9" t="str">
        <f aca="false">IF(NOT(ISNUMBER($K535)),"",PI()*($K535/2)^2)</f>
        <v/>
      </c>
      <c r="M535" s="9" t="str">
        <f aca="false">IF(OR(NOT(ISNUMBER($J535)),NOT(ISNUMBER($L535)),$L535=0),"",$J535/$L535*10000)</f>
        <v/>
      </c>
      <c r="N535" s="9" t="str">
        <f aca="false">IF(NOT(ISNUMBER($M535)),"",$M535*CARBON_FRACTION_ROOT/1000)</f>
        <v/>
      </c>
      <c r="O535" s="11" t="str">
        <f aca="false">IF(AND($A535="",$B535="",$G535=""),"",IF(AND($B535&lt;&gt;"",COUNTIFS('2. Soil Data'!$B$5:$B$604,$B535)=0),"Core ID not found in Soil Data, so the corer diameter cannot be looked up. ","")&amp;IF(ASH_CORRECTED&lt;&gt;"Yes","Root mass is NOT ash-corrected, so it includes adhering mineral soil and is too high. Set ASH_CORRECTED once you have done it. ","")&amp;IF(AND(ASH_CORRECTED="Yes",NOT(ISNUMBER($H535))),"Ash correction is switched on but no ash fraction is given for this row. ","")&amp;IF($I535="","Sieve mesh not recorded — a fine-root figure cannot be interpreted without it. ","")&amp;IF(AND(ISNUMBER($H535),$H535&gt;0.5),"Ash fraction above 0.5 — over half this sample was mineral soil. Re-wash. ","")&amp;IF($F535="Not separated","Live and dead not separated. Fine for a stock, but "&amp;"note it in reporting. ",""))</f>
        <v/>
      </c>
      <c r="P535" s="6"/>
      <c r="Q535" s="9" t="n">
        <f aca="false">IF($B535="",0,IF(COUNTIFS($B$5:$B535,$B535)=1,1,0))</f>
        <v>0</v>
      </c>
    </row>
    <row r="536" customFormat="false" ht="15" hidden="false" customHeight="false" outlineLevel="0" collapsed="false">
      <c r="A536" s="6"/>
      <c r="B536" s="6"/>
      <c r="C536" s="6"/>
      <c r="D536" s="6"/>
      <c r="E536" s="6"/>
      <c r="F536" s="6"/>
      <c r="G536" s="7"/>
      <c r="H536" s="7"/>
      <c r="I536" s="6"/>
      <c r="J536" s="9" t="str">
        <f aca="false">IF(NOT(ISNUMBER($G536)),"",IF(AND(ASH_CORRECTED="Yes",ISNUMBER($H536)),$G536*(1-$H536),$G536))</f>
        <v/>
      </c>
      <c r="K536" s="9" t="str">
        <f aca="false">IF($B536="","",IFERROR(AVERAGEIFS('2. Soil Data'!$G$5:$G$604,'2. Soil Data'!$B$5:$B$604,$B536),""))</f>
        <v/>
      </c>
      <c r="L536" s="9" t="str">
        <f aca="false">IF(NOT(ISNUMBER($K536)),"",PI()*($K536/2)^2)</f>
        <v/>
      </c>
      <c r="M536" s="9" t="str">
        <f aca="false">IF(OR(NOT(ISNUMBER($J536)),NOT(ISNUMBER($L536)),$L536=0),"",$J536/$L536*10000)</f>
        <v/>
      </c>
      <c r="N536" s="9" t="str">
        <f aca="false">IF(NOT(ISNUMBER($M536)),"",$M536*CARBON_FRACTION_ROOT/1000)</f>
        <v/>
      </c>
      <c r="O536" s="11" t="str">
        <f aca="false">IF(AND($A536="",$B536="",$G536=""),"",IF(AND($B536&lt;&gt;"",COUNTIFS('2. Soil Data'!$B$5:$B$604,$B536)=0),"Core ID not found in Soil Data, so the corer diameter cannot be looked up. ","")&amp;IF(ASH_CORRECTED&lt;&gt;"Yes","Root mass is NOT ash-corrected, so it includes adhering mineral soil and is too high. Set ASH_CORRECTED once you have done it. ","")&amp;IF(AND(ASH_CORRECTED="Yes",NOT(ISNUMBER($H536))),"Ash correction is switched on but no ash fraction is given for this row. ","")&amp;IF($I536="","Sieve mesh not recorded — a fine-root figure cannot be interpreted without it. ","")&amp;IF(AND(ISNUMBER($H536),$H536&gt;0.5),"Ash fraction above 0.5 — over half this sample was mineral soil. Re-wash. ","")&amp;IF($F536="Not separated","Live and dead not separated. Fine for a stock, but "&amp;"note it in reporting. ",""))</f>
        <v/>
      </c>
      <c r="P536" s="6"/>
      <c r="Q536" s="9" t="n">
        <f aca="false">IF($B536="",0,IF(COUNTIFS($B$5:$B536,$B536)=1,1,0))</f>
        <v>0</v>
      </c>
    </row>
    <row r="537" customFormat="false" ht="15" hidden="false" customHeight="false" outlineLevel="0" collapsed="false">
      <c r="A537" s="6"/>
      <c r="B537" s="6"/>
      <c r="C537" s="6"/>
      <c r="D537" s="6"/>
      <c r="E537" s="6"/>
      <c r="F537" s="6"/>
      <c r="G537" s="7"/>
      <c r="H537" s="7"/>
      <c r="I537" s="6"/>
      <c r="J537" s="9" t="str">
        <f aca="false">IF(NOT(ISNUMBER($G537)),"",IF(AND(ASH_CORRECTED="Yes",ISNUMBER($H537)),$G537*(1-$H537),$G537))</f>
        <v/>
      </c>
      <c r="K537" s="9" t="str">
        <f aca="false">IF($B537="","",IFERROR(AVERAGEIFS('2. Soil Data'!$G$5:$G$604,'2. Soil Data'!$B$5:$B$604,$B537),""))</f>
        <v/>
      </c>
      <c r="L537" s="9" t="str">
        <f aca="false">IF(NOT(ISNUMBER($K537)),"",PI()*($K537/2)^2)</f>
        <v/>
      </c>
      <c r="M537" s="9" t="str">
        <f aca="false">IF(OR(NOT(ISNUMBER($J537)),NOT(ISNUMBER($L537)),$L537=0),"",$J537/$L537*10000)</f>
        <v/>
      </c>
      <c r="N537" s="9" t="str">
        <f aca="false">IF(NOT(ISNUMBER($M537)),"",$M537*CARBON_FRACTION_ROOT/1000)</f>
        <v/>
      </c>
      <c r="O537" s="11" t="str">
        <f aca="false">IF(AND($A537="",$B537="",$G537=""),"",IF(AND($B537&lt;&gt;"",COUNTIFS('2. Soil Data'!$B$5:$B$604,$B537)=0),"Core ID not found in Soil Data, so the corer diameter cannot be looked up. ","")&amp;IF(ASH_CORRECTED&lt;&gt;"Yes","Root mass is NOT ash-corrected, so it includes adhering mineral soil and is too high. Set ASH_CORRECTED once you have done it. ","")&amp;IF(AND(ASH_CORRECTED="Yes",NOT(ISNUMBER($H537))),"Ash correction is switched on but no ash fraction is given for this row. ","")&amp;IF($I537="","Sieve mesh not recorded — a fine-root figure cannot be interpreted without it. ","")&amp;IF(AND(ISNUMBER($H537),$H537&gt;0.5),"Ash fraction above 0.5 — over half this sample was mineral soil. Re-wash. ","")&amp;IF($F537="Not separated","Live and dead not separated. Fine for a stock, but "&amp;"note it in reporting. ",""))</f>
        <v/>
      </c>
      <c r="P537" s="6"/>
      <c r="Q537" s="9" t="n">
        <f aca="false">IF($B537="",0,IF(COUNTIFS($B$5:$B537,$B537)=1,1,0))</f>
        <v>0</v>
      </c>
    </row>
    <row r="538" customFormat="false" ht="15" hidden="false" customHeight="false" outlineLevel="0" collapsed="false">
      <c r="A538" s="6"/>
      <c r="B538" s="6"/>
      <c r="C538" s="6"/>
      <c r="D538" s="6"/>
      <c r="E538" s="6"/>
      <c r="F538" s="6"/>
      <c r="G538" s="7"/>
      <c r="H538" s="7"/>
      <c r="I538" s="6"/>
      <c r="J538" s="9" t="str">
        <f aca="false">IF(NOT(ISNUMBER($G538)),"",IF(AND(ASH_CORRECTED="Yes",ISNUMBER($H538)),$G538*(1-$H538),$G538))</f>
        <v/>
      </c>
      <c r="K538" s="9" t="str">
        <f aca="false">IF($B538="","",IFERROR(AVERAGEIFS('2. Soil Data'!$G$5:$G$604,'2. Soil Data'!$B$5:$B$604,$B538),""))</f>
        <v/>
      </c>
      <c r="L538" s="9" t="str">
        <f aca="false">IF(NOT(ISNUMBER($K538)),"",PI()*($K538/2)^2)</f>
        <v/>
      </c>
      <c r="M538" s="9" t="str">
        <f aca="false">IF(OR(NOT(ISNUMBER($J538)),NOT(ISNUMBER($L538)),$L538=0),"",$J538/$L538*10000)</f>
        <v/>
      </c>
      <c r="N538" s="9" t="str">
        <f aca="false">IF(NOT(ISNUMBER($M538)),"",$M538*CARBON_FRACTION_ROOT/1000)</f>
        <v/>
      </c>
      <c r="O538" s="11" t="str">
        <f aca="false">IF(AND($A538="",$B538="",$G538=""),"",IF(AND($B538&lt;&gt;"",COUNTIFS('2. Soil Data'!$B$5:$B$604,$B538)=0),"Core ID not found in Soil Data, so the corer diameter cannot be looked up. ","")&amp;IF(ASH_CORRECTED&lt;&gt;"Yes","Root mass is NOT ash-corrected, so it includes adhering mineral soil and is too high. Set ASH_CORRECTED once you have done it. ","")&amp;IF(AND(ASH_CORRECTED="Yes",NOT(ISNUMBER($H538))),"Ash correction is switched on but no ash fraction is given for this row. ","")&amp;IF($I538="","Sieve mesh not recorded — a fine-root figure cannot be interpreted without it. ","")&amp;IF(AND(ISNUMBER($H538),$H538&gt;0.5),"Ash fraction above 0.5 — over half this sample was mineral soil. Re-wash. ","")&amp;IF($F538="Not separated","Live and dead not separated. Fine for a stock, but "&amp;"note it in reporting. ",""))</f>
        <v/>
      </c>
      <c r="P538" s="6"/>
      <c r="Q538" s="9" t="n">
        <f aca="false">IF($B538="",0,IF(COUNTIFS($B$5:$B538,$B538)=1,1,0))</f>
        <v>0</v>
      </c>
    </row>
    <row r="539" customFormat="false" ht="15" hidden="false" customHeight="false" outlineLevel="0" collapsed="false">
      <c r="A539" s="6"/>
      <c r="B539" s="6"/>
      <c r="C539" s="6"/>
      <c r="D539" s="6"/>
      <c r="E539" s="6"/>
      <c r="F539" s="6"/>
      <c r="G539" s="7"/>
      <c r="H539" s="7"/>
      <c r="I539" s="6"/>
      <c r="J539" s="9" t="str">
        <f aca="false">IF(NOT(ISNUMBER($G539)),"",IF(AND(ASH_CORRECTED="Yes",ISNUMBER($H539)),$G539*(1-$H539),$G539))</f>
        <v/>
      </c>
      <c r="K539" s="9" t="str">
        <f aca="false">IF($B539="","",IFERROR(AVERAGEIFS('2. Soil Data'!$G$5:$G$604,'2. Soil Data'!$B$5:$B$604,$B539),""))</f>
        <v/>
      </c>
      <c r="L539" s="9" t="str">
        <f aca="false">IF(NOT(ISNUMBER($K539)),"",PI()*($K539/2)^2)</f>
        <v/>
      </c>
      <c r="M539" s="9" t="str">
        <f aca="false">IF(OR(NOT(ISNUMBER($J539)),NOT(ISNUMBER($L539)),$L539=0),"",$J539/$L539*10000)</f>
        <v/>
      </c>
      <c r="N539" s="9" t="str">
        <f aca="false">IF(NOT(ISNUMBER($M539)),"",$M539*CARBON_FRACTION_ROOT/1000)</f>
        <v/>
      </c>
      <c r="O539" s="11" t="str">
        <f aca="false">IF(AND($A539="",$B539="",$G539=""),"",IF(AND($B539&lt;&gt;"",COUNTIFS('2. Soil Data'!$B$5:$B$604,$B539)=0),"Core ID not found in Soil Data, so the corer diameter cannot be looked up. ","")&amp;IF(ASH_CORRECTED&lt;&gt;"Yes","Root mass is NOT ash-corrected, so it includes adhering mineral soil and is too high. Set ASH_CORRECTED once you have done it. ","")&amp;IF(AND(ASH_CORRECTED="Yes",NOT(ISNUMBER($H539))),"Ash correction is switched on but no ash fraction is given for this row. ","")&amp;IF($I539="","Sieve mesh not recorded — a fine-root figure cannot be interpreted without it. ","")&amp;IF(AND(ISNUMBER($H539),$H539&gt;0.5),"Ash fraction above 0.5 — over half this sample was mineral soil. Re-wash. ","")&amp;IF($F539="Not separated","Live and dead not separated. Fine for a stock, but "&amp;"note it in reporting. ",""))</f>
        <v/>
      </c>
      <c r="P539" s="6"/>
      <c r="Q539" s="9" t="n">
        <f aca="false">IF($B539="",0,IF(COUNTIFS($B$5:$B539,$B539)=1,1,0))</f>
        <v>0</v>
      </c>
    </row>
    <row r="540" customFormat="false" ht="15" hidden="false" customHeight="false" outlineLevel="0" collapsed="false">
      <c r="A540" s="6"/>
      <c r="B540" s="6"/>
      <c r="C540" s="6"/>
      <c r="D540" s="6"/>
      <c r="E540" s="6"/>
      <c r="F540" s="6"/>
      <c r="G540" s="7"/>
      <c r="H540" s="7"/>
      <c r="I540" s="6"/>
      <c r="J540" s="9" t="str">
        <f aca="false">IF(NOT(ISNUMBER($G540)),"",IF(AND(ASH_CORRECTED="Yes",ISNUMBER($H540)),$G540*(1-$H540),$G540))</f>
        <v/>
      </c>
      <c r="K540" s="9" t="str">
        <f aca="false">IF($B540="","",IFERROR(AVERAGEIFS('2. Soil Data'!$G$5:$G$604,'2. Soil Data'!$B$5:$B$604,$B540),""))</f>
        <v/>
      </c>
      <c r="L540" s="9" t="str">
        <f aca="false">IF(NOT(ISNUMBER($K540)),"",PI()*($K540/2)^2)</f>
        <v/>
      </c>
      <c r="M540" s="9" t="str">
        <f aca="false">IF(OR(NOT(ISNUMBER($J540)),NOT(ISNUMBER($L540)),$L540=0),"",$J540/$L540*10000)</f>
        <v/>
      </c>
      <c r="N540" s="9" t="str">
        <f aca="false">IF(NOT(ISNUMBER($M540)),"",$M540*CARBON_FRACTION_ROOT/1000)</f>
        <v/>
      </c>
      <c r="O540" s="11" t="str">
        <f aca="false">IF(AND($A540="",$B540="",$G540=""),"",IF(AND($B540&lt;&gt;"",COUNTIFS('2. Soil Data'!$B$5:$B$604,$B540)=0),"Core ID not found in Soil Data, so the corer diameter cannot be looked up. ","")&amp;IF(ASH_CORRECTED&lt;&gt;"Yes","Root mass is NOT ash-corrected, so it includes adhering mineral soil and is too high. Set ASH_CORRECTED once you have done it. ","")&amp;IF(AND(ASH_CORRECTED="Yes",NOT(ISNUMBER($H540))),"Ash correction is switched on but no ash fraction is given for this row. ","")&amp;IF($I540="","Sieve mesh not recorded — a fine-root figure cannot be interpreted without it. ","")&amp;IF(AND(ISNUMBER($H540),$H540&gt;0.5),"Ash fraction above 0.5 — over half this sample was mineral soil. Re-wash. ","")&amp;IF($F540="Not separated","Live and dead not separated. Fine for a stock, but "&amp;"note it in reporting. ",""))</f>
        <v/>
      </c>
      <c r="P540" s="6"/>
      <c r="Q540" s="9" t="n">
        <f aca="false">IF($B540="",0,IF(COUNTIFS($B$5:$B540,$B540)=1,1,0))</f>
        <v>0</v>
      </c>
    </row>
    <row r="541" customFormat="false" ht="15" hidden="false" customHeight="false" outlineLevel="0" collapsed="false">
      <c r="A541" s="6"/>
      <c r="B541" s="6"/>
      <c r="C541" s="6"/>
      <c r="D541" s="6"/>
      <c r="E541" s="6"/>
      <c r="F541" s="6"/>
      <c r="G541" s="7"/>
      <c r="H541" s="7"/>
      <c r="I541" s="6"/>
      <c r="J541" s="9" t="str">
        <f aca="false">IF(NOT(ISNUMBER($G541)),"",IF(AND(ASH_CORRECTED="Yes",ISNUMBER($H541)),$G541*(1-$H541),$G541))</f>
        <v/>
      </c>
      <c r="K541" s="9" t="str">
        <f aca="false">IF($B541="","",IFERROR(AVERAGEIFS('2. Soil Data'!$G$5:$G$604,'2. Soil Data'!$B$5:$B$604,$B541),""))</f>
        <v/>
      </c>
      <c r="L541" s="9" t="str">
        <f aca="false">IF(NOT(ISNUMBER($K541)),"",PI()*($K541/2)^2)</f>
        <v/>
      </c>
      <c r="M541" s="9" t="str">
        <f aca="false">IF(OR(NOT(ISNUMBER($J541)),NOT(ISNUMBER($L541)),$L541=0),"",$J541/$L541*10000)</f>
        <v/>
      </c>
      <c r="N541" s="9" t="str">
        <f aca="false">IF(NOT(ISNUMBER($M541)),"",$M541*CARBON_FRACTION_ROOT/1000)</f>
        <v/>
      </c>
      <c r="O541" s="11" t="str">
        <f aca="false">IF(AND($A541="",$B541="",$G541=""),"",IF(AND($B541&lt;&gt;"",COUNTIFS('2. Soil Data'!$B$5:$B$604,$B541)=0),"Core ID not found in Soil Data, so the corer diameter cannot be looked up. ","")&amp;IF(ASH_CORRECTED&lt;&gt;"Yes","Root mass is NOT ash-corrected, so it includes adhering mineral soil and is too high. Set ASH_CORRECTED once you have done it. ","")&amp;IF(AND(ASH_CORRECTED="Yes",NOT(ISNUMBER($H541))),"Ash correction is switched on but no ash fraction is given for this row. ","")&amp;IF($I541="","Sieve mesh not recorded — a fine-root figure cannot be interpreted without it. ","")&amp;IF(AND(ISNUMBER($H541),$H541&gt;0.5),"Ash fraction above 0.5 — over half this sample was mineral soil. Re-wash. ","")&amp;IF($F541="Not separated","Live and dead not separated. Fine for a stock, but "&amp;"note it in reporting. ",""))</f>
        <v/>
      </c>
      <c r="P541" s="6"/>
      <c r="Q541" s="9" t="n">
        <f aca="false">IF($B541="",0,IF(COUNTIFS($B$5:$B541,$B541)=1,1,0))</f>
        <v>0</v>
      </c>
    </row>
    <row r="542" customFormat="false" ht="15" hidden="false" customHeight="false" outlineLevel="0" collapsed="false">
      <c r="A542" s="6"/>
      <c r="B542" s="6"/>
      <c r="C542" s="6"/>
      <c r="D542" s="6"/>
      <c r="E542" s="6"/>
      <c r="F542" s="6"/>
      <c r="G542" s="7"/>
      <c r="H542" s="7"/>
      <c r="I542" s="6"/>
      <c r="J542" s="9" t="str">
        <f aca="false">IF(NOT(ISNUMBER($G542)),"",IF(AND(ASH_CORRECTED="Yes",ISNUMBER($H542)),$G542*(1-$H542),$G542))</f>
        <v/>
      </c>
      <c r="K542" s="9" t="str">
        <f aca="false">IF($B542="","",IFERROR(AVERAGEIFS('2. Soil Data'!$G$5:$G$604,'2. Soil Data'!$B$5:$B$604,$B542),""))</f>
        <v/>
      </c>
      <c r="L542" s="9" t="str">
        <f aca="false">IF(NOT(ISNUMBER($K542)),"",PI()*($K542/2)^2)</f>
        <v/>
      </c>
      <c r="M542" s="9" t="str">
        <f aca="false">IF(OR(NOT(ISNUMBER($J542)),NOT(ISNUMBER($L542)),$L542=0),"",$J542/$L542*10000)</f>
        <v/>
      </c>
      <c r="N542" s="9" t="str">
        <f aca="false">IF(NOT(ISNUMBER($M542)),"",$M542*CARBON_FRACTION_ROOT/1000)</f>
        <v/>
      </c>
      <c r="O542" s="11" t="str">
        <f aca="false">IF(AND($A542="",$B542="",$G542=""),"",IF(AND($B542&lt;&gt;"",COUNTIFS('2. Soil Data'!$B$5:$B$604,$B542)=0),"Core ID not found in Soil Data, so the corer diameter cannot be looked up. ","")&amp;IF(ASH_CORRECTED&lt;&gt;"Yes","Root mass is NOT ash-corrected, so it includes adhering mineral soil and is too high. Set ASH_CORRECTED once you have done it. ","")&amp;IF(AND(ASH_CORRECTED="Yes",NOT(ISNUMBER($H542))),"Ash correction is switched on but no ash fraction is given for this row. ","")&amp;IF($I542="","Sieve mesh not recorded — a fine-root figure cannot be interpreted without it. ","")&amp;IF(AND(ISNUMBER($H542),$H542&gt;0.5),"Ash fraction above 0.5 — over half this sample was mineral soil. Re-wash. ","")&amp;IF($F542="Not separated","Live and dead not separated. Fine for a stock, but "&amp;"note it in reporting. ",""))</f>
        <v/>
      </c>
      <c r="P542" s="6"/>
      <c r="Q542" s="9" t="n">
        <f aca="false">IF($B542="",0,IF(COUNTIFS($B$5:$B542,$B542)=1,1,0))</f>
        <v>0</v>
      </c>
    </row>
    <row r="543" customFormat="false" ht="15" hidden="false" customHeight="false" outlineLevel="0" collapsed="false">
      <c r="A543" s="6"/>
      <c r="B543" s="6"/>
      <c r="C543" s="6"/>
      <c r="D543" s="6"/>
      <c r="E543" s="6"/>
      <c r="F543" s="6"/>
      <c r="G543" s="7"/>
      <c r="H543" s="7"/>
      <c r="I543" s="6"/>
      <c r="J543" s="9" t="str">
        <f aca="false">IF(NOT(ISNUMBER($G543)),"",IF(AND(ASH_CORRECTED="Yes",ISNUMBER($H543)),$G543*(1-$H543),$G543))</f>
        <v/>
      </c>
      <c r="K543" s="9" t="str">
        <f aca="false">IF($B543="","",IFERROR(AVERAGEIFS('2. Soil Data'!$G$5:$G$604,'2. Soil Data'!$B$5:$B$604,$B543),""))</f>
        <v/>
      </c>
      <c r="L543" s="9" t="str">
        <f aca="false">IF(NOT(ISNUMBER($K543)),"",PI()*($K543/2)^2)</f>
        <v/>
      </c>
      <c r="M543" s="9" t="str">
        <f aca="false">IF(OR(NOT(ISNUMBER($J543)),NOT(ISNUMBER($L543)),$L543=0),"",$J543/$L543*10000)</f>
        <v/>
      </c>
      <c r="N543" s="9" t="str">
        <f aca="false">IF(NOT(ISNUMBER($M543)),"",$M543*CARBON_FRACTION_ROOT/1000)</f>
        <v/>
      </c>
      <c r="O543" s="11" t="str">
        <f aca="false">IF(AND($A543="",$B543="",$G543=""),"",IF(AND($B543&lt;&gt;"",COUNTIFS('2. Soil Data'!$B$5:$B$604,$B543)=0),"Core ID not found in Soil Data, so the corer diameter cannot be looked up. ","")&amp;IF(ASH_CORRECTED&lt;&gt;"Yes","Root mass is NOT ash-corrected, so it includes adhering mineral soil and is too high. Set ASH_CORRECTED once you have done it. ","")&amp;IF(AND(ASH_CORRECTED="Yes",NOT(ISNUMBER($H543))),"Ash correction is switched on but no ash fraction is given for this row. ","")&amp;IF($I543="","Sieve mesh not recorded — a fine-root figure cannot be interpreted without it. ","")&amp;IF(AND(ISNUMBER($H543),$H543&gt;0.5),"Ash fraction above 0.5 — over half this sample was mineral soil. Re-wash. ","")&amp;IF($F543="Not separated","Live and dead not separated. Fine for a stock, but "&amp;"note it in reporting. ",""))</f>
        <v/>
      </c>
      <c r="P543" s="6"/>
      <c r="Q543" s="9" t="n">
        <f aca="false">IF($B543="",0,IF(COUNTIFS($B$5:$B543,$B543)=1,1,0))</f>
        <v>0</v>
      </c>
    </row>
    <row r="544" customFormat="false" ht="15" hidden="false" customHeight="false" outlineLevel="0" collapsed="false">
      <c r="A544" s="6"/>
      <c r="B544" s="6"/>
      <c r="C544" s="6"/>
      <c r="D544" s="6"/>
      <c r="E544" s="6"/>
      <c r="F544" s="6"/>
      <c r="G544" s="7"/>
      <c r="H544" s="7"/>
      <c r="I544" s="6"/>
      <c r="J544" s="9" t="str">
        <f aca="false">IF(NOT(ISNUMBER($G544)),"",IF(AND(ASH_CORRECTED="Yes",ISNUMBER($H544)),$G544*(1-$H544),$G544))</f>
        <v/>
      </c>
      <c r="K544" s="9" t="str">
        <f aca="false">IF($B544="","",IFERROR(AVERAGEIFS('2. Soil Data'!$G$5:$G$604,'2. Soil Data'!$B$5:$B$604,$B544),""))</f>
        <v/>
      </c>
      <c r="L544" s="9" t="str">
        <f aca="false">IF(NOT(ISNUMBER($K544)),"",PI()*($K544/2)^2)</f>
        <v/>
      </c>
      <c r="M544" s="9" t="str">
        <f aca="false">IF(OR(NOT(ISNUMBER($J544)),NOT(ISNUMBER($L544)),$L544=0),"",$J544/$L544*10000)</f>
        <v/>
      </c>
      <c r="N544" s="9" t="str">
        <f aca="false">IF(NOT(ISNUMBER($M544)),"",$M544*CARBON_FRACTION_ROOT/1000)</f>
        <v/>
      </c>
      <c r="O544" s="11" t="str">
        <f aca="false">IF(AND($A544="",$B544="",$G544=""),"",IF(AND($B544&lt;&gt;"",COUNTIFS('2. Soil Data'!$B$5:$B$604,$B544)=0),"Core ID not found in Soil Data, so the corer diameter cannot be looked up. ","")&amp;IF(ASH_CORRECTED&lt;&gt;"Yes","Root mass is NOT ash-corrected, so it includes adhering mineral soil and is too high. Set ASH_CORRECTED once you have done it. ","")&amp;IF(AND(ASH_CORRECTED="Yes",NOT(ISNUMBER($H544))),"Ash correction is switched on but no ash fraction is given for this row. ","")&amp;IF($I544="","Sieve mesh not recorded — a fine-root figure cannot be interpreted without it. ","")&amp;IF(AND(ISNUMBER($H544),$H544&gt;0.5),"Ash fraction above 0.5 — over half this sample was mineral soil. Re-wash. ","")&amp;IF($F544="Not separated","Live and dead not separated. Fine for a stock, but "&amp;"note it in reporting. ",""))</f>
        <v/>
      </c>
      <c r="P544" s="6"/>
      <c r="Q544" s="9" t="n">
        <f aca="false">IF($B544="",0,IF(COUNTIFS($B$5:$B544,$B544)=1,1,0))</f>
        <v>0</v>
      </c>
    </row>
    <row r="545" customFormat="false" ht="15" hidden="false" customHeight="false" outlineLevel="0" collapsed="false">
      <c r="A545" s="6"/>
      <c r="B545" s="6"/>
      <c r="C545" s="6"/>
      <c r="D545" s="6"/>
      <c r="E545" s="6"/>
      <c r="F545" s="6"/>
      <c r="G545" s="7"/>
      <c r="H545" s="7"/>
      <c r="I545" s="6"/>
      <c r="J545" s="9" t="str">
        <f aca="false">IF(NOT(ISNUMBER($G545)),"",IF(AND(ASH_CORRECTED="Yes",ISNUMBER($H545)),$G545*(1-$H545),$G545))</f>
        <v/>
      </c>
      <c r="K545" s="9" t="str">
        <f aca="false">IF($B545="","",IFERROR(AVERAGEIFS('2. Soil Data'!$G$5:$G$604,'2. Soil Data'!$B$5:$B$604,$B545),""))</f>
        <v/>
      </c>
      <c r="L545" s="9" t="str">
        <f aca="false">IF(NOT(ISNUMBER($K545)),"",PI()*($K545/2)^2)</f>
        <v/>
      </c>
      <c r="M545" s="9" t="str">
        <f aca="false">IF(OR(NOT(ISNUMBER($J545)),NOT(ISNUMBER($L545)),$L545=0),"",$J545/$L545*10000)</f>
        <v/>
      </c>
      <c r="N545" s="9" t="str">
        <f aca="false">IF(NOT(ISNUMBER($M545)),"",$M545*CARBON_FRACTION_ROOT/1000)</f>
        <v/>
      </c>
      <c r="O545" s="11" t="str">
        <f aca="false">IF(AND($A545="",$B545="",$G545=""),"",IF(AND($B545&lt;&gt;"",COUNTIFS('2. Soil Data'!$B$5:$B$604,$B545)=0),"Core ID not found in Soil Data, so the corer diameter cannot be looked up. ","")&amp;IF(ASH_CORRECTED&lt;&gt;"Yes","Root mass is NOT ash-corrected, so it includes adhering mineral soil and is too high. Set ASH_CORRECTED once you have done it. ","")&amp;IF(AND(ASH_CORRECTED="Yes",NOT(ISNUMBER($H545))),"Ash correction is switched on but no ash fraction is given for this row. ","")&amp;IF($I545="","Sieve mesh not recorded — a fine-root figure cannot be interpreted without it. ","")&amp;IF(AND(ISNUMBER($H545),$H545&gt;0.5),"Ash fraction above 0.5 — over half this sample was mineral soil. Re-wash. ","")&amp;IF($F545="Not separated","Live and dead not separated. Fine for a stock, but "&amp;"note it in reporting. ",""))</f>
        <v/>
      </c>
      <c r="P545" s="6"/>
      <c r="Q545" s="9" t="n">
        <f aca="false">IF($B545="",0,IF(COUNTIFS($B$5:$B545,$B545)=1,1,0))</f>
        <v>0</v>
      </c>
    </row>
    <row r="546" customFormat="false" ht="15" hidden="false" customHeight="false" outlineLevel="0" collapsed="false">
      <c r="A546" s="6"/>
      <c r="B546" s="6"/>
      <c r="C546" s="6"/>
      <c r="D546" s="6"/>
      <c r="E546" s="6"/>
      <c r="F546" s="6"/>
      <c r="G546" s="7"/>
      <c r="H546" s="7"/>
      <c r="I546" s="6"/>
      <c r="J546" s="9" t="str">
        <f aca="false">IF(NOT(ISNUMBER($G546)),"",IF(AND(ASH_CORRECTED="Yes",ISNUMBER($H546)),$G546*(1-$H546),$G546))</f>
        <v/>
      </c>
      <c r="K546" s="9" t="str">
        <f aca="false">IF($B546="","",IFERROR(AVERAGEIFS('2. Soil Data'!$G$5:$G$604,'2. Soil Data'!$B$5:$B$604,$B546),""))</f>
        <v/>
      </c>
      <c r="L546" s="9" t="str">
        <f aca="false">IF(NOT(ISNUMBER($K546)),"",PI()*($K546/2)^2)</f>
        <v/>
      </c>
      <c r="M546" s="9" t="str">
        <f aca="false">IF(OR(NOT(ISNUMBER($J546)),NOT(ISNUMBER($L546)),$L546=0),"",$J546/$L546*10000)</f>
        <v/>
      </c>
      <c r="N546" s="9" t="str">
        <f aca="false">IF(NOT(ISNUMBER($M546)),"",$M546*CARBON_FRACTION_ROOT/1000)</f>
        <v/>
      </c>
      <c r="O546" s="11" t="str">
        <f aca="false">IF(AND($A546="",$B546="",$G546=""),"",IF(AND($B546&lt;&gt;"",COUNTIFS('2. Soil Data'!$B$5:$B$604,$B546)=0),"Core ID not found in Soil Data, so the corer diameter cannot be looked up. ","")&amp;IF(ASH_CORRECTED&lt;&gt;"Yes","Root mass is NOT ash-corrected, so it includes adhering mineral soil and is too high. Set ASH_CORRECTED once you have done it. ","")&amp;IF(AND(ASH_CORRECTED="Yes",NOT(ISNUMBER($H546))),"Ash correction is switched on but no ash fraction is given for this row. ","")&amp;IF($I546="","Sieve mesh not recorded — a fine-root figure cannot be interpreted without it. ","")&amp;IF(AND(ISNUMBER($H546),$H546&gt;0.5),"Ash fraction above 0.5 — over half this sample was mineral soil. Re-wash. ","")&amp;IF($F546="Not separated","Live and dead not separated. Fine for a stock, but "&amp;"note it in reporting. ",""))</f>
        <v/>
      </c>
      <c r="P546" s="6"/>
      <c r="Q546" s="9" t="n">
        <f aca="false">IF($B546="",0,IF(COUNTIFS($B$5:$B546,$B546)=1,1,0))</f>
        <v>0</v>
      </c>
    </row>
    <row r="547" customFormat="false" ht="15" hidden="false" customHeight="false" outlineLevel="0" collapsed="false">
      <c r="A547" s="6"/>
      <c r="B547" s="6"/>
      <c r="C547" s="6"/>
      <c r="D547" s="6"/>
      <c r="E547" s="6"/>
      <c r="F547" s="6"/>
      <c r="G547" s="7"/>
      <c r="H547" s="7"/>
      <c r="I547" s="6"/>
      <c r="J547" s="9" t="str">
        <f aca="false">IF(NOT(ISNUMBER($G547)),"",IF(AND(ASH_CORRECTED="Yes",ISNUMBER($H547)),$G547*(1-$H547),$G547))</f>
        <v/>
      </c>
      <c r="K547" s="9" t="str">
        <f aca="false">IF($B547="","",IFERROR(AVERAGEIFS('2. Soil Data'!$G$5:$G$604,'2. Soil Data'!$B$5:$B$604,$B547),""))</f>
        <v/>
      </c>
      <c r="L547" s="9" t="str">
        <f aca="false">IF(NOT(ISNUMBER($K547)),"",PI()*($K547/2)^2)</f>
        <v/>
      </c>
      <c r="M547" s="9" t="str">
        <f aca="false">IF(OR(NOT(ISNUMBER($J547)),NOT(ISNUMBER($L547)),$L547=0),"",$J547/$L547*10000)</f>
        <v/>
      </c>
      <c r="N547" s="9" t="str">
        <f aca="false">IF(NOT(ISNUMBER($M547)),"",$M547*CARBON_FRACTION_ROOT/1000)</f>
        <v/>
      </c>
      <c r="O547" s="11" t="str">
        <f aca="false">IF(AND($A547="",$B547="",$G547=""),"",IF(AND($B547&lt;&gt;"",COUNTIFS('2. Soil Data'!$B$5:$B$604,$B547)=0),"Core ID not found in Soil Data, so the corer diameter cannot be looked up. ","")&amp;IF(ASH_CORRECTED&lt;&gt;"Yes","Root mass is NOT ash-corrected, so it includes adhering mineral soil and is too high. Set ASH_CORRECTED once you have done it. ","")&amp;IF(AND(ASH_CORRECTED="Yes",NOT(ISNUMBER($H547))),"Ash correction is switched on but no ash fraction is given for this row. ","")&amp;IF($I547="","Sieve mesh not recorded — a fine-root figure cannot be interpreted without it. ","")&amp;IF(AND(ISNUMBER($H547),$H547&gt;0.5),"Ash fraction above 0.5 — over half this sample was mineral soil. Re-wash. ","")&amp;IF($F547="Not separated","Live and dead not separated. Fine for a stock, but "&amp;"note it in reporting. ",""))</f>
        <v/>
      </c>
      <c r="P547" s="6"/>
      <c r="Q547" s="9" t="n">
        <f aca="false">IF($B547="",0,IF(COUNTIFS($B$5:$B547,$B547)=1,1,0))</f>
        <v>0</v>
      </c>
    </row>
    <row r="548" customFormat="false" ht="15" hidden="false" customHeight="false" outlineLevel="0" collapsed="false">
      <c r="A548" s="6"/>
      <c r="B548" s="6"/>
      <c r="C548" s="6"/>
      <c r="D548" s="6"/>
      <c r="E548" s="6"/>
      <c r="F548" s="6"/>
      <c r="G548" s="7"/>
      <c r="H548" s="7"/>
      <c r="I548" s="6"/>
      <c r="J548" s="9" t="str">
        <f aca="false">IF(NOT(ISNUMBER($G548)),"",IF(AND(ASH_CORRECTED="Yes",ISNUMBER($H548)),$G548*(1-$H548),$G548))</f>
        <v/>
      </c>
      <c r="K548" s="9" t="str">
        <f aca="false">IF($B548="","",IFERROR(AVERAGEIFS('2. Soil Data'!$G$5:$G$604,'2. Soil Data'!$B$5:$B$604,$B548),""))</f>
        <v/>
      </c>
      <c r="L548" s="9" t="str">
        <f aca="false">IF(NOT(ISNUMBER($K548)),"",PI()*($K548/2)^2)</f>
        <v/>
      </c>
      <c r="M548" s="9" t="str">
        <f aca="false">IF(OR(NOT(ISNUMBER($J548)),NOT(ISNUMBER($L548)),$L548=0),"",$J548/$L548*10000)</f>
        <v/>
      </c>
      <c r="N548" s="9" t="str">
        <f aca="false">IF(NOT(ISNUMBER($M548)),"",$M548*CARBON_FRACTION_ROOT/1000)</f>
        <v/>
      </c>
      <c r="O548" s="11" t="str">
        <f aca="false">IF(AND($A548="",$B548="",$G548=""),"",IF(AND($B548&lt;&gt;"",COUNTIFS('2. Soil Data'!$B$5:$B$604,$B548)=0),"Core ID not found in Soil Data, so the corer diameter cannot be looked up. ","")&amp;IF(ASH_CORRECTED&lt;&gt;"Yes","Root mass is NOT ash-corrected, so it includes adhering mineral soil and is too high. Set ASH_CORRECTED once you have done it. ","")&amp;IF(AND(ASH_CORRECTED="Yes",NOT(ISNUMBER($H548))),"Ash correction is switched on but no ash fraction is given for this row. ","")&amp;IF($I548="","Sieve mesh not recorded — a fine-root figure cannot be interpreted without it. ","")&amp;IF(AND(ISNUMBER($H548),$H548&gt;0.5),"Ash fraction above 0.5 — over half this sample was mineral soil. Re-wash. ","")&amp;IF($F548="Not separated","Live and dead not separated. Fine for a stock, but "&amp;"note it in reporting. ",""))</f>
        <v/>
      </c>
      <c r="P548" s="6"/>
      <c r="Q548" s="9" t="n">
        <f aca="false">IF($B548="",0,IF(COUNTIFS($B$5:$B548,$B548)=1,1,0))</f>
        <v>0</v>
      </c>
    </row>
    <row r="549" customFormat="false" ht="15" hidden="false" customHeight="false" outlineLevel="0" collapsed="false">
      <c r="A549" s="6"/>
      <c r="B549" s="6"/>
      <c r="C549" s="6"/>
      <c r="D549" s="6"/>
      <c r="E549" s="6"/>
      <c r="F549" s="6"/>
      <c r="G549" s="7"/>
      <c r="H549" s="7"/>
      <c r="I549" s="6"/>
      <c r="J549" s="9" t="str">
        <f aca="false">IF(NOT(ISNUMBER($G549)),"",IF(AND(ASH_CORRECTED="Yes",ISNUMBER($H549)),$G549*(1-$H549),$G549))</f>
        <v/>
      </c>
      <c r="K549" s="9" t="str">
        <f aca="false">IF($B549="","",IFERROR(AVERAGEIFS('2. Soil Data'!$G$5:$G$604,'2. Soil Data'!$B$5:$B$604,$B549),""))</f>
        <v/>
      </c>
      <c r="L549" s="9" t="str">
        <f aca="false">IF(NOT(ISNUMBER($K549)),"",PI()*($K549/2)^2)</f>
        <v/>
      </c>
      <c r="M549" s="9" t="str">
        <f aca="false">IF(OR(NOT(ISNUMBER($J549)),NOT(ISNUMBER($L549)),$L549=0),"",$J549/$L549*10000)</f>
        <v/>
      </c>
      <c r="N549" s="9" t="str">
        <f aca="false">IF(NOT(ISNUMBER($M549)),"",$M549*CARBON_FRACTION_ROOT/1000)</f>
        <v/>
      </c>
      <c r="O549" s="11" t="str">
        <f aca="false">IF(AND($A549="",$B549="",$G549=""),"",IF(AND($B549&lt;&gt;"",COUNTIFS('2. Soil Data'!$B$5:$B$604,$B549)=0),"Core ID not found in Soil Data, so the corer diameter cannot be looked up. ","")&amp;IF(ASH_CORRECTED&lt;&gt;"Yes","Root mass is NOT ash-corrected, so it includes adhering mineral soil and is too high. Set ASH_CORRECTED once you have done it. ","")&amp;IF(AND(ASH_CORRECTED="Yes",NOT(ISNUMBER($H549))),"Ash correction is switched on but no ash fraction is given for this row. ","")&amp;IF($I549="","Sieve mesh not recorded — a fine-root figure cannot be interpreted without it. ","")&amp;IF(AND(ISNUMBER($H549),$H549&gt;0.5),"Ash fraction above 0.5 — over half this sample was mineral soil. Re-wash. ","")&amp;IF($F549="Not separated","Live and dead not separated. Fine for a stock, but "&amp;"note it in reporting. ",""))</f>
        <v/>
      </c>
      <c r="P549" s="6"/>
      <c r="Q549" s="9" t="n">
        <f aca="false">IF($B549="",0,IF(COUNTIFS($B$5:$B549,$B549)=1,1,0))</f>
        <v>0</v>
      </c>
    </row>
    <row r="550" customFormat="false" ht="15" hidden="false" customHeight="false" outlineLevel="0" collapsed="false">
      <c r="A550" s="6"/>
      <c r="B550" s="6"/>
      <c r="C550" s="6"/>
      <c r="D550" s="6"/>
      <c r="E550" s="6"/>
      <c r="F550" s="6"/>
      <c r="G550" s="7"/>
      <c r="H550" s="7"/>
      <c r="I550" s="6"/>
      <c r="J550" s="9" t="str">
        <f aca="false">IF(NOT(ISNUMBER($G550)),"",IF(AND(ASH_CORRECTED="Yes",ISNUMBER($H550)),$G550*(1-$H550),$G550))</f>
        <v/>
      </c>
      <c r="K550" s="9" t="str">
        <f aca="false">IF($B550="","",IFERROR(AVERAGEIFS('2. Soil Data'!$G$5:$G$604,'2. Soil Data'!$B$5:$B$604,$B550),""))</f>
        <v/>
      </c>
      <c r="L550" s="9" t="str">
        <f aca="false">IF(NOT(ISNUMBER($K550)),"",PI()*($K550/2)^2)</f>
        <v/>
      </c>
      <c r="M550" s="9" t="str">
        <f aca="false">IF(OR(NOT(ISNUMBER($J550)),NOT(ISNUMBER($L550)),$L550=0),"",$J550/$L550*10000)</f>
        <v/>
      </c>
      <c r="N550" s="9" t="str">
        <f aca="false">IF(NOT(ISNUMBER($M550)),"",$M550*CARBON_FRACTION_ROOT/1000)</f>
        <v/>
      </c>
      <c r="O550" s="11" t="str">
        <f aca="false">IF(AND($A550="",$B550="",$G550=""),"",IF(AND($B550&lt;&gt;"",COUNTIFS('2. Soil Data'!$B$5:$B$604,$B550)=0),"Core ID not found in Soil Data, so the corer diameter cannot be looked up. ","")&amp;IF(ASH_CORRECTED&lt;&gt;"Yes","Root mass is NOT ash-corrected, so it includes adhering mineral soil and is too high. Set ASH_CORRECTED once you have done it. ","")&amp;IF(AND(ASH_CORRECTED="Yes",NOT(ISNUMBER($H550))),"Ash correction is switched on but no ash fraction is given for this row. ","")&amp;IF($I550="","Sieve mesh not recorded — a fine-root figure cannot be interpreted without it. ","")&amp;IF(AND(ISNUMBER($H550),$H550&gt;0.5),"Ash fraction above 0.5 — over half this sample was mineral soil. Re-wash. ","")&amp;IF($F550="Not separated","Live and dead not separated. Fine for a stock, but "&amp;"note it in reporting. ",""))</f>
        <v/>
      </c>
      <c r="P550" s="6"/>
      <c r="Q550" s="9" t="n">
        <f aca="false">IF($B550="",0,IF(COUNTIFS($B$5:$B550,$B550)=1,1,0))</f>
        <v>0</v>
      </c>
    </row>
    <row r="551" customFormat="false" ht="15" hidden="false" customHeight="false" outlineLevel="0" collapsed="false">
      <c r="A551" s="6"/>
      <c r="B551" s="6"/>
      <c r="C551" s="6"/>
      <c r="D551" s="6"/>
      <c r="E551" s="6"/>
      <c r="F551" s="6"/>
      <c r="G551" s="7"/>
      <c r="H551" s="7"/>
      <c r="I551" s="6"/>
      <c r="J551" s="9" t="str">
        <f aca="false">IF(NOT(ISNUMBER($G551)),"",IF(AND(ASH_CORRECTED="Yes",ISNUMBER($H551)),$G551*(1-$H551),$G551))</f>
        <v/>
      </c>
      <c r="K551" s="9" t="str">
        <f aca="false">IF($B551="","",IFERROR(AVERAGEIFS('2. Soil Data'!$G$5:$G$604,'2. Soil Data'!$B$5:$B$604,$B551),""))</f>
        <v/>
      </c>
      <c r="L551" s="9" t="str">
        <f aca="false">IF(NOT(ISNUMBER($K551)),"",PI()*($K551/2)^2)</f>
        <v/>
      </c>
      <c r="M551" s="9" t="str">
        <f aca="false">IF(OR(NOT(ISNUMBER($J551)),NOT(ISNUMBER($L551)),$L551=0),"",$J551/$L551*10000)</f>
        <v/>
      </c>
      <c r="N551" s="9" t="str">
        <f aca="false">IF(NOT(ISNUMBER($M551)),"",$M551*CARBON_FRACTION_ROOT/1000)</f>
        <v/>
      </c>
      <c r="O551" s="11" t="str">
        <f aca="false">IF(AND($A551="",$B551="",$G551=""),"",IF(AND($B551&lt;&gt;"",COUNTIFS('2. Soil Data'!$B$5:$B$604,$B551)=0),"Core ID not found in Soil Data, so the corer diameter cannot be looked up. ","")&amp;IF(ASH_CORRECTED&lt;&gt;"Yes","Root mass is NOT ash-corrected, so it includes adhering mineral soil and is too high. Set ASH_CORRECTED once you have done it. ","")&amp;IF(AND(ASH_CORRECTED="Yes",NOT(ISNUMBER($H551))),"Ash correction is switched on but no ash fraction is given for this row. ","")&amp;IF($I551="","Sieve mesh not recorded — a fine-root figure cannot be interpreted without it. ","")&amp;IF(AND(ISNUMBER($H551),$H551&gt;0.5),"Ash fraction above 0.5 — over half this sample was mineral soil. Re-wash. ","")&amp;IF($F551="Not separated","Live and dead not separated. Fine for a stock, but "&amp;"note it in reporting. ",""))</f>
        <v/>
      </c>
      <c r="P551" s="6"/>
      <c r="Q551" s="9" t="n">
        <f aca="false">IF($B551="",0,IF(COUNTIFS($B$5:$B551,$B551)=1,1,0))</f>
        <v>0</v>
      </c>
    </row>
    <row r="552" customFormat="false" ht="15" hidden="false" customHeight="false" outlineLevel="0" collapsed="false">
      <c r="A552" s="6"/>
      <c r="B552" s="6"/>
      <c r="C552" s="6"/>
      <c r="D552" s="6"/>
      <c r="E552" s="6"/>
      <c r="F552" s="6"/>
      <c r="G552" s="7"/>
      <c r="H552" s="7"/>
      <c r="I552" s="6"/>
      <c r="J552" s="9" t="str">
        <f aca="false">IF(NOT(ISNUMBER($G552)),"",IF(AND(ASH_CORRECTED="Yes",ISNUMBER($H552)),$G552*(1-$H552),$G552))</f>
        <v/>
      </c>
      <c r="K552" s="9" t="str">
        <f aca="false">IF($B552="","",IFERROR(AVERAGEIFS('2. Soil Data'!$G$5:$G$604,'2. Soil Data'!$B$5:$B$604,$B552),""))</f>
        <v/>
      </c>
      <c r="L552" s="9" t="str">
        <f aca="false">IF(NOT(ISNUMBER($K552)),"",PI()*($K552/2)^2)</f>
        <v/>
      </c>
      <c r="M552" s="9" t="str">
        <f aca="false">IF(OR(NOT(ISNUMBER($J552)),NOT(ISNUMBER($L552)),$L552=0),"",$J552/$L552*10000)</f>
        <v/>
      </c>
      <c r="N552" s="9" t="str">
        <f aca="false">IF(NOT(ISNUMBER($M552)),"",$M552*CARBON_FRACTION_ROOT/1000)</f>
        <v/>
      </c>
      <c r="O552" s="11" t="str">
        <f aca="false">IF(AND($A552="",$B552="",$G552=""),"",IF(AND($B552&lt;&gt;"",COUNTIFS('2. Soil Data'!$B$5:$B$604,$B552)=0),"Core ID not found in Soil Data, so the corer diameter cannot be looked up. ","")&amp;IF(ASH_CORRECTED&lt;&gt;"Yes","Root mass is NOT ash-corrected, so it includes adhering mineral soil and is too high. Set ASH_CORRECTED once you have done it. ","")&amp;IF(AND(ASH_CORRECTED="Yes",NOT(ISNUMBER($H552))),"Ash correction is switched on but no ash fraction is given for this row. ","")&amp;IF($I552="","Sieve mesh not recorded — a fine-root figure cannot be interpreted without it. ","")&amp;IF(AND(ISNUMBER($H552),$H552&gt;0.5),"Ash fraction above 0.5 — over half this sample was mineral soil. Re-wash. ","")&amp;IF($F552="Not separated","Live and dead not separated. Fine for a stock, but "&amp;"note it in reporting. ",""))</f>
        <v/>
      </c>
      <c r="P552" s="6"/>
      <c r="Q552" s="9" t="n">
        <f aca="false">IF($B552="",0,IF(COUNTIFS($B$5:$B552,$B552)=1,1,0))</f>
        <v>0</v>
      </c>
    </row>
    <row r="553" customFormat="false" ht="15" hidden="false" customHeight="false" outlineLevel="0" collapsed="false">
      <c r="A553" s="6"/>
      <c r="B553" s="6"/>
      <c r="C553" s="6"/>
      <c r="D553" s="6"/>
      <c r="E553" s="6"/>
      <c r="F553" s="6"/>
      <c r="G553" s="7"/>
      <c r="H553" s="7"/>
      <c r="I553" s="6"/>
      <c r="J553" s="9" t="str">
        <f aca="false">IF(NOT(ISNUMBER($G553)),"",IF(AND(ASH_CORRECTED="Yes",ISNUMBER($H553)),$G553*(1-$H553),$G553))</f>
        <v/>
      </c>
      <c r="K553" s="9" t="str">
        <f aca="false">IF($B553="","",IFERROR(AVERAGEIFS('2. Soil Data'!$G$5:$G$604,'2. Soil Data'!$B$5:$B$604,$B553),""))</f>
        <v/>
      </c>
      <c r="L553" s="9" t="str">
        <f aca="false">IF(NOT(ISNUMBER($K553)),"",PI()*($K553/2)^2)</f>
        <v/>
      </c>
      <c r="M553" s="9" t="str">
        <f aca="false">IF(OR(NOT(ISNUMBER($J553)),NOT(ISNUMBER($L553)),$L553=0),"",$J553/$L553*10000)</f>
        <v/>
      </c>
      <c r="N553" s="9" t="str">
        <f aca="false">IF(NOT(ISNUMBER($M553)),"",$M553*CARBON_FRACTION_ROOT/1000)</f>
        <v/>
      </c>
      <c r="O553" s="11" t="str">
        <f aca="false">IF(AND($A553="",$B553="",$G553=""),"",IF(AND($B553&lt;&gt;"",COUNTIFS('2. Soil Data'!$B$5:$B$604,$B553)=0),"Core ID not found in Soil Data, so the corer diameter cannot be looked up. ","")&amp;IF(ASH_CORRECTED&lt;&gt;"Yes","Root mass is NOT ash-corrected, so it includes adhering mineral soil and is too high. Set ASH_CORRECTED once you have done it. ","")&amp;IF(AND(ASH_CORRECTED="Yes",NOT(ISNUMBER($H553))),"Ash correction is switched on but no ash fraction is given for this row. ","")&amp;IF($I553="","Sieve mesh not recorded — a fine-root figure cannot be interpreted without it. ","")&amp;IF(AND(ISNUMBER($H553),$H553&gt;0.5),"Ash fraction above 0.5 — over half this sample was mineral soil. Re-wash. ","")&amp;IF($F553="Not separated","Live and dead not separated. Fine for a stock, but "&amp;"note it in reporting. ",""))</f>
        <v/>
      </c>
      <c r="P553" s="6"/>
      <c r="Q553" s="9" t="n">
        <f aca="false">IF($B553="",0,IF(COUNTIFS($B$5:$B553,$B553)=1,1,0))</f>
        <v>0</v>
      </c>
    </row>
    <row r="554" customFormat="false" ht="15" hidden="false" customHeight="false" outlineLevel="0" collapsed="false">
      <c r="A554" s="6"/>
      <c r="B554" s="6"/>
      <c r="C554" s="6"/>
      <c r="D554" s="6"/>
      <c r="E554" s="6"/>
      <c r="F554" s="6"/>
      <c r="G554" s="7"/>
      <c r="H554" s="7"/>
      <c r="I554" s="6"/>
      <c r="J554" s="9" t="str">
        <f aca="false">IF(NOT(ISNUMBER($G554)),"",IF(AND(ASH_CORRECTED="Yes",ISNUMBER($H554)),$G554*(1-$H554),$G554))</f>
        <v/>
      </c>
      <c r="K554" s="9" t="str">
        <f aca="false">IF($B554="","",IFERROR(AVERAGEIFS('2. Soil Data'!$G$5:$G$604,'2. Soil Data'!$B$5:$B$604,$B554),""))</f>
        <v/>
      </c>
      <c r="L554" s="9" t="str">
        <f aca="false">IF(NOT(ISNUMBER($K554)),"",PI()*($K554/2)^2)</f>
        <v/>
      </c>
      <c r="M554" s="9" t="str">
        <f aca="false">IF(OR(NOT(ISNUMBER($J554)),NOT(ISNUMBER($L554)),$L554=0),"",$J554/$L554*10000)</f>
        <v/>
      </c>
      <c r="N554" s="9" t="str">
        <f aca="false">IF(NOT(ISNUMBER($M554)),"",$M554*CARBON_FRACTION_ROOT/1000)</f>
        <v/>
      </c>
      <c r="O554" s="11" t="str">
        <f aca="false">IF(AND($A554="",$B554="",$G554=""),"",IF(AND($B554&lt;&gt;"",COUNTIFS('2. Soil Data'!$B$5:$B$604,$B554)=0),"Core ID not found in Soil Data, so the corer diameter cannot be looked up. ","")&amp;IF(ASH_CORRECTED&lt;&gt;"Yes","Root mass is NOT ash-corrected, so it includes adhering mineral soil and is too high. Set ASH_CORRECTED once you have done it. ","")&amp;IF(AND(ASH_CORRECTED="Yes",NOT(ISNUMBER($H554))),"Ash correction is switched on but no ash fraction is given for this row. ","")&amp;IF($I554="","Sieve mesh not recorded — a fine-root figure cannot be interpreted without it. ","")&amp;IF(AND(ISNUMBER($H554),$H554&gt;0.5),"Ash fraction above 0.5 — over half this sample was mineral soil. Re-wash. ","")&amp;IF($F554="Not separated","Live and dead not separated. Fine for a stock, but "&amp;"note it in reporting. ",""))</f>
        <v/>
      </c>
      <c r="P554" s="6"/>
      <c r="Q554" s="9" t="n">
        <f aca="false">IF($B554="",0,IF(COUNTIFS($B$5:$B554,$B554)=1,1,0))</f>
        <v>0</v>
      </c>
    </row>
    <row r="555" customFormat="false" ht="15" hidden="false" customHeight="false" outlineLevel="0" collapsed="false">
      <c r="A555" s="6"/>
      <c r="B555" s="6"/>
      <c r="C555" s="6"/>
      <c r="D555" s="6"/>
      <c r="E555" s="6"/>
      <c r="F555" s="6"/>
      <c r="G555" s="7"/>
      <c r="H555" s="7"/>
      <c r="I555" s="6"/>
      <c r="J555" s="9" t="str">
        <f aca="false">IF(NOT(ISNUMBER($G555)),"",IF(AND(ASH_CORRECTED="Yes",ISNUMBER($H555)),$G555*(1-$H555),$G555))</f>
        <v/>
      </c>
      <c r="K555" s="9" t="str">
        <f aca="false">IF($B555="","",IFERROR(AVERAGEIFS('2. Soil Data'!$G$5:$G$604,'2. Soil Data'!$B$5:$B$604,$B555),""))</f>
        <v/>
      </c>
      <c r="L555" s="9" t="str">
        <f aca="false">IF(NOT(ISNUMBER($K555)),"",PI()*($K555/2)^2)</f>
        <v/>
      </c>
      <c r="M555" s="9" t="str">
        <f aca="false">IF(OR(NOT(ISNUMBER($J555)),NOT(ISNUMBER($L555)),$L555=0),"",$J555/$L555*10000)</f>
        <v/>
      </c>
      <c r="N555" s="9" t="str">
        <f aca="false">IF(NOT(ISNUMBER($M555)),"",$M555*CARBON_FRACTION_ROOT/1000)</f>
        <v/>
      </c>
      <c r="O555" s="11" t="str">
        <f aca="false">IF(AND($A555="",$B555="",$G555=""),"",IF(AND($B555&lt;&gt;"",COUNTIFS('2. Soil Data'!$B$5:$B$604,$B555)=0),"Core ID not found in Soil Data, so the corer diameter cannot be looked up. ","")&amp;IF(ASH_CORRECTED&lt;&gt;"Yes","Root mass is NOT ash-corrected, so it includes adhering mineral soil and is too high. Set ASH_CORRECTED once you have done it. ","")&amp;IF(AND(ASH_CORRECTED="Yes",NOT(ISNUMBER($H555))),"Ash correction is switched on but no ash fraction is given for this row. ","")&amp;IF($I555="","Sieve mesh not recorded — a fine-root figure cannot be interpreted without it. ","")&amp;IF(AND(ISNUMBER($H555),$H555&gt;0.5),"Ash fraction above 0.5 — over half this sample was mineral soil. Re-wash. ","")&amp;IF($F555="Not separated","Live and dead not separated. Fine for a stock, but "&amp;"note it in reporting. ",""))</f>
        <v/>
      </c>
      <c r="P555" s="6"/>
      <c r="Q555" s="9" t="n">
        <f aca="false">IF($B555="",0,IF(COUNTIFS($B$5:$B555,$B555)=1,1,0))</f>
        <v>0</v>
      </c>
    </row>
    <row r="556" customFormat="false" ht="15" hidden="false" customHeight="false" outlineLevel="0" collapsed="false">
      <c r="A556" s="6"/>
      <c r="B556" s="6"/>
      <c r="C556" s="6"/>
      <c r="D556" s="6"/>
      <c r="E556" s="6"/>
      <c r="F556" s="6"/>
      <c r="G556" s="7"/>
      <c r="H556" s="7"/>
      <c r="I556" s="6"/>
      <c r="J556" s="9" t="str">
        <f aca="false">IF(NOT(ISNUMBER($G556)),"",IF(AND(ASH_CORRECTED="Yes",ISNUMBER($H556)),$G556*(1-$H556),$G556))</f>
        <v/>
      </c>
      <c r="K556" s="9" t="str">
        <f aca="false">IF($B556="","",IFERROR(AVERAGEIFS('2. Soil Data'!$G$5:$G$604,'2. Soil Data'!$B$5:$B$604,$B556),""))</f>
        <v/>
      </c>
      <c r="L556" s="9" t="str">
        <f aca="false">IF(NOT(ISNUMBER($K556)),"",PI()*($K556/2)^2)</f>
        <v/>
      </c>
      <c r="M556" s="9" t="str">
        <f aca="false">IF(OR(NOT(ISNUMBER($J556)),NOT(ISNUMBER($L556)),$L556=0),"",$J556/$L556*10000)</f>
        <v/>
      </c>
      <c r="N556" s="9" t="str">
        <f aca="false">IF(NOT(ISNUMBER($M556)),"",$M556*CARBON_FRACTION_ROOT/1000)</f>
        <v/>
      </c>
      <c r="O556" s="11" t="str">
        <f aca="false">IF(AND($A556="",$B556="",$G556=""),"",IF(AND($B556&lt;&gt;"",COUNTIFS('2. Soil Data'!$B$5:$B$604,$B556)=0),"Core ID not found in Soil Data, so the corer diameter cannot be looked up. ","")&amp;IF(ASH_CORRECTED&lt;&gt;"Yes","Root mass is NOT ash-corrected, so it includes adhering mineral soil and is too high. Set ASH_CORRECTED once you have done it. ","")&amp;IF(AND(ASH_CORRECTED="Yes",NOT(ISNUMBER($H556))),"Ash correction is switched on but no ash fraction is given for this row. ","")&amp;IF($I556="","Sieve mesh not recorded — a fine-root figure cannot be interpreted without it. ","")&amp;IF(AND(ISNUMBER($H556),$H556&gt;0.5),"Ash fraction above 0.5 — over half this sample was mineral soil. Re-wash. ","")&amp;IF($F556="Not separated","Live and dead not separated. Fine for a stock, but "&amp;"note it in reporting. ",""))</f>
        <v/>
      </c>
      <c r="P556" s="6"/>
      <c r="Q556" s="9" t="n">
        <f aca="false">IF($B556="",0,IF(COUNTIFS($B$5:$B556,$B556)=1,1,0))</f>
        <v>0</v>
      </c>
    </row>
    <row r="557" customFormat="false" ht="15" hidden="false" customHeight="false" outlineLevel="0" collapsed="false">
      <c r="A557" s="6"/>
      <c r="B557" s="6"/>
      <c r="C557" s="6"/>
      <c r="D557" s="6"/>
      <c r="E557" s="6"/>
      <c r="F557" s="6"/>
      <c r="G557" s="7"/>
      <c r="H557" s="7"/>
      <c r="I557" s="6"/>
      <c r="J557" s="9" t="str">
        <f aca="false">IF(NOT(ISNUMBER($G557)),"",IF(AND(ASH_CORRECTED="Yes",ISNUMBER($H557)),$G557*(1-$H557),$G557))</f>
        <v/>
      </c>
      <c r="K557" s="9" t="str">
        <f aca="false">IF($B557="","",IFERROR(AVERAGEIFS('2. Soil Data'!$G$5:$G$604,'2. Soil Data'!$B$5:$B$604,$B557),""))</f>
        <v/>
      </c>
      <c r="L557" s="9" t="str">
        <f aca="false">IF(NOT(ISNUMBER($K557)),"",PI()*($K557/2)^2)</f>
        <v/>
      </c>
      <c r="M557" s="9" t="str">
        <f aca="false">IF(OR(NOT(ISNUMBER($J557)),NOT(ISNUMBER($L557)),$L557=0),"",$J557/$L557*10000)</f>
        <v/>
      </c>
      <c r="N557" s="9" t="str">
        <f aca="false">IF(NOT(ISNUMBER($M557)),"",$M557*CARBON_FRACTION_ROOT/1000)</f>
        <v/>
      </c>
      <c r="O557" s="11" t="str">
        <f aca="false">IF(AND($A557="",$B557="",$G557=""),"",IF(AND($B557&lt;&gt;"",COUNTIFS('2. Soil Data'!$B$5:$B$604,$B557)=0),"Core ID not found in Soil Data, so the corer diameter cannot be looked up. ","")&amp;IF(ASH_CORRECTED&lt;&gt;"Yes","Root mass is NOT ash-corrected, so it includes adhering mineral soil and is too high. Set ASH_CORRECTED once you have done it. ","")&amp;IF(AND(ASH_CORRECTED="Yes",NOT(ISNUMBER($H557))),"Ash correction is switched on but no ash fraction is given for this row. ","")&amp;IF($I557="","Sieve mesh not recorded — a fine-root figure cannot be interpreted without it. ","")&amp;IF(AND(ISNUMBER($H557),$H557&gt;0.5),"Ash fraction above 0.5 — over half this sample was mineral soil. Re-wash. ","")&amp;IF($F557="Not separated","Live and dead not separated. Fine for a stock, but "&amp;"note it in reporting. ",""))</f>
        <v/>
      </c>
      <c r="P557" s="6"/>
      <c r="Q557" s="9" t="n">
        <f aca="false">IF($B557="",0,IF(COUNTIFS($B$5:$B557,$B557)=1,1,0))</f>
        <v>0</v>
      </c>
    </row>
    <row r="558" customFormat="false" ht="15" hidden="false" customHeight="false" outlineLevel="0" collapsed="false">
      <c r="A558" s="6"/>
      <c r="B558" s="6"/>
      <c r="C558" s="6"/>
      <c r="D558" s="6"/>
      <c r="E558" s="6"/>
      <c r="F558" s="6"/>
      <c r="G558" s="7"/>
      <c r="H558" s="7"/>
      <c r="I558" s="6"/>
      <c r="J558" s="9" t="str">
        <f aca="false">IF(NOT(ISNUMBER($G558)),"",IF(AND(ASH_CORRECTED="Yes",ISNUMBER($H558)),$G558*(1-$H558),$G558))</f>
        <v/>
      </c>
      <c r="K558" s="9" t="str">
        <f aca="false">IF($B558="","",IFERROR(AVERAGEIFS('2. Soil Data'!$G$5:$G$604,'2. Soil Data'!$B$5:$B$604,$B558),""))</f>
        <v/>
      </c>
      <c r="L558" s="9" t="str">
        <f aca="false">IF(NOT(ISNUMBER($K558)),"",PI()*($K558/2)^2)</f>
        <v/>
      </c>
      <c r="M558" s="9" t="str">
        <f aca="false">IF(OR(NOT(ISNUMBER($J558)),NOT(ISNUMBER($L558)),$L558=0),"",$J558/$L558*10000)</f>
        <v/>
      </c>
      <c r="N558" s="9" t="str">
        <f aca="false">IF(NOT(ISNUMBER($M558)),"",$M558*CARBON_FRACTION_ROOT/1000)</f>
        <v/>
      </c>
      <c r="O558" s="11" t="str">
        <f aca="false">IF(AND($A558="",$B558="",$G558=""),"",IF(AND($B558&lt;&gt;"",COUNTIFS('2. Soil Data'!$B$5:$B$604,$B558)=0),"Core ID not found in Soil Data, so the corer diameter cannot be looked up. ","")&amp;IF(ASH_CORRECTED&lt;&gt;"Yes","Root mass is NOT ash-corrected, so it includes adhering mineral soil and is too high. Set ASH_CORRECTED once you have done it. ","")&amp;IF(AND(ASH_CORRECTED="Yes",NOT(ISNUMBER($H558))),"Ash correction is switched on but no ash fraction is given for this row. ","")&amp;IF($I558="","Sieve mesh not recorded — a fine-root figure cannot be interpreted without it. ","")&amp;IF(AND(ISNUMBER($H558),$H558&gt;0.5),"Ash fraction above 0.5 — over half this sample was mineral soil. Re-wash. ","")&amp;IF($F558="Not separated","Live and dead not separated. Fine for a stock, but "&amp;"note it in reporting. ",""))</f>
        <v/>
      </c>
      <c r="P558" s="6"/>
      <c r="Q558" s="9" t="n">
        <f aca="false">IF($B558="",0,IF(COUNTIFS($B$5:$B558,$B558)=1,1,0))</f>
        <v>0</v>
      </c>
    </row>
    <row r="559" customFormat="false" ht="15" hidden="false" customHeight="false" outlineLevel="0" collapsed="false">
      <c r="A559" s="6"/>
      <c r="B559" s="6"/>
      <c r="C559" s="6"/>
      <c r="D559" s="6"/>
      <c r="E559" s="6"/>
      <c r="F559" s="6"/>
      <c r="G559" s="7"/>
      <c r="H559" s="7"/>
      <c r="I559" s="6"/>
      <c r="J559" s="9" t="str">
        <f aca="false">IF(NOT(ISNUMBER($G559)),"",IF(AND(ASH_CORRECTED="Yes",ISNUMBER($H559)),$G559*(1-$H559),$G559))</f>
        <v/>
      </c>
      <c r="K559" s="9" t="str">
        <f aca="false">IF($B559="","",IFERROR(AVERAGEIFS('2. Soil Data'!$G$5:$G$604,'2. Soil Data'!$B$5:$B$604,$B559),""))</f>
        <v/>
      </c>
      <c r="L559" s="9" t="str">
        <f aca="false">IF(NOT(ISNUMBER($K559)),"",PI()*($K559/2)^2)</f>
        <v/>
      </c>
      <c r="M559" s="9" t="str">
        <f aca="false">IF(OR(NOT(ISNUMBER($J559)),NOT(ISNUMBER($L559)),$L559=0),"",$J559/$L559*10000)</f>
        <v/>
      </c>
      <c r="N559" s="9" t="str">
        <f aca="false">IF(NOT(ISNUMBER($M559)),"",$M559*CARBON_FRACTION_ROOT/1000)</f>
        <v/>
      </c>
      <c r="O559" s="11" t="str">
        <f aca="false">IF(AND($A559="",$B559="",$G559=""),"",IF(AND($B559&lt;&gt;"",COUNTIFS('2. Soil Data'!$B$5:$B$604,$B559)=0),"Core ID not found in Soil Data, so the corer diameter cannot be looked up. ","")&amp;IF(ASH_CORRECTED&lt;&gt;"Yes","Root mass is NOT ash-corrected, so it includes adhering mineral soil and is too high. Set ASH_CORRECTED once you have done it. ","")&amp;IF(AND(ASH_CORRECTED="Yes",NOT(ISNUMBER($H559))),"Ash correction is switched on but no ash fraction is given for this row. ","")&amp;IF($I559="","Sieve mesh not recorded — a fine-root figure cannot be interpreted without it. ","")&amp;IF(AND(ISNUMBER($H559),$H559&gt;0.5),"Ash fraction above 0.5 — over half this sample was mineral soil. Re-wash. ","")&amp;IF($F559="Not separated","Live and dead not separated. Fine for a stock, but "&amp;"note it in reporting. ",""))</f>
        <v/>
      </c>
      <c r="P559" s="6"/>
      <c r="Q559" s="9" t="n">
        <f aca="false">IF($B559="",0,IF(COUNTIFS($B$5:$B559,$B559)=1,1,0))</f>
        <v>0</v>
      </c>
    </row>
    <row r="560" customFormat="false" ht="15" hidden="false" customHeight="false" outlineLevel="0" collapsed="false">
      <c r="A560" s="6"/>
      <c r="B560" s="6"/>
      <c r="C560" s="6"/>
      <c r="D560" s="6"/>
      <c r="E560" s="6"/>
      <c r="F560" s="6"/>
      <c r="G560" s="7"/>
      <c r="H560" s="7"/>
      <c r="I560" s="6"/>
      <c r="J560" s="9" t="str">
        <f aca="false">IF(NOT(ISNUMBER($G560)),"",IF(AND(ASH_CORRECTED="Yes",ISNUMBER($H560)),$G560*(1-$H560),$G560))</f>
        <v/>
      </c>
      <c r="K560" s="9" t="str">
        <f aca="false">IF($B560="","",IFERROR(AVERAGEIFS('2. Soil Data'!$G$5:$G$604,'2. Soil Data'!$B$5:$B$604,$B560),""))</f>
        <v/>
      </c>
      <c r="L560" s="9" t="str">
        <f aca="false">IF(NOT(ISNUMBER($K560)),"",PI()*($K560/2)^2)</f>
        <v/>
      </c>
      <c r="M560" s="9" t="str">
        <f aca="false">IF(OR(NOT(ISNUMBER($J560)),NOT(ISNUMBER($L560)),$L560=0),"",$J560/$L560*10000)</f>
        <v/>
      </c>
      <c r="N560" s="9" t="str">
        <f aca="false">IF(NOT(ISNUMBER($M560)),"",$M560*CARBON_FRACTION_ROOT/1000)</f>
        <v/>
      </c>
      <c r="O560" s="11" t="str">
        <f aca="false">IF(AND($A560="",$B560="",$G560=""),"",IF(AND($B560&lt;&gt;"",COUNTIFS('2. Soil Data'!$B$5:$B$604,$B560)=0),"Core ID not found in Soil Data, so the corer diameter cannot be looked up. ","")&amp;IF(ASH_CORRECTED&lt;&gt;"Yes","Root mass is NOT ash-corrected, so it includes adhering mineral soil and is too high. Set ASH_CORRECTED once you have done it. ","")&amp;IF(AND(ASH_CORRECTED="Yes",NOT(ISNUMBER($H560))),"Ash correction is switched on but no ash fraction is given for this row. ","")&amp;IF($I560="","Sieve mesh not recorded — a fine-root figure cannot be interpreted without it. ","")&amp;IF(AND(ISNUMBER($H560),$H560&gt;0.5),"Ash fraction above 0.5 — over half this sample was mineral soil. Re-wash. ","")&amp;IF($F560="Not separated","Live and dead not separated. Fine for a stock, but "&amp;"note it in reporting. ",""))</f>
        <v/>
      </c>
      <c r="P560" s="6"/>
      <c r="Q560" s="9" t="n">
        <f aca="false">IF($B560="",0,IF(COUNTIFS($B$5:$B560,$B560)=1,1,0))</f>
        <v>0</v>
      </c>
    </row>
    <row r="561" customFormat="false" ht="15" hidden="false" customHeight="false" outlineLevel="0" collapsed="false">
      <c r="A561" s="6"/>
      <c r="B561" s="6"/>
      <c r="C561" s="6"/>
      <c r="D561" s="6"/>
      <c r="E561" s="6"/>
      <c r="F561" s="6"/>
      <c r="G561" s="7"/>
      <c r="H561" s="7"/>
      <c r="I561" s="6"/>
      <c r="J561" s="9" t="str">
        <f aca="false">IF(NOT(ISNUMBER($G561)),"",IF(AND(ASH_CORRECTED="Yes",ISNUMBER($H561)),$G561*(1-$H561),$G561))</f>
        <v/>
      </c>
      <c r="K561" s="9" t="str">
        <f aca="false">IF($B561="","",IFERROR(AVERAGEIFS('2. Soil Data'!$G$5:$G$604,'2. Soil Data'!$B$5:$B$604,$B561),""))</f>
        <v/>
      </c>
      <c r="L561" s="9" t="str">
        <f aca="false">IF(NOT(ISNUMBER($K561)),"",PI()*($K561/2)^2)</f>
        <v/>
      </c>
      <c r="M561" s="9" t="str">
        <f aca="false">IF(OR(NOT(ISNUMBER($J561)),NOT(ISNUMBER($L561)),$L561=0),"",$J561/$L561*10000)</f>
        <v/>
      </c>
      <c r="N561" s="9" t="str">
        <f aca="false">IF(NOT(ISNUMBER($M561)),"",$M561*CARBON_FRACTION_ROOT/1000)</f>
        <v/>
      </c>
      <c r="O561" s="11" t="str">
        <f aca="false">IF(AND($A561="",$B561="",$G561=""),"",IF(AND($B561&lt;&gt;"",COUNTIFS('2. Soil Data'!$B$5:$B$604,$B561)=0),"Core ID not found in Soil Data, so the corer diameter cannot be looked up. ","")&amp;IF(ASH_CORRECTED&lt;&gt;"Yes","Root mass is NOT ash-corrected, so it includes adhering mineral soil and is too high. Set ASH_CORRECTED once you have done it. ","")&amp;IF(AND(ASH_CORRECTED="Yes",NOT(ISNUMBER($H561))),"Ash correction is switched on but no ash fraction is given for this row. ","")&amp;IF($I561="","Sieve mesh not recorded — a fine-root figure cannot be interpreted without it. ","")&amp;IF(AND(ISNUMBER($H561),$H561&gt;0.5),"Ash fraction above 0.5 — over half this sample was mineral soil. Re-wash. ","")&amp;IF($F561="Not separated","Live and dead not separated. Fine for a stock, but "&amp;"note it in reporting. ",""))</f>
        <v/>
      </c>
      <c r="P561" s="6"/>
      <c r="Q561" s="9" t="n">
        <f aca="false">IF($B561="",0,IF(COUNTIFS($B$5:$B561,$B561)=1,1,0))</f>
        <v>0</v>
      </c>
    </row>
    <row r="562" customFormat="false" ht="15" hidden="false" customHeight="false" outlineLevel="0" collapsed="false">
      <c r="A562" s="6"/>
      <c r="B562" s="6"/>
      <c r="C562" s="6"/>
      <c r="D562" s="6"/>
      <c r="E562" s="6"/>
      <c r="F562" s="6"/>
      <c r="G562" s="7"/>
      <c r="H562" s="7"/>
      <c r="I562" s="6"/>
      <c r="J562" s="9" t="str">
        <f aca="false">IF(NOT(ISNUMBER($G562)),"",IF(AND(ASH_CORRECTED="Yes",ISNUMBER($H562)),$G562*(1-$H562),$G562))</f>
        <v/>
      </c>
      <c r="K562" s="9" t="str">
        <f aca="false">IF($B562="","",IFERROR(AVERAGEIFS('2. Soil Data'!$G$5:$G$604,'2. Soil Data'!$B$5:$B$604,$B562),""))</f>
        <v/>
      </c>
      <c r="L562" s="9" t="str">
        <f aca="false">IF(NOT(ISNUMBER($K562)),"",PI()*($K562/2)^2)</f>
        <v/>
      </c>
      <c r="M562" s="9" t="str">
        <f aca="false">IF(OR(NOT(ISNUMBER($J562)),NOT(ISNUMBER($L562)),$L562=0),"",$J562/$L562*10000)</f>
        <v/>
      </c>
      <c r="N562" s="9" t="str">
        <f aca="false">IF(NOT(ISNUMBER($M562)),"",$M562*CARBON_FRACTION_ROOT/1000)</f>
        <v/>
      </c>
      <c r="O562" s="11" t="str">
        <f aca="false">IF(AND($A562="",$B562="",$G562=""),"",IF(AND($B562&lt;&gt;"",COUNTIFS('2. Soil Data'!$B$5:$B$604,$B562)=0),"Core ID not found in Soil Data, so the corer diameter cannot be looked up. ","")&amp;IF(ASH_CORRECTED&lt;&gt;"Yes","Root mass is NOT ash-corrected, so it includes adhering mineral soil and is too high. Set ASH_CORRECTED once you have done it. ","")&amp;IF(AND(ASH_CORRECTED="Yes",NOT(ISNUMBER($H562))),"Ash correction is switched on but no ash fraction is given for this row. ","")&amp;IF($I562="","Sieve mesh not recorded — a fine-root figure cannot be interpreted without it. ","")&amp;IF(AND(ISNUMBER($H562),$H562&gt;0.5),"Ash fraction above 0.5 — over half this sample was mineral soil. Re-wash. ","")&amp;IF($F562="Not separated","Live and dead not separated. Fine for a stock, but "&amp;"note it in reporting. ",""))</f>
        <v/>
      </c>
      <c r="P562" s="6"/>
      <c r="Q562" s="9" t="n">
        <f aca="false">IF($B562="",0,IF(COUNTIFS($B$5:$B562,$B562)=1,1,0))</f>
        <v>0</v>
      </c>
    </row>
    <row r="563" customFormat="false" ht="15" hidden="false" customHeight="false" outlineLevel="0" collapsed="false">
      <c r="A563" s="6"/>
      <c r="B563" s="6"/>
      <c r="C563" s="6"/>
      <c r="D563" s="6"/>
      <c r="E563" s="6"/>
      <c r="F563" s="6"/>
      <c r="G563" s="7"/>
      <c r="H563" s="7"/>
      <c r="I563" s="6"/>
      <c r="J563" s="9" t="str">
        <f aca="false">IF(NOT(ISNUMBER($G563)),"",IF(AND(ASH_CORRECTED="Yes",ISNUMBER($H563)),$G563*(1-$H563),$G563))</f>
        <v/>
      </c>
      <c r="K563" s="9" t="str">
        <f aca="false">IF($B563="","",IFERROR(AVERAGEIFS('2. Soil Data'!$G$5:$G$604,'2. Soil Data'!$B$5:$B$604,$B563),""))</f>
        <v/>
      </c>
      <c r="L563" s="9" t="str">
        <f aca="false">IF(NOT(ISNUMBER($K563)),"",PI()*($K563/2)^2)</f>
        <v/>
      </c>
      <c r="M563" s="9" t="str">
        <f aca="false">IF(OR(NOT(ISNUMBER($J563)),NOT(ISNUMBER($L563)),$L563=0),"",$J563/$L563*10000)</f>
        <v/>
      </c>
      <c r="N563" s="9" t="str">
        <f aca="false">IF(NOT(ISNUMBER($M563)),"",$M563*CARBON_FRACTION_ROOT/1000)</f>
        <v/>
      </c>
      <c r="O563" s="11" t="str">
        <f aca="false">IF(AND($A563="",$B563="",$G563=""),"",IF(AND($B563&lt;&gt;"",COUNTIFS('2. Soil Data'!$B$5:$B$604,$B563)=0),"Core ID not found in Soil Data, so the corer diameter cannot be looked up. ","")&amp;IF(ASH_CORRECTED&lt;&gt;"Yes","Root mass is NOT ash-corrected, so it includes adhering mineral soil and is too high. Set ASH_CORRECTED once you have done it. ","")&amp;IF(AND(ASH_CORRECTED="Yes",NOT(ISNUMBER($H563))),"Ash correction is switched on but no ash fraction is given for this row. ","")&amp;IF($I563="","Sieve mesh not recorded — a fine-root figure cannot be interpreted without it. ","")&amp;IF(AND(ISNUMBER($H563),$H563&gt;0.5),"Ash fraction above 0.5 — over half this sample was mineral soil. Re-wash. ","")&amp;IF($F563="Not separated","Live and dead not separated. Fine for a stock, but "&amp;"note it in reporting. ",""))</f>
        <v/>
      </c>
      <c r="P563" s="6"/>
      <c r="Q563" s="9" t="n">
        <f aca="false">IF($B563="",0,IF(COUNTIFS($B$5:$B563,$B563)=1,1,0))</f>
        <v>0</v>
      </c>
    </row>
    <row r="564" customFormat="false" ht="15" hidden="false" customHeight="false" outlineLevel="0" collapsed="false">
      <c r="A564" s="6"/>
      <c r="B564" s="6"/>
      <c r="C564" s="6"/>
      <c r="D564" s="6"/>
      <c r="E564" s="6"/>
      <c r="F564" s="6"/>
      <c r="G564" s="7"/>
      <c r="H564" s="7"/>
      <c r="I564" s="6"/>
      <c r="J564" s="9" t="str">
        <f aca="false">IF(NOT(ISNUMBER($G564)),"",IF(AND(ASH_CORRECTED="Yes",ISNUMBER($H564)),$G564*(1-$H564),$G564))</f>
        <v/>
      </c>
      <c r="K564" s="9" t="str">
        <f aca="false">IF($B564="","",IFERROR(AVERAGEIFS('2. Soil Data'!$G$5:$G$604,'2. Soil Data'!$B$5:$B$604,$B564),""))</f>
        <v/>
      </c>
      <c r="L564" s="9" t="str">
        <f aca="false">IF(NOT(ISNUMBER($K564)),"",PI()*($K564/2)^2)</f>
        <v/>
      </c>
      <c r="M564" s="9" t="str">
        <f aca="false">IF(OR(NOT(ISNUMBER($J564)),NOT(ISNUMBER($L564)),$L564=0),"",$J564/$L564*10000)</f>
        <v/>
      </c>
      <c r="N564" s="9" t="str">
        <f aca="false">IF(NOT(ISNUMBER($M564)),"",$M564*CARBON_FRACTION_ROOT/1000)</f>
        <v/>
      </c>
      <c r="O564" s="11" t="str">
        <f aca="false">IF(AND($A564="",$B564="",$G564=""),"",IF(AND($B564&lt;&gt;"",COUNTIFS('2. Soil Data'!$B$5:$B$604,$B564)=0),"Core ID not found in Soil Data, so the corer diameter cannot be looked up. ","")&amp;IF(ASH_CORRECTED&lt;&gt;"Yes","Root mass is NOT ash-corrected, so it includes adhering mineral soil and is too high. Set ASH_CORRECTED once you have done it. ","")&amp;IF(AND(ASH_CORRECTED="Yes",NOT(ISNUMBER($H564))),"Ash correction is switched on but no ash fraction is given for this row. ","")&amp;IF($I564="","Sieve mesh not recorded — a fine-root figure cannot be interpreted without it. ","")&amp;IF(AND(ISNUMBER($H564),$H564&gt;0.5),"Ash fraction above 0.5 — over half this sample was mineral soil. Re-wash. ","")&amp;IF($F564="Not separated","Live and dead not separated. Fine for a stock, but "&amp;"note it in reporting. ",""))</f>
        <v/>
      </c>
      <c r="P564" s="6"/>
      <c r="Q564" s="9" t="n">
        <f aca="false">IF($B564="",0,IF(COUNTIFS($B$5:$B564,$B564)=1,1,0))</f>
        <v>0</v>
      </c>
    </row>
    <row r="565" customFormat="false" ht="15" hidden="false" customHeight="false" outlineLevel="0" collapsed="false">
      <c r="A565" s="6"/>
      <c r="B565" s="6"/>
      <c r="C565" s="6"/>
      <c r="D565" s="6"/>
      <c r="E565" s="6"/>
      <c r="F565" s="6"/>
      <c r="G565" s="7"/>
      <c r="H565" s="7"/>
      <c r="I565" s="6"/>
      <c r="J565" s="9" t="str">
        <f aca="false">IF(NOT(ISNUMBER($G565)),"",IF(AND(ASH_CORRECTED="Yes",ISNUMBER($H565)),$G565*(1-$H565),$G565))</f>
        <v/>
      </c>
      <c r="K565" s="9" t="str">
        <f aca="false">IF($B565="","",IFERROR(AVERAGEIFS('2. Soil Data'!$G$5:$G$604,'2. Soil Data'!$B$5:$B$604,$B565),""))</f>
        <v/>
      </c>
      <c r="L565" s="9" t="str">
        <f aca="false">IF(NOT(ISNUMBER($K565)),"",PI()*($K565/2)^2)</f>
        <v/>
      </c>
      <c r="M565" s="9" t="str">
        <f aca="false">IF(OR(NOT(ISNUMBER($J565)),NOT(ISNUMBER($L565)),$L565=0),"",$J565/$L565*10000)</f>
        <v/>
      </c>
      <c r="N565" s="9" t="str">
        <f aca="false">IF(NOT(ISNUMBER($M565)),"",$M565*CARBON_FRACTION_ROOT/1000)</f>
        <v/>
      </c>
      <c r="O565" s="11" t="str">
        <f aca="false">IF(AND($A565="",$B565="",$G565=""),"",IF(AND($B565&lt;&gt;"",COUNTIFS('2. Soil Data'!$B$5:$B$604,$B565)=0),"Core ID not found in Soil Data, so the corer diameter cannot be looked up. ","")&amp;IF(ASH_CORRECTED&lt;&gt;"Yes","Root mass is NOT ash-corrected, so it includes adhering mineral soil and is too high. Set ASH_CORRECTED once you have done it. ","")&amp;IF(AND(ASH_CORRECTED="Yes",NOT(ISNUMBER($H565))),"Ash correction is switched on but no ash fraction is given for this row. ","")&amp;IF($I565="","Sieve mesh not recorded — a fine-root figure cannot be interpreted without it. ","")&amp;IF(AND(ISNUMBER($H565),$H565&gt;0.5),"Ash fraction above 0.5 — over half this sample was mineral soil. Re-wash. ","")&amp;IF($F565="Not separated","Live and dead not separated. Fine for a stock, but "&amp;"note it in reporting. ",""))</f>
        <v/>
      </c>
      <c r="P565" s="6"/>
      <c r="Q565" s="9" t="n">
        <f aca="false">IF($B565="",0,IF(COUNTIFS($B$5:$B565,$B565)=1,1,0))</f>
        <v>0</v>
      </c>
    </row>
    <row r="566" customFormat="false" ht="15" hidden="false" customHeight="false" outlineLevel="0" collapsed="false">
      <c r="A566" s="6"/>
      <c r="B566" s="6"/>
      <c r="C566" s="6"/>
      <c r="D566" s="6"/>
      <c r="E566" s="6"/>
      <c r="F566" s="6"/>
      <c r="G566" s="7"/>
      <c r="H566" s="7"/>
      <c r="I566" s="6"/>
      <c r="J566" s="9" t="str">
        <f aca="false">IF(NOT(ISNUMBER($G566)),"",IF(AND(ASH_CORRECTED="Yes",ISNUMBER($H566)),$G566*(1-$H566),$G566))</f>
        <v/>
      </c>
      <c r="K566" s="9" t="str">
        <f aca="false">IF($B566="","",IFERROR(AVERAGEIFS('2. Soil Data'!$G$5:$G$604,'2. Soil Data'!$B$5:$B$604,$B566),""))</f>
        <v/>
      </c>
      <c r="L566" s="9" t="str">
        <f aca="false">IF(NOT(ISNUMBER($K566)),"",PI()*($K566/2)^2)</f>
        <v/>
      </c>
      <c r="M566" s="9" t="str">
        <f aca="false">IF(OR(NOT(ISNUMBER($J566)),NOT(ISNUMBER($L566)),$L566=0),"",$J566/$L566*10000)</f>
        <v/>
      </c>
      <c r="N566" s="9" t="str">
        <f aca="false">IF(NOT(ISNUMBER($M566)),"",$M566*CARBON_FRACTION_ROOT/1000)</f>
        <v/>
      </c>
      <c r="O566" s="11" t="str">
        <f aca="false">IF(AND($A566="",$B566="",$G566=""),"",IF(AND($B566&lt;&gt;"",COUNTIFS('2. Soil Data'!$B$5:$B$604,$B566)=0),"Core ID not found in Soil Data, so the corer diameter cannot be looked up. ","")&amp;IF(ASH_CORRECTED&lt;&gt;"Yes","Root mass is NOT ash-corrected, so it includes adhering mineral soil and is too high. Set ASH_CORRECTED once you have done it. ","")&amp;IF(AND(ASH_CORRECTED="Yes",NOT(ISNUMBER($H566))),"Ash correction is switched on but no ash fraction is given for this row. ","")&amp;IF($I566="","Sieve mesh not recorded — a fine-root figure cannot be interpreted without it. ","")&amp;IF(AND(ISNUMBER($H566),$H566&gt;0.5),"Ash fraction above 0.5 — over half this sample was mineral soil. Re-wash. ","")&amp;IF($F566="Not separated","Live and dead not separated. Fine for a stock, but "&amp;"note it in reporting. ",""))</f>
        <v/>
      </c>
      <c r="P566" s="6"/>
      <c r="Q566" s="9" t="n">
        <f aca="false">IF($B566="",0,IF(COUNTIFS($B$5:$B566,$B566)=1,1,0))</f>
        <v>0</v>
      </c>
    </row>
    <row r="567" customFormat="false" ht="15" hidden="false" customHeight="false" outlineLevel="0" collapsed="false">
      <c r="A567" s="6"/>
      <c r="B567" s="6"/>
      <c r="C567" s="6"/>
      <c r="D567" s="6"/>
      <c r="E567" s="6"/>
      <c r="F567" s="6"/>
      <c r="G567" s="7"/>
      <c r="H567" s="7"/>
      <c r="I567" s="6"/>
      <c r="J567" s="9" t="str">
        <f aca="false">IF(NOT(ISNUMBER($G567)),"",IF(AND(ASH_CORRECTED="Yes",ISNUMBER($H567)),$G567*(1-$H567),$G567))</f>
        <v/>
      </c>
      <c r="K567" s="9" t="str">
        <f aca="false">IF($B567="","",IFERROR(AVERAGEIFS('2. Soil Data'!$G$5:$G$604,'2. Soil Data'!$B$5:$B$604,$B567),""))</f>
        <v/>
      </c>
      <c r="L567" s="9" t="str">
        <f aca="false">IF(NOT(ISNUMBER($K567)),"",PI()*($K567/2)^2)</f>
        <v/>
      </c>
      <c r="M567" s="9" t="str">
        <f aca="false">IF(OR(NOT(ISNUMBER($J567)),NOT(ISNUMBER($L567)),$L567=0),"",$J567/$L567*10000)</f>
        <v/>
      </c>
      <c r="N567" s="9" t="str">
        <f aca="false">IF(NOT(ISNUMBER($M567)),"",$M567*CARBON_FRACTION_ROOT/1000)</f>
        <v/>
      </c>
      <c r="O567" s="11" t="str">
        <f aca="false">IF(AND($A567="",$B567="",$G567=""),"",IF(AND($B567&lt;&gt;"",COUNTIFS('2. Soil Data'!$B$5:$B$604,$B567)=0),"Core ID not found in Soil Data, so the corer diameter cannot be looked up. ","")&amp;IF(ASH_CORRECTED&lt;&gt;"Yes","Root mass is NOT ash-corrected, so it includes adhering mineral soil and is too high. Set ASH_CORRECTED once you have done it. ","")&amp;IF(AND(ASH_CORRECTED="Yes",NOT(ISNUMBER($H567))),"Ash correction is switched on but no ash fraction is given for this row. ","")&amp;IF($I567="","Sieve mesh not recorded — a fine-root figure cannot be interpreted without it. ","")&amp;IF(AND(ISNUMBER($H567),$H567&gt;0.5),"Ash fraction above 0.5 — over half this sample was mineral soil. Re-wash. ","")&amp;IF($F567="Not separated","Live and dead not separated. Fine for a stock, but "&amp;"note it in reporting. ",""))</f>
        <v/>
      </c>
      <c r="P567" s="6"/>
      <c r="Q567" s="9" t="n">
        <f aca="false">IF($B567="",0,IF(COUNTIFS($B$5:$B567,$B567)=1,1,0))</f>
        <v>0</v>
      </c>
    </row>
    <row r="568" customFormat="false" ht="15" hidden="false" customHeight="false" outlineLevel="0" collapsed="false">
      <c r="A568" s="6"/>
      <c r="B568" s="6"/>
      <c r="C568" s="6"/>
      <c r="D568" s="6"/>
      <c r="E568" s="6"/>
      <c r="F568" s="6"/>
      <c r="G568" s="7"/>
      <c r="H568" s="7"/>
      <c r="I568" s="6"/>
      <c r="J568" s="9" t="str">
        <f aca="false">IF(NOT(ISNUMBER($G568)),"",IF(AND(ASH_CORRECTED="Yes",ISNUMBER($H568)),$G568*(1-$H568),$G568))</f>
        <v/>
      </c>
      <c r="K568" s="9" t="str">
        <f aca="false">IF($B568="","",IFERROR(AVERAGEIFS('2. Soil Data'!$G$5:$G$604,'2. Soil Data'!$B$5:$B$604,$B568),""))</f>
        <v/>
      </c>
      <c r="L568" s="9" t="str">
        <f aca="false">IF(NOT(ISNUMBER($K568)),"",PI()*($K568/2)^2)</f>
        <v/>
      </c>
      <c r="M568" s="9" t="str">
        <f aca="false">IF(OR(NOT(ISNUMBER($J568)),NOT(ISNUMBER($L568)),$L568=0),"",$J568/$L568*10000)</f>
        <v/>
      </c>
      <c r="N568" s="9" t="str">
        <f aca="false">IF(NOT(ISNUMBER($M568)),"",$M568*CARBON_FRACTION_ROOT/1000)</f>
        <v/>
      </c>
      <c r="O568" s="11" t="str">
        <f aca="false">IF(AND($A568="",$B568="",$G568=""),"",IF(AND($B568&lt;&gt;"",COUNTIFS('2. Soil Data'!$B$5:$B$604,$B568)=0),"Core ID not found in Soil Data, so the corer diameter cannot be looked up. ","")&amp;IF(ASH_CORRECTED&lt;&gt;"Yes","Root mass is NOT ash-corrected, so it includes adhering mineral soil and is too high. Set ASH_CORRECTED once you have done it. ","")&amp;IF(AND(ASH_CORRECTED="Yes",NOT(ISNUMBER($H568))),"Ash correction is switched on but no ash fraction is given for this row. ","")&amp;IF($I568="","Sieve mesh not recorded — a fine-root figure cannot be interpreted without it. ","")&amp;IF(AND(ISNUMBER($H568),$H568&gt;0.5),"Ash fraction above 0.5 — over half this sample was mineral soil. Re-wash. ","")&amp;IF($F568="Not separated","Live and dead not separated. Fine for a stock, but "&amp;"note it in reporting. ",""))</f>
        <v/>
      </c>
      <c r="P568" s="6"/>
      <c r="Q568" s="9" t="n">
        <f aca="false">IF($B568="",0,IF(COUNTIFS($B$5:$B568,$B568)=1,1,0))</f>
        <v>0</v>
      </c>
    </row>
    <row r="569" customFormat="false" ht="15" hidden="false" customHeight="false" outlineLevel="0" collapsed="false">
      <c r="A569" s="6"/>
      <c r="B569" s="6"/>
      <c r="C569" s="6"/>
      <c r="D569" s="6"/>
      <c r="E569" s="6"/>
      <c r="F569" s="6"/>
      <c r="G569" s="7"/>
      <c r="H569" s="7"/>
      <c r="I569" s="6"/>
      <c r="J569" s="9" t="str">
        <f aca="false">IF(NOT(ISNUMBER($G569)),"",IF(AND(ASH_CORRECTED="Yes",ISNUMBER($H569)),$G569*(1-$H569),$G569))</f>
        <v/>
      </c>
      <c r="K569" s="9" t="str">
        <f aca="false">IF($B569="","",IFERROR(AVERAGEIFS('2. Soil Data'!$G$5:$G$604,'2. Soil Data'!$B$5:$B$604,$B569),""))</f>
        <v/>
      </c>
      <c r="L569" s="9" t="str">
        <f aca="false">IF(NOT(ISNUMBER($K569)),"",PI()*($K569/2)^2)</f>
        <v/>
      </c>
      <c r="M569" s="9" t="str">
        <f aca="false">IF(OR(NOT(ISNUMBER($J569)),NOT(ISNUMBER($L569)),$L569=0),"",$J569/$L569*10000)</f>
        <v/>
      </c>
      <c r="N569" s="9" t="str">
        <f aca="false">IF(NOT(ISNUMBER($M569)),"",$M569*CARBON_FRACTION_ROOT/1000)</f>
        <v/>
      </c>
      <c r="O569" s="11" t="str">
        <f aca="false">IF(AND($A569="",$B569="",$G569=""),"",IF(AND($B569&lt;&gt;"",COUNTIFS('2. Soil Data'!$B$5:$B$604,$B569)=0),"Core ID not found in Soil Data, so the corer diameter cannot be looked up. ","")&amp;IF(ASH_CORRECTED&lt;&gt;"Yes","Root mass is NOT ash-corrected, so it includes adhering mineral soil and is too high. Set ASH_CORRECTED once you have done it. ","")&amp;IF(AND(ASH_CORRECTED="Yes",NOT(ISNUMBER($H569))),"Ash correction is switched on but no ash fraction is given for this row. ","")&amp;IF($I569="","Sieve mesh not recorded — a fine-root figure cannot be interpreted without it. ","")&amp;IF(AND(ISNUMBER($H569),$H569&gt;0.5),"Ash fraction above 0.5 — over half this sample was mineral soil. Re-wash. ","")&amp;IF($F569="Not separated","Live and dead not separated. Fine for a stock, but "&amp;"note it in reporting. ",""))</f>
        <v/>
      </c>
      <c r="P569" s="6"/>
      <c r="Q569" s="9" t="n">
        <f aca="false">IF($B569="",0,IF(COUNTIFS($B$5:$B569,$B569)=1,1,0))</f>
        <v>0</v>
      </c>
    </row>
    <row r="570" customFormat="false" ht="15" hidden="false" customHeight="false" outlineLevel="0" collapsed="false">
      <c r="A570" s="6"/>
      <c r="B570" s="6"/>
      <c r="C570" s="6"/>
      <c r="D570" s="6"/>
      <c r="E570" s="6"/>
      <c r="F570" s="6"/>
      <c r="G570" s="7"/>
      <c r="H570" s="7"/>
      <c r="I570" s="6"/>
      <c r="J570" s="9" t="str">
        <f aca="false">IF(NOT(ISNUMBER($G570)),"",IF(AND(ASH_CORRECTED="Yes",ISNUMBER($H570)),$G570*(1-$H570),$G570))</f>
        <v/>
      </c>
      <c r="K570" s="9" t="str">
        <f aca="false">IF($B570="","",IFERROR(AVERAGEIFS('2. Soil Data'!$G$5:$G$604,'2. Soil Data'!$B$5:$B$604,$B570),""))</f>
        <v/>
      </c>
      <c r="L570" s="9" t="str">
        <f aca="false">IF(NOT(ISNUMBER($K570)),"",PI()*($K570/2)^2)</f>
        <v/>
      </c>
      <c r="M570" s="9" t="str">
        <f aca="false">IF(OR(NOT(ISNUMBER($J570)),NOT(ISNUMBER($L570)),$L570=0),"",$J570/$L570*10000)</f>
        <v/>
      </c>
      <c r="N570" s="9" t="str">
        <f aca="false">IF(NOT(ISNUMBER($M570)),"",$M570*CARBON_FRACTION_ROOT/1000)</f>
        <v/>
      </c>
      <c r="O570" s="11" t="str">
        <f aca="false">IF(AND($A570="",$B570="",$G570=""),"",IF(AND($B570&lt;&gt;"",COUNTIFS('2. Soil Data'!$B$5:$B$604,$B570)=0),"Core ID not found in Soil Data, so the corer diameter cannot be looked up. ","")&amp;IF(ASH_CORRECTED&lt;&gt;"Yes","Root mass is NOT ash-corrected, so it includes adhering mineral soil and is too high. Set ASH_CORRECTED once you have done it. ","")&amp;IF(AND(ASH_CORRECTED="Yes",NOT(ISNUMBER($H570))),"Ash correction is switched on but no ash fraction is given for this row. ","")&amp;IF($I570="","Sieve mesh not recorded — a fine-root figure cannot be interpreted without it. ","")&amp;IF(AND(ISNUMBER($H570),$H570&gt;0.5),"Ash fraction above 0.5 — over half this sample was mineral soil. Re-wash. ","")&amp;IF($F570="Not separated","Live and dead not separated. Fine for a stock, but "&amp;"note it in reporting. ",""))</f>
        <v/>
      </c>
      <c r="P570" s="6"/>
      <c r="Q570" s="9" t="n">
        <f aca="false">IF($B570="",0,IF(COUNTIFS($B$5:$B570,$B570)=1,1,0))</f>
        <v>0</v>
      </c>
    </row>
    <row r="571" customFormat="false" ht="15" hidden="false" customHeight="false" outlineLevel="0" collapsed="false">
      <c r="A571" s="6"/>
      <c r="B571" s="6"/>
      <c r="C571" s="6"/>
      <c r="D571" s="6"/>
      <c r="E571" s="6"/>
      <c r="F571" s="6"/>
      <c r="G571" s="7"/>
      <c r="H571" s="7"/>
      <c r="I571" s="6"/>
      <c r="J571" s="9" t="str">
        <f aca="false">IF(NOT(ISNUMBER($G571)),"",IF(AND(ASH_CORRECTED="Yes",ISNUMBER($H571)),$G571*(1-$H571),$G571))</f>
        <v/>
      </c>
      <c r="K571" s="9" t="str">
        <f aca="false">IF($B571="","",IFERROR(AVERAGEIFS('2. Soil Data'!$G$5:$G$604,'2. Soil Data'!$B$5:$B$604,$B571),""))</f>
        <v/>
      </c>
      <c r="L571" s="9" t="str">
        <f aca="false">IF(NOT(ISNUMBER($K571)),"",PI()*($K571/2)^2)</f>
        <v/>
      </c>
      <c r="M571" s="9" t="str">
        <f aca="false">IF(OR(NOT(ISNUMBER($J571)),NOT(ISNUMBER($L571)),$L571=0),"",$J571/$L571*10000)</f>
        <v/>
      </c>
      <c r="N571" s="9" t="str">
        <f aca="false">IF(NOT(ISNUMBER($M571)),"",$M571*CARBON_FRACTION_ROOT/1000)</f>
        <v/>
      </c>
      <c r="O571" s="11" t="str">
        <f aca="false">IF(AND($A571="",$B571="",$G571=""),"",IF(AND($B571&lt;&gt;"",COUNTIFS('2. Soil Data'!$B$5:$B$604,$B571)=0),"Core ID not found in Soil Data, so the corer diameter cannot be looked up. ","")&amp;IF(ASH_CORRECTED&lt;&gt;"Yes","Root mass is NOT ash-corrected, so it includes adhering mineral soil and is too high. Set ASH_CORRECTED once you have done it. ","")&amp;IF(AND(ASH_CORRECTED="Yes",NOT(ISNUMBER($H571))),"Ash correction is switched on but no ash fraction is given for this row. ","")&amp;IF($I571="","Sieve mesh not recorded — a fine-root figure cannot be interpreted without it. ","")&amp;IF(AND(ISNUMBER($H571),$H571&gt;0.5),"Ash fraction above 0.5 — over half this sample was mineral soil. Re-wash. ","")&amp;IF($F571="Not separated","Live and dead not separated. Fine for a stock, but "&amp;"note it in reporting. ",""))</f>
        <v/>
      </c>
      <c r="P571" s="6"/>
      <c r="Q571" s="9" t="n">
        <f aca="false">IF($B571="",0,IF(COUNTIFS($B$5:$B571,$B571)=1,1,0))</f>
        <v>0</v>
      </c>
    </row>
    <row r="572" customFormat="false" ht="15" hidden="false" customHeight="false" outlineLevel="0" collapsed="false">
      <c r="A572" s="6"/>
      <c r="B572" s="6"/>
      <c r="C572" s="6"/>
      <c r="D572" s="6"/>
      <c r="E572" s="6"/>
      <c r="F572" s="6"/>
      <c r="G572" s="7"/>
      <c r="H572" s="7"/>
      <c r="I572" s="6"/>
      <c r="J572" s="9" t="str">
        <f aca="false">IF(NOT(ISNUMBER($G572)),"",IF(AND(ASH_CORRECTED="Yes",ISNUMBER($H572)),$G572*(1-$H572),$G572))</f>
        <v/>
      </c>
      <c r="K572" s="9" t="str">
        <f aca="false">IF($B572="","",IFERROR(AVERAGEIFS('2. Soil Data'!$G$5:$G$604,'2. Soil Data'!$B$5:$B$604,$B572),""))</f>
        <v/>
      </c>
      <c r="L572" s="9" t="str">
        <f aca="false">IF(NOT(ISNUMBER($K572)),"",PI()*($K572/2)^2)</f>
        <v/>
      </c>
      <c r="M572" s="9" t="str">
        <f aca="false">IF(OR(NOT(ISNUMBER($J572)),NOT(ISNUMBER($L572)),$L572=0),"",$J572/$L572*10000)</f>
        <v/>
      </c>
      <c r="N572" s="9" t="str">
        <f aca="false">IF(NOT(ISNUMBER($M572)),"",$M572*CARBON_FRACTION_ROOT/1000)</f>
        <v/>
      </c>
      <c r="O572" s="11" t="str">
        <f aca="false">IF(AND($A572="",$B572="",$G572=""),"",IF(AND($B572&lt;&gt;"",COUNTIFS('2. Soil Data'!$B$5:$B$604,$B572)=0),"Core ID not found in Soil Data, so the corer diameter cannot be looked up. ","")&amp;IF(ASH_CORRECTED&lt;&gt;"Yes","Root mass is NOT ash-corrected, so it includes adhering mineral soil and is too high. Set ASH_CORRECTED once you have done it. ","")&amp;IF(AND(ASH_CORRECTED="Yes",NOT(ISNUMBER($H572))),"Ash correction is switched on but no ash fraction is given for this row. ","")&amp;IF($I572="","Sieve mesh not recorded — a fine-root figure cannot be interpreted without it. ","")&amp;IF(AND(ISNUMBER($H572),$H572&gt;0.5),"Ash fraction above 0.5 — over half this sample was mineral soil. Re-wash. ","")&amp;IF($F572="Not separated","Live and dead not separated. Fine for a stock, but "&amp;"note it in reporting. ",""))</f>
        <v/>
      </c>
      <c r="P572" s="6"/>
      <c r="Q572" s="9" t="n">
        <f aca="false">IF($B572="",0,IF(COUNTIFS($B$5:$B572,$B572)=1,1,0))</f>
        <v>0</v>
      </c>
    </row>
    <row r="573" customFormat="false" ht="15" hidden="false" customHeight="false" outlineLevel="0" collapsed="false">
      <c r="A573" s="6"/>
      <c r="B573" s="6"/>
      <c r="C573" s="6"/>
      <c r="D573" s="6"/>
      <c r="E573" s="6"/>
      <c r="F573" s="6"/>
      <c r="G573" s="7"/>
      <c r="H573" s="7"/>
      <c r="I573" s="6"/>
      <c r="J573" s="9" t="str">
        <f aca="false">IF(NOT(ISNUMBER($G573)),"",IF(AND(ASH_CORRECTED="Yes",ISNUMBER($H573)),$G573*(1-$H573),$G573))</f>
        <v/>
      </c>
      <c r="K573" s="9" t="str">
        <f aca="false">IF($B573="","",IFERROR(AVERAGEIFS('2. Soil Data'!$G$5:$G$604,'2. Soil Data'!$B$5:$B$604,$B573),""))</f>
        <v/>
      </c>
      <c r="L573" s="9" t="str">
        <f aca="false">IF(NOT(ISNUMBER($K573)),"",PI()*($K573/2)^2)</f>
        <v/>
      </c>
      <c r="M573" s="9" t="str">
        <f aca="false">IF(OR(NOT(ISNUMBER($J573)),NOT(ISNUMBER($L573)),$L573=0),"",$J573/$L573*10000)</f>
        <v/>
      </c>
      <c r="N573" s="9" t="str">
        <f aca="false">IF(NOT(ISNUMBER($M573)),"",$M573*CARBON_FRACTION_ROOT/1000)</f>
        <v/>
      </c>
      <c r="O573" s="11" t="str">
        <f aca="false">IF(AND($A573="",$B573="",$G573=""),"",IF(AND($B573&lt;&gt;"",COUNTIFS('2. Soil Data'!$B$5:$B$604,$B573)=0),"Core ID not found in Soil Data, so the corer diameter cannot be looked up. ","")&amp;IF(ASH_CORRECTED&lt;&gt;"Yes","Root mass is NOT ash-corrected, so it includes adhering mineral soil and is too high. Set ASH_CORRECTED once you have done it. ","")&amp;IF(AND(ASH_CORRECTED="Yes",NOT(ISNUMBER($H573))),"Ash correction is switched on but no ash fraction is given for this row. ","")&amp;IF($I573="","Sieve mesh not recorded — a fine-root figure cannot be interpreted without it. ","")&amp;IF(AND(ISNUMBER($H573),$H573&gt;0.5),"Ash fraction above 0.5 — over half this sample was mineral soil. Re-wash. ","")&amp;IF($F573="Not separated","Live and dead not separated. Fine for a stock, but "&amp;"note it in reporting. ",""))</f>
        <v/>
      </c>
      <c r="P573" s="6"/>
      <c r="Q573" s="9" t="n">
        <f aca="false">IF($B573="",0,IF(COUNTIFS($B$5:$B573,$B573)=1,1,0))</f>
        <v>0</v>
      </c>
    </row>
    <row r="574" customFormat="false" ht="15" hidden="false" customHeight="false" outlineLevel="0" collapsed="false">
      <c r="A574" s="6"/>
      <c r="B574" s="6"/>
      <c r="C574" s="6"/>
      <c r="D574" s="6"/>
      <c r="E574" s="6"/>
      <c r="F574" s="6"/>
      <c r="G574" s="7"/>
      <c r="H574" s="7"/>
      <c r="I574" s="6"/>
      <c r="J574" s="9" t="str">
        <f aca="false">IF(NOT(ISNUMBER($G574)),"",IF(AND(ASH_CORRECTED="Yes",ISNUMBER($H574)),$G574*(1-$H574),$G574))</f>
        <v/>
      </c>
      <c r="K574" s="9" t="str">
        <f aca="false">IF($B574="","",IFERROR(AVERAGEIFS('2. Soil Data'!$G$5:$G$604,'2. Soil Data'!$B$5:$B$604,$B574),""))</f>
        <v/>
      </c>
      <c r="L574" s="9" t="str">
        <f aca="false">IF(NOT(ISNUMBER($K574)),"",PI()*($K574/2)^2)</f>
        <v/>
      </c>
      <c r="M574" s="9" t="str">
        <f aca="false">IF(OR(NOT(ISNUMBER($J574)),NOT(ISNUMBER($L574)),$L574=0),"",$J574/$L574*10000)</f>
        <v/>
      </c>
      <c r="N574" s="9" t="str">
        <f aca="false">IF(NOT(ISNUMBER($M574)),"",$M574*CARBON_FRACTION_ROOT/1000)</f>
        <v/>
      </c>
      <c r="O574" s="11" t="str">
        <f aca="false">IF(AND($A574="",$B574="",$G574=""),"",IF(AND($B574&lt;&gt;"",COUNTIFS('2. Soil Data'!$B$5:$B$604,$B574)=0),"Core ID not found in Soil Data, so the corer diameter cannot be looked up. ","")&amp;IF(ASH_CORRECTED&lt;&gt;"Yes","Root mass is NOT ash-corrected, so it includes adhering mineral soil and is too high. Set ASH_CORRECTED once you have done it. ","")&amp;IF(AND(ASH_CORRECTED="Yes",NOT(ISNUMBER($H574))),"Ash correction is switched on but no ash fraction is given for this row. ","")&amp;IF($I574="","Sieve mesh not recorded — a fine-root figure cannot be interpreted without it. ","")&amp;IF(AND(ISNUMBER($H574),$H574&gt;0.5),"Ash fraction above 0.5 — over half this sample was mineral soil. Re-wash. ","")&amp;IF($F574="Not separated","Live and dead not separated. Fine for a stock, but "&amp;"note it in reporting. ",""))</f>
        <v/>
      </c>
      <c r="P574" s="6"/>
      <c r="Q574" s="9" t="n">
        <f aca="false">IF($B574="",0,IF(COUNTIFS($B$5:$B574,$B574)=1,1,0))</f>
        <v>0</v>
      </c>
    </row>
    <row r="575" customFormat="false" ht="15" hidden="false" customHeight="false" outlineLevel="0" collapsed="false">
      <c r="A575" s="6"/>
      <c r="B575" s="6"/>
      <c r="C575" s="6"/>
      <c r="D575" s="6"/>
      <c r="E575" s="6"/>
      <c r="F575" s="6"/>
      <c r="G575" s="7"/>
      <c r="H575" s="7"/>
      <c r="I575" s="6"/>
      <c r="J575" s="9" t="str">
        <f aca="false">IF(NOT(ISNUMBER($G575)),"",IF(AND(ASH_CORRECTED="Yes",ISNUMBER($H575)),$G575*(1-$H575),$G575))</f>
        <v/>
      </c>
      <c r="K575" s="9" t="str">
        <f aca="false">IF($B575="","",IFERROR(AVERAGEIFS('2. Soil Data'!$G$5:$G$604,'2. Soil Data'!$B$5:$B$604,$B575),""))</f>
        <v/>
      </c>
      <c r="L575" s="9" t="str">
        <f aca="false">IF(NOT(ISNUMBER($K575)),"",PI()*($K575/2)^2)</f>
        <v/>
      </c>
      <c r="M575" s="9" t="str">
        <f aca="false">IF(OR(NOT(ISNUMBER($J575)),NOT(ISNUMBER($L575)),$L575=0),"",$J575/$L575*10000)</f>
        <v/>
      </c>
      <c r="N575" s="9" t="str">
        <f aca="false">IF(NOT(ISNUMBER($M575)),"",$M575*CARBON_FRACTION_ROOT/1000)</f>
        <v/>
      </c>
      <c r="O575" s="11" t="str">
        <f aca="false">IF(AND($A575="",$B575="",$G575=""),"",IF(AND($B575&lt;&gt;"",COUNTIFS('2. Soil Data'!$B$5:$B$604,$B575)=0),"Core ID not found in Soil Data, so the corer diameter cannot be looked up. ","")&amp;IF(ASH_CORRECTED&lt;&gt;"Yes","Root mass is NOT ash-corrected, so it includes adhering mineral soil and is too high. Set ASH_CORRECTED once you have done it. ","")&amp;IF(AND(ASH_CORRECTED="Yes",NOT(ISNUMBER($H575))),"Ash correction is switched on but no ash fraction is given for this row. ","")&amp;IF($I575="","Sieve mesh not recorded — a fine-root figure cannot be interpreted without it. ","")&amp;IF(AND(ISNUMBER($H575),$H575&gt;0.5),"Ash fraction above 0.5 — over half this sample was mineral soil. Re-wash. ","")&amp;IF($F575="Not separated","Live and dead not separated. Fine for a stock, but "&amp;"note it in reporting. ",""))</f>
        <v/>
      </c>
      <c r="P575" s="6"/>
      <c r="Q575" s="9" t="n">
        <f aca="false">IF($B575="",0,IF(COUNTIFS($B$5:$B575,$B575)=1,1,0))</f>
        <v>0</v>
      </c>
    </row>
    <row r="576" customFormat="false" ht="15" hidden="false" customHeight="false" outlineLevel="0" collapsed="false">
      <c r="A576" s="6"/>
      <c r="B576" s="6"/>
      <c r="C576" s="6"/>
      <c r="D576" s="6"/>
      <c r="E576" s="6"/>
      <c r="F576" s="6"/>
      <c r="G576" s="7"/>
      <c r="H576" s="7"/>
      <c r="I576" s="6"/>
      <c r="J576" s="9" t="str">
        <f aca="false">IF(NOT(ISNUMBER($G576)),"",IF(AND(ASH_CORRECTED="Yes",ISNUMBER($H576)),$G576*(1-$H576),$G576))</f>
        <v/>
      </c>
      <c r="K576" s="9" t="str">
        <f aca="false">IF($B576="","",IFERROR(AVERAGEIFS('2. Soil Data'!$G$5:$G$604,'2. Soil Data'!$B$5:$B$604,$B576),""))</f>
        <v/>
      </c>
      <c r="L576" s="9" t="str">
        <f aca="false">IF(NOT(ISNUMBER($K576)),"",PI()*($K576/2)^2)</f>
        <v/>
      </c>
      <c r="M576" s="9" t="str">
        <f aca="false">IF(OR(NOT(ISNUMBER($J576)),NOT(ISNUMBER($L576)),$L576=0),"",$J576/$L576*10000)</f>
        <v/>
      </c>
      <c r="N576" s="9" t="str">
        <f aca="false">IF(NOT(ISNUMBER($M576)),"",$M576*CARBON_FRACTION_ROOT/1000)</f>
        <v/>
      </c>
      <c r="O576" s="11" t="str">
        <f aca="false">IF(AND($A576="",$B576="",$G576=""),"",IF(AND($B576&lt;&gt;"",COUNTIFS('2. Soil Data'!$B$5:$B$604,$B576)=0),"Core ID not found in Soil Data, so the corer diameter cannot be looked up. ","")&amp;IF(ASH_CORRECTED&lt;&gt;"Yes","Root mass is NOT ash-corrected, so it includes adhering mineral soil and is too high. Set ASH_CORRECTED once you have done it. ","")&amp;IF(AND(ASH_CORRECTED="Yes",NOT(ISNUMBER($H576))),"Ash correction is switched on but no ash fraction is given for this row. ","")&amp;IF($I576="","Sieve mesh not recorded — a fine-root figure cannot be interpreted without it. ","")&amp;IF(AND(ISNUMBER($H576),$H576&gt;0.5),"Ash fraction above 0.5 — over half this sample was mineral soil. Re-wash. ","")&amp;IF($F576="Not separated","Live and dead not separated. Fine for a stock, but "&amp;"note it in reporting. ",""))</f>
        <v/>
      </c>
      <c r="P576" s="6"/>
      <c r="Q576" s="9" t="n">
        <f aca="false">IF($B576="",0,IF(COUNTIFS($B$5:$B576,$B576)=1,1,0))</f>
        <v>0</v>
      </c>
    </row>
    <row r="577" customFormat="false" ht="15" hidden="false" customHeight="false" outlineLevel="0" collapsed="false">
      <c r="A577" s="6"/>
      <c r="B577" s="6"/>
      <c r="C577" s="6"/>
      <c r="D577" s="6"/>
      <c r="E577" s="6"/>
      <c r="F577" s="6"/>
      <c r="G577" s="7"/>
      <c r="H577" s="7"/>
      <c r="I577" s="6"/>
      <c r="J577" s="9" t="str">
        <f aca="false">IF(NOT(ISNUMBER($G577)),"",IF(AND(ASH_CORRECTED="Yes",ISNUMBER($H577)),$G577*(1-$H577),$G577))</f>
        <v/>
      </c>
      <c r="K577" s="9" t="str">
        <f aca="false">IF($B577="","",IFERROR(AVERAGEIFS('2. Soil Data'!$G$5:$G$604,'2. Soil Data'!$B$5:$B$604,$B577),""))</f>
        <v/>
      </c>
      <c r="L577" s="9" t="str">
        <f aca="false">IF(NOT(ISNUMBER($K577)),"",PI()*($K577/2)^2)</f>
        <v/>
      </c>
      <c r="M577" s="9" t="str">
        <f aca="false">IF(OR(NOT(ISNUMBER($J577)),NOT(ISNUMBER($L577)),$L577=0),"",$J577/$L577*10000)</f>
        <v/>
      </c>
      <c r="N577" s="9" t="str">
        <f aca="false">IF(NOT(ISNUMBER($M577)),"",$M577*CARBON_FRACTION_ROOT/1000)</f>
        <v/>
      </c>
      <c r="O577" s="11" t="str">
        <f aca="false">IF(AND($A577="",$B577="",$G577=""),"",IF(AND($B577&lt;&gt;"",COUNTIFS('2. Soil Data'!$B$5:$B$604,$B577)=0),"Core ID not found in Soil Data, so the corer diameter cannot be looked up. ","")&amp;IF(ASH_CORRECTED&lt;&gt;"Yes","Root mass is NOT ash-corrected, so it includes adhering mineral soil and is too high. Set ASH_CORRECTED once you have done it. ","")&amp;IF(AND(ASH_CORRECTED="Yes",NOT(ISNUMBER($H577))),"Ash correction is switched on but no ash fraction is given for this row. ","")&amp;IF($I577="","Sieve mesh not recorded — a fine-root figure cannot be interpreted without it. ","")&amp;IF(AND(ISNUMBER($H577),$H577&gt;0.5),"Ash fraction above 0.5 — over half this sample was mineral soil. Re-wash. ","")&amp;IF($F577="Not separated","Live and dead not separated. Fine for a stock, but "&amp;"note it in reporting. ",""))</f>
        <v/>
      </c>
      <c r="P577" s="6"/>
      <c r="Q577" s="9" t="n">
        <f aca="false">IF($B577="",0,IF(COUNTIFS($B$5:$B577,$B577)=1,1,0))</f>
        <v>0</v>
      </c>
    </row>
    <row r="578" customFormat="false" ht="15" hidden="false" customHeight="false" outlineLevel="0" collapsed="false">
      <c r="A578" s="6"/>
      <c r="B578" s="6"/>
      <c r="C578" s="6"/>
      <c r="D578" s="6"/>
      <c r="E578" s="6"/>
      <c r="F578" s="6"/>
      <c r="G578" s="7"/>
      <c r="H578" s="7"/>
      <c r="I578" s="6"/>
      <c r="J578" s="9" t="str">
        <f aca="false">IF(NOT(ISNUMBER($G578)),"",IF(AND(ASH_CORRECTED="Yes",ISNUMBER($H578)),$G578*(1-$H578),$G578))</f>
        <v/>
      </c>
      <c r="K578" s="9" t="str">
        <f aca="false">IF($B578="","",IFERROR(AVERAGEIFS('2. Soil Data'!$G$5:$G$604,'2. Soil Data'!$B$5:$B$604,$B578),""))</f>
        <v/>
      </c>
      <c r="L578" s="9" t="str">
        <f aca="false">IF(NOT(ISNUMBER($K578)),"",PI()*($K578/2)^2)</f>
        <v/>
      </c>
      <c r="M578" s="9" t="str">
        <f aca="false">IF(OR(NOT(ISNUMBER($J578)),NOT(ISNUMBER($L578)),$L578=0),"",$J578/$L578*10000)</f>
        <v/>
      </c>
      <c r="N578" s="9" t="str">
        <f aca="false">IF(NOT(ISNUMBER($M578)),"",$M578*CARBON_FRACTION_ROOT/1000)</f>
        <v/>
      </c>
      <c r="O578" s="11" t="str">
        <f aca="false">IF(AND($A578="",$B578="",$G578=""),"",IF(AND($B578&lt;&gt;"",COUNTIFS('2. Soil Data'!$B$5:$B$604,$B578)=0),"Core ID not found in Soil Data, so the corer diameter cannot be looked up. ","")&amp;IF(ASH_CORRECTED&lt;&gt;"Yes","Root mass is NOT ash-corrected, so it includes adhering mineral soil and is too high. Set ASH_CORRECTED once you have done it. ","")&amp;IF(AND(ASH_CORRECTED="Yes",NOT(ISNUMBER($H578))),"Ash correction is switched on but no ash fraction is given for this row. ","")&amp;IF($I578="","Sieve mesh not recorded — a fine-root figure cannot be interpreted without it. ","")&amp;IF(AND(ISNUMBER($H578),$H578&gt;0.5),"Ash fraction above 0.5 — over half this sample was mineral soil. Re-wash. ","")&amp;IF($F578="Not separated","Live and dead not separated. Fine for a stock, but "&amp;"note it in reporting. ",""))</f>
        <v/>
      </c>
      <c r="P578" s="6"/>
      <c r="Q578" s="9" t="n">
        <f aca="false">IF($B578="",0,IF(COUNTIFS($B$5:$B578,$B578)=1,1,0))</f>
        <v>0</v>
      </c>
    </row>
    <row r="579" customFormat="false" ht="15" hidden="false" customHeight="false" outlineLevel="0" collapsed="false">
      <c r="A579" s="6"/>
      <c r="B579" s="6"/>
      <c r="C579" s="6"/>
      <c r="D579" s="6"/>
      <c r="E579" s="6"/>
      <c r="F579" s="6"/>
      <c r="G579" s="7"/>
      <c r="H579" s="7"/>
      <c r="I579" s="6"/>
      <c r="J579" s="9" t="str">
        <f aca="false">IF(NOT(ISNUMBER($G579)),"",IF(AND(ASH_CORRECTED="Yes",ISNUMBER($H579)),$G579*(1-$H579),$G579))</f>
        <v/>
      </c>
      <c r="K579" s="9" t="str">
        <f aca="false">IF($B579="","",IFERROR(AVERAGEIFS('2. Soil Data'!$G$5:$G$604,'2. Soil Data'!$B$5:$B$604,$B579),""))</f>
        <v/>
      </c>
      <c r="L579" s="9" t="str">
        <f aca="false">IF(NOT(ISNUMBER($K579)),"",PI()*($K579/2)^2)</f>
        <v/>
      </c>
      <c r="M579" s="9" t="str">
        <f aca="false">IF(OR(NOT(ISNUMBER($J579)),NOT(ISNUMBER($L579)),$L579=0),"",$J579/$L579*10000)</f>
        <v/>
      </c>
      <c r="N579" s="9" t="str">
        <f aca="false">IF(NOT(ISNUMBER($M579)),"",$M579*CARBON_FRACTION_ROOT/1000)</f>
        <v/>
      </c>
      <c r="O579" s="11" t="str">
        <f aca="false">IF(AND($A579="",$B579="",$G579=""),"",IF(AND($B579&lt;&gt;"",COUNTIFS('2. Soil Data'!$B$5:$B$604,$B579)=0),"Core ID not found in Soil Data, so the corer diameter cannot be looked up. ","")&amp;IF(ASH_CORRECTED&lt;&gt;"Yes","Root mass is NOT ash-corrected, so it includes adhering mineral soil and is too high. Set ASH_CORRECTED once you have done it. ","")&amp;IF(AND(ASH_CORRECTED="Yes",NOT(ISNUMBER($H579))),"Ash correction is switched on but no ash fraction is given for this row. ","")&amp;IF($I579="","Sieve mesh not recorded — a fine-root figure cannot be interpreted without it. ","")&amp;IF(AND(ISNUMBER($H579),$H579&gt;0.5),"Ash fraction above 0.5 — over half this sample was mineral soil. Re-wash. ","")&amp;IF($F579="Not separated","Live and dead not separated. Fine for a stock, but "&amp;"note it in reporting. ",""))</f>
        <v/>
      </c>
      <c r="P579" s="6"/>
      <c r="Q579" s="9" t="n">
        <f aca="false">IF($B579="",0,IF(COUNTIFS($B$5:$B579,$B579)=1,1,0))</f>
        <v>0</v>
      </c>
    </row>
    <row r="580" customFormat="false" ht="15" hidden="false" customHeight="false" outlineLevel="0" collapsed="false">
      <c r="A580" s="6"/>
      <c r="B580" s="6"/>
      <c r="C580" s="6"/>
      <c r="D580" s="6"/>
      <c r="E580" s="6"/>
      <c r="F580" s="6"/>
      <c r="G580" s="7"/>
      <c r="H580" s="7"/>
      <c r="I580" s="6"/>
      <c r="J580" s="9" t="str">
        <f aca="false">IF(NOT(ISNUMBER($G580)),"",IF(AND(ASH_CORRECTED="Yes",ISNUMBER($H580)),$G580*(1-$H580),$G580))</f>
        <v/>
      </c>
      <c r="K580" s="9" t="str">
        <f aca="false">IF($B580="","",IFERROR(AVERAGEIFS('2. Soil Data'!$G$5:$G$604,'2. Soil Data'!$B$5:$B$604,$B580),""))</f>
        <v/>
      </c>
      <c r="L580" s="9" t="str">
        <f aca="false">IF(NOT(ISNUMBER($K580)),"",PI()*($K580/2)^2)</f>
        <v/>
      </c>
      <c r="M580" s="9" t="str">
        <f aca="false">IF(OR(NOT(ISNUMBER($J580)),NOT(ISNUMBER($L580)),$L580=0),"",$J580/$L580*10000)</f>
        <v/>
      </c>
      <c r="N580" s="9" t="str">
        <f aca="false">IF(NOT(ISNUMBER($M580)),"",$M580*CARBON_FRACTION_ROOT/1000)</f>
        <v/>
      </c>
      <c r="O580" s="11" t="str">
        <f aca="false">IF(AND($A580="",$B580="",$G580=""),"",IF(AND($B580&lt;&gt;"",COUNTIFS('2. Soil Data'!$B$5:$B$604,$B580)=0),"Core ID not found in Soil Data, so the corer diameter cannot be looked up. ","")&amp;IF(ASH_CORRECTED&lt;&gt;"Yes","Root mass is NOT ash-corrected, so it includes adhering mineral soil and is too high. Set ASH_CORRECTED once you have done it. ","")&amp;IF(AND(ASH_CORRECTED="Yes",NOT(ISNUMBER($H580))),"Ash correction is switched on but no ash fraction is given for this row. ","")&amp;IF($I580="","Sieve mesh not recorded — a fine-root figure cannot be interpreted without it. ","")&amp;IF(AND(ISNUMBER($H580),$H580&gt;0.5),"Ash fraction above 0.5 — over half this sample was mineral soil. Re-wash. ","")&amp;IF($F580="Not separated","Live and dead not separated. Fine for a stock, but "&amp;"note it in reporting. ",""))</f>
        <v/>
      </c>
      <c r="P580" s="6"/>
      <c r="Q580" s="9" t="n">
        <f aca="false">IF($B580="",0,IF(COUNTIFS($B$5:$B580,$B580)=1,1,0))</f>
        <v>0</v>
      </c>
    </row>
    <row r="581" customFormat="false" ht="15" hidden="false" customHeight="false" outlineLevel="0" collapsed="false">
      <c r="A581" s="6"/>
      <c r="B581" s="6"/>
      <c r="C581" s="6"/>
      <c r="D581" s="6"/>
      <c r="E581" s="6"/>
      <c r="F581" s="6"/>
      <c r="G581" s="7"/>
      <c r="H581" s="7"/>
      <c r="I581" s="6"/>
      <c r="J581" s="9" t="str">
        <f aca="false">IF(NOT(ISNUMBER($G581)),"",IF(AND(ASH_CORRECTED="Yes",ISNUMBER($H581)),$G581*(1-$H581),$G581))</f>
        <v/>
      </c>
      <c r="K581" s="9" t="str">
        <f aca="false">IF($B581="","",IFERROR(AVERAGEIFS('2. Soil Data'!$G$5:$G$604,'2. Soil Data'!$B$5:$B$604,$B581),""))</f>
        <v/>
      </c>
      <c r="L581" s="9" t="str">
        <f aca="false">IF(NOT(ISNUMBER($K581)),"",PI()*($K581/2)^2)</f>
        <v/>
      </c>
      <c r="M581" s="9" t="str">
        <f aca="false">IF(OR(NOT(ISNUMBER($J581)),NOT(ISNUMBER($L581)),$L581=0),"",$J581/$L581*10000)</f>
        <v/>
      </c>
      <c r="N581" s="9" t="str">
        <f aca="false">IF(NOT(ISNUMBER($M581)),"",$M581*CARBON_FRACTION_ROOT/1000)</f>
        <v/>
      </c>
      <c r="O581" s="11" t="str">
        <f aca="false">IF(AND($A581="",$B581="",$G581=""),"",IF(AND($B581&lt;&gt;"",COUNTIFS('2. Soil Data'!$B$5:$B$604,$B581)=0),"Core ID not found in Soil Data, so the corer diameter cannot be looked up. ","")&amp;IF(ASH_CORRECTED&lt;&gt;"Yes","Root mass is NOT ash-corrected, so it includes adhering mineral soil and is too high. Set ASH_CORRECTED once you have done it. ","")&amp;IF(AND(ASH_CORRECTED="Yes",NOT(ISNUMBER($H581))),"Ash correction is switched on but no ash fraction is given for this row. ","")&amp;IF($I581="","Sieve mesh not recorded — a fine-root figure cannot be interpreted without it. ","")&amp;IF(AND(ISNUMBER($H581),$H581&gt;0.5),"Ash fraction above 0.5 — over half this sample was mineral soil. Re-wash. ","")&amp;IF($F581="Not separated","Live and dead not separated. Fine for a stock, but "&amp;"note it in reporting. ",""))</f>
        <v/>
      </c>
      <c r="P581" s="6"/>
      <c r="Q581" s="9" t="n">
        <f aca="false">IF($B581="",0,IF(COUNTIFS($B$5:$B581,$B581)=1,1,0))</f>
        <v>0</v>
      </c>
    </row>
    <row r="582" customFormat="false" ht="15" hidden="false" customHeight="false" outlineLevel="0" collapsed="false">
      <c r="A582" s="6"/>
      <c r="B582" s="6"/>
      <c r="C582" s="6"/>
      <c r="D582" s="6"/>
      <c r="E582" s="6"/>
      <c r="F582" s="6"/>
      <c r="G582" s="7"/>
      <c r="H582" s="7"/>
      <c r="I582" s="6"/>
      <c r="J582" s="9" t="str">
        <f aca="false">IF(NOT(ISNUMBER($G582)),"",IF(AND(ASH_CORRECTED="Yes",ISNUMBER($H582)),$G582*(1-$H582),$G582))</f>
        <v/>
      </c>
      <c r="K582" s="9" t="str">
        <f aca="false">IF($B582="","",IFERROR(AVERAGEIFS('2. Soil Data'!$G$5:$G$604,'2. Soil Data'!$B$5:$B$604,$B582),""))</f>
        <v/>
      </c>
      <c r="L582" s="9" t="str">
        <f aca="false">IF(NOT(ISNUMBER($K582)),"",PI()*($K582/2)^2)</f>
        <v/>
      </c>
      <c r="M582" s="9" t="str">
        <f aca="false">IF(OR(NOT(ISNUMBER($J582)),NOT(ISNUMBER($L582)),$L582=0),"",$J582/$L582*10000)</f>
        <v/>
      </c>
      <c r="N582" s="9" t="str">
        <f aca="false">IF(NOT(ISNUMBER($M582)),"",$M582*CARBON_FRACTION_ROOT/1000)</f>
        <v/>
      </c>
      <c r="O582" s="11" t="str">
        <f aca="false">IF(AND($A582="",$B582="",$G582=""),"",IF(AND($B582&lt;&gt;"",COUNTIFS('2. Soil Data'!$B$5:$B$604,$B582)=0),"Core ID not found in Soil Data, so the corer diameter cannot be looked up. ","")&amp;IF(ASH_CORRECTED&lt;&gt;"Yes","Root mass is NOT ash-corrected, so it includes adhering mineral soil and is too high. Set ASH_CORRECTED once you have done it. ","")&amp;IF(AND(ASH_CORRECTED="Yes",NOT(ISNUMBER($H582))),"Ash correction is switched on but no ash fraction is given for this row. ","")&amp;IF($I582="","Sieve mesh not recorded — a fine-root figure cannot be interpreted without it. ","")&amp;IF(AND(ISNUMBER($H582),$H582&gt;0.5),"Ash fraction above 0.5 — over half this sample was mineral soil. Re-wash. ","")&amp;IF($F582="Not separated","Live and dead not separated. Fine for a stock, but "&amp;"note it in reporting. ",""))</f>
        <v/>
      </c>
      <c r="P582" s="6"/>
      <c r="Q582" s="9" t="n">
        <f aca="false">IF($B582="",0,IF(COUNTIFS($B$5:$B582,$B582)=1,1,0))</f>
        <v>0</v>
      </c>
    </row>
    <row r="583" customFormat="false" ht="15" hidden="false" customHeight="false" outlineLevel="0" collapsed="false">
      <c r="A583" s="6"/>
      <c r="B583" s="6"/>
      <c r="C583" s="6"/>
      <c r="D583" s="6"/>
      <c r="E583" s="6"/>
      <c r="F583" s="6"/>
      <c r="G583" s="7"/>
      <c r="H583" s="7"/>
      <c r="I583" s="6"/>
      <c r="J583" s="9" t="str">
        <f aca="false">IF(NOT(ISNUMBER($G583)),"",IF(AND(ASH_CORRECTED="Yes",ISNUMBER($H583)),$G583*(1-$H583),$G583))</f>
        <v/>
      </c>
      <c r="K583" s="9" t="str">
        <f aca="false">IF($B583="","",IFERROR(AVERAGEIFS('2. Soil Data'!$G$5:$G$604,'2. Soil Data'!$B$5:$B$604,$B583),""))</f>
        <v/>
      </c>
      <c r="L583" s="9" t="str">
        <f aca="false">IF(NOT(ISNUMBER($K583)),"",PI()*($K583/2)^2)</f>
        <v/>
      </c>
      <c r="M583" s="9" t="str">
        <f aca="false">IF(OR(NOT(ISNUMBER($J583)),NOT(ISNUMBER($L583)),$L583=0),"",$J583/$L583*10000)</f>
        <v/>
      </c>
      <c r="N583" s="9" t="str">
        <f aca="false">IF(NOT(ISNUMBER($M583)),"",$M583*CARBON_FRACTION_ROOT/1000)</f>
        <v/>
      </c>
      <c r="O583" s="11" t="str">
        <f aca="false">IF(AND($A583="",$B583="",$G583=""),"",IF(AND($B583&lt;&gt;"",COUNTIFS('2. Soil Data'!$B$5:$B$604,$B583)=0),"Core ID not found in Soil Data, so the corer diameter cannot be looked up. ","")&amp;IF(ASH_CORRECTED&lt;&gt;"Yes","Root mass is NOT ash-corrected, so it includes adhering mineral soil and is too high. Set ASH_CORRECTED once you have done it. ","")&amp;IF(AND(ASH_CORRECTED="Yes",NOT(ISNUMBER($H583))),"Ash correction is switched on but no ash fraction is given for this row. ","")&amp;IF($I583="","Sieve mesh not recorded — a fine-root figure cannot be interpreted without it. ","")&amp;IF(AND(ISNUMBER($H583),$H583&gt;0.5),"Ash fraction above 0.5 — over half this sample was mineral soil. Re-wash. ","")&amp;IF($F583="Not separated","Live and dead not separated. Fine for a stock, but "&amp;"note it in reporting. ",""))</f>
        <v/>
      </c>
      <c r="P583" s="6"/>
      <c r="Q583" s="9" t="n">
        <f aca="false">IF($B583="",0,IF(COUNTIFS($B$5:$B583,$B583)=1,1,0))</f>
        <v>0</v>
      </c>
    </row>
    <row r="584" customFormat="false" ht="15" hidden="false" customHeight="false" outlineLevel="0" collapsed="false">
      <c r="A584" s="6"/>
      <c r="B584" s="6"/>
      <c r="C584" s="6"/>
      <c r="D584" s="6"/>
      <c r="E584" s="6"/>
      <c r="F584" s="6"/>
      <c r="G584" s="7"/>
      <c r="H584" s="7"/>
      <c r="I584" s="6"/>
      <c r="J584" s="9" t="str">
        <f aca="false">IF(NOT(ISNUMBER($G584)),"",IF(AND(ASH_CORRECTED="Yes",ISNUMBER($H584)),$G584*(1-$H584),$G584))</f>
        <v/>
      </c>
      <c r="K584" s="9" t="str">
        <f aca="false">IF($B584="","",IFERROR(AVERAGEIFS('2. Soil Data'!$G$5:$G$604,'2. Soil Data'!$B$5:$B$604,$B584),""))</f>
        <v/>
      </c>
      <c r="L584" s="9" t="str">
        <f aca="false">IF(NOT(ISNUMBER($K584)),"",PI()*($K584/2)^2)</f>
        <v/>
      </c>
      <c r="M584" s="9" t="str">
        <f aca="false">IF(OR(NOT(ISNUMBER($J584)),NOT(ISNUMBER($L584)),$L584=0),"",$J584/$L584*10000)</f>
        <v/>
      </c>
      <c r="N584" s="9" t="str">
        <f aca="false">IF(NOT(ISNUMBER($M584)),"",$M584*CARBON_FRACTION_ROOT/1000)</f>
        <v/>
      </c>
      <c r="O584" s="11" t="str">
        <f aca="false">IF(AND($A584="",$B584="",$G584=""),"",IF(AND($B584&lt;&gt;"",COUNTIFS('2. Soil Data'!$B$5:$B$604,$B584)=0),"Core ID not found in Soil Data, so the corer diameter cannot be looked up. ","")&amp;IF(ASH_CORRECTED&lt;&gt;"Yes","Root mass is NOT ash-corrected, so it includes adhering mineral soil and is too high. Set ASH_CORRECTED once you have done it. ","")&amp;IF(AND(ASH_CORRECTED="Yes",NOT(ISNUMBER($H584))),"Ash correction is switched on but no ash fraction is given for this row. ","")&amp;IF($I584="","Sieve mesh not recorded — a fine-root figure cannot be interpreted without it. ","")&amp;IF(AND(ISNUMBER($H584),$H584&gt;0.5),"Ash fraction above 0.5 — over half this sample was mineral soil. Re-wash. ","")&amp;IF($F584="Not separated","Live and dead not separated. Fine for a stock, but "&amp;"note it in reporting. ",""))</f>
        <v/>
      </c>
      <c r="P584" s="6"/>
      <c r="Q584" s="9" t="n">
        <f aca="false">IF($B584="",0,IF(COUNTIFS($B$5:$B584,$B584)=1,1,0))</f>
        <v>0</v>
      </c>
    </row>
    <row r="585" customFormat="false" ht="15" hidden="false" customHeight="false" outlineLevel="0" collapsed="false">
      <c r="A585" s="6"/>
      <c r="B585" s="6"/>
      <c r="C585" s="6"/>
      <c r="D585" s="6"/>
      <c r="E585" s="6"/>
      <c r="F585" s="6"/>
      <c r="G585" s="7"/>
      <c r="H585" s="7"/>
      <c r="I585" s="6"/>
      <c r="J585" s="9" t="str">
        <f aca="false">IF(NOT(ISNUMBER($G585)),"",IF(AND(ASH_CORRECTED="Yes",ISNUMBER($H585)),$G585*(1-$H585),$G585))</f>
        <v/>
      </c>
      <c r="K585" s="9" t="str">
        <f aca="false">IF($B585="","",IFERROR(AVERAGEIFS('2. Soil Data'!$G$5:$G$604,'2. Soil Data'!$B$5:$B$604,$B585),""))</f>
        <v/>
      </c>
      <c r="L585" s="9" t="str">
        <f aca="false">IF(NOT(ISNUMBER($K585)),"",PI()*($K585/2)^2)</f>
        <v/>
      </c>
      <c r="M585" s="9" t="str">
        <f aca="false">IF(OR(NOT(ISNUMBER($J585)),NOT(ISNUMBER($L585)),$L585=0),"",$J585/$L585*10000)</f>
        <v/>
      </c>
      <c r="N585" s="9" t="str">
        <f aca="false">IF(NOT(ISNUMBER($M585)),"",$M585*CARBON_FRACTION_ROOT/1000)</f>
        <v/>
      </c>
      <c r="O585" s="11" t="str">
        <f aca="false">IF(AND($A585="",$B585="",$G585=""),"",IF(AND($B585&lt;&gt;"",COUNTIFS('2. Soil Data'!$B$5:$B$604,$B585)=0),"Core ID not found in Soil Data, so the corer diameter cannot be looked up. ","")&amp;IF(ASH_CORRECTED&lt;&gt;"Yes","Root mass is NOT ash-corrected, so it includes adhering mineral soil and is too high. Set ASH_CORRECTED once you have done it. ","")&amp;IF(AND(ASH_CORRECTED="Yes",NOT(ISNUMBER($H585))),"Ash correction is switched on but no ash fraction is given for this row. ","")&amp;IF($I585="","Sieve mesh not recorded — a fine-root figure cannot be interpreted without it. ","")&amp;IF(AND(ISNUMBER($H585),$H585&gt;0.5),"Ash fraction above 0.5 — over half this sample was mineral soil. Re-wash. ","")&amp;IF($F585="Not separated","Live and dead not separated. Fine for a stock, but "&amp;"note it in reporting. ",""))</f>
        <v/>
      </c>
      <c r="P585" s="6"/>
      <c r="Q585" s="9" t="n">
        <f aca="false">IF($B585="",0,IF(COUNTIFS($B$5:$B585,$B585)=1,1,0))</f>
        <v>0</v>
      </c>
    </row>
    <row r="586" customFormat="false" ht="15" hidden="false" customHeight="false" outlineLevel="0" collapsed="false">
      <c r="A586" s="6"/>
      <c r="B586" s="6"/>
      <c r="C586" s="6"/>
      <c r="D586" s="6"/>
      <c r="E586" s="6"/>
      <c r="F586" s="6"/>
      <c r="G586" s="7"/>
      <c r="H586" s="7"/>
      <c r="I586" s="6"/>
      <c r="J586" s="9" t="str">
        <f aca="false">IF(NOT(ISNUMBER($G586)),"",IF(AND(ASH_CORRECTED="Yes",ISNUMBER($H586)),$G586*(1-$H586),$G586))</f>
        <v/>
      </c>
      <c r="K586" s="9" t="str">
        <f aca="false">IF($B586="","",IFERROR(AVERAGEIFS('2. Soil Data'!$G$5:$G$604,'2. Soil Data'!$B$5:$B$604,$B586),""))</f>
        <v/>
      </c>
      <c r="L586" s="9" t="str">
        <f aca="false">IF(NOT(ISNUMBER($K586)),"",PI()*($K586/2)^2)</f>
        <v/>
      </c>
      <c r="M586" s="9" t="str">
        <f aca="false">IF(OR(NOT(ISNUMBER($J586)),NOT(ISNUMBER($L586)),$L586=0),"",$J586/$L586*10000)</f>
        <v/>
      </c>
      <c r="N586" s="9" t="str">
        <f aca="false">IF(NOT(ISNUMBER($M586)),"",$M586*CARBON_FRACTION_ROOT/1000)</f>
        <v/>
      </c>
      <c r="O586" s="11" t="str">
        <f aca="false">IF(AND($A586="",$B586="",$G586=""),"",IF(AND($B586&lt;&gt;"",COUNTIFS('2. Soil Data'!$B$5:$B$604,$B586)=0),"Core ID not found in Soil Data, so the corer diameter cannot be looked up. ","")&amp;IF(ASH_CORRECTED&lt;&gt;"Yes","Root mass is NOT ash-corrected, so it includes adhering mineral soil and is too high. Set ASH_CORRECTED once you have done it. ","")&amp;IF(AND(ASH_CORRECTED="Yes",NOT(ISNUMBER($H586))),"Ash correction is switched on but no ash fraction is given for this row. ","")&amp;IF($I586="","Sieve mesh not recorded — a fine-root figure cannot be interpreted without it. ","")&amp;IF(AND(ISNUMBER($H586),$H586&gt;0.5),"Ash fraction above 0.5 — over half this sample was mineral soil. Re-wash. ","")&amp;IF($F586="Not separated","Live and dead not separated. Fine for a stock, but "&amp;"note it in reporting. ",""))</f>
        <v/>
      </c>
      <c r="P586" s="6"/>
      <c r="Q586" s="9" t="n">
        <f aca="false">IF($B586="",0,IF(COUNTIFS($B$5:$B586,$B586)=1,1,0))</f>
        <v>0</v>
      </c>
    </row>
    <row r="587" customFormat="false" ht="15" hidden="false" customHeight="false" outlineLevel="0" collapsed="false">
      <c r="A587" s="6"/>
      <c r="B587" s="6"/>
      <c r="C587" s="6"/>
      <c r="D587" s="6"/>
      <c r="E587" s="6"/>
      <c r="F587" s="6"/>
      <c r="G587" s="7"/>
      <c r="H587" s="7"/>
      <c r="I587" s="6"/>
      <c r="J587" s="9" t="str">
        <f aca="false">IF(NOT(ISNUMBER($G587)),"",IF(AND(ASH_CORRECTED="Yes",ISNUMBER($H587)),$G587*(1-$H587),$G587))</f>
        <v/>
      </c>
      <c r="K587" s="9" t="str">
        <f aca="false">IF($B587="","",IFERROR(AVERAGEIFS('2. Soil Data'!$G$5:$G$604,'2. Soil Data'!$B$5:$B$604,$B587),""))</f>
        <v/>
      </c>
      <c r="L587" s="9" t="str">
        <f aca="false">IF(NOT(ISNUMBER($K587)),"",PI()*($K587/2)^2)</f>
        <v/>
      </c>
      <c r="M587" s="9" t="str">
        <f aca="false">IF(OR(NOT(ISNUMBER($J587)),NOT(ISNUMBER($L587)),$L587=0),"",$J587/$L587*10000)</f>
        <v/>
      </c>
      <c r="N587" s="9" t="str">
        <f aca="false">IF(NOT(ISNUMBER($M587)),"",$M587*CARBON_FRACTION_ROOT/1000)</f>
        <v/>
      </c>
      <c r="O587" s="11" t="str">
        <f aca="false">IF(AND($A587="",$B587="",$G587=""),"",IF(AND($B587&lt;&gt;"",COUNTIFS('2. Soil Data'!$B$5:$B$604,$B587)=0),"Core ID not found in Soil Data, so the corer diameter cannot be looked up. ","")&amp;IF(ASH_CORRECTED&lt;&gt;"Yes","Root mass is NOT ash-corrected, so it includes adhering mineral soil and is too high. Set ASH_CORRECTED once you have done it. ","")&amp;IF(AND(ASH_CORRECTED="Yes",NOT(ISNUMBER($H587))),"Ash correction is switched on but no ash fraction is given for this row. ","")&amp;IF($I587="","Sieve mesh not recorded — a fine-root figure cannot be interpreted without it. ","")&amp;IF(AND(ISNUMBER($H587),$H587&gt;0.5),"Ash fraction above 0.5 — over half this sample was mineral soil. Re-wash. ","")&amp;IF($F587="Not separated","Live and dead not separated. Fine for a stock, but "&amp;"note it in reporting. ",""))</f>
        <v/>
      </c>
      <c r="P587" s="6"/>
      <c r="Q587" s="9" t="n">
        <f aca="false">IF($B587="",0,IF(COUNTIFS($B$5:$B587,$B587)=1,1,0))</f>
        <v>0</v>
      </c>
    </row>
    <row r="588" customFormat="false" ht="15" hidden="false" customHeight="false" outlineLevel="0" collapsed="false">
      <c r="A588" s="6"/>
      <c r="B588" s="6"/>
      <c r="C588" s="6"/>
      <c r="D588" s="6"/>
      <c r="E588" s="6"/>
      <c r="F588" s="6"/>
      <c r="G588" s="7"/>
      <c r="H588" s="7"/>
      <c r="I588" s="6"/>
      <c r="J588" s="9" t="str">
        <f aca="false">IF(NOT(ISNUMBER($G588)),"",IF(AND(ASH_CORRECTED="Yes",ISNUMBER($H588)),$G588*(1-$H588),$G588))</f>
        <v/>
      </c>
      <c r="K588" s="9" t="str">
        <f aca="false">IF($B588="","",IFERROR(AVERAGEIFS('2. Soil Data'!$G$5:$G$604,'2. Soil Data'!$B$5:$B$604,$B588),""))</f>
        <v/>
      </c>
      <c r="L588" s="9" t="str">
        <f aca="false">IF(NOT(ISNUMBER($K588)),"",PI()*($K588/2)^2)</f>
        <v/>
      </c>
      <c r="M588" s="9" t="str">
        <f aca="false">IF(OR(NOT(ISNUMBER($J588)),NOT(ISNUMBER($L588)),$L588=0),"",$J588/$L588*10000)</f>
        <v/>
      </c>
      <c r="N588" s="9" t="str">
        <f aca="false">IF(NOT(ISNUMBER($M588)),"",$M588*CARBON_FRACTION_ROOT/1000)</f>
        <v/>
      </c>
      <c r="O588" s="11" t="str">
        <f aca="false">IF(AND($A588="",$B588="",$G588=""),"",IF(AND($B588&lt;&gt;"",COUNTIFS('2. Soil Data'!$B$5:$B$604,$B588)=0),"Core ID not found in Soil Data, so the corer diameter cannot be looked up. ","")&amp;IF(ASH_CORRECTED&lt;&gt;"Yes","Root mass is NOT ash-corrected, so it includes adhering mineral soil and is too high. Set ASH_CORRECTED once you have done it. ","")&amp;IF(AND(ASH_CORRECTED="Yes",NOT(ISNUMBER($H588))),"Ash correction is switched on but no ash fraction is given for this row. ","")&amp;IF($I588="","Sieve mesh not recorded — a fine-root figure cannot be interpreted without it. ","")&amp;IF(AND(ISNUMBER($H588),$H588&gt;0.5),"Ash fraction above 0.5 — over half this sample was mineral soil. Re-wash. ","")&amp;IF($F588="Not separated","Live and dead not separated. Fine for a stock, but "&amp;"note it in reporting. ",""))</f>
        <v/>
      </c>
      <c r="P588" s="6"/>
      <c r="Q588" s="9" t="n">
        <f aca="false">IF($B588="",0,IF(COUNTIFS($B$5:$B588,$B588)=1,1,0))</f>
        <v>0</v>
      </c>
    </row>
    <row r="589" customFormat="false" ht="15" hidden="false" customHeight="false" outlineLevel="0" collapsed="false">
      <c r="A589" s="6"/>
      <c r="B589" s="6"/>
      <c r="C589" s="6"/>
      <c r="D589" s="6"/>
      <c r="E589" s="6"/>
      <c r="F589" s="6"/>
      <c r="G589" s="7"/>
      <c r="H589" s="7"/>
      <c r="I589" s="6"/>
      <c r="J589" s="9" t="str">
        <f aca="false">IF(NOT(ISNUMBER($G589)),"",IF(AND(ASH_CORRECTED="Yes",ISNUMBER($H589)),$G589*(1-$H589),$G589))</f>
        <v/>
      </c>
      <c r="K589" s="9" t="str">
        <f aca="false">IF($B589="","",IFERROR(AVERAGEIFS('2. Soil Data'!$G$5:$G$604,'2. Soil Data'!$B$5:$B$604,$B589),""))</f>
        <v/>
      </c>
      <c r="L589" s="9" t="str">
        <f aca="false">IF(NOT(ISNUMBER($K589)),"",PI()*($K589/2)^2)</f>
        <v/>
      </c>
      <c r="M589" s="9" t="str">
        <f aca="false">IF(OR(NOT(ISNUMBER($J589)),NOT(ISNUMBER($L589)),$L589=0),"",$J589/$L589*10000)</f>
        <v/>
      </c>
      <c r="N589" s="9" t="str">
        <f aca="false">IF(NOT(ISNUMBER($M589)),"",$M589*CARBON_FRACTION_ROOT/1000)</f>
        <v/>
      </c>
      <c r="O589" s="11" t="str">
        <f aca="false">IF(AND($A589="",$B589="",$G589=""),"",IF(AND($B589&lt;&gt;"",COUNTIFS('2. Soil Data'!$B$5:$B$604,$B589)=0),"Core ID not found in Soil Data, so the corer diameter cannot be looked up. ","")&amp;IF(ASH_CORRECTED&lt;&gt;"Yes","Root mass is NOT ash-corrected, so it includes adhering mineral soil and is too high. Set ASH_CORRECTED once you have done it. ","")&amp;IF(AND(ASH_CORRECTED="Yes",NOT(ISNUMBER($H589))),"Ash correction is switched on but no ash fraction is given for this row. ","")&amp;IF($I589="","Sieve mesh not recorded — a fine-root figure cannot be interpreted without it. ","")&amp;IF(AND(ISNUMBER($H589),$H589&gt;0.5),"Ash fraction above 0.5 — over half this sample was mineral soil. Re-wash. ","")&amp;IF($F589="Not separated","Live and dead not separated. Fine for a stock, but "&amp;"note it in reporting. ",""))</f>
        <v/>
      </c>
      <c r="P589" s="6"/>
      <c r="Q589" s="9" t="n">
        <f aca="false">IF($B589="",0,IF(COUNTIFS($B$5:$B589,$B589)=1,1,0))</f>
        <v>0</v>
      </c>
    </row>
    <row r="590" customFormat="false" ht="15" hidden="false" customHeight="false" outlineLevel="0" collapsed="false">
      <c r="A590" s="6"/>
      <c r="B590" s="6"/>
      <c r="C590" s="6"/>
      <c r="D590" s="6"/>
      <c r="E590" s="6"/>
      <c r="F590" s="6"/>
      <c r="G590" s="7"/>
      <c r="H590" s="7"/>
      <c r="I590" s="6"/>
      <c r="J590" s="9" t="str">
        <f aca="false">IF(NOT(ISNUMBER($G590)),"",IF(AND(ASH_CORRECTED="Yes",ISNUMBER($H590)),$G590*(1-$H590),$G590))</f>
        <v/>
      </c>
      <c r="K590" s="9" t="str">
        <f aca="false">IF($B590="","",IFERROR(AVERAGEIFS('2. Soil Data'!$G$5:$G$604,'2. Soil Data'!$B$5:$B$604,$B590),""))</f>
        <v/>
      </c>
      <c r="L590" s="9" t="str">
        <f aca="false">IF(NOT(ISNUMBER($K590)),"",PI()*($K590/2)^2)</f>
        <v/>
      </c>
      <c r="M590" s="9" t="str">
        <f aca="false">IF(OR(NOT(ISNUMBER($J590)),NOT(ISNUMBER($L590)),$L590=0),"",$J590/$L590*10000)</f>
        <v/>
      </c>
      <c r="N590" s="9" t="str">
        <f aca="false">IF(NOT(ISNUMBER($M590)),"",$M590*CARBON_FRACTION_ROOT/1000)</f>
        <v/>
      </c>
      <c r="O590" s="11" t="str">
        <f aca="false">IF(AND($A590="",$B590="",$G590=""),"",IF(AND($B590&lt;&gt;"",COUNTIFS('2. Soil Data'!$B$5:$B$604,$B590)=0),"Core ID not found in Soil Data, so the corer diameter cannot be looked up. ","")&amp;IF(ASH_CORRECTED&lt;&gt;"Yes","Root mass is NOT ash-corrected, so it includes adhering mineral soil and is too high. Set ASH_CORRECTED once you have done it. ","")&amp;IF(AND(ASH_CORRECTED="Yes",NOT(ISNUMBER($H590))),"Ash correction is switched on but no ash fraction is given for this row. ","")&amp;IF($I590="","Sieve mesh not recorded — a fine-root figure cannot be interpreted without it. ","")&amp;IF(AND(ISNUMBER($H590),$H590&gt;0.5),"Ash fraction above 0.5 — over half this sample was mineral soil. Re-wash. ","")&amp;IF($F590="Not separated","Live and dead not separated. Fine for a stock, but "&amp;"note it in reporting. ",""))</f>
        <v/>
      </c>
      <c r="P590" s="6"/>
      <c r="Q590" s="9" t="n">
        <f aca="false">IF($B590="",0,IF(COUNTIFS($B$5:$B590,$B590)=1,1,0))</f>
        <v>0</v>
      </c>
    </row>
    <row r="591" customFormat="false" ht="15" hidden="false" customHeight="false" outlineLevel="0" collapsed="false">
      <c r="A591" s="6"/>
      <c r="B591" s="6"/>
      <c r="C591" s="6"/>
      <c r="D591" s="6"/>
      <c r="E591" s="6"/>
      <c r="F591" s="6"/>
      <c r="G591" s="7"/>
      <c r="H591" s="7"/>
      <c r="I591" s="6"/>
      <c r="J591" s="9" t="str">
        <f aca="false">IF(NOT(ISNUMBER($G591)),"",IF(AND(ASH_CORRECTED="Yes",ISNUMBER($H591)),$G591*(1-$H591),$G591))</f>
        <v/>
      </c>
      <c r="K591" s="9" t="str">
        <f aca="false">IF($B591="","",IFERROR(AVERAGEIFS('2. Soil Data'!$G$5:$G$604,'2. Soil Data'!$B$5:$B$604,$B591),""))</f>
        <v/>
      </c>
      <c r="L591" s="9" t="str">
        <f aca="false">IF(NOT(ISNUMBER($K591)),"",PI()*($K591/2)^2)</f>
        <v/>
      </c>
      <c r="M591" s="9" t="str">
        <f aca="false">IF(OR(NOT(ISNUMBER($J591)),NOT(ISNUMBER($L591)),$L591=0),"",$J591/$L591*10000)</f>
        <v/>
      </c>
      <c r="N591" s="9" t="str">
        <f aca="false">IF(NOT(ISNUMBER($M591)),"",$M591*CARBON_FRACTION_ROOT/1000)</f>
        <v/>
      </c>
      <c r="O591" s="11" t="str">
        <f aca="false">IF(AND($A591="",$B591="",$G591=""),"",IF(AND($B591&lt;&gt;"",COUNTIFS('2. Soil Data'!$B$5:$B$604,$B591)=0),"Core ID not found in Soil Data, so the corer diameter cannot be looked up. ","")&amp;IF(ASH_CORRECTED&lt;&gt;"Yes","Root mass is NOT ash-corrected, so it includes adhering mineral soil and is too high. Set ASH_CORRECTED once you have done it. ","")&amp;IF(AND(ASH_CORRECTED="Yes",NOT(ISNUMBER($H591))),"Ash correction is switched on but no ash fraction is given for this row. ","")&amp;IF($I591="","Sieve mesh not recorded — a fine-root figure cannot be interpreted without it. ","")&amp;IF(AND(ISNUMBER($H591),$H591&gt;0.5),"Ash fraction above 0.5 — over half this sample was mineral soil. Re-wash. ","")&amp;IF($F591="Not separated","Live and dead not separated. Fine for a stock, but "&amp;"note it in reporting. ",""))</f>
        <v/>
      </c>
      <c r="P591" s="6"/>
      <c r="Q591" s="9" t="n">
        <f aca="false">IF($B591="",0,IF(COUNTIFS($B$5:$B591,$B591)=1,1,0))</f>
        <v>0</v>
      </c>
    </row>
    <row r="592" customFormat="false" ht="15" hidden="false" customHeight="false" outlineLevel="0" collapsed="false">
      <c r="A592" s="6"/>
      <c r="B592" s="6"/>
      <c r="C592" s="6"/>
      <c r="D592" s="6"/>
      <c r="E592" s="6"/>
      <c r="F592" s="6"/>
      <c r="G592" s="7"/>
      <c r="H592" s="7"/>
      <c r="I592" s="6"/>
      <c r="J592" s="9" t="str">
        <f aca="false">IF(NOT(ISNUMBER($G592)),"",IF(AND(ASH_CORRECTED="Yes",ISNUMBER($H592)),$G592*(1-$H592),$G592))</f>
        <v/>
      </c>
      <c r="K592" s="9" t="str">
        <f aca="false">IF($B592="","",IFERROR(AVERAGEIFS('2. Soil Data'!$G$5:$G$604,'2. Soil Data'!$B$5:$B$604,$B592),""))</f>
        <v/>
      </c>
      <c r="L592" s="9" t="str">
        <f aca="false">IF(NOT(ISNUMBER($K592)),"",PI()*($K592/2)^2)</f>
        <v/>
      </c>
      <c r="M592" s="9" t="str">
        <f aca="false">IF(OR(NOT(ISNUMBER($J592)),NOT(ISNUMBER($L592)),$L592=0),"",$J592/$L592*10000)</f>
        <v/>
      </c>
      <c r="N592" s="9" t="str">
        <f aca="false">IF(NOT(ISNUMBER($M592)),"",$M592*CARBON_FRACTION_ROOT/1000)</f>
        <v/>
      </c>
      <c r="O592" s="11" t="str">
        <f aca="false">IF(AND($A592="",$B592="",$G592=""),"",IF(AND($B592&lt;&gt;"",COUNTIFS('2. Soil Data'!$B$5:$B$604,$B592)=0),"Core ID not found in Soil Data, so the corer diameter cannot be looked up. ","")&amp;IF(ASH_CORRECTED&lt;&gt;"Yes","Root mass is NOT ash-corrected, so it includes adhering mineral soil and is too high. Set ASH_CORRECTED once you have done it. ","")&amp;IF(AND(ASH_CORRECTED="Yes",NOT(ISNUMBER($H592))),"Ash correction is switched on but no ash fraction is given for this row. ","")&amp;IF($I592="","Sieve mesh not recorded — a fine-root figure cannot be interpreted without it. ","")&amp;IF(AND(ISNUMBER($H592),$H592&gt;0.5),"Ash fraction above 0.5 — over half this sample was mineral soil. Re-wash. ","")&amp;IF($F592="Not separated","Live and dead not separated. Fine for a stock, but "&amp;"note it in reporting. ",""))</f>
        <v/>
      </c>
      <c r="P592" s="6"/>
      <c r="Q592" s="9" t="n">
        <f aca="false">IF($B592="",0,IF(COUNTIFS($B$5:$B592,$B592)=1,1,0))</f>
        <v>0</v>
      </c>
    </row>
    <row r="593" customFormat="false" ht="15" hidden="false" customHeight="false" outlineLevel="0" collapsed="false">
      <c r="A593" s="6"/>
      <c r="B593" s="6"/>
      <c r="C593" s="6"/>
      <c r="D593" s="6"/>
      <c r="E593" s="6"/>
      <c r="F593" s="6"/>
      <c r="G593" s="7"/>
      <c r="H593" s="7"/>
      <c r="I593" s="6"/>
      <c r="J593" s="9" t="str">
        <f aca="false">IF(NOT(ISNUMBER($G593)),"",IF(AND(ASH_CORRECTED="Yes",ISNUMBER($H593)),$G593*(1-$H593),$G593))</f>
        <v/>
      </c>
      <c r="K593" s="9" t="str">
        <f aca="false">IF($B593="","",IFERROR(AVERAGEIFS('2. Soil Data'!$G$5:$G$604,'2. Soil Data'!$B$5:$B$604,$B593),""))</f>
        <v/>
      </c>
      <c r="L593" s="9" t="str">
        <f aca="false">IF(NOT(ISNUMBER($K593)),"",PI()*($K593/2)^2)</f>
        <v/>
      </c>
      <c r="M593" s="9" t="str">
        <f aca="false">IF(OR(NOT(ISNUMBER($J593)),NOT(ISNUMBER($L593)),$L593=0),"",$J593/$L593*10000)</f>
        <v/>
      </c>
      <c r="N593" s="9" t="str">
        <f aca="false">IF(NOT(ISNUMBER($M593)),"",$M593*CARBON_FRACTION_ROOT/1000)</f>
        <v/>
      </c>
      <c r="O593" s="11" t="str">
        <f aca="false">IF(AND($A593="",$B593="",$G593=""),"",IF(AND($B593&lt;&gt;"",COUNTIFS('2. Soil Data'!$B$5:$B$604,$B593)=0),"Core ID not found in Soil Data, so the corer diameter cannot be looked up. ","")&amp;IF(ASH_CORRECTED&lt;&gt;"Yes","Root mass is NOT ash-corrected, so it includes adhering mineral soil and is too high. Set ASH_CORRECTED once you have done it. ","")&amp;IF(AND(ASH_CORRECTED="Yes",NOT(ISNUMBER($H593))),"Ash correction is switched on but no ash fraction is given for this row. ","")&amp;IF($I593="","Sieve mesh not recorded — a fine-root figure cannot be interpreted without it. ","")&amp;IF(AND(ISNUMBER($H593),$H593&gt;0.5),"Ash fraction above 0.5 — over half this sample was mineral soil. Re-wash. ","")&amp;IF($F593="Not separated","Live and dead not separated. Fine for a stock, but "&amp;"note it in reporting. ",""))</f>
        <v/>
      </c>
      <c r="P593" s="6"/>
      <c r="Q593" s="9" t="n">
        <f aca="false">IF($B593="",0,IF(COUNTIFS($B$5:$B593,$B593)=1,1,0))</f>
        <v>0</v>
      </c>
    </row>
    <row r="594" customFormat="false" ht="15" hidden="false" customHeight="false" outlineLevel="0" collapsed="false">
      <c r="A594" s="6"/>
      <c r="B594" s="6"/>
      <c r="C594" s="6"/>
      <c r="D594" s="6"/>
      <c r="E594" s="6"/>
      <c r="F594" s="6"/>
      <c r="G594" s="7"/>
      <c r="H594" s="7"/>
      <c r="I594" s="6"/>
      <c r="J594" s="9" t="str">
        <f aca="false">IF(NOT(ISNUMBER($G594)),"",IF(AND(ASH_CORRECTED="Yes",ISNUMBER($H594)),$G594*(1-$H594),$G594))</f>
        <v/>
      </c>
      <c r="K594" s="9" t="str">
        <f aca="false">IF($B594="","",IFERROR(AVERAGEIFS('2. Soil Data'!$G$5:$G$604,'2. Soil Data'!$B$5:$B$604,$B594),""))</f>
        <v/>
      </c>
      <c r="L594" s="9" t="str">
        <f aca="false">IF(NOT(ISNUMBER($K594)),"",PI()*($K594/2)^2)</f>
        <v/>
      </c>
      <c r="M594" s="9" t="str">
        <f aca="false">IF(OR(NOT(ISNUMBER($J594)),NOT(ISNUMBER($L594)),$L594=0),"",$J594/$L594*10000)</f>
        <v/>
      </c>
      <c r="N594" s="9" t="str">
        <f aca="false">IF(NOT(ISNUMBER($M594)),"",$M594*CARBON_FRACTION_ROOT/1000)</f>
        <v/>
      </c>
      <c r="O594" s="11" t="str">
        <f aca="false">IF(AND($A594="",$B594="",$G594=""),"",IF(AND($B594&lt;&gt;"",COUNTIFS('2. Soil Data'!$B$5:$B$604,$B594)=0),"Core ID not found in Soil Data, so the corer diameter cannot be looked up. ","")&amp;IF(ASH_CORRECTED&lt;&gt;"Yes","Root mass is NOT ash-corrected, so it includes adhering mineral soil and is too high. Set ASH_CORRECTED once you have done it. ","")&amp;IF(AND(ASH_CORRECTED="Yes",NOT(ISNUMBER($H594))),"Ash correction is switched on but no ash fraction is given for this row. ","")&amp;IF($I594="","Sieve mesh not recorded — a fine-root figure cannot be interpreted without it. ","")&amp;IF(AND(ISNUMBER($H594),$H594&gt;0.5),"Ash fraction above 0.5 — over half this sample was mineral soil. Re-wash. ","")&amp;IF($F594="Not separated","Live and dead not separated. Fine for a stock, but "&amp;"note it in reporting. ",""))</f>
        <v/>
      </c>
      <c r="P594" s="6"/>
      <c r="Q594" s="9" t="n">
        <f aca="false">IF($B594="",0,IF(COUNTIFS($B$5:$B594,$B594)=1,1,0))</f>
        <v>0</v>
      </c>
    </row>
    <row r="595" customFormat="false" ht="15" hidden="false" customHeight="false" outlineLevel="0" collapsed="false">
      <c r="A595" s="6"/>
      <c r="B595" s="6"/>
      <c r="C595" s="6"/>
      <c r="D595" s="6"/>
      <c r="E595" s="6"/>
      <c r="F595" s="6"/>
      <c r="G595" s="7"/>
      <c r="H595" s="7"/>
      <c r="I595" s="6"/>
      <c r="J595" s="9" t="str">
        <f aca="false">IF(NOT(ISNUMBER($G595)),"",IF(AND(ASH_CORRECTED="Yes",ISNUMBER($H595)),$G595*(1-$H595),$G595))</f>
        <v/>
      </c>
      <c r="K595" s="9" t="str">
        <f aca="false">IF($B595="","",IFERROR(AVERAGEIFS('2. Soil Data'!$G$5:$G$604,'2. Soil Data'!$B$5:$B$604,$B595),""))</f>
        <v/>
      </c>
      <c r="L595" s="9" t="str">
        <f aca="false">IF(NOT(ISNUMBER($K595)),"",PI()*($K595/2)^2)</f>
        <v/>
      </c>
      <c r="M595" s="9" t="str">
        <f aca="false">IF(OR(NOT(ISNUMBER($J595)),NOT(ISNUMBER($L595)),$L595=0),"",$J595/$L595*10000)</f>
        <v/>
      </c>
      <c r="N595" s="9" t="str">
        <f aca="false">IF(NOT(ISNUMBER($M595)),"",$M595*CARBON_FRACTION_ROOT/1000)</f>
        <v/>
      </c>
      <c r="O595" s="11" t="str">
        <f aca="false">IF(AND($A595="",$B595="",$G595=""),"",IF(AND($B595&lt;&gt;"",COUNTIFS('2. Soil Data'!$B$5:$B$604,$B595)=0),"Core ID not found in Soil Data, so the corer diameter cannot be looked up. ","")&amp;IF(ASH_CORRECTED&lt;&gt;"Yes","Root mass is NOT ash-corrected, so it includes adhering mineral soil and is too high. Set ASH_CORRECTED once you have done it. ","")&amp;IF(AND(ASH_CORRECTED="Yes",NOT(ISNUMBER($H595))),"Ash correction is switched on but no ash fraction is given for this row. ","")&amp;IF($I595="","Sieve mesh not recorded — a fine-root figure cannot be interpreted without it. ","")&amp;IF(AND(ISNUMBER($H595),$H595&gt;0.5),"Ash fraction above 0.5 — over half this sample was mineral soil. Re-wash. ","")&amp;IF($F595="Not separated","Live and dead not separated. Fine for a stock, but "&amp;"note it in reporting. ",""))</f>
        <v/>
      </c>
      <c r="P595" s="6"/>
      <c r="Q595" s="9" t="n">
        <f aca="false">IF($B595="",0,IF(COUNTIFS($B$5:$B595,$B595)=1,1,0))</f>
        <v>0</v>
      </c>
    </row>
    <row r="596" customFormat="false" ht="15" hidden="false" customHeight="false" outlineLevel="0" collapsed="false">
      <c r="A596" s="6"/>
      <c r="B596" s="6"/>
      <c r="C596" s="6"/>
      <c r="D596" s="6"/>
      <c r="E596" s="6"/>
      <c r="F596" s="6"/>
      <c r="G596" s="7"/>
      <c r="H596" s="7"/>
      <c r="I596" s="6"/>
      <c r="J596" s="9" t="str">
        <f aca="false">IF(NOT(ISNUMBER($G596)),"",IF(AND(ASH_CORRECTED="Yes",ISNUMBER($H596)),$G596*(1-$H596),$G596))</f>
        <v/>
      </c>
      <c r="K596" s="9" t="str">
        <f aca="false">IF($B596="","",IFERROR(AVERAGEIFS('2. Soil Data'!$G$5:$G$604,'2. Soil Data'!$B$5:$B$604,$B596),""))</f>
        <v/>
      </c>
      <c r="L596" s="9" t="str">
        <f aca="false">IF(NOT(ISNUMBER($K596)),"",PI()*($K596/2)^2)</f>
        <v/>
      </c>
      <c r="M596" s="9" t="str">
        <f aca="false">IF(OR(NOT(ISNUMBER($J596)),NOT(ISNUMBER($L596)),$L596=0),"",$J596/$L596*10000)</f>
        <v/>
      </c>
      <c r="N596" s="9" t="str">
        <f aca="false">IF(NOT(ISNUMBER($M596)),"",$M596*CARBON_FRACTION_ROOT/1000)</f>
        <v/>
      </c>
      <c r="O596" s="11" t="str">
        <f aca="false">IF(AND($A596="",$B596="",$G596=""),"",IF(AND($B596&lt;&gt;"",COUNTIFS('2. Soil Data'!$B$5:$B$604,$B596)=0),"Core ID not found in Soil Data, so the corer diameter cannot be looked up. ","")&amp;IF(ASH_CORRECTED&lt;&gt;"Yes","Root mass is NOT ash-corrected, so it includes adhering mineral soil and is too high. Set ASH_CORRECTED once you have done it. ","")&amp;IF(AND(ASH_CORRECTED="Yes",NOT(ISNUMBER($H596))),"Ash correction is switched on but no ash fraction is given for this row. ","")&amp;IF($I596="","Sieve mesh not recorded — a fine-root figure cannot be interpreted without it. ","")&amp;IF(AND(ISNUMBER($H596),$H596&gt;0.5),"Ash fraction above 0.5 — over half this sample was mineral soil. Re-wash. ","")&amp;IF($F596="Not separated","Live and dead not separated. Fine for a stock, but "&amp;"note it in reporting. ",""))</f>
        <v/>
      </c>
      <c r="P596" s="6"/>
      <c r="Q596" s="9" t="n">
        <f aca="false">IF($B596="",0,IF(COUNTIFS($B$5:$B596,$B596)=1,1,0))</f>
        <v>0</v>
      </c>
    </row>
    <row r="597" customFormat="false" ht="15" hidden="false" customHeight="false" outlineLevel="0" collapsed="false">
      <c r="A597" s="6"/>
      <c r="B597" s="6"/>
      <c r="C597" s="6"/>
      <c r="D597" s="6"/>
      <c r="E597" s="6"/>
      <c r="F597" s="6"/>
      <c r="G597" s="7"/>
      <c r="H597" s="7"/>
      <c r="I597" s="6"/>
      <c r="J597" s="9" t="str">
        <f aca="false">IF(NOT(ISNUMBER($G597)),"",IF(AND(ASH_CORRECTED="Yes",ISNUMBER($H597)),$G597*(1-$H597),$G597))</f>
        <v/>
      </c>
      <c r="K597" s="9" t="str">
        <f aca="false">IF($B597="","",IFERROR(AVERAGEIFS('2. Soil Data'!$G$5:$G$604,'2. Soil Data'!$B$5:$B$604,$B597),""))</f>
        <v/>
      </c>
      <c r="L597" s="9" t="str">
        <f aca="false">IF(NOT(ISNUMBER($K597)),"",PI()*($K597/2)^2)</f>
        <v/>
      </c>
      <c r="M597" s="9" t="str">
        <f aca="false">IF(OR(NOT(ISNUMBER($J597)),NOT(ISNUMBER($L597)),$L597=0),"",$J597/$L597*10000)</f>
        <v/>
      </c>
      <c r="N597" s="9" t="str">
        <f aca="false">IF(NOT(ISNUMBER($M597)),"",$M597*CARBON_FRACTION_ROOT/1000)</f>
        <v/>
      </c>
      <c r="O597" s="11" t="str">
        <f aca="false">IF(AND($A597="",$B597="",$G597=""),"",IF(AND($B597&lt;&gt;"",COUNTIFS('2. Soil Data'!$B$5:$B$604,$B597)=0),"Core ID not found in Soil Data, so the corer diameter cannot be looked up. ","")&amp;IF(ASH_CORRECTED&lt;&gt;"Yes","Root mass is NOT ash-corrected, so it includes adhering mineral soil and is too high. Set ASH_CORRECTED once you have done it. ","")&amp;IF(AND(ASH_CORRECTED="Yes",NOT(ISNUMBER($H597))),"Ash correction is switched on but no ash fraction is given for this row. ","")&amp;IF($I597="","Sieve mesh not recorded — a fine-root figure cannot be interpreted without it. ","")&amp;IF(AND(ISNUMBER($H597),$H597&gt;0.5),"Ash fraction above 0.5 — over half this sample was mineral soil. Re-wash. ","")&amp;IF($F597="Not separated","Live and dead not separated. Fine for a stock, but "&amp;"note it in reporting. ",""))</f>
        <v/>
      </c>
      <c r="P597" s="6"/>
      <c r="Q597" s="9" t="n">
        <f aca="false">IF($B597="",0,IF(COUNTIFS($B$5:$B597,$B597)=1,1,0))</f>
        <v>0</v>
      </c>
    </row>
    <row r="598" customFormat="false" ht="15" hidden="false" customHeight="false" outlineLevel="0" collapsed="false">
      <c r="A598" s="6"/>
      <c r="B598" s="6"/>
      <c r="C598" s="6"/>
      <c r="D598" s="6"/>
      <c r="E598" s="6"/>
      <c r="F598" s="6"/>
      <c r="G598" s="7"/>
      <c r="H598" s="7"/>
      <c r="I598" s="6"/>
      <c r="J598" s="9" t="str">
        <f aca="false">IF(NOT(ISNUMBER($G598)),"",IF(AND(ASH_CORRECTED="Yes",ISNUMBER($H598)),$G598*(1-$H598),$G598))</f>
        <v/>
      </c>
      <c r="K598" s="9" t="str">
        <f aca="false">IF($B598="","",IFERROR(AVERAGEIFS('2. Soil Data'!$G$5:$G$604,'2. Soil Data'!$B$5:$B$604,$B598),""))</f>
        <v/>
      </c>
      <c r="L598" s="9" t="str">
        <f aca="false">IF(NOT(ISNUMBER($K598)),"",PI()*($K598/2)^2)</f>
        <v/>
      </c>
      <c r="M598" s="9" t="str">
        <f aca="false">IF(OR(NOT(ISNUMBER($J598)),NOT(ISNUMBER($L598)),$L598=0),"",$J598/$L598*10000)</f>
        <v/>
      </c>
      <c r="N598" s="9" t="str">
        <f aca="false">IF(NOT(ISNUMBER($M598)),"",$M598*CARBON_FRACTION_ROOT/1000)</f>
        <v/>
      </c>
      <c r="O598" s="11" t="str">
        <f aca="false">IF(AND($A598="",$B598="",$G598=""),"",IF(AND($B598&lt;&gt;"",COUNTIFS('2. Soil Data'!$B$5:$B$604,$B598)=0),"Core ID not found in Soil Data, so the corer diameter cannot be looked up. ","")&amp;IF(ASH_CORRECTED&lt;&gt;"Yes","Root mass is NOT ash-corrected, so it includes adhering mineral soil and is too high. Set ASH_CORRECTED once you have done it. ","")&amp;IF(AND(ASH_CORRECTED="Yes",NOT(ISNUMBER($H598))),"Ash correction is switched on but no ash fraction is given for this row. ","")&amp;IF($I598="","Sieve mesh not recorded — a fine-root figure cannot be interpreted without it. ","")&amp;IF(AND(ISNUMBER($H598),$H598&gt;0.5),"Ash fraction above 0.5 — over half this sample was mineral soil. Re-wash. ","")&amp;IF($F598="Not separated","Live and dead not separated. Fine for a stock, but "&amp;"note it in reporting. ",""))</f>
        <v/>
      </c>
      <c r="P598" s="6"/>
      <c r="Q598" s="9" t="n">
        <f aca="false">IF($B598="",0,IF(COUNTIFS($B$5:$B598,$B598)=1,1,0))</f>
        <v>0</v>
      </c>
    </row>
    <row r="599" customFormat="false" ht="15" hidden="false" customHeight="false" outlineLevel="0" collapsed="false">
      <c r="A599" s="6"/>
      <c r="B599" s="6"/>
      <c r="C599" s="6"/>
      <c r="D599" s="6"/>
      <c r="E599" s="6"/>
      <c r="F599" s="6"/>
      <c r="G599" s="7"/>
      <c r="H599" s="7"/>
      <c r="I599" s="6"/>
      <c r="J599" s="9" t="str">
        <f aca="false">IF(NOT(ISNUMBER($G599)),"",IF(AND(ASH_CORRECTED="Yes",ISNUMBER($H599)),$G599*(1-$H599),$G599))</f>
        <v/>
      </c>
      <c r="K599" s="9" t="str">
        <f aca="false">IF($B599="","",IFERROR(AVERAGEIFS('2. Soil Data'!$G$5:$G$604,'2. Soil Data'!$B$5:$B$604,$B599),""))</f>
        <v/>
      </c>
      <c r="L599" s="9" t="str">
        <f aca="false">IF(NOT(ISNUMBER($K599)),"",PI()*($K599/2)^2)</f>
        <v/>
      </c>
      <c r="M599" s="9" t="str">
        <f aca="false">IF(OR(NOT(ISNUMBER($J599)),NOT(ISNUMBER($L599)),$L599=0),"",$J599/$L599*10000)</f>
        <v/>
      </c>
      <c r="N599" s="9" t="str">
        <f aca="false">IF(NOT(ISNUMBER($M599)),"",$M599*CARBON_FRACTION_ROOT/1000)</f>
        <v/>
      </c>
      <c r="O599" s="11" t="str">
        <f aca="false">IF(AND($A599="",$B599="",$G599=""),"",IF(AND($B599&lt;&gt;"",COUNTIFS('2. Soil Data'!$B$5:$B$604,$B599)=0),"Core ID not found in Soil Data, so the corer diameter cannot be looked up. ","")&amp;IF(ASH_CORRECTED&lt;&gt;"Yes","Root mass is NOT ash-corrected, so it includes adhering mineral soil and is too high. Set ASH_CORRECTED once you have done it. ","")&amp;IF(AND(ASH_CORRECTED="Yes",NOT(ISNUMBER($H599))),"Ash correction is switched on but no ash fraction is given for this row. ","")&amp;IF($I599="","Sieve mesh not recorded — a fine-root figure cannot be interpreted without it. ","")&amp;IF(AND(ISNUMBER($H599),$H599&gt;0.5),"Ash fraction above 0.5 — over half this sample was mineral soil. Re-wash. ","")&amp;IF($F599="Not separated","Live and dead not separated. Fine for a stock, but "&amp;"note it in reporting. ",""))</f>
        <v/>
      </c>
      <c r="P599" s="6"/>
      <c r="Q599" s="9" t="n">
        <f aca="false">IF($B599="",0,IF(COUNTIFS($B$5:$B599,$B599)=1,1,0))</f>
        <v>0</v>
      </c>
    </row>
    <row r="600" customFormat="false" ht="15" hidden="false" customHeight="false" outlineLevel="0" collapsed="false">
      <c r="A600" s="6"/>
      <c r="B600" s="6"/>
      <c r="C600" s="6"/>
      <c r="D600" s="6"/>
      <c r="E600" s="6"/>
      <c r="F600" s="6"/>
      <c r="G600" s="7"/>
      <c r="H600" s="7"/>
      <c r="I600" s="6"/>
      <c r="J600" s="9" t="str">
        <f aca="false">IF(NOT(ISNUMBER($G600)),"",IF(AND(ASH_CORRECTED="Yes",ISNUMBER($H600)),$G600*(1-$H600),$G600))</f>
        <v/>
      </c>
      <c r="K600" s="9" t="str">
        <f aca="false">IF($B600="","",IFERROR(AVERAGEIFS('2. Soil Data'!$G$5:$G$604,'2. Soil Data'!$B$5:$B$604,$B600),""))</f>
        <v/>
      </c>
      <c r="L600" s="9" t="str">
        <f aca="false">IF(NOT(ISNUMBER($K600)),"",PI()*($K600/2)^2)</f>
        <v/>
      </c>
      <c r="M600" s="9" t="str">
        <f aca="false">IF(OR(NOT(ISNUMBER($J600)),NOT(ISNUMBER($L600)),$L600=0),"",$J600/$L600*10000)</f>
        <v/>
      </c>
      <c r="N600" s="9" t="str">
        <f aca="false">IF(NOT(ISNUMBER($M600)),"",$M600*CARBON_FRACTION_ROOT/1000)</f>
        <v/>
      </c>
      <c r="O600" s="11" t="str">
        <f aca="false">IF(AND($A600="",$B600="",$G600=""),"",IF(AND($B600&lt;&gt;"",COUNTIFS('2. Soil Data'!$B$5:$B$604,$B600)=0),"Core ID not found in Soil Data, so the corer diameter cannot be looked up. ","")&amp;IF(ASH_CORRECTED&lt;&gt;"Yes","Root mass is NOT ash-corrected, so it includes adhering mineral soil and is too high. Set ASH_CORRECTED once you have done it. ","")&amp;IF(AND(ASH_CORRECTED="Yes",NOT(ISNUMBER($H600))),"Ash correction is switched on but no ash fraction is given for this row. ","")&amp;IF($I600="","Sieve mesh not recorded — a fine-root figure cannot be interpreted without it. ","")&amp;IF(AND(ISNUMBER($H600),$H600&gt;0.5),"Ash fraction above 0.5 — over half this sample was mineral soil. Re-wash. ","")&amp;IF($F600="Not separated","Live and dead not separated. Fine for a stock, but "&amp;"note it in reporting. ",""))</f>
        <v/>
      </c>
      <c r="P600" s="6"/>
      <c r="Q600" s="9" t="n">
        <f aca="false">IF($B600="",0,IF(COUNTIFS($B$5:$B600,$B600)=1,1,0))</f>
        <v>0</v>
      </c>
    </row>
    <row r="601" customFormat="false" ht="15" hidden="false" customHeight="false" outlineLevel="0" collapsed="false">
      <c r="A601" s="6"/>
      <c r="B601" s="6"/>
      <c r="C601" s="6"/>
      <c r="D601" s="6"/>
      <c r="E601" s="6"/>
      <c r="F601" s="6"/>
      <c r="G601" s="7"/>
      <c r="H601" s="7"/>
      <c r="I601" s="6"/>
      <c r="J601" s="9" t="str">
        <f aca="false">IF(NOT(ISNUMBER($G601)),"",IF(AND(ASH_CORRECTED="Yes",ISNUMBER($H601)),$G601*(1-$H601),$G601))</f>
        <v/>
      </c>
      <c r="K601" s="9" t="str">
        <f aca="false">IF($B601="","",IFERROR(AVERAGEIFS('2. Soil Data'!$G$5:$G$604,'2. Soil Data'!$B$5:$B$604,$B601),""))</f>
        <v/>
      </c>
      <c r="L601" s="9" t="str">
        <f aca="false">IF(NOT(ISNUMBER($K601)),"",PI()*($K601/2)^2)</f>
        <v/>
      </c>
      <c r="M601" s="9" t="str">
        <f aca="false">IF(OR(NOT(ISNUMBER($J601)),NOT(ISNUMBER($L601)),$L601=0),"",$J601/$L601*10000)</f>
        <v/>
      </c>
      <c r="N601" s="9" t="str">
        <f aca="false">IF(NOT(ISNUMBER($M601)),"",$M601*CARBON_FRACTION_ROOT/1000)</f>
        <v/>
      </c>
      <c r="O601" s="11" t="str">
        <f aca="false">IF(AND($A601="",$B601="",$G601=""),"",IF(AND($B601&lt;&gt;"",COUNTIFS('2. Soil Data'!$B$5:$B$604,$B601)=0),"Core ID not found in Soil Data, so the corer diameter cannot be looked up. ","")&amp;IF(ASH_CORRECTED&lt;&gt;"Yes","Root mass is NOT ash-corrected, so it includes adhering mineral soil and is too high. Set ASH_CORRECTED once you have done it. ","")&amp;IF(AND(ASH_CORRECTED="Yes",NOT(ISNUMBER($H601))),"Ash correction is switched on but no ash fraction is given for this row. ","")&amp;IF($I601="","Sieve mesh not recorded — a fine-root figure cannot be interpreted without it. ","")&amp;IF(AND(ISNUMBER($H601),$H601&gt;0.5),"Ash fraction above 0.5 — over half this sample was mineral soil. Re-wash. ","")&amp;IF($F601="Not separated","Live and dead not separated. Fine for a stock, but "&amp;"note it in reporting. ",""))</f>
        <v/>
      </c>
      <c r="P601" s="6"/>
      <c r="Q601" s="9" t="n">
        <f aca="false">IF($B601="",0,IF(COUNTIFS($B$5:$B601,$B601)=1,1,0))</f>
        <v>0</v>
      </c>
    </row>
    <row r="602" customFormat="false" ht="15" hidden="false" customHeight="false" outlineLevel="0" collapsed="false">
      <c r="A602" s="6"/>
      <c r="B602" s="6"/>
      <c r="C602" s="6"/>
      <c r="D602" s="6"/>
      <c r="E602" s="6"/>
      <c r="F602" s="6"/>
      <c r="G602" s="7"/>
      <c r="H602" s="7"/>
      <c r="I602" s="6"/>
      <c r="J602" s="9" t="str">
        <f aca="false">IF(NOT(ISNUMBER($G602)),"",IF(AND(ASH_CORRECTED="Yes",ISNUMBER($H602)),$G602*(1-$H602),$G602))</f>
        <v/>
      </c>
      <c r="K602" s="9" t="str">
        <f aca="false">IF($B602="","",IFERROR(AVERAGEIFS('2. Soil Data'!$G$5:$G$604,'2. Soil Data'!$B$5:$B$604,$B602),""))</f>
        <v/>
      </c>
      <c r="L602" s="9" t="str">
        <f aca="false">IF(NOT(ISNUMBER($K602)),"",PI()*($K602/2)^2)</f>
        <v/>
      </c>
      <c r="M602" s="9" t="str">
        <f aca="false">IF(OR(NOT(ISNUMBER($J602)),NOT(ISNUMBER($L602)),$L602=0),"",$J602/$L602*10000)</f>
        <v/>
      </c>
      <c r="N602" s="9" t="str">
        <f aca="false">IF(NOT(ISNUMBER($M602)),"",$M602*CARBON_FRACTION_ROOT/1000)</f>
        <v/>
      </c>
      <c r="O602" s="11" t="str">
        <f aca="false">IF(AND($A602="",$B602="",$G602=""),"",IF(AND($B602&lt;&gt;"",COUNTIFS('2. Soil Data'!$B$5:$B$604,$B602)=0),"Core ID not found in Soil Data, so the corer diameter cannot be looked up. ","")&amp;IF(ASH_CORRECTED&lt;&gt;"Yes","Root mass is NOT ash-corrected, so it includes adhering mineral soil and is too high. Set ASH_CORRECTED once you have done it. ","")&amp;IF(AND(ASH_CORRECTED="Yes",NOT(ISNUMBER($H602))),"Ash correction is switched on but no ash fraction is given for this row. ","")&amp;IF($I602="","Sieve mesh not recorded — a fine-root figure cannot be interpreted without it. ","")&amp;IF(AND(ISNUMBER($H602),$H602&gt;0.5),"Ash fraction above 0.5 — over half this sample was mineral soil. Re-wash. ","")&amp;IF($F602="Not separated","Live and dead not separated. Fine for a stock, but "&amp;"note it in reporting. ",""))</f>
        <v/>
      </c>
      <c r="P602" s="6"/>
      <c r="Q602" s="9" t="n">
        <f aca="false">IF($B602="",0,IF(COUNTIFS($B$5:$B602,$B602)=1,1,0))</f>
        <v>0</v>
      </c>
    </row>
    <row r="603" customFormat="false" ht="15" hidden="false" customHeight="false" outlineLevel="0" collapsed="false">
      <c r="A603" s="6"/>
      <c r="B603" s="6"/>
      <c r="C603" s="6"/>
      <c r="D603" s="6"/>
      <c r="E603" s="6"/>
      <c r="F603" s="6"/>
      <c r="G603" s="7"/>
      <c r="H603" s="7"/>
      <c r="I603" s="6"/>
      <c r="J603" s="9" t="str">
        <f aca="false">IF(NOT(ISNUMBER($G603)),"",IF(AND(ASH_CORRECTED="Yes",ISNUMBER($H603)),$G603*(1-$H603),$G603))</f>
        <v/>
      </c>
      <c r="K603" s="9" t="str">
        <f aca="false">IF($B603="","",IFERROR(AVERAGEIFS('2. Soil Data'!$G$5:$G$604,'2. Soil Data'!$B$5:$B$604,$B603),""))</f>
        <v/>
      </c>
      <c r="L603" s="9" t="str">
        <f aca="false">IF(NOT(ISNUMBER($K603)),"",PI()*($K603/2)^2)</f>
        <v/>
      </c>
      <c r="M603" s="9" t="str">
        <f aca="false">IF(OR(NOT(ISNUMBER($J603)),NOT(ISNUMBER($L603)),$L603=0),"",$J603/$L603*10000)</f>
        <v/>
      </c>
      <c r="N603" s="9" t="str">
        <f aca="false">IF(NOT(ISNUMBER($M603)),"",$M603*CARBON_FRACTION_ROOT/1000)</f>
        <v/>
      </c>
      <c r="O603" s="11" t="str">
        <f aca="false">IF(AND($A603="",$B603="",$G603=""),"",IF(AND($B603&lt;&gt;"",COUNTIFS('2. Soil Data'!$B$5:$B$604,$B603)=0),"Core ID not found in Soil Data, so the corer diameter cannot be looked up. ","")&amp;IF(ASH_CORRECTED&lt;&gt;"Yes","Root mass is NOT ash-corrected, so it includes adhering mineral soil and is too high. Set ASH_CORRECTED once you have done it. ","")&amp;IF(AND(ASH_CORRECTED="Yes",NOT(ISNUMBER($H603))),"Ash correction is switched on but no ash fraction is given for this row. ","")&amp;IF($I603="","Sieve mesh not recorded — a fine-root figure cannot be interpreted without it. ","")&amp;IF(AND(ISNUMBER($H603),$H603&gt;0.5),"Ash fraction above 0.5 — over half this sample was mineral soil. Re-wash. ","")&amp;IF($F603="Not separated","Live and dead not separated. Fine for a stock, but "&amp;"note it in reporting. ",""))</f>
        <v/>
      </c>
      <c r="P603" s="6"/>
      <c r="Q603" s="9" t="n">
        <f aca="false">IF($B603="",0,IF(COUNTIFS($B$5:$B603,$B603)=1,1,0))</f>
        <v>0</v>
      </c>
    </row>
    <row r="604" customFormat="false" ht="15" hidden="false" customHeight="false" outlineLevel="0" collapsed="false">
      <c r="A604" s="6"/>
      <c r="B604" s="6"/>
      <c r="C604" s="6"/>
      <c r="D604" s="6"/>
      <c r="E604" s="6"/>
      <c r="F604" s="6"/>
      <c r="G604" s="7"/>
      <c r="H604" s="7"/>
      <c r="I604" s="6"/>
      <c r="J604" s="9" t="str">
        <f aca="false">IF(NOT(ISNUMBER($G604)),"",IF(AND(ASH_CORRECTED="Yes",ISNUMBER($H604)),$G604*(1-$H604),$G604))</f>
        <v/>
      </c>
      <c r="K604" s="9" t="str">
        <f aca="false">IF($B604="","",IFERROR(AVERAGEIFS('2. Soil Data'!$G$5:$G$604,'2. Soil Data'!$B$5:$B$604,$B604),""))</f>
        <v/>
      </c>
      <c r="L604" s="9" t="str">
        <f aca="false">IF(NOT(ISNUMBER($K604)),"",PI()*($K604/2)^2)</f>
        <v/>
      </c>
      <c r="M604" s="9" t="str">
        <f aca="false">IF(OR(NOT(ISNUMBER($J604)),NOT(ISNUMBER($L604)),$L604=0),"",$J604/$L604*10000)</f>
        <v/>
      </c>
      <c r="N604" s="9" t="str">
        <f aca="false">IF(NOT(ISNUMBER($M604)),"",$M604*CARBON_FRACTION_ROOT/1000)</f>
        <v/>
      </c>
      <c r="O604" s="11" t="str">
        <f aca="false">IF(AND($A604="",$B604="",$G604=""),"",IF(AND($B604&lt;&gt;"",COUNTIFS('2. Soil Data'!$B$5:$B$604,$B604)=0),"Core ID not found in Soil Data, so the corer diameter cannot be looked up. ","")&amp;IF(ASH_CORRECTED&lt;&gt;"Yes","Root mass is NOT ash-corrected, so it includes adhering mineral soil and is too high. Set ASH_CORRECTED once you have done it. ","")&amp;IF(AND(ASH_CORRECTED="Yes",NOT(ISNUMBER($H604))),"Ash correction is switched on but no ash fraction is given for this row. ","")&amp;IF($I604="","Sieve mesh not recorded — a fine-root figure cannot be interpreted without it. ","")&amp;IF(AND(ISNUMBER($H604),$H604&gt;0.5),"Ash fraction above 0.5 — over half this sample was mineral soil. Re-wash. ","")&amp;IF($F604="Not separated","Live and dead not separated. Fine for a stock, but "&amp;"note it in reporting. ",""))</f>
        <v/>
      </c>
      <c r="P604" s="6"/>
      <c r="Q604" s="9" t="n">
        <f aca="false">IF($B604="",0,IF(COUNTIFS($B$5:$B604,$B604)=1,1,0))</f>
        <v>0</v>
      </c>
    </row>
    <row r="605" customFormat="false" ht="15" hidden="false" customHeight="false" outlineLevel="0" collapsed="false">
      <c r="A605" s="6"/>
      <c r="B605" s="6"/>
      <c r="C605" s="6"/>
      <c r="D605" s="6"/>
      <c r="E605" s="6"/>
      <c r="F605" s="6"/>
      <c r="G605" s="7"/>
      <c r="H605" s="7"/>
      <c r="I605" s="6"/>
      <c r="J605" s="9" t="str">
        <f aca="false">IF(NOT(ISNUMBER($G605)),"",IF(AND(ASH_CORRECTED="Yes",ISNUMBER($H605)),$G605*(1-$H605),$G605))</f>
        <v/>
      </c>
      <c r="K605" s="9" t="str">
        <f aca="false">IF($B605="","",IFERROR(AVERAGEIFS('2. Soil Data'!$G$5:$G$604,'2. Soil Data'!$B$5:$B$604,$B605),""))</f>
        <v/>
      </c>
      <c r="L605" s="9" t="str">
        <f aca="false">IF(NOT(ISNUMBER($K605)),"",PI()*($K605/2)^2)</f>
        <v/>
      </c>
      <c r="M605" s="9" t="str">
        <f aca="false">IF(OR(NOT(ISNUMBER($J605)),NOT(ISNUMBER($L605)),$L605=0),"",$J605/$L605*10000)</f>
        <v/>
      </c>
      <c r="N605" s="9" t="str">
        <f aca="false">IF(NOT(ISNUMBER($M605)),"",$M605*CARBON_FRACTION_ROOT/1000)</f>
        <v/>
      </c>
      <c r="O605" s="11" t="str">
        <f aca="false">IF(AND($A605="",$B605="",$G605=""),"",IF(AND($B605&lt;&gt;"",COUNTIFS('2. Soil Data'!$B$5:$B$604,$B605)=0),"Core ID not found in Soil Data, so the corer diameter cannot be looked up. ","")&amp;IF(ASH_CORRECTED&lt;&gt;"Yes","Root mass is NOT ash-corrected, so it includes adhering mineral soil and is too high. Set ASH_CORRECTED once you have done it. ","")&amp;IF(AND(ASH_CORRECTED="Yes",NOT(ISNUMBER($H605))),"Ash correction is switched on but no ash fraction is given for this row. ","")&amp;IF($I605="","Sieve mesh not recorded — a fine-root figure cannot be interpreted without it. ","")&amp;IF(AND(ISNUMBER($H605),$H605&gt;0.5),"Ash fraction above 0.5 — over half this sample was mineral soil. Re-wash. ","")&amp;IF($F605="Not separated","Live and dead not separated. Fine for a stock, but "&amp;"note it in reporting. ",""))</f>
        <v/>
      </c>
      <c r="P605" s="6"/>
      <c r="Q605" s="9" t="n">
        <f aca="false">IF($B605="",0,IF(COUNTIFS($B$5:$B605,$B605)=1,1,0))</f>
        <v>0</v>
      </c>
    </row>
    <row r="606" customFormat="false" ht="15" hidden="false" customHeight="false" outlineLevel="0" collapsed="false">
      <c r="A606" s="6"/>
      <c r="B606" s="6"/>
      <c r="C606" s="6"/>
      <c r="D606" s="6"/>
      <c r="E606" s="6"/>
      <c r="F606" s="6"/>
      <c r="G606" s="7"/>
      <c r="H606" s="7"/>
      <c r="I606" s="6"/>
      <c r="J606" s="9" t="str">
        <f aca="false">IF(NOT(ISNUMBER($G606)),"",IF(AND(ASH_CORRECTED="Yes",ISNUMBER($H606)),$G606*(1-$H606),$G606))</f>
        <v/>
      </c>
      <c r="K606" s="9" t="str">
        <f aca="false">IF($B606="","",IFERROR(AVERAGEIFS('2. Soil Data'!$G$5:$G$604,'2. Soil Data'!$B$5:$B$604,$B606),""))</f>
        <v/>
      </c>
      <c r="L606" s="9" t="str">
        <f aca="false">IF(NOT(ISNUMBER($K606)),"",PI()*($K606/2)^2)</f>
        <v/>
      </c>
      <c r="M606" s="9" t="str">
        <f aca="false">IF(OR(NOT(ISNUMBER($J606)),NOT(ISNUMBER($L606)),$L606=0),"",$J606/$L606*10000)</f>
        <v/>
      </c>
      <c r="N606" s="9" t="str">
        <f aca="false">IF(NOT(ISNUMBER($M606)),"",$M606*CARBON_FRACTION_ROOT/1000)</f>
        <v/>
      </c>
      <c r="O606" s="11" t="str">
        <f aca="false">IF(AND($A606="",$B606="",$G606=""),"",IF(AND($B606&lt;&gt;"",COUNTIFS('2. Soil Data'!$B$5:$B$604,$B606)=0),"Core ID not found in Soil Data, so the corer diameter cannot be looked up. ","")&amp;IF(ASH_CORRECTED&lt;&gt;"Yes","Root mass is NOT ash-corrected, so it includes adhering mineral soil and is too high. Set ASH_CORRECTED once you have done it. ","")&amp;IF(AND(ASH_CORRECTED="Yes",NOT(ISNUMBER($H606))),"Ash correction is switched on but no ash fraction is given for this row. ","")&amp;IF($I606="","Sieve mesh not recorded — a fine-root figure cannot be interpreted without it. ","")&amp;IF(AND(ISNUMBER($H606),$H606&gt;0.5),"Ash fraction above 0.5 — over half this sample was mineral soil. Re-wash. ","")&amp;IF($F606="Not separated","Live and dead not separated. Fine for a stock, but "&amp;"note it in reporting. ",""))</f>
        <v/>
      </c>
      <c r="P606" s="6"/>
      <c r="Q606" s="9" t="n">
        <f aca="false">IF($B606="",0,IF(COUNTIFS($B$5:$B606,$B606)=1,1,0))</f>
        <v>0</v>
      </c>
    </row>
    <row r="607" customFormat="false" ht="15" hidden="false" customHeight="false" outlineLevel="0" collapsed="false">
      <c r="A607" s="6"/>
      <c r="B607" s="6"/>
      <c r="C607" s="6"/>
      <c r="D607" s="6"/>
      <c r="E607" s="6"/>
      <c r="F607" s="6"/>
      <c r="G607" s="7"/>
      <c r="H607" s="7"/>
      <c r="I607" s="6"/>
      <c r="J607" s="9" t="str">
        <f aca="false">IF(NOT(ISNUMBER($G607)),"",IF(AND(ASH_CORRECTED="Yes",ISNUMBER($H607)),$G607*(1-$H607),$G607))</f>
        <v/>
      </c>
      <c r="K607" s="9" t="str">
        <f aca="false">IF($B607="","",IFERROR(AVERAGEIFS('2. Soil Data'!$G$5:$G$604,'2. Soil Data'!$B$5:$B$604,$B607),""))</f>
        <v/>
      </c>
      <c r="L607" s="9" t="str">
        <f aca="false">IF(NOT(ISNUMBER($K607)),"",PI()*($K607/2)^2)</f>
        <v/>
      </c>
      <c r="M607" s="9" t="str">
        <f aca="false">IF(OR(NOT(ISNUMBER($J607)),NOT(ISNUMBER($L607)),$L607=0),"",$J607/$L607*10000)</f>
        <v/>
      </c>
      <c r="N607" s="9" t="str">
        <f aca="false">IF(NOT(ISNUMBER($M607)),"",$M607*CARBON_FRACTION_ROOT/1000)</f>
        <v/>
      </c>
      <c r="O607" s="11" t="str">
        <f aca="false">IF(AND($A607="",$B607="",$G607=""),"",IF(AND($B607&lt;&gt;"",COUNTIFS('2. Soil Data'!$B$5:$B$604,$B607)=0),"Core ID not found in Soil Data, so the corer diameter cannot be looked up. ","")&amp;IF(ASH_CORRECTED&lt;&gt;"Yes","Root mass is NOT ash-corrected, so it includes adhering mineral soil and is too high. Set ASH_CORRECTED once you have done it. ","")&amp;IF(AND(ASH_CORRECTED="Yes",NOT(ISNUMBER($H607))),"Ash correction is switched on but no ash fraction is given for this row. ","")&amp;IF($I607="","Sieve mesh not recorded — a fine-root figure cannot be interpreted without it. ","")&amp;IF(AND(ISNUMBER($H607),$H607&gt;0.5),"Ash fraction above 0.5 — over half this sample was mineral soil. Re-wash. ","")&amp;IF($F607="Not separated","Live and dead not separated. Fine for a stock, but "&amp;"note it in reporting. ",""))</f>
        <v/>
      </c>
      <c r="P607" s="6"/>
      <c r="Q607" s="9" t="n">
        <f aca="false">IF($B607="",0,IF(COUNTIFS($B$5:$B607,$B607)=1,1,0))</f>
        <v>0</v>
      </c>
    </row>
    <row r="608" customFormat="false" ht="15" hidden="false" customHeight="false" outlineLevel="0" collapsed="false">
      <c r="A608" s="6"/>
      <c r="B608" s="6"/>
      <c r="C608" s="6"/>
      <c r="D608" s="6"/>
      <c r="E608" s="6"/>
      <c r="F608" s="6"/>
      <c r="G608" s="7"/>
      <c r="H608" s="7"/>
      <c r="I608" s="6"/>
      <c r="J608" s="9" t="str">
        <f aca="false">IF(NOT(ISNUMBER($G608)),"",IF(AND(ASH_CORRECTED="Yes",ISNUMBER($H608)),$G608*(1-$H608),$G608))</f>
        <v/>
      </c>
      <c r="K608" s="9" t="str">
        <f aca="false">IF($B608="","",IFERROR(AVERAGEIFS('2. Soil Data'!$G$5:$G$604,'2. Soil Data'!$B$5:$B$604,$B608),""))</f>
        <v/>
      </c>
      <c r="L608" s="9" t="str">
        <f aca="false">IF(NOT(ISNUMBER($K608)),"",PI()*($K608/2)^2)</f>
        <v/>
      </c>
      <c r="M608" s="9" t="str">
        <f aca="false">IF(OR(NOT(ISNUMBER($J608)),NOT(ISNUMBER($L608)),$L608=0),"",$J608/$L608*10000)</f>
        <v/>
      </c>
      <c r="N608" s="9" t="str">
        <f aca="false">IF(NOT(ISNUMBER($M608)),"",$M608*CARBON_FRACTION_ROOT/1000)</f>
        <v/>
      </c>
      <c r="O608" s="11" t="str">
        <f aca="false">IF(AND($A608="",$B608="",$G608=""),"",IF(AND($B608&lt;&gt;"",COUNTIFS('2. Soil Data'!$B$5:$B$604,$B608)=0),"Core ID not found in Soil Data, so the corer diameter cannot be looked up. ","")&amp;IF(ASH_CORRECTED&lt;&gt;"Yes","Root mass is NOT ash-corrected, so it includes adhering mineral soil and is too high. Set ASH_CORRECTED once you have done it. ","")&amp;IF(AND(ASH_CORRECTED="Yes",NOT(ISNUMBER($H608))),"Ash correction is switched on but no ash fraction is given for this row. ","")&amp;IF($I608="","Sieve mesh not recorded — a fine-root figure cannot be interpreted without it. ","")&amp;IF(AND(ISNUMBER($H608),$H608&gt;0.5),"Ash fraction above 0.5 — over half this sample was mineral soil. Re-wash. ","")&amp;IF($F608="Not separated","Live and dead not separated. Fine for a stock, but "&amp;"note it in reporting. ",""))</f>
        <v/>
      </c>
      <c r="P608" s="6"/>
      <c r="Q608" s="9" t="n">
        <f aca="false">IF($B608="",0,IF(COUNTIFS($B$5:$B608,$B608)=1,1,0))</f>
        <v>0</v>
      </c>
    </row>
    <row r="609" customFormat="false" ht="15" hidden="false" customHeight="false" outlineLevel="0" collapsed="false">
      <c r="A609" s="6"/>
      <c r="B609" s="6"/>
      <c r="C609" s="6"/>
      <c r="D609" s="6"/>
      <c r="E609" s="6"/>
      <c r="F609" s="6"/>
      <c r="G609" s="7"/>
      <c r="H609" s="7"/>
      <c r="I609" s="6"/>
      <c r="J609" s="9" t="str">
        <f aca="false">IF(NOT(ISNUMBER($G609)),"",IF(AND(ASH_CORRECTED="Yes",ISNUMBER($H609)),$G609*(1-$H609),$G609))</f>
        <v/>
      </c>
      <c r="K609" s="9" t="str">
        <f aca="false">IF($B609="","",IFERROR(AVERAGEIFS('2. Soil Data'!$G$5:$G$604,'2. Soil Data'!$B$5:$B$604,$B609),""))</f>
        <v/>
      </c>
      <c r="L609" s="9" t="str">
        <f aca="false">IF(NOT(ISNUMBER($K609)),"",PI()*($K609/2)^2)</f>
        <v/>
      </c>
      <c r="M609" s="9" t="str">
        <f aca="false">IF(OR(NOT(ISNUMBER($J609)),NOT(ISNUMBER($L609)),$L609=0),"",$J609/$L609*10000)</f>
        <v/>
      </c>
      <c r="N609" s="9" t="str">
        <f aca="false">IF(NOT(ISNUMBER($M609)),"",$M609*CARBON_FRACTION_ROOT/1000)</f>
        <v/>
      </c>
      <c r="O609" s="11" t="str">
        <f aca="false">IF(AND($A609="",$B609="",$G609=""),"",IF(AND($B609&lt;&gt;"",COUNTIFS('2. Soil Data'!$B$5:$B$604,$B609)=0),"Core ID not found in Soil Data, so the corer diameter cannot be looked up. ","")&amp;IF(ASH_CORRECTED&lt;&gt;"Yes","Root mass is NOT ash-corrected, so it includes adhering mineral soil and is too high. Set ASH_CORRECTED once you have done it. ","")&amp;IF(AND(ASH_CORRECTED="Yes",NOT(ISNUMBER($H609))),"Ash correction is switched on but no ash fraction is given for this row. ","")&amp;IF($I609="","Sieve mesh not recorded — a fine-root figure cannot be interpreted without it. ","")&amp;IF(AND(ISNUMBER($H609),$H609&gt;0.5),"Ash fraction above 0.5 — over half this sample was mineral soil. Re-wash. ","")&amp;IF($F609="Not separated","Live and dead not separated. Fine for a stock, but "&amp;"note it in reporting. ",""))</f>
        <v/>
      </c>
      <c r="P609" s="6"/>
      <c r="Q609" s="9" t="n">
        <f aca="false">IF($B609="",0,IF(COUNTIFS($B$5:$B609,$B609)=1,1,0))</f>
        <v>0</v>
      </c>
    </row>
    <row r="610" customFormat="false" ht="15" hidden="false" customHeight="false" outlineLevel="0" collapsed="false">
      <c r="A610" s="6"/>
      <c r="B610" s="6"/>
      <c r="C610" s="6"/>
      <c r="D610" s="6"/>
      <c r="E610" s="6"/>
      <c r="F610" s="6"/>
      <c r="G610" s="7"/>
      <c r="H610" s="7"/>
      <c r="I610" s="6"/>
      <c r="J610" s="9" t="str">
        <f aca="false">IF(NOT(ISNUMBER($G610)),"",IF(AND(ASH_CORRECTED="Yes",ISNUMBER($H610)),$G610*(1-$H610),$G610))</f>
        <v/>
      </c>
      <c r="K610" s="9" t="str">
        <f aca="false">IF($B610="","",IFERROR(AVERAGEIFS('2. Soil Data'!$G$5:$G$604,'2. Soil Data'!$B$5:$B$604,$B610),""))</f>
        <v/>
      </c>
      <c r="L610" s="9" t="str">
        <f aca="false">IF(NOT(ISNUMBER($K610)),"",PI()*($K610/2)^2)</f>
        <v/>
      </c>
      <c r="M610" s="9" t="str">
        <f aca="false">IF(OR(NOT(ISNUMBER($J610)),NOT(ISNUMBER($L610)),$L610=0),"",$J610/$L610*10000)</f>
        <v/>
      </c>
      <c r="N610" s="9" t="str">
        <f aca="false">IF(NOT(ISNUMBER($M610)),"",$M610*CARBON_FRACTION_ROOT/1000)</f>
        <v/>
      </c>
      <c r="O610" s="11" t="str">
        <f aca="false">IF(AND($A610="",$B610="",$G610=""),"",IF(AND($B610&lt;&gt;"",COUNTIFS('2. Soil Data'!$B$5:$B$604,$B610)=0),"Core ID not found in Soil Data, so the corer diameter cannot be looked up. ","")&amp;IF(ASH_CORRECTED&lt;&gt;"Yes","Root mass is NOT ash-corrected, so it includes adhering mineral soil and is too high. Set ASH_CORRECTED once you have done it. ","")&amp;IF(AND(ASH_CORRECTED="Yes",NOT(ISNUMBER($H610))),"Ash correction is switched on but no ash fraction is given for this row. ","")&amp;IF($I610="","Sieve mesh not recorded — a fine-root figure cannot be interpreted without it. ","")&amp;IF(AND(ISNUMBER($H610),$H610&gt;0.5),"Ash fraction above 0.5 — over half this sample was mineral soil. Re-wash. ","")&amp;IF($F610="Not separated","Live and dead not separated. Fine for a stock, but "&amp;"note it in reporting. ",""))</f>
        <v/>
      </c>
      <c r="P610" s="6"/>
      <c r="Q610" s="9" t="n">
        <f aca="false">IF($B610="",0,IF(COUNTIFS($B$5:$B610,$B610)=1,1,0))</f>
        <v>0</v>
      </c>
    </row>
    <row r="611" customFormat="false" ht="15" hidden="false" customHeight="false" outlineLevel="0" collapsed="false">
      <c r="A611" s="6"/>
      <c r="B611" s="6"/>
      <c r="C611" s="6"/>
      <c r="D611" s="6"/>
      <c r="E611" s="6"/>
      <c r="F611" s="6"/>
      <c r="G611" s="7"/>
      <c r="H611" s="7"/>
      <c r="I611" s="6"/>
      <c r="J611" s="9" t="str">
        <f aca="false">IF(NOT(ISNUMBER($G611)),"",IF(AND(ASH_CORRECTED="Yes",ISNUMBER($H611)),$G611*(1-$H611),$G611))</f>
        <v/>
      </c>
      <c r="K611" s="9" t="str">
        <f aca="false">IF($B611="","",IFERROR(AVERAGEIFS('2. Soil Data'!$G$5:$G$604,'2. Soil Data'!$B$5:$B$604,$B611),""))</f>
        <v/>
      </c>
      <c r="L611" s="9" t="str">
        <f aca="false">IF(NOT(ISNUMBER($K611)),"",PI()*($K611/2)^2)</f>
        <v/>
      </c>
      <c r="M611" s="9" t="str">
        <f aca="false">IF(OR(NOT(ISNUMBER($J611)),NOT(ISNUMBER($L611)),$L611=0),"",$J611/$L611*10000)</f>
        <v/>
      </c>
      <c r="N611" s="9" t="str">
        <f aca="false">IF(NOT(ISNUMBER($M611)),"",$M611*CARBON_FRACTION_ROOT/1000)</f>
        <v/>
      </c>
      <c r="O611" s="11" t="str">
        <f aca="false">IF(AND($A611="",$B611="",$G611=""),"",IF(AND($B611&lt;&gt;"",COUNTIFS('2. Soil Data'!$B$5:$B$604,$B611)=0),"Core ID not found in Soil Data, so the corer diameter cannot be looked up. ","")&amp;IF(ASH_CORRECTED&lt;&gt;"Yes","Root mass is NOT ash-corrected, so it includes adhering mineral soil and is too high. Set ASH_CORRECTED once you have done it. ","")&amp;IF(AND(ASH_CORRECTED="Yes",NOT(ISNUMBER($H611))),"Ash correction is switched on but no ash fraction is given for this row. ","")&amp;IF($I611="","Sieve mesh not recorded — a fine-root figure cannot be interpreted without it. ","")&amp;IF(AND(ISNUMBER($H611),$H611&gt;0.5),"Ash fraction above 0.5 — over half this sample was mineral soil. Re-wash. ","")&amp;IF($F611="Not separated","Live and dead not separated. Fine for a stock, but "&amp;"note it in reporting. ",""))</f>
        <v/>
      </c>
      <c r="P611" s="6"/>
      <c r="Q611" s="9" t="n">
        <f aca="false">IF($B611="",0,IF(COUNTIFS($B$5:$B611,$B611)=1,1,0))</f>
        <v>0</v>
      </c>
    </row>
    <row r="612" customFormat="false" ht="15" hidden="false" customHeight="false" outlineLevel="0" collapsed="false">
      <c r="A612" s="6"/>
      <c r="B612" s="6"/>
      <c r="C612" s="6"/>
      <c r="D612" s="6"/>
      <c r="E612" s="6"/>
      <c r="F612" s="6"/>
      <c r="G612" s="7"/>
      <c r="H612" s="7"/>
      <c r="I612" s="6"/>
      <c r="J612" s="9" t="str">
        <f aca="false">IF(NOT(ISNUMBER($G612)),"",IF(AND(ASH_CORRECTED="Yes",ISNUMBER($H612)),$G612*(1-$H612),$G612))</f>
        <v/>
      </c>
      <c r="K612" s="9" t="str">
        <f aca="false">IF($B612="","",IFERROR(AVERAGEIFS('2. Soil Data'!$G$5:$G$604,'2. Soil Data'!$B$5:$B$604,$B612),""))</f>
        <v/>
      </c>
      <c r="L612" s="9" t="str">
        <f aca="false">IF(NOT(ISNUMBER($K612)),"",PI()*($K612/2)^2)</f>
        <v/>
      </c>
      <c r="M612" s="9" t="str">
        <f aca="false">IF(OR(NOT(ISNUMBER($J612)),NOT(ISNUMBER($L612)),$L612=0),"",$J612/$L612*10000)</f>
        <v/>
      </c>
      <c r="N612" s="9" t="str">
        <f aca="false">IF(NOT(ISNUMBER($M612)),"",$M612*CARBON_FRACTION_ROOT/1000)</f>
        <v/>
      </c>
      <c r="O612" s="11" t="str">
        <f aca="false">IF(AND($A612="",$B612="",$G612=""),"",IF(AND($B612&lt;&gt;"",COUNTIFS('2. Soil Data'!$B$5:$B$604,$B612)=0),"Core ID not found in Soil Data, so the corer diameter cannot be looked up. ","")&amp;IF(ASH_CORRECTED&lt;&gt;"Yes","Root mass is NOT ash-corrected, so it includes adhering mineral soil and is too high. Set ASH_CORRECTED once you have done it. ","")&amp;IF(AND(ASH_CORRECTED="Yes",NOT(ISNUMBER($H612))),"Ash correction is switched on but no ash fraction is given for this row. ","")&amp;IF($I612="","Sieve mesh not recorded — a fine-root figure cannot be interpreted without it. ","")&amp;IF(AND(ISNUMBER($H612),$H612&gt;0.5),"Ash fraction above 0.5 — over half this sample was mineral soil. Re-wash. ","")&amp;IF($F612="Not separated","Live and dead not separated. Fine for a stock, but "&amp;"note it in reporting. ",""))</f>
        <v/>
      </c>
      <c r="P612" s="6"/>
      <c r="Q612" s="9" t="n">
        <f aca="false">IF($B612="",0,IF(COUNTIFS($B$5:$B612,$B612)=1,1,0))</f>
        <v>0</v>
      </c>
    </row>
    <row r="613" customFormat="false" ht="15" hidden="false" customHeight="false" outlineLevel="0" collapsed="false">
      <c r="A613" s="6"/>
      <c r="B613" s="6"/>
      <c r="C613" s="6"/>
      <c r="D613" s="6"/>
      <c r="E613" s="6"/>
      <c r="F613" s="6"/>
      <c r="G613" s="7"/>
      <c r="H613" s="7"/>
      <c r="I613" s="6"/>
      <c r="J613" s="9" t="str">
        <f aca="false">IF(NOT(ISNUMBER($G613)),"",IF(AND(ASH_CORRECTED="Yes",ISNUMBER($H613)),$G613*(1-$H613),$G613))</f>
        <v/>
      </c>
      <c r="K613" s="9" t="str">
        <f aca="false">IF($B613="","",IFERROR(AVERAGEIFS('2. Soil Data'!$G$5:$G$604,'2. Soil Data'!$B$5:$B$604,$B613),""))</f>
        <v/>
      </c>
      <c r="L613" s="9" t="str">
        <f aca="false">IF(NOT(ISNUMBER($K613)),"",PI()*($K613/2)^2)</f>
        <v/>
      </c>
      <c r="M613" s="9" t="str">
        <f aca="false">IF(OR(NOT(ISNUMBER($J613)),NOT(ISNUMBER($L613)),$L613=0),"",$J613/$L613*10000)</f>
        <v/>
      </c>
      <c r="N613" s="9" t="str">
        <f aca="false">IF(NOT(ISNUMBER($M613)),"",$M613*CARBON_FRACTION_ROOT/1000)</f>
        <v/>
      </c>
      <c r="O613" s="11" t="str">
        <f aca="false">IF(AND($A613="",$B613="",$G613=""),"",IF(AND($B613&lt;&gt;"",COUNTIFS('2. Soil Data'!$B$5:$B$604,$B613)=0),"Core ID not found in Soil Data, so the corer diameter cannot be looked up. ","")&amp;IF(ASH_CORRECTED&lt;&gt;"Yes","Root mass is NOT ash-corrected, so it includes adhering mineral soil and is too high. Set ASH_CORRECTED once you have done it. ","")&amp;IF(AND(ASH_CORRECTED="Yes",NOT(ISNUMBER($H613))),"Ash correction is switched on but no ash fraction is given for this row. ","")&amp;IF($I613="","Sieve mesh not recorded — a fine-root figure cannot be interpreted without it. ","")&amp;IF(AND(ISNUMBER($H613),$H613&gt;0.5),"Ash fraction above 0.5 — over half this sample was mineral soil. Re-wash. ","")&amp;IF($F613="Not separated","Live and dead not separated. Fine for a stock, but "&amp;"note it in reporting. ",""))</f>
        <v/>
      </c>
      <c r="P613" s="6"/>
      <c r="Q613" s="9" t="n">
        <f aca="false">IF($B613="",0,IF(COUNTIFS($B$5:$B613,$B613)=1,1,0))</f>
        <v>0</v>
      </c>
    </row>
    <row r="614" customFormat="false" ht="15" hidden="false" customHeight="false" outlineLevel="0" collapsed="false">
      <c r="A614" s="6"/>
      <c r="B614" s="6"/>
      <c r="C614" s="6"/>
      <c r="D614" s="6"/>
      <c r="E614" s="6"/>
      <c r="F614" s="6"/>
      <c r="G614" s="7"/>
      <c r="H614" s="7"/>
      <c r="I614" s="6"/>
      <c r="J614" s="9" t="str">
        <f aca="false">IF(NOT(ISNUMBER($G614)),"",IF(AND(ASH_CORRECTED="Yes",ISNUMBER($H614)),$G614*(1-$H614),$G614))</f>
        <v/>
      </c>
      <c r="K614" s="9" t="str">
        <f aca="false">IF($B614="","",IFERROR(AVERAGEIFS('2. Soil Data'!$G$5:$G$604,'2. Soil Data'!$B$5:$B$604,$B614),""))</f>
        <v/>
      </c>
      <c r="L614" s="9" t="str">
        <f aca="false">IF(NOT(ISNUMBER($K614)),"",PI()*($K614/2)^2)</f>
        <v/>
      </c>
      <c r="M614" s="9" t="str">
        <f aca="false">IF(OR(NOT(ISNUMBER($J614)),NOT(ISNUMBER($L614)),$L614=0),"",$J614/$L614*10000)</f>
        <v/>
      </c>
      <c r="N614" s="9" t="str">
        <f aca="false">IF(NOT(ISNUMBER($M614)),"",$M614*CARBON_FRACTION_ROOT/1000)</f>
        <v/>
      </c>
      <c r="O614" s="11" t="str">
        <f aca="false">IF(AND($A614="",$B614="",$G614=""),"",IF(AND($B614&lt;&gt;"",COUNTIFS('2. Soil Data'!$B$5:$B$604,$B614)=0),"Core ID not found in Soil Data, so the corer diameter cannot be looked up. ","")&amp;IF(ASH_CORRECTED&lt;&gt;"Yes","Root mass is NOT ash-corrected, so it includes adhering mineral soil and is too high. Set ASH_CORRECTED once you have done it. ","")&amp;IF(AND(ASH_CORRECTED="Yes",NOT(ISNUMBER($H614))),"Ash correction is switched on but no ash fraction is given for this row. ","")&amp;IF($I614="","Sieve mesh not recorded — a fine-root figure cannot be interpreted without it. ","")&amp;IF(AND(ISNUMBER($H614),$H614&gt;0.5),"Ash fraction above 0.5 — over half this sample was mineral soil. Re-wash. ","")&amp;IF($F614="Not separated","Live and dead not separated. Fine for a stock, but "&amp;"note it in reporting. ",""))</f>
        <v/>
      </c>
      <c r="P614" s="6"/>
      <c r="Q614" s="9" t="n">
        <f aca="false">IF($B614="",0,IF(COUNTIFS($B$5:$B614,$B614)=1,1,0))</f>
        <v>0</v>
      </c>
    </row>
    <row r="615" customFormat="false" ht="15" hidden="false" customHeight="false" outlineLevel="0" collapsed="false">
      <c r="A615" s="6"/>
      <c r="B615" s="6"/>
      <c r="C615" s="6"/>
      <c r="D615" s="6"/>
      <c r="E615" s="6"/>
      <c r="F615" s="6"/>
      <c r="G615" s="7"/>
      <c r="H615" s="7"/>
      <c r="I615" s="6"/>
      <c r="J615" s="9" t="str">
        <f aca="false">IF(NOT(ISNUMBER($G615)),"",IF(AND(ASH_CORRECTED="Yes",ISNUMBER($H615)),$G615*(1-$H615),$G615))</f>
        <v/>
      </c>
      <c r="K615" s="9" t="str">
        <f aca="false">IF($B615="","",IFERROR(AVERAGEIFS('2. Soil Data'!$G$5:$G$604,'2. Soil Data'!$B$5:$B$604,$B615),""))</f>
        <v/>
      </c>
      <c r="L615" s="9" t="str">
        <f aca="false">IF(NOT(ISNUMBER($K615)),"",PI()*($K615/2)^2)</f>
        <v/>
      </c>
      <c r="M615" s="9" t="str">
        <f aca="false">IF(OR(NOT(ISNUMBER($J615)),NOT(ISNUMBER($L615)),$L615=0),"",$J615/$L615*10000)</f>
        <v/>
      </c>
      <c r="N615" s="9" t="str">
        <f aca="false">IF(NOT(ISNUMBER($M615)),"",$M615*CARBON_FRACTION_ROOT/1000)</f>
        <v/>
      </c>
      <c r="O615" s="11" t="str">
        <f aca="false">IF(AND($A615="",$B615="",$G615=""),"",IF(AND($B615&lt;&gt;"",COUNTIFS('2. Soil Data'!$B$5:$B$604,$B615)=0),"Core ID not found in Soil Data, so the corer diameter cannot be looked up. ","")&amp;IF(ASH_CORRECTED&lt;&gt;"Yes","Root mass is NOT ash-corrected, so it includes adhering mineral soil and is too high. Set ASH_CORRECTED once you have done it. ","")&amp;IF(AND(ASH_CORRECTED="Yes",NOT(ISNUMBER($H615))),"Ash correction is switched on but no ash fraction is given for this row. ","")&amp;IF($I615="","Sieve mesh not recorded — a fine-root figure cannot be interpreted without it. ","")&amp;IF(AND(ISNUMBER($H615),$H615&gt;0.5),"Ash fraction above 0.5 — over half this sample was mineral soil. Re-wash. ","")&amp;IF($F615="Not separated","Live and dead not separated. Fine for a stock, but "&amp;"note it in reporting. ",""))</f>
        <v/>
      </c>
      <c r="P615" s="6"/>
      <c r="Q615" s="9" t="n">
        <f aca="false">IF($B615="",0,IF(COUNTIFS($B$5:$B615,$B615)=1,1,0))</f>
        <v>0</v>
      </c>
    </row>
    <row r="616" customFormat="false" ht="15" hidden="false" customHeight="false" outlineLevel="0" collapsed="false">
      <c r="A616" s="6"/>
      <c r="B616" s="6"/>
      <c r="C616" s="6"/>
      <c r="D616" s="6"/>
      <c r="E616" s="6"/>
      <c r="F616" s="6"/>
      <c r="G616" s="7"/>
      <c r="H616" s="7"/>
      <c r="I616" s="6"/>
      <c r="J616" s="9" t="str">
        <f aca="false">IF(NOT(ISNUMBER($G616)),"",IF(AND(ASH_CORRECTED="Yes",ISNUMBER($H616)),$G616*(1-$H616),$G616))</f>
        <v/>
      </c>
      <c r="K616" s="9" t="str">
        <f aca="false">IF($B616="","",IFERROR(AVERAGEIFS('2. Soil Data'!$G$5:$G$604,'2. Soil Data'!$B$5:$B$604,$B616),""))</f>
        <v/>
      </c>
      <c r="L616" s="9" t="str">
        <f aca="false">IF(NOT(ISNUMBER($K616)),"",PI()*($K616/2)^2)</f>
        <v/>
      </c>
      <c r="M616" s="9" t="str">
        <f aca="false">IF(OR(NOT(ISNUMBER($J616)),NOT(ISNUMBER($L616)),$L616=0),"",$J616/$L616*10000)</f>
        <v/>
      </c>
      <c r="N616" s="9" t="str">
        <f aca="false">IF(NOT(ISNUMBER($M616)),"",$M616*CARBON_FRACTION_ROOT/1000)</f>
        <v/>
      </c>
      <c r="O616" s="11" t="str">
        <f aca="false">IF(AND($A616="",$B616="",$G616=""),"",IF(AND($B616&lt;&gt;"",COUNTIFS('2. Soil Data'!$B$5:$B$604,$B616)=0),"Core ID not found in Soil Data, so the corer diameter cannot be looked up. ","")&amp;IF(ASH_CORRECTED&lt;&gt;"Yes","Root mass is NOT ash-corrected, so it includes adhering mineral soil and is too high. Set ASH_CORRECTED once you have done it. ","")&amp;IF(AND(ASH_CORRECTED="Yes",NOT(ISNUMBER($H616))),"Ash correction is switched on but no ash fraction is given for this row. ","")&amp;IF($I616="","Sieve mesh not recorded — a fine-root figure cannot be interpreted without it. ","")&amp;IF(AND(ISNUMBER($H616),$H616&gt;0.5),"Ash fraction above 0.5 — over half this sample was mineral soil. Re-wash. ","")&amp;IF($F616="Not separated","Live and dead not separated. Fine for a stock, but "&amp;"note it in reporting. ",""))</f>
        <v/>
      </c>
      <c r="P616" s="6"/>
      <c r="Q616" s="9" t="n">
        <f aca="false">IF($B616="",0,IF(COUNTIFS($B$5:$B616,$B616)=1,1,0))</f>
        <v>0</v>
      </c>
    </row>
    <row r="617" customFormat="false" ht="15" hidden="false" customHeight="false" outlineLevel="0" collapsed="false">
      <c r="A617" s="6"/>
      <c r="B617" s="6"/>
      <c r="C617" s="6"/>
      <c r="D617" s="6"/>
      <c r="E617" s="6"/>
      <c r="F617" s="6"/>
      <c r="G617" s="7"/>
      <c r="H617" s="7"/>
      <c r="I617" s="6"/>
      <c r="J617" s="9" t="str">
        <f aca="false">IF(NOT(ISNUMBER($G617)),"",IF(AND(ASH_CORRECTED="Yes",ISNUMBER($H617)),$G617*(1-$H617),$G617))</f>
        <v/>
      </c>
      <c r="K617" s="9" t="str">
        <f aca="false">IF($B617="","",IFERROR(AVERAGEIFS('2. Soil Data'!$G$5:$G$604,'2. Soil Data'!$B$5:$B$604,$B617),""))</f>
        <v/>
      </c>
      <c r="L617" s="9" t="str">
        <f aca="false">IF(NOT(ISNUMBER($K617)),"",PI()*($K617/2)^2)</f>
        <v/>
      </c>
      <c r="M617" s="9" t="str">
        <f aca="false">IF(OR(NOT(ISNUMBER($J617)),NOT(ISNUMBER($L617)),$L617=0),"",$J617/$L617*10000)</f>
        <v/>
      </c>
      <c r="N617" s="9" t="str">
        <f aca="false">IF(NOT(ISNUMBER($M617)),"",$M617*CARBON_FRACTION_ROOT/1000)</f>
        <v/>
      </c>
      <c r="O617" s="11" t="str">
        <f aca="false">IF(AND($A617="",$B617="",$G617=""),"",IF(AND($B617&lt;&gt;"",COUNTIFS('2. Soil Data'!$B$5:$B$604,$B617)=0),"Core ID not found in Soil Data, so the corer diameter cannot be looked up. ","")&amp;IF(ASH_CORRECTED&lt;&gt;"Yes","Root mass is NOT ash-corrected, so it includes adhering mineral soil and is too high. Set ASH_CORRECTED once you have done it. ","")&amp;IF(AND(ASH_CORRECTED="Yes",NOT(ISNUMBER($H617))),"Ash correction is switched on but no ash fraction is given for this row. ","")&amp;IF($I617="","Sieve mesh not recorded — a fine-root figure cannot be interpreted without it. ","")&amp;IF(AND(ISNUMBER($H617),$H617&gt;0.5),"Ash fraction above 0.5 — over half this sample was mineral soil. Re-wash. ","")&amp;IF($F617="Not separated","Live and dead not separated. Fine for a stock, but "&amp;"note it in reporting. ",""))</f>
        <v/>
      </c>
      <c r="P617" s="6"/>
      <c r="Q617" s="9" t="n">
        <f aca="false">IF($B617="",0,IF(COUNTIFS($B$5:$B617,$B617)=1,1,0))</f>
        <v>0</v>
      </c>
    </row>
    <row r="618" customFormat="false" ht="15" hidden="false" customHeight="false" outlineLevel="0" collapsed="false">
      <c r="A618" s="6"/>
      <c r="B618" s="6"/>
      <c r="C618" s="6"/>
      <c r="D618" s="6"/>
      <c r="E618" s="6"/>
      <c r="F618" s="6"/>
      <c r="G618" s="7"/>
      <c r="H618" s="7"/>
      <c r="I618" s="6"/>
      <c r="J618" s="9" t="str">
        <f aca="false">IF(NOT(ISNUMBER($G618)),"",IF(AND(ASH_CORRECTED="Yes",ISNUMBER($H618)),$G618*(1-$H618),$G618))</f>
        <v/>
      </c>
      <c r="K618" s="9" t="str">
        <f aca="false">IF($B618="","",IFERROR(AVERAGEIFS('2. Soil Data'!$G$5:$G$604,'2. Soil Data'!$B$5:$B$604,$B618),""))</f>
        <v/>
      </c>
      <c r="L618" s="9" t="str">
        <f aca="false">IF(NOT(ISNUMBER($K618)),"",PI()*($K618/2)^2)</f>
        <v/>
      </c>
      <c r="M618" s="9" t="str">
        <f aca="false">IF(OR(NOT(ISNUMBER($J618)),NOT(ISNUMBER($L618)),$L618=0),"",$J618/$L618*10000)</f>
        <v/>
      </c>
      <c r="N618" s="9" t="str">
        <f aca="false">IF(NOT(ISNUMBER($M618)),"",$M618*CARBON_FRACTION_ROOT/1000)</f>
        <v/>
      </c>
      <c r="O618" s="11" t="str">
        <f aca="false">IF(AND($A618="",$B618="",$G618=""),"",IF(AND($B618&lt;&gt;"",COUNTIFS('2. Soil Data'!$B$5:$B$604,$B618)=0),"Core ID not found in Soil Data, so the corer diameter cannot be looked up. ","")&amp;IF(ASH_CORRECTED&lt;&gt;"Yes","Root mass is NOT ash-corrected, so it includes adhering mineral soil and is too high. Set ASH_CORRECTED once you have done it. ","")&amp;IF(AND(ASH_CORRECTED="Yes",NOT(ISNUMBER($H618))),"Ash correction is switched on but no ash fraction is given for this row. ","")&amp;IF($I618="","Sieve mesh not recorded — a fine-root figure cannot be interpreted without it. ","")&amp;IF(AND(ISNUMBER($H618),$H618&gt;0.5),"Ash fraction above 0.5 — over half this sample was mineral soil. Re-wash. ","")&amp;IF($F618="Not separated","Live and dead not separated. Fine for a stock, but "&amp;"note it in reporting. ",""))</f>
        <v/>
      </c>
      <c r="P618" s="6"/>
      <c r="Q618" s="9" t="n">
        <f aca="false">IF($B618="",0,IF(COUNTIFS($B$5:$B618,$B618)=1,1,0))</f>
        <v>0</v>
      </c>
    </row>
    <row r="619" customFormat="false" ht="15" hidden="false" customHeight="false" outlineLevel="0" collapsed="false">
      <c r="A619" s="6"/>
      <c r="B619" s="6"/>
      <c r="C619" s="6"/>
      <c r="D619" s="6"/>
      <c r="E619" s="6"/>
      <c r="F619" s="6"/>
      <c r="G619" s="7"/>
      <c r="H619" s="7"/>
      <c r="I619" s="6"/>
      <c r="J619" s="9" t="str">
        <f aca="false">IF(NOT(ISNUMBER($G619)),"",IF(AND(ASH_CORRECTED="Yes",ISNUMBER($H619)),$G619*(1-$H619),$G619))</f>
        <v/>
      </c>
      <c r="K619" s="9" t="str">
        <f aca="false">IF($B619="","",IFERROR(AVERAGEIFS('2. Soil Data'!$G$5:$G$604,'2. Soil Data'!$B$5:$B$604,$B619),""))</f>
        <v/>
      </c>
      <c r="L619" s="9" t="str">
        <f aca="false">IF(NOT(ISNUMBER($K619)),"",PI()*($K619/2)^2)</f>
        <v/>
      </c>
      <c r="M619" s="9" t="str">
        <f aca="false">IF(OR(NOT(ISNUMBER($J619)),NOT(ISNUMBER($L619)),$L619=0),"",$J619/$L619*10000)</f>
        <v/>
      </c>
      <c r="N619" s="9" t="str">
        <f aca="false">IF(NOT(ISNUMBER($M619)),"",$M619*CARBON_FRACTION_ROOT/1000)</f>
        <v/>
      </c>
      <c r="O619" s="11" t="str">
        <f aca="false">IF(AND($A619="",$B619="",$G619=""),"",IF(AND($B619&lt;&gt;"",COUNTIFS('2. Soil Data'!$B$5:$B$604,$B619)=0),"Core ID not found in Soil Data, so the corer diameter cannot be looked up. ","")&amp;IF(ASH_CORRECTED&lt;&gt;"Yes","Root mass is NOT ash-corrected, so it includes adhering mineral soil and is too high. Set ASH_CORRECTED once you have done it. ","")&amp;IF(AND(ASH_CORRECTED="Yes",NOT(ISNUMBER($H619))),"Ash correction is switched on but no ash fraction is given for this row. ","")&amp;IF($I619="","Sieve mesh not recorded — a fine-root figure cannot be interpreted without it. ","")&amp;IF(AND(ISNUMBER($H619),$H619&gt;0.5),"Ash fraction above 0.5 — over half this sample was mineral soil. Re-wash. ","")&amp;IF($F619="Not separated","Live and dead not separated. Fine for a stock, but "&amp;"note it in reporting. ",""))</f>
        <v/>
      </c>
      <c r="P619" s="6"/>
      <c r="Q619" s="9" t="n">
        <f aca="false">IF($B619="",0,IF(COUNTIFS($B$5:$B619,$B619)=1,1,0))</f>
        <v>0</v>
      </c>
    </row>
    <row r="620" customFormat="false" ht="15" hidden="false" customHeight="false" outlineLevel="0" collapsed="false">
      <c r="A620" s="6"/>
      <c r="B620" s="6"/>
      <c r="C620" s="6"/>
      <c r="D620" s="6"/>
      <c r="E620" s="6"/>
      <c r="F620" s="6"/>
      <c r="G620" s="7"/>
      <c r="H620" s="7"/>
      <c r="I620" s="6"/>
      <c r="J620" s="9" t="str">
        <f aca="false">IF(NOT(ISNUMBER($G620)),"",IF(AND(ASH_CORRECTED="Yes",ISNUMBER($H620)),$G620*(1-$H620),$G620))</f>
        <v/>
      </c>
      <c r="K620" s="9" t="str">
        <f aca="false">IF($B620="","",IFERROR(AVERAGEIFS('2. Soil Data'!$G$5:$G$604,'2. Soil Data'!$B$5:$B$604,$B620),""))</f>
        <v/>
      </c>
      <c r="L620" s="9" t="str">
        <f aca="false">IF(NOT(ISNUMBER($K620)),"",PI()*($K620/2)^2)</f>
        <v/>
      </c>
      <c r="M620" s="9" t="str">
        <f aca="false">IF(OR(NOT(ISNUMBER($J620)),NOT(ISNUMBER($L620)),$L620=0),"",$J620/$L620*10000)</f>
        <v/>
      </c>
      <c r="N620" s="9" t="str">
        <f aca="false">IF(NOT(ISNUMBER($M620)),"",$M620*CARBON_FRACTION_ROOT/1000)</f>
        <v/>
      </c>
      <c r="O620" s="11" t="str">
        <f aca="false">IF(AND($A620="",$B620="",$G620=""),"",IF(AND($B620&lt;&gt;"",COUNTIFS('2. Soil Data'!$B$5:$B$604,$B620)=0),"Core ID not found in Soil Data, so the corer diameter cannot be looked up. ","")&amp;IF(ASH_CORRECTED&lt;&gt;"Yes","Root mass is NOT ash-corrected, so it includes adhering mineral soil and is too high. Set ASH_CORRECTED once you have done it. ","")&amp;IF(AND(ASH_CORRECTED="Yes",NOT(ISNUMBER($H620))),"Ash correction is switched on but no ash fraction is given for this row. ","")&amp;IF($I620="","Sieve mesh not recorded — a fine-root figure cannot be interpreted without it. ","")&amp;IF(AND(ISNUMBER($H620),$H620&gt;0.5),"Ash fraction above 0.5 — over half this sample was mineral soil. Re-wash. ","")&amp;IF($F620="Not separated","Live and dead not separated. Fine for a stock, but "&amp;"note it in reporting. ",""))</f>
        <v/>
      </c>
      <c r="P620" s="6"/>
      <c r="Q620" s="9" t="n">
        <f aca="false">IF($B620="",0,IF(COUNTIFS($B$5:$B620,$B620)=1,1,0))</f>
        <v>0</v>
      </c>
    </row>
    <row r="621" customFormat="false" ht="15" hidden="false" customHeight="false" outlineLevel="0" collapsed="false">
      <c r="A621" s="6"/>
      <c r="B621" s="6"/>
      <c r="C621" s="6"/>
      <c r="D621" s="6"/>
      <c r="E621" s="6"/>
      <c r="F621" s="6"/>
      <c r="G621" s="7"/>
      <c r="H621" s="7"/>
      <c r="I621" s="6"/>
      <c r="J621" s="9" t="str">
        <f aca="false">IF(NOT(ISNUMBER($G621)),"",IF(AND(ASH_CORRECTED="Yes",ISNUMBER($H621)),$G621*(1-$H621),$G621))</f>
        <v/>
      </c>
      <c r="K621" s="9" t="str">
        <f aca="false">IF($B621="","",IFERROR(AVERAGEIFS('2. Soil Data'!$G$5:$G$604,'2. Soil Data'!$B$5:$B$604,$B621),""))</f>
        <v/>
      </c>
      <c r="L621" s="9" t="str">
        <f aca="false">IF(NOT(ISNUMBER($K621)),"",PI()*($K621/2)^2)</f>
        <v/>
      </c>
      <c r="M621" s="9" t="str">
        <f aca="false">IF(OR(NOT(ISNUMBER($J621)),NOT(ISNUMBER($L621)),$L621=0),"",$J621/$L621*10000)</f>
        <v/>
      </c>
      <c r="N621" s="9" t="str">
        <f aca="false">IF(NOT(ISNUMBER($M621)),"",$M621*CARBON_FRACTION_ROOT/1000)</f>
        <v/>
      </c>
      <c r="O621" s="11" t="str">
        <f aca="false">IF(AND($A621="",$B621="",$G621=""),"",IF(AND($B621&lt;&gt;"",COUNTIFS('2. Soil Data'!$B$5:$B$604,$B621)=0),"Core ID not found in Soil Data, so the corer diameter cannot be looked up. ","")&amp;IF(ASH_CORRECTED&lt;&gt;"Yes","Root mass is NOT ash-corrected, so it includes adhering mineral soil and is too high. Set ASH_CORRECTED once you have done it. ","")&amp;IF(AND(ASH_CORRECTED="Yes",NOT(ISNUMBER($H621))),"Ash correction is switched on but no ash fraction is given for this row. ","")&amp;IF($I621="","Sieve mesh not recorded — a fine-root figure cannot be interpreted without it. ","")&amp;IF(AND(ISNUMBER($H621),$H621&gt;0.5),"Ash fraction above 0.5 — over half this sample was mineral soil. Re-wash. ","")&amp;IF($F621="Not separated","Live and dead not separated. Fine for a stock, but "&amp;"note it in reporting. ",""))</f>
        <v/>
      </c>
      <c r="P621" s="6"/>
      <c r="Q621" s="9" t="n">
        <f aca="false">IF($B621="",0,IF(COUNTIFS($B$5:$B621,$B621)=1,1,0))</f>
        <v>0</v>
      </c>
    </row>
    <row r="622" customFormat="false" ht="15" hidden="false" customHeight="false" outlineLevel="0" collapsed="false">
      <c r="A622" s="6"/>
      <c r="B622" s="6"/>
      <c r="C622" s="6"/>
      <c r="D622" s="6"/>
      <c r="E622" s="6"/>
      <c r="F622" s="6"/>
      <c r="G622" s="7"/>
      <c r="H622" s="7"/>
      <c r="I622" s="6"/>
      <c r="J622" s="9" t="str">
        <f aca="false">IF(NOT(ISNUMBER($G622)),"",IF(AND(ASH_CORRECTED="Yes",ISNUMBER($H622)),$G622*(1-$H622),$G622))</f>
        <v/>
      </c>
      <c r="K622" s="9" t="str">
        <f aca="false">IF($B622="","",IFERROR(AVERAGEIFS('2. Soil Data'!$G$5:$G$604,'2. Soil Data'!$B$5:$B$604,$B622),""))</f>
        <v/>
      </c>
      <c r="L622" s="9" t="str">
        <f aca="false">IF(NOT(ISNUMBER($K622)),"",PI()*($K622/2)^2)</f>
        <v/>
      </c>
      <c r="M622" s="9" t="str">
        <f aca="false">IF(OR(NOT(ISNUMBER($J622)),NOT(ISNUMBER($L622)),$L622=0),"",$J622/$L622*10000)</f>
        <v/>
      </c>
      <c r="N622" s="9" t="str">
        <f aca="false">IF(NOT(ISNUMBER($M622)),"",$M622*CARBON_FRACTION_ROOT/1000)</f>
        <v/>
      </c>
      <c r="O622" s="11" t="str">
        <f aca="false">IF(AND($A622="",$B622="",$G622=""),"",IF(AND($B622&lt;&gt;"",COUNTIFS('2. Soil Data'!$B$5:$B$604,$B622)=0),"Core ID not found in Soil Data, so the corer diameter cannot be looked up. ","")&amp;IF(ASH_CORRECTED&lt;&gt;"Yes","Root mass is NOT ash-corrected, so it includes adhering mineral soil and is too high. Set ASH_CORRECTED once you have done it. ","")&amp;IF(AND(ASH_CORRECTED="Yes",NOT(ISNUMBER($H622))),"Ash correction is switched on but no ash fraction is given for this row. ","")&amp;IF($I622="","Sieve mesh not recorded — a fine-root figure cannot be interpreted without it. ","")&amp;IF(AND(ISNUMBER($H622),$H622&gt;0.5),"Ash fraction above 0.5 — over half this sample was mineral soil. Re-wash. ","")&amp;IF($F622="Not separated","Live and dead not separated. Fine for a stock, but "&amp;"note it in reporting. ",""))</f>
        <v/>
      </c>
      <c r="P622" s="6"/>
      <c r="Q622" s="9" t="n">
        <f aca="false">IF($B622="",0,IF(COUNTIFS($B$5:$B622,$B622)=1,1,0))</f>
        <v>0</v>
      </c>
    </row>
    <row r="623" customFormat="false" ht="15" hidden="false" customHeight="false" outlineLevel="0" collapsed="false">
      <c r="A623" s="6"/>
      <c r="B623" s="6"/>
      <c r="C623" s="6"/>
      <c r="D623" s="6"/>
      <c r="E623" s="6"/>
      <c r="F623" s="6"/>
      <c r="G623" s="7"/>
      <c r="H623" s="7"/>
      <c r="I623" s="6"/>
      <c r="J623" s="9" t="str">
        <f aca="false">IF(NOT(ISNUMBER($G623)),"",IF(AND(ASH_CORRECTED="Yes",ISNUMBER($H623)),$G623*(1-$H623),$G623))</f>
        <v/>
      </c>
      <c r="K623" s="9" t="str">
        <f aca="false">IF($B623="","",IFERROR(AVERAGEIFS('2. Soil Data'!$G$5:$G$604,'2. Soil Data'!$B$5:$B$604,$B623),""))</f>
        <v/>
      </c>
      <c r="L623" s="9" t="str">
        <f aca="false">IF(NOT(ISNUMBER($K623)),"",PI()*($K623/2)^2)</f>
        <v/>
      </c>
      <c r="M623" s="9" t="str">
        <f aca="false">IF(OR(NOT(ISNUMBER($J623)),NOT(ISNUMBER($L623)),$L623=0),"",$J623/$L623*10000)</f>
        <v/>
      </c>
      <c r="N623" s="9" t="str">
        <f aca="false">IF(NOT(ISNUMBER($M623)),"",$M623*CARBON_FRACTION_ROOT/1000)</f>
        <v/>
      </c>
      <c r="O623" s="11" t="str">
        <f aca="false">IF(AND($A623="",$B623="",$G623=""),"",IF(AND($B623&lt;&gt;"",COUNTIFS('2. Soil Data'!$B$5:$B$604,$B623)=0),"Core ID not found in Soil Data, so the corer diameter cannot be looked up. ","")&amp;IF(ASH_CORRECTED&lt;&gt;"Yes","Root mass is NOT ash-corrected, so it includes adhering mineral soil and is too high. Set ASH_CORRECTED once you have done it. ","")&amp;IF(AND(ASH_CORRECTED="Yes",NOT(ISNUMBER($H623))),"Ash correction is switched on but no ash fraction is given for this row. ","")&amp;IF($I623="","Sieve mesh not recorded — a fine-root figure cannot be interpreted without it. ","")&amp;IF(AND(ISNUMBER($H623),$H623&gt;0.5),"Ash fraction above 0.5 — over half this sample was mineral soil. Re-wash. ","")&amp;IF($F623="Not separated","Live and dead not separated. Fine for a stock, but "&amp;"note it in reporting. ",""))</f>
        <v/>
      </c>
      <c r="P623" s="6"/>
      <c r="Q623" s="9" t="n">
        <f aca="false">IF($B623="",0,IF(COUNTIFS($B$5:$B623,$B623)=1,1,0))</f>
        <v>0</v>
      </c>
    </row>
    <row r="624" customFormat="false" ht="15" hidden="false" customHeight="false" outlineLevel="0" collapsed="false">
      <c r="A624" s="6"/>
      <c r="B624" s="6"/>
      <c r="C624" s="6"/>
      <c r="D624" s="6"/>
      <c r="E624" s="6"/>
      <c r="F624" s="6"/>
      <c r="G624" s="7"/>
      <c r="H624" s="7"/>
      <c r="I624" s="6"/>
      <c r="J624" s="9" t="str">
        <f aca="false">IF(NOT(ISNUMBER($G624)),"",IF(AND(ASH_CORRECTED="Yes",ISNUMBER($H624)),$G624*(1-$H624),$G624))</f>
        <v/>
      </c>
      <c r="K624" s="9" t="str">
        <f aca="false">IF($B624="","",IFERROR(AVERAGEIFS('2. Soil Data'!$G$5:$G$604,'2. Soil Data'!$B$5:$B$604,$B624),""))</f>
        <v/>
      </c>
      <c r="L624" s="9" t="str">
        <f aca="false">IF(NOT(ISNUMBER($K624)),"",PI()*($K624/2)^2)</f>
        <v/>
      </c>
      <c r="M624" s="9" t="str">
        <f aca="false">IF(OR(NOT(ISNUMBER($J624)),NOT(ISNUMBER($L624)),$L624=0),"",$J624/$L624*10000)</f>
        <v/>
      </c>
      <c r="N624" s="9" t="str">
        <f aca="false">IF(NOT(ISNUMBER($M624)),"",$M624*CARBON_FRACTION_ROOT/1000)</f>
        <v/>
      </c>
      <c r="O624" s="11" t="str">
        <f aca="false">IF(AND($A624="",$B624="",$G624=""),"",IF(AND($B624&lt;&gt;"",COUNTIFS('2. Soil Data'!$B$5:$B$604,$B624)=0),"Core ID not found in Soil Data, so the corer diameter cannot be looked up. ","")&amp;IF(ASH_CORRECTED&lt;&gt;"Yes","Root mass is NOT ash-corrected, so it includes adhering mineral soil and is too high. Set ASH_CORRECTED once you have done it. ","")&amp;IF(AND(ASH_CORRECTED="Yes",NOT(ISNUMBER($H624))),"Ash correction is switched on but no ash fraction is given for this row. ","")&amp;IF($I624="","Sieve mesh not recorded — a fine-root figure cannot be interpreted without it. ","")&amp;IF(AND(ISNUMBER($H624),$H624&gt;0.5),"Ash fraction above 0.5 — over half this sample was mineral soil. Re-wash. ","")&amp;IF($F624="Not separated","Live and dead not separated. Fine for a stock, but "&amp;"note it in reporting. ",""))</f>
        <v/>
      </c>
      <c r="P624" s="6"/>
      <c r="Q624" s="9" t="n">
        <f aca="false">IF($B624="",0,IF(COUNTIFS($B$5:$B624,$B624)=1,1,0))</f>
        <v>0</v>
      </c>
    </row>
    <row r="625" customFormat="false" ht="15" hidden="false" customHeight="false" outlineLevel="0" collapsed="false">
      <c r="A625" s="6"/>
      <c r="B625" s="6"/>
      <c r="C625" s="6"/>
      <c r="D625" s="6"/>
      <c r="E625" s="6"/>
      <c r="F625" s="6"/>
      <c r="G625" s="7"/>
      <c r="H625" s="7"/>
      <c r="I625" s="6"/>
      <c r="J625" s="9" t="str">
        <f aca="false">IF(NOT(ISNUMBER($G625)),"",IF(AND(ASH_CORRECTED="Yes",ISNUMBER($H625)),$G625*(1-$H625),$G625))</f>
        <v/>
      </c>
      <c r="K625" s="9" t="str">
        <f aca="false">IF($B625="","",IFERROR(AVERAGEIFS('2. Soil Data'!$G$5:$G$604,'2. Soil Data'!$B$5:$B$604,$B625),""))</f>
        <v/>
      </c>
      <c r="L625" s="9" t="str">
        <f aca="false">IF(NOT(ISNUMBER($K625)),"",PI()*($K625/2)^2)</f>
        <v/>
      </c>
      <c r="M625" s="9" t="str">
        <f aca="false">IF(OR(NOT(ISNUMBER($J625)),NOT(ISNUMBER($L625)),$L625=0),"",$J625/$L625*10000)</f>
        <v/>
      </c>
      <c r="N625" s="9" t="str">
        <f aca="false">IF(NOT(ISNUMBER($M625)),"",$M625*CARBON_FRACTION_ROOT/1000)</f>
        <v/>
      </c>
      <c r="O625" s="11" t="str">
        <f aca="false">IF(AND($A625="",$B625="",$G625=""),"",IF(AND($B625&lt;&gt;"",COUNTIFS('2. Soil Data'!$B$5:$B$604,$B625)=0),"Core ID not found in Soil Data, so the corer diameter cannot be looked up. ","")&amp;IF(ASH_CORRECTED&lt;&gt;"Yes","Root mass is NOT ash-corrected, so it includes adhering mineral soil and is too high. Set ASH_CORRECTED once you have done it. ","")&amp;IF(AND(ASH_CORRECTED="Yes",NOT(ISNUMBER($H625))),"Ash correction is switched on but no ash fraction is given for this row. ","")&amp;IF($I625="","Sieve mesh not recorded — a fine-root figure cannot be interpreted without it. ","")&amp;IF(AND(ISNUMBER($H625),$H625&gt;0.5),"Ash fraction above 0.5 — over half this sample was mineral soil. Re-wash. ","")&amp;IF($F625="Not separated","Live and dead not separated. Fine for a stock, but "&amp;"note it in reporting. ",""))</f>
        <v/>
      </c>
      <c r="P625" s="6"/>
      <c r="Q625" s="9" t="n">
        <f aca="false">IF($B625="",0,IF(COUNTIFS($B$5:$B625,$B625)=1,1,0))</f>
        <v>0</v>
      </c>
    </row>
    <row r="626" customFormat="false" ht="15" hidden="false" customHeight="false" outlineLevel="0" collapsed="false">
      <c r="A626" s="6"/>
      <c r="B626" s="6"/>
      <c r="C626" s="6"/>
      <c r="D626" s="6"/>
      <c r="E626" s="6"/>
      <c r="F626" s="6"/>
      <c r="G626" s="7"/>
      <c r="H626" s="7"/>
      <c r="I626" s="6"/>
      <c r="J626" s="9" t="str">
        <f aca="false">IF(NOT(ISNUMBER($G626)),"",IF(AND(ASH_CORRECTED="Yes",ISNUMBER($H626)),$G626*(1-$H626),$G626))</f>
        <v/>
      </c>
      <c r="K626" s="9" t="str">
        <f aca="false">IF($B626="","",IFERROR(AVERAGEIFS('2. Soil Data'!$G$5:$G$604,'2. Soil Data'!$B$5:$B$604,$B626),""))</f>
        <v/>
      </c>
      <c r="L626" s="9" t="str">
        <f aca="false">IF(NOT(ISNUMBER($K626)),"",PI()*($K626/2)^2)</f>
        <v/>
      </c>
      <c r="M626" s="9" t="str">
        <f aca="false">IF(OR(NOT(ISNUMBER($J626)),NOT(ISNUMBER($L626)),$L626=0),"",$J626/$L626*10000)</f>
        <v/>
      </c>
      <c r="N626" s="9" t="str">
        <f aca="false">IF(NOT(ISNUMBER($M626)),"",$M626*CARBON_FRACTION_ROOT/1000)</f>
        <v/>
      </c>
      <c r="O626" s="11" t="str">
        <f aca="false">IF(AND($A626="",$B626="",$G626=""),"",IF(AND($B626&lt;&gt;"",COUNTIFS('2. Soil Data'!$B$5:$B$604,$B626)=0),"Core ID not found in Soil Data, so the corer diameter cannot be looked up. ","")&amp;IF(ASH_CORRECTED&lt;&gt;"Yes","Root mass is NOT ash-corrected, so it includes adhering mineral soil and is too high. Set ASH_CORRECTED once you have done it. ","")&amp;IF(AND(ASH_CORRECTED="Yes",NOT(ISNUMBER($H626))),"Ash correction is switched on but no ash fraction is given for this row. ","")&amp;IF($I626="","Sieve mesh not recorded — a fine-root figure cannot be interpreted without it. ","")&amp;IF(AND(ISNUMBER($H626),$H626&gt;0.5),"Ash fraction above 0.5 — over half this sample was mineral soil. Re-wash. ","")&amp;IF($F626="Not separated","Live and dead not separated. Fine for a stock, but "&amp;"note it in reporting. ",""))</f>
        <v/>
      </c>
      <c r="P626" s="6"/>
      <c r="Q626" s="9" t="n">
        <f aca="false">IF($B626="",0,IF(COUNTIFS($B$5:$B626,$B626)=1,1,0))</f>
        <v>0</v>
      </c>
    </row>
    <row r="627" customFormat="false" ht="15" hidden="false" customHeight="false" outlineLevel="0" collapsed="false">
      <c r="A627" s="6"/>
      <c r="B627" s="6"/>
      <c r="C627" s="6"/>
      <c r="D627" s="6"/>
      <c r="E627" s="6"/>
      <c r="F627" s="6"/>
      <c r="G627" s="7"/>
      <c r="H627" s="7"/>
      <c r="I627" s="6"/>
      <c r="J627" s="9" t="str">
        <f aca="false">IF(NOT(ISNUMBER($G627)),"",IF(AND(ASH_CORRECTED="Yes",ISNUMBER($H627)),$G627*(1-$H627),$G627))</f>
        <v/>
      </c>
      <c r="K627" s="9" t="str">
        <f aca="false">IF($B627="","",IFERROR(AVERAGEIFS('2. Soil Data'!$G$5:$G$604,'2. Soil Data'!$B$5:$B$604,$B627),""))</f>
        <v/>
      </c>
      <c r="L627" s="9" t="str">
        <f aca="false">IF(NOT(ISNUMBER($K627)),"",PI()*($K627/2)^2)</f>
        <v/>
      </c>
      <c r="M627" s="9" t="str">
        <f aca="false">IF(OR(NOT(ISNUMBER($J627)),NOT(ISNUMBER($L627)),$L627=0),"",$J627/$L627*10000)</f>
        <v/>
      </c>
      <c r="N627" s="9" t="str">
        <f aca="false">IF(NOT(ISNUMBER($M627)),"",$M627*CARBON_FRACTION_ROOT/1000)</f>
        <v/>
      </c>
      <c r="O627" s="11" t="str">
        <f aca="false">IF(AND($A627="",$B627="",$G627=""),"",IF(AND($B627&lt;&gt;"",COUNTIFS('2. Soil Data'!$B$5:$B$604,$B627)=0),"Core ID not found in Soil Data, so the corer diameter cannot be looked up. ","")&amp;IF(ASH_CORRECTED&lt;&gt;"Yes","Root mass is NOT ash-corrected, so it includes adhering mineral soil and is too high. Set ASH_CORRECTED once you have done it. ","")&amp;IF(AND(ASH_CORRECTED="Yes",NOT(ISNUMBER($H627))),"Ash correction is switched on but no ash fraction is given for this row. ","")&amp;IF($I627="","Sieve mesh not recorded — a fine-root figure cannot be interpreted without it. ","")&amp;IF(AND(ISNUMBER($H627),$H627&gt;0.5),"Ash fraction above 0.5 — over half this sample was mineral soil. Re-wash. ","")&amp;IF($F627="Not separated","Live and dead not separated. Fine for a stock, but "&amp;"note it in reporting. ",""))</f>
        <v/>
      </c>
      <c r="P627" s="6"/>
      <c r="Q627" s="9" t="n">
        <f aca="false">IF($B627="",0,IF(COUNTIFS($B$5:$B627,$B627)=1,1,0))</f>
        <v>0</v>
      </c>
    </row>
    <row r="628" customFormat="false" ht="15" hidden="false" customHeight="false" outlineLevel="0" collapsed="false">
      <c r="A628" s="6"/>
      <c r="B628" s="6"/>
      <c r="C628" s="6"/>
      <c r="D628" s="6"/>
      <c r="E628" s="6"/>
      <c r="F628" s="6"/>
      <c r="G628" s="7"/>
      <c r="H628" s="7"/>
      <c r="I628" s="6"/>
      <c r="J628" s="9" t="str">
        <f aca="false">IF(NOT(ISNUMBER($G628)),"",IF(AND(ASH_CORRECTED="Yes",ISNUMBER($H628)),$G628*(1-$H628),$G628))</f>
        <v/>
      </c>
      <c r="K628" s="9" t="str">
        <f aca="false">IF($B628="","",IFERROR(AVERAGEIFS('2. Soil Data'!$G$5:$G$604,'2. Soil Data'!$B$5:$B$604,$B628),""))</f>
        <v/>
      </c>
      <c r="L628" s="9" t="str">
        <f aca="false">IF(NOT(ISNUMBER($K628)),"",PI()*($K628/2)^2)</f>
        <v/>
      </c>
      <c r="M628" s="9" t="str">
        <f aca="false">IF(OR(NOT(ISNUMBER($J628)),NOT(ISNUMBER($L628)),$L628=0),"",$J628/$L628*10000)</f>
        <v/>
      </c>
      <c r="N628" s="9" t="str">
        <f aca="false">IF(NOT(ISNUMBER($M628)),"",$M628*CARBON_FRACTION_ROOT/1000)</f>
        <v/>
      </c>
      <c r="O628" s="11" t="str">
        <f aca="false">IF(AND($A628="",$B628="",$G628=""),"",IF(AND($B628&lt;&gt;"",COUNTIFS('2. Soil Data'!$B$5:$B$604,$B628)=0),"Core ID not found in Soil Data, so the corer diameter cannot be looked up. ","")&amp;IF(ASH_CORRECTED&lt;&gt;"Yes","Root mass is NOT ash-corrected, so it includes adhering mineral soil and is too high. Set ASH_CORRECTED once you have done it. ","")&amp;IF(AND(ASH_CORRECTED="Yes",NOT(ISNUMBER($H628))),"Ash correction is switched on but no ash fraction is given for this row. ","")&amp;IF($I628="","Sieve mesh not recorded — a fine-root figure cannot be interpreted without it. ","")&amp;IF(AND(ISNUMBER($H628),$H628&gt;0.5),"Ash fraction above 0.5 — over half this sample was mineral soil. Re-wash. ","")&amp;IF($F628="Not separated","Live and dead not separated. Fine for a stock, but "&amp;"note it in reporting. ",""))</f>
        <v/>
      </c>
      <c r="P628" s="6"/>
      <c r="Q628" s="9" t="n">
        <f aca="false">IF($B628="",0,IF(COUNTIFS($B$5:$B628,$B628)=1,1,0))</f>
        <v>0</v>
      </c>
    </row>
    <row r="629" customFormat="false" ht="15" hidden="false" customHeight="false" outlineLevel="0" collapsed="false">
      <c r="A629" s="6"/>
      <c r="B629" s="6"/>
      <c r="C629" s="6"/>
      <c r="D629" s="6"/>
      <c r="E629" s="6"/>
      <c r="F629" s="6"/>
      <c r="G629" s="7"/>
      <c r="H629" s="7"/>
      <c r="I629" s="6"/>
      <c r="J629" s="9" t="str">
        <f aca="false">IF(NOT(ISNUMBER($G629)),"",IF(AND(ASH_CORRECTED="Yes",ISNUMBER($H629)),$G629*(1-$H629),$G629))</f>
        <v/>
      </c>
      <c r="K629" s="9" t="str">
        <f aca="false">IF($B629="","",IFERROR(AVERAGEIFS('2. Soil Data'!$G$5:$G$604,'2. Soil Data'!$B$5:$B$604,$B629),""))</f>
        <v/>
      </c>
      <c r="L629" s="9" t="str">
        <f aca="false">IF(NOT(ISNUMBER($K629)),"",PI()*($K629/2)^2)</f>
        <v/>
      </c>
      <c r="M629" s="9" t="str">
        <f aca="false">IF(OR(NOT(ISNUMBER($J629)),NOT(ISNUMBER($L629)),$L629=0),"",$J629/$L629*10000)</f>
        <v/>
      </c>
      <c r="N629" s="9" t="str">
        <f aca="false">IF(NOT(ISNUMBER($M629)),"",$M629*CARBON_FRACTION_ROOT/1000)</f>
        <v/>
      </c>
      <c r="O629" s="11" t="str">
        <f aca="false">IF(AND($A629="",$B629="",$G629=""),"",IF(AND($B629&lt;&gt;"",COUNTIFS('2. Soil Data'!$B$5:$B$604,$B629)=0),"Core ID not found in Soil Data, so the corer diameter cannot be looked up. ","")&amp;IF(ASH_CORRECTED&lt;&gt;"Yes","Root mass is NOT ash-corrected, so it includes adhering mineral soil and is too high. Set ASH_CORRECTED once you have done it. ","")&amp;IF(AND(ASH_CORRECTED="Yes",NOT(ISNUMBER($H629))),"Ash correction is switched on but no ash fraction is given for this row. ","")&amp;IF($I629="","Sieve mesh not recorded — a fine-root figure cannot be interpreted without it. ","")&amp;IF(AND(ISNUMBER($H629),$H629&gt;0.5),"Ash fraction above 0.5 — over half this sample was mineral soil. Re-wash. ","")&amp;IF($F629="Not separated","Live and dead not separated. Fine for a stock, but "&amp;"note it in reporting. ",""))</f>
        <v/>
      </c>
      <c r="P629" s="6"/>
      <c r="Q629" s="9" t="n">
        <f aca="false">IF($B629="",0,IF(COUNTIFS($B$5:$B629,$B629)=1,1,0))</f>
        <v>0</v>
      </c>
    </row>
    <row r="630" customFormat="false" ht="15" hidden="false" customHeight="false" outlineLevel="0" collapsed="false">
      <c r="A630" s="6"/>
      <c r="B630" s="6"/>
      <c r="C630" s="6"/>
      <c r="D630" s="6"/>
      <c r="E630" s="6"/>
      <c r="F630" s="6"/>
      <c r="G630" s="7"/>
      <c r="H630" s="7"/>
      <c r="I630" s="6"/>
      <c r="J630" s="9" t="str">
        <f aca="false">IF(NOT(ISNUMBER($G630)),"",IF(AND(ASH_CORRECTED="Yes",ISNUMBER($H630)),$G630*(1-$H630),$G630))</f>
        <v/>
      </c>
      <c r="K630" s="9" t="str">
        <f aca="false">IF($B630="","",IFERROR(AVERAGEIFS('2. Soil Data'!$G$5:$G$604,'2. Soil Data'!$B$5:$B$604,$B630),""))</f>
        <v/>
      </c>
      <c r="L630" s="9" t="str">
        <f aca="false">IF(NOT(ISNUMBER($K630)),"",PI()*($K630/2)^2)</f>
        <v/>
      </c>
      <c r="M630" s="9" t="str">
        <f aca="false">IF(OR(NOT(ISNUMBER($J630)),NOT(ISNUMBER($L630)),$L630=0),"",$J630/$L630*10000)</f>
        <v/>
      </c>
      <c r="N630" s="9" t="str">
        <f aca="false">IF(NOT(ISNUMBER($M630)),"",$M630*CARBON_FRACTION_ROOT/1000)</f>
        <v/>
      </c>
      <c r="O630" s="11" t="str">
        <f aca="false">IF(AND($A630="",$B630="",$G630=""),"",IF(AND($B630&lt;&gt;"",COUNTIFS('2. Soil Data'!$B$5:$B$604,$B630)=0),"Core ID not found in Soil Data, so the corer diameter cannot be looked up. ","")&amp;IF(ASH_CORRECTED&lt;&gt;"Yes","Root mass is NOT ash-corrected, so it includes adhering mineral soil and is too high. Set ASH_CORRECTED once you have done it. ","")&amp;IF(AND(ASH_CORRECTED="Yes",NOT(ISNUMBER($H630))),"Ash correction is switched on but no ash fraction is given for this row. ","")&amp;IF($I630="","Sieve mesh not recorded — a fine-root figure cannot be interpreted without it. ","")&amp;IF(AND(ISNUMBER($H630),$H630&gt;0.5),"Ash fraction above 0.5 — over half this sample was mineral soil. Re-wash. ","")&amp;IF($F630="Not separated","Live and dead not separated. Fine for a stock, but "&amp;"note it in reporting. ",""))</f>
        <v/>
      </c>
      <c r="P630" s="6"/>
      <c r="Q630" s="9" t="n">
        <f aca="false">IF($B630="",0,IF(COUNTIFS($B$5:$B630,$B630)=1,1,0))</f>
        <v>0</v>
      </c>
    </row>
    <row r="631" customFormat="false" ht="15" hidden="false" customHeight="false" outlineLevel="0" collapsed="false">
      <c r="A631" s="6"/>
      <c r="B631" s="6"/>
      <c r="C631" s="6"/>
      <c r="D631" s="6"/>
      <c r="E631" s="6"/>
      <c r="F631" s="6"/>
      <c r="G631" s="7"/>
      <c r="H631" s="7"/>
      <c r="I631" s="6"/>
      <c r="J631" s="9" t="str">
        <f aca="false">IF(NOT(ISNUMBER($G631)),"",IF(AND(ASH_CORRECTED="Yes",ISNUMBER($H631)),$G631*(1-$H631),$G631))</f>
        <v/>
      </c>
      <c r="K631" s="9" t="str">
        <f aca="false">IF($B631="","",IFERROR(AVERAGEIFS('2. Soil Data'!$G$5:$G$604,'2. Soil Data'!$B$5:$B$604,$B631),""))</f>
        <v/>
      </c>
      <c r="L631" s="9" t="str">
        <f aca="false">IF(NOT(ISNUMBER($K631)),"",PI()*($K631/2)^2)</f>
        <v/>
      </c>
      <c r="M631" s="9" t="str">
        <f aca="false">IF(OR(NOT(ISNUMBER($J631)),NOT(ISNUMBER($L631)),$L631=0),"",$J631/$L631*10000)</f>
        <v/>
      </c>
      <c r="N631" s="9" t="str">
        <f aca="false">IF(NOT(ISNUMBER($M631)),"",$M631*CARBON_FRACTION_ROOT/1000)</f>
        <v/>
      </c>
      <c r="O631" s="11" t="str">
        <f aca="false">IF(AND($A631="",$B631="",$G631=""),"",IF(AND($B631&lt;&gt;"",COUNTIFS('2. Soil Data'!$B$5:$B$604,$B631)=0),"Core ID not found in Soil Data, so the corer diameter cannot be looked up. ","")&amp;IF(ASH_CORRECTED&lt;&gt;"Yes","Root mass is NOT ash-corrected, so it includes adhering mineral soil and is too high. Set ASH_CORRECTED once you have done it. ","")&amp;IF(AND(ASH_CORRECTED="Yes",NOT(ISNUMBER($H631))),"Ash correction is switched on but no ash fraction is given for this row. ","")&amp;IF($I631="","Sieve mesh not recorded — a fine-root figure cannot be interpreted without it. ","")&amp;IF(AND(ISNUMBER($H631),$H631&gt;0.5),"Ash fraction above 0.5 — over half this sample was mineral soil. Re-wash. ","")&amp;IF($F631="Not separated","Live and dead not separated. Fine for a stock, but "&amp;"note it in reporting. ",""))</f>
        <v/>
      </c>
      <c r="P631" s="6"/>
      <c r="Q631" s="9" t="n">
        <f aca="false">IF($B631="",0,IF(COUNTIFS($B$5:$B631,$B631)=1,1,0))</f>
        <v>0</v>
      </c>
    </row>
    <row r="632" customFormat="false" ht="15" hidden="false" customHeight="false" outlineLevel="0" collapsed="false">
      <c r="A632" s="6"/>
      <c r="B632" s="6"/>
      <c r="C632" s="6"/>
      <c r="D632" s="6"/>
      <c r="E632" s="6"/>
      <c r="F632" s="6"/>
      <c r="G632" s="7"/>
      <c r="H632" s="7"/>
      <c r="I632" s="6"/>
      <c r="J632" s="9" t="str">
        <f aca="false">IF(NOT(ISNUMBER($G632)),"",IF(AND(ASH_CORRECTED="Yes",ISNUMBER($H632)),$G632*(1-$H632),$G632))</f>
        <v/>
      </c>
      <c r="K632" s="9" t="str">
        <f aca="false">IF($B632="","",IFERROR(AVERAGEIFS('2. Soil Data'!$G$5:$G$604,'2. Soil Data'!$B$5:$B$604,$B632),""))</f>
        <v/>
      </c>
      <c r="L632" s="9" t="str">
        <f aca="false">IF(NOT(ISNUMBER($K632)),"",PI()*($K632/2)^2)</f>
        <v/>
      </c>
      <c r="M632" s="9" t="str">
        <f aca="false">IF(OR(NOT(ISNUMBER($J632)),NOT(ISNUMBER($L632)),$L632=0),"",$J632/$L632*10000)</f>
        <v/>
      </c>
      <c r="N632" s="9" t="str">
        <f aca="false">IF(NOT(ISNUMBER($M632)),"",$M632*CARBON_FRACTION_ROOT/1000)</f>
        <v/>
      </c>
      <c r="O632" s="11" t="str">
        <f aca="false">IF(AND($A632="",$B632="",$G632=""),"",IF(AND($B632&lt;&gt;"",COUNTIFS('2. Soil Data'!$B$5:$B$604,$B632)=0),"Core ID not found in Soil Data, so the corer diameter cannot be looked up. ","")&amp;IF(ASH_CORRECTED&lt;&gt;"Yes","Root mass is NOT ash-corrected, so it includes adhering mineral soil and is too high. Set ASH_CORRECTED once you have done it. ","")&amp;IF(AND(ASH_CORRECTED="Yes",NOT(ISNUMBER($H632))),"Ash correction is switched on but no ash fraction is given for this row. ","")&amp;IF($I632="","Sieve mesh not recorded — a fine-root figure cannot be interpreted without it. ","")&amp;IF(AND(ISNUMBER($H632),$H632&gt;0.5),"Ash fraction above 0.5 — over half this sample was mineral soil. Re-wash. ","")&amp;IF($F632="Not separated","Live and dead not separated. Fine for a stock, but "&amp;"note it in reporting. ",""))</f>
        <v/>
      </c>
      <c r="P632" s="6"/>
      <c r="Q632" s="9" t="n">
        <f aca="false">IF($B632="",0,IF(COUNTIFS($B$5:$B632,$B632)=1,1,0))</f>
        <v>0</v>
      </c>
    </row>
    <row r="633" customFormat="false" ht="15" hidden="false" customHeight="false" outlineLevel="0" collapsed="false">
      <c r="A633" s="6"/>
      <c r="B633" s="6"/>
      <c r="C633" s="6"/>
      <c r="D633" s="6"/>
      <c r="E633" s="6"/>
      <c r="F633" s="6"/>
      <c r="G633" s="7"/>
      <c r="H633" s="7"/>
      <c r="I633" s="6"/>
      <c r="J633" s="9" t="str">
        <f aca="false">IF(NOT(ISNUMBER($G633)),"",IF(AND(ASH_CORRECTED="Yes",ISNUMBER($H633)),$G633*(1-$H633),$G633))</f>
        <v/>
      </c>
      <c r="K633" s="9" t="str">
        <f aca="false">IF($B633="","",IFERROR(AVERAGEIFS('2. Soil Data'!$G$5:$G$604,'2. Soil Data'!$B$5:$B$604,$B633),""))</f>
        <v/>
      </c>
      <c r="L633" s="9" t="str">
        <f aca="false">IF(NOT(ISNUMBER($K633)),"",PI()*($K633/2)^2)</f>
        <v/>
      </c>
      <c r="M633" s="9" t="str">
        <f aca="false">IF(OR(NOT(ISNUMBER($J633)),NOT(ISNUMBER($L633)),$L633=0),"",$J633/$L633*10000)</f>
        <v/>
      </c>
      <c r="N633" s="9" t="str">
        <f aca="false">IF(NOT(ISNUMBER($M633)),"",$M633*CARBON_FRACTION_ROOT/1000)</f>
        <v/>
      </c>
      <c r="O633" s="11" t="str">
        <f aca="false">IF(AND($A633="",$B633="",$G633=""),"",IF(AND($B633&lt;&gt;"",COUNTIFS('2. Soil Data'!$B$5:$B$604,$B633)=0),"Core ID not found in Soil Data, so the corer diameter cannot be looked up. ","")&amp;IF(ASH_CORRECTED&lt;&gt;"Yes","Root mass is NOT ash-corrected, so it includes adhering mineral soil and is too high. Set ASH_CORRECTED once you have done it. ","")&amp;IF(AND(ASH_CORRECTED="Yes",NOT(ISNUMBER($H633))),"Ash correction is switched on but no ash fraction is given for this row. ","")&amp;IF($I633="","Sieve mesh not recorded — a fine-root figure cannot be interpreted without it. ","")&amp;IF(AND(ISNUMBER($H633),$H633&gt;0.5),"Ash fraction above 0.5 — over half this sample was mineral soil. Re-wash. ","")&amp;IF($F633="Not separated","Live and dead not separated. Fine for a stock, but "&amp;"note it in reporting. ",""))</f>
        <v/>
      </c>
      <c r="P633" s="6"/>
      <c r="Q633" s="9" t="n">
        <f aca="false">IF($B633="",0,IF(COUNTIFS($B$5:$B633,$B633)=1,1,0))</f>
        <v>0</v>
      </c>
    </row>
    <row r="634" customFormat="false" ht="15" hidden="false" customHeight="false" outlineLevel="0" collapsed="false">
      <c r="A634" s="6"/>
      <c r="B634" s="6"/>
      <c r="C634" s="6"/>
      <c r="D634" s="6"/>
      <c r="E634" s="6"/>
      <c r="F634" s="6"/>
      <c r="G634" s="7"/>
      <c r="H634" s="7"/>
      <c r="I634" s="6"/>
      <c r="J634" s="9" t="str">
        <f aca="false">IF(NOT(ISNUMBER($G634)),"",IF(AND(ASH_CORRECTED="Yes",ISNUMBER($H634)),$G634*(1-$H634),$G634))</f>
        <v/>
      </c>
      <c r="K634" s="9" t="str">
        <f aca="false">IF($B634="","",IFERROR(AVERAGEIFS('2. Soil Data'!$G$5:$G$604,'2. Soil Data'!$B$5:$B$604,$B634),""))</f>
        <v/>
      </c>
      <c r="L634" s="9" t="str">
        <f aca="false">IF(NOT(ISNUMBER($K634)),"",PI()*($K634/2)^2)</f>
        <v/>
      </c>
      <c r="M634" s="9" t="str">
        <f aca="false">IF(OR(NOT(ISNUMBER($J634)),NOT(ISNUMBER($L634)),$L634=0),"",$J634/$L634*10000)</f>
        <v/>
      </c>
      <c r="N634" s="9" t="str">
        <f aca="false">IF(NOT(ISNUMBER($M634)),"",$M634*CARBON_FRACTION_ROOT/1000)</f>
        <v/>
      </c>
      <c r="O634" s="11" t="str">
        <f aca="false">IF(AND($A634="",$B634="",$G634=""),"",IF(AND($B634&lt;&gt;"",COUNTIFS('2. Soil Data'!$B$5:$B$604,$B634)=0),"Core ID not found in Soil Data, so the corer diameter cannot be looked up. ","")&amp;IF(ASH_CORRECTED&lt;&gt;"Yes","Root mass is NOT ash-corrected, so it includes adhering mineral soil and is too high. Set ASH_CORRECTED once you have done it. ","")&amp;IF(AND(ASH_CORRECTED="Yes",NOT(ISNUMBER($H634))),"Ash correction is switched on but no ash fraction is given for this row. ","")&amp;IF($I634="","Sieve mesh not recorded — a fine-root figure cannot be interpreted without it. ","")&amp;IF(AND(ISNUMBER($H634),$H634&gt;0.5),"Ash fraction above 0.5 — over half this sample was mineral soil. Re-wash. ","")&amp;IF($F634="Not separated","Live and dead not separated. Fine for a stock, but "&amp;"note it in reporting. ",""))</f>
        <v/>
      </c>
      <c r="P634" s="6"/>
      <c r="Q634" s="9" t="n">
        <f aca="false">IF($B634="",0,IF(COUNTIFS($B$5:$B634,$B634)=1,1,0))</f>
        <v>0</v>
      </c>
    </row>
    <row r="635" customFormat="false" ht="15" hidden="false" customHeight="false" outlineLevel="0" collapsed="false">
      <c r="A635" s="6"/>
      <c r="B635" s="6"/>
      <c r="C635" s="6"/>
      <c r="D635" s="6"/>
      <c r="E635" s="6"/>
      <c r="F635" s="6"/>
      <c r="G635" s="7"/>
      <c r="H635" s="7"/>
      <c r="I635" s="6"/>
      <c r="J635" s="9" t="str">
        <f aca="false">IF(NOT(ISNUMBER($G635)),"",IF(AND(ASH_CORRECTED="Yes",ISNUMBER($H635)),$G635*(1-$H635),$G635))</f>
        <v/>
      </c>
      <c r="K635" s="9" t="str">
        <f aca="false">IF($B635="","",IFERROR(AVERAGEIFS('2. Soil Data'!$G$5:$G$604,'2. Soil Data'!$B$5:$B$604,$B635),""))</f>
        <v/>
      </c>
      <c r="L635" s="9" t="str">
        <f aca="false">IF(NOT(ISNUMBER($K635)),"",PI()*($K635/2)^2)</f>
        <v/>
      </c>
      <c r="M635" s="9" t="str">
        <f aca="false">IF(OR(NOT(ISNUMBER($J635)),NOT(ISNUMBER($L635)),$L635=0),"",$J635/$L635*10000)</f>
        <v/>
      </c>
      <c r="N635" s="9" t="str">
        <f aca="false">IF(NOT(ISNUMBER($M635)),"",$M635*CARBON_FRACTION_ROOT/1000)</f>
        <v/>
      </c>
      <c r="O635" s="11" t="str">
        <f aca="false">IF(AND($A635="",$B635="",$G635=""),"",IF(AND($B635&lt;&gt;"",COUNTIFS('2. Soil Data'!$B$5:$B$604,$B635)=0),"Core ID not found in Soil Data, so the corer diameter cannot be looked up. ","")&amp;IF(ASH_CORRECTED&lt;&gt;"Yes","Root mass is NOT ash-corrected, so it includes adhering mineral soil and is too high. Set ASH_CORRECTED once you have done it. ","")&amp;IF(AND(ASH_CORRECTED="Yes",NOT(ISNUMBER($H635))),"Ash correction is switched on but no ash fraction is given for this row. ","")&amp;IF($I635="","Sieve mesh not recorded — a fine-root figure cannot be interpreted without it. ","")&amp;IF(AND(ISNUMBER($H635),$H635&gt;0.5),"Ash fraction above 0.5 — over half this sample was mineral soil. Re-wash. ","")&amp;IF($F635="Not separated","Live and dead not separated. Fine for a stock, but "&amp;"note it in reporting. ",""))</f>
        <v/>
      </c>
      <c r="P635" s="6"/>
      <c r="Q635" s="9" t="n">
        <f aca="false">IF($B635="",0,IF(COUNTIFS($B$5:$B635,$B635)=1,1,0))</f>
        <v>0</v>
      </c>
    </row>
    <row r="636" customFormat="false" ht="15" hidden="false" customHeight="false" outlineLevel="0" collapsed="false">
      <c r="A636" s="6"/>
      <c r="B636" s="6"/>
      <c r="C636" s="6"/>
      <c r="D636" s="6"/>
      <c r="E636" s="6"/>
      <c r="F636" s="6"/>
      <c r="G636" s="7"/>
      <c r="H636" s="7"/>
      <c r="I636" s="6"/>
      <c r="J636" s="9" t="str">
        <f aca="false">IF(NOT(ISNUMBER($G636)),"",IF(AND(ASH_CORRECTED="Yes",ISNUMBER($H636)),$G636*(1-$H636),$G636))</f>
        <v/>
      </c>
      <c r="K636" s="9" t="str">
        <f aca="false">IF($B636="","",IFERROR(AVERAGEIFS('2. Soil Data'!$G$5:$G$604,'2. Soil Data'!$B$5:$B$604,$B636),""))</f>
        <v/>
      </c>
      <c r="L636" s="9" t="str">
        <f aca="false">IF(NOT(ISNUMBER($K636)),"",PI()*($K636/2)^2)</f>
        <v/>
      </c>
      <c r="M636" s="9" t="str">
        <f aca="false">IF(OR(NOT(ISNUMBER($J636)),NOT(ISNUMBER($L636)),$L636=0),"",$J636/$L636*10000)</f>
        <v/>
      </c>
      <c r="N636" s="9" t="str">
        <f aca="false">IF(NOT(ISNUMBER($M636)),"",$M636*CARBON_FRACTION_ROOT/1000)</f>
        <v/>
      </c>
      <c r="O636" s="11" t="str">
        <f aca="false">IF(AND($A636="",$B636="",$G636=""),"",IF(AND($B636&lt;&gt;"",COUNTIFS('2. Soil Data'!$B$5:$B$604,$B636)=0),"Core ID not found in Soil Data, so the corer diameter cannot be looked up. ","")&amp;IF(ASH_CORRECTED&lt;&gt;"Yes","Root mass is NOT ash-corrected, so it includes adhering mineral soil and is too high. Set ASH_CORRECTED once you have done it. ","")&amp;IF(AND(ASH_CORRECTED="Yes",NOT(ISNUMBER($H636))),"Ash correction is switched on but no ash fraction is given for this row. ","")&amp;IF($I636="","Sieve mesh not recorded — a fine-root figure cannot be interpreted without it. ","")&amp;IF(AND(ISNUMBER($H636),$H636&gt;0.5),"Ash fraction above 0.5 — over half this sample was mineral soil. Re-wash. ","")&amp;IF($F636="Not separated","Live and dead not separated. Fine for a stock, but "&amp;"note it in reporting. ",""))</f>
        <v/>
      </c>
      <c r="P636" s="6"/>
      <c r="Q636" s="9" t="n">
        <f aca="false">IF($B636="",0,IF(COUNTIFS($B$5:$B636,$B636)=1,1,0))</f>
        <v>0</v>
      </c>
    </row>
    <row r="637" customFormat="false" ht="15" hidden="false" customHeight="false" outlineLevel="0" collapsed="false">
      <c r="A637" s="6"/>
      <c r="B637" s="6"/>
      <c r="C637" s="6"/>
      <c r="D637" s="6"/>
      <c r="E637" s="6"/>
      <c r="F637" s="6"/>
      <c r="G637" s="7"/>
      <c r="H637" s="7"/>
      <c r="I637" s="6"/>
      <c r="J637" s="9" t="str">
        <f aca="false">IF(NOT(ISNUMBER($G637)),"",IF(AND(ASH_CORRECTED="Yes",ISNUMBER($H637)),$G637*(1-$H637),$G637))</f>
        <v/>
      </c>
      <c r="K637" s="9" t="str">
        <f aca="false">IF($B637="","",IFERROR(AVERAGEIFS('2. Soil Data'!$G$5:$G$604,'2. Soil Data'!$B$5:$B$604,$B637),""))</f>
        <v/>
      </c>
      <c r="L637" s="9" t="str">
        <f aca="false">IF(NOT(ISNUMBER($K637)),"",PI()*($K637/2)^2)</f>
        <v/>
      </c>
      <c r="M637" s="9" t="str">
        <f aca="false">IF(OR(NOT(ISNUMBER($J637)),NOT(ISNUMBER($L637)),$L637=0),"",$J637/$L637*10000)</f>
        <v/>
      </c>
      <c r="N637" s="9" t="str">
        <f aca="false">IF(NOT(ISNUMBER($M637)),"",$M637*CARBON_FRACTION_ROOT/1000)</f>
        <v/>
      </c>
      <c r="O637" s="11" t="str">
        <f aca="false">IF(AND($A637="",$B637="",$G637=""),"",IF(AND($B637&lt;&gt;"",COUNTIFS('2. Soil Data'!$B$5:$B$604,$B637)=0),"Core ID not found in Soil Data, so the corer diameter cannot be looked up. ","")&amp;IF(ASH_CORRECTED&lt;&gt;"Yes","Root mass is NOT ash-corrected, so it includes adhering mineral soil and is too high. Set ASH_CORRECTED once you have done it. ","")&amp;IF(AND(ASH_CORRECTED="Yes",NOT(ISNUMBER($H637))),"Ash correction is switched on but no ash fraction is given for this row. ","")&amp;IF($I637="","Sieve mesh not recorded — a fine-root figure cannot be interpreted without it. ","")&amp;IF(AND(ISNUMBER($H637),$H637&gt;0.5),"Ash fraction above 0.5 — over half this sample was mineral soil. Re-wash. ","")&amp;IF($F637="Not separated","Live and dead not separated. Fine for a stock, but "&amp;"note it in reporting. ",""))</f>
        <v/>
      </c>
      <c r="P637" s="6"/>
      <c r="Q637" s="9" t="n">
        <f aca="false">IF($B637="",0,IF(COUNTIFS($B$5:$B637,$B637)=1,1,0))</f>
        <v>0</v>
      </c>
    </row>
    <row r="638" customFormat="false" ht="15" hidden="false" customHeight="false" outlineLevel="0" collapsed="false">
      <c r="A638" s="6"/>
      <c r="B638" s="6"/>
      <c r="C638" s="6"/>
      <c r="D638" s="6"/>
      <c r="E638" s="6"/>
      <c r="F638" s="6"/>
      <c r="G638" s="7"/>
      <c r="H638" s="7"/>
      <c r="I638" s="6"/>
      <c r="J638" s="9" t="str">
        <f aca="false">IF(NOT(ISNUMBER($G638)),"",IF(AND(ASH_CORRECTED="Yes",ISNUMBER($H638)),$G638*(1-$H638),$G638))</f>
        <v/>
      </c>
      <c r="K638" s="9" t="str">
        <f aca="false">IF($B638="","",IFERROR(AVERAGEIFS('2. Soil Data'!$G$5:$G$604,'2. Soil Data'!$B$5:$B$604,$B638),""))</f>
        <v/>
      </c>
      <c r="L638" s="9" t="str">
        <f aca="false">IF(NOT(ISNUMBER($K638)),"",PI()*($K638/2)^2)</f>
        <v/>
      </c>
      <c r="M638" s="9" t="str">
        <f aca="false">IF(OR(NOT(ISNUMBER($J638)),NOT(ISNUMBER($L638)),$L638=0),"",$J638/$L638*10000)</f>
        <v/>
      </c>
      <c r="N638" s="9" t="str">
        <f aca="false">IF(NOT(ISNUMBER($M638)),"",$M638*CARBON_FRACTION_ROOT/1000)</f>
        <v/>
      </c>
      <c r="O638" s="11" t="str">
        <f aca="false">IF(AND($A638="",$B638="",$G638=""),"",IF(AND($B638&lt;&gt;"",COUNTIFS('2. Soil Data'!$B$5:$B$604,$B638)=0),"Core ID not found in Soil Data, so the corer diameter cannot be looked up. ","")&amp;IF(ASH_CORRECTED&lt;&gt;"Yes","Root mass is NOT ash-corrected, so it includes adhering mineral soil and is too high. Set ASH_CORRECTED once you have done it. ","")&amp;IF(AND(ASH_CORRECTED="Yes",NOT(ISNUMBER($H638))),"Ash correction is switched on but no ash fraction is given for this row. ","")&amp;IF($I638="","Sieve mesh not recorded — a fine-root figure cannot be interpreted without it. ","")&amp;IF(AND(ISNUMBER($H638),$H638&gt;0.5),"Ash fraction above 0.5 — over half this sample was mineral soil. Re-wash. ","")&amp;IF($F638="Not separated","Live and dead not separated. Fine for a stock, but "&amp;"note it in reporting. ",""))</f>
        <v/>
      </c>
      <c r="P638" s="6"/>
      <c r="Q638" s="9" t="n">
        <f aca="false">IF($B638="",0,IF(COUNTIFS($B$5:$B638,$B638)=1,1,0))</f>
        <v>0</v>
      </c>
    </row>
    <row r="639" customFormat="false" ht="15" hidden="false" customHeight="false" outlineLevel="0" collapsed="false">
      <c r="A639" s="6"/>
      <c r="B639" s="6"/>
      <c r="C639" s="6"/>
      <c r="D639" s="6"/>
      <c r="E639" s="6"/>
      <c r="F639" s="6"/>
      <c r="G639" s="7"/>
      <c r="H639" s="7"/>
      <c r="I639" s="6"/>
      <c r="J639" s="9" t="str">
        <f aca="false">IF(NOT(ISNUMBER($G639)),"",IF(AND(ASH_CORRECTED="Yes",ISNUMBER($H639)),$G639*(1-$H639),$G639))</f>
        <v/>
      </c>
      <c r="K639" s="9" t="str">
        <f aca="false">IF($B639="","",IFERROR(AVERAGEIFS('2. Soil Data'!$G$5:$G$604,'2. Soil Data'!$B$5:$B$604,$B639),""))</f>
        <v/>
      </c>
      <c r="L639" s="9" t="str">
        <f aca="false">IF(NOT(ISNUMBER($K639)),"",PI()*($K639/2)^2)</f>
        <v/>
      </c>
      <c r="M639" s="9" t="str">
        <f aca="false">IF(OR(NOT(ISNUMBER($J639)),NOT(ISNUMBER($L639)),$L639=0),"",$J639/$L639*10000)</f>
        <v/>
      </c>
      <c r="N639" s="9" t="str">
        <f aca="false">IF(NOT(ISNUMBER($M639)),"",$M639*CARBON_FRACTION_ROOT/1000)</f>
        <v/>
      </c>
      <c r="O639" s="11" t="str">
        <f aca="false">IF(AND($A639="",$B639="",$G639=""),"",IF(AND($B639&lt;&gt;"",COUNTIFS('2. Soil Data'!$B$5:$B$604,$B639)=0),"Core ID not found in Soil Data, so the corer diameter cannot be looked up. ","")&amp;IF(ASH_CORRECTED&lt;&gt;"Yes","Root mass is NOT ash-corrected, so it includes adhering mineral soil and is too high. Set ASH_CORRECTED once you have done it. ","")&amp;IF(AND(ASH_CORRECTED="Yes",NOT(ISNUMBER($H639))),"Ash correction is switched on but no ash fraction is given for this row. ","")&amp;IF($I639="","Sieve mesh not recorded — a fine-root figure cannot be interpreted without it. ","")&amp;IF(AND(ISNUMBER($H639),$H639&gt;0.5),"Ash fraction above 0.5 — over half this sample was mineral soil. Re-wash. ","")&amp;IF($F639="Not separated","Live and dead not separated. Fine for a stock, but "&amp;"note it in reporting. ",""))</f>
        <v/>
      </c>
      <c r="P639" s="6"/>
      <c r="Q639" s="9" t="n">
        <f aca="false">IF($B639="",0,IF(COUNTIFS($B$5:$B639,$B639)=1,1,0))</f>
        <v>0</v>
      </c>
    </row>
    <row r="640" customFormat="false" ht="15" hidden="false" customHeight="false" outlineLevel="0" collapsed="false">
      <c r="A640" s="6"/>
      <c r="B640" s="6"/>
      <c r="C640" s="6"/>
      <c r="D640" s="6"/>
      <c r="E640" s="6"/>
      <c r="F640" s="6"/>
      <c r="G640" s="7"/>
      <c r="H640" s="7"/>
      <c r="I640" s="6"/>
      <c r="J640" s="9" t="str">
        <f aca="false">IF(NOT(ISNUMBER($G640)),"",IF(AND(ASH_CORRECTED="Yes",ISNUMBER($H640)),$G640*(1-$H640),$G640))</f>
        <v/>
      </c>
      <c r="K640" s="9" t="str">
        <f aca="false">IF($B640="","",IFERROR(AVERAGEIFS('2. Soil Data'!$G$5:$G$604,'2. Soil Data'!$B$5:$B$604,$B640),""))</f>
        <v/>
      </c>
      <c r="L640" s="9" t="str">
        <f aca="false">IF(NOT(ISNUMBER($K640)),"",PI()*($K640/2)^2)</f>
        <v/>
      </c>
      <c r="M640" s="9" t="str">
        <f aca="false">IF(OR(NOT(ISNUMBER($J640)),NOT(ISNUMBER($L640)),$L640=0),"",$J640/$L640*10000)</f>
        <v/>
      </c>
      <c r="N640" s="9" t="str">
        <f aca="false">IF(NOT(ISNUMBER($M640)),"",$M640*CARBON_FRACTION_ROOT/1000)</f>
        <v/>
      </c>
      <c r="O640" s="11" t="str">
        <f aca="false">IF(AND($A640="",$B640="",$G640=""),"",IF(AND($B640&lt;&gt;"",COUNTIFS('2. Soil Data'!$B$5:$B$604,$B640)=0),"Core ID not found in Soil Data, so the corer diameter cannot be looked up. ","")&amp;IF(ASH_CORRECTED&lt;&gt;"Yes","Root mass is NOT ash-corrected, so it includes adhering mineral soil and is too high. Set ASH_CORRECTED once you have done it. ","")&amp;IF(AND(ASH_CORRECTED="Yes",NOT(ISNUMBER($H640))),"Ash correction is switched on but no ash fraction is given for this row. ","")&amp;IF($I640="","Sieve mesh not recorded — a fine-root figure cannot be interpreted without it. ","")&amp;IF(AND(ISNUMBER($H640),$H640&gt;0.5),"Ash fraction above 0.5 — over half this sample was mineral soil. Re-wash. ","")&amp;IF($F640="Not separated","Live and dead not separated. Fine for a stock, but "&amp;"note it in reporting. ",""))</f>
        <v/>
      </c>
      <c r="P640" s="6"/>
      <c r="Q640" s="9" t="n">
        <f aca="false">IF($B640="",0,IF(COUNTIFS($B$5:$B640,$B640)=1,1,0))</f>
        <v>0</v>
      </c>
    </row>
    <row r="641" customFormat="false" ht="15" hidden="false" customHeight="false" outlineLevel="0" collapsed="false">
      <c r="A641" s="6"/>
      <c r="B641" s="6"/>
      <c r="C641" s="6"/>
      <c r="D641" s="6"/>
      <c r="E641" s="6"/>
      <c r="F641" s="6"/>
      <c r="G641" s="7"/>
      <c r="H641" s="7"/>
      <c r="I641" s="6"/>
      <c r="J641" s="9" t="str">
        <f aca="false">IF(NOT(ISNUMBER($G641)),"",IF(AND(ASH_CORRECTED="Yes",ISNUMBER($H641)),$G641*(1-$H641),$G641))</f>
        <v/>
      </c>
      <c r="K641" s="9" t="str">
        <f aca="false">IF($B641="","",IFERROR(AVERAGEIFS('2. Soil Data'!$G$5:$G$604,'2. Soil Data'!$B$5:$B$604,$B641),""))</f>
        <v/>
      </c>
      <c r="L641" s="9" t="str">
        <f aca="false">IF(NOT(ISNUMBER($K641)),"",PI()*($K641/2)^2)</f>
        <v/>
      </c>
      <c r="M641" s="9" t="str">
        <f aca="false">IF(OR(NOT(ISNUMBER($J641)),NOT(ISNUMBER($L641)),$L641=0),"",$J641/$L641*10000)</f>
        <v/>
      </c>
      <c r="N641" s="9" t="str">
        <f aca="false">IF(NOT(ISNUMBER($M641)),"",$M641*CARBON_FRACTION_ROOT/1000)</f>
        <v/>
      </c>
      <c r="O641" s="11" t="str">
        <f aca="false">IF(AND($A641="",$B641="",$G641=""),"",IF(AND($B641&lt;&gt;"",COUNTIFS('2. Soil Data'!$B$5:$B$604,$B641)=0),"Core ID not found in Soil Data, so the corer diameter cannot be looked up. ","")&amp;IF(ASH_CORRECTED&lt;&gt;"Yes","Root mass is NOT ash-corrected, so it includes adhering mineral soil and is too high. Set ASH_CORRECTED once you have done it. ","")&amp;IF(AND(ASH_CORRECTED="Yes",NOT(ISNUMBER($H641))),"Ash correction is switched on but no ash fraction is given for this row. ","")&amp;IF($I641="","Sieve mesh not recorded — a fine-root figure cannot be interpreted without it. ","")&amp;IF(AND(ISNUMBER($H641),$H641&gt;0.5),"Ash fraction above 0.5 — over half this sample was mineral soil. Re-wash. ","")&amp;IF($F641="Not separated","Live and dead not separated. Fine for a stock, but "&amp;"note it in reporting. ",""))</f>
        <v/>
      </c>
      <c r="P641" s="6"/>
      <c r="Q641" s="9" t="n">
        <f aca="false">IF($B641="",0,IF(COUNTIFS($B$5:$B641,$B641)=1,1,0))</f>
        <v>0</v>
      </c>
    </row>
    <row r="642" customFormat="false" ht="15" hidden="false" customHeight="false" outlineLevel="0" collapsed="false">
      <c r="A642" s="6"/>
      <c r="B642" s="6"/>
      <c r="C642" s="6"/>
      <c r="D642" s="6"/>
      <c r="E642" s="6"/>
      <c r="F642" s="6"/>
      <c r="G642" s="7"/>
      <c r="H642" s="7"/>
      <c r="I642" s="6"/>
      <c r="J642" s="9" t="str">
        <f aca="false">IF(NOT(ISNUMBER($G642)),"",IF(AND(ASH_CORRECTED="Yes",ISNUMBER($H642)),$G642*(1-$H642),$G642))</f>
        <v/>
      </c>
      <c r="K642" s="9" t="str">
        <f aca="false">IF($B642="","",IFERROR(AVERAGEIFS('2. Soil Data'!$G$5:$G$604,'2. Soil Data'!$B$5:$B$604,$B642),""))</f>
        <v/>
      </c>
      <c r="L642" s="9" t="str">
        <f aca="false">IF(NOT(ISNUMBER($K642)),"",PI()*($K642/2)^2)</f>
        <v/>
      </c>
      <c r="M642" s="9" t="str">
        <f aca="false">IF(OR(NOT(ISNUMBER($J642)),NOT(ISNUMBER($L642)),$L642=0),"",$J642/$L642*10000)</f>
        <v/>
      </c>
      <c r="N642" s="9" t="str">
        <f aca="false">IF(NOT(ISNUMBER($M642)),"",$M642*CARBON_FRACTION_ROOT/1000)</f>
        <v/>
      </c>
      <c r="O642" s="11" t="str">
        <f aca="false">IF(AND($A642="",$B642="",$G642=""),"",IF(AND($B642&lt;&gt;"",COUNTIFS('2. Soil Data'!$B$5:$B$604,$B642)=0),"Core ID not found in Soil Data, so the corer diameter cannot be looked up. ","")&amp;IF(ASH_CORRECTED&lt;&gt;"Yes","Root mass is NOT ash-corrected, so it includes adhering mineral soil and is too high. Set ASH_CORRECTED once you have done it. ","")&amp;IF(AND(ASH_CORRECTED="Yes",NOT(ISNUMBER($H642))),"Ash correction is switched on but no ash fraction is given for this row. ","")&amp;IF($I642="","Sieve mesh not recorded — a fine-root figure cannot be interpreted without it. ","")&amp;IF(AND(ISNUMBER($H642),$H642&gt;0.5),"Ash fraction above 0.5 — over half this sample was mineral soil. Re-wash. ","")&amp;IF($F642="Not separated","Live and dead not separated. Fine for a stock, but "&amp;"note it in reporting. ",""))</f>
        <v/>
      </c>
      <c r="P642" s="6"/>
      <c r="Q642" s="9" t="n">
        <f aca="false">IF($B642="",0,IF(COUNTIFS($B$5:$B642,$B642)=1,1,0))</f>
        <v>0</v>
      </c>
    </row>
    <row r="643" customFormat="false" ht="15" hidden="false" customHeight="false" outlineLevel="0" collapsed="false">
      <c r="A643" s="6"/>
      <c r="B643" s="6"/>
      <c r="C643" s="6"/>
      <c r="D643" s="6"/>
      <c r="E643" s="6"/>
      <c r="F643" s="6"/>
      <c r="G643" s="7"/>
      <c r="H643" s="7"/>
      <c r="I643" s="6"/>
      <c r="J643" s="9" t="str">
        <f aca="false">IF(NOT(ISNUMBER($G643)),"",IF(AND(ASH_CORRECTED="Yes",ISNUMBER($H643)),$G643*(1-$H643),$G643))</f>
        <v/>
      </c>
      <c r="K643" s="9" t="str">
        <f aca="false">IF($B643="","",IFERROR(AVERAGEIFS('2. Soil Data'!$G$5:$G$604,'2. Soil Data'!$B$5:$B$604,$B643),""))</f>
        <v/>
      </c>
      <c r="L643" s="9" t="str">
        <f aca="false">IF(NOT(ISNUMBER($K643)),"",PI()*($K643/2)^2)</f>
        <v/>
      </c>
      <c r="M643" s="9" t="str">
        <f aca="false">IF(OR(NOT(ISNUMBER($J643)),NOT(ISNUMBER($L643)),$L643=0),"",$J643/$L643*10000)</f>
        <v/>
      </c>
      <c r="N643" s="9" t="str">
        <f aca="false">IF(NOT(ISNUMBER($M643)),"",$M643*CARBON_FRACTION_ROOT/1000)</f>
        <v/>
      </c>
      <c r="O643" s="11" t="str">
        <f aca="false">IF(AND($A643="",$B643="",$G643=""),"",IF(AND($B643&lt;&gt;"",COUNTIFS('2. Soil Data'!$B$5:$B$604,$B643)=0),"Core ID not found in Soil Data, so the corer diameter cannot be looked up. ","")&amp;IF(ASH_CORRECTED&lt;&gt;"Yes","Root mass is NOT ash-corrected, so it includes adhering mineral soil and is too high. Set ASH_CORRECTED once you have done it. ","")&amp;IF(AND(ASH_CORRECTED="Yes",NOT(ISNUMBER($H643))),"Ash correction is switched on but no ash fraction is given for this row. ","")&amp;IF($I643="","Sieve mesh not recorded — a fine-root figure cannot be interpreted without it. ","")&amp;IF(AND(ISNUMBER($H643),$H643&gt;0.5),"Ash fraction above 0.5 — over half this sample was mineral soil. Re-wash. ","")&amp;IF($F643="Not separated","Live and dead not separated. Fine for a stock, but "&amp;"note it in reporting. ",""))</f>
        <v/>
      </c>
      <c r="P643" s="6"/>
      <c r="Q643" s="9" t="n">
        <f aca="false">IF($B643="",0,IF(COUNTIFS($B$5:$B643,$B643)=1,1,0))</f>
        <v>0</v>
      </c>
    </row>
    <row r="644" customFormat="false" ht="15" hidden="false" customHeight="false" outlineLevel="0" collapsed="false">
      <c r="A644" s="6"/>
      <c r="B644" s="6"/>
      <c r="C644" s="6"/>
      <c r="D644" s="6"/>
      <c r="E644" s="6"/>
      <c r="F644" s="6"/>
      <c r="G644" s="7"/>
      <c r="H644" s="7"/>
      <c r="I644" s="6"/>
      <c r="J644" s="9" t="str">
        <f aca="false">IF(NOT(ISNUMBER($G644)),"",IF(AND(ASH_CORRECTED="Yes",ISNUMBER($H644)),$G644*(1-$H644),$G644))</f>
        <v/>
      </c>
      <c r="K644" s="9" t="str">
        <f aca="false">IF($B644="","",IFERROR(AVERAGEIFS('2. Soil Data'!$G$5:$G$604,'2. Soil Data'!$B$5:$B$604,$B644),""))</f>
        <v/>
      </c>
      <c r="L644" s="9" t="str">
        <f aca="false">IF(NOT(ISNUMBER($K644)),"",PI()*($K644/2)^2)</f>
        <v/>
      </c>
      <c r="M644" s="9" t="str">
        <f aca="false">IF(OR(NOT(ISNUMBER($J644)),NOT(ISNUMBER($L644)),$L644=0),"",$J644/$L644*10000)</f>
        <v/>
      </c>
      <c r="N644" s="9" t="str">
        <f aca="false">IF(NOT(ISNUMBER($M644)),"",$M644*CARBON_FRACTION_ROOT/1000)</f>
        <v/>
      </c>
      <c r="O644" s="11" t="str">
        <f aca="false">IF(AND($A644="",$B644="",$G644=""),"",IF(AND($B644&lt;&gt;"",COUNTIFS('2. Soil Data'!$B$5:$B$604,$B644)=0),"Core ID not found in Soil Data, so the corer diameter cannot be looked up. ","")&amp;IF(ASH_CORRECTED&lt;&gt;"Yes","Root mass is NOT ash-corrected, so it includes adhering mineral soil and is too high. Set ASH_CORRECTED once you have done it. ","")&amp;IF(AND(ASH_CORRECTED="Yes",NOT(ISNUMBER($H644))),"Ash correction is switched on but no ash fraction is given for this row. ","")&amp;IF($I644="","Sieve mesh not recorded — a fine-root figure cannot be interpreted without it. ","")&amp;IF(AND(ISNUMBER($H644),$H644&gt;0.5),"Ash fraction above 0.5 — over half this sample was mineral soil. Re-wash. ","")&amp;IF($F644="Not separated","Live and dead not separated. Fine for a stock, but "&amp;"note it in reporting. ",""))</f>
        <v/>
      </c>
      <c r="P644" s="6"/>
      <c r="Q644" s="9" t="n">
        <f aca="false">IF($B644="",0,IF(COUNTIFS($B$5:$B644,$B644)=1,1,0))</f>
        <v>0</v>
      </c>
    </row>
    <row r="645" customFormat="false" ht="15" hidden="false" customHeight="false" outlineLevel="0" collapsed="false">
      <c r="A645" s="6"/>
      <c r="B645" s="6"/>
      <c r="C645" s="6"/>
      <c r="D645" s="6"/>
      <c r="E645" s="6"/>
      <c r="F645" s="6"/>
      <c r="G645" s="7"/>
      <c r="H645" s="7"/>
      <c r="I645" s="6"/>
      <c r="J645" s="9" t="str">
        <f aca="false">IF(NOT(ISNUMBER($G645)),"",IF(AND(ASH_CORRECTED="Yes",ISNUMBER($H645)),$G645*(1-$H645),$G645))</f>
        <v/>
      </c>
      <c r="K645" s="9" t="str">
        <f aca="false">IF($B645="","",IFERROR(AVERAGEIFS('2. Soil Data'!$G$5:$G$604,'2. Soil Data'!$B$5:$B$604,$B645),""))</f>
        <v/>
      </c>
      <c r="L645" s="9" t="str">
        <f aca="false">IF(NOT(ISNUMBER($K645)),"",PI()*($K645/2)^2)</f>
        <v/>
      </c>
      <c r="M645" s="9" t="str">
        <f aca="false">IF(OR(NOT(ISNUMBER($J645)),NOT(ISNUMBER($L645)),$L645=0),"",$J645/$L645*10000)</f>
        <v/>
      </c>
      <c r="N645" s="9" t="str">
        <f aca="false">IF(NOT(ISNUMBER($M645)),"",$M645*CARBON_FRACTION_ROOT/1000)</f>
        <v/>
      </c>
      <c r="O645" s="11" t="str">
        <f aca="false">IF(AND($A645="",$B645="",$G645=""),"",IF(AND($B645&lt;&gt;"",COUNTIFS('2. Soil Data'!$B$5:$B$604,$B645)=0),"Core ID not found in Soil Data, so the corer diameter cannot be looked up. ","")&amp;IF(ASH_CORRECTED&lt;&gt;"Yes","Root mass is NOT ash-corrected, so it includes adhering mineral soil and is too high. Set ASH_CORRECTED once you have done it. ","")&amp;IF(AND(ASH_CORRECTED="Yes",NOT(ISNUMBER($H645))),"Ash correction is switched on but no ash fraction is given for this row. ","")&amp;IF($I645="","Sieve mesh not recorded — a fine-root figure cannot be interpreted without it. ","")&amp;IF(AND(ISNUMBER($H645),$H645&gt;0.5),"Ash fraction above 0.5 — over half this sample was mineral soil. Re-wash. ","")&amp;IF($F645="Not separated","Live and dead not separated. Fine for a stock, but "&amp;"note it in reporting. ",""))</f>
        <v/>
      </c>
      <c r="P645" s="6"/>
      <c r="Q645" s="9" t="n">
        <f aca="false">IF($B645="",0,IF(COUNTIFS($B$5:$B645,$B645)=1,1,0))</f>
        <v>0</v>
      </c>
    </row>
    <row r="646" customFormat="false" ht="15" hidden="false" customHeight="false" outlineLevel="0" collapsed="false">
      <c r="A646" s="6"/>
      <c r="B646" s="6"/>
      <c r="C646" s="6"/>
      <c r="D646" s="6"/>
      <c r="E646" s="6"/>
      <c r="F646" s="6"/>
      <c r="G646" s="7"/>
      <c r="H646" s="7"/>
      <c r="I646" s="6"/>
      <c r="J646" s="9" t="str">
        <f aca="false">IF(NOT(ISNUMBER($G646)),"",IF(AND(ASH_CORRECTED="Yes",ISNUMBER($H646)),$G646*(1-$H646),$G646))</f>
        <v/>
      </c>
      <c r="K646" s="9" t="str">
        <f aca="false">IF($B646="","",IFERROR(AVERAGEIFS('2. Soil Data'!$G$5:$G$604,'2. Soil Data'!$B$5:$B$604,$B646),""))</f>
        <v/>
      </c>
      <c r="L646" s="9" t="str">
        <f aca="false">IF(NOT(ISNUMBER($K646)),"",PI()*($K646/2)^2)</f>
        <v/>
      </c>
      <c r="M646" s="9" t="str">
        <f aca="false">IF(OR(NOT(ISNUMBER($J646)),NOT(ISNUMBER($L646)),$L646=0),"",$J646/$L646*10000)</f>
        <v/>
      </c>
      <c r="N646" s="9" t="str">
        <f aca="false">IF(NOT(ISNUMBER($M646)),"",$M646*CARBON_FRACTION_ROOT/1000)</f>
        <v/>
      </c>
      <c r="O646" s="11" t="str">
        <f aca="false">IF(AND($A646="",$B646="",$G646=""),"",IF(AND($B646&lt;&gt;"",COUNTIFS('2. Soil Data'!$B$5:$B$604,$B646)=0),"Core ID not found in Soil Data, so the corer diameter cannot be looked up. ","")&amp;IF(ASH_CORRECTED&lt;&gt;"Yes","Root mass is NOT ash-corrected, so it includes adhering mineral soil and is too high. Set ASH_CORRECTED once you have done it. ","")&amp;IF(AND(ASH_CORRECTED="Yes",NOT(ISNUMBER($H646))),"Ash correction is switched on but no ash fraction is given for this row. ","")&amp;IF($I646="","Sieve mesh not recorded — a fine-root figure cannot be interpreted without it. ","")&amp;IF(AND(ISNUMBER($H646),$H646&gt;0.5),"Ash fraction above 0.5 — over half this sample was mineral soil. Re-wash. ","")&amp;IF($F646="Not separated","Live and dead not separated. Fine for a stock, but "&amp;"note it in reporting. ",""))</f>
        <v/>
      </c>
      <c r="P646" s="6"/>
      <c r="Q646" s="9" t="n">
        <f aca="false">IF($B646="",0,IF(COUNTIFS($B$5:$B646,$B646)=1,1,0))</f>
        <v>0</v>
      </c>
    </row>
    <row r="647" customFormat="false" ht="15" hidden="false" customHeight="false" outlineLevel="0" collapsed="false">
      <c r="A647" s="6"/>
      <c r="B647" s="6"/>
      <c r="C647" s="6"/>
      <c r="D647" s="6"/>
      <c r="E647" s="6"/>
      <c r="F647" s="6"/>
      <c r="G647" s="7"/>
      <c r="H647" s="7"/>
      <c r="I647" s="6"/>
      <c r="J647" s="9" t="str">
        <f aca="false">IF(NOT(ISNUMBER($G647)),"",IF(AND(ASH_CORRECTED="Yes",ISNUMBER($H647)),$G647*(1-$H647),$G647))</f>
        <v/>
      </c>
      <c r="K647" s="9" t="str">
        <f aca="false">IF($B647="","",IFERROR(AVERAGEIFS('2. Soil Data'!$G$5:$G$604,'2. Soil Data'!$B$5:$B$604,$B647),""))</f>
        <v/>
      </c>
      <c r="L647" s="9" t="str">
        <f aca="false">IF(NOT(ISNUMBER($K647)),"",PI()*($K647/2)^2)</f>
        <v/>
      </c>
      <c r="M647" s="9" t="str">
        <f aca="false">IF(OR(NOT(ISNUMBER($J647)),NOT(ISNUMBER($L647)),$L647=0),"",$J647/$L647*10000)</f>
        <v/>
      </c>
      <c r="N647" s="9" t="str">
        <f aca="false">IF(NOT(ISNUMBER($M647)),"",$M647*CARBON_FRACTION_ROOT/1000)</f>
        <v/>
      </c>
      <c r="O647" s="11" t="str">
        <f aca="false">IF(AND($A647="",$B647="",$G647=""),"",IF(AND($B647&lt;&gt;"",COUNTIFS('2. Soil Data'!$B$5:$B$604,$B647)=0),"Core ID not found in Soil Data, so the corer diameter cannot be looked up. ","")&amp;IF(ASH_CORRECTED&lt;&gt;"Yes","Root mass is NOT ash-corrected, so it includes adhering mineral soil and is too high. Set ASH_CORRECTED once you have done it. ","")&amp;IF(AND(ASH_CORRECTED="Yes",NOT(ISNUMBER($H647))),"Ash correction is switched on but no ash fraction is given for this row. ","")&amp;IF($I647="","Sieve mesh not recorded — a fine-root figure cannot be interpreted without it. ","")&amp;IF(AND(ISNUMBER($H647),$H647&gt;0.5),"Ash fraction above 0.5 — over half this sample was mineral soil. Re-wash. ","")&amp;IF($F647="Not separated","Live and dead not separated. Fine for a stock, but "&amp;"note it in reporting. ",""))</f>
        <v/>
      </c>
      <c r="P647" s="6"/>
      <c r="Q647" s="9" t="n">
        <f aca="false">IF($B647="",0,IF(COUNTIFS($B$5:$B647,$B647)=1,1,0))</f>
        <v>0</v>
      </c>
    </row>
    <row r="648" customFormat="false" ht="15" hidden="false" customHeight="false" outlineLevel="0" collapsed="false">
      <c r="A648" s="6"/>
      <c r="B648" s="6"/>
      <c r="C648" s="6"/>
      <c r="D648" s="6"/>
      <c r="E648" s="6"/>
      <c r="F648" s="6"/>
      <c r="G648" s="7"/>
      <c r="H648" s="7"/>
      <c r="I648" s="6"/>
      <c r="J648" s="9" t="str">
        <f aca="false">IF(NOT(ISNUMBER($G648)),"",IF(AND(ASH_CORRECTED="Yes",ISNUMBER($H648)),$G648*(1-$H648),$G648))</f>
        <v/>
      </c>
      <c r="K648" s="9" t="str">
        <f aca="false">IF($B648="","",IFERROR(AVERAGEIFS('2. Soil Data'!$G$5:$G$604,'2. Soil Data'!$B$5:$B$604,$B648),""))</f>
        <v/>
      </c>
      <c r="L648" s="9" t="str">
        <f aca="false">IF(NOT(ISNUMBER($K648)),"",PI()*($K648/2)^2)</f>
        <v/>
      </c>
      <c r="M648" s="9" t="str">
        <f aca="false">IF(OR(NOT(ISNUMBER($J648)),NOT(ISNUMBER($L648)),$L648=0),"",$J648/$L648*10000)</f>
        <v/>
      </c>
      <c r="N648" s="9" t="str">
        <f aca="false">IF(NOT(ISNUMBER($M648)),"",$M648*CARBON_FRACTION_ROOT/1000)</f>
        <v/>
      </c>
      <c r="O648" s="11" t="str">
        <f aca="false">IF(AND($A648="",$B648="",$G648=""),"",IF(AND($B648&lt;&gt;"",COUNTIFS('2. Soil Data'!$B$5:$B$604,$B648)=0),"Core ID not found in Soil Data, so the corer diameter cannot be looked up. ","")&amp;IF(ASH_CORRECTED&lt;&gt;"Yes","Root mass is NOT ash-corrected, so it includes adhering mineral soil and is too high. Set ASH_CORRECTED once you have done it. ","")&amp;IF(AND(ASH_CORRECTED="Yes",NOT(ISNUMBER($H648))),"Ash correction is switched on but no ash fraction is given for this row. ","")&amp;IF($I648="","Sieve mesh not recorded — a fine-root figure cannot be interpreted without it. ","")&amp;IF(AND(ISNUMBER($H648),$H648&gt;0.5),"Ash fraction above 0.5 — over half this sample was mineral soil. Re-wash. ","")&amp;IF($F648="Not separated","Live and dead not separated. Fine for a stock, but "&amp;"note it in reporting. ",""))</f>
        <v/>
      </c>
      <c r="P648" s="6"/>
      <c r="Q648" s="9" t="n">
        <f aca="false">IF($B648="",0,IF(COUNTIFS($B$5:$B648,$B648)=1,1,0))</f>
        <v>0</v>
      </c>
    </row>
    <row r="649" customFormat="false" ht="15" hidden="false" customHeight="false" outlineLevel="0" collapsed="false">
      <c r="A649" s="6"/>
      <c r="B649" s="6"/>
      <c r="C649" s="6"/>
      <c r="D649" s="6"/>
      <c r="E649" s="6"/>
      <c r="F649" s="6"/>
      <c r="G649" s="7"/>
      <c r="H649" s="7"/>
      <c r="I649" s="6"/>
      <c r="J649" s="9" t="str">
        <f aca="false">IF(NOT(ISNUMBER($G649)),"",IF(AND(ASH_CORRECTED="Yes",ISNUMBER($H649)),$G649*(1-$H649),$G649))</f>
        <v/>
      </c>
      <c r="K649" s="9" t="str">
        <f aca="false">IF($B649="","",IFERROR(AVERAGEIFS('2. Soil Data'!$G$5:$G$604,'2. Soil Data'!$B$5:$B$604,$B649),""))</f>
        <v/>
      </c>
      <c r="L649" s="9" t="str">
        <f aca="false">IF(NOT(ISNUMBER($K649)),"",PI()*($K649/2)^2)</f>
        <v/>
      </c>
      <c r="M649" s="9" t="str">
        <f aca="false">IF(OR(NOT(ISNUMBER($J649)),NOT(ISNUMBER($L649)),$L649=0),"",$J649/$L649*10000)</f>
        <v/>
      </c>
      <c r="N649" s="9" t="str">
        <f aca="false">IF(NOT(ISNUMBER($M649)),"",$M649*CARBON_FRACTION_ROOT/1000)</f>
        <v/>
      </c>
      <c r="O649" s="11" t="str">
        <f aca="false">IF(AND($A649="",$B649="",$G649=""),"",IF(AND($B649&lt;&gt;"",COUNTIFS('2. Soil Data'!$B$5:$B$604,$B649)=0),"Core ID not found in Soil Data, so the corer diameter cannot be looked up. ","")&amp;IF(ASH_CORRECTED&lt;&gt;"Yes","Root mass is NOT ash-corrected, so it includes adhering mineral soil and is too high. Set ASH_CORRECTED once you have done it. ","")&amp;IF(AND(ASH_CORRECTED="Yes",NOT(ISNUMBER($H649))),"Ash correction is switched on but no ash fraction is given for this row. ","")&amp;IF($I649="","Sieve mesh not recorded — a fine-root figure cannot be interpreted without it. ","")&amp;IF(AND(ISNUMBER($H649),$H649&gt;0.5),"Ash fraction above 0.5 — over half this sample was mineral soil. Re-wash. ","")&amp;IF($F649="Not separated","Live and dead not separated. Fine for a stock, but "&amp;"note it in reporting. ",""))</f>
        <v/>
      </c>
      <c r="P649" s="6"/>
      <c r="Q649" s="9" t="n">
        <f aca="false">IF($B649="",0,IF(COUNTIFS($B$5:$B649,$B649)=1,1,0))</f>
        <v>0</v>
      </c>
    </row>
    <row r="650" customFormat="false" ht="15" hidden="false" customHeight="false" outlineLevel="0" collapsed="false">
      <c r="A650" s="6"/>
      <c r="B650" s="6"/>
      <c r="C650" s="6"/>
      <c r="D650" s="6"/>
      <c r="E650" s="6"/>
      <c r="F650" s="6"/>
      <c r="G650" s="7"/>
      <c r="H650" s="7"/>
      <c r="I650" s="6"/>
      <c r="J650" s="9" t="str">
        <f aca="false">IF(NOT(ISNUMBER($G650)),"",IF(AND(ASH_CORRECTED="Yes",ISNUMBER($H650)),$G650*(1-$H650),$G650))</f>
        <v/>
      </c>
      <c r="K650" s="9" t="str">
        <f aca="false">IF($B650="","",IFERROR(AVERAGEIFS('2. Soil Data'!$G$5:$G$604,'2. Soil Data'!$B$5:$B$604,$B650),""))</f>
        <v/>
      </c>
      <c r="L650" s="9" t="str">
        <f aca="false">IF(NOT(ISNUMBER($K650)),"",PI()*($K650/2)^2)</f>
        <v/>
      </c>
      <c r="M650" s="9" t="str">
        <f aca="false">IF(OR(NOT(ISNUMBER($J650)),NOT(ISNUMBER($L650)),$L650=0),"",$J650/$L650*10000)</f>
        <v/>
      </c>
      <c r="N650" s="9" t="str">
        <f aca="false">IF(NOT(ISNUMBER($M650)),"",$M650*CARBON_FRACTION_ROOT/1000)</f>
        <v/>
      </c>
      <c r="O650" s="11" t="str">
        <f aca="false">IF(AND($A650="",$B650="",$G650=""),"",IF(AND($B650&lt;&gt;"",COUNTIFS('2. Soil Data'!$B$5:$B$604,$B650)=0),"Core ID not found in Soil Data, so the corer diameter cannot be looked up. ","")&amp;IF(ASH_CORRECTED&lt;&gt;"Yes","Root mass is NOT ash-corrected, so it includes adhering mineral soil and is too high. Set ASH_CORRECTED once you have done it. ","")&amp;IF(AND(ASH_CORRECTED="Yes",NOT(ISNUMBER($H650))),"Ash correction is switched on but no ash fraction is given for this row. ","")&amp;IF($I650="","Sieve mesh not recorded — a fine-root figure cannot be interpreted without it. ","")&amp;IF(AND(ISNUMBER($H650),$H650&gt;0.5),"Ash fraction above 0.5 — over half this sample was mineral soil. Re-wash. ","")&amp;IF($F650="Not separated","Live and dead not separated. Fine for a stock, but "&amp;"note it in reporting. ",""))</f>
        <v/>
      </c>
      <c r="P650" s="6"/>
      <c r="Q650" s="9" t="n">
        <f aca="false">IF($B650="",0,IF(COUNTIFS($B$5:$B650,$B650)=1,1,0))</f>
        <v>0</v>
      </c>
    </row>
    <row r="651" customFormat="false" ht="15" hidden="false" customHeight="false" outlineLevel="0" collapsed="false">
      <c r="A651" s="6"/>
      <c r="B651" s="6"/>
      <c r="C651" s="6"/>
      <c r="D651" s="6"/>
      <c r="E651" s="6"/>
      <c r="F651" s="6"/>
      <c r="G651" s="7"/>
      <c r="H651" s="7"/>
      <c r="I651" s="6"/>
      <c r="J651" s="9" t="str">
        <f aca="false">IF(NOT(ISNUMBER($G651)),"",IF(AND(ASH_CORRECTED="Yes",ISNUMBER($H651)),$G651*(1-$H651),$G651))</f>
        <v/>
      </c>
      <c r="K651" s="9" t="str">
        <f aca="false">IF($B651="","",IFERROR(AVERAGEIFS('2. Soil Data'!$G$5:$G$604,'2. Soil Data'!$B$5:$B$604,$B651),""))</f>
        <v/>
      </c>
      <c r="L651" s="9" t="str">
        <f aca="false">IF(NOT(ISNUMBER($K651)),"",PI()*($K651/2)^2)</f>
        <v/>
      </c>
      <c r="M651" s="9" t="str">
        <f aca="false">IF(OR(NOT(ISNUMBER($J651)),NOT(ISNUMBER($L651)),$L651=0),"",$J651/$L651*10000)</f>
        <v/>
      </c>
      <c r="N651" s="9" t="str">
        <f aca="false">IF(NOT(ISNUMBER($M651)),"",$M651*CARBON_FRACTION_ROOT/1000)</f>
        <v/>
      </c>
      <c r="O651" s="11" t="str">
        <f aca="false">IF(AND($A651="",$B651="",$G651=""),"",IF(AND($B651&lt;&gt;"",COUNTIFS('2. Soil Data'!$B$5:$B$604,$B651)=0),"Core ID not found in Soil Data, so the corer diameter cannot be looked up. ","")&amp;IF(ASH_CORRECTED&lt;&gt;"Yes","Root mass is NOT ash-corrected, so it includes adhering mineral soil and is too high. Set ASH_CORRECTED once you have done it. ","")&amp;IF(AND(ASH_CORRECTED="Yes",NOT(ISNUMBER($H651))),"Ash correction is switched on but no ash fraction is given for this row. ","")&amp;IF($I651="","Sieve mesh not recorded — a fine-root figure cannot be interpreted without it. ","")&amp;IF(AND(ISNUMBER($H651),$H651&gt;0.5),"Ash fraction above 0.5 — over half this sample was mineral soil. Re-wash. ","")&amp;IF($F651="Not separated","Live and dead not separated. Fine for a stock, but "&amp;"note it in reporting. ",""))</f>
        <v/>
      </c>
      <c r="P651" s="6"/>
      <c r="Q651" s="9" t="n">
        <f aca="false">IF($B651="",0,IF(COUNTIFS($B$5:$B651,$B651)=1,1,0))</f>
        <v>0</v>
      </c>
    </row>
    <row r="652" customFormat="false" ht="15" hidden="false" customHeight="false" outlineLevel="0" collapsed="false">
      <c r="A652" s="6"/>
      <c r="B652" s="6"/>
      <c r="C652" s="6"/>
      <c r="D652" s="6"/>
      <c r="E652" s="6"/>
      <c r="F652" s="6"/>
      <c r="G652" s="7"/>
      <c r="H652" s="7"/>
      <c r="I652" s="6"/>
      <c r="J652" s="9" t="str">
        <f aca="false">IF(NOT(ISNUMBER($G652)),"",IF(AND(ASH_CORRECTED="Yes",ISNUMBER($H652)),$G652*(1-$H652),$G652))</f>
        <v/>
      </c>
      <c r="K652" s="9" t="str">
        <f aca="false">IF($B652="","",IFERROR(AVERAGEIFS('2. Soil Data'!$G$5:$G$604,'2. Soil Data'!$B$5:$B$604,$B652),""))</f>
        <v/>
      </c>
      <c r="L652" s="9" t="str">
        <f aca="false">IF(NOT(ISNUMBER($K652)),"",PI()*($K652/2)^2)</f>
        <v/>
      </c>
      <c r="M652" s="9" t="str">
        <f aca="false">IF(OR(NOT(ISNUMBER($J652)),NOT(ISNUMBER($L652)),$L652=0),"",$J652/$L652*10000)</f>
        <v/>
      </c>
      <c r="N652" s="9" t="str">
        <f aca="false">IF(NOT(ISNUMBER($M652)),"",$M652*CARBON_FRACTION_ROOT/1000)</f>
        <v/>
      </c>
      <c r="O652" s="11" t="str">
        <f aca="false">IF(AND($A652="",$B652="",$G652=""),"",IF(AND($B652&lt;&gt;"",COUNTIFS('2. Soil Data'!$B$5:$B$604,$B652)=0),"Core ID not found in Soil Data, so the corer diameter cannot be looked up. ","")&amp;IF(ASH_CORRECTED&lt;&gt;"Yes","Root mass is NOT ash-corrected, so it includes adhering mineral soil and is too high. Set ASH_CORRECTED once you have done it. ","")&amp;IF(AND(ASH_CORRECTED="Yes",NOT(ISNUMBER($H652))),"Ash correction is switched on but no ash fraction is given for this row. ","")&amp;IF($I652="","Sieve mesh not recorded — a fine-root figure cannot be interpreted without it. ","")&amp;IF(AND(ISNUMBER($H652),$H652&gt;0.5),"Ash fraction above 0.5 — over half this sample was mineral soil. Re-wash. ","")&amp;IF($F652="Not separated","Live and dead not separated. Fine for a stock, but "&amp;"note it in reporting. ",""))</f>
        <v/>
      </c>
      <c r="P652" s="6"/>
      <c r="Q652" s="9" t="n">
        <f aca="false">IF($B652="",0,IF(COUNTIFS($B$5:$B652,$B652)=1,1,0))</f>
        <v>0</v>
      </c>
    </row>
    <row r="653" customFormat="false" ht="15" hidden="false" customHeight="false" outlineLevel="0" collapsed="false">
      <c r="A653" s="6"/>
      <c r="B653" s="6"/>
      <c r="C653" s="6"/>
      <c r="D653" s="6"/>
      <c r="E653" s="6"/>
      <c r="F653" s="6"/>
      <c r="G653" s="7"/>
      <c r="H653" s="7"/>
      <c r="I653" s="6"/>
      <c r="J653" s="9" t="str">
        <f aca="false">IF(NOT(ISNUMBER($G653)),"",IF(AND(ASH_CORRECTED="Yes",ISNUMBER($H653)),$G653*(1-$H653),$G653))</f>
        <v/>
      </c>
      <c r="K653" s="9" t="str">
        <f aca="false">IF($B653="","",IFERROR(AVERAGEIFS('2. Soil Data'!$G$5:$G$604,'2. Soil Data'!$B$5:$B$604,$B653),""))</f>
        <v/>
      </c>
      <c r="L653" s="9" t="str">
        <f aca="false">IF(NOT(ISNUMBER($K653)),"",PI()*($K653/2)^2)</f>
        <v/>
      </c>
      <c r="M653" s="9" t="str">
        <f aca="false">IF(OR(NOT(ISNUMBER($J653)),NOT(ISNUMBER($L653)),$L653=0),"",$J653/$L653*10000)</f>
        <v/>
      </c>
      <c r="N653" s="9" t="str">
        <f aca="false">IF(NOT(ISNUMBER($M653)),"",$M653*CARBON_FRACTION_ROOT/1000)</f>
        <v/>
      </c>
      <c r="O653" s="11" t="str">
        <f aca="false">IF(AND($A653="",$B653="",$G653=""),"",IF(AND($B653&lt;&gt;"",COUNTIFS('2. Soil Data'!$B$5:$B$604,$B653)=0),"Core ID not found in Soil Data, so the corer diameter cannot be looked up. ","")&amp;IF(ASH_CORRECTED&lt;&gt;"Yes","Root mass is NOT ash-corrected, so it includes adhering mineral soil and is too high. Set ASH_CORRECTED once you have done it. ","")&amp;IF(AND(ASH_CORRECTED="Yes",NOT(ISNUMBER($H653))),"Ash correction is switched on but no ash fraction is given for this row. ","")&amp;IF($I653="","Sieve mesh not recorded — a fine-root figure cannot be interpreted without it. ","")&amp;IF(AND(ISNUMBER($H653),$H653&gt;0.5),"Ash fraction above 0.5 — over half this sample was mineral soil. Re-wash. ","")&amp;IF($F653="Not separated","Live and dead not separated. Fine for a stock, but "&amp;"note it in reporting. ",""))</f>
        <v/>
      </c>
      <c r="P653" s="6"/>
      <c r="Q653" s="9" t="n">
        <f aca="false">IF($B653="",0,IF(COUNTIFS($B$5:$B653,$B653)=1,1,0))</f>
        <v>0</v>
      </c>
    </row>
    <row r="654" customFormat="false" ht="15" hidden="false" customHeight="false" outlineLevel="0" collapsed="false">
      <c r="A654" s="6"/>
      <c r="B654" s="6"/>
      <c r="C654" s="6"/>
      <c r="D654" s="6"/>
      <c r="E654" s="6"/>
      <c r="F654" s="6"/>
      <c r="G654" s="7"/>
      <c r="H654" s="7"/>
      <c r="I654" s="6"/>
      <c r="J654" s="9" t="str">
        <f aca="false">IF(NOT(ISNUMBER($G654)),"",IF(AND(ASH_CORRECTED="Yes",ISNUMBER($H654)),$G654*(1-$H654),$G654))</f>
        <v/>
      </c>
      <c r="K654" s="9" t="str">
        <f aca="false">IF($B654="","",IFERROR(AVERAGEIFS('2. Soil Data'!$G$5:$G$604,'2. Soil Data'!$B$5:$B$604,$B654),""))</f>
        <v/>
      </c>
      <c r="L654" s="9" t="str">
        <f aca="false">IF(NOT(ISNUMBER($K654)),"",PI()*($K654/2)^2)</f>
        <v/>
      </c>
      <c r="M654" s="9" t="str">
        <f aca="false">IF(OR(NOT(ISNUMBER($J654)),NOT(ISNUMBER($L654)),$L654=0),"",$J654/$L654*10000)</f>
        <v/>
      </c>
      <c r="N654" s="9" t="str">
        <f aca="false">IF(NOT(ISNUMBER($M654)),"",$M654*CARBON_FRACTION_ROOT/1000)</f>
        <v/>
      </c>
      <c r="O654" s="11" t="str">
        <f aca="false">IF(AND($A654="",$B654="",$G654=""),"",IF(AND($B654&lt;&gt;"",COUNTIFS('2. Soil Data'!$B$5:$B$604,$B654)=0),"Core ID not found in Soil Data, so the corer diameter cannot be looked up. ","")&amp;IF(ASH_CORRECTED&lt;&gt;"Yes","Root mass is NOT ash-corrected, so it includes adhering mineral soil and is too high. Set ASH_CORRECTED once you have done it. ","")&amp;IF(AND(ASH_CORRECTED="Yes",NOT(ISNUMBER($H654))),"Ash correction is switched on but no ash fraction is given for this row. ","")&amp;IF($I654="","Sieve mesh not recorded — a fine-root figure cannot be interpreted without it. ","")&amp;IF(AND(ISNUMBER($H654),$H654&gt;0.5),"Ash fraction above 0.5 — over half this sample was mineral soil. Re-wash. ","")&amp;IF($F654="Not separated","Live and dead not separated. Fine for a stock, but "&amp;"note it in reporting. ",""))</f>
        <v/>
      </c>
      <c r="P654" s="6"/>
      <c r="Q654" s="9" t="n">
        <f aca="false">IF($B654="",0,IF(COUNTIFS($B$5:$B654,$B654)=1,1,0))</f>
        <v>0</v>
      </c>
    </row>
    <row r="655" customFormat="false" ht="15" hidden="false" customHeight="false" outlineLevel="0" collapsed="false">
      <c r="A655" s="6"/>
      <c r="B655" s="6"/>
      <c r="C655" s="6"/>
      <c r="D655" s="6"/>
      <c r="E655" s="6"/>
      <c r="F655" s="6"/>
      <c r="G655" s="7"/>
      <c r="H655" s="7"/>
      <c r="I655" s="6"/>
      <c r="J655" s="9" t="str">
        <f aca="false">IF(NOT(ISNUMBER($G655)),"",IF(AND(ASH_CORRECTED="Yes",ISNUMBER($H655)),$G655*(1-$H655),$G655))</f>
        <v/>
      </c>
      <c r="K655" s="9" t="str">
        <f aca="false">IF($B655="","",IFERROR(AVERAGEIFS('2. Soil Data'!$G$5:$G$604,'2. Soil Data'!$B$5:$B$604,$B655),""))</f>
        <v/>
      </c>
      <c r="L655" s="9" t="str">
        <f aca="false">IF(NOT(ISNUMBER($K655)),"",PI()*($K655/2)^2)</f>
        <v/>
      </c>
      <c r="M655" s="9" t="str">
        <f aca="false">IF(OR(NOT(ISNUMBER($J655)),NOT(ISNUMBER($L655)),$L655=0),"",$J655/$L655*10000)</f>
        <v/>
      </c>
      <c r="N655" s="9" t="str">
        <f aca="false">IF(NOT(ISNUMBER($M655)),"",$M655*CARBON_FRACTION_ROOT/1000)</f>
        <v/>
      </c>
      <c r="O655" s="11" t="str">
        <f aca="false">IF(AND($A655="",$B655="",$G655=""),"",IF(AND($B655&lt;&gt;"",COUNTIFS('2. Soil Data'!$B$5:$B$604,$B655)=0),"Core ID not found in Soil Data, so the corer diameter cannot be looked up. ","")&amp;IF(ASH_CORRECTED&lt;&gt;"Yes","Root mass is NOT ash-corrected, so it includes adhering mineral soil and is too high. Set ASH_CORRECTED once you have done it. ","")&amp;IF(AND(ASH_CORRECTED="Yes",NOT(ISNUMBER($H655))),"Ash correction is switched on but no ash fraction is given for this row. ","")&amp;IF($I655="","Sieve mesh not recorded — a fine-root figure cannot be interpreted without it. ","")&amp;IF(AND(ISNUMBER($H655),$H655&gt;0.5),"Ash fraction above 0.5 — over half this sample was mineral soil. Re-wash. ","")&amp;IF($F655="Not separated","Live and dead not separated. Fine for a stock, but "&amp;"note it in reporting. ",""))</f>
        <v/>
      </c>
      <c r="P655" s="6"/>
      <c r="Q655" s="9" t="n">
        <f aca="false">IF($B655="",0,IF(COUNTIFS($B$5:$B655,$B655)=1,1,0))</f>
        <v>0</v>
      </c>
    </row>
    <row r="656" customFormat="false" ht="15" hidden="false" customHeight="false" outlineLevel="0" collapsed="false">
      <c r="A656" s="6"/>
      <c r="B656" s="6"/>
      <c r="C656" s="6"/>
      <c r="D656" s="6"/>
      <c r="E656" s="6"/>
      <c r="F656" s="6"/>
      <c r="G656" s="7"/>
      <c r="H656" s="7"/>
      <c r="I656" s="6"/>
      <c r="J656" s="9" t="str">
        <f aca="false">IF(NOT(ISNUMBER($G656)),"",IF(AND(ASH_CORRECTED="Yes",ISNUMBER($H656)),$G656*(1-$H656),$G656))</f>
        <v/>
      </c>
      <c r="K656" s="9" t="str">
        <f aca="false">IF($B656="","",IFERROR(AVERAGEIFS('2. Soil Data'!$G$5:$G$604,'2. Soil Data'!$B$5:$B$604,$B656),""))</f>
        <v/>
      </c>
      <c r="L656" s="9" t="str">
        <f aca="false">IF(NOT(ISNUMBER($K656)),"",PI()*($K656/2)^2)</f>
        <v/>
      </c>
      <c r="M656" s="9" t="str">
        <f aca="false">IF(OR(NOT(ISNUMBER($J656)),NOT(ISNUMBER($L656)),$L656=0),"",$J656/$L656*10000)</f>
        <v/>
      </c>
      <c r="N656" s="9" t="str">
        <f aca="false">IF(NOT(ISNUMBER($M656)),"",$M656*CARBON_FRACTION_ROOT/1000)</f>
        <v/>
      </c>
      <c r="O656" s="11" t="str">
        <f aca="false">IF(AND($A656="",$B656="",$G656=""),"",IF(AND($B656&lt;&gt;"",COUNTIFS('2. Soil Data'!$B$5:$B$604,$B656)=0),"Core ID not found in Soil Data, so the corer diameter cannot be looked up. ","")&amp;IF(ASH_CORRECTED&lt;&gt;"Yes","Root mass is NOT ash-corrected, so it includes adhering mineral soil and is too high. Set ASH_CORRECTED once you have done it. ","")&amp;IF(AND(ASH_CORRECTED="Yes",NOT(ISNUMBER($H656))),"Ash correction is switched on but no ash fraction is given for this row. ","")&amp;IF($I656="","Sieve mesh not recorded — a fine-root figure cannot be interpreted without it. ","")&amp;IF(AND(ISNUMBER($H656),$H656&gt;0.5),"Ash fraction above 0.5 — over half this sample was mineral soil. Re-wash. ","")&amp;IF($F656="Not separated","Live and dead not separated. Fine for a stock, but "&amp;"note it in reporting. ",""))</f>
        <v/>
      </c>
      <c r="P656" s="6"/>
      <c r="Q656" s="9" t="n">
        <f aca="false">IF($B656="",0,IF(COUNTIFS($B$5:$B656,$B656)=1,1,0))</f>
        <v>0</v>
      </c>
    </row>
    <row r="657" customFormat="false" ht="15" hidden="false" customHeight="false" outlineLevel="0" collapsed="false">
      <c r="A657" s="6"/>
      <c r="B657" s="6"/>
      <c r="C657" s="6"/>
      <c r="D657" s="6"/>
      <c r="E657" s="6"/>
      <c r="F657" s="6"/>
      <c r="G657" s="7"/>
      <c r="H657" s="7"/>
      <c r="I657" s="6"/>
      <c r="J657" s="9" t="str">
        <f aca="false">IF(NOT(ISNUMBER($G657)),"",IF(AND(ASH_CORRECTED="Yes",ISNUMBER($H657)),$G657*(1-$H657),$G657))</f>
        <v/>
      </c>
      <c r="K657" s="9" t="str">
        <f aca="false">IF($B657="","",IFERROR(AVERAGEIFS('2. Soil Data'!$G$5:$G$604,'2. Soil Data'!$B$5:$B$604,$B657),""))</f>
        <v/>
      </c>
      <c r="L657" s="9" t="str">
        <f aca="false">IF(NOT(ISNUMBER($K657)),"",PI()*($K657/2)^2)</f>
        <v/>
      </c>
      <c r="M657" s="9" t="str">
        <f aca="false">IF(OR(NOT(ISNUMBER($J657)),NOT(ISNUMBER($L657)),$L657=0),"",$J657/$L657*10000)</f>
        <v/>
      </c>
      <c r="N657" s="9" t="str">
        <f aca="false">IF(NOT(ISNUMBER($M657)),"",$M657*CARBON_FRACTION_ROOT/1000)</f>
        <v/>
      </c>
      <c r="O657" s="11" t="str">
        <f aca="false">IF(AND($A657="",$B657="",$G657=""),"",IF(AND($B657&lt;&gt;"",COUNTIFS('2. Soil Data'!$B$5:$B$604,$B657)=0),"Core ID not found in Soil Data, so the corer diameter cannot be looked up. ","")&amp;IF(ASH_CORRECTED&lt;&gt;"Yes","Root mass is NOT ash-corrected, so it includes adhering mineral soil and is too high. Set ASH_CORRECTED once you have done it. ","")&amp;IF(AND(ASH_CORRECTED="Yes",NOT(ISNUMBER($H657))),"Ash correction is switched on but no ash fraction is given for this row. ","")&amp;IF($I657="","Sieve mesh not recorded — a fine-root figure cannot be interpreted without it. ","")&amp;IF(AND(ISNUMBER($H657),$H657&gt;0.5),"Ash fraction above 0.5 — over half this sample was mineral soil. Re-wash. ","")&amp;IF($F657="Not separated","Live and dead not separated. Fine for a stock, but "&amp;"note it in reporting. ",""))</f>
        <v/>
      </c>
      <c r="P657" s="6"/>
      <c r="Q657" s="9" t="n">
        <f aca="false">IF($B657="",0,IF(COUNTIFS($B$5:$B657,$B657)=1,1,0))</f>
        <v>0</v>
      </c>
    </row>
    <row r="658" customFormat="false" ht="15" hidden="false" customHeight="false" outlineLevel="0" collapsed="false">
      <c r="A658" s="6"/>
      <c r="B658" s="6"/>
      <c r="C658" s="6"/>
      <c r="D658" s="6"/>
      <c r="E658" s="6"/>
      <c r="F658" s="6"/>
      <c r="G658" s="7"/>
      <c r="H658" s="7"/>
      <c r="I658" s="6"/>
      <c r="J658" s="9" t="str">
        <f aca="false">IF(NOT(ISNUMBER($G658)),"",IF(AND(ASH_CORRECTED="Yes",ISNUMBER($H658)),$G658*(1-$H658),$G658))</f>
        <v/>
      </c>
      <c r="K658" s="9" t="str">
        <f aca="false">IF($B658="","",IFERROR(AVERAGEIFS('2. Soil Data'!$G$5:$G$604,'2. Soil Data'!$B$5:$B$604,$B658),""))</f>
        <v/>
      </c>
      <c r="L658" s="9" t="str">
        <f aca="false">IF(NOT(ISNUMBER($K658)),"",PI()*($K658/2)^2)</f>
        <v/>
      </c>
      <c r="M658" s="9" t="str">
        <f aca="false">IF(OR(NOT(ISNUMBER($J658)),NOT(ISNUMBER($L658)),$L658=0),"",$J658/$L658*10000)</f>
        <v/>
      </c>
      <c r="N658" s="9" t="str">
        <f aca="false">IF(NOT(ISNUMBER($M658)),"",$M658*CARBON_FRACTION_ROOT/1000)</f>
        <v/>
      </c>
      <c r="O658" s="11" t="str">
        <f aca="false">IF(AND($A658="",$B658="",$G658=""),"",IF(AND($B658&lt;&gt;"",COUNTIFS('2. Soil Data'!$B$5:$B$604,$B658)=0),"Core ID not found in Soil Data, so the corer diameter cannot be looked up. ","")&amp;IF(ASH_CORRECTED&lt;&gt;"Yes","Root mass is NOT ash-corrected, so it includes adhering mineral soil and is too high. Set ASH_CORRECTED once you have done it. ","")&amp;IF(AND(ASH_CORRECTED="Yes",NOT(ISNUMBER($H658))),"Ash correction is switched on but no ash fraction is given for this row. ","")&amp;IF($I658="","Sieve mesh not recorded — a fine-root figure cannot be interpreted without it. ","")&amp;IF(AND(ISNUMBER($H658),$H658&gt;0.5),"Ash fraction above 0.5 — over half this sample was mineral soil. Re-wash. ","")&amp;IF($F658="Not separated","Live and dead not separated. Fine for a stock, but "&amp;"note it in reporting. ",""))</f>
        <v/>
      </c>
      <c r="P658" s="6"/>
      <c r="Q658" s="9" t="n">
        <f aca="false">IF($B658="",0,IF(COUNTIFS($B$5:$B658,$B658)=1,1,0))</f>
        <v>0</v>
      </c>
    </row>
    <row r="659" customFormat="false" ht="15" hidden="false" customHeight="false" outlineLevel="0" collapsed="false">
      <c r="A659" s="6"/>
      <c r="B659" s="6"/>
      <c r="C659" s="6"/>
      <c r="D659" s="6"/>
      <c r="E659" s="6"/>
      <c r="F659" s="6"/>
      <c r="G659" s="7"/>
      <c r="H659" s="7"/>
      <c r="I659" s="6"/>
      <c r="J659" s="9" t="str">
        <f aca="false">IF(NOT(ISNUMBER($G659)),"",IF(AND(ASH_CORRECTED="Yes",ISNUMBER($H659)),$G659*(1-$H659),$G659))</f>
        <v/>
      </c>
      <c r="K659" s="9" t="str">
        <f aca="false">IF($B659="","",IFERROR(AVERAGEIFS('2. Soil Data'!$G$5:$G$604,'2. Soil Data'!$B$5:$B$604,$B659),""))</f>
        <v/>
      </c>
      <c r="L659" s="9" t="str">
        <f aca="false">IF(NOT(ISNUMBER($K659)),"",PI()*($K659/2)^2)</f>
        <v/>
      </c>
      <c r="M659" s="9" t="str">
        <f aca="false">IF(OR(NOT(ISNUMBER($J659)),NOT(ISNUMBER($L659)),$L659=0),"",$J659/$L659*10000)</f>
        <v/>
      </c>
      <c r="N659" s="9" t="str">
        <f aca="false">IF(NOT(ISNUMBER($M659)),"",$M659*CARBON_FRACTION_ROOT/1000)</f>
        <v/>
      </c>
      <c r="O659" s="11" t="str">
        <f aca="false">IF(AND($A659="",$B659="",$G659=""),"",IF(AND($B659&lt;&gt;"",COUNTIFS('2. Soil Data'!$B$5:$B$604,$B659)=0),"Core ID not found in Soil Data, so the corer diameter cannot be looked up. ","")&amp;IF(ASH_CORRECTED&lt;&gt;"Yes","Root mass is NOT ash-corrected, so it includes adhering mineral soil and is too high. Set ASH_CORRECTED once you have done it. ","")&amp;IF(AND(ASH_CORRECTED="Yes",NOT(ISNUMBER($H659))),"Ash correction is switched on but no ash fraction is given for this row. ","")&amp;IF($I659="","Sieve mesh not recorded — a fine-root figure cannot be interpreted without it. ","")&amp;IF(AND(ISNUMBER($H659),$H659&gt;0.5),"Ash fraction above 0.5 — over half this sample was mineral soil. Re-wash. ","")&amp;IF($F659="Not separated","Live and dead not separated. Fine for a stock, but "&amp;"note it in reporting. ",""))</f>
        <v/>
      </c>
      <c r="P659" s="6"/>
      <c r="Q659" s="9" t="n">
        <f aca="false">IF($B659="",0,IF(COUNTIFS($B$5:$B659,$B659)=1,1,0))</f>
        <v>0</v>
      </c>
    </row>
    <row r="660" customFormat="false" ht="15" hidden="false" customHeight="false" outlineLevel="0" collapsed="false">
      <c r="A660" s="6"/>
      <c r="B660" s="6"/>
      <c r="C660" s="6"/>
      <c r="D660" s="6"/>
      <c r="E660" s="6"/>
      <c r="F660" s="6"/>
      <c r="G660" s="7"/>
      <c r="H660" s="7"/>
      <c r="I660" s="6"/>
      <c r="J660" s="9" t="str">
        <f aca="false">IF(NOT(ISNUMBER($G660)),"",IF(AND(ASH_CORRECTED="Yes",ISNUMBER($H660)),$G660*(1-$H660),$G660))</f>
        <v/>
      </c>
      <c r="K660" s="9" t="str">
        <f aca="false">IF($B660="","",IFERROR(AVERAGEIFS('2. Soil Data'!$G$5:$G$604,'2. Soil Data'!$B$5:$B$604,$B660),""))</f>
        <v/>
      </c>
      <c r="L660" s="9" t="str">
        <f aca="false">IF(NOT(ISNUMBER($K660)),"",PI()*($K660/2)^2)</f>
        <v/>
      </c>
      <c r="M660" s="9" t="str">
        <f aca="false">IF(OR(NOT(ISNUMBER($J660)),NOT(ISNUMBER($L660)),$L660=0),"",$J660/$L660*10000)</f>
        <v/>
      </c>
      <c r="N660" s="9" t="str">
        <f aca="false">IF(NOT(ISNUMBER($M660)),"",$M660*CARBON_FRACTION_ROOT/1000)</f>
        <v/>
      </c>
      <c r="O660" s="11" t="str">
        <f aca="false">IF(AND($A660="",$B660="",$G660=""),"",IF(AND($B660&lt;&gt;"",COUNTIFS('2. Soil Data'!$B$5:$B$604,$B660)=0),"Core ID not found in Soil Data, so the corer diameter cannot be looked up. ","")&amp;IF(ASH_CORRECTED&lt;&gt;"Yes","Root mass is NOT ash-corrected, so it includes adhering mineral soil and is too high. Set ASH_CORRECTED once you have done it. ","")&amp;IF(AND(ASH_CORRECTED="Yes",NOT(ISNUMBER($H660))),"Ash correction is switched on but no ash fraction is given for this row. ","")&amp;IF($I660="","Sieve mesh not recorded — a fine-root figure cannot be interpreted without it. ","")&amp;IF(AND(ISNUMBER($H660),$H660&gt;0.5),"Ash fraction above 0.5 — over half this sample was mineral soil. Re-wash. ","")&amp;IF($F660="Not separated","Live and dead not separated. Fine for a stock, but "&amp;"note it in reporting. ",""))</f>
        <v/>
      </c>
      <c r="P660" s="6"/>
      <c r="Q660" s="9" t="n">
        <f aca="false">IF($B660="",0,IF(COUNTIFS($B$5:$B660,$B660)=1,1,0))</f>
        <v>0</v>
      </c>
    </row>
    <row r="661" customFormat="false" ht="15" hidden="false" customHeight="false" outlineLevel="0" collapsed="false">
      <c r="A661" s="6"/>
      <c r="B661" s="6"/>
      <c r="C661" s="6"/>
      <c r="D661" s="6"/>
      <c r="E661" s="6"/>
      <c r="F661" s="6"/>
      <c r="G661" s="7"/>
      <c r="H661" s="7"/>
      <c r="I661" s="6"/>
      <c r="J661" s="9" t="str">
        <f aca="false">IF(NOT(ISNUMBER($G661)),"",IF(AND(ASH_CORRECTED="Yes",ISNUMBER($H661)),$G661*(1-$H661),$G661))</f>
        <v/>
      </c>
      <c r="K661" s="9" t="str">
        <f aca="false">IF($B661="","",IFERROR(AVERAGEIFS('2. Soil Data'!$G$5:$G$604,'2. Soil Data'!$B$5:$B$604,$B661),""))</f>
        <v/>
      </c>
      <c r="L661" s="9" t="str">
        <f aca="false">IF(NOT(ISNUMBER($K661)),"",PI()*($K661/2)^2)</f>
        <v/>
      </c>
      <c r="M661" s="9" t="str">
        <f aca="false">IF(OR(NOT(ISNUMBER($J661)),NOT(ISNUMBER($L661)),$L661=0),"",$J661/$L661*10000)</f>
        <v/>
      </c>
      <c r="N661" s="9" t="str">
        <f aca="false">IF(NOT(ISNUMBER($M661)),"",$M661*CARBON_FRACTION_ROOT/1000)</f>
        <v/>
      </c>
      <c r="O661" s="11" t="str">
        <f aca="false">IF(AND($A661="",$B661="",$G661=""),"",IF(AND($B661&lt;&gt;"",COUNTIFS('2. Soil Data'!$B$5:$B$604,$B661)=0),"Core ID not found in Soil Data, so the corer diameter cannot be looked up. ","")&amp;IF(ASH_CORRECTED&lt;&gt;"Yes","Root mass is NOT ash-corrected, so it includes adhering mineral soil and is too high. Set ASH_CORRECTED once you have done it. ","")&amp;IF(AND(ASH_CORRECTED="Yes",NOT(ISNUMBER($H661))),"Ash correction is switched on but no ash fraction is given for this row. ","")&amp;IF($I661="","Sieve mesh not recorded — a fine-root figure cannot be interpreted without it. ","")&amp;IF(AND(ISNUMBER($H661),$H661&gt;0.5),"Ash fraction above 0.5 — over half this sample was mineral soil. Re-wash. ","")&amp;IF($F661="Not separated","Live and dead not separated. Fine for a stock, but "&amp;"note it in reporting. ",""))</f>
        <v/>
      </c>
      <c r="P661" s="6"/>
      <c r="Q661" s="9" t="n">
        <f aca="false">IF($B661="",0,IF(COUNTIFS($B$5:$B661,$B661)=1,1,0))</f>
        <v>0</v>
      </c>
    </row>
    <row r="662" customFormat="false" ht="15" hidden="false" customHeight="false" outlineLevel="0" collapsed="false">
      <c r="A662" s="6"/>
      <c r="B662" s="6"/>
      <c r="C662" s="6"/>
      <c r="D662" s="6"/>
      <c r="E662" s="6"/>
      <c r="F662" s="6"/>
      <c r="G662" s="7"/>
      <c r="H662" s="7"/>
      <c r="I662" s="6"/>
      <c r="J662" s="9" t="str">
        <f aca="false">IF(NOT(ISNUMBER($G662)),"",IF(AND(ASH_CORRECTED="Yes",ISNUMBER($H662)),$G662*(1-$H662),$G662))</f>
        <v/>
      </c>
      <c r="K662" s="9" t="str">
        <f aca="false">IF($B662="","",IFERROR(AVERAGEIFS('2. Soil Data'!$G$5:$G$604,'2. Soil Data'!$B$5:$B$604,$B662),""))</f>
        <v/>
      </c>
      <c r="L662" s="9" t="str">
        <f aca="false">IF(NOT(ISNUMBER($K662)),"",PI()*($K662/2)^2)</f>
        <v/>
      </c>
      <c r="M662" s="9" t="str">
        <f aca="false">IF(OR(NOT(ISNUMBER($J662)),NOT(ISNUMBER($L662)),$L662=0),"",$J662/$L662*10000)</f>
        <v/>
      </c>
      <c r="N662" s="9" t="str">
        <f aca="false">IF(NOT(ISNUMBER($M662)),"",$M662*CARBON_FRACTION_ROOT/1000)</f>
        <v/>
      </c>
      <c r="O662" s="11" t="str">
        <f aca="false">IF(AND($A662="",$B662="",$G662=""),"",IF(AND($B662&lt;&gt;"",COUNTIFS('2. Soil Data'!$B$5:$B$604,$B662)=0),"Core ID not found in Soil Data, so the corer diameter cannot be looked up. ","")&amp;IF(ASH_CORRECTED&lt;&gt;"Yes","Root mass is NOT ash-corrected, so it includes adhering mineral soil and is too high. Set ASH_CORRECTED once you have done it. ","")&amp;IF(AND(ASH_CORRECTED="Yes",NOT(ISNUMBER($H662))),"Ash correction is switched on but no ash fraction is given for this row. ","")&amp;IF($I662="","Sieve mesh not recorded — a fine-root figure cannot be interpreted without it. ","")&amp;IF(AND(ISNUMBER($H662),$H662&gt;0.5),"Ash fraction above 0.5 — over half this sample was mineral soil. Re-wash. ","")&amp;IF($F662="Not separated","Live and dead not separated. Fine for a stock, but "&amp;"note it in reporting. ",""))</f>
        <v/>
      </c>
      <c r="P662" s="6"/>
      <c r="Q662" s="9" t="n">
        <f aca="false">IF($B662="",0,IF(COUNTIFS($B$5:$B662,$B662)=1,1,0))</f>
        <v>0</v>
      </c>
    </row>
    <row r="663" customFormat="false" ht="15" hidden="false" customHeight="false" outlineLevel="0" collapsed="false">
      <c r="A663" s="6"/>
      <c r="B663" s="6"/>
      <c r="C663" s="6"/>
      <c r="D663" s="6"/>
      <c r="E663" s="6"/>
      <c r="F663" s="6"/>
      <c r="G663" s="7"/>
      <c r="H663" s="7"/>
      <c r="I663" s="6"/>
      <c r="J663" s="9" t="str">
        <f aca="false">IF(NOT(ISNUMBER($G663)),"",IF(AND(ASH_CORRECTED="Yes",ISNUMBER($H663)),$G663*(1-$H663),$G663))</f>
        <v/>
      </c>
      <c r="K663" s="9" t="str">
        <f aca="false">IF($B663="","",IFERROR(AVERAGEIFS('2. Soil Data'!$G$5:$G$604,'2. Soil Data'!$B$5:$B$604,$B663),""))</f>
        <v/>
      </c>
      <c r="L663" s="9" t="str">
        <f aca="false">IF(NOT(ISNUMBER($K663)),"",PI()*($K663/2)^2)</f>
        <v/>
      </c>
      <c r="M663" s="9" t="str">
        <f aca="false">IF(OR(NOT(ISNUMBER($J663)),NOT(ISNUMBER($L663)),$L663=0),"",$J663/$L663*10000)</f>
        <v/>
      </c>
      <c r="N663" s="9" t="str">
        <f aca="false">IF(NOT(ISNUMBER($M663)),"",$M663*CARBON_FRACTION_ROOT/1000)</f>
        <v/>
      </c>
      <c r="O663" s="11" t="str">
        <f aca="false">IF(AND($A663="",$B663="",$G663=""),"",IF(AND($B663&lt;&gt;"",COUNTIFS('2. Soil Data'!$B$5:$B$604,$B663)=0),"Core ID not found in Soil Data, so the corer diameter cannot be looked up. ","")&amp;IF(ASH_CORRECTED&lt;&gt;"Yes","Root mass is NOT ash-corrected, so it includes adhering mineral soil and is too high. Set ASH_CORRECTED once you have done it. ","")&amp;IF(AND(ASH_CORRECTED="Yes",NOT(ISNUMBER($H663))),"Ash correction is switched on but no ash fraction is given for this row. ","")&amp;IF($I663="","Sieve mesh not recorded — a fine-root figure cannot be interpreted without it. ","")&amp;IF(AND(ISNUMBER($H663),$H663&gt;0.5),"Ash fraction above 0.5 — over half this sample was mineral soil. Re-wash. ","")&amp;IF($F663="Not separated","Live and dead not separated. Fine for a stock, but "&amp;"note it in reporting. ",""))</f>
        <v/>
      </c>
      <c r="P663" s="6"/>
      <c r="Q663" s="9" t="n">
        <f aca="false">IF($B663="",0,IF(COUNTIFS($B$5:$B663,$B663)=1,1,0))</f>
        <v>0</v>
      </c>
    </row>
    <row r="664" customFormat="false" ht="15" hidden="false" customHeight="false" outlineLevel="0" collapsed="false">
      <c r="A664" s="6"/>
      <c r="B664" s="6"/>
      <c r="C664" s="6"/>
      <c r="D664" s="6"/>
      <c r="E664" s="6"/>
      <c r="F664" s="6"/>
      <c r="G664" s="7"/>
      <c r="H664" s="7"/>
      <c r="I664" s="6"/>
      <c r="J664" s="9" t="str">
        <f aca="false">IF(NOT(ISNUMBER($G664)),"",IF(AND(ASH_CORRECTED="Yes",ISNUMBER($H664)),$G664*(1-$H664),$G664))</f>
        <v/>
      </c>
      <c r="K664" s="9" t="str">
        <f aca="false">IF($B664="","",IFERROR(AVERAGEIFS('2. Soil Data'!$G$5:$G$604,'2. Soil Data'!$B$5:$B$604,$B664),""))</f>
        <v/>
      </c>
      <c r="L664" s="9" t="str">
        <f aca="false">IF(NOT(ISNUMBER($K664)),"",PI()*($K664/2)^2)</f>
        <v/>
      </c>
      <c r="M664" s="9" t="str">
        <f aca="false">IF(OR(NOT(ISNUMBER($J664)),NOT(ISNUMBER($L664)),$L664=0),"",$J664/$L664*10000)</f>
        <v/>
      </c>
      <c r="N664" s="9" t="str">
        <f aca="false">IF(NOT(ISNUMBER($M664)),"",$M664*CARBON_FRACTION_ROOT/1000)</f>
        <v/>
      </c>
      <c r="O664" s="11" t="str">
        <f aca="false">IF(AND($A664="",$B664="",$G664=""),"",IF(AND($B664&lt;&gt;"",COUNTIFS('2. Soil Data'!$B$5:$B$604,$B664)=0),"Core ID not found in Soil Data, so the corer diameter cannot be looked up. ","")&amp;IF(ASH_CORRECTED&lt;&gt;"Yes","Root mass is NOT ash-corrected, so it includes adhering mineral soil and is too high. Set ASH_CORRECTED once you have done it. ","")&amp;IF(AND(ASH_CORRECTED="Yes",NOT(ISNUMBER($H664))),"Ash correction is switched on but no ash fraction is given for this row. ","")&amp;IF($I664="","Sieve mesh not recorded — a fine-root figure cannot be interpreted without it. ","")&amp;IF(AND(ISNUMBER($H664),$H664&gt;0.5),"Ash fraction above 0.5 — over half this sample was mineral soil. Re-wash. ","")&amp;IF($F664="Not separated","Live and dead not separated. Fine for a stock, but "&amp;"note it in reporting. ",""))</f>
        <v/>
      </c>
      <c r="P664" s="6"/>
      <c r="Q664" s="9" t="n">
        <f aca="false">IF($B664="",0,IF(COUNTIFS($B$5:$B664,$B664)=1,1,0))</f>
        <v>0</v>
      </c>
    </row>
    <row r="665" customFormat="false" ht="15" hidden="false" customHeight="false" outlineLevel="0" collapsed="false">
      <c r="A665" s="6"/>
      <c r="B665" s="6"/>
      <c r="C665" s="6"/>
      <c r="D665" s="6"/>
      <c r="E665" s="6"/>
      <c r="F665" s="6"/>
      <c r="G665" s="7"/>
      <c r="H665" s="7"/>
      <c r="I665" s="6"/>
      <c r="J665" s="9" t="str">
        <f aca="false">IF(NOT(ISNUMBER($G665)),"",IF(AND(ASH_CORRECTED="Yes",ISNUMBER($H665)),$G665*(1-$H665),$G665))</f>
        <v/>
      </c>
      <c r="K665" s="9" t="str">
        <f aca="false">IF($B665="","",IFERROR(AVERAGEIFS('2. Soil Data'!$G$5:$G$604,'2. Soil Data'!$B$5:$B$604,$B665),""))</f>
        <v/>
      </c>
      <c r="L665" s="9" t="str">
        <f aca="false">IF(NOT(ISNUMBER($K665)),"",PI()*($K665/2)^2)</f>
        <v/>
      </c>
      <c r="M665" s="9" t="str">
        <f aca="false">IF(OR(NOT(ISNUMBER($J665)),NOT(ISNUMBER($L665)),$L665=0),"",$J665/$L665*10000)</f>
        <v/>
      </c>
      <c r="N665" s="9" t="str">
        <f aca="false">IF(NOT(ISNUMBER($M665)),"",$M665*CARBON_FRACTION_ROOT/1000)</f>
        <v/>
      </c>
      <c r="O665" s="11" t="str">
        <f aca="false">IF(AND($A665="",$B665="",$G665=""),"",IF(AND($B665&lt;&gt;"",COUNTIFS('2. Soil Data'!$B$5:$B$604,$B665)=0),"Core ID not found in Soil Data, so the corer diameter cannot be looked up. ","")&amp;IF(ASH_CORRECTED&lt;&gt;"Yes","Root mass is NOT ash-corrected, so it includes adhering mineral soil and is too high. Set ASH_CORRECTED once you have done it. ","")&amp;IF(AND(ASH_CORRECTED="Yes",NOT(ISNUMBER($H665))),"Ash correction is switched on but no ash fraction is given for this row. ","")&amp;IF($I665="","Sieve mesh not recorded — a fine-root figure cannot be interpreted without it. ","")&amp;IF(AND(ISNUMBER($H665),$H665&gt;0.5),"Ash fraction above 0.5 — over half this sample was mineral soil. Re-wash. ","")&amp;IF($F665="Not separated","Live and dead not separated. Fine for a stock, but "&amp;"note it in reporting. ",""))</f>
        <v/>
      </c>
      <c r="P665" s="6"/>
      <c r="Q665" s="9" t="n">
        <f aca="false">IF($B665="",0,IF(COUNTIFS($B$5:$B665,$B665)=1,1,0))</f>
        <v>0</v>
      </c>
    </row>
    <row r="666" customFormat="false" ht="15" hidden="false" customHeight="false" outlineLevel="0" collapsed="false">
      <c r="A666" s="6"/>
      <c r="B666" s="6"/>
      <c r="C666" s="6"/>
      <c r="D666" s="6"/>
      <c r="E666" s="6"/>
      <c r="F666" s="6"/>
      <c r="G666" s="7"/>
      <c r="H666" s="7"/>
      <c r="I666" s="6"/>
      <c r="J666" s="9" t="str">
        <f aca="false">IF(NOT(ISNUMBER($G666)),"",IF(AND(ASH_CORRECTED="Yes",ISNUMBER($H666)),$G666*(1-$H666),$G666))</f>
        <v/>
      </c>
      <c r="K666" s="9" t="str">
        <f aca="false">IF($B666="","",IFERROR(AVERAGEIFS('2. Soil Data'!$G$5:$G$604,'2. Soil Data'!$B$5:$B$604,$B666),""))</f>
        <v/>
      </c>
      <c r="L666" s="9" t="str">
        <f aca="false">IF(NOT(ISNUMBER($K666)),"",PI()*($K666/2)^2)</f>
        <v/>
      </c>
      <c r="M666" s="9" t="str">
        <f aca="false">IF(OR(NOT(ISNUMBER($J666)),NOT(ISNUMBER($L666)),$L666=0),"",$J666/$L666*10000)</f>
        <v/>
      </c>
      <c r="N666" s="9" t="str">
        <f aca="false">IF(NOT(ISNUMBER($M666)),"",$M666*CARBON_FRACTION_ROOT/1000)</f>
        <v/>
      </c>
      <c r="O666" s="11" t="str">
        <f aca="false">IF(AND($A666="",$B666="",$G666=""),"",IF(AND($B666&lt;&gt;"",COUNTIFS('2. Soil Data'!$B$5:$B$604,$B666)=0),"Core ID not found in Soil Data, so the corer diameter cannot be looked up. ","")&amp;IF(ASH_CORRECTED&lt;&gt;"Yes","Root mass is NOT ash-corrected, so it includes adhering mineral soil and is too high. Set ASH_CORRECTED once you have done it. ","")&amp;IF(AND(ASH_CORRECTED="Yes",NOT(ISNUMBER($H666))),"Ash correction is switched on but no ash fraction is given for this row. ","")&amp;IF($I666="","Sieve mesh not recorded — a fine-root figure cannot be interpreted without it. ","")&amp;IF(AND(ISNUMBER($H666),$H666&gt;0.5),"Ash fraction above 0.5 — over half this sample was mineral soil. Re-wash. ","")&amp;IF($F666="Not separated","Live and dead not separated. Fine for a stock, but "&amp;"note it in reporting. ",""))</f>
        <v/>
      </c>
      <c r="P666" s="6"/>
      <c r="Q666" s="9" t="n">
        <f aca="false">IF($B666="",0,IF(COUNTIFS($B$5:$B666,$B666)=1,1,0))</f>
        <v>0</v>
      </c>
    </row>
    <row r="667" customFormat="false" ht="15" hidden="false" customHeight="false" outlineLevel="0" collapsed="false">
      <c r="A667" s="6"/>
      <c r="B667" s="6"/>
      <c r="C667" s="6"/>
      <c r="D667" s="6"/>
      <c r="E667" s="6"/>
      <c r="F667" s="6"/>
      <c r="G667" s="7"/>
      <c r="H667" s="7"/>
      <c r="I667" s="6"/>
      <c r="J667" s="9" t="str">
        <f aca="false">IF(NOT(ISNUMBER($G667)),"",IF(AND(ASH_CORRECTED="Yes",ISNUMBER($H667)),$G667*(1-$H667),$G667))</f>
        <v/>
      </c>
      <c r="K667" s="9" t="str">
        <f aca="false">IF($B667="","",IFERROR(AVERAGEIFS('2. Soil Data'!$G$5:$G$604,'2. Soil Data'!$B$5:$B$604,$B667),""))</f>
        <v/>
      </c>
      <c r="L667" s="9" t="str">
        <f aca="false">IF(NOT(ISNUMBER($K667)),"",PI()*($K667/2)^2)</f>
        <v/>
      </c>
      <c r="M667" s="9" t="str">
        <f aca="false">IF(OR(NOT(ISNUMBER($J667)),NOT(ISNUMBER($L667)),$L667=0),"",$J667/$L667*10000)</f>
        <v/>
      </c>
      <c r="N667" s="9" t="str">
        <f aca="false">IF(NOT(ISNUMBER($M667)),"",$M667*CARBON_FRACTION_ROOT/1000)</f>
        <v/>
      </c>
      <c r="O667" s="11" t="str">
        <f aca="false">IF(AND($A667="",$B667="",$G667=""),"",IF(AND($B667&lt;&gt;"",COUNTIFS('2. Soil Data'!$B$5:$B$604,$B667)=0),"Core ID not found in Soil Data, so the corer diameter cannot be looked up. ","")&amp;IF(ASH_CORRECTED&lt;&gt;"Yes","Root mass is NOT ash-corrected, so it includes adhering mineral soil and is too high. Set ASH_CORRECTED once you have done it. ","")&amp;IF(AND(ASH_CORRECTED="Yes",NOT(ISNUMBER($H667))),"Ash correction is switched on but no ash fraction is given for this row. ","")&amp;IF($I667="","Sieve mesh not recorded — a fine-root figure cannot be interpreted without it. ","")&amp;IF(AND(ISNUMBER($H667),$H667&gt;0.5),"Ash fraction above 0.5 — over half this sample was mineral soil. Re-wash. ","")&amp;IF($F667="Not separated","Live and dead not separated. Fine for a stock, but "&amp;"note it in reporting. ",""))</f>
        <v/>
      </c>
      <c r="P667" s="6"/>
      <c r="Q667" s="9" t="n">
        <f aca="false">IF($B667="",0,IF(COUNTIFS($B$5:$B667,$B667)=1,1,0))</f>
        <v>0</v>
      </c>
    </row>
    <row r="668" customFormat="false" ht="15" hidden="false" customHeight="false" outlineLevel="0" collapsed="false">
      <c r="A668" s="6"/>
      <c r="B668" s="6"/>
      <c r="C668" s="6"/>
      <c r="D668" s="6"/>
      <c r="E668" s="6"/>
      <c r="F668" s="6"/>
      <c r="G668" s="7"/>
      <c r="H668" s="7"/>
      <c r="I668" s="6"/>
      <c r="J668" s="9" t="str">
        <f aca="false">IF(NOT(ISNUMBER($G668)),"",IF(AND(ASH_CORRECTED="Yes",ISNUMBER($H668)),$G668*(1-$H668),$G668))</f>
        <v/>
      </c>
      <c r="K668" s="9" t="str">
        <f aca="false">IF($B668="","",IFERROR(AVERAGEIFS('2. Soil Data'!$G$5:$G$604,'2. Soil Data'!$B$5:$B$604,$B668),""))</f>
        <v/>
      </c>
      <c r="L668" s="9" t="str">
        <f aca="false">IF(NOT(ISNUMBER($K668)),"",PI()*($K668/2)^2)</f>
        <v/>
      </c>
      <c r="M668" s="9" t="str">
        <f aca="false">IF(OR(NOT(ISNUMBER($J668)),NOT(ISNUMBER($L668)),$L668=0),"",$J668/$L668*10000)</f>
        <v/>
      </c>
      <c r="N668" s="9" t="str">
        <f aca="false">IF(NOT(ISNUMBER($M668)),"",$M668*CARBON_FRACTION_ROOT/1000)</f>
        <v/>
      </c>
      <c r="O668" s="11" t="str">
        <f aca="false">IF(AND($A668="",$B668="",$G668=""),"",IF(AND($B668&lt;&gt;"",COUNTIFS('2. Soil Data'!$B$5:$B$604,$B668)=0),"Core ID not found in Soil Data, so the corer diameter cannot be looked up. ","")&amp;IF(ASH_CORRECTED&lt;&gt;"Yes","Root mass is NOT ash-corrected, so it includes adhering mineral soil and is too high. Set ASH_CORRECTED once you have done it. ","")&amp;IF(AND(ASH_CORRECTED="Yes",NOT(ISNUMBER($H668))),"Ash correction is switched on but no ash fraction is given for this row. ","")&amp;IF($I668="","Sieve mesh not recorded — a fine-root figure cannot be interpreted without it. ","")&amp;IF(AND(ISNUMBER($H668),$H668&gt;0.5),"Ash fraction above 0.5 — over half this sample was mineral soil. Re-wash. ","")&amp;IF($F668="Not separated","Live and dead not separated. Fine for a stock, but "&amp;"note it in reporting. ",""))</f>
        <v/>
      </c>
      <c r="P668" s="6"/>
      <c r="Q668" s="9" t="n">
        <f aca="false">IF($B668="",0,IF(COUNTIFS($B$5:$B668,$B668)=1,1,0))</f>
        <v>0</v>
      </c>
    </row>
    <row r="669" customFormat="false" ht="15" hidden="false" customHeight="false" outlineLevel="0" collapsed="false">
      <c r="A669" s="6"/>
      <c r="B669" s="6"/>
      <c r="C669" s="6"/>
      <c r="D669" s="6"/>
      <c r="E669" s="6"/>
      <c r="F669" s="6"/>
      <c r="G669" s="7"/>
      <c r="H669" s="7"/>
      <c r="I669" s="6"/>
      <c r="J669" s="9" t="str">
        <f aca="false">IF(NOT(ISNUMBER($G669)),"",IF(AND(ASH_CORRECTED="Yes",ISNUMBER($H669)),$G669*(1-$H669),$G669))</f>
        <v/>
      </c>
      <c r="K669" s="9" t="str">
        <f aca="false">IF($B669="","",IFERROR(AVERAGEIFS('2. Soil Data'!$G$5:$G$604,'2. Soil Data'!$B$5:$B$604,$B669),""))</f>
        <v/>
      </c>
      <c r="L669" s="9" t="str">
        <f aca="false">IF(NOT(ISNUMBER($K669)),"",PI()*($K669/2)^2)</f>
        <v/>
      </c>
      <c r="M669" s="9" t="str">
        <f aca="false">IF(OR(NOT(ISNUMBER($J669)),NOT(ISNUMBER($L669)),$L669=0),"",$J669/$L669*10000)</f>
        <v/>
      </c>
      <c r="N669" s="9" t="str">
        <f aca="false">IF(NOT(ISNUMBER($M669)),"",$M669*CARBON_FRACTION_ROOT/1000)</f>
        <v/>
      </c>
      <c r="O669" s="11" t="str">
        <f aca="false">IF(AND($A669="",$B669="",$G669=""),"",IF(AND($B669&lt;&gt;"",COUNTIFS('2. Soil Data'!$B$5:$B$604,$B669)=0),"Core ID not found in Soil Data, so the corer diameter cannot be looked up. ","")&amp;IF(ASH_CORRECTED&lt;&gt;"Yes","Root mass is NOT ash-corrected, so it includes adhering mineral soil and is too high. Set ASH_CORRECTED once you have done it. ","")&amp;IF(AND(ASH_CORRECTED="Yes",NOT(ISNUMBER($H669))),"Ash correction is switched on but no ash fraction is given for this row. ","")&amp;IF($I669="","Sieve mesh not recorded — a fine-root figure cannot be interpreted without it. ","")&amp;IF(AND(ISNUMBER($H669),$H669&gt;0.5),"Ash fraction above 0.5 — over half this sample was mineral soil. Re-wash. ","")&amp;IF($F669="Not separated","Live and dead not separated. Fine for a stock, but "&amp;"note it in reporting. ",""))</f>
        <v/>
      </c>
      <c r="P669" s="6"/>
      <c r="Q669" s="9" t="n">
        <f aca="false">IF($B669="",0,IF(COUNTIFS($B$5:$B669,$B669)=1,1,0))</f>
        <v>0</v>
      </c>
    </row>
    <row r="670" customFormat="false" ht="15" hidden="false" customHeight="false" outlineLevel="0" collapsed="false">
      <c r="A670" s="6"/>
      <c r="B670" s="6"/>
      <c r="C670" s="6"/>
      <c r="D670" s="6"/>
      <c r="E670" s="6"/>
      <c r="F670" s="6"/>
      <c r="G670" s="7"/>
      <c r="H670" s="7"/>
      <c r="I670" s="6"/>
      <c r="J670" s="9" t="str">
        <f aca="false">IF(NOT(ISNUMBER($G670)),"",IF(AND(ASH_CORRECTED="Yes",ISNUMBER($H670)),$G670*(1-$H670),$G670))</f>
        <v/>
      </c>
      <c r="K670" s="9" t="str">
        <f aca="false">IF($B670="","",IFERROR(AVERAGEIFS('2. Soil Data'!$G$5:$G$604,'2. Soil Data'!$B$5:$B$604,$B670),""))</f>
        <v/>
      </c>
      <c r="L670" s="9" t="str">
        <f aca="false">IF(NOT(ISNUMBER($K670)),"",PI()*($K670/2)^2)</f>
        <v/>
      </c>
      <c r="M670" s="9" t="str">
        <f aca="false">IF(OR(NOT(ISNUMBER($J670)),NOT(ISNUMBER($L670)),$L670=0),"",$J670/$L670*10000)</f>
        <v/>
      </c>
      <c r="N670" s="9" t="str">
        <f aca="false">IF(NOT(ISNUMBER($M670)),"",$M670*CARBON_FRACTION_ROOT/1000)</f>
        <v/>
      </c>
      <c r="O670" s="11" t="str">
        <f aca="false">IF(AND($A670="",$B670="",$G670=""),"",IF(AND($B670&lt;&gt;"",COUNTIFS('2. Soil Data'!$B$5:$B$604,$B670)=0),"Core ID not found in Soil Data, so the corer diameter cannot be looked up. ","")&amp;IF(ASH_CORRECTED&lt;&gt;"Yes","Root mass is NOT ash-corrected, so it includes adhering mineral soil and is too high. Set ASH_CORRECTED once you have done it. ","")&amp;IF(AND(ASH_CORRECTED="Yes",NOT(ISNUMBER($H670))),"Ash correction is switched on but no ash fraction is given for this row. ","")&amp;IF($I670="","Sieve mesh not recorded — a fine-root figure cannot be interpreted without it. ","")&amp;IF(AND(ISNUMBER($H670),$H670&gt;0.5),"Ash fraction above 0.5 — over half this sample was mineral soil. Re-wash. ","")&amp;IF($F670="Not separated","Live and dead not separated. Fine for a stock, but "&amp;"note it in reporting. ",""))</f>
        <v/>
      </c>
      <c r="P670" s="6"/>
      <c r="Q670" s="9" t="n">
        <f aca="false">IF($B670="",0,IF(COUNTIFS($B$5:$B670,$B670)=1,1,0))</f>
        <v>0</v>
      </c>
    </row>
    <row r="671" customFormat="false" ht="15" hidden="false" customHeight="false" outlineLevel="0" collapsed="false">
      <c r="A671" s="6"/>
      <c r="B671" s="6"/>
      <c r="C671" s="6"/>
      <c r="D671" s="6"/>
      <c r="E671" s="6"/>
      <c r="F671" s="6"/>
      <c r="G671" s="7"/>
      <c r="H671" s="7"/>
      <c r="I671" s="6"/>
      <c r="J671" s="9" t="str">
        <f aca="false">IF(NOT(ISNUMBER($G671)),"",IF(AND(ASH_CORRECTED="Yes",ISNUMBER($H671)),$G671*(1-$H671),$G671))</f>
        <v/>
      </c>
      <c r="K671" s="9" t="str">
        <f aca="false">IF($B671="","",IFERROR(AVERAGEIFS('2. Soil Data'!$G$5:$G$604,'2. Soil Data'!$B$5:$B$604,$B671),""))</f>
        <v/>
      </c>
      <c r="L671" s="9" t="str">
        <f aca="false">IF(NOT(ISNUMBER($K671)),"",PI()*($K671/2)^2)</f>
        <v/>
      </c>
      <c r="M671" s="9" t="str">
        <f aca="false">IF(OR(NOT(ISNUMBER($J671)),NOT(ISNUMBER($L671)),$L671=0),"",$J671/$L671*10000)</f>
        <v/>
      </c>
      <c r="N671" s="9" t="str">
        <f aca="false">IF(NOT(ISNUMBER($M671)),"",$M671*CARBON_FRACTION_ROOT/1000)</f>
        <v/>
      </c>
      <c r="O671" s="11" t="str">
        <f aca="false">IF(AND($A671="",$B671="",$G671=""),"",IF(AND($B671&lt;&gt;"",COUNTIFS('2. Soil Data'!$B$5:$B$604,$B671)=0),"Core ID not found in Soil Data, so the corer diameter cannot be looked up. ","")&amp;IF(ASH_CORRECTED&lt;&gt;"Yes","Root mass is NOT ash-corrected, so it includes adhering mineral soil and is too high. Set ASH_CORRECTED once you have done it. ","")&amp;IF(AND(ASH_CORRECTED="Yes",NOT(ISNUMBER($H671))),"Ash correction is switched on but no ash fraction is given for this row. ","")&amp;IF($I671="","Sieve mesh not recorded — a fine-root figure cannot be interpreted without it. ","")&amp;IF(AND(ISNUMBER($H671),$H671&gt;0.5),"Ash fraction above 0.5 — over half this sample was mineral soil. Re-wash. ","")&amp;IF($F671="Not separated","Live and dead not separated. Fine for a stock, but "&amp;"note it in reporting. ",""))</f>
        <v/>
      </c>
      <c r="P671" s="6"/>
      <c r="Q671" s="9" t="n">
        <f aca="false">IF($B671="",0,IF(COUNTIFS($B$5:$B671,$B671)=1,1,0))</f>
        <v>0</v>
      </c>
    </row>
    <row r="672" customFormat="false" ht="15" hidden="false" customHeight="false" outlineLevel="0" collapsed="false">
      <c r="A672" s="6"/>
      <c r="B672" s="6"/>
      <c r="C672" s="6"/>
      <c r="D672" s="6"/>
      <c r="E672" s="6"/>
      <c r="F672" s="6"/>
      <c r="G672" s="7"/>
      <c r="H672" s="7"/>
      <c r="I672" s="6"/>
      <c r="J672" s="9" t="str">
        <f aca="false">IF(NOT(ISNUMBER($G672)),"",IF(AND(ASH_CORRECTED="Yes",ISNUMBER($H672)),$G672*(1-$H672),$G672))</f>
        <v/>
      </c>
      <c r="K672" s="9" t="str">
        <f aca="false">IF($B672="","",IFERROR(AVERAGEIFS('2. Soil Data'!$G$5:$G$604,'2. Soil Data'!$B$5:$B$604,$B672),""))</f>
        <v/>
      </c>
      <c r="L672" s="9" t="str">
        <f aca="false">IF(NOT(ISNUMBER($K672)),"",PI()*($K672/2)^2)</f>
        <v/>
      </c>
      <c r="M672" s="9" t="str">
        <f aca="false">IF(OR(NOT(ISNUMBER($J672)),NOT(ISNUMBER($L672)),$L672=0),"",$J672/$L672*10000)</f>
        <v/>
      </c>
      <c r="N672" s="9" t="str">
        <f aca="false">IF(NOT(ISNUMBER($M672)),"",$M672*CARBON_FRACTION_ROOT/1000)</f>
        <v/>
      </c>
      <c r="O672" s="11" t="str">
        <f aca="false">IF(AND($A672="",$B672="",$G672=""),"",IF(AND($B672&lt;&gt;"",COUNTIFS('2. Soil Data'!$B$5:$B$604,$B672)=0),"Core ID not found in Soil Data, so the corer diameter cannot be looked up. ","")&amp;IF(ASH_CORRECTED&lt;&gt;"Yes","Root mass is NOT ash-corrected, so it includes adhering mineral soil and is too high. Set ASH_CORRECTED once you have done it. ","")&amp;IF(AND(ASH_CORRECTED="Yes",NOT(ISNUMBER($H672))),"Ash correction is switched on but no ash fraction is given for this row. ","")&amp;IF($I672="","Sieve mesh not recorded — a fine-root figure cannot be interpreted without it. ","")&amp;IF(AND(ISNUMBER($H672),$H672&gt;0.5),"Ash fraction above 0.5 — over half this sample was mineral soil. Re-wash. ","")&amp;IF($F672="Not separated","Live and dead not separated. Fine for a stock, but "&amp;"note it in reporting. ",""))</f>
        <v/>
      </c>
      <c r="P672" s="6"/>
      <c r="Q672" s="9" t="n">
        <f aca="false">IF($B672="",0,IF(COUNTIFS($B$5:$B672,$B672)=1,1,0))</f>
        <v>0</v>
      </c>
    </row>
    <row r="673" customFormat="false" ht="15" hidden="false" customHeight="false" outlineLevel="0" collapsed="false">
      <c r="A673" s="6"/>
      <c r="B673" s="6"/>
      <c r="C673" s="6"/>
      <c r="D673" s="6"/>
      <c r="E673" s="6"/>
      <c r="F673" s="6"/>
      <c r="G673" s="7"/>
      <c r="H673" s="7"/>
      <c r="I673" s="6"/>
      <c r="J673" s="9" t="str">
        <f aca="false">IF(NOT(ISNUMBER($G673)),"",IF(AND(ASH_CORRECTED="Yes",ISNUMBER($H673)),$G673*(1-$H673),$G673))</f>
        <v/>
      </c>
      <c r="K673" s="9" t="str">
        <f aca="false">IF($B673="","",IFERROR(AVERAGEIFS('2. Soil Data'!$G$5:$G$604,'2. Soil Data'!$B$5:$B$604,$B673),""))</f>
        <v/>
      </c>
      <c r="L673" s="9" t="str">
        <f aca="false">IF(NOT(ISNUMBER($K673)),"",PI()*($K673/2)^2)</f>
        <v/>
      </c>
      <c r="M673" s="9" t="str">
        <f aca="false">IF(OR(NOT(ISNUMBER($J673)),NOT(ISNUMBER($L673)),$L673=0),"",$J673/$L673*10000)</f>
        <v/>
      </c>
      <c r="N673" s="9" t="str">
        <f aca="false">IF(NOT(ISNUMBER($M673)),"",$M673*CARBON_FRACTION_ROOT/1000)</f>
        <v/>
      </c>
      <c r="O673" s="11" t="str">
        <f aca="false">IF(AND($A673="",$B673="",$G673=""),"",IF(AND($B673&lt;&gt;"",COUNTIFS('2. Soil Data'!$B$5:$B$604,$B673)=0),"Core ID not found in Soil Data, so the corer diameter cannot be looked up. ","")&amp;IF(ASH_CORRECTED&lt;&gt;"Yes","Root mass is NOT ash-corrected, so it includes adhering mineral soil and is too high. Set ASH_CORRECTED once you have done it. ","")&amp;IF(AND(ASH_CORRECTED="Yes",NOT(ISNUMBER($H673))),"Ash correction is switched on but no ash fraction is given for this row. ","")&amp;IF($I673="","Sieve mesh not recorded — a fine-root figure cannot be interpreted without it. ","")&amp;IF(AND(ISNUMBER($H673),$H673&gt;0.5),"Ash fraction above 0.5 — over half this sample was mineral soil. Re-wash. ","")&amp;IF($F673="Not separated","Live and dead not separated. Fine for a stock, but "&amp;"note it in reporting. ",""))</f>
        <v/>
      </c>
      <c r="P673" s="6"/>
      <c r="Q673" s="9" t="n">
        <f aca="false">IF($B673="",0,IF(COUNTIFS($B$5:$B673,$B673)=1,1,0))</f>
        <v>0</v>
      </c>
    </row>
    <row r="674" customFormat="false" ht="15" hidden="false" customHeight="false" outlineLevel="0" collapsed="false">
      <c r="A674" s="6"/>
      <c r="B674" s="6"/>
      <c r="C674" s="6"/>
      <c r="D674" s="6"/>
      <c r="E674" s="6"/>
      <c r="F674" s="6"/>
      <c r="G674" s="7"/>
      <c r="H674" s="7"/>
      <c r="I674" s="6"/>
      <c r="J674" s="9" t="str">
        <f aca="false">IF(NOT(ISNUMBER($G674)),"",IF(AND(ASH_CORRECTED="Yes",ISNUMBER($H674)),$G674*(1-$H674),$G674))</f>
        <v/>
      </c>
      <c r="K674" s="9" t="str">
        <f aca="false">IF($B674="","",IFERROR(AVERAGEIFS('2. Soil Data'!$G$5:$G$604,'2. Soil Data'!$B$5:$B$604,$B674),""))</f>
        <v/>
      </c>
      <c r="L674" s="9" t="str">
        <f aca="false">IF(NOT(ISNUMBER($K674)),"",PI()*($K674/2)^2)</f>
        <v/>
      </c>
      <c r="M674" s="9" t="str">
        <f aca="false">IF(OR(NOT(ISNUMBER($J674)),NOT(ISNUMBER($L674)),$L674=0),"",$J674/$L674*10000)</f>
        <v/>
      </c>
      <c r="N674" s="9" t="str">
        <f aca="false">IF(NOT(ISNUMBER($M674)),"",$M674*CARBON_FRACTION_ROOT/1000)</f>
        <v/>
      </c>
      <c r="O674" s="11" t="str">
        <f aca="false">IF(AND($A674="",$B674="",$G674=""),"",IF(AND($B674&lt;&gt;"",COUNTIFS('2. Soil Data'!$B$5:$B$604,$B674)=0),"Core ID not found in Soil Data, so the corer diameter cannot be looked up. ","")&amp;IF(ASH_CORRECTED&lt;&gt;"Yes","Root mass is NOT ash-corrected, so it includes adhering mineral soil and is too high. Set ASH_CORRECTED once you have done it. ","")&amp;IF(AND(ASH_CORRECTED="Yes",NOT(ISNUMBER($H674))),"Ash correction is switched on but no ash fraction is given for this row. ","")&amp;IF($I674="","Sieve mesh not recorded — a fine-root figure cannot be interpreted without it. ","")&amp;IF(AND(ISNUMBER($H674),$H674&gt;0.5),"Ash fraction above 0.5 — over half this sample was mineral soil. Re-wash. ","")&amp;IF($F674="Not separated","Live and dead not separated. Fine for a stock, but "&amp;"note it in reporting. ",""))</f>
        <v/>
      </c>
      <c r="P674" s="6"/>
      <c r="Q674" s="9" t="n">
        <f aca="false">IF($B674="",0,IF(COUNTIFS($B$5:$B674,$B674)=1,1,0))</f>
        <v>0</v>
      </c>
    </row>
    <row r="675" customFormat="false" ht="15" hidden="false" customHeight="false" outlineLevel="0" collapsed="false">
      <c r="A675" s="6"/>
      <c r="B675" s="6"/>
      <c r="C675" s="6"/>
      <c r="D675" s="6"/>
      <c r="E675" s="6"/>
      <c r="F675" s="6"/>
      <c r="G675" s="7"/>
      <c r="H675" s="7"/>
      <c r="I675" s="6"/>
      <c r="J675" s="9" t="str">
        <f aca="false">IF(NOT(ISNUMBER($G675)),"",IF(AND(ASH_CORRECTED="Yes",ISNUMBER($H675)),$G675*(1-$H675),$G675))</f>
        <v/>
      </c>
      <c r="K675" s="9" t="str">
        <f aca="false">IF($B675="","",IFERROR(AVERAGEIFS('2. Soil Data'!$G$5:$G$604,'2. Soil Data'!$B$5:$B$604,$B675),""))</f>
        <v/>
      </c>
      <c r="L675" s="9" t="str">
        <f aca="false">IF(NOT(ISNUMBER($K675)),"",PI()*($K675/2)^2)</f>
        <v/>
      </c>
      <c r="M675" s="9" t="str">
        <f aca="false">IF(OR(NOT(ISNUMBER($J675)),NOT(ISNUMBER($L675)),$L675=0),"",$J675/$L675*10000)</f>
        <v/>
      </c>
      <c r="N675" s="9" t="str">
        <f aca="false">IF(NOT(ISNUMBER($M675)),"",$M675*CARBON_FRACTION_ROOT/1000)</f>
        <v/>
      </c>
      <c r="O675" s="11" t="str">
        <f aca="false">IF(AND($A675="",$B675="",$G675=""),"",IF(AND($B675&lt;&gt;"",COUNTIFS('2. Soil Data'!$B$5:$B$604,$B675)=0),"Core ID not found in Soil Data, so the corer diameter cannot be looked up. ","")&amp;IF(ASH_CORRECTED&lt;&gt;"Yes","Root mass is NOT ash-corrected, so it includes adhering mineral soil and is too high. Set ASH_CORRECTED once you have done it. ","")&amp;IF(AND(ASH_CORRECTED="Yes",NOT(ISNUMBER($H675))),"Ash correction is switched on but no ash fraction is given for this row. ","")&amp;IF($I675="","Sieve mesh not recorded — a fine-root figure cannot be interpreted without it. ","")&amp;IF(AND(ISNUMBER($H675),$H675&gt;0.5),"Ash fraction above 0.5 — over half this sample was mineral soil. Re-wash. ","")&amp;IF($F675="Not separated","Live and dead not separated. Fine for a stock, but "&amp;"note it in reporting. ",""))</f>
        <v/>
      </c>
      <c r="P675" s="6"/>
      <c r="Q675" s="9" t="n">
        <f aca="false">IF($B675="",0,IF(COUNTIFS($B$5:$B675,$B675)=1,1,0))</f>
        <v>0</v>
      </c>
    </row>
    <row r="676" customFormat="false" ht="15" hidden="false" customHeight="false" outlineLevel="0" collapsed="false">
      <c r="A676" s="6"/>
      <c r="B676" s="6"/>
      <c r="C676" s="6"/>
      <c r="D676" s="6"/>
      <c r="E676" s="6"/>
      <c r="F676" s="6"/>
      <c r="G676" s="7"/>
      <c r="H676" s="7"/>
      <c r="I676" s="6"/>
      <c r="J676" s="9" t="str">
        <f aca="false">IF(NOT(ISNUMBER($G676)),"",IF(AND(ASH_CORRECTED="Yes",ISNUMBER($H676)),$G676*(1-$H676),$G676))</f>
        <v/>
      </c>
      <c r="K676" s="9" t="str">
        <f aca="false">IF($B676="","",IFERROR(AVERAGEIFS('2. Soil Data'!$G$5:$G$604,'2. Soil Data'!$B$5:$B$604,$B676),""))</f>
        <v/>
      </c>
      <c r="L676" s="9" t="str">
        <f aca="false">IF(NOT(ISNUMBER($K676)),"",PI()*($K676/2)^2)</f>
        <v/>
      </c>
      <c r="M676" s="9" t="str">
        <f aca="false">IF(OR(NOT(ISNUMBER($J676)),NOT(ISNUMBER($L676)),$L676=0),"",$J676/$L676*10000)</f>
        <v/>
      </c>
      <c r="N676" s="9" t="str">
        <f aca="false">IF(NOT(ISNUMBER($M676)),"",$M676*CARBON_FRACTION_ROOT/1000)</f>
        <v/>
      </c>
      <c r="O676" s="11" t="str">
        <f aca="false">IF(AND($A676="",$B676="",$G676=""),"",IF(AND($B676&lt;&gt;"",COUNTIFS('2. Soil Data'!$B$5:$B$604,$B676)=0),"Core ID not found in Soil Data, so the corer diameter cannot be looked up. ","")&amp;IF(ASH_CORRECTED&lt;&gt;"Yes","Root mass is NOT ash-corrected, so it includes adhering mineral soil and is too high. Set ASH_CORRECTED once you have done it. ","")&amp;IF(AND(ASH_CORRECTED="Yes",NOT(ISNUMBER($H676))),"Ash correction is switched on but no ash fraction is given for this row. ","")&amp;IF($I676="","Sieve mesh not recorded — a fine-root figure cannot be interpreted without it. ","")&amp;IF(AND(ISNUMBER($H676),$H676&gt;0.5),"Ash fraction above 0.5 — over half this sample was mineral soil. Re-wash. ","")&amp;IF($F676="Not separated","Live and dead not separated. Fine for a stock, but "&amp;"note it in reporting. ",""))</f>
        <v/>
      </c>
      <c r="P676" s="6"/>
      <c r="Q676" s="9" t="n">
        <f aca="false">IF($B676="",0,IF(COUNTIFS($B$5:$B676,$B676)=1,1,0))</f>
        <v>0</v>
      </c>
    </row>
    <row r="677" customFormat="false" ht="15" hidden="false" customHeight="false" outlineLevel="0" collapsed="false">
      <c r="A677" s="6"/>
      <c r="B677" s="6"/>
      <c r="C677" s="6"/>
      <c r="D677" s="6"/>
      <c r="E677" s="6"/>
      <c r="F677" s="6"/>
      <c r="G677" s="7"/>
      <c r="H677" s="7"/>
      <c r="I677" s="6"/>
      <c r="J677" s="9" t="str">
        <f aca="false">IF(NOT(ISNUMBER($G677)),"",IF(AND(ASH_CORRECTED="Yes",ISNUMBER($H677)),$G677*(1-$H677),$G677))</f>
        <v/>
      </c>
      <c r="K677" s="9" t="str">
        <f aca="false">IF($B677="","",IFERROR(AVERAGEIFS('2. Soil Data'!$G$5:$G$604,'2. Soil Data'!$B$5:$B$604,$B677),""))</f>
        <v/>
      </c>
      <c r="L677" s="9" t="str">
        <f aca="false">IF(NOT(ISNUMBER($K677)),"",PI()*($K677/2)^2)</f>
        <v/>
      </c>
      <c r="M677" s="9" t="str">
        <f aca="false">IF(OR(NOT(ISNUMBER($J677)),NOT(ISNUMBER($L677)),$L677=0),"",$J677/$L677*10000)</f>
        <v/>
      </c>
      <c r="N677" s="9" t="str">
        <f aca="false">IF(NOT(ISNUMBER($M677)),"",$M677*CARBON_FRACTION_ROOT/1000)</f>
        <v/>
      </c>
      <c r="O677" s="11" t="str">
        <f aca="false">IF(AND($A677="",$B677="",$G677=""),"",IF(AND($B677&lt;&gt;"",COUNTIFS('2. Soil Data'!$B$5:$B$604,$B677)=0),"Core ID not found in Soil Data, so the corer diameter cannot be looked up. ","")&amp;IF(ASH_CORRECTED&lt;&gt;"Yes","Root mass is NOT ash-corrected, so it includes adhering mineral soil and is too high. Set ASH_CORRECTED once you have done it. ","")&amp;IF(AND(ASH_CORRECTED="Yes",NOT(ISNUMBER($H677))),"Ash correction is switched on but no ash fraction is given for this row. ","")&amp;IF($I677="","Sieve mesh not recorded — a fine-root figure cannot be interpreted without it. ","")&amp;IF(AND(ISNUMBER($H677),$H677&gt;0.5),"Ash fraction above 0.5 — over half this sample was mineral soil. Re-wash. ","")&amp;IF($F677="Not separated","Live and dead not separated. Fine for a stock, but "&amp;"note it in reporting. ",""))</f>
        <v/>
      </c>
      <c r="P677" s="6"/>
      <c r="Q677" s="9" t="n">
        <f aca="false">IF($B677="",0,IF(COUNTIFS($B$5:$B677,$B677)=1,1,0))</f>
        <v>0</v>
      </c>
    </row>
    <row r="678" customFormat="false" ht="15" hidden="false" customHeight="false" outlineLevel="0" collapsed="false">
      <c r="A678" s="6"/>
      <c r="B678" s="6"/>
      <c r="C678" s="6"/>
      <c r="D678" s="6"/>
      <c r="E678" s="6"/>
      <c r="F678" s="6"/>
      <c r="G678" s="7"/>
      <c r="H678" s="7"/>
      <c r="I678" s="6"/>
      <c r="J678" s="9" t="str">
        <f aca="false">IF(NOT(ISNUMBER($G678)),"",IF(AND(ASH_CORRECTED="Yes",ISNUMBER($H678)),$G678*(1-$H678),$G678))</f>
        <v/>
      </c>
      <c r="K678" s="9" t="str">
        <f aca="false">IF($B678="","",IFERROR(AVERAGEIFS('2. Soil Data'!$G$5:$G$604,'2. Soil Data'!$B$5:$B$604,$B678),""))</f>
        <v/>
      </c>
      <c r="L678" s="9" t="str">
        <f aca="false">IF(NOT(ISNUMBER($K678)),"",PI()*($K678/2)^2)</f>
        <v/>
      </c>
      <c r="M678" s="9" t="str">
        <f aca="false">IF(OR(NOT(ISNUMBER($J678)),NOT(ISNUMBER($L678)),$L678=0),"",$J678/$L678*10000)</f>
        <v/>
      </c>
      <c r="N678" s="9" t="str">
        <f aca="false">IF(NOT(ISNUMBER($M678)),"",$M678*CARBON_FRACTION_ROOT/1000)</f>
        <v/>
      </c>
      <c r="O678" s="11" t="str">
        <f aca="false">IF(AND($A678="",$B678="",$G678=""),"",IF(AND($B678&lt;&gt;"",COUNTIFS('2. Soil Data'!$B$5:$B$604,$B678)=0),"Core ID not found in Soil Data, so the corer diameter cannot be looked up. ","")&amp;IF(ASH_CORRECTED&lt;&gt;"Yes","Root mass is NOT ash-corrected, so it includes adhering mineral soil and is too high. Set ASH_CORRECTED once you have done it. ","")&amp;IF(AND(ASH_CORRECTED="Yes",NOT(ISNUMBER($H678))),"Ash correction is switched on but no ash fraction is given for this row. ","")&amp;IF($I678="","Sieve mesh not recorded — a fine-root figure cannot be interpreted without it. ","")&amp;IF(AND(ISNUMBER($H678),$H678&gt;0.5),"Ash fraction above 0.5 — over half this sample was mineral soil. Re-wash. ","")&amp;IF($F678="Not separated","Live and dead not separated. Fine for a stock, but "&amp;"note it in reporting. ",""))</f>
        <v/>
      </c>
      <c r="P678" s="6"/>
      <c r="Q678" s="9" t="n">
        <f aca="false">IF($B678="",0,IF(COUNTIFS($B$5:$B678,$B678)=1,1,0))</f>
        <v>0</v>
      </c>
    </row>
    <row r="679" customFormat="false" ht="15" hidden="false" customHeight="false" outlineLevel="0" collapsed="false">
      <c r="A679" s="6"/>
      <c r="B679" s="6"/>
      <c r="C679" s="6"/>
      <c r="D679" s="6"/>
      <c r="E679" s="6"/>
      <c r="F679" s="6"/>
      <c r="G679" s="7"/>
      <c r="H679" s="7"/>
      <c r="I679" s="6"/>
      <c r="J679" s="9" t="str">
        <f aca="false">IF(NOT(ISNUMBER($G679)),"",IF(AND(ASH_CORRECTED="Yes",ISNUMBER($H679)),$G679*(1-$H679),$G679))</f>
        <v/>
      </c>
      <c r="K679" s="9" t="str">
        <f aca="false">IF($B679="","",IFERROR(AVERAGEIFS('2. Soil Data'!$G$5:$G$604,'2. Soil Data'!$B$5:$B$604,$B679),""))</f>
        <v/>
      </c>
      <c r="L679" s="9" t="str">
        <f aca="false">IF(NOT(ISNUMBER($K679)),"",PI()*($K679/2)^2)</f>
        <v/>
      </c>
      <c r="M679" s="9" t="str">
        <f aca="false">IF(OR(NOT(ISNUMBER($J679)),NOT(ISNUMBER($L679)),$L679=0),"",$J679/$L679*10000)</f>
        <v/>
      </c>
      <c r="N679" s="9" t="str">
        <f aca="false">IF(NOT(ISNUMBER($M679)),"",$M679*CARBON_FRACTION_ROOT/1000)</f>
        <v/>
      </c>
      <c r="O679" s="11" t="str">
        <f aca="false">IF(AND($A679="",$B679="",$G679=""),"",IF(AND($B679&lt;&gt;"",COUNTIFS('2. Soil Data'!$B$5:$B$604,$B679)=0),"Core ID not found in Soil Data, so the corer diameter cannot be looked up. ","")&amp;IF(ASH_CORRECTED&lt;&gt;"Yes","Root mass is NOT ash-corrected, so it includes adhering mineral soil and is too high. Set ASH_CORRECTED once you have done it. ","")&amp;IF(AND(ASH_CORRECTED="Yes",NOT(ISNUMBER($H679))),"Ash correction is switched on but no ash fraction is given for this row. ","")&amp;IF($I679="","Sieve mesh not recorded — a fine-root figure cannot be interpreted without it. ","")&amp;IF(AND(ISNUMBER($H679),$H679&gt;0.5),"Ash fraction above 0.5 — over half this sample was mineral soil. Re-wash. ","")&amp;IF($F679="Not separated","Live and dead not separated. Fine for a stock, but "&amp;"note it in reporting. ",""))</f>
        <v/>
      </c>
      <c r="P679" s="6"/>
      <c r="Q679" s="9" t="n">
        <f aca="false">IF($B679="",0,IF(COUNTIFS($B$5:$B679,$B679)=1,1,0))</f>
        <v>0</v>
      </c>
    </row>
    <row r="680" customFormat="false" ht="15" hidden="false" customHeight="false" outlineLevel="0" collapsed="false">
      <c r="A680" s="6"/>
      <c r="B680" s="6"/>
      <c r="C680" s="6"/>
      <c r="D680" s="6"/>
      <c r="E680" s="6"/>
      <c r="F680" s="6"/>
      <c r="G680" s="7"/>
      <c r="H680" s="7"/>
      <c r="I680" s="6"/>
      <c r="J680" s="9" t="str">
        <f aca="false">IF(NOT(ISNUMBER($G680)),"",IF(AND(ASH_CORRECTED="Yes",ISNUMBER($H680)),$G680*(1-$H680),$G680))</f>
        <v/>
      </c>
      <c r="K680" s="9" t="str">
        <f aca="false">IF($B680="","",IFERROR(AVERAGEIFS('2. Soil Data'!$G$5:$G$604,'2. Soil Data'!$B$5:$B$604,$B680),""))</f>
        <v/>
      </c>
      <c r="L680" s="9" t="str">
        <f aca="false">IF(NOT(ISNUMBER($K680)),"",PI()*($K680/2)^2)</f>
        <v/>
      </c>
      <c r="M680" s="9" t="str">
        <f aca="false">IF(OR(NOT(ISNUMBER($J680)),NOT(ISNUMBER($L680)),$L680=0),"",$J680/$L680*10000)</f>
        <v/>
      </c>
      <c r="N680" s="9" t="str">
        <f aca="false">IF(NOT(ISNUMBER($M680)),"",$M680*CARBON_FRACTION_ROOT/1000)</f>
        <v/>
      </c>
      <c r="O680" s="11" t="str">
        <f aca="false">IF(AND($A680="",$B680="",$G680=""),"",IF(AND($B680&lt;&gt;"",COUNTIFS('2. Soil Data'!$B$5:$B$604,$B680)=0),"Core ID not found in Soil Data, so the corer diameter cannot be looked up. ","")&amp;IF(ASH_CORRECTED&lt;&gt;"Yes","Root mass is NOT ash-corrected, so it includes adhering mineral soil and is too high. Set ASH_CORRECTED once you have done it. ","")&amp;IF(AND(ASH_CORRECTED="Yes",NOT(ISNUMBER($H680))),"Ash correction is switched on but no ash fraction is given for this row. ","")&amp;IF($I680="","Sieve mesh not recorded — a fine-root figure cannot be interpreted without it. ","")&amp;IF(AND(ISNUMBER($H680),$H680&gt;0.5),"Ash fraction above 0.5 — over half this sample was mineral soil. Re-wash. ","")&amp;IF($F680="Not separated","Live and dead not separated. Fine for a stock, but "&amp;"note it in reporting. ",""))</f>
        <v/>
      </c>
      <c r="P680" s="6"/>
      <c r="Q680" s="9" t="n">
        <f aca="false">IF($B680="",0,IF(COUNTIFS($B$5:$B680,$B680)=1,1,0))</f>
        <v>0</v>
      </c>
    </row>
    <row r="681" customFormat="false" ht="15" hidden="false" customHeight="false" outlineLevel="0" collapsed="false">
      <c r="A681" s="6"/>
      <c r="B681" s="6"/>
      <c r="C681" s="6"/>
      <c r="D681" s="6"/>
      <c r="E681" s="6"/>
      <c r="F681" s="6"/>
      <c r="G681" s="7"/>
      <c r="H681" s="7"/>
      <c r="I681" s="6"/>
      <c r="J681" s="9" t="str">
        <f aca="false">IF(NOT(ISNUMBER($G681)),"",IF(AND(ASH_CORRECTED="Yes",ISNUMBER($H681)),$G681*(1-$H681),$G681))</f>
        <v/>
      </c>
      <c r="K681" s="9" t="str">
        <f aca="false">IF($B681="","",IFERROR(AVERAGEIFS('2. Soil Data'!$G$5:$G$604,'2. Soil Data'!$B$5:$B$604,$B681),""))</f>
        <v/>
      </c>
      <c r="L681" s="9" t="str">
        <f aca="false">IF(NOT(ISNUMBER($K681)),"",PI()*($K681/2)^2)</f>
        <v/>
      </c>
      <c r="M681" s="9" t="str">
        <f aca="false">IF(OR(NOT(ISNUMBER($J681)),NOT(ISNUMBER($L681)),$L681=0),"",$J681/$L681*10000)</f>
        <v/>
      </c>
      <c r="N681" s="9" t="str">
        <f aca="false">IF(NOT(ISNUMBER($M681)),"",$M681*CARBON_FRACTION_ROOT/1000)</f>
        <v/>
      </c>
      <c r="O681" s="11" t="str">
        <f aca="false">IF(AND($A681="",$B681="",$G681=""),"",IF(AND($B681&lt;&gt;"",COUNTIFS('2. Soil Data'!$B$5:$B$604,$B681)=0),"Core ID not found in Soil Data, so the corer diameter cannot be looked up. ","")&amp;IF(ASH_CORRECTED&lt;&gt;"Yes","Root mass is NOT ash-corrected, so it includes adhering mineral soil and is too high. Set ASH_CORRECTED once you have done it. ","")&amp;IF(AND(ASH_CORRECTED="Yes",NOT(ISNUMBER($H681))),"Ash correction is switched on but no ash fraction is given for this row. ","")&amp;IF($I681="","Sieve mesh not recorded — a fine-root figure cannot be interpreted without it. ","")&amp;IF(AND(ISNUMBER($H681),$H681&gt;0.5),"Ash fraction above 0.5 — over half this sample was mineral soil. Re-wash. ","")&amp;IF($F681="Not separated","Live and dead not separated. Fine for a stock, but "&amp;"note it in reporting. ",""))</f>
        <v/>
      </c>
      <c r="P681" s="6"/>
      <c r="Q681" s="9" t="n">
        <f aca="false">IF($B681="",0,IF(COUNTIFS($B$5:$B681,$B681)=1,1,0))</f>
        <v>0</v>
      </c>
    </row>
    <row r="682" customFormat="false" ht="15" hidden="false" customHeight="false" outlineLevel="0" collapsed="false">
      <c r="A682" s="6"/>
      <c r="B682" s="6"/>
      <c r="C682" s="6"/>
      <c r="D682" s="6"/>
      <c r="E682" s="6"/>
      <c r="F682" s="6"/>
      <c r="G682" s="7"/>
      <c r="H682" s="7"/>
      <c r="I682" s="6"/>
      <c r="J682" s="9" t="str">
        <f aca="false">IF(NOT(ISNUMBER($G682)),"",IF(AND(ASH_CORRECTED="Yes",ISNUMBER($H682)),$G682*(1-$H682),$G682))</f>
        <v/>
      </c>
      <c r="K682" s="9" t="str">
        <f aca="false">IF($B682="","",IFERROR(AVERAGEIFS('2. Soil Data'!$G$5:$G$604,'2. Soil Data'!$B$5:$B$604,$B682),""))</f>
        <v/>
      </c>
      <c r="L682" s="9" t="str">
        <f aca="false">IF(NOT(ISNUMBER($K682)),"",PI()*($K682/2)^2)</f>
        <v/>
      </c>
      <c r="M682" s="9" t="str">
        <f aca="false">IF(OR(NOT(ISNUMBER($J682)),NOT(ISNUMBER($L682)),$L682=0),"",$J682/$L682*10000)</f>
        <v/>
      </c>
      <c r="N682" s="9" t="str">
        <f aca="false">IF(NOT(ISNUMBER($M682)),"",$M682*CARBON_FRACTION_ROOT/1000)</f>
        <v/>
      </c>
      <c r="O682" s="11" t="str">
        <f aca="false">IF(AND($A682="",$B682="",$G682=""),"",IF(AND($B682&lt;&gt;"",COUNTIFS('2. Soil Data'!$B$5:$B$604,$B682)=0),"Core ID not found in Soil Data, so the corer diameter cannot be looked up. ","")&amp;IF(ASH_CORRECTED&lt;&gt;"Yes","Root mass is NOT ash-corrected, so it includes adhering mineral soil and is too high. Set ASH_CORRECTED once you have done it. ","")&amp;IF(AND(ASH_CORRECTED="Yes",NOT(ISNUMBER($H682))),"Ash correction is switched on but no ash fraction is given for this row. ","")&amp;IF($I682="","Sieve mesh not recorded — a fine-root figure cannot be interpreted without it. ","")&amp;IF(AND(ISNUMBER($H682),$H682&gt;0.5),"Ash fraction above 0.5 — over half this sample was mineral soil. Re-wash. ","")&amp;IF($F682="Not separated","Live and dead not separated. Fine for a stock, but "&amp;"note it in reporting. ",""))</f>
        <v/>
      </c>
      <c r="P682" s="6"/>
      <c r="Q682" s="9" t="n">
        <f aca="false">IF($B682="",0,IF(COUNTIFS($B$5:$B682,$B682)=1,1,0))</f>
        <v>0</v>
      </c>
    </row>
    <row r="683" customFormat="false" ht="15" hidden="false" customHeight="false" outlineLevel="0" collapsed="false">
      <c r="A683" s="6"/>
      <c r="B683" s="6"/>
      <c r="C683" s="6"/>
      <c r="D683" s="6"/>
      <c r="E683" s="6"/>
      <c r="F683" s="6"/>
      <c r="G683" s="7"/>
      <c r="H683" s="7"/>
      <c r="I683" s="6"/>
      <c r="J683" s="9" t="str">
        <f aca="false">IF(NOT(ISNUMBER($G683)),"",IF(AND(ASH_CORRECTED="Yes",ISNUMBER($H683)),$G683*(1-$H683),$G683))</f>
        <v/>
      </c>
      <c r="K683" s="9" t="str">
        <f aca="false">IF($B683="","",IFERROR(AVERAGEIFS('2. Soil Data'!$G$5:$G$604,'2. Soil Data'!$B$5:$B$604,$B683),""))</f>
        <v/>
      </c>
      <c r="L683" s="9" t="str">
        <f aca="false">IF(NOT(ISNUMBER($K683)),"",PI()*($K683/2)^2)</f>
        <v/>
      </c>
      <c r="M683" s="9" t="str">
        <f aca="false">IF(OR(NOT(ISNUMBER($J683)),NOT(ISNUMBER($L683)),$L683=0),"",$J683/$L683*10000)</f>
        <v/>
      </c>
      <c r="N683" s="9" t="str">
        <f aca="false">IF(NOT(ISNUMBER($M683)),"",$M683*CARBON_FRACTION_ROOT/1000)</f>
        <v/>
      </c>
      <c r="O683" s="11" t="str">
        <f aca="false">IF(AND($A683="",$B683="",$G683=""),"",IF(AND($B683&lt;&gt;"",COUNTIFS('2. Soil Data'!$B$5:$B$604,$B683)=0),"Core ID not found in Soil Data, so the corer diameter cannot be looked up. ","")&amp;IF(ASH_CORRECTED&lt;&gt;"Yes","Root mass is NOT ash-corrected, so it includes adhering mineral soil and is too high. Set ASH_CORRECTED once you have done it. ","")&amp;IF(AND(ASH_CORRECTED="Yes",NOT(ISNUMBER($H683))),"Ash correction is switched on but no ash fraction is given for this row. ","")&amp;IF($I683="","Sieve mesh not recorded — a fine-root figure cannot be interpreted without it. ","")&amp;IF(AND(ISNUMBER($H683),$H683&gt;0.5),"Ash fraction above 0.5 — over half this sample was mineral soil. Re-wash. ","")&amp;IF($F683="Not separated","Live and dead not separated. Fine for a stock, but "&amp;"note it in reporting. ",""))</f>
        <v/>
      </c>
      <c r="P683" s="6"/>
      <c r="Q683" s="9" t="n">
        <f aca="false">IF($B683="",0,IF(COUNTIFS($B$5:$B683,$B683)=1,1,0))</f>
        <v>0</v>
      </c>
    </row>
    <row r="684" customFormat="false" ht="15" hidden="false" customHeight="false" outlineLevel="0" collapsed="false">
      <c r="A684" s="6"/>
      <c r="B684" s="6"/>
      <c r="C684" s="6"/>
      <c r="D684" s="6"/>
      <c r="E684" s="6"/>
      <c r="F684" s="6"/>
      <c r="G684" s="7"/>
      <c r="H684" s="7"/>
      <c r="I684" s="6"/>
      <c r="J684" s="9" t="str">
        <f aca="false">IF(NOT(ISNUMBER($G684)),"",IF(AND(ASH_CORRECTED="Yes",ISNUMBER($H684)),$G684*(1-$H684),$G684))</f>
        <v/>
      </c>
      <c r="K684" s="9" t="str">
        <f aca="false">IF($B684="","",IFERROR(AVERAGEIFS('2. Soil Data'!$G$5:$G$604,'2. Soil Data'!$B$5:$B$604,$B684),""))</f>
        <v/>
      </c>
      <c r="L684" s="9" t="str">
        <f aca="false">IF(NOT(ISNUMBER($K684)),"",PI()*($K684/2)^2)</f>
        <v/>
      </c>
      <c r="M684" s="9" t="str">
        <f aca="false">IF(OR(NOT(ISNUMBER($J684)),NOT(ISNUMBER($L684)),$L684=0),"",$J684/$L684*10000)</f>
        <v/>
      </c>
      <c r="N684" s="9" t="str">
        <f aca="false">IF(NOT(ISNUMBER($M684)),"",$M684*CARBON_FRACTION_ROOT/1000)</f>
        <v/>
      </c>
      <c r="O684" s="11" t="str">
        <f aca="false">IF(AND($A684="",$B684="",$G684=""),"",IF(AND($B684&lt;&gt;"",COUNTIFS('2. Soil Data'!$B$5:$B$604,$B684)=0),"Core ID not found in Soil Data, so the corer diameter cannot be looked up. ","")&amp;IF(ASH_CORRECTED&lt;&gt;"Yes","Root mass is NOT ash-corrected, so it includes adhering mineral soil and is too high. Set ASH_CORRECTED once you have done it. ","")&amp;IF(AND(ASH_CORRECTED="Yes",NOT(ISNUMBER($H684))),"Ash correction is switched on but no ash fraction is given for this row. ","")&amp;IF($I684="","Sieve mesh not recorded — a fine-root figure cannot be interpreted without it. ","")&amp;IF(AND(ISNUMBER($H684),$H684&gt;0.5),"Ash fraction above 0.5 — over half this sample was mineral soil. Re-wash. ","")&amp;IF($F684="Not separated","Live and dead not separated. Fine for a stock, but "&amp;"note it in reporting. ",""))</f>
        <v/>
      </c>
      <c r="P684" s="6"/>
      <c r="Q684" s="9" t="n">
        <f aca="false">IF($B684="",0,IF(COUNTIFS($B$5:$B684,$B684)=1,1,0))</f>
        <v>0</v>
      </c>
    </row>
    <row r="685" customFormat="false" ht="15" hidden="false" customHeight="false" outlineLevel="0" collapsed="false">
      <c r="A685" s="6"/>
      <c r="B685" s="6"/>
      <c r="C685" s="6"/>
      <c r="D685" s="6"/>
      <c r="E685" s="6"/>
      <c r="F685" s="6"/>
      <c r="G685" s="7"/>
      <c r="H685" s="7"/>
      <c r="I685" s="6"/>
      <c r="J685" s="9" t="str">
        <f aca="false">IF(NOT(ISNUMBER($G685)),"",IF(AND(ASH_CORRECTED="Yes",ISNUMBER($H685)),$G685*(1-$H685),$G685))</f>
        <v/>
      </c>
      <c r="K685" s="9" t="str">
        <f aca="false">IF($B685="","",IFERROR(AVERAGEIFS('2. Soil Data'!$G$5:$G$604,'2. Soil Data'!$B$5:$B$604,$B685),""))</f>
        <v/>
      </c>
      <c r="L685" s="9" t="str">
        <f aca="false">IF(NOT(ISNUMBER($K685)),"",PI()*($K685/2)^2)</f>
        <v/>
      </c>
      <c r="M685" s="9" t="str">
        <f aca="false">IF(OR(NOT(ISNUMBER($J685)),NOT(ISNUMBER($L685)),$L685=0),"",$J685/$L685*10000)</f>
        <v/>
      </c>
      <c r="N685" s="9" t="str">
        <f aca="false">IF(NOT(ISNUMBER($M685)),"",$M685*CARBON_FRACTION_ROOT/1000)</f>
        <v/>
      </c>
      <c r="O685" s="11" t="str">
        <f aca="false">IF(AND($A685="",$B685="",$G685=""),"",IF(AND($B685&lt;&gt;"",COUNTIFS('2. Soil Data'!$B$5:$B$604,$B685)=0),"Core ID not found in Soil Data, so the corer diameter cannot be looked up. ","")&amp;IF(ASH_CORRECTED&lt;&gt;"Yes","Root mass is NOT ash-corrected, so it includes adhering mineral soil and is too high. Set ASH_CORRECTED once you have done it. ","")&amp;IF(AND(ASH_CORRECTED="Yes",NOT(ISNUMBER($H685))),"Ash correction is switched on but no ash fraction is given for this row. ","")&amp;IF($I685="","Sieve mesh not recorded — a fine-root figure cannot be interpreted without it. ","")&amp;IF(AND(ISNUMBER($H685),$H685&gt;0.5),"Ash fraction above 0.5 — over half this sample was mineral soil. Re-wash. ","")&amp;IF($F685="Not separated","Live and dead not separated. Fine for a stock, but "&amp;"note it in reporting. ",""))</f>
        <v/>
      </c>
      <c r="P685" s="6"/>
      <c r="Q685" s="9" t="n">
        <f aca="false">IF($B685="",0,IF(COUNTIFS($B$5:$B685,$B685)=1,1,0))</f>
        <v>0</v>
      </c>
    </row>
    <row r="686" customFormat="false" ht="15" hidden="false" customHeight="false" outlineLevel="0" collapsed="false">
      <c r="A686" s="6"/>
      <c r="B686" s="6"/>
      <c r="C686" s="6"/>
      <c r="D686" s="6"/>
      <c r="E686" s="6"/>
      <c r="F686" s="6"/>
      <c r="G686" s="7"/>
      <c r="H686" s="7"/>
      <c r="I686" s="6"/>
      <c r="J686" s="9" t="str">
        <f aca="false">IF(NOT(ISNUMBER($G686)),"",IF(AND(ASH_CORRECTED="Yes",ISNUMBER($H686)),$G686*(1-$H686),$G686))</f>
        <v/>
      </c>
      <c r="K686" s="9" t="str">
        <f aca="false">IF($B686="","",IFERROR(AVERAGEIFS('2. Soil Data'!$G$5:$G$604,'2. Soil Data'!$B$5:$B$604,$B686),""))</f>
        <v/>
      </c>
      <c r="L686" s="9" t="str">
        <f aca="false">IF(NOT(ISNUMBER($K686)),"",PI()*($K686/2)^2)</f>
        <v/>
      </c>
      <c r="M686" s="9" t="str">
        <f aca="false">IF(OR(NOT(ISNUMBER($J686)),NOT(ISNUMBER($L686)),$L686=0),"",$J686/$L686*10000)</f>
        <v/>
      </c>
      <c r="N686" s="9" t="str">
        <f aca="false">IF(NOT(ISNUMBER($M686)),"",$M686*CARBON_FRACTION_ROOT/1000)</f>
        <v/>
      </c>
      <c r="O686" s="11" t="str">
        <f aca="false">IF(AND($A686="",$B686="",$G686=""),"",IF(AND($B686&lt;&gt;"",COUNTIFS('2. Soil Data'!$B$5:$B$604,$B686)=0),"Core ID not found in Soil Data, so the corer diameter cannot be looked up. ","")&amp;IF(ASH_CORRECTED&lt;&gt;"Yes","Root mass is NOT ash-corrected, so it includes adhering mineral soil and is too high. Set ASH_CORRECTED once you have done it. ","")&amp;IF(AND(ASH_CORRECTED="Yes",NOT(ISNUMBER($H686))),"Ash correction is switched on but no ash fraction is given for this row. ","")&amp;IF($I686="","Sieve mesh not recorded — a fine-root figure cannot be interpreted without it. ","")&amp;IF(AND(ISNUMBER($H686),$H686&gt;0.5),"Ash fraction above 0.5 — over half this sample was mineral soil. Re-wash. ","")&amp;IF($F686="Not separated","Live and dead not separated. Fine for a stock, but "&amp;"note it in reporting. ",""))</f>
        <v/>
      </c>
      <c r="P686" s="6"/>
      <c r="Q686" s="9" t="n">
        <f aca="false">IF($B686="",0,IF(COUNTIFS($B$5:$B686,$B686)=1,1,0))</f>
        <v>0</v>
      </c>
    </row>
    <row r="687" customFormat="false" ht="15" hidden="false" customHeight="false" outlineLevel="0" collapsed="false">
      <c r="A687" s="6"/>
      <c r="B687" s="6"/>
      <c r="C687" s="6"/>
      <c r="D687" s="6"/>
      <c r="E687" s="6"/>
      <c r="F687" s="6"/>
      <c r="G687" s="7"/>
      <c r="H687" s="7"/>
      <c r="I687" s="6"/>
      <c r="J687" s="9" t="str">
        <f aca="false">IF(NOT(ISNUMBER($G687)),"",IF(AND(ASH_CORRECTED="Yes",ISNUMBER($H687)),$G687*(1-$H687),$G687))</f>
        <v/>
      </c>
      <c r="K687" s="9" t="str">
        <f aca="false">IF($B687="","",IFERROR(AVERAGEIFS('2. Soil Data'!$G$5:$G$604,'2. Soil Data'!$B$5:$B$604,$B687),""))</f>
        <v/>
      </c>
      <c r="L687" s="9" t="str">
        <f aca="false">IF(NOT(ISNUMBER($K687)),"",PI()*($K687/2)^2)</f>
        <v/>
      </c>
      <c r="M687" s="9" t="str">
        <f aca="false">IF(OR(NOT(ISNUMBER($J687)),NOT(ISNUMBER($L687)),$L687=0),"",$J687/$L687*10000)</f>
        <v/>
      </c>
      <c r="N687" s="9" t="str">
        <f aca="false">IF(NOT(ISNUMBER($M687)),"",$M687*CARBON_FRACTION_ROOT/1000)</f>
        <v/>
      </c>
      <c r="O687" s="11" t="str">
        <f aca="false">IF(AND($A687="",$B687="",$G687=""),"",IF(AND($B687&lt;&gt;"",COUNTIFS('2. Soil Data'!$B$5:$B$604,$B687)=0),"Core ID not found in Soil Data, so the corer diameter cannot be looked up. ","")&amp;IF(ASH_CORRECTED&lt;&gt;"Yes","Root mass is NOT ash-corrected, so it includes adhering mineral soil and is too high. Set ASH_CORRECTED once you have done it. ","")&amp;IF(AND(ASH_CORRECTED="Yes",NOT(ISNUMBER($H687))),"Ash correction is switched on but no ash fraction is given for this row. ","")&amp;IF($I687="","Sieve mesh not recorded — a fine-root figure cannot be interpreted without it. ","")&amp;IF(AND(ISNUMBER($H687),$H687&gt;0.5),"Ash fraction above 0.5 — over half this sample was mineral soil. Re-wash. ","")&amp;IF($F687="Not separated","Live and dead not separated. Fine for a stock, but "&amp;"note it in reporting. ",""))</f>
        <v/>
      </c>
      <c r="P687" s="6"/>
      <c r="Q687" s="9" t="n">
        <f aca="false">IF($B687="",0,IF(COUNTIFS($B$5:$B687,$B687)=1,1,0))</f>
        <v>0</v>
      </c>
    </row>
    <row r="688" customFormat="false" ht="15" hidden="false" customHeight="false" outlineLevel="0" collapsed="false">
      <c r="A688" s="6"/>
      <c r="B688" s="6"/>
      <c r="C688" s="6"/>
      <c r="D688" s="6"/>
      <c r="E688" s="6"/>
      <c r="F688" s="6"/>
      <c r="G688" s="7"/>
      <c r="H688" s="7"/>
      <c r="I688" s="6"/>
      <c r="J688" s="9" t="str">
        <f aca="false">IF(NOT(ISNUMBER($G688)),"",IF(AND(ASH_CORRECTED="Yes",ISNUMBER($H688)),$G688*(1-$H688),$G688))</f>
        <v/>
      </c>
      <c r="K688" s="9" t="str">
        <f aca="false">IF($B688="","",IFERROR(AVERAGEIFS('2. Soil Data'!$G$5:$G$604,'2. Soil Data'!$B$5:$B$604,$B688),""))</f>
        <v/>
      </c>
      <c r="L688" s="9" t="str">
        <f aca="false">IF(NOT(ISNUMBER($K688)),"",PI()*($K688/2)^2)</f>
        <v/>
      </c>
      <c r="M688" s="9" t="str">
        <f aca="false">IF(OR(NOT(ISNUMBER($J688)),NOT(ISNUMBER($L688)),$L688=0),"",$J688/$L688*10000)</f>
        <v/>
      </c>
      <c r="N688" s="9" t="str">
        <f aca="false">IF(NOT(ISNUMBER($M688)),"",$M688*CARBON_FRACTION_ROOT/1000)</f>
        <v/>
      </c>
      <c r="O688" s="11" t="str">
        <f aca="false">IF(AND($A688="",$B688="",$G688=""),"",IF(AND($B688&lt;&gt;"",COUNTIFS('2. Soil Data'!$B$5:$B$604,$B688)=0),"Core ID not found in Soil Data, so the corer diameter cannot be looked up. ","")&amp;IF(ASH_CORRECTED&lt;&gt;"Yes","Root mass is NOT ash-corrected, so it includes adhering mineral soil and is too high. Set ASH_CORRECTED once you have done it. ","")&amp;IF(AND(ASH_CORRECTED="Yes",NOT(ISNUMBER($H688))),"Ash correction is switched on but no ash fraction is given for this row. ","")&amp;IF($I688="","Sieve mesh not recorded — a fine-root figure cannot be interpreted without it. ","")&amp;IF(AND(ISNUMBER($H688),$H688&gt;0.5),"Ash fraction above 0.5 — over half this sample was mineral soil. Re-wash. ","")&amp;IF($F688="Not separated","Live and dead not separated. Fine for a stock, but "&amp;"note it in reporting. ",""))</f>
        <v/>
      </c>
      <c r="P688" s="6"/>
      <c r="Q688" s="9" t="n">
        <f aca="false">IF($B688="",0,IF(COUNTIFS($B$5:$B688,$B688)=1,1,0))</f>
        <v>0</v>
      </c>
    </row>
    <row r="689" customFormat="false" ht="15" hidden="false" customHeight="false" outlineLevel="0" collapsed="false">
      <c r="A689" s="6"/>
      <c r="B689" s="6"/>
      <c r="C689" s="6"/>
      <c r="D689" s="6"/>
      <c r="E689" s="6"/>
      <c r="F689" s="6"/>
      <c r="G689" s="7"/>
      <c r="H689" s="7"/>
      <c r="I689" s="6"/>
      <c r="J689" s="9" t="str">
        <f aca="false">IF(NOT(ISNUMBER($G689)),"",IF(AND(ASH_CORRECTED="Yes",ISNUMBER($H689)),$G689*(1-$H689),$G689))</f>
        <v/>
      </c>
      <c r="K689" s="9" t="str">
        <f aca="false">IF($B689="","",IFERROR(AVERAGEIFS('2. Soil Data'!$G$5:$G$604,'2. Soil Data'!$B$5:$B$604,$B689),""))</f>
        <v/>
      </c>
      <c r="L689" s="9" t="str">
        <f aca="false">IF(NOT(ISNUMBER($K689)),"",PI()*($K689/2)^2)</f>
        <v/>
      </c>
      <c r="M689" s="9" t="str">
        <f aca="false">IF(OR(NOT(ISNUMBER($J689)),NOT(ISNUMBER($L689)),$L689=0),"",$J689/$L689*10000)</f>
        <v/>
      </c>
      <c r="N689" s="9" t="str">
        <f aca="false">IF(NOT(ISNUMBER($M689)),"",$M689*CARBON_FRACTION_ROOT/1000)</f>
        <v/>
      </c>
      <c r="O689" s="11" t="str">
        <f aca="false">IF(AND($A689="",$B689="",$G689=""),"",IF(AND($B689&lt;&gt;"",COUNTIFS('2. Soil Data'!$B$5:$B$604,$B689)=0),"Core ID not found in Soil Data, so the corer diameter cannot be looked up. ","")&amp;IF(ASH_CORRECTED&lt;&gt;"Yes","Root mass is NOT ash-corrected, so it includes adhering mineral soil and is too high. Set ASH_CORRECTED once you have done it. ","")&amp;IF(AND(ASH_CORRECTED="Yes",NOT(ISNUMBER($H689))),"Ash correction is switched on but no ash fraction is given for this row. ","")&amp;IF($I689="","Sieve mesh not recorded — a fine-root figure cannot be interpreted without it. ","")&amp;IF(AND(ISNUMBER($H689),$H689&gt;0.5),"Ash fraction above 0.5 — over half this sample was mineral soil. Re-wash. ","")&amp;IF($F689="Not separated","Live and dead not separated. Fine for a stock, but "&amp;"note it in reporting. ",""))</f>
        <v/>
      </c>
      <c r="P689" s="6"/>
      <c r="Q689" s="9" t="n">
        <f aca="false">IF($B689="",0,IF(COUNTIFS($B$5:$B689,$B689)=1,1,0))</f>
        <v>0</v>
      </c>
    </row>
    <row r="690" customFormat="false" ht="15" hidden="false" customHeight="false" outlineLevel="0" collapsed="false">
      <c r="A690" s="6"/>
      <c r="B690" s="6"/>
      <c r="C690" s="6"/>
      <c r="D690" s="6"/>
      <c r="E690" s="6"/>
      <c r="F690" s="6"/>
      <c r="G690" s="7"/>
      <c r="H690" s="7"/>
      <c r="I690" s="6"/>
      <c r="J690" s="9" t="str">
        <f aca="false">IF(NOT(ISNUMBER($G690)),"",IF(AND(ASH_CORRECTED="Yes",ISNUMBER($H690)),$G690*(1-$H690),$G690))</f>
        <v/>
      </c>
      <c r="K690" s="9" t="str">
        <f aca="false">IF($B690="","",IFERROR(AVERAGEIFS('2. Soil Data'!$G$5:$G$604,'2. Soil Data'!$B$5:$B$604,$B690),""))</f>
        <v/>
      </c>
      <c r="L690" s="9" t="str">
        <f aca="false">IF(NOT(ISNUMBER($K690)),"",PI()*($K690/2)^2)</f>
        <v/>
      </c>
      <c r="M690" s="9" t="str">
        <f aca="false">IF(OR(NOT(ISNUMBER($J690)),NOT(ISNUMBER($L690)),$L690=0),"",$J690/$L690*10000)</f>
        <v/>
      </c>
      <c r="N690" s="9" t="str">
        <f aca="false">IF(NOT(ISNUMBER($M690)),"",$M690*CARBON_FRACTION_ROOT/1000)</f>
        <v/>
      </c>
      <c r="O690" s="11" t="str">
        <f aca="false">IF(AND($A690="",$B690="",$G690=""),"",IF(AND($B690&lt;&gt;"",COUNTIFS('2. Soil Data'!$B$5:$B$604,$B690)=0),"Core ID not found in Soil Data, so the corer diameter cannot be looked up. ","")&amp;IF(ASH_CORRECTED&lt;&gt;"Yes","Root mass is NOT ash-corrected, so it includes adhering mineral soil and is too high. Set ASH_CORRECTED once you have done it. ","")&amp;IF(AND(ASH_CORRECTED="Yes",NOT(ISNUMBER($H690))),"Ash correction is switched on but no ash fraction is given for this row. ","")&amp;IF($I690="","Sieve mesh not recorded — a fine-root figure cannot be interpreted without it. ","")&amp;IF(AND(ISNUMBER($H690),$H690&gt;0.5),"Ash fraction above 0.5 — over half this sample was mineral soil. Re-wash. ","")&amp;IF($F690="Not separated","Live and dead not separated. Fine for a stock, but "&amp;"note it in reporting. ",""))</f>
        <v/>
      </c>
      <c r="P690" s="6"/>
      <c r="Q690" s="9" t="n">
        <f aca="false">IF($B690="",0,IF(COUNTIFS($B$5:$B690,$B690)=1,1,0))</f>
        <v>0</v>
      </c>
    </row>
    <row r="691" customFormat="false" ht="15" hidden="false" customHeight="false" outlineLevel="0" collapsed="false">
      <c r="A691" s="6"/>
      <c r="B691" s="6"/>
      <c r="C691" s="6"/>
      <c r="D691" s="6"/>
      <c r="E691" s="6"/>
      <c r="F691" s="6"/>
      <c r="G691" s="7"/>
      <c r="H691" s="7"/>
      <c r="I691" s="6"/>
      <c r="J691" s="9" t="str">
        <f aca="false">IF(NOT(ISNUMBER($G691)),"",IF(AND(ASH_CORRECTED="Yes",ISNUMBER($H691)),$G691*(1-$H691),$G691))</f>
        <v/>
      </c>
      <c r="K691" s="9" t="str">
        <f aca="false">IF($B691="","",IFERROR(AVERAGEIFS('2. Soil Data'!$G$5:$G$604,'2. Soil Data'!$B$5:$B$604,$B691),""))</f>
        <v/>
      </c>
      <c r="L691" s="9" t="str">
        <f aca="false">IF(NOT(ISNUMBER($K691)),"",PI()*($K691/2)^2)</f>
        <v/>
      </c>
      <c r="M691" s="9" t="str">
        <f aca="false">IF(OR(NOT(ISNUMBER($J691)),NOT(ISNUMBER($L691)),$L691=0),"",$J691/$L691*10000)</f>
        <v/>
      </c>
      <c r="N691" s="9" t="str">
        <f aca="false">IF(NOT(ISNUMBER($M691)),"",$M691*CARBON_FRACTION_ROOT/1000)</f>
        <v/>
      </c>
      <c r="O691" s="11" t="str">
        <f aca="false">IF(AND($A691="",$B691="",$G691=""),"",IF(AND($B691&lt;&gt;"",COUNTIFS('2. Soil Data'!$B$5:$B$604,$B691)=0),"Core ID not found in Soil Data, so the corer diameter cannot be looked up. ","")&amp;IF(ASH_CORRECTED&lt;&gt;"Yes","Root mass is NOT ash-corrected, so it includes adhering mineral soil and is too high. Set ASH_CORRECTED once you have done it. ","")&amp;IF(AND(ASH_CORRECTED="Yes",NOT(ISNUMBER($H691))),"Ash correction is switched on but no ash fraction is given for this row. ","")&amp;IF($I691="","Sieve mesh not recorded — a fine-root figure cannot be interpreted without it. ","")&amp;IF(AND(ISNUMBER($H691),$H691&gt;0.5),"Ash fraction above 0.5 — over half this sample was mineral soil. Re-wash. ","")&amp;IF($F691="Not separated","Live and dead not separated. Fine for a stock, but "&amp;"note it in reporting. ",""))</f>
        <v/>
      </c>
      <c r="P691" s="6"/>
      <c r="Q691" s="9" t="n">
        <f aca="false">IF($B691="",0,IF(COUNTIFS($B$5:$B691,$B691)=1,1,0))</f>
        <v>0</v>
      </c>
    </row>
    <row r="692" customFormat="false" ht="15" hidden="false" customHeight="false" outlineLevel="0" collapsed="false">
      <c r="A692" s="6"/>
      <c r="B692" s="6"/>
      <c r="C692" s="6"/>
      <c r="D692" s="6"/>
      <c r="E692" s="6"/>
      <c r="F692" s="6"/>
      <c r="G692" s="7"/>
      <c r="H692" s="7"/>
      <c r="I692" s="6"/>
      <c r="J692" s="9" t="str">
        <f aca="false">IF(NOT(ISNUMBER($G692)),"",IF(AND(ASH_CORRECTED="Yes",ISNUMBER($H692)),$G692*(1-$H692),$G692))</f>
        <v/>
      </c>
      <c r="K692" s="9" t="str">
        <f aca="false">IF($B692="","",IFERROR(AVERAGEIFS('2. Soil Data'!$G$5:$G$604,'2. Soil Data'!$B$5:$B$604,$B692),""))</f>
        <v/>
      </c>
      <c r="L692" s="9" t="str">
        <f aca="false">IF(NOT(ISNUMBER($K692)),"",PI()*($K692/2)^2)</f>
        <v/>
      </c>
      <c r="M692" s="9" t="str">
        <f aca="false">IF(OR(NOT(ISNUMBER($J692)),NOT(ISNUMBER($L692)),$L692=0),"",$J692/$L692*10000)</f>
        <v/>
      </c>
      <c r="N692" s="9" t="str">
        <f aca="false">IF(NOT(ISNUMBER($M692)),"",$M692*CARBON_FRACTION_ROOT/1000)</f>
        <v/>
      </c>
      <c r="O692" s="11" t="str">
        <f aca="false">IF(AND($A692="",$B692="",$G692=""),"",IF(AND($B692&lt;&gt;"",COUNTIFS('2. Soil Data'!$B$5:$B$604,$B692)=0),"Core ID not found in Soil Data, so the corer diameter cannot be looked up. ","")&amp;IF(ASH_CORRECTED&lt;&gt;"Yes","Root mass is NOT ash-corrected, so it includes adhering mineral soil and is too high. Set ASH_CORRECTED once you have done it. ","")&amp;IF(AND(ASH_CORRECTED="Yes",NOT(ISNUMBER($H692))),"Ash correction is switched on but no ash fraction is given for this row. ","")&amp;IF($I692="","Sieve mesh not recorded — a fine-root figure cannot be interpreted without it. ","")&amp;IF(AND(ISNUMBER($H692),$H692&gt;0.5),"Ash fraction above 0.5 — over half this sample was mineral soil. Re-wash. ","")&amp;IF($F692="Not separated","Live and dead not separated. Fine for a stock, but "&amp;"note it in reporting. ",""))</f>
        <v/>
      </c>
      <c r="P692" s="6"/>
      <c r="Q692" s="9" t="n">
        <f aca="false">IF($B692="",0,IF(COUNTIFS($B$5:$B692,$B692)=1,1,0))</f>
        <v>0</v>
      </c>
    </row>
    <row r="693" customFormat="false" ht="15" hidden="false" customHeight="false" outlineLevel="0" collapsed="false">
      <c r="A693" s="6"/>
      <c r="B693" s="6"/>
      <c r="C693" s="6"/>
      <c r="D693" s="6"/>
      <c r="E693" s="6"/>
      <c r="F693" s="6"/>
      <c r="G693" s="7"/>
      <c r="H693" s="7"/>
      <c r="I693" s="6"/>
      <c r="J693" s="9" t="str">
        <f aca="false">IF(NOT(ISNUMBER($G693)),"",IF(AND(ASH_CORRECTED="Yes",ISNUMBER($H693)),$G693*(1-$H693),$G693))</f>
        <v/>
      </c>
      <c r="K693" s="9" t="str">
        <f aca="false">IF($B693="","",IFERROR(AVERAGEIFS('2. Soil Data'!$G$5:$G$604,'2. Soil Data'!$B$5:$B$604,$B693),""))</f>
        <v/>
      </c>
      <c r="L693" s="9" t="str">
        <f aca="false">IF(NOT(ISNUMBER($K693)),"",PI()*($K693/2)^2)</f>
        <v/>
      </c>
      <c r="M693" s="9" t="str">
        <f aca="false">IF(OR(NOT(ISNUMBER($J693)),NOT(ISNUMBER($L693)),$L693=0),"",$J693/$L693*10000)</f>
        <v/>
      </c>
      <c r="N693" s="9" t="str">
        <f aca="false">IF(NOT(ISNUMBER($M693)),"",$M693*CARBON_FRACTION_ROOT/1000)</f>
        <v/>
      </c>
      <c r="O693" s="11" t="str">
        <f aca="false">IF(AND($A693="",$B693="",$G693=""),"",IF(AND($B693&lt;&gt;"",COUNTIFS('2. Soil Data'!$B$5:$B$604,$B693)=0),"Core ID not found in Soil Data, so the corer diameter cannot be looked up. ","")&amp;IF(ASH_CORRECTED&lt;&gt;"Yes","Root mass is NOT ash-corrected, so it includes adhering mineral soil and is too high. Set ASH_CORRECTED once you have done it. ","")&amp;IF(AND(ASH_CORRECTED="Yes",NOT(ISNUMBER($H693))),"Ash correction is switched on but no ash fraction is given for this row. ","")&amp;IF($I693="","Sieve mesh not recorded — a fine-root figure cannot be interpreted without it. ","")&amp;IF(AND(ISNUMBER($H693),$H693&gt;0.5),"Ash fraction above 0.5 — over half this sample was mineral soil. Re-wash. ","")&amp;IF($F693="Not separated","Live and dead not separated. Fine for a stock, but "&amp;"note it in reporting. ",""))</f>
        <v/>
      </c>
      <c r="P693" s="6"/>
      <c r="Q693" s="9" t="n">
        <f aca="false">IF($B693="",0,IF(COUNTIFS($B$5:$B693,$B693)=1,1,0))</f>
        <v>0</v>
      </c>
    </row>
    <row r="694" customFormat="false" ht="15" hidden="false" customHeight="false" outlineLevel="0" collapsed="false">
      <c r="A694" s="6"/>
      <c r="B694" s="6"/>
      <c r="C694" s="6"/>
      <c r="D694" s="6"/>
      <c r="E694" s="6"/>
      <c r="F694" s="6"/>
      <c r="G694" s="7"/>
      <c r="H694" s="7"/>
      <c r="I694" s="6"/>
      <c r="J694" s="9" t="str">
        <f aca="false">IF(NOT(ISNUMBER($G694)),"",IF(AND(ASH_CORRECTED="Yes",ISNUMBER($H694)),$G694*(1-$H694),$G694))</f>
        <v/>
      </c>
      <c r="K694" s="9" t="str">
        <f aca="false">IF($B694="","",IFERROR(AVERAGEIFS('2. Soil Data'!$G$5:$G$604,'2. Soil Data'!$B$5:$B$604,$B694),""))</f>
        <v/>
      </c>
      <c r="L694" s="9" t="str">
        <f aca="false">IF(NOT(ISNUMBER($K694)),"",PI()*($K694/2)^2)</f>
        <v/>
      </c>
      <c r="M694" s="9" t="str">
        <f aca="false">IF(OR(NOT(ISNUMBER($J694)),NOT(ISNUMBER($L694)),$L694=0),"",$J694/$L694*10000)</f>
        <v/>
      </c>
      <c r="N694" s="9" t="str">
        <f aca="false">IF(NOT(ISNUMBER($M694)),"",$M694*CARBON_FRACTION_ROOT/1000)</f>
        <v/>
      </c>
      <c r="O694" s="11" t="str">
        <f aca="false">IF(AND($A694="",$B694="",$G694=""),"",IF(AND($B694&lt;&gt;"",COUNTIFS('2. Soil Data'!$B$5:$B$604,$B694)=0),"Core ID not found in Soil Data, so the corer diameter cannot be looked up. ","")&amp;IF(ASH_CORRECTED&lt;&gt;"Yes","Root mass is NOT ash-corrected, so it includes adhering mineral soil and is too high. Set ASH_CORRECTED once you have done it. ","")&amp;IF(AND(ASH_CORRECTED="Yes",NOT(ISNUMBER($H694))),"Ash correction is switched on but no ash fraction is given for this row. ","")&amp;IF($I694="","Sieve mesh not recorded — a fine-root figure cannot be interpreted without it. ","")&amp;IF(AND(ISNUMBER($H694),$H694&gt;0.5),"Ash fraction above 0.5 — over half this sample was mineral soil. Re-wash. ","")&amp;IF($F694="Not separated","Live and dead not separated. Fine for a stock, but "&amp;"note it in reporting. ",""))</f>
        <v/>
      </c>
      <c r="P694" s="6"/>
      <c r="Q694" s="9" t="n">
        <f aca="false">IF($B694="",0,IF(COUNTIFS($B$5:$B694,$B694)=1,1,0))</f>
        <v>0</v>
      </c>
    </row>
    <row r="695" customFormat="false" ht="15" hidden="false" customHeight="false" outlineLevel="0" collapsed="false">
      <c r="A695" s="6"/>
      <c r="B695" s="6"/>
      <c r="C695" s="6"/>
      <c r="D695" s="6"/>
      <c r="E695" s="6"/>
      <c r="F695" s="6"/>
      <c r="G695" s="7"/>
      <c r="H695" s="7"/>
      <c r="I695" s="6"/>
      <c r="J695" s="9" t="str">
        <f aca="false">IF(NOT(ISNUMBER($G695)),"",IF(AND(ASH_CORRECTED="Yes",ISNUMBER($H695)),$G695*(1-$H695),$G695))</f>
        <v/>
      </c>
      <c r="K695" s="9" t="str">
        <f aca="false">IF($B695="","",IFERROR(AVERAGEIFS('2. Soil Data'!$G$5:$G$604,'2. Soil Data'!$B$5:$B$604,$B695),""))</f>
        <v/>
      </c>
      <c r="L695" s="9" t="str">
        <f aca="false">IF(NOT(ISNUMBER($K695)),"",PI()*($K695/2)^2)</f>
        <v/>
      </c>
      <c r="M695" s="9" t="str">
        <f aca="false">IF(OR(NOT(ISNUMBER($J695)),NOT(ISNUMBER($L695)),$L695=0),"",$J695/$L695*10000)</f>
        <v/>
      </c>
      <c r="N695" s="9" t="str">
        <f aca="false">IF(NOT(ISNUMBER($M695)),"",$M695*CARBON_FRACTION_ROOT/1000)</f>
        <v/>
      </c>
      <c r="O695" s="11" t="str">
        <f aca="false">IF(AND($A695="",$B695="",$G695=""),"",IF(AND($B695&lt;&gt;"",COUNTIFS('2. Soil Data'!$B$5:$B$604,$B695)=0),"Core ID not found in Soil Data, so the corer diameter cannot be looked up. ","")&amp;IF(ASH_CORRECTED&lt;&gt;"Yes","Root mass is NOT ash-corrected, so it includes adhering mineral soil and is too high. Set ASH_CORRECTED once you have done it. ","")&amp;IF(AND(ASH_CORRECTED="Yes",NOT(ISNUMBER($H695))),"Ash correction is switched on but no ash fraction is given for this row. ","")&amp;IF($I695="","Sieve mesh not recorded — a fine-root figure cannot be interpreted without it. ","")&amp;IF(AND(ISNUMBER($H695),$H695&gt;0.5),"Ash fraction above 0.5 — over half this sample was mineral soil. Re-wash. ","")&amp;IF($F695="Not separated","Live and dead not separated. Fine for a stock, but "&amp;"note it in reporting. ",""))</f>
        <v/>
      </c>
      <c r="P695" s="6"/>
      <c r="Q695" s="9" t="n">
        <f aca="false">IF($B695="",0,IF(COUNTIFS($B$5:$B695,$B695)=1,1,0))</f>
        <v>0</v>
      </c>
    </row>
    <row r="696" customFormat="false" ht="15" hidden="false" customHeight="false" outlineLevel="0" collapsed="false">
      <c r="A696" s="6"/>
      <c r="B696" s="6"/>
      <c r="C696" s="6"/>
      <c r="D696" s="6"/>
      <c r="E696" s="6"/>
      <c r="F696" s="6"/>
      <c r="G696" s="7"/>
      <c r="H696" s="7"/>
      <c r="I696" s="6"/>
      <c r="J696" s="9" t="str">
        <f aca="false">IF(NOT(ISNUMBER($G696)),"",IF(AND(ASH_CORRECTED="Yes",ISNUMBER($H696)),$G696*(1-$H696),$G696))</f>
        <v/>
      </c>
      <c r="K696" s="9" t="str">
        <f aca="false">IF($B696="","",IFERROR(AVERAGEIFS('2. Soil Data'!$G$5:$G$604,'2. Soil Data'!$B$5:$B$604,$B696),""))</f>
        <v/>
      </c>
      <c r="L696" s="9" t="str">
        <f aca="false">IF(NOT(ISNUMBER($K696)),"",PI()*($K696/2)^2)</f>
        <v/>
      </c>
      <c r="M696" s="9" t="str">
        <f aca="false">IF(OR(NOT(ISNUMBER($J696)),NOT(ISNUMBER($L696)),$L696=0),"",$J696/$L696*10000)</f>
        <v/>
      </c>
      <c r="N696" s="9" t="str">
        <f aca="false">IF(NOT(ISNUMBER($M696)),"",$M696*CARBON_FRACTION_ROOT/1000)</f>
        <v/>
      </c>
      <c r="O696" s="11" t="str">
        <f aca="false">IF(AND($A696="",$B696="",$G696=""),"",IF(AND($B696&lt;&gt;"",COUNTIFS('2. Soil Data'!$B$5:$B$604,$B696)=0),"Core ID not found in Soil Data, so the corer diameter cannot be looked up. ","")&amp;IF(ASH_CORRECTED&lt;&gt;"Yes","Root mass is NOT ash-corrected, so it includes adhering mineral soil and is too high. Set ASH_CORRECTED once you have done it. ","")&amp;IF(AND(ASH_CORRECTED="Yes",NOT(ISNUMBER($H696))),"Ash correction is switched on but no ash fraction is given for this row. ","")&amp;IF($I696="","Sieve mesh not recorded — a fine-root figure cannot be interpreted without it. ","")&amp;IF(AND(ISNUMBER($H696),$H696&gt;0.5),"Ash fraction above 0.5 — over half this sample was mineral soil. Re-wash. ","")&amp;IF($F696="Not separated","Live and dead not separated. Fine for a stock, but "&amp;"note it in reporting. ",""))</f>
        <v/>
      </c>
      <c r="P696" s="6"/>
      <c r="Q696" s="9" t="n">
        <f aca="false">IF($B696="",0,IF(COUNTIFS($B$5:$B696,$B696)=1,1,0))</f>
        <v>0</v>
      </c>
    </row>
    <row r="697" customFormat="false" ht="15" hidden="false" customHeight="false" outlineLevel="0" collapsed="false">
      <c r="A697" s="6"/>
      <c r="B697" s="6"/>
      <c r="C697" s="6"/>
      <c r="D697" s="6"/>
      <c r="E697" s="6"/>
      <c r="F697" s="6"/>
      <c r="G697" s="7"/>
      <c r="H697" s="7"/>
      <c r="I697" s="6"/>
      <c r="J697" s="9" t="str">
        <f aca="false">IF(NOT(ISNUMBER($G697)),"",IF(AND(ASH_CORRECTED="Yes",ISNUMBER($H697)),$G697*(1-$H697),$G697))</f>
        <v/>
      </c>
      <c r="K697" s="9" t="str">
        <f aca="false">IF($B697="","",IFERROR(AVERAGEIFS('2. Soil Data'!$G$5:$G$604,'2. Soil Data'!$B$5:$B$604,$B697),""))</f>
        <v/>
      </c>
      <c r="L697" s="9" t="str">
        <f aca="false">IF(NOT(ISNUMBER($K697)),"",PI()*($K697/2)^2)</f>
        <v/>
      </c>
      <c r="M697" s="9" t="str">
        <f aca="false">IF(OR(NOT(ISNUMBER($J697)),NOT(ISNUMBER($L697)),$L697=0),"",$J697/$L697*10000)</f>
        <v/>
      </c>
      <c r="N697" s="9" t="str">
        <f aca="false">IF(NOT(ISNUMBER($M697)),"",$M697*CARBON_FRACTION_ROOT/1000)</f>
        <v/>
      </c>
      <c r="O697" s="11" t="str">
        <f aca="false">IF(AND($A697="",$B697="",$G697=""),"",IF(AND($B697&lt;&gt;"",COUNTIFS('2. Soil Data'!$B$5:$B$604,$B697)=0),"Core ID not found in Soil Data, so the corer diameter cannot be looked up. ","")&amp;IF(ASH_CORRECTED&lt;&gt;"Yes","Root mass is NOT ash-corrected, so it includes adhering mineral soil and is too high. Set ASH_CORRECTED once you have done it. ","")&amp;IF(AND(ASH_CORRECTED="Yes",NOT(ISNUMBER($H697))),"Ash correction is switched on but no ash fraction is given for this row. ","")&amp;IF($I697="","Sieve mesh not recorded — a fine-root figure cannot be interpreted without it. ","")&amp;IF(AND(ISNUMBER($H697),$H697&gt;0.5),"Ash fraction above 0.5 — over half this sample was mineral soil. Re-wash. ","")&amp;IF($F697="Not separated","Live and dead not separated. Fine for a stock, but "&amp;"note it in reporting. ",""))</f>
        <v/>
      </c>
      <c r="P697" s="6"/>
      <c r="Q697" s="9" t="n">
        <f aca="false">IF($B697="",0,IF(COUNTIFS($B$5:$B697,$B697)=1,1,0))</f>
        <v>0</v>
      </c>
    </row>
    <row r="698" customFormat="false" ht="15" hidden="false" customHeight="false" outlineLevel="0" collapsed="false">
      <c r="A698" s="6"/>
      <c r="B698" s="6"/>
      <c r="C698" s="6"/>
      <c r="D698" s="6"/>
      <c r="E698" s="6"/>
      <c r="F698" s="6"/>
      <c r="G698" s="7"/>
      <c r="H698" s="7"/>
      <c r="I698" s="6"/>
      <c r="J698" s="9" t="str">
        <f aca="false">IF(NOT(ISNUMBER($G698)),"",IF(AND(ASH_CORRECTED="Yes",ISNUMBER($H698)),$G698*(1-$H698),$G698))</f>
        <v/>
      </c>
      <c r="K698" s="9" t="str">
        <f aca="false">IF($B698="","",IFERROR(AVERAGEIFS('2. Soil Data'!$G$5:$G$604,'2. Soil Data'!$B$5:$B$604,$B698),""))</f>
        <v/>
      </c>
      <c r="L698" s="9" t="str">
        <f aca="false">IF(NOT(ISNUMBER($K698)),"",PI()*($K698/2)^2)</f>
        <v/>
      </c>
      <c r="M698" s="9" t="str">
        <f aca="false">IF(OR(NOT(ISNUMBER($J698)),NOT(ISNUMBER($L698)),$L698=0),"",$J698/$L698*10000)</f>
        <v/>
      </c>
      <c r="N698" s="9" t="str">
        <f aca="false">IF(NOT(ISNUMBER($M698)),"",$M698*CARBON_FRACTION_ROOT/1000)</f>
        <v/>
      </c>
      <c r="O698" s="11" t="str">
        <f aca="false">IF(AND($A698="",$B698="",$G698=""),"",IF(AND($B698&lt;&gt;"",COUNTIFS('2. Soil Data'!$B$5:$B$604,$B698)=0),"Core ID not found in Soil Data, so the corer diameter cannot be looked up. ","")&amp;IF(ASH_CORRECTED&lt;&gt;"Yes","Root mass is NOT ash-corrected, so it includes adhering mineral soil and is too high. Set ASH_CORRECTED once you have done it. ","")&amp;IF(AND(ASH_CORRECTED="Yes",NOT(ISNUMBER($H698))),"Ash correction is switched on but no ash fraction is given for this row. ","")&amp;IF($I698="","Sieve mesh not recorded — a fine-root figure cannot be interpreted without it. ","")&amp;IF(AND(ISNUMBER($H698),$H698&gt;0.5),"Ash fraction above 0.5 — over half this sample was mineral soil. Re-wash. ","")&amp;IF($F698="Not separated","Live and dead not separated. Fine for a stock, but "&amp;"note it in reporting. ",""))</f>
        <v/>
      </c>
      <c r="P698" s="6"/>
      <c r="Q698" s="9" t="n">
        <f aca="false">IF($B698="",0,IF(COUNTIFS($B$5:$B698,$B698)=1,1,0))</f>
        <v>0</v>
      </c>
    </row>
    <row r="699" customFormat="false" ht="15" hidden="false" customHeight="false" outlineLevel="0" collapsed="false">
      <c r="A699" s="6"/>
      <c r="B699" s="6"/>
      <c r="C699" s="6"/>
      <c r="D699" s="6"/>
      <c r="E699" s="6"/>
      <c r="F699" s="6"/>
      <c r="G699" s="7"/>
      <c r="H699" s="7"/>
      <c r="I699" s="6"/>
      <c r="J699" s="9" t="str">
        <f aca="false">IF(NOT(ISNUMBER($G699)),"",IF(AND(ASH_CORRECTED="Yes",ISNUMBER($H699)),$G699*(1-$H699),$G699))</f>
        <v/>
      </c>
      <c r="K699" s="9" t="str">
        <f aca="false">IF($B699="","",IFERROR(AVERAGEIFS('2. Soil Data'!$G$5:$G$604,'2. Soil Data'!$B$5:$B$604,$B699),""))</f>
        <v/>
      </c>
      <c r="L699" s="9" t="str">
        <f aca="false">IF(NOT(ISNUMBER($K699)),"",PI()*($K699/2)^2)</f>
        <v/>
      </c>
      <c r="M699" s="9" t="str">
        <f aca="false">IF(OR(NOT(ISNUMBER($J699)),NOT(ISNUMBER($L699)),$L699=0),"",$J699/$L699*10000)</f>
        <v/>
      </c>
      <c r="N699" s="9" t="str">
        <f aca="false">IF(NOT(ISNUMBER($M699)),"",$M699*CARBON_FRACTION_ROOT/1000)</f>
        <v/>
      </c>
      <c r="O699" s="11" t="str">
        <f aca="false">IF(AND($A699="",$B699="",$G699=""),"",IF(AND($B699&lt;&gt;"",COUNTIFS('2. Soil Data'!$B$5:$B$604,$B699)=0),"Core ID not found in Soil Data, so the corer diameter cannot be looked up. ","")&amp;IF(ASH_CORRECTED&lt;&gt;"Yes","Root mass is NOT ash-corrected, so it includes adhering mineral soil and is too high. Set ASH_CORRECTED once you have done it. ","")&amp;IF(AND(ASH_CORRECTED="Yes",NOT(ISNUMBER($H699))),"Ash correction is switched on but no ash fraction is given for this row. ","")&amp;IF($I699="","Sieve mesh not recorded — a fine-root figure cannot be interpreted without it. ","")&amp;IF(AND(ISNUMBER($H699),$H699&gt;0.5),"Ash fraction above 0.5 — over half this sample was mineral soil. Re-wash. ","")&amp;IF($F699="Not separated","Live and dead not separated. Fine for a stock, but "&amp;"note it in reporting. ",""))</f>
        <v/>
      </c>
      <c r="P699" s="6"/>
      <c r="Q699" s="9" t="n">
        <f aca="false">IF($B699="",0,IF(COUNTIFS($B$5:$B699,$B699)=1,1,0))</f>
        <v>0</v>
      </c>
    </row>
    <row r="700" customFormat="false" ht="15" hidden="false" customHeight="false" outlineLevel="0" collapsed="false">
      <c r="A700" s="6"/>
      <c r="B700" s="6"/>
      <c r="C700" s="6"/>
      <c r="D700" s="6"/>
      <c r="E700" s="6"/>
      <c r="F700" s="6"/>
      <c r="G700" s="7"/>
      <c r="H700" s="7"/>
      <c r="I700" s="6"/>
      <c r="J700" s="9" t="str">
        <f aca="false">IF(NOT(ISNUMBER($G700)),"",IF(AND(ASH_CORRECTED="Yes",ISNUMBER($H700)),$G700*(1-$H700),$G700))</f>
        <v/>
      </c>
      <c r="K700" s="9" t="str">
        <f aca="false">IF($B700="","",IFERROR(AVERAGEIFS('2. Soil Data'!$G$5:$G$604,'2. Soil Data'!$B$5:$B$604,$B700),""))</f>
        <v/>
      </c>
      <c r="L700" s="9" t="str">
        <f aca="false">IF(NOT(ISNUMBER($K700)),"",PI()*($K700/2)^2)</f>
        <v/>
      </c>
      <c r="M700" s="9" t="str">
        <f aca="false">IF(OR(NOT(ISNUMBER($J700)),NOT(ISNUMBER($L700)),$L700=0),"",$J700/$L700*10000)</f>
        <v/>
      </c>
      <c r="N700" s="9" t="str">
        <f aca="false">IF(NOT(ISNUMBER($M700)),"",$M700*CARBON_FRACTION_ROOT/1000)</f>
        <v/>
      </c>
      <c r="O700" s="11" t="str">
        <f aca="false">IF(AND($A700="",$B700="",$G700=""),"",IF(AND($B700&lt;&gt;"",COUNTIFS('2. Soil Data'!$B$5:$B$604,$B700)=0),"Core ID not found in Soil Data, so the corer diameter cannot be looked up. ","")&amp;IF(ASH_CORRECTED&lt;&gt;"Yes","Root mass is NOT ash-corrected, so it includes adhering mineral soil and is too high. Set ASH_CORRECTED once you have done it. ","")&amp;IF(AND(ASH_CORRECTED="Yes",NOT(ISNUMBER($H700))),"Ash correction is switched on but no ash fraction is given for this row. ","")&amp;IF($I700="","Sieve mesh not recorded — a fine-root figure cannot be interpreted without it. ","")&amp;IF(AND(ISNUMBER($H700),$H700&gt;0.5),"Ash fraction above 0.5 — over half this sample was mineral soil. Re-wash. ","")&amp;IF($F700="Not separated","Live and dead not separated. Fine for a stock, but "&amp;"note it in reporting. ",""))</f>
        <v/>
      </c>
      <c r="P700" s="6"/>
      <c r="Q700" s="9" t="n">
        <f aca="false">IF($B700="",0,IF(COUNTIFS($B$5:$B700,$B700)=1,1,0))</f>
        <v>0</v>
      </c>
    </row>
    <row r="701" customFormat="false" ht="15" hidden="false" customHeight="false" outlineLevel="0" collapsed="false">
      <c r="A701" s="6"/>
      <c r="B701" s="6"/>
      <c r="C701" s="6"/>
      <c r="D701" s="6"/>
      <c r="E701" s="6"/>
      <c r="F701" s="6"/>
      <c r="G701" s="7"/>
      <c r="H701" s="7"/>
      <c r="I701" s="6"/>
      <c r="J701" s="9" t="str">
        <f aca="false">IF(NOT(ISNUMBER($G701)),"",IF(AND(ASH_CORRECTED="Yes",ISNUMBER($H701)),$G701*(1-$H701),$G701))</f>
        <v/>
      </c>
      <c r="K701" s="9" t="str">
        <f aca="false">IF($B701="","",IFERROR(AVERAGEIFS('2. Soil Data'!$G$5:$G$604,'2. Soil Data'!$B$5:$B$604,$B701),""))</f>
        <v/>
      </c>
      <c r="L701" s="9" t="str">
        <f aca="false">IF(NOT(ISNUMBER($K701)),"",PI()*($K701/2)^2)</f>
        <v/>
      </c>
      <c r="M701" s="9" t="str">
        <f aca="false">IF(OR(NOT(ISNUMBER($J701)),NOT(ISNUMBER($L701)),$L701=0),"",$J701/$L701*10000)</f>
        <v/>
      </c>
      <c r="N701" s="9" t="str">
        <f aca="false">IF(NOT(ISNUMBER($M701)),"",$M701*CARBON_FRACTION_ROOT/1000)</f>
        <v/>
      </c>
      <c r="O701" s="11" t="str">
        <f aca="false">IF(AND($A701="",$B701="",$G701=""),"",IF(AND($B701&lt;&gt;"",COUNTIFS('2. Soil Data'!$B$5:$B$604,$B701)=0),"Core ID not found in Soil Data, so the corer diameter cannot be looked up. ","")&amp;IF(ASH_CORRECTED&lt;&gt;"Yes","Root mass is NOT ash-corrected, so it includes adhering mineral soil and is too high. Set ASH_CORRECTED once you have done it. ","")&amp;IF(AND(ASH_CORRECTED="Yes",NOT(ISNUMBER($H701))),"Ash correction is switched on but no ash fraction is given for this row. ","")&amp;IF($I701="","Sieve mesh not recorded — a fine-root figure cannot be interpreted without it. ","")&amp;IF(AND(ISNUMBER($H701),$H701&gt;0.5),"Ash fraction above 0.5 — over half this sample was mineral soil. Re-wash. ","")&amp;IF($F701="Not separated","Live and dead not separated. Fine for a stock, but "&amp;"note it in reporting. ",""))</f>
        <v/>
      </c>
      <c r="P701" s="6"/>
      <c r="Q701" s="9" t="n">
        <f aca="false">IF($B701="",0,IF(COUNTIFS($B$5:$B701,$B701)=1,1,0))</f>
        <v>0</v>
      </c>
    </row>
    <row r="702" customFormat="false" ht="15" hidden="false" customHeight="false" outlineLevel="0" collapsed="false">
      <c r="A702" s="6"/>
      <c r="B702" s="6"/>
      <c r="C702" s="6"/>
      <c r="D702" s="6"/>
      <c r="E702" s="6"/>
      <c r="F702" s="6"/>
      <c r="G702" s="7"/>
      <c r="H702" s="7"/>
      <c r="I702" s="6"/>
      <c r="J702" s="9" t="str">
        <f aca="false">IF(NOT(ISNUMBER($G702)),"",IF(AND(ASH_CORRECTED="Yes",ISNUMBER($H702)),$G702*(1-$H702),$G702))</f>
        <v/>
      </c>
      <c r="K702" s="9" t="str">
        <f aca="false">IF($B702="","",IFERROR(AVERAGEIFS('2. Soil Data'!$G$5:$G$604,'2. Soil Data'!$B$5:$B$604,$B702),""))</f>
        <v/>
      </c>
      <c r="L702" s="9" t="str">
        <f aca="false">IF(NOT(ISNUMBER($K702)),"",PI()*($K702/2)^2)</f>
        <v/>
      </c>
      <c r="M702" s="9" t="str">
        <f aca="false">IF(OR(NOT(ISNUMBER($J702)),NOT(ISNUMBER($L702)),$L702=0),"",$J702/$L702*10000)</f>
        <v/>
      </c>
      <c r="N702" s="9" t="str">
        <f aca="false">IF(NOT(ISNUMBER($M702)),"",$M702*CARBON_FRACTION_ROOT/1000)</f>
        <v/>
      </c>
      <c r="O702" s="11" t="str">
        <f aca="false">IF(AND($A702="",$B702="",$G702=""),"",IF(AND($B702&lt;&gt;"",COUNTIFS('2. Soil Data'!$B$5:$B$604,$B702)=0),"Core ID not found in Soil Data, so the corer diameter cannot be looked up. ","")&amp;IF(ASH_CORRECTED&lt;&gt;"Yes","Root mass is NOT ash-corrected, so it includes adhering mineral soil and is too high. Set ASH_CORRECTED once you have done it. ","")&amp;IF(AND(ASH_CORRECTED="Yes",NOT(ISNUMBER($H702))),"Ash correction is switched on but no ash fraction is given for this row. ","")&amp;IF($I702="","Sieve mesh not recorded — a fine-root figure cannot be interpreted without it. ","")&amp;IF(AND(ISNUMBER($H702),$H702&gt;0.5),"Ash fraction above 0.5 — over half this sample was mineral soil. Re-wash. ","")&amp;IF($F702="Not separated","Live and dead not separated. Fine for a stock, but "&amp;"note it in reporting. ",""))</f>
        <v/>
      </c>
      <c r="P702" s="6"/>
      <c r="Q702" s="9" t="n">
        <f aca="false">IF($B702="",0,IF(COUNTIFS($B$5:$B702,$B702)=1,1,0))</f>
        <v>0</v>
      </c>
    </row>
    <row r="703" customFormat="false" ht="15" hidden="false" customHeight="false" outlineLevel="0" collapsed="false">
      <c r="A703" s="6"/>
      <c r="B703" s="6"/>
      <c r="C703" s="6"/>
      <c r="D703" s="6"/>
      <c r="E703" s="6"/>
      <c r="F703" s="6"/>
      <c r="G703" s="7"/>
      <c r="H703" s="7"/>
      <c r="I703" s="6"/>
      <c r="J703" s="9" t="str">
        <f aca="false">IF(NOT(ISNUMBER($G703)),"",IF(AND(ASH_CORRECTED="Yes",ISNUMBER($H703)),$G703*(1-$H703),$G703))</f>
        <v/>
      </c>
      <c r="K703" s="9" t="str">
        <f aca="false">IF($B703="","",IFERROR(AVERAGEIFS('2. Soil Data'!$G$5:$G$604,'2. Soil Data'!$B$5:$B$604,$B703),""))</f>
        <v/>
      </c>
      <c r="L703" s="9" t="str">
        <f aca="false">IF(NOT(ISNUMBER($K703)),"",PI()*($K703/2)^2)</f>
        <v/>
      </c>
      <c r="M703" s="9" t="str">
        <f aca="false">IF(OR(NOT(ISNUMBER($J703)),NOT(ISNUMBER($L703)),$L703=0),"",$J703/$L703*10000)</f>
        <v/>
      </c>
      <c r="N703" s="9" t="str">
        <f aca="false">IF(NOT(ISNUMBER($M703)),"",$M703*CARBON_FRACTION_ROOT/1000)</f>
        <v/>
      </c>
      <c r="O703" s="11" t="str">
        <f aca="false">IF(AND($A703="",$B703="",$G703=""),"",IF(AND($B703&lt;&gt;"",COUNTIFS('2. Soil Data'!$B$5:$B$604,$B703)=0),"Core ID not found in Soil Data, so the corer diameter cannot be looked up. ","")&amp;IF(ASH_CORRECTED&lt;&gt;"Yes","Root mass is NOT ash-corrected, so it includes adhering mineral soil and is too high. Set ASH_CORRECTED once you have done it. ","")&amp;IF(AND(ASH_CORRECTED="Yes",NOT(ISNUMBER($H703))),"Ash correction is switched on but no ash fraction is given for this row. ","")&amp;IF($I703="","Sieve mesh not recorded — a fine-root figure cannot be interpreted without it. ","")&amp;IF(AND(ISNUMBER($H703),$H703&gt;0.5),"Ash fraction above 0.5 — over half this sample was mineral soil. Re-wash. ","")&amp;IF($F703="Not separated","Live and dead not separated. Fine for a stock, but "&amp;"note it in reporting. ",""))</f>
        <v/>
      </c>
      <c r="P703" s="6"/>
      <c r="Q703" s="9" t="n">
        <f aca="false">IF($B703="",0,IF(COUNTIFS($B$5:$B703,$B703)=1,1,0))</f>
        <v>0</v>
      </c>
    </row>
    <row r="704" customFormat="false" ht="15" hidden="false" customHeight="false" outlineLevel="0" collapsed="false">
      <c r="A704" s="6"/>
      <c r="B704" s="6"/>
      <c r="C704" s="6"/>
      <c r="D704" s="6"/>
      <c r="E704" s="6"/>
      <c r="F704" s="6"/>
      <c r="G704" s="7"/>
      <c r="H704" s="7"/>
      <c r="I704" s="6"/>
      <c r="J704" s="9" t="str">
        <f aca="false">IF(NOT(ISNUMBER($G704)),"",IF(AND(ASH_CORRECTED="Yes",ISNUMBER($H704)),$G704*(1-$H704),$G704))</f>
        <v/>
      </c>
      <c r="K704" s="9" t="str">
        <f aca="false">IF($B704="","",IFERROR(AVERAGEIFS('2. Soil Data'!$G$5:$G$604,'2. Soil Data'!$B$5:$B$604,$B704),""))</f>
        <v/>
      </c>
      <c r="L704" s="9" t="str">
        <f aca="false">IF(NOT(ISNUMBER($K704)),"",PI()*($K704/2)^2)</f>
        <v/>
      </c>
      <c r="M704" s="9" t="str">
        <f aca="false">IF(OR(NOT(ISNUMBER($J704)),NOT(ISNUMBER($L704)),$L704=0),"",$J704/$L704*10000)</f>
        <v/>
      </c>
      <c r="N704" s="9" t="str">
        <f aca="false">IF(NOT(ISNUMBER($M704)),"",$M704*CARBON_FRACTION_ROOT/1000)</f>
        <v/>
      </c>
      <c r="O704" s="11" t="str">
        <f aca="false">IF(AND($A704="",$B704="",$G704=""),"",IF(AND($B704&lt;&gt;"",COUNTIFS('2. Soil Data'!$B$5:$B$604,$B704)=0),"Core ID not found in Soil Data, so the corer diameter cannot be looked up. ","")&amp;IF(ASH_CORRECTED&lt;&gt;"Yes","Root mass is NOT ash-corrected, so it includes adhering mineral soil and is too high. Set ASH_CORRECTED once you have done it. ","")&amp;IF(AND(ASH_CORRECTED="Yes",NOT(ISNUMBER($H704))),"Ash correction is switched on but no ash fraction is given for this row. ","")&amp;IF($I704="","Sieve mesh not recorded — a fine-root figure cannot be interpreted without it. ","")&amp;IF(AND(ISNUMBER($H704),$H704&gt;0.5),"Ash fraction above 0.5 — over half this sample was mineral soil. Re-wash. ","")&amp;IF($F704="Not separated","Live and dead not separated. Fine for a stock, but "&amp;"note it in reporting. ",""))</f>
        <v/>
      </c>
      <c r="P704" s="6"/>
      <c r="Q704" s="9" t="n">
        <f aca="false">IF($B704="",0,IF(COUNTIFS($B$5:$B704,$B704)=1,1,0))</f>
        <v>0</v>
      </c>
    </row>
    <row r="705" customFormat="false" ht="15" hidden="false" customHeight="false" outlineLevel="0" collapsed="false">
      <c r="A705" s="6"/>
      <c r="B705" s="6"/>
      <c r="C705" s="6"/>
      <c r="D705" s="6"/>
      <c r="E705" s="6"/>
      <c r="F705" s="6"/>
      <c r="G705" s="7"/>
      <c r="H705" s="7"/>
      <c r="I705" s="6"/>
      <c r="J705" s="9" t="str">
        <f aca="false">IF(NOT(ISNUMBER($G705)),"",IF(AND(ASH_CORRECTED="Yes",ISNUMBER($H705)),$G705*(1-$H705),$G705))</f>
        <v/>
      </c>
      <c r="K705" s="9" t="str">
        <f aca="false">IF($B705="","",IFERROR(AVERAGEIFS('2. Soil Data'!$G$5:$G$604,'2. Soil Data'!$B$5:$B$604,$B705),""))</f>
        <v/>
      </c>
      <c r="L705" s="9" t="str">
        <f aca="false">IF(NOT(ISNUMBER($K705)),"",PI()*($K705/2)^2)</f>
        <v/>
      </c>
      <c r="M705" s="9" t="str">
        <f aca="false">IF(OR(NOT(ISNUMBER($J705)),NOT(ISNUMBER($L705)),$L705=0),"",$J705/$L705*10000)</f>
        <v/>
      </c>
      <c r="N705" s="9" t="str">
        <f aca="false">IF(NOT(ISNUMBER($M705)),"",$M705*CARBON_FRACTION_ROOT/1000)</f>
        <v/>
      </c>
      <c r="O705" s="11" t="str">
        <f aca="false">IF(AND($A705="",$B705="",$G705=""),"",IF(AND($B705&lt;&gt;"",COUNTIFS('2. Soil Data'!$B$5:$B$604,$B705)=0),"Core ID not found in Soil Data, so the corer diameter cannot be looked up. ","")&amp;IF(ASH_CORRECTED&lt;&gt;"Yes","Root mass is NOT ash-corrected, so it includes adhering mineral soil and is too high. Set ASH_CORRECTED once you have done it. ","")&amp;IF(AND(ASH_CORRECTED="Yes",NOT(ISNUMBER($H705))),"Ash correction is switched on but no ash fraction is given for this row. ","")&amp;IF($I705="","Sieve mesh not recorded — a fine-root figure cannot be interpreted without it. ","")&amp;IF(AND(ISNUMBER($H705),$H705&gt;0.5),"Ash fraction above 0.5 — over half this sample was mineral soil. Re-wash. ","")&amp;IF($F705="Not separated","Live and dead not separated. Fine for a stock, but "&amp;"note it in reporting. ",""))</f>
        <v/>
      </c>
      <c r="P705" s="6"/>
      <c r="Q705" s="9" t="n">
        <f aca="false">IF($B705="",0,IF(COUNTIFS($B$5:$B705,$B705)=1,1,0))</f>
        <v>0</v>
      </c>
    </row>
    <row r="706" customFormat="false" ht="15" hidden="false" customHeight="false" outlineLevel="0" collapsed="false">
      <c r="A706" s="6"/>
      <c r="B706" s="6"/>
      <c r="C706" s="6"/>
      <c r="D706" s="6"/>
      <c r="E706" s="6"/>
      <c r="F706" s="6"/>
      <c r="G706" s="7"/>
      <c r="H706" s="7"/>
      <c r="I706" s="6"/>
      <c r="J706" s="9" t="str">
        <f aca="false">IF(NOT(ISNUMBER($G706)),"",IF(AND(ASH_CORRECTED="Yes",ISNUMBER($H706)),$G706*(1-$H706),$G706))</f>
        <v/>
      </c>
      <c r="K706" s="9" t="str">
        <f aca="false">IF($B706="","",IFERROR(AVERAGEIFS('2. Soil Data'!$G$5:$G$604,'2. Soil Data'!$B$5:$B$604,$B706),""))</f>
        <v/>
      </c>
      <c r="L706" s="9" t="str">
        <f aca="false">IF(NOT(ISNUMBER($K706)),"",PI()*($K706/2)^2)</f>
        <v/>
      </c>
      <c r="M706" s="9" t="str">
        <f aca="false">IF(OR(NOT(ISNUMBER($J706)),NOT(ISNUMBER($L706)),$L706=0),"",$J706/$L706*10000)</f>
        <v/>
      </c>
      <c r="N706" s="9" t="str">
        <f aca="false">IF(NOT(ISNUMBER($M706)),"",$M706*CARBON_FRACTION_ROOT/1000)</f>
        <v/>
      </c>
      <c r="O706" s="11" t="str">
        <f aca="false">IF(AND($A706="",$B706="",$G706=""),"",IF(AND($B706&lt;&gt;"",COUNTIFS('2. Soil Data'!$B$5:$B$604,$B706)=0),"Core ID not found in Soil Data, so the corer diameter cannot be looked up. ","")&amp;IF(ASH_CORRECTED&lt;&gt;"Yes","Root mass is NOT ash-corrected, so it includes adhering mineral soil and is too high. Set ASH_CORRECTED once you have done it. ","")&amp;IF(AND(ASH_CORRECTED="Yes",NOT(ISNUMBER($H706))),"Ash correction is switched on but no ash fraction is given for this row. ","")&amp;IF($I706="","Sieve mesh not recorded — a fine-root figure cannot be interpreted without it. ","")&amp;IF(AND(ISNUMBER($H706),$H706&gt;0.5),"Ash fraction above 0.5 — over half this sample was mineral soil. Re-wash. ","")&amp;IF($F706="Not separated","Live and dead not separated. Fine for a stock, but "&amp;"note it in reporting. ",""))</f>
        <v/>
      </c>
      <c r="P706" s="6"/>
      <c r="Q706" s="9" t="n">
        <f aca="false">IF($B706="",0,IF(COUNTIFS($B$5:$B706,$B706)=1,1,0))</f>
        <v>0</v>
      </c>
    </row>
    <row r="707" customFormat="false" ht="15" hidden="false" customHeight="false" outlineLevel="0" collapsed="false">
      <c r="A707" s="6"/>
      <c r="B707" s="6"/>
      <c r="C707" s="6"/>
      <c r="D707" s="6"/>
      <c r="E707" s="6"/>
      <c r="F707" s="6"/>
      <c r="G707" s="7"/>
      <c r="H707" s="7"/>
      <c r="I707" s="6"/>
      <c r="J707" s="9" t="str">
        <f aca="false">IF(NOT(ISNUMBER($G707)),"",IF(AND(ASH_CORRECTED="Yes",ISNUMBER($H707)),$G707*(1-$H707),$G707))</f>
        <v/>
      </c>
      <c r="K707" s="9" t="str">
        <f aca="false">IF($B707="","",IFERROR(AVERAGEIFS('2. Soil Data'!$G$5:$G$604,'2. Soil Data'!$B$5:$B$604,$B707),""))</f>
        <v/>
      </c>
      <c r="L707" s="9" t="str">
        <f aca="false">IF(NOT(ISNUMBER($K707)),"",PI()*($K707/2)^2)</f>
        <v/>
      </c>
      <c r="M707" s="9" t="str">
        <f aca="false">IF(OR(NOT(ISNUMBER($J707)),NOT(ISNUMBER($L707)),$L707=0),"",$J707/$L707*10000)</f>
        <v/>
      </c>
      <c r="N707" s="9" t="str">
        <f aca="false">IF(NOT(ISNUMBER($M707)),"",$M707*CARBON_FRACTION_ROOT/1000)</f>
        <v/>
      </c>
      <c r="O707" s="11" t="str">
        <f aca="false">IF(AND($A707="",$B707="",$G707=""),"",IF(AND($B707&lt;&gt;"",COUNTIFS('2. Soil Data'!$B$5:$B$604,$B707)=0),"Core ID not found in Soil Data, so the corer diameter cannot be looked up. ","")&amp;IF(ASH_CORRECTED&lt;&gt;"Yes","Root mass is NOT ash-corrected, so it includes adhering mineral soil and is too high. Set ASH_CORRECTED once you have done it. ","")&amp;IF(AND(ASH_CORRECTED="Yes",NOT(ISNUMBER($H707))),"Ash correction is switched on but no ash fraction is given for this row. ","")&amp;IF($I707="","Sieve mesh not recorded — a fine-root figure cannot be interpreted without it. ","")&amp;IF(AND(ISNUMBER($H707),$H707&gt;0.5),"Ash fraction above 0.5 — over half this sample was mineral soil. Re-wash. ","")&amp;IF($F707="Not separated","Live and dead not separated. Fine for a stock, but "&amp;"note it in reporting. ",""))</f>
        <v/>
      </c>
      <c r="P707" s="6"/>
      <c r="Q707" s="9" t="n">
        <f aca="false">IF($B707="",0,IF(COUNTIFS($B$5:$B707,$B707)=1,1,0))</f>
        <v>0</v>
      </c>
    </row>
    <row r="708" customFormat="false" ht="15" hidden="false" customHeight="false" outlineLevel="0" collapsed="false">
      <c r="A708" s="6"/>
      <c r="B708" s="6"/>
      <c r="C708" s="6"/>
      <c r="D708" s="6"/>
      <c r="E708" s="6"/>
      <c r="F708" s="6"/>
      <c r="G708" s="7"/>
      <c r="H708" s="7"/>
      <c r="I708" s="6"/>
      <c r="J708" s="9" t="str">
        <f aca="false">IF(NOT(ISNUMBER($G708)),"",IF(AND(ASH_CORRECTED="Yes",ISNUMBER($H708)),$G708*(1-$H708),$G708))</f>
        <v/>
      </c>
      <c r="K708" s="9" t="str">
        <f aca="false">IF($B708="","",IFERROR(AVERAGEIFS('2. Soil Data'!$G$5:$G$604,'2. Soil Data'!$B$5:$B$604,$B708),""))</f>
        <v/>
      </c>
      <c r="L708" s="9" t="str">
        <f aca="false">IF(NOT(ISNUMBER($K708)),"",PI()*($K708/2)^2)</f>
        <v/>
      </c>
      <c r="M708" s="9" t="str">
        <f aca="false">IF(OR(NOT(ISNUMBER($J708)),NOT(ISNUMBER($L708)),$L708=0),"",$J708/$L708*10000)</f>
        <v/>
      </c>
      <c r="N708" s="9" t="str">
        <f aca="false">IF(NOT(ISNUMBER($M708)),"",$M708*CARBON_FRACTION_ROOT/1000)</f>
        <v/>
      </c>
      <c r="O708" s="11" t="str">
        <f aca="false">IF(AND($A708="",$B708="",$G708=""),"",IF(AND($B708&lt;&gt;"",COUNTIFS('2. Soil Data'!$B$5:$B$604,$B708)=0),"Core ID not found in Soil Data, so the corer diameter cannot be looked up. ","")&amp;IF(ASH_CORRECTED&lt;&gt;"Yes","Root mass is NOT ash-corrected, so it includes adhering mineral soil and is too high. Set ASH_CORRECTED once you have done it. ","")&amp;IF(AND(ASH_CORRECTED="Yes",NOT(ISNUMBER($H708))),"Ash correction is switched on but no ash fraction is given for this row. ","")&amp;IF($I708="","Sieve mesh not recorded — a fine-root figure cannot be interpreted without it. ","")&amp;IF(AND(ISNUMBER($H708),$H708&gt;0.5),"Ash fraction above 0.5 — over half this sample was mineral soil. Re-wash. ","")&amp;IF($F708="Not separated","Live and dead not separated. Fine for a stock, but "&amp;"note it in reporting. ",""))</f>
        <v/>
      </c>
      <c r="P708" s="6"/>
      <c r="Q708" s="9" t="n">
        <f aca="false">IF($B708="",0,IF(COUNTIFS($B$5:$B708,$B708)=1,1,0))</f>
        <v>0</v>
      </c>
    </row>
    <row r="709" customFormat="false" ht="15" hidden="false" customHeight="false" outlineLevel="0" collapsed="false">
      <c r="A709" s="6"/>
      <c r="B709" s="6"/>
      <c r="C709" s="6"/>
      <c r="D709" s="6"/>
      <c r="E709" s="6"/>
      <c r="F709" s="6"/>
      <c r="G709" s="7"/>
      <c r="H709" s="7"/>
      <c r="I709" s="6"/>
      <c r="J709" s="9" t="str">
        <f aca="false">IF(NOT(ISNUMBER($G709)),"",IF(AND(ASH_CORRECTED="Yes",ISNUMBER($H709)),$G709*(1-$H709),$G709))</f>
        <v/>
      </c>
      <c r="K709" s="9" t="str">
        <f aca="false">IF($B709="","",IFERROR(AVERAGEIFS('2. Soil Data'!$G$5:$G$604,'2. Soil Data'!$B$5:$B$604,$B709),""))</f>
        <v/>
      </c>
      <c r="L709" s="9" t="str">
        <f aca="false">IF(NOT(ISNUMBER($K709)),"",PI()*($K709/2)^2)</f>
        <v/>
      </c>
      <c r="M709" s="9" t="str">
        <f aca="false">IF(OR(NOT(ISNUMBER($J709)),NOT(ISNUMBER($L709)),$L709=0),"",$J709/$L709*10000)</f>
        <v/>
      </c>
      <c r="N709" s="9" t="str">
        <f aca="false">IF(NOT(ISNUMBER($M709)),"",$M709*CARBON_FRACTION_ROOT/1000)</f>
        <v/>
      </c>
      <c r="O709" s="11" t="str">
        <f aca="false">IF(AND($A709="",$B709="",$G709=""),"",IF(AND($B709&lt;&gt;"",COUNTIFS('2. Soil Data'!$B$5:$B$604,$B709)=0),"Core ID not found in Soil Data, so the corer diameter cannot be looked up. ","")&amp;IF(ASH_CORRECTED&lt;&gt;"Yes","Root mass is NOT ash-corrected, so it includes adhering mineral soil and is too high. Set ASH_CORRECTED once you have done it. ","")&amp;IF(AND(ASH_CORRECTED="Yes",NOT(ISNUMBER($H709))),"Ash correction is switched on but no ash fraction is given for this row. ","")&amp;IF($I709="","Sieve mesh not recorded — a fine-root figure cannot be interpreted without it. ","")&amp;IF(AND(ISNUMBER($H709),$H709&gt;0.5),"Ash fraction above 0.5 — over half this sample was mineral soil. Re-wash. ","")&amp;IF($F709="Not separated","Live and dead not separated. Fine for a stock, but "&amp;"note it in reporting. ",""))</f>
        <v/>
      </c>
      <c r="P709" s="6"/>
      <c r="Q709" s="9" t="n">
        <f aca="false">IF($B709="",0,IF(COUNTIFS($B$5:$B709,$B709)=1,1,0))</f>
        <v>0</v>
      </c>
    </row>
    <row r="710" customFormat="false" ht="15" hidden="false" customHeight="false" outlineLevel="0" collapsed="false">
      <c r="A710" s="6"/>
      <c r="B710" s="6"/>
      <c r="C710" s="6"/>
      <c r="D710" s="6"/>
      <c r="E710" s="6"/>
      <c r="F710" s="6"/>
      <c r="G710" s="7"/>
      <c r="H710" s="7"/>
      <c r="I710" s="6"/>
      <c r="J710" s="9" t="str">
        <f aca="false">IF(NOT(ISNUMBER($G710)),"",IF(AND(ASH_CORRECTED="Yes",ISNUMBER($H710)),$G710*(1-$H710),$G710))</f>
        <v/>
      </c>
      <c r="K710" s="9" t="str">
        <f aca="false">IF($B710="","",IFERROR(AVERAGEIFS('2. Soil Data'!$G$5:$G$604,'2. Soil Data'!$B$5:$B$604,$B710),""))</f>
        <v/>
      </c>
      <c r="L710" s="9" t="str">
        <f aca="false">IF(NOT(ISNUMBER($K710)),"",PI()*($K710/2)^2)</f>
        <v/>
      </c>
      <c r="M710" s="9" t="str">
        <f aca="false">IF(OR(NOT(ISNUMBER($J710)),NOT(ISNUMBER($L710)),$L710=0),"",$J710/$L710*10000)</f>
        <v/>
      </c>
      <c r="N710" s="9" t="str">
        <f aca="false">IF(NOT(ISNUMBER($M710)),"",$M710*CARBON_FRACTION_ROOT/1000)</f>
        <v/>
      </c>
      <c r="O710" s="11" t="str">
        <f aca="false">IF(AND($A710="",$B710="",$G710=""),"",IF(AND($B710&lt;&gt;"",COUNTIFS('2. Soil Data'!$B$5:$B$604,$B710)=0),"Core ID not found in Soil Data, so the corer diameter cannot be looked up. ","")&amp;IF(ASH_CORRECTED&lt;&gt;"Yes","Root mass is NOT ash-corrected, so it includes adhering mineral soil and is too high. Set ASH_CORRECTED once you have done it. ","")&amp;IF(AND(ASH_CORRECTED="Yes",NOT(ISNUMBER($H710))),"Ash correction is switched on but no ash fraction is given for this row. ","")&amp;IF($I710="","Sieve mesh not recorded — a fine-root figure cannot be interpreted without it. ","")&amp;IF(AND(ISNUMBER($H710),$H710&gt;0.5),"Ash fraction above 0.5 — over half this sample was mineral soil. Re-wash. ","")&amp;IF($F710="Not separated","Live and dead not separated. Fine for a stock, but "&amp;"note it in reporting. ",""))</f>
        <v/>
      </c>
      <c r="P710" s="6"/>
      <c r="Q710" s="9" t="n">
        <f aca="false">IF($B710="",0,IF(COUNTIFS($B$5:$B710,$B710)=1,1,0))</f>
        <v>0</v>
      </c>
    </row>
    <row r="711" customFormat="false" ht="15" hidden="false" customHeight="false" outlineLevel="0" collapsed="false">
      <c r="A711" s="6"/>
      <c r="B711" s="6"/>
      <c r="C711" s="6"/>
      <c r="D711" s="6"/>
      <c r="E711" s="6"/>
      <c r="F711" s="6"/>
      <c r="G711" s="7"/>
      <c r="H711" s="7"/>
      <c r="I711" s="6"/>
      <c r="J711" s="9" t="str">
        <f aca="false">IF(NOT(ISNUMBER($G711)),"",IF(AND(ASH_CORRECTED="Yes",ISNUMBER($H711)),$G711*(1-$H711),$G711))</f>
        <v/>
      </c>
      <c r="K711" s="9" t="str">
        <f aca="false">IF($B711="","",IFERROR(AVERAGEIFS('2. Soil Data'!$G$5:$G$604,'2. Soil Data'!$B$5:$B$604,$B711),""))</f>
        <v/>
      </c>
      <c r="L711" s="9" t="str">
        <f aca="false">IF(NOT(ISNUMBER($K711)),"",PI()*($K711/2)^2)</f>
        <v/>
      </c>
      <c r="M711" s="9" t="str">
        <f aca="false">IF(OR(NOT(ISNUMBER($J711)),NOT(ISNUMBER($L711)),$L711=0),"",$J711/$L711*10000)</f>
        <v/>
      </c>
      <c r="N711" s="9" t="str">
        <f aca="false">IF(NOT(ISNUMBER($M711)),"",$M711*CARBON_FRACTION_ROOT/1000)</f>
        <v/>
      </c>
      <c r="O711" s="11" t="str">
        <f aca="false">IF(AND($A711="",$B711="",$G711=""),"",IF(AND($B711&lt;&gt;"",COUNTIFS('2. Soil Data'!$B$5:$B$604,$B711)=0),"Core ID not found in Soil Data, so the corer diameter cannot be looked up. ","")&amp;IF(ASH_CORRECTED&lt;&gt;"Yes","Root mass is NOT ash-corrected, so it includes adhering mineral soil and is too high. Set ASH_CORRECTED once you have done it. ","")&amp;IF(AND(ASH_CORRECTED="Yes",NOT(ISNUMBER($H711))),"Ash correction is switched on but no ash fraction is given for this row. ","")&amp;IF($I711="","Sieve mesh not recorded — a fine-root figure cannot be interpreted without it. ","")&amp;IF(AND(ISNUMBER($H711),$H711&gt;0.5),"Ash fraction above 0.5 — over half this sample was mineral soil. Re-wash. ","")&amp;IF($F711="Not separated","Live and dead not separated. Fine for a stock, but "&amp;"note it in reporting. ",""))</f>
        <v/>
      </c>
      <c r="P711" s="6"/>
      <c r="Q711" s="9" t="n">
        <f aca="false">IF($B711="",0,IF(COUNTIFS($B$5:$B711,$B711)=1,1,0))</f>
        <v>0</v>
      </c>
    </row>
    <row r="712" customFormat="false" ht="15" hidden="false" customHeight="false" outlineLevel="0" collapsed="false">
      <c r="A712" s="6"/>
      <c r="B712" s="6"/>
      <c r="C712" s="6"/>
      <c r="D712" s="6"/>
      <c r="E712" s="6"/>
      <c r="F712" s="6"/>
      <c r="G712" s="7"/>
      <c r="H712" s="7"/>
      <c r="I712" s="6"/>
      <c r="J712" s="9" t="str">
        <f aca="false">IF(NOT(ISNUMBER($G712)),"",IF(AND(ASH_CORRECTED="Yes",ISNUMBER($H712)),$G712*(1-$H712),$G712))</f>
        <v/>
      </c>
      <c r="K712" s="9" t="str">
        <f aca="false">IF($B712="","",IFERROR(AVERAGEIFS('2. Soil Data'!$G$5:$G$604,'2. Soil Data'!$B$5:$B$604,$B712),""))</f>
        <v/>
      </c>
      <c r="L712" s="9" t="str">
        <f aca="false">IF(NOT(ISNUMBER($K712)),"",PI()*($K712/2)^2)</f>
        <v/>
      </c>
      <c r="M712" s="9" t="str">
        <f aca="false">IF(OR(NOT(ISNUMBER($J712)),NOT(ISNUMBER($L712)),$L712=0),"",$J712/$L712*10000)</f>
        <v/>
      </c>
      <c r="N712" s="9" t="str">
        <f aca="false">IF(NOT(ISNUMBER($M712)),"",$M712*CARBON_FRACTION_ROOT/1000)</f>
        <v/>
      </c>
      <c r="O712" s="11" t="str">
        <f aca="false">IF(AND($A712="",$B712="",$G712=""),"",IF(AND($B712&lt;&gt;"",COUNTIFS('2. Soil Data'!$B$5:$B$604,$B712)=0),"Core ID not found in Soil Data, so the corer diameter cannot be looked up. ","")&amp;IF(ASH_CORRECTED&lt;&gt;"Yes","Root mass is NOT ash-corrected, so it includes adhering mineral soil and is too high. Set ASH_CORRECTED once you have done it. ","")&amp;IF(AND(ASH_CORRECTED="Yes",NOT(ISNUMBER($H712))),"Ash correction is switched on but no ash fraction is given for this row. ","")&amp;IF($I712="","Sieve mesh not recorded — a fine-root figure cannot be interpreted without it. ","")&amp;IF(AND(ISNUMBER($H712),$H712&gt;0.5),"Ash fraction above 0.5 — over half this sample was mineral soil. Re-wash. ","")&amp;IF($F712="Not separated","Live and dead not separated. Fine for a stock, but "&amp;"note it in reporting. ",""))</f>
        <v/>
      </c>
      <c r="P712" s="6"/>
      <c r="Q712" s="9" t="n">
        <f aca="false">IF($B712="",0,IF(COUNTIFS($B$5:$B712,$B712)=1,1,0))</f>
        <v>0</v>
      </c>
    </row>
    <row r="713" customFormat="false" ht="15" hidden="false" customHeight="false" outlineLevel="0" collapsed="false">
      <c r="A713" s="6"/>
      <c r="B713" s="6"/>
      <c r="C713" s="6"/>
      <c r="D713" s="6"/>
      <c r="E713" s="6"/>
      <c r="F713" s="6"/>
      <c r="G713" s="7"/>
      <c r="H713" s="7"/>
      <c r="I713" s="6"/>
      <c r="J713" s="9" t="str">
        <f aca="false">IF(NOT(ISNUMBER($G713)),"",IF(AND(ASH_CORRECTED="Yes",ISNUMBER($H713)),$G713*(1-$H713),$G713))</f>
        <v/>
      </c>
      <c r="K713" s="9" t="str">
        <f aca="false">IF($B713="","",IFERROR(AVERAGEIFS('2. Soil Data'!$G$5:$G$604,'2. Soil Data'!$B$5:$B$604,$B713),""))</f>
        <v/>
      </c>
      <c r="L713" s="9" t="str">
        <f aca="false">IF(NOT(ISNUMBER($K713)),"",PI()*($K713/2)^2)</f>
        <v/>
      </c>
      <c r="M713" s="9" t="str">
        <f aca="false">IF(OR(NOT(ISNUMBER($J713)),NOT(ISNUMBER($L713)),$L713=0),"",$J713/$L713*10000)</f>
        <v/>
      </c>
      <c r="N713" s="9" t="str">
        <f aca="false">IF(NOT(ISNUMBER($M713)),"",$M713*CARBON_FRACTION_ROOT/1000)</f>
        <v/>
      </c>
      <c r="O713" s="11" t="str">
        <f aca="false">IF(AND($A713="",$B713="",$G713=""),"",IF(AND($B713&lt;&gt;"",COUNTIFS('2. Soil Data'!$B$5:$B$604,$B713)=0),"Core ID not found in Soil Data, so the corer diameter cannot be looked up. ","")&amp;IF(ASH_CORRECTED&lt;&gt;"Yes","Root mass is NOT ash-corrected, so it includes adhering mineral soil and is too high. Set ASH_CORRECTED once you have done it. ","")&amp;IF(AND(ASH_CORRECTED="Yes",NOT(ISNUMBER($H713))),"Ash correction is switched on but no ash fraction is given for this row. ","")&amp;IF($I713="","Sieve mesh not recorded — a fine-root figure cannot be interpreted without it. ","")&amp;IF(AND(ISNUMBER($H713),$H713&gt;0.5),"Ash fraction above 0.5 — over half this sample was mineral soil. Re-wash. ","")&amp;IF($F713="Not separated","Live and dead not separated. Fine for a stock, but "&amp;"note it in reporting. ",""))</f>
        <v/>
      </c>
      <c r="P713" s="6"/>
      <c r="Q713" s="9" t="n">
        <f aca="false">IF($B713="",0,IF(COUNTIFS($B$5:$B713,$B713)=1,1,0))</f>
        <v>0</v>
      </c>
    </row>
    <row r="714" customFormat="false" ht="15" hidden="false" customHeight="false" outlineLevel="0" collapsed="false">
      <c r="A714" s="6"/>
      <c r="B714" s="6"/>
      <c r="C714" s="6"/>
      <c r="D714" s="6"/>
      <c r="E714" s="6"/>
      <c r="F714" s="6"/>
      <c r="G714" s="7"/>
      <c r="H714" s="7"/>
      <c r="I714" s="6"/>
      <c r="J714" s="9" t="str">
        <f aca="false">IF(NOT(ISNUMBER($G714)),"",IF(AND(ASH_CORRECTED="Yes",ISNUMBER($H714)),$G714*(1-$H714),$G714))</f>
        <v/>
      </c>
      <c r="K714" s="9" t="str">
        <f aca="false">IF($B714="","",IFERROR(AVERAGEIFS('2. Soil Data'!$G$5:$G$604,'2. Soil Data'!$B$5:$B$604,$B714),""))</f>
        <v/>
      </c>
      <c r="L714" s="9" t="str">
        <f aca="false">IF(NOT(ISNUMBER($K714)),"",PI()*($K714/2)^2)</f>
        <v/>
      </c>
      <c r="M714" s="9" t="str">
        <f aca="false">IF(OR(NOT(ISNUMBER($J714)),NOT(ISNUMBER($L714)),$L714=0),"",$J714/$L714*10000)</f>
        <v/>
      </c>
      <c r="N714" s="9" t="str">
        <f aca="false">IF(NOT(ISNUMBER($M714)),"",$M714*CARBON_FRACTION_ROOT/1000)</f>
        <v/>
      </c>
      <c r="O714" s="11" t="str">
        <f aca="false">IF(AND($A714="",$B714="",$G714=""),"",IF(AND($B714&lt;&gt;"",COUNTIFS('2. Soil Data'!$B$5:$B$604,$B714)=0),"Core ID not found in Soil Data, so the corer diameter cannot be looked up. ","")&amp;IF(ASH_CORRECTED&lt;&gt;"Yes","Root mass is NOT ash-corrected, so it includes adhering mineral soil and is too high. Set ASH_CORRECTED once you have done it. ","")&amp;IF(AND(ASH_CORRECTED="Yes",NOT(ISNUMBER($H714))),"Ash correction is switched on but no ash fraction is given for this row. ","")&amp;IF($I714="","Sieve mesh not recorded — a fine-root figure cannot be interpreted without it. ","")&amp;IF(AND(ISNUMBER($H714),$H714&gt;0.5),"Ash fraction above 0.5 — over half this sample was mineral soil. Re-wash. ","")&amp;IF($F714="Not separated","Live and dead not separated. Fine for a stock, but "&amp;"note it in reporting. ",""))</f>
        <v/>
      </c>
      <c r="P714" s="6"/>
      <c r="Q714" s="9" t="n">
        <f aca="false">IF($B714="",0,IF(COUNTIFS($B$5:$B714,$B714)=1,1,0))</f>
        <v>0</v>
      </c>
    </row>
    <row r="715" customFormat="false" ht="15" hidden="false" customHeight="false" outlineLevel="0" collapsed="false">
      <c r="A715" s="6"/>
      <c r="B715" s="6"/>
      <c r="C715" s="6"/>
      <c r="D715" s="6"/>
      <c r="E715" s="6"/>
      <c r="F715" s="6"/>
      <c r="G715" s="7"/>
      <c r="H715" s="7"/>
      <c r="I715" s="6"/>
      <c r="J715" s="9" t="str">
        <f aca="false">IF(NOT(ISNUMBER($G715)),"",IF(AND(ASH_CORRECTED="Yes",ISNUMBER($H715)),$G715*(1-$H715),$G715))</f>
        <v/>
      </c>
      <c r="K715" s="9" t="str">
        <f aca="false">IF($B715="","",IFERROR(AVERAGEIFS('2. Soil Data'!$G$5:$G$604,'2. Soil Data'!$B$5:$B$604,$B715),""))</f>
        <v/>
      </c>
      <c r="L715" s="9" t="str">
        <f aca="false">IF(NOT(ISNUMBER($K715)),"",PI()*($K715/2)^2)</f>
        <v/>
      </c>
      <c r="M715" s="9" t="str">
        <f aca="false">IF(OR(NOT(ISNUMBER($J715)),NOT(ISNUMBER($L715)),$L715=0),"",$J715/$L715*10000)</f>
        <v/>
      </c>
      <c r="N715" s="9" t="str">
        <f aca="false">IF(NOT(ISNUMBER($M715)),"",$M715*CARBON_FRACTION_ROOT/1000)</f>
        <v/>
      </c>
      <c r="O715" s="11" t="str">
        <f aca="false">IF(AND($A715="",$B715="",$G715=""),"",IF(AND($B715&lt;&gt;"",COUNTIFS('2. Soil Data'!$B$5:$B$604,$B715)=0),"Core ID not found in Soil Data, so the corer diameter cannot be looked up. ","")&amp;IF(ASH_CORRECTED&lt;&gt;"Yes","Root mass is NOT ash-corrected, so it includes adhering mineral soil and is too high. Set ASH_CORRECTED once you have done it. ","")&amp;IF(AND(ASH_CORRECTED="Yes",NOT(ISNUMBER($H715))),"Ash correction is switched on but no ash fraction is given for this row. ","")&amp;IF($I715="","Sieve mesh not recorded — a fine-root figure cannot be interpreted without it. ","")&amp;IF(AND(ISNUMBER($H715),$H715&gt;0.5),"Ash fraction above 0.5 — over half this sample was mineral soil. Re-wash. ","")&amp;IF($F715="Not separated","Live and dead not separated. Fine for a stock, but "&amp;"note it in reporting. ",""))</f>
        <v/>
      </c>
      <c r="P715" s="6"/>
      <c r="Q715" s="9" t="n">
        <f aca="false">IF($B715="",0,IF(COUNTIFS($B$5:$B715,$B715)=1,1,0))</f>
        <v>0</v>
      </c>
    </row>
    <row r="716" customFormat="false" ht="15" hidden="false" customHeight="false" outlineLevel="0" collapsed="false">
      <c r="A716" s="6"/>
      <c r="B716" s="6"/>
      <c r="C716" s="6"/>
      <c r="D716" s="6"/>
      <c r="E716" s="6"/>
      <c r="F716" s="6"/>
      <c r="G716" s="7"/>
      <c r="H716" s="7"/>
      <c r="I716" s="6"/>
      <c r="J716" s="9" t="str">
        <f aca="false">IF(NOT(ISNUMBER($G716)),"",IF(AND(ASH_CORRECTED="Yes",ISNUMBER($H716)),$G716*(1-$H716),$G716))</f>
        <v/>
      </c>
      <c r="K716" s="9" t="str">
        <f aca="false">IF($B716="","",IFERROR(AVERAGEIFS('2. Soil Data'!$G$5:$G$604,'2. Soil Data'!$B$5:$B$604,$B716),""))</f>
        <v/>
      </c>
      <c r="L716" s="9" t="str">
        <f aca="false">IF(NOT(ISNUMBER($K716)),"",PI()*($K716/2)^2)</f>
        <v/>
      </c>
      <c r="M716" s="9" t="str">
        <f aca="false">IF(OR(NOT(ISNUMBER($J716)),NOT(ISNUMBER($L716)),$L716=0),"",$J716/$L716*10000)</f>
        <v/>
      </c>
      <c r="N716" s="9" t="str">
        <f aca="false">IF(NOT(ISNUMBER($M716)),"",$M716*CARBON_FRACTION_ROOT/1000)</f>
        <v/>
      </c>
      <c r="O716" s="11" t="str">
        <f aca="false">IF(AND($A716="",$B716="",$G716=""),"",IF(AND($B716&lt;&gt;"",COUNTIFS('2. Soil Data'!$B$5:$B$604,$B716)=0),"Core ID not found in Soil Data, so the corer diameter cannot be looked up. ","")&amp;IF(ASH_CORRECTED&lt;&gt;"Yes","Root mass is NOT ash-corrected, so it includes adhering mineral soil and is too high. Set ASH_CORRECTED once you have done it. ","")&amp;IF(AND(ASH_CORRECTED="Yes",NOT(ISNUMBER($H716))),"Ash correction is switched on but no ash fraction is given for this row. ","")&amp;IF($I716="","Sieve mesh not recorded — a fine-root figure cannot be interpreted without it. ","")&amp;IF(AND(ISNUMBER($H716),$H716&gt;0.5),"Ash fraction above 0.5 — over half this sample was mineral soil. Re-wash. ","")&amp;IF($F716="Not separated","Live and dead not separated. Fine for a stock, but "&amp;"note it in reporting. ",""))</f>
        <v/>
      </c>
      <c r="P716" s="6"/>
      <c r="Q716" s="9" t="n">
        <f aca="false">IF($B716="",0,IF(COUNTIFS($B$5:$B716,$B716)=1,1,0))</f>
        <v>0</v>
      </c>
    </row>
    <row r="717" customFormat="false" ht="15" hidden="false" customHeight="false" outlineLevel="0" collapsed="false">
      <c r="A717" s="6"/>
      <c r="B717" s="6"/>
      <c r="C717" s="6"/>
      <c r="D717" s="6"/>
      <c r="E717" s="6"/>
      <c r="F717" s="6"/>
      <c r="G717" s="7"/>
      <c r="H717" s="7"/>
      <c r="I717" s="6"/>
      <c r="J717" s="9" t="str">
        <f aca="false">IF(NOT(ISNUMBER($G717)),"",IF(AND(ASH_CORRECTED="Yes",ISNUMBER($H717)),$G717*(1-$H717),$G717))</f>
        <v/>
      </c>
      <c r="K717" s="9" t="str">
        <f aca="false">IF($B717="","",IFERROR(AVERAGEIFS('2. Soil Data'!$G$5:$G$604,'2. Soil Data'!$B$5:$B$604,$B717),""))</f>
        <v/>
      </c>
      <c r="L717" s="9" t="str">
        <f aca="false">IF(NOT(ISNUMBER($K717)),"",PI()*($K717/2)^2)</f>
        <v/>
      </c>
      <c r="M717" s="9" t="str">
        <f aca="false">IF(OR(NOT(ISNUMBER($J717)),NOT(ISNUMBER($L717)),$L717=0),"",$J717/$L717*10000)</f>
        <v/>
      </c>
      <c r="N717" s="9" t="str">
        <f aca="false">IF(NOT(ISNUMBER($M717)),"",$M717*CARBON_FRACTION_ROOT/1000)</f>
        <v/>
      </c>
      <c r="O717" s="11" t="str">
        <f aca="false">IF(AND($A717="",$B717="",$G717=""),"",IF(AND($B717&lt;&gt;"",COUNTIFS('2. Soil Data'!$B$5:$B$604,$B717)=0),"Core ID not found in Soil Data, so the corer diameter cannot be looked up. ","")&amp;IF(ASH_CORRECTED&lt;&gt;"Yes","Root mass is NOT ash-corrected, so it includes adhering mineral soil and is too high. Set ASH_CORRECTED once you have done it. ","")&amp;IF(AND(ASH_CORRECTED="Yes",NOT(ISNUMBER($H717))),"Ash correction is switched on but no ash fraction is given for this row. ","")&amp;IF($I717="","Sieve mesh not recorded — a fine-root figure cannot be interpreted without it. ","")&amp;IF(AND(ISNUMBER($H717),$H717&gt;0.5),"Ash fraction above 0.5 — over half this sample was mineral soil. Re-wash. ","")&amp;IF($F717="Not separated","Live and dead not separated. Fine for a stock, but "&amp;"note it in reporting. ",""))</f>
        <v/>
      </c>
      <c r="P717" s="6"/>
      <c r="Q717" s="9" t="n">
        <f aca="false">IF($B717="",0,IF(COUNTIFS($B$5:$B717,$B717)=1,1,0))</f>
        <v>0</v>
      </c>
    </row>
    <row r="718" customFormat="false" ht="15" hidden="false" customHeight="false" outlineLevel="0" collapsed="false">
      <c r="A718" s="6"/>
      <c r="B718" s="6"/>
      <c r="C718" s="6"/>
      <c r="D718" s="6"/>
      <c r="E718" s="6"/>
      <c r="F718" s="6"/>
      <c r="G718" s="7"/>
      <c r="H718" s="7"/>
      <c r="I718" s="6"/>
      <c r="J718" s="9" t="str">
        <f aca="false">IF(NOT(ISNUMBER($G718)),"",IF(AND(ASH_CORRECTED="Yes",ISNUMBER($H718)),$G718*(1-$H718),$G718))</f>
        <v/>
      </c>
      <c r="K718" s="9" t="str">
        <f aca="false">IF($B718="","",IFERROR(AVERAGEIFS('2. Soil Data'!$G$5:$G$604,'2. Soil Data'!$B$5:$B$604,$B718),""))</f>
        <v/>
      </c>
      <c r="L718" s="9" t="str">
        <f aca="false">IF(NOT(ISNUMBER($K718)),"",PI()*($K718/2)^2)</f>
        <v/>
      </c>
      <c r="M718" s="9" t="str">
        <f aca="false">IF(OR(NOT(ISNUMBER($J718)),NOT(ISNUMBER($L718)),$L718=0),"",$J718/$L718*10000)</f>
        <v/>
      </c>
      <c r="N718" s="9" t="str">
        <f aca="false">IF(NOT(ISNUMBER($M718)),"",$M718*CARBON_FRACTION_ROOT/1000)</f>
        <v/>
      </c>
      <c r="O718" s="11" t="str">
        <f aca="false">IF(AND($A718="",$B718="",$G718=""),"",IF(AND($B718&lt;&gt;"",COUNTIFS('2. Soil Data'!$B$5:$B$604,$B718)=0),"Core ID not found in Soil Data, so the corer diameter cannot be looked up. ","")&amp;IF(ASH_CORRECTED&lt;&gt;"Yes","Root mass is NOT ash-corrected, so it includes adhering mineral soil and is too high. Set ASH_CORRECTED once you have done it. ","")&amp;IF(AND(ASH_CORRECTED="Yes",NOT(ISNUMBER($H718))),"Ash correction is switched on but no ash fraction is given for this row. ","")&amp;IF($I718="","Sieve mesh not recorded — a fine-root figure cannot be interpreted without it. ","")&amp;IF(AND(ISNUMBER($H718),$H718&gt;0.5),"Ash fraction above 0.5 — over half this sample was mineral soil. Re-wash. ","")&amp;IF($F718="Not separated","Live and dead not separated. Fine for a stock, but "&amp;"note it in reporting. ",""))</f>
        <v/>
      </c>
      <c r="P718" s="6"/>
      <c r="Q718" s="9" t="n">
        <f aca="false">IF($B718="",0,IF(COUNTIFS($B$5:$B718,$B718)=1,1,0))</f>
        <v>0</v>
      </c>
    </row>
    <row r="719" customFormat="false" ht="15" hidden="false" customHeight="false" outlineLevel="0" collapsed="false">
      <c r="A719" s="6"/>
      <c r="B719" s="6"/>
      <c r="C719" s="6"/>
      <c r="D719" s="6"/>
      <c r="E719" s="6"/>
      <c r="F719" s="6"/>
      <c r="G719" s="7"/>
      <c r="H719" s="7"/>
      <c r="I719" s="6"/>
      <c r="J719" s="9" t="str">
        <f aca="false">IF(NOT(ISNUMBER($G719)),"",IF(AND(ASH_CORRECTED="Yes",ISNUMBER($H719)),$G719*(1-$H719),$G719))</f>
        <v/>
      </c>
      <c r="K719" s="9" t="str">
        <f aca="false">IF($B719="","",IFERROR(AVERAGEIFS('2. Soil Data'!$G$5:$G$604,'2. Soil Data'!$B$5:$B$604,$B719),""))</f>
        <v/>
      </c>
      <c r="L719" s="9" t="str">
        <f aca="false">IF(NOT(ISNUMBER($K719)),"",PI()*($K719/2)^2)</f>
        <v/>
      </c>
      <c r="M719" s="9" t="str">
        <f aca="false">IF(OR(NOT(ISNUMBER($J719)),NOT(ISNUMBER($L719)),$L719=0),"",$J719/$L719*10000)</f>
        <v/>
      </c>
      <c r="N719" s="9" t="str">
        <f aca="false">IF(NOT(ISNUMBER($M719)),"",$M719*CARBON_FRACTION_ROOT/1000)</f>
        <v/>
      </c>
      <c r="O719" s="11" t="str">
        <f aca="false">IF(AND($A719="",$B719="",$G719=""),"",IF(AND($B719&lt;&gt;"",COUNTIFS('2. Soil Data'!$B$5:$B$604,$B719)=0),"Core ID not found in Soil Data, so the corer diameter cannot be looked up. ","")&amp;IF(ASH_CORRECTED&lt;&gt;"Yes","Root mass is NOT ash-corrected, so it includes adhering mineral soil and is too high. Set ASH_CORRECTED once you have done it. ","")&amp;IF(AND(ASH_CORRECTED="Yes",NOT(ISNUMBER($H719))),"Ash correction is switched on but no ash fraction is given for this row. ","")&amp;IF($I719="","Sieve mesh not recorded — a fine-root figure cannot be interpreted without it. ","")&amp;IF(AND(ISNUMBER($H719),$H719&gt;0.5),"Ash fraction above 0.5 — over half this sample was mineral soil. Re-wash. ","")&amp;IF($F719="Not separated","Live and dead not separated. Fine for a stock, but "&amp;"note it in reporting. ",""))</f>
        <v/>
      </c>
      <c r="P719" s="6"/>
      <c r="Q719" s="9" t="n">
        <f aca="false">IF($B719="",0,IF(COUNTIFS($B$5:$B719,$B719)=1,1,0))</f>
        <v>0</v>
      </c>
    </row>
    <row r="720" customFormat="false" ht="15" hidden="false" customHeight="false" outlineLevel="0" collapsed="false">
      <c r="A720" s="6"/>
      <c r="B720" s="6"/>
      <c r="C720" s="6"/>
      <c r="D720" s="6"/>
      <c r="E720" s="6"/>
      <c r="F720" s="6"/>
      <c r="G720" s="7"/>
      <c r="H720" s="7"/>
      <c r="I720" s="6"/>
      <c r="J720" s="9" t="str">
        <f aca="false">IF(NOT(ISNUMBER($G720)),"",IF(AND(ASH_CORRECTED="Yes",ISNUMBER($H720)),$G720*(1-$H720),$G720))</f>
        <v/>
      </c>
      <c r="K720" s="9" t="str">
        <f aca="false">IF($B720="","",IFERROR(AVERAGEIFS('2. Soil Data'!$G$5:$G$604,'2. Soil Data'!$B$5:$B$604,$B720),""))</f>
        <v/>
      </c>
      <c r="L720" s="9" t="str">
        <f aca="false">IF(NOT(ISNUMBER($K720)),"",PI()*($K720/2)^2)</f>
        <v/>
      </c>
      <c r="M720" s="9" t="str">
        <f aca="false">IF(OR(NOT(ISNUMBER($J720)),NOT(ISNUMBER($L720)),$L720=0),"",$J720/$L720*10000)</f>
        <v/>
      </c>
      <c r="N720" s="9" t="str">
        <f aca="false">IF(NOT(ISNUMBER($M720)),"",$M720*CARBON_FRACTION_ROOT/1000)</f>
        <v/>
      </c>
      <c r="O720" s="11" t="str">
        <f aca="false">IF(AND($A720="",$B720="",$G720=""),"",IF(AND($B720&lt;&gt;"",COUNTIFS('2. Soil Data'!$B$5:$B$604,$B720)=0),"Core ID not found in Soil Data, so the corer diameter cannot be looked up. ","")&amp;IF(ASH_CORRECTED&lt;&gt;"Yes","Root mass is NOT ash-corrected, so it includes adhering mineral soil and is too high. Set ASH_CORRECTED once you have done it. ","")&amp;IF(AND(ASH_CORRECTED="Yes",NOT(ISNUMBER($H720))),"Ash correction is switched on but no ash fraction is given for this row. ","")&amp;IF($I720="","Sieve mesh not recorded — a fine-root figure cannot be interpreted without it. ","")&amp;IF(AND(ISNUMBER($H720),$H720&gt;0.5),"Ash fraction above 0.5 — over half this sample was mineral soil. Re-wash. ","")&amp;IF($F720="Not separated","Live and dead not separated. Fine for a stock, but "&amp;"note it in reporting. ",""))</f>
        <v/>
      </c>
      <c r="P720" s="6"/>
      <c r="Q720" s="9" t="n">
        <f aca="false">IF($B720="",0,IF(COUNTIFS($B$5:$B720,$B720)=1,1,0))</f>
        <v>0</v>
      </c>
    </row>
    <row r="721" customFormat="false" ht="15" hidden="false" customHeight="false" outlineLevel="0" collapsed="false">
      <c r="A721" s="6"/>
      <c r="B721" s="6"/>
      <c r="C721" s="6"/>
      <c r="D721" s="6"/>
      <c r="E721" s="6"/>
      <c r="F721" s="6"/>
      <c r="G721" s="7"/>
      <c r="H721" s="7"/>
      <c r="I721" s="6"/>
      <c r="J721" s="9" t="str">
        <f aca="false">IF(NOT(ISNUMBER($G721)),"",IF(AND(ASH_CORRECTED="Yes",ISNUMBER($H721)),$G721*(1-$H721),$G721))</f>
        <v/>
      </c>
      <c r="K721" s="9" t="str">
        <f aca="false">IF($B721="","",IFERROR(AVERAGEIFS('2. Soil Data'!$G$5:$G$604,'2. Soil Data'!$B$5:$B$604,$B721),""))</f>
        <v/>
      </c>
      <c r="L721" s="9" t="str">
        <f aca="false">IF(NOT(ISNUMBER($K721)),"",PI()*($K721/2)^2)</f>
        <v/>
      </c>
      <c r="M721" s="9" t="str">
        <f aca="false">IF(OR(NOT(ISNUMBER($J721)),NOT(ISNUMBER($L721)),$L721=0),"",$J721/$L721*10000)</f>
        <v/>
      </c>
      <c r="N721" s="9" t="str">
        <f aca="false">IF(NOT(ISNUMBER($M721)),"",$M721*CARBON_FRACTION_ROOT/1000)</f>
        <v/>
      </c>
      <c r="O721" s="11" t="str">
        <f aca="false">IF(AND($A721="",$B721="",$G721=""),"",IF(AND($B721&lt;&gt;"",COUNTIFS('2. Soil Data'!$B$5:$B$604,$B721)=0),"Core ID not found in Soil Data, so the corer diameter cannot be looked up. ","")&amp;IF(ASH_CORRECTED&lt;&gt;"Yes","Root mass is NOT ash-corrected, so it includes adhering mineral soil and is too high. Set ASH_CORRECTED once you have done it. ","")&amp;IF(AND(ASH_CORRECTED="Yes",NOT(ISNUMBER($H721))),"Ash correction is switched on but no ash fraction is given for this row. ","")&amp;IF($I721="","Sieve mesh not recorded — a fine-root figure cannot be interpreted without it. ","")&amp;IF(AND(ISNUMBER($H721),$H721&gt;0.5),"Ash fraction above 0.5 — over half this sample was mineral soil. Re-wash. ","")&amp;IF($F721="Not separated","Live and dead not separated. Fine for a stock, but "&amp;"note it in reporting. ",""))</f>
        <v/>
      </c>
      <c r="P721" s="6"/>
      <c r="Q721" s="9" t="n">
        <f aca="false">IF($B721="",0,IF(COUNTIFS($B$5:$B721,$B721)=1,1,0))</f>
        <v>0</v>
      </c>
    </row>
    <row r="722" customFormat="false" ht="15" hidden="false" customHeight="false" outlineLevel="0" collapsed="false">
      <c r="A722" s="6"/>
      <c r="B722" s="6"/>
      <c r="C722" s="6"/>
      <c r="D722" s="6"/>
      <c r="E722" s="6"/>
      <c r="F722" s="6"/>
      <c r="G722" s="7"/>
      <c r="H722" s="7"/>
      <c r="I722" s="6"/>
      <c r="J722" s="9" t="str">
        <f aca="false">IF(NOT(ISNUMBER($G722)),"",IF(AND(ASH_CORRECTED="Yes",ISNUMBER($H722)),$G722*(1-$H722),$G722))</f>
        <v/>
      </c>
      <c r="K722" s="9" t="str">
        <f aca="false">IF($B722="","",IFERROR(AVERAGEIFS('2. Soil Data'!$G$5:$G$604,'2. Soil Data'!$B$5:$B$604,$B722),""))</f>
        <v/>
      </c>
      <c r="L722" s="9" t="str">
        <f aca="false">IF(NOT(ISNUMBER($K722)),"",PI()*($K722/2)^2)</f>
        <v/>
      </c>
      <c r="M722" s="9" t="str">
        <f aca="false">IF(OR(NOT(ISNUMBER($J722)),NOT(ISNUMBER($L722)),$L722=0),"",$J722/$L722*10000)</f>
        <v/>
      </c>
      <c r="N722" s="9" t="str">
        <f aca="false">IF(NOT(ISNUMBER($M722)),"",$M722*CARBON_FRACTION_ROOT/1000)</f>
        <v/>
      </c>
      <c r="O722" s="11" t="str">
        <f aca="false">IF(AND($A722="",$B722="",$G722=""),"",IF(AND($B722&lt;&gt;"",COUNTIFS('2. Soil Data'!$B$5:$B$604,$B722)=0),"Core ID not found in Soil Data, so the corer diameter cannot be looked up. ","")&amp;IF(ASH_CORRECTED&lt;&gt;"Yes","Root mass is NOT ash-corrected, so it includes adhering mineral soil and is too high. Set ASH_CORRECTED once you have done it. ","")&amp;IF(AND(ASH_CORRECTED="Yes",NOT(ISNUMBER($H722))),"Ash correction is switched on but no ash fraction is given for this row. ","")&amp;IF($I722="","Sieve mesh not recorded — a fine-root figure cannot be interpreted without it. ","")&amp;IF(AND(ISNUMBER($H722),$H722&gt;0.5),"Ash fraction above 0.5 — over half this sample was mineral soil. Re-wash. ","")&amp;IF($F722="Not separated","Live and dead not separated. Fine for a stock, but "&amp;"note it in reporting. ",""))</f>
        <v/>
      </c>
      <c r="P722" s="6"/>
      <c r="Q722" s="9" t="n">
        <f aca="false">IF($B722="",0,IF(COUNTIFS($B$5:$B722,$B722)=1,1,0))</f>
        <v>0</v>
      </c>
    </row>
    <row r="723" customFormat="false" ht="15" hidden="false" customHeight="false" outlineLevel="0" collapsed="false">
      <c r="A723" s="6"/>
      <c r="B723" s="6"/>
      <c r="C723" s="6"/>
      <c r="D723" s="6"/>
      <c r="E723" s="6"/>
      <c r="F723" s="6"/>
      <c r="G723" s="7"/>
      <c r="H723" s="7"/>
      <c r="I723" s="6"/>
      <c r="J723" s="9" t="str">
        <f aca="false">IF(NOT(ISNUMBER($G723)),"",IF(AND(ASH_CORRECTED="Yes",ISNUMBER($H723)),$G723*(1-$H723),$G723))</f>
        <v/>
      </c>
      <c r="K723" s="9" t="str">
        <f aca="false">IF($B723="","",IFERROR(AVERAGEIFS('2. Soil Data'!$G$5:$G$604,'2. Soil Data'!$B$5:$B$604,$B723),""))</f>
        <v/>
      </c>
      <c r="L723" s="9" t="str">
        <f aca="false">IF(NOT(ISNUMBER($K723)),"",PI()*($K723/2)^2)</f>
        <v/>
      </c>
      <c r="M723" s="9" t="str">
        <f aca="false">IF(OR(NOT(ISNUMBER($J723)),NOT(ISNUMBER($L723)),$L723=0),"",$J723/$L723*10000)</f>
        <v/>
      </c>
      <c r="N723" s="9" t="str">
        <f aca="false">IF(NOT(ISNUMBER($M723)),"",$M723*CARBON_FRACTION_ROOT/1000)</f>
        <v/>
      </c>
      <c r="O723" s="11" t="str">
        <f aca="false">IF(AND($A723="",$B723="",$G723=""),"",IF(AND($B723&lt;&gt;"",COUNTIFS('2. Soil Data'!$B$5:$B$604,$B723)=0),"Core ID not found in Soil Data, so the corer diameter cannot be looked up. ","")&amp;IF(ASH_CORRECTED&lt;&gt;"Yes","Root mass is NOT ash-corrected, so it includes adhering mineral soil and is too high. Set ASH_CORRECTED once you have done it. ","")&amp;IF(AND(ASH_CORRECTED="Yes",NOT(ISNUMBER($H723))),"Ash correction is switched on but no ash fraction is given for this row. ","")&amp;IF($I723="","Sieve mesh not recorded — a fine-root figure cannot be interpreted without it. ","")&amp;IF(AND(ISNUMBER($H723),$H723&gt;0.5),"Ash fraction above 0.5 — over half this sample was mineral soil. Re-wash. ","")&amp;IF($F723="Not separated","Live and dead not separated. Fine for a stock, but "&amp;"note it in reporting. ",""))</f>
        <v/>
      </c>
      <c r="P723" s="6"/>
      <c r="Q723" s="9" t="n">
        <f aca="false">IF($B723="",0,IF(COUNTIFS($B$5:$B723,$B723)=1,1,0))</f>
        <v>0</v>
      </c>
    </row>
    <row r="724" customFormat="false" ht="15" hidden="false" customHeight="false" outlineLevel="0" collapsed="false">
      <c r="A724" s="6"/>
      <c r="B724" s="6"/>
      <c r="C724" s="6"/>
      <c r="D724" s="6"/>
      <c r="E724" s="6"/>
      <c r="F724" s="6"/>
      <c r="G724" s="7"/>
      <c r="H724" s="7"/>
      <c r="I724" s="6"/>
      <c r="J724" s="9" t="str">
        <f aca="false">IF(NOT(ISNUMBER($G724)),"",IF(AND(ASH_CORRECTED="Yes",ISNUMBER($H724)),$G724*(1-$H724),$G724))</f>
        <v/>
      </c>
      <c r="K724" s="9" t="str">
        <f aca="false">IF($B724="","",IFERROR(AVERAGEIFS('2. Soil Data'!$G$5:$G$604,'2. Soil Data'!$B$5:$B$604,$B724),""))</f>
        <v/>
      </c>
      <c r="L724" s="9" t="str">
        <f aca="false">IF(NOT(ISNUMBER($K724)),"",PI()*($K724/2)^2)</f>
        <v/>
      </c>
      <c r="M724" s="9" t="str">
        <f aca="false">IF(OR(NOT(ISNUMBER($J724)),NOT(ISNUMBER($L724)),$L724=0),"",$J724/$L724*10000)</f>
        <v/>
      </c>
      <c r="N724" s="9" t="str">
        <f aca="false">IF(NOT(ISNUMBER($M724)),"",$M724*CARBON_FRACTION_ROOT/1000)</f>
        <v/>
      </c>
      <c r="O724" s="11" t="str">
        <f aca="false">IF(AND($A724="",$B724="",$G724=""),"",IF(AND($B724&lt;&gt;"",COUNTIFS('2. Soil Data'!$B$5:$B$604,$B724)=0),"Core ID not found in Soil Data, so the corer diameter cannot be looked up. ","")&amp;IF(ASH_CORRECTED&lt;&gt;"Yes","Root mass is NOT ash-corrected, so it includes adhering mineral soil and is too high. Set ASH_CORRECTED once you have done it. ","")&amp;IF(AND(ASH_CORRECTED="Yes",NOT(ISNUMBER($H724))),"Ash correction is switched on but no ash fraction is given for this row. ","")&amp;IF($I724="","Sieve mesh not recorded — a fine-root figure cannot be interpreted without it. ","")&amp;IF(AND(ISNUMBER($H724),$H724&gt;0.5),"Ash fraction above 0.5 — over half this sample was mineral soil. Re-wash. ","")&amp;IF($F724="Not separated","Live and dead not separated. Fine for a stock, but "&amp;"note it in reporting. ",""))</f>
        <v/>
      </c>
      <c r="P724" s="6"/>
      <c r="Q724" s="9" t="n">
        <f aca="false">IF($B724="",0,IF(COUNTIFS($B$5:$B724,$B724)=1,1,0))</f>
        <v>0</v>
      </c>
    </row>
    <row r="725" customFormat="false" ht="15" hidden="false" customHeight="false" outlineLevel="0" collapsed="false">
      <c r="A725" s="6"/>
      <c r="B725" s="6"/>
      <c r="C725" s="6"/>
      <c r="D725" s="6"/>
      <c r="E725" s="6"/>
      <c r="F725" s="6"/>
      <c r="G725" s="7"/>
      <c r="H725" s="7"/>
      <c r="I725" s="6"/>
      <c r="J725" s="9" t="str">
        <f aca="false">IF(NOT(ISNUMBER($G725)),"",IF(AND(ASH_CORRECTED="Yes",ISNUMBER($H725)),$G725*(1-$H725),$G725))</f>
        <v/>
      </c>
      <c r="K725" s="9" t="str">
        <f aca="false">IF($B725="","",IFERROR(AVERAGEIFS('2. Soil Data'!$G$5:$G$604,'2. Soil Data'!$B$5:$B$604,$B725),""))</f>
        <v/>
      </c>
      <c r="L725" s="9" t="str">
        <f aca="false">IF(NOT(ISNUMBER($K725)),"",PI()*($K725/2)^2)</f>
        <v/>
      </c>
      <c r="M725" s="9" t="str">
        <f aca="false">IF(OR(NOT(ISNUMBER($J725)),NOT(ISNUMBER($L725)),$L725=0),"",$J725/$L725*10000)</f>
        <v/>
      </c>
      <c r="N725" s="9" t="str">
        <f aca="false">IF(NOT(ISNUMBER($M725)),"",$M725*CARBON_FRACTION_ROOT/1000)</f>
        <v/>
      </c>
      <c r="O725" s="11" t="str">
        <f aca="false">IF(AND($A725="",$B725="",$G725=""),"",IF(AND($B725&lt;&gt;"",COUNTIFS('2. Soil Data'!$B$5:$B$604,$B725)=0),"Core ID not found in Soil Data, so the corer diameter cannot be looked up. ","")&amp;IF(ASH_CORRECTED&lt;&gt;"Yes","Root mass is NOT ash-corrected, so it includes adhering mineral soil and is too high. Set ASH_CORRECTED once you have done it. ","")&amp;IF(AND(ASH_CORRECTED="Yes",NOT(ISNUMBER($H725))),"Ash correction is switched on but no ash fraction is given for this row. ","")&amp;IF($I725="","Sieve mesh not recorded — a fine-root figure cannot be interpreted without it. ","")&amp;IF(AND(ISNUMBER($H725),$H725&gt;0.5),"Ash fraction above 0.5 — over half this sample was mineral soil. Re-wash. ","")&amp;IF($F725="Not separated","Live and dead not separated. Fine for a stock, but "&amp;"note it in reporting. ",""))</f>
        <v/>
      </c>
      <c r="P725" s="6"/>
      <c r="Q725" s="9" t="n">
        <f aca="false">IF($B725="",0,IF(COUNTIFS($B$5:$B725,$B725)=1,1,0))</f>
        <v>0</v>
      </c>
    </row>
    <row r="726" customFormat="false" ht="15" hidden="false" customHeight="false" outlineLevel="0" collapsed="false">
      <c r="A726" s="6"/>
      <c r="B726" s="6"/>
      <c r="C726" s="6"/>
      <c r="D726" s="6"/>
      <c r="E726" s="6"/>
      <c r="F726" s="6"/>
      <c r="G726" s="7"/>
      <c r="H726" s="7"/>
      <c r="I726" s="6"/>
      <c r="J726" s="9" t="str">
        <f aca="false">IF(NOT(ISNUMBER($G726)),"",IF(AND(ASH_CORRECTED="Yes",ISNUMBER($H726)),$G726*(1-$H726),$G726))</f>
        <v/>
      </c>
      <c r="K726" s="9" t="str">
        <f aca="false">IF($B726="","",IFERROR(AVERAGEIFS('2. Soil Data'!$G$5:$G$604,'2. Soil Data'!$B$5:$B$604,$B726),""))</f>
        <v/>
      </c>
      <c r="L726" s="9" t="str">
        <f aca="false">IF(NOT(ISNUMBER($K726)),"",PI()*($K726/2)^2)</f>
        <v/>
      </c>
      <c r="M726" s="9" t="str">
        <f aca="false">IF(OR(NOT(ISNUMBER($J726)),NOT(ISNUMBER($L726)),$L726=0),"",$J726/$L726*10000)</f>
        <v/>
      </c>
      <c r="N726" s="9" t="str">
        <f aca="false">IF(NOT(ISNUMBER($M726)),"",$M726*CARBON_FRACTION_ROOT/1000)</f>
        <v/>
      </c>
      <c r="O726" s="11" t="str">
        <f aca="false">IF(AND($A726="",$B726="",$G726=""),"",IF(AND($B726&lt;&gt;"",COUNTIFS('2. Soil Data'!$B$5:$B$604,$B726)=0),"Core ID not found in Soil Data, so the corer diameter cannot be looked up. ","")&amp;IF(ASH_CORRECTED&lt;&gt;"Yes","Root mass is NOT ash-corrected, so it includes adhering mineral soil and is too high. Set ASH_CORRECTED once you have done it. ","")&amp;IF(AND(ASH_CORRECTED="Yes",NOT(ISNUMBER($H726))),"Ash correction is switched on but no ash fraction is given for this row. ","")&amp;IF($I726="","Sieve mesh not recorded — a fine-root figure cannot be interpreted without it. ","")&amp;IF(AND(ISNUMBER($H726),$H726&gt;0.5),"Ash fraction above 0.5 — over half this sample was mineral soil. Re-wash. ","")&amp;IF($F726="Not separated","Live and dead not separated. Fine for a stock, but "&amp;"note it in reporting. ",""))</f>
        <v/>
      </c>
      <c r="P726" s="6"/>
      <c r="Q726" s="9" t="n">
        <f aca="false">IF($B726="",0,IF(COUNTIFS($B$5:$B726,$B726)=1,1,0))</f>
        <v>0</v>
      </c>
    </row>
    <row r="727" customFormat="false" ht="15" hidden="false" customHeight="false" outlineLevel="0" collapsed="false">
      <c r="A727" s="6"/>
      <c r="B727" s="6"/>
      <c r="C727" s="6"/>
      <c r="D727" s="6"/>
      <c r="E727" s="6"/>
      <c r="F727" s="6"/>
      <c r="G727" s="7"/>
      <c r="H727" s="7"/>
      <c r="I727" s="6"/>
      <c r="J727" s="9" t="str">
        <f aca="false">IF(NOT(ISNUMBER($G727)),"",IF(AND(ASH_CORRECTED="Yes",ISNUMBER($H727)),$G727*(1-$H727),$G727))</f>
        <v/>
      </c>
      <c r="K727" s="9" t="str">
        <f aca="false">IF($B727="","",IFERROR(AVERAGEIFS('2. Soil Data'!$G$5:$G$604,'2. Soil Data'!$B$5:$B$604,$B727),""))</f>
        <v/>
      </c>
      <c r="L727" s="9" t="str">
        <f aca="false">IF(NOT(ISNUMBER($K727)),"",PI()*($K727/2)^2)</f>
        <v/>
      </c>
      <c r="M727" s="9" t="str">
        <f aca="false">IF(OR(NOT(ISNUMBER($J727)),NOT(ISNUMBER($L727)),$L727=0),"",$J727/$L727*10000)</f>
        <v/>
      </c>
      <c r="N727" s="9" t="str">
        <f aca="false">IF(NOT(ISNUMBER($M727)),"",$M727*CARBON_FRACTION_ROOT/1000)</f>
        <v/>
      </c>
      <c r="O727" s="11" t="str">
        <f aca="false">IF(AND($A727="",$B727="",$G727=""),"",IF(AND($B727&lt;&gt;"",COUNTIFS('2. Soil Data'!$B$5:$B$604,$B727)=0),"Core ID not found in Soil Data, so the corer diameter cannot be looked up. ","")&amp;IF(ASH_CORRECTED&lt;&gt;"Yes","Root mass is NOT ash-corrected, so it includes adhering mineral soil and is too high. Set ASH_CORRECTED once you have done it. ","")&amp;IF(AND(ASH_CORRECTED="Yes",NOT(ISNUMBER($H727))),"Ash correction is switched on but no ash fraction is given for this row. ","")&amp;IF($I727="","Sieve mesh not recorded — a fine-root figure cannot be interpreted without it. ","")&amp;IF(AND(ISNUMBER($H727),$H727&gt;0.5),"Ash fraction above 0.5 — over half this sample was mineral soil. Re-wash. ","")&amp;IF($F727="Not separated","Live and dead not separated. Fine for a stock, but "&amp;"note it in reporting. ",""))</f>
        <v/>
      </c>
      <c r="P727" s="6"/>
      <c r="Q727" s="9" t="n">
        <f aca="false">IF($B727="",0,IF(COUNTIFS($B$5:$B727,$B727)=1,1,0))</f>
        <v>0</v>
      </c>
    </row>
    <row r="728" customFormat="false" ht="15" hidden="false" customHeight="false" outlineLevel="0" collapsed="false">
      <c r="A728" s="6"/>
      <c r="B728" s="6"/>
      <c r="C728" s="6"/>
      <c r="D728" s="6"/>
      <c r="E728" s="6"/>
      <c r="F728" s="6"/>
      <c r="G728" s="7"/>
      <c r="H728" s="7"/>
      <c r="I728" s="6"/>
      <c r="J728" s="9" t="str">
        <f aca="false">IF(NOT(ISNUMBER($G728)),"",IF(AND(ASH_CORRECTED="Yes",ISNUMBER($H728)),$G728*(1-$H728),$G728))</f>
        <v/>
      </c>
      <c r="K728" s="9" t="str">
        <f aca="false">IF($B728="","",IFERROR(AVERAGEIFS('2. Soil Data'!$G$5:$G$604,'2. Soil Data'!$B$5:$B$604,$B728),""))</f>
        <v/>
      </c>
      <c r="L728" s="9" t="str">
        <f aca="false">IF(NOT(ISNUMBER($K728)),"",PI()*($K728/2)^2)</f>
        <v/>
      </c>
      <c r="M728" s="9" t="str">
        <f aca="false">IF(OR(NOT(ISNUMBER($J728)),NOT(ISNUMBER($L728)),$L728=0),"",$J728/$L728*10000)</f>
        <v/>
      </c>
      <c r="N728" s="9" t="str">
        <f aca="false">IF(NOT(ISNUMBER($M728)),"",$M728*CARBON_FRACTION_ROOT/1000)</f>
        <v/>
      </c>
      <c r="O728" s="11" t="str">
        <f aca="false">IF(AND($A728="",$B728="",$G728=""),"",IF(AND($B728&lt;&gt;"",COUNTIFS('2. Soil Data'!$B$5:$B$604,$B728)=0),"Core ID not found in Soil Data, so the corer diameter cannot be looked up. ","")&amp;IF(ASH_CORRECTED&lt;&gt;"Yes","Root mass is NOT ash-corrected, so it includes adhering mineral soil and is too high. Set ASH_CORRECTED once you have done it. ","")&amp;IF(AND(ASH_CORRECTED="Yes",NOT(ISNUMBER($H728))),"Ash correction is switched on but no ash fraction is given for this row. ","")&amp;IF($I728="","Sieve mesh not recorded — a fine-root figure cannot be interpreted without it. ","")&amp;IF(AND(ISNUMBER($H728),$H728&gt;0.5),"Ash fraction above 0.5 — over half this sample was mineral soil. Re-wash. ","")&amp;IF($F728="Not separated","Live and dead not separated. Fine for a stock, but "&amp;"note it in reporting. ",""))</f>
        <v/>
      </c>
      <c r="P728" s="6"/>
      <c r="Q728" s="9" t="n">
        <f aca="false">IF($B728="",0,IF(COUNTIFS($B$5:$B728,$B728)=1,1,0))</f>
        <v>0</v>
      </c>
    </row>
    <row r="729" customFormat="false" ht="15" hidden="false" customHeight="false" outlineLevel="0" collapsed="false">
      <c r="A729" s="6"/>
      <c r="B729" s="6"/>
      <c r="C729" s="6"/>
      <c r="D729" s="6"/>
      <c r="E729" s="6"/>
      <c r="F729" s="6"/>
      <c r="G729" s="7"/>
      <c r="H729" s="7"/>
      <c r="I729" s="6"/>
      <c r="J729" s="9" t="str">
        <f aca="false">IF(NOT(ISNUMBER($G729)),"",IF(AND(ASH_CORRECTED="Yes",ISNUMBER($H729)),$G729*(1-$H729),$G729))</f>
        <v/>
      </c>
      <c r="K729" s="9" t="str">
        <f aca="false">IF($B729="","",IFERROR(AVERAGEIFS('2. Soil Data'!$G$5:$G$604,'2. Soil Data'!$B$5:$B$604,$B729),""))</f>
        <v/>
      </c>
      <c r="L729" s="9" t="str">
        <f aca="false">IF(NOT(ISNUMBER($K729)),"",PI()*($K729/2)^2)</f>
        <v/>
      </c>
      <c r="M729" s="9" t="str">
        <f aca="false">IF(OR(NOT(ISNUMBER($J729)),NOT(ISNUMBER($L729)),$L729=0),"",$J729/$L729*10000)</f>
        <v/>
      </c>
      <c r="N729" s="9" t="str">
        <f aca="false">IF(NOT(ISNUMBER($M729)),"",$M729*CARBON_FRACTION_ROOT/1000)</f>
        <v/>
      </c>
      <c r="O729" s="11" t="str">
        <f aca="false">IF(AND($A729="",$B729="",$G729=""),"",IF(AND($B729&lt;&gt;"",COUNTIFS('2. Soil Data'!$B$5:$B$604,$B729)=0),"Core ID not found in Soil Data, so the corer diameter cannot be looked up. ","")&amp;IF(ASH_CORRECTED&lt;&gt;"Yes","Root mass is NOT ash-corrected, so it includes adhering mineral soil and is too high. Set ASH_CORRECTED once you have done it. ","")&amp;IF(AND(ASH_CORRECTED="Yes",NOT(ISNUMBER($H729))),"Ash correction is switched on but no ash fraction is given for this row. ","")&amp;IF($I729="","Sieve mesh not recorded — a fine-root figure cannot be interpreted without it. ","")&amp;IF(AND(ISNUMBER($H729),$H729&gt;0.5),"Ash fraction above 0.5 — over half this sample was mineral soil. Re-wash. ","")&amp;IF($F729="Not separated","Live and dead not separated. Fine for a stock, but "&amp;"note it in reporting. ",""))</f>
        <v/>
      </c>
      <c r="P729" s="6"/>
      <c r="Q729" s="9" t="n">
        <f aca="false">IF($B729="",0,IF(COUNTIFS($B$5:$B729,$B729)=1,1,0))</f>
        <v>0</v>
      </c>
    </row>
    <row r="730" customFormat="false" ht="15" hidden="false" customHeight="false" outlineLevel="0" collapsed="false">
      <c r="A730" s="6"/>
      <c r="B730" s="6"/>
      <c r="C730" s="6"/>
      <c r="D730" s="6"/>
      <c r="E730" s="6"/>
      <c r="F730" s="6"/>
      <c r="G730" s="7"/>
      <c r="H730" s="7"/>
      <c r="I730" s="6"/>
      <c r="J730" s="9" t="str">
        <f aca="false">IF(NOT(ISNUMBER($G730)),"",IF(AND(ASH_CORRECTED="Yes",ISNUMBER($H730)),$G730*(1-$H730),$G730))</f>
        <v/>
      </c>
      <c r="K730" s="9" t="str">
        <f aca="false">IF($B730="","",IFERROR(AVERAGEIFS('2. Soil Data'!$G$5:$G$604,'2. Soil Data'!$B$5:$B$604,$B730),""))</f>
        <v/>
      </c>
      <c r="L730" s="9" t="str">
        <f aca="false">IF(NOT(ISNUMBER($K730)),"",PI()*($K730/2)^2)</f>
        <v/>
      </c>
      <c r="M730" s="9" t="str">
        <f aca="false">IF(OR(NOT(ISNUMBER($J730)),NOT(ISNUMBER($L730)),$L730=0),"",$J730/$L730*10000)</f>
        <v/>
      </c>
      <c r="N730" s="9" t="str">
        <f aca="false">IF(NOT(ISNUMBER($M730)),"",$M730*CARBON_FRACTION_ROOT/1000)</f>
        <v/>
      </c>
      <c r="O730" s="11" t="str">
        <f aca="false">IF(AND($A730="",$B730="",$G730=""),"",IF(AND($B730&lt;&gt;"",COUNTIFS('2. Soil Data'!$B$5:$B$604,$B730)=0),"Core ID not found in Soil Data, so the corer diameter cannot be looked up. ","")&amp;IF(ASH_CORRECTED&lt;&gt;"Yes","Root mass is NOT ash-corrected, so it includes adhering mineral soil and is too high. Set ASH_CORRECTED once you have done it. ","")&amp;IF(AND(ASH_CORRECTED="Yes",NOT(ISNUMBER($H730))),"Ash correction is switched on but no ash fraction is given for this row. ","")&amp;IF($I730="","Sieve mesh not recorded — a fine-root figure cannot be interpreted without it. ","")&amp;IF(AND(ISNUMBER($H730),$H730&gt;0.5),"Ash fraction above 0.5 — over half this sample was mineral soil. Re-wash. ","")&amp;IF($F730="Not separated","Live and dead not separated. Fine for a stock, but "&amp;"note it in reporting. ",""))</f>
        <v/>
      </c>
      <c r="P730" s="6"/>
      <c r="Q730" s="9" t="n">
        <f aca="false">IF($B730="",0,IF(COUNTIFS($B$5:$B730,$B730)=1,1,0))</f>
        <v>0</v>
      </c>
    </row>
    <row r="731" customFormat="false" ht="15" hidden="false" customHeight="false" outlineLevel="0" collapsed="false">
      <c r="A731" s="6"/>
      <c r="B731" s="6"/>
      <c r="C731" s="6"/>
      <c r="D731" s="6"/>
      <c r="E731" s="6"/>
      <c r="F731" s="6"/>
      <c r="G731" s="7"/>
      <c r="H731" s="7"/>
      <c r="I731" s="6"/>
      <c r="J731" s="9" t="str">
        <f aca="false">IF(NOT(ISNUMBER($G731)),"",IF(AND(ASH_CORRECTED="Yes",ISNUMBER($H731)),$G731*(1-$H731),$G731))</f>
        <v/>
      </c>
      <c r="K731" s="9" t="str">
        <f aca="false">IF($B731="","",IFERROR(AVERAGEIFS('2. Soil Data'!$G$5:$G$604,'2. Soil Data'!$B$5:$B$604,$B731),""))</f>
        <v/>
      </c>
      <c r="L731" s="9" t="str">
        <f aca="false">IF(NOT(ISNUMBER($K731)),"",PI()*($K731/2)^2)</f>
        <v/>
      </c>
      <c r="M731" s="9" t="str">
        <f aca="false">IF(OR(NOT(ISNUMBER($J731)),NOT(ISNUMBER($L731)),$L731=0),"",$J731/$L731*10000)</f>
        <v/>
      </c>
      <c r="N731" s="9" t="str">
        <f aca="false">IF(NOT(ISNUMBER($M731)),"",$M731*CARBON_FRACTION_ROOT/1000)</f>
        <v/>
      </c>
      <c r="O731" s="11" t="str">
        <f aca="false">IF(AND($A731="",$B731="",$G731=""),"",IF(AND($B731&lt;&gt;"",COUNTIFS('2. Soil Data'!$B$5:$B$604,$B731)=0),"Core ID not found in Soil Data, so the corer diameter cannot be looked up. ","")&amp;IF(ASH_CORRECTED&lt;&gt;"Yes","Root mass is NOT ash-corrected, so it includes adhering mineral soil and is too high. Set ASH_CORRECTED once you have done it. ","")&amp;IF(AND(ASH_CORRECTED="Yes",NOT(ISNUMBER($H731))),"Ash correction is switched on but no ash fraction is given for this row. ","")&amp;IF($I731="","Sieve mesh not recorded — a fine-root figure cannot be interpreted without it. ","")&amp;IF(AND(ISNUMBER($H731),$H731&gt;0.5),"Ash fraction above 0.5 — over half this sample was mineral soil. Re-wash. ","")&amp;IF($F731="Not separated","Live and dead not separated. Fine for a stock, but "&amp;"note it in reporting. ",""))</f>
        <v/>
      </c>
      <c r="P731" s="6"/>
      <c r="Q731" s="9" t="n">
        <f aca="false">IF($B731="",0,IF(COUNTIFS($B$5:$B731,$B731)=1,1,0))</f>
        <v>0</v>
      </c>
    </row>
    <row r="732" customFormat="false" ht="15" hidden="false" customHeight="false" outlineLevel="0" collapsed="false">
      <c r="A732" s="6"/>
      <c r="B732" s="6"/>
      <c r="C732" s="6"/>
      <c r="D732" s="6"/>
      <c r="E732" s="6"/>
      <c r="F732" s="6"/>
      <c r="G732" s="7"/>
      <c r="H732" s="7"/>
      <c r="I732" s="6"/>
      <c r="J732" s="9" t="str">
        <f aca="false">IF(NOT(ISNUMBER($G732)),"",IF(AND(ASH_CORRECTED="Yes",ISNUMBER($H732)),$G732*(1-$H732),$G732))</f>
        <v/>
      </c>
      <c r="K732" s="9" t="str">
        <f aca="false">IF($B732="","",IFERROR(AVERAGEIFS('2. Soil Data'!$G$5:$G$604,'2. Soil Data'!$B$5:$B$604,$B732),""))</f>
        <v/>
      </c>
      <c r="L732" s="9" t="str">
        <f aca="false">IF(NOT(ISNUMBER($K732)),"",PI()*($K732/2)^2)</f>
        <v/>
      </c>
      <c r="M732" s="9" t="str">
        <f aca="false">IF(OR(NOT(ISNUMBER($J732)),NOT(ISNUMBER($L732)),$L732=0),"",$J732/$L732*10000)</f>
        <v/>
      </c>
      <c r="N732" s="9" t="str">
        <f aca="false">IF(NOT(ISNUMBER($M732)),"",$M732*CARBON_FRACTION_ROOT/1000)</f>
        <v/>
      </c>
      <c r="O732" s="11" t="str">
        <f aca="false">IF(AND($A732="",$B732="",$G732=""),"",IF(AND($B732&lt;&gt;"",COUNTIFS('2. Soil Data'!$B$5:$B$604,$B732)=0),"Core ID not found in Soil Data, so the corer diameter cannot be looked up. ","")&amp;IF(ASH_CORRECTED&lt;&gt;"Yes","Root mass is NOT ash-corrected, so it includes adhering mineral soil and is too high. Set ASH_CORRECTED once you have done it. ","")&amp;IF(AND(ASH_CORRECTED="Yes",NOT(ISNUMBER($H732))),"Ash correction is switched on but no ash fraction is given for this row. ","")&amp;IF($I732="","Sieve mesh not recorded — a fine-root figure cannot be interpreted without it. ","")&amp;IF(AND(ISNUMBER($H732),$H732&gt;0.5),"Ash fraction above 0.5 — over half this sample was mineral soil. Re-wash. ","")&amp;IF($F732="Not separated","Live and dead not separated. Fine for a stock, but "&amp;"note it in reporting. ",""))</f>
        <v/>
      </c>
      <c r="P732" s="6"/>
      <c r="Q732" s="9" t="n">
        <f aca="false">IF($B732="",0,IF(COUNTIFS($B$5:$B732,$B732)=1,1,0))</f>
        <v>0</v>
      </c>
    </row>
    <row r="733" customFormat="false" ht="15" hidden="false" customHeight="false" outlineLevel="0" collapsed="false">
      <c r="A733" s="6"/>
      <c r="B733" s="6"/>
      <c r="C733" s="6"/>
      <c r="D733" s="6"/>
      <c r="E733" s="6"/>
      <c r="F733" s="6"/>
      <c r="G733" s="7"/>
      <c r="H733" s="7"/>
      <c r="I733" s="6"/>
      <c r="J733" s="9" t="str">
        <f aca="false">IF(NOT(ISNUMBER($G733)),"",IF(AND(ASH_CORRECTED="Yes",ISNUMBER($H733)),$G733*(1-$H733),$G733))</f>
        <v/>
      </c>
      <c r="K733" s="9" t="str">
        <f aca="false">IF($B733="","",IFERROR(AVERAGEIFS('2. Soil Data'!$G$5:$G$604,'2. Soil Data'!$B$5:$B$604,$B733),""))</f>
        <v/>
      </c>
      <c r="L733" s="9" t="str">
        <f aca="false">IF(NOT(ISNUMBER($K733)),"",PI()*($K733/2)^2)</f>
        <v/>
      </c>
      <c r="M733" s="9" t="str">
        <f aca="false">IF(OR(NOT(ISNUMBER($J733)),NOT(ISNUMBER($L733)),$L733=0),"",$J733/$L733*10000)</f>
        <v/>
      </c>
      <c r="N733" s="9" t="str">
        <f aca="false">IF(NOT(ISNUMBER($M733)),"",$M733*CARBON_FRACTION_ROOT/1000)</f>
        <v/>
      </c>
      <c r="O733" s="11" t="str">
        <f aca="false">IF(AND($A733="",$B733="",$G733=""),"",IF(AND($B733&lt;&gt;"",COUNTIFS('2. Soil Data'!$B$5:$B$604,$B733)=0),"Core ID not found in Soil Data, so the corer diameter cannot be looked up. ","")&amp;IF(ASH_CORRECTED&lt;&gt;"Yes","Root mass is NOT ash-corrected, so it includes adhering mineral soil and is too high. Set ASH_CORRECTED once you have done it. ","")&amp;IF(AND(ASH_CORRECTED="Yes",NOT(ISNUMBER($H733))),"Ash correction is switched on but no ash fraction is given for this row. ","")&amp;IF($I733="","Sieve mesh not recorded — a fine-root figure cannot be interpreted without it. ","")&amp;IF(AND(ISNUMBER($H733),$H733&gt;0.5),"Ash fraction above 0.5 — over half this sample was mineral soil. Re-wash. ","")&amp;IF($F733="Not separated","Live and dead not separated. Fine for a stock, but "&amp;"note it in reporting. ",""))</f>
        <v/>
      </c>
      <c r="P733" s="6"/>
      <c r="Q733" s="9" t="n">
        <f aca="false">IF($B733="",0,IF(COUNTIFS($B$5:$B733,$B733)=1,1,0))</f>
        <v>0</v>
      </c>
    </row>
    <row r="734" customFormat="false" ht="15" hidden="false" customHeight="false" outlineLevel="0" collapsed="false">
      <c r="A734" s="6"/>
      <c r="B734" s="6"/>
      <c r="C734" s="6"/>
      <c r="D734" s="6"/>
      <c r="E734" s="6"/>
      <c r="F734" s="6"/>
      <c r="G734" s="7"/>
      <c r="H734" s="7"/>
      <c r="I734" s="6"/>
      <c r="J734" s="9" t="str">
        <f aca="false">IF(NOT(ISNUMBER($G734)),"",IF(AND(ASH_CORRECTED="Yes",ISNUMBER($H734)),$G734*(1-$H734),$G734))</f>
        <v/>
      </c>
      <c r="K734" s="9" t="str">
        <f aca="false">IF($B734="","",IFERROR(AVERAGEIFS('2. Soil Data'!$G$5:$G$604,'2. Soil Data'!$B$5:$B$604,$B734),""))</f>
        <v/>
      </c>
      <c r="L734" s="9" t="str">
        <f aca="false">IF(NOT(ISNUMBER($K734)),"",PI()*($K734/2)^2)</f>
        <v/>
      </c>
      <c r="M734" s="9" t="str">
        <f aca="false">IF(OR(NOT(ISNUMBER($J734)),NOT(ISNUMBER($L734)),$L734=0),"",$J734/$L734*10000)</f>
        <v/>
      </c>
      <c r="N734" s="9" t="str">
        <f aca="false">IF(NOT(ISNUMBER($M734)),"",$M734*CARBON_FRACTION_ROOT/1000)</f>
        <v/>
      </c>
      <c r="O734" s="11" t="str">
        <f aca="false">IF(AND($A734="",$B734="",$G734=""),"",IF(AND($B734&lt;&gt;"",COUNTIFS('2. Soil Data'!$B$5:$B$604,$B734)=0),"Core ID not found in Soil Data, so the corer diameter cannot be looked up. ","")&amp;IF(ASH_CORRECTED&lt;&gt;"Yes","Root mass is NOT ash-corrected, so it includes adhering mineral soil and is too high. Set ASH_CORRECTED once you have done it. ","")&amp;IF(AND(ASH_CORRECTED="Yes",NOT(ISNUMBER($H734))),"Ash correction is switched on but no ash fraction is given for this row. ","")&amp;IF($I734="","Sieve mesh not recorded — a fine-root figure cannot be interpreted without it. ","")&amp;IF(AND(ISNUMBER($H734),$H734&gt;0.5),"Ash fraction above 0.5 — over half this sample was mineral soil. Re-wash. ","")&amp;IF($F734="Not separated","Live and dead not separated. Fine for a stock, but "&amp;"note it in reporting. ",""))</f>
        <v/>
      </c>
      <c r="P734" s="6"/>
      <c r="Q734" s="9" t="n">
        <f aca="false">IF($B734="",0,IF(COUNTIFS($B$5:$B734,$B734)=1,1,0))</f>
        <v>0</v>
      </c>
    </row>
    <row r="735" customFormat="false" ht="15" hidden="false" customHeight="false" outlineLevel="0" collapsed="false">
      <c r="A735" s="6"/>
      <c r="B735" s="6"/>
      <c r="C735" s="6"/>
      <c r="D735" s="6"/>
      <c r="E735" s="6"/>
      <c r="F735" s="6"/>
      <c r="G735" s="7"/>
      <c r="H735" s="7"/>
      <c r="I735" s="6"/>
      <c r="J735" s="9" t="str">
        <f aca="false">IF(NOT(ISNUMBER($G735)),"",IF(AND(ASH_CORRECTED="Yes",ISNUMBER($H735)),$G735*(1-$H735),$G735))</f>
        <v/>
      </c>
      <c r="K735" s="9" t="str">
        <f aca="false">IF($B735="","",IFERROR(AVERAGEIFS('2. Soil Data'!$G$5:$G$604,'2. Soil Data'!$B$5:$B$604,$B735),""))</f>
        <v/>
      </c>
      <c r="L735" s="9" t="str">
        <f aca="false">IF(NOT(ISNUMBER($K735)),"",PI()*($K735/2)^2)</f>
        <v/>
      </c>
      <c r="M735" s="9" t="str">
        <f aca="false">IF(OR(NOT(ISNUMBER($J735)),NOT(ISNUMBER($L735)),$L735=0),"",$J735/$L735*10000)</f>
        <v/>
      </c>
      <c r="N735" s="9" t="str">
        <f aca="false">IF(NOT(ISNUMBER($M735)),"",$M735*CARBON_FRACTION_ROOT/1000)</f>
        <v/>
      </c>
      <c r="O735" s="11" t="str">
        <f aca="false">IF(AND($A735="",$B735="",$G735=""),"",IF(AND($B735&lt;&gt;"",COUNTIFS('2. Soil Data'!$B$5:$B$604,$B735)=0),"Core ID not found in Soil Data, so the corer diameter cannot be looked up. ","")&amp;IF(ASH_CORRECTED&lt;&gt;"Yes","Root mass is NOT ash-corrected, so it includes adhering mineral soil and is too high. Set ASH_CORRECTED once you have done it. ","")&amp;IF(AND(ASH_CORRECTED="Yes",NOT(ISNUMBER($H735))),"Ash correction is switched on but no ash fraction is given for this row. ","")&amp;IF($I735="","Sieve mesh not recorded — a fine-root figure cannot be interpreted without it. ","")&amp;IF(AND(ISNUMBER($H735),$H735&gt;0.5),"Ash fraction above 0.5 — over half this sample was mineral soil. Re-wash. ","")&amp;IF($F735="Not separated","Live and dead not separated. Fine for a stock, but "&amp;"note it in reporting. ",""))</f>
        <v/>
      </c>
      <c r="P735" s="6"/>
      <c r="Q735" s="9" t="n">
        <f aca="false">IF($B735="",0,IF(COUNTIFS($B$5:$B735,$B735)=1,1,0))</f>
        <v>0</v>
      </c>
    </row>
    <row r="736" customFormat="false" ht="15" hidden="false" customHeight="false" outlineLevel="0" collapsed="false">
      <c r="A736" s="6"/>
      <c r="B736" s="6"/>
      <c r="C736" s="6"/>
      <c r="D736" s="6"/>
      <c r="E736" s="6"/>
      <c r="F736" s="6"/>
      <c r="G736" s="7"/>
      <c r="H736" s="7"/>
      <c r="I736" s="6"/>
      <c r="J736" s="9" t="str">
        <f aca="false">IF(NOT(ISNUMBER($G736)),"",IF(AND(ASH_CORRECTED="Yes",ISNUMBER($H736)),$G736*(1-$H736),$G736))</f>
        <v/>
      </c>
      <c r="K736" s="9" t="str">
        <f aca="false">IF($B736="","",IFERROR(AVERAGEIFS('2. Soil Data'!$G$5:$G$604,'2. Soil Data'!$B$5:$B$604,$B736),""))</f>
        <v/>
      </c>
      <c r="L736" s="9" t="str">
        <f aca="false">IF(NOT(ISNUMBER($K736)),"",PI()*($K736/2)^2)</f>
        <v/>
      </c>
      <c r="M736" s="9" t="str">
        <f aca="false">IF(OR(NOT(ISNUMBER($J736)),NOT(ISNUMBER($L736)),$L736=0),"",$J736/$L736*10000)</f>
        <v/>
      </c>
      <c r="N736" s="9" t="str">
        <f aca="false">IF(NOT(ISNUMBER($M736)),"",$M736*CARBON_FRACTION_ROOT/1000)</f>
        <v/>
      </c>
      <c r="O736" s="11" t="str">
        <f aca="false">IF(AND($A736="",$B736="",$G736=""),"",IF(AND($B736&lt;&gt;"",COUNTIFS('2. Soil Data'!$B$5:$B$604,$B736)=0),"Core ID not found in Soil Data, so the corer diameter cannot be looked up. ","")&amp;IF(ASH_CORRECTED&lt;&gt;"Yes","Root mass is NOT ash-corrected, so it includes adhering mineral soil and is too high. Set ASH_CORRECTED once you have done it. ","")&amp;IF(AND(ASH_CORRECTED="Yes",NOT(ISNUMBER($H736))),"Ash correction is switched on but no ash fraction is given for this row. ","")&amp;IF($I736="","Sieve mesh not recorded — a fine-root figure cannot be interpreted without it. ","")&amp;IF(AND(ISNUMBER($H736),$H736&gt;0.5),"Ash fraction above 0.5 — over half this sample was mineral soil. Re-wash. ","")&amp;IF($F736="Not separated","Live and dead not separated. Fine for a stock, but "&amp;"note it in reporting. ",""))</f>
        <v/>
      </c>
      <c r="P736" s="6"/>
      <c r="Q736" s="9" t="n">
        <f aca="false">IF($B736="",0,IF(COUNTIFS($B$5:$B736,$B736)=1,1,0))</f>
        <v>0</v>
      </c>
    </row>
    <row r="737" customFormat="false" ht="15" hidden="false" customHeight="false" outlineLevel="0" collapsed="false">
      <c r="A737" s="6"/>
      <c r="B737" s="6"/>
      <c r="C737" s="6"/>
      <c r="D737" s="6"/>
      <c r="E737" s="6"/>
      <c r="F737" s="6"/>
      <c r="G737" s="7"/>
      <c r="H737" s="7"/>
      <c r="I737" s="6"/>
      <c r="J737" s="9" t="str">
        <f aca="false">IF(NOT(ISNUMBER($G737)),"",IF(AND(ASH_CORRECTED="Yes",ISNUMBER($H737)),$G737*(1-$H737),$G737))</f>
        <v/>
      </c>
      <c r="K737" s="9" t="str">
        <f aca="false">IF($B737="","",IFERROR(AVERAGEIFS('2. Soil Data'!$G$5:$G$604,'2. Soil Data'!$B$5:$B$604,$B737),""))</f>
        <v/>
      </c>
      <c r="L737" s="9" t="str">
        <f aca="false">IF(NOT(ISNUMBER($K737)),"",PI()*($K737/2)^2)</f>
        <v/>
      </c>
      <c r="M737" s="9" t="str">
        <f aca="false">IF(OR(NOT(ISNUMBER($J737)),NOT(ISNUMBER($L737)),$L737=0),"",$J737/$L737*10000)</f>
        <v/>
      </c>
      <c r="N737" s="9" t="str">
        <f aca="false">IF(NOT(ISNUMBER($M737)),"",$M737*CARBON_FRACTION_ROOT/1000)</f>
        <v/>
      </c>
      <c r="O737" s="11" t="str">
        <f aca="false">IF(AND($A737="",$B737="",$G737=""),"",IF(AND($B737&lt;&gt;"",COUNTIFS('2. Soil Data'!$B$5:$B$604,$B737)=0),"Core ID not found in Soil Data, so the corer diameter cannot be looked up. ","")&amp;IF(ASH_CORRECTED&lt;&gt;"Yes","Root mass is NOT ash-corrected, so it includes adhering mineral soil and is too high. Set ASH_CORRECTED once you have done it. ","")&amp;IF(AND(ASH_CORRECTED="Yes",NOT(ISNUMBER($H737))),"Ash correction is switched on but no ash fraction is given for this row. ","")&amp;IF($I737="","Sieve mesh not recorded — a fine-root figure cannot be interpreted without it. ","")&amp;IF(AND(ISNUMBER($H737),$H737&gt;0.5),"Ash fraction above 0.5 — over half this sample was mineral soil. Re-wash. ","")&amp;IF($F737="Not separated","Live and dead not separated. Fine for a stock, but "&amp;"note it in reporting. ",""))</f>
        <v/>
      </c>
      <c r="P737" s="6"/>
      <c r="Q737" s="9" t="n">
        <f aca="false">IF($B737="",0,IF(COUNTIFS($B$5:$B737,$B737)=1,1,0))</f>
        <v>0</v>
      </c>
    </row>
    <row r="738" customFormat="false" ht="15" hidden="false" customHeight="false" outlineLevel="0" collapsed="false">
      <c r="A738" s="6"/>
      <c r="B738" s="6"/>
      <c r="C738" s="6"/>
      <c r="D738" s="6"/>
      <c r="E738" s="6"/>
      <c r="F738" s="6"/>
      <c r="G738" s="7"/>
      <c r="H738" s="7"/>
      <c r="I738" s="6"/>
      <c r="J738" s="9" t="str">
        <f aca="false">IF(NOT(ISNUMBER($G738)),"",IF(AND(ASH_CORRECTED="Yes",ISNUMBER($H738)),$G738*(1-$H738),$G738))</f>
        <v/>
      </c>
      <c r="K738" s="9" t="str">
        <f aca="false">IF($B738="","",IFERROR(AVERAGEIFS('2. Soil Data'!$G$5:$G$604,'2. Soil Data'!$B$5:$B$604,$B738),""))</f>
        <v/>
      </c>
      <c r="L738" s="9" t="str">
        <f aca="false">IF(NOT(ISNUMBER($K738)),"",PI()*($K738/2)^2)</f>
        <v/>
      </c>
      <c r="M738" s="9" t="str">
        <f aca="false">IF(OR(NOT(ISNUMBER($J738)),NOT(ISNUMBER($L738)),$L738=0),"",$J738/$L738*10000)</f>
        <v/>
      </c>
      <c r="N738" s="9" t="str">
        <f aca="false">IF(NOT(ISNUMBER($M738)),"",$M738*CARBON_FRACTION_ROOT/1000)</f>
        <v/>
      </c>
      <c r="O738" s="11" t="str">
        <f aca="false">IF(AND($A738="",$B738="",$G738=""),"",IF(AND($B738&lt;&gt;"",COUNTIFS('2. Soil Data'!$B$5:$B$604,$B738)=0),"Core ID not found in Soil Data, so the corer diameter cannot be looked up. ","")&amp;IF(ASH_CORRECTED&lt;&gt;"Yes","Root mass is NOT ash-corrected, so it includes adhering mineral soil and is too high. Set ASH_CORRECTED once you have done it. ","")&amp;IF(AND(ASH_CORRECTED="Yes",NOT(ISNUMBER($H738))),"Ash correction is switched on but no ash fraction is given for this row. ","")&amp;IF($I738="","Sieve mesh not recorded — a fine-root figure cannot be interpreted without it. ","")&amp;IF(AND(ISNUMBER($H738),$H738&gt;0.5),"Ash fraction above 0.5 — over half this sample was mineral soil. Re-wash. ","")&amp;IF($F738="Not separated","Live and dead not separated. Fine for a stock, but "&amp;"note it in reporting. ",""))</f>
        <v/>
      </c>
      <c r="P738" s="6"/>
      <c r="Q738" s="9" t="n">
        <f aca="false">IF($B738="",0,IF(COUNTIFS($B$5:$B738,$B738)=1,1,0))</f>
        <v>0</v>
      </c>
    </row>
    <row r="739" customFormat="false" ht="15" hidden="false" customHeight="false" outlineLevel="0" collapsed="false">
      <c r="A739" s="6"/>
      <c r="B739" s="6"/>
      <c r="C739" s="6"/>
      <c r="D739" s="6"/>
      <c r="E739" s="6"/>
      <c r="F739" s="6"/>
      <c r="G739" s="7"/>
      <c r="H739" s="7"/>
      <c r="I739" s="6"/>
      <c r="J739" s="9" t="str">
        <f aca="false">IF(NOT(ISNUMBER($G739)),"",IF(AND(ASH_CORRECTED="Yes",ISNUMBER($H739)),$G739*(1-$H739),$G739))</f>
        <v/>
      </c>
      <c r="K739" s="9" t="str">
        <f aca="false">IF($B739="","",IFERROR(AVERAGEIFS('2. Soil Data'!$G$5:$G$604,'2. Soil Data'!$B$5:$B$604,$B739),""))</f>
        <v/>
      </c>
      <c r="L739" s="9" t="str">
        <f aca="false">IF(NOT(ISNUMBER($K739)),"",PI()*($K739/2)^2)</f>
        <v/>
      </c>
      <c r="M739" s="9" t="str">
        <f aca="false">IF(OR(NOT(ISNUMBER($J739)),NOT(ISNUMBER($L739)),$L739=0),"",$J739/$L739*10000)</f>
        <v/>
      </c>
      <c r="N739" s="9" t="str">
        <f aca="false">IF(NOT(ISNUMBER($M739)),"",$M739*CARBON_FRACTION_ROOT/1000)</f>
        <v/>
      </c>
      <c r="O739" s="11" t="str">
        <f aca="false">IF(AND($A739="",$B739="",$G739=""),"",IF(AND($B739&lt;&gt;"",COUNTIFS('2. Soil Data'!$B$5:$B$604,$B739)=0),"Core ID not found in Soil Data, so the corer diameter cannot be looked up. ","")&amp;IF(ASH_CORRECTED&lt;&gt;"Yes","Root mass is NOT ash-corrected, so it includes adhering mineral soil and is too high. Set ASH_CORRECTED once you have done it. ","")&amp;IF(AND(ASH_CORRECTED="Yes",NOT(ISNUMBER($H739))),"Ash correction is switched on but no ash fraction is given for this row. ","")&amp;IF($I739="","Sieve mesh not recorded — a fine-root figure cannot be interpreted without it. ","")&amp;IF(AND(ISNUMBER($H739),$H739&gt;0.5),"Ash fraction above 0.5 — over half this sample was mineral soil. Re-wash. ","")&amp;IF($F739="Not separated","Live and dead not separated. Fine for a stock, but "&amp;"note it in reporting. ",""))</f>
        <v/>
      </c>
      <c r="P739" s="6"/>
      <c r="Q739" s="9" t="n">
        <f aca="false">IF($B739="",0,IF(COUNTIFS($B$5:$B739,$B739)=1,1,0))</f>
        <v>0</v>
      </c>
    </row>
    <row r="740" customFormat="false" ht="15" hidden="false" customHeight="false" outlineLevel="0" collapsed="false">
      <c r="A740" s="6"/>
      <c r="B740" s="6"/>
      <c r="C740" s="6"/>
      <c r="D740" s="6"/>
      <c r="E740" s="6"/>
      <c r="F740" s="6"/>
      <c r="G740" s="7"/>
      <c r="H740" s="7"/>
      <c r="I740" s="6"/>
      <c r="J740" s="9" t="str">
        <f aca="false">IF(NOT(ISNUMBER($G740)),"",IF(AND(ASH_CORRECTED="Yes",ISNUMBER($H740)),$G740*(1-$H740),$G740))</f>
        <v/>
      </c>
      <c r="K740" s="9" t="str">
        <f aca="false">IF($B740="","",IFERROR(AVERAGEIFS('2. Soil Data'!$G$5:$G$604,'2. Soil Data'!$B$5:$B$604,$B740),""))</f>
        <v/>
      </c>
      <c r="L740" s="9" t="str">
        <f aca="false">IF(NOT(ISNUMBER($K740)),"",PI()*($K740/2)^2)</f>
        <v/>
      </c>
      <c r="M740" s="9" t="str">
        <f aca="false">IF(OR(NOT(ISNUMBER($J740)),NOT(ISNUMBER($L740)),$L740=0),"",$J740/$L740*10000)</f>
        <v/>
      </c>
      <c r="N740" s="9" t="str">
        <f aca="false">IF(NOT(ISNUMBER($M740)),"",$M740*CARBON_FRACTION_ROOT/1000)</f>
        <v/>
      </c>
      <c r="O740" s="11" t="str">
        <f aca="false">IF(AND($A740="",$B740="",$G740=""),"",IF(AND($B740&lt;&gt;"",COUNTIFS('2. Soil Data'!$B$5:$B$604,$B740)=0),"Core ID not found in Soil Data, so the corer diameter cannot be looked up. ","")&amp;IF(ASH_CORRECTED&lt;&gt;"Yes","Root mass is NOT ash-corrected, so it includes adhering mineral soil and is too high. Set ASH_CORRECTED once you have done it. ","")&amp;IF(AND(ASH_CORRECTED="Yes",NOT(ISNUMBER($H740))),"Ash correction is switched on but no ash fraction is given for this row. ","")&amp;IF($I740="","Sieve mesh not recorded — a fine-root figure cannot be interpreted without it. ","")&amp;IF(AND(ISNUMBER($H740),$H740&gt;0.5),"Ash fraction above 0.5 — over half this sample was mineral soil. Re-wash. ","")&amp;IF($F740="Not separated","Live and dead not separated. Fine for a stock, but "&amp;"note it in reporting. ",""))</f>
        <v/>
      </c>
      <c r="P740" s="6"/>
      <c r="Q740" s="9" t="n">
        <f aca="false">IF($B740="",0,IF(COUNTIFS($B$5:$B740,$B740)=1,1,0))</f>
        <v>0</v>
      </c>
    </row>
    <row r="741" customFormat="false" ht="15" hidden="false" customHeight="false" outlineLevel="0" collapsed="false">
      <c r="A741" s="6"/>
      <c r="B741" s="6"/>
      <c r="C741" s="6"/>
      <c r="D741" s="6"/>
      <c r="E741" s="6"/>
      <c r="F741" s="6"/>
      <c r="G741" s="7"/>
      <c r="H741" s="7"/>
      <c r="I741" s="6"/>
      <c r="J741" s="9" t="str">
        <f aca="false">IF(NOT(ISNUMBER($G741)),"",IF(AND(ASH_CORRECTED="Yes",ISNUMBER($H741)),$G741*(1-$H741),$G741))</f>
        <v/>
      </c>
      <c r="K741" s="9" t="str">
        <f aca="false">IF($B741="","",IFERROR(AVERAGEIFS('2. Soil Data'!$G$5:$G$604,'2. Soil Data'!$B$5:$B$604,$B741),""))</f>
        <v/>
      </c>
      <c r="L741" s="9" t="str">
        <f aca="false">IF(NOT(ISNUMBER($K741)),"",PI()*($K741/2)^2)</f>
        <v/>
      </c>
      <c r="M741" s="9" t="str">
        <f aca="false">IF(OR(NOT(ISNUMBER($J741)),NOT(ISNUMBER($L741)),$L741=0),"",$J741/$L741*10000)</f>
        <v/>
      </c>
      <c r="N741" s="9" t="str">
        <f aca="false">IF(NOT(ISNUMBER($M741)),"",$M741*CARBON_FRACTION_ROOT/1000)</f>
        <v/>
      </c>
      <c r="O741" s="11" t="str">
        <f aca="false">IF(AND($A741="",$B741="",$G741=""),"",IF(AND($B741&lt;&gt;"",COUNTIFS('2. Soil Data'!$B$5:$B$604,$B741)=0),"Core ID not found in Soil Data, so the corer diameter cannot be looked up. ","")&amp;IF(ASH_CORRECTED&lt;&gt;"Yes","Root mass is NOT ash-corrected, so it includes adhering mineral soil and is too high. Set ASH_CORRECTED once you have done it. ","")&amp;IF(AND(ASH_CORRECTED="Yes",NOT(ISNUMBER($H741))),"Ash correction is switched on but no ash fraction is given for this row. ","")&amp;IF($I741="","Sieve mesh not recorded — a fine-root figure cannot be interpreted without it. ","")&amp;IF(AND(ISNUMBER($H741),$H741&gt;0.5),"Ash fraction above 0.5 — over half this sample was mineral soil. Re-wash. ","")&amp;IF($F741="Not separated","Live and dead not separated. Fine for a stock, but "&amp;"note it in reporting. ",""))</f>
        <v/>
      </c>
      <c r="P741" s="6"/>
      <c r="Q741" s="9" t="n">
        <f aca="false">IF($B741="",0,IF(COUNTIFS($B$5:$B741,$B741)=1,1,0))</f>
        <v>0</v>
      </c>
    </row>
    <row r="742" customFormat="false" ht="15" hidden="false" customHeight="false" outlineLevel="0" collapsed="false">
      <c r="A742" s="6"/>
      <c r="B742" s="6"/>
      <c r="C742" s="6"/>
      <c r="D742" s="6"/>
      <c r="E742" s="6"/>
      <c r="F742" s="6"/>
      <c r="G742" s="7"/>
      <c r="H742" s="7"/>
      <c r="I742" s="6"/>
      <c r="J742" s="9" t="str">
        <f aca="false">IF(NOT(ISNUMBER($G742)),"",IF(AND(ASH_CORRECTED="Yes",ISNUMBER($H742)),$G742*(1-$H742),$G742))</f>
        <v/>
      </c>
      <c r="K742" s="9" t="str">
        <f aca="false">IF($B742="","",IFERROR(AVERAGEIFS('2. Soil Data'!$G$5:$G$604,'2. Soil Data'!$B$5:$B$604,$B742),""))</f>
        <v/>
      </c>
      <c r="L742" s="9" t="str">
        <f aca="false">IF(NOT(ISNUMBER($K742)),"",PI()*($K742/2)^2)</f>
        <v/>
      </c>
      <c r="M742" s="9" t="str">
        <f aca="false">IF(OR(NOT(ISNUMBER($J742)),NOT(ISNUMBER($L742)),$L742=0),"",$J742/$L742*10000)</f>
        <v/>
      </c>
      <c r="N742" s="9" t="str">
        <f aca="false">IF(NOT(ISNUMBER($M742)),"",$M742*CARBON_FRACTION_ROOT/1000)</f>
        <v/>
      </c>
      <c r="O742" s="11" t="str">
        <f aca="false">IF(AND($A742="",$B742="",$G742=""),"",IF(AND($B742&lt;&gt;"",COUNTIFS('2. Soil Data'!$B$5:$B$604,$B742)=0),"Core ID not found in Soil Data, so the corer diameter cannot be looked up. ","")&amp;IF(ASH_CORRECTED&lt;&gt;"Yes","Root mass is NOT ash-corrected, so it includes adhering mineral soil and is too high. Set ASH_CORRECTED once you have done it. ","")&amp;IF(AND(ASH_CORRECTED="Yes",NOT(ISNUMBER($H742))),"Ash correction is switched on but no ash fraction is given for this row. ","")&amp;IF($I742="","Sieve mesh not recorded — a fine-root figure cannot be interpreted without it. ","")&amp;IF(AND(ISNUMBER($H742),$H742&gt;0.5),"Ash fraction above 0.5 — over half this sample was mineral soil. Re-wash. ","")&amp;IF($F742="Not separated","Live and dead not separated. Fine for a stock, but "&amp;"note it in reporting. ",""))</f>
        <v/>
      </c>
      <c r="P742" s="6"/>
      <c r="Q742" s="9" t="n">
        <f aca="false">IF($B742="",0,IF(COUNTIFS($B$5:$B742,$B742)=1,1,0))</f>
        <v>0</v>
      </c>
    </row>
    <row r="743" customFormat="false" ht="15" hidden="false" customHeight="false" outlineLevel="0" collapsed="false">
      <c r="A743" s="6"/>
      <c r="B743" s="6"/>
      <c r="C743" s="6"/>
      <c r="D743" s="6"/>
      <c r="E743" s="6"/>
      <c r="F743" s="6"/>
      <c r="G743" s="7"/>
      <c r="H743" s="7"/>
      <c r="I743" s="6"/>
      <c r="J743" s="9" t="str">
        <f aca="false">IF(NOT(ISNUMBER($G743)),"",IF(AND(ASH_CORRECTED="Yes",ISNUMBER($H743)),$G743*(1-$H743),$G743))</f>
        <v/>
      </c>
      <c r="K743" s="9" t="str">
        <f aca="false">IF($B743="","",IFERROR(AVERAGEIFS('2. Soil Data'!$G$5:$G$604,'2. Soil Data'!$B$5:$B$604,$B743),""))</f>
        <v/>
      </c>
      <c r="L743" s="9" t="str">
        <f aca="false">IF(NOT(ISNUMBER($K743)),"",PI()*($K743/2)^2)</f>
        <v/>
      </c>
      <c r="M743" s="9" t="str">
        <f aca="false">IF(OR(NOT(ISNUMBER($J743)),NOT(ISNUMBER($L743)),$L743=0),"",$J743/$L743*10000)</f>
        <v/>
      </c>
      <c r="N743" s="9" t="str">
        <f aca="false">IF(NOT(ISNUMBER($M743)),"",$M743*CARBON_FRACTION_ROOT/1000)</f>
        <v/>
      </c>
      <c r="O743" s="11" t="str">
        <f aca="false">IF(AND($A743="",$B743="",$G743=""),"",IF(AND($B743&lt;&gt;"",COUNTIFS('2. Soil Data'!$B$5:$B$604,$B743)=0),"Core ID not found in Soil Data, so the corer diameter cannot be looked up. ","")&amp;IF(ASH_CORRECTED&lt;&gt;"Yes","Root mass is NOT ash-corrected, so it includes adhering mineral soil and is too high. Set ASH_CORRECTED once you have done it. ","")&amp;IF(AND(ASH_CORRECTED="Yes",NOT(ISNUMBER($H743))),"Ash correction is switched on but no ash fraction is given for this row. ","")&amp;IF($I743="","Sieve mesh not recorded — a fine-root figure cannot be interpreted without it. ","")&amp;IF(AND(ISNUMBER($H743),$H743&gt;0.5),"Ash fraction above 0.5 — over half this sample was mineral soil. Re-wash. ","")&amp;IF($F743="Not separated","Live and dead not separated. Fine for a stock, but "&amp;"note it in reporting. ",""))</f>
        <v/>
      </c>
      <c r="P743" s="6"/>
      <c r="Q743" s="9" t="n">
        <f aca="false">IF($B743="",0,IF(COUNTIFS($B$5:$B743,$B743)=1,1,0))</f>
        <v>0</v>
      </c>
    </row>
    <row r="744" customFormat="false" ht="15" hidden="false" customHeight="false" outlineLevel="0" collapsed="false">
      <c r="A744" s="6"/>
      <c r="B744" s="6"/>
      <c r="C744" s="6"/>
      <c r="D744" s="6"/>
      <c r="E744" s="6"/>
      <c r="F744" s="6"/>
      <c r="G744" s="7"/>
      <c r="H744" s="7"/>
      <c r="I744" s="6"/>
      <c r="J744" s="9" t="str">
        <f aca="false">IF(NOT(ISNUMBER($G744)),"",IF(AND(ASH_CORRECTED="Yes",ISNUMBER($H744)),$G744*(1-$H744),$G744))</f>
        <v/>
      </c>
      <c r="K744" s="9" t="str">
        <f aca="false">IF($B744="","",IFERROR(AVERAGEIFS('2. Soil Data'!$G$5:$G$604,'2. Soil Data'!$B$5:$B$604,$B744),""))</f>
        <v/>
      </c>
      <c r="L744" s="9" t="str">
        <f aca="false">IF(NOT(ISNUMBER($K744)),"",PI()*($K744/2)^2)</f>
        <v/>
      </c>
      <c r="M744" s="9" t="str">
        <f aca="false">IF(OR(NOT(ISNUMBER($J744)),NOT(ISNUMBER($L744)),$L744=0),"",$J744/$L744*10000)</f>
        <v/>
      </c>
      <c r="N744" s="9" t="str">
        <f aca="false">IF(NOT(ISNUMBER($M744)),"",$M744*CARBON_FRACTION_ROOT/1000)</f>
        <v/>
      </c>
      <c r="O744" s="11" t="str">
        <f aca="false">IF(AND($A744="",$B744="",$G744=""),"",IF(AND($B744&lt;&gt;"",COUNTIFS('2. Soil Data'!$B$5:$B$604,$B744)=0),"Core ID not found in Soil Data, so the corer diameter cannot be looked up. ","")&amp;IF(ASH_CORRECTED&lt;&gt;"Yes","Root mass is NOT ash-corrected, so it includes adhering mineral soil and is too high. Set ASH_CORRECTED once you have done it. ","")&amp;IF(AND(ASH_CORRECTED="Yes",NOT(ISNUMBER($H744))),"Ash correction is switched on but no ash fraction is given for this row. ","")&amp;IF($I744="","Sieve mesh not recorded — a fine-root figure cannot be interpreted without it. ","")&amp;IF(AND(ISNUMBER($H744),$H744&gt;0.5),"Ash fraction above 0.5 — over half this sample was mineral soil. Re-wash. ","")&amp;IF($F744="Not separated","Live and dead not separated. Fine for a stock, but "&amp;"note it in reporting. ",""))</f>
        <v/>
      </c>
      <c r="P744" s="6"/>
      <c r="Q744" s="9" t="n">
        <f aca="false">IF($B744="",0,IF(COUNTIFS($B$5:$B744,$B744)=1,1,0))</f>
        <v>0</v>
      </c>
    </row>
    <row r="745" customFormat="false" ht="15" hidden="false" customHeight="false" outlineLevel="0" collapsed="false">
      <c r="A745" s="6"/>
      <c r="B745" s="6"/>
      <c r="C745" s="6"/>
      <c r="D745" s="6"/>
      <c r="E745" s="6"/>
      <c r="F745" s="6"/>
      <c r="G745" s="7"/>
      <c r="H745" s="7"/>
      <c r="I745" s="6"/>
      <c r="J745" s="9" t="str">
        <f aca="false">IF(NOT(ISNUMBER($G745)),"",IF(AND(ASH_CORRECTED="Yes",ISNUMBER($H745)),$G745*(1-$H745),$G745))</f>
        <v/>
      </c>
      <c r="K745" s="9" t="str">
        <f aca="false">IF($B745="","",IFERROR(AVERAGEIFS('2. Soil Data'!$G$5:$G$604,'2. Soil Data'!$B$5:$B$604,$B745),""))</f>
        <v/>
      </c>
      <c r="L745" s="9" t="str">
        <f aca="false">IF(NOT(ISNUMBER($K745)),"",PI()*($K745/2)^2)</f>
        <v/>
      </c>
      <c r="M745" s="9" t="str">
        <f aca="false">IF(OR(NOT(ISNUMBER($J745)),NOT(ISNUMBER($L745)),$L745=0),"",$J745/$L745*10000)</f>
        <v/>
      </c>
      <c r="N745" s="9" t="str">
        <f aca="false">IF(NOT(ISNUMBER($M745)),"",$M745*CARBON_FRACTION_ROOT/1000)</f>
        <v/>
      </c>
      <c r="O745" s="11" t="str">
        <f aca="false">IF(AND($A745="",$B745="",$G745=""),"",IF(AND($B745&lt;&gt;"",COUNTIFS('2. Soil Data'!$B$5:$B$604,$B745)=0),"Core ID not found in Soil Data, so the corer diameter cannot be looked up. ","")&amp;IF(ASH_CORRECTED&lt;&gt;"Yes","Root mass is NOT ash-corrected, so it includes adhering mineral soil and is too high. Set ASH_CORRECTED once you have done it. ","")&amp;IF(AND(ASH_CORRECTED="Yes",NOT(ISNUMBER($H745))),"Ash correction is switched on but no ash fraction is given for this row. ","")&amp;IF($I745="","Sieve mesh not recorded — a fine-root figure cannot be interpreted without it. ","")&amp;IF(AND(ISNUMBER($H745),$H745&gt;0.5),"Ash fraction above 0.5 — over half this sample was mineral soil. Re-wash. ","")&amp;IF($F745="Not separated","Live and dead not separated. Fine for a stock, but "&amp;"note it in reporting. ",""))</f>
        <v/>
      </c>
      <c r="P745" s="6"/>
      <c r="Q745" s="9" t="n">
        <f aca="false">IF($B745="",0,IF(COUNTIFS($B$5:$B745,$B745)=1,1,0))</f>
        <v>0</v>
      </c>
    </row>
    <row r="746" customFormat="false" ht="15" hidden="false" customHeight="false" outlineLevel="0" collapsed="false">
      <c r="A746" s="6"/>
      <c r="B746" s="6"/>
      <c r="C746" s="6"/>
      <c r="D746" s="6"/>
      <c r="E746" s="6"/>
      <c r="F746" s="6"/>
      <c r="G746" s="7"/>
      <c r="H746" s="7"/>
      <c r="I746" s="6"/>
      <c r="J746" s="9" t="str">
        <f aca="false">IF(NOT(ISNUMBER($G746)),"",IF(AND(ASH_CORRECTED="Yes",ISNUMBER($H746)),$G746*(1-$H746),$G746))</f>
        <v/>
      </c>
      <c r="K746" s="9" t="str">
        <f aca="false">IF($B746="","",IFERROR(AVERAGEIFS('2. Soil Data'!$G$5:$G$604,'2. Soil Data'!$B$5:$B$604,$B746),""))</f>
        <v/>
      </c>
      <c r="L746" s="9" t="str">
        <f aca="false">IF(NOT(ISNUMBER($K746)),"",PI()*($K746/2)^2)</f>
        <v/>
      </c>
      <c r="M746" s="9" t="str">
        <f aca="false">IF(OR(NOT(ISNUMBER($J746)),NOT(ISNUMBER($L746)),$L746=0),"",$J746/$L746*10000)</f>
        <v/>
      </c>
      <c r="N746" s="9" t="str">
        <f aca="false">IF(NOT(ISNUMBER($M746)),"",$M746*CARBON_FRACTION_ROOT/1000)</f>
        <v/>
      </c>
      <c r="O746" s="11" t="str">
        <f aca="false">IF(AND($A746="",$B746="",$G746=""),"",IF(AND($B746&lt;&gt;"",COUNTIFS('2. Soil Data'!$B$5:$B$604,$B746)=0),"Core ID not found in Soil Data, so the corer diameter cannot be looked up. ","")&amp;IF(ASH_CORRECTED&lt;&gt;"Yes","Root mass is NOT ash-corrected, so it includes adhering mineral soil and is too high. Set ASH_CORRECTED once you have done it. ","")&amp;IF(AND(ASH_CORRECTED="Yes",NOT(ISNUMBER($H746))),"Ash correction is switched on but no ash fraction is given for this row. ","")&amp;IF($I746="","Sieve mesh not recorded — a fine-root figure cannot be interpreted without it. ","")&amp;IF(AND(ISNUMBER($H746),$H746&gt;0.5),"Ash fraction above 0.5 — over half this sample was mineral soil. Re-wash. ","")&amp;IF($F746="Not separated","Live and dead not separated. Fine for a stock, but "&amp;"note it in reporting. ",""))</f>
        <v/>
      </c>
      <c r="P746" s="6"/>
      <c r="Q746" s="9" t="n">
        <f aca="false">IF($B746="",0,IF(COUNTIFS($B$5:$B746,$B746)=1,1,0))</f>
        <v>0</v>
      </c>
    </row>
    <row r="747" customFormat="false" ht="15" hidden="false" customHeight="false" outlineLevel="0" collapsed="false">
      <c r="A747" s="6"/>
      <c r="B747" s="6"/>
      <c r="C747" s="6"/>
      <c r="D747" s="6"/>
      <c r="E747" s="6"/>
      <c r="F747" s="6"/>
      <c r="G747" s="7"/>
      <c r="H747" s="7"/>
      <c r="I747" s="6"/>
      <c r="J747" s="9" t="str">
        <f aca="false">IF(NOT(ISNUMBER($G747)),"",IF(AND(ASH_CORRECTED="Yes",ISNUMBER($H747)),$G747*(1-$H747),$G747))</f>
        <v/>
      </c>
      <c r="K747" s="9" t="str">
        <f aca="false">IF($B747="","",IFERROR(AVERAGEIFS('2. Soil Data'!$G$5:$G$604,'2. Soil Data'!$B$5:$B$604,$B747),""))</f>
        <v/>
      </c>
      <c r="L747" s="9" t="str">
        <f aca="false">IF(NOT(ISNUMBER($K747)),"",PI()*($K747/2)^2)</f>
        <v/>
      </c>
      <c r="M747" s="9" t="str">
        <f aca="false">IF(OR(NOT(ISNUMBER($J747)),NOT(ISNUMBER($L747)),$L747=0),"",$J747/$L747*10000)</f>
        <v/>
      </c>
      <c r="N747" s="9" t="str">
        <f aca="false">IF(NOT(ISNUMBER($M747)),"",$M747*CARBON_FRACTION_ROOT/1000)</f>
        <v/>
      </c>
      <c r="O747" s="11" t="str">
        <f aca="false">IF(AND($A747="",$B747="",$G747=""),"",IF(AND($B747&lt;&gt;"",COUNTIFS('2. Soil Data'!$B$5:$B$604,$B747)=0),"Core ID not found in Soil Data, so the corer diameter cannot be looked up. ","")&amp;IF(ASH_CORRECTED&lt;&gt;"Yes","Root mass is NOT ash-corrected, so it includes adhering mineral soil and is too high. Set ASH_CORRECTED once you have done it. ","")&amp;IF(AND(ASH_CORRECTED="Yes",NOT(ISNUMBER($H747))),"Ash correction is switched on but no ash fraction is given for this row. ","")&amp;IF($I747="","Sieve mesh not recorded — a fine-root figure cannot be interpreted without it. ","")&amp;IF(AND(ISNUMBER($H747),$H747&gt;0.5),"Ash fraction above 0.5 — over half this sample was mineral soil. Re-wash. ","")&amp;IF($F747="Not separated","Live and dead not separated. Fine for a stock, but "&amp;"note it in reporting. ",""))</f>
        <v/>
      </c>
      <c r="P747" s="6"/>
      <c r="Q747" s="9" t="n">
        <f aca="false">IF($B747="",0,IF(COUNTIFS($B$5:$B747,$B747)=1,1,0))</f>
        <v>0</v>
      </c>
    </row>
    <row r="748" customFormat="false" ht="15" hidden="false" customHeight="false" outlineLevel="0" collapsed="false">
      <c r="A748" s="6"/>
      <c r="B748" s="6"/>
      <c r="C748" s="6"/>
      <c r="D748" s="6"/>
      <c r="E748" s="6"/>
      <c r="F748" s="6"/>
      <c r="G748" s="7"/>
      <c r="H748" s="7"/>
      <c r="I748" s="6"/>
      <c r="J748" s="9" t="str">
        <f aca="false">IF(NOT(ISNUMBER($G748)),"",IF(AND(ASH_CORRECTED="Yes",ISNUMBER($H748)),$G748*(1-$H748),$G748))</f>
        <v/>
      </c>
      <c r="K748" s="9" t="str">
        <f aca="false">IF($B748="","",IFERROR(AVERAGEIFS('2. Soil Data'!$G$5:$G$604,'2. Soil Data'!$B$5:$B$604,$B748),""))</f>
        <v/>
      </c>
      <c r="L748" s="9" t="str">
        <f aca="false">IF(NOT(ISNUMBER($K748)),"",PI()*($K748/2)^2)</f>
        <v/>
      </c>
      <c r="M748" s="9" t="str">
        <f aca="false">IF(OR(NOT(ISNUMBER($J748)),NOT(ISNUMBER($L748)),$L748=0),"",$J748/$L748*10000)</f>
        <v/>
      </c>
      <c r="N748" s="9" t="str">
        <f aca="false">IF(NOT(ISNUMBER($M748)),"",$M748*CARBON_FRACTION_ROOT/1000)</f>
        <v/>
      </c>
      <c r="O748" s="11" t="str">
        <f aca="false">IF(AND($A748="",$B748="",$G748=""),"",IF(AND($B748&lt;&gt;"",COUNTIFS('2. Soil Data'!$B$5:$B$604,$B748)=0),"Core ID not found in Soil Data, so the corer diameter cannot be looked up. ","")&amp;IF(ASH_CORRECTED&lt;&gt;"Yes","Root mass is NOT ash-corrected, so it includes adhering mineral soil and is too high. Set ASH_CORRECTED once you have done it. ","")&amp;IF(AND(ASH_CORRECTED="Yes",NOT(ISNUMBER($H748))),"Ash correction is switched on but no ash fraction is given for this row. ","")&amp;IF($I748="","Sieve mesh not recorded — a fine-root figure cannot be interpreted without it. ","")&amp;IF(AND(ISNUMBER($H748),$H748&gt;0.5),"Ash fraction above 0.5 — over half this sample was mineral soil. Re-wash. ","")&amp;IF($F748="Not separated","Live and dead not separated. Fine for a stock, but "&amp;"note it in reporting. ",""))</f>
        <v/>
      </c>
      <c r="P748" s="6"/>
      <c r="Q748" s="9" t="n">
        <f aca="false">IF($B748="",0,IF(COUNTIFS($B$5:$B748,$B748)=1,1,0))</f>
        <v>0</v>
      </c>
    </row>
    <row r="749" customFormat="false" ht="15" hidden="false" customHeight="false" outlineLevel="0" collapsed="false">
      <c r="A749" s="6"/>
      <c r="B749" s="6"/>
      <c r="C749" s="6"/>
      <c r="D749" s="6"/>
      <c r="E749" s="6"/>
      <c r="F749" s="6"/>
      <c r="G749" s="7"/>
      <c r="H749" s="7"/>
      <c r="I749" s="6"/>
      <c r="J749" s="9" t="str">
        <f aca="false">IF(NOT(ISNUMBER($G749)),"",IF(AND(ASH_CORRECTED="Yes",ISNUMBER($H749)),$G749*(1-$H749),$G749))</f>
        <v/>
      </c>
      <c r="K749" s="9" t="str">
        <f aca="false">IF($B749="","",IFERROR(AVERAGEIFS('2. Soil Data'!$G$5:$G$604,'2. Soil Data'!$B$5:$B$604,$B749),""))</f>
        <v/>
      </c>
      <c r="L749" s="9" t="str">
        <f aca="false">IF(NOT(ISNUMBER($K749)),"",PI()*($K749/2)^2)</f>
        <v/>
      </c>
      <c r="M749" s="9" t="str">
        <f aca="false">IF(OR(NOT(ISNUMBER($J749)),NOT(ISNUMBER($L749)),$L749=0),"",$J749/$L749*10000)</f>
        <v/>
      </c>
      <c r="N749" s="9" t="str">
        <f aca="false">IF(NOT(ISNUMBER($M749)),"",$M749*CARBON_FRACTION_ROOT/1000)</f>
        <v/>
      </c>
      <c r="O749" s="11" t="str">
        <f aca="false">IF(AND($A749="",$B749="",$G749=""),"",IF(AND($B749&lt;&gt;"",COUNTIFS('2. Soil Data'!$B$5:$B$604,$B749)=0),"Core ID not found in Soil Data, so the corer diameter cannot be looked up. ","")&amp;IF(ASH_CORRECTED&lt;&gt;"Yes","Root mass is NOT ash-corrected, so it includes adhering mineral soil and is too high. Set ASH_CORRECTED once you have done it. ","")&amp;IF(AND(ASH_CORRECTED="Yes",NOT(ISNUMBER($H749))),"Ash correction is switched on but no ash fraction is given for this row. ","")&amp;IF($I749="","Sieve mesh not recorded — a fine-root figure cannot be interpreted without it. ","")&amp;IF(AND(ISNUMBER($H749),$H749&gt;0.5),"Ash fraction above 0.5 — over half this sample was mineral soil. Re-wash. ","")&amp;IF($F749="Not separated","Live and dead not separated. Fine for a stock, but "&amp;"note it in reporting. ",""))</f>
        <v/>
      </c>
      <c r="P749" s="6"/>
      <c r="Q749" s="9" t="n">
        <f aca="false">IF($B749="",0,IF(COUNTIFS($B$5:$B749,$B749)=1,1,0))</f>
        <v>0</v>
      </c>
    </row>
    <row r="750" customFormat="false" ht="15" hidden="false" customHeight="false" outlineLevel="0" collapsed="false">
      <c r="A750" s="6"/>
      <c r="B750" s="6"/>
      <c r="C750" s="6"/>
      <c r="D750" s="6"/>
      <c r="E750" s="6"/>
      <c r="F750" s="6"/>
      <c r="G750" s="7"/>
      <c r="H750" s="7"/>
      <c r="I750" s="6"/>
      <c r="J750" s="9" t="str">
        <f aca="false">IF(NOT(ISNUMBER($G750)),"",IF(AND(ASH_CORRECTED="Yes",ISNUMBER($H750)),$G750*(1-$H750),$G750))</f>
        <v/>
      </c>
      <c r="K750" s="9" t="str">
        <f aca="false">IF($B750="","",IFERROR(AVERAGEIFS('2. Soil Data'!$G$5:$G$604,'2. Soil Data'!$B$5:$B$604,$B750),""))</f>
        <v/>
      </c>
      <c r="L750" s="9" t="str">
        <f aca="false">IF(NOT(ISNUMBER($K750)),"",PI()*($K750/2)^2)</f>
        <v/>
      </c>
      <c r="M750" s="9" t="str">
        <f aca="false">IF(OR(NOT(ISNUMBER($J750)),NOT(ISNUMBER($L750)),$L750=0),"",$J750/$L750*10000)</f>
        <v/>
      </c>
      <c r="N750" s="9" t="str">
        <f aca="false">IF(NOT(ISNUMBER($M750)),"",$M750*CARBON_FRACTION_ROOT/1000)</f>
        <v/>
      </c>
      <c r="O750" s="11" t="str">
        <f aca="false">IF(AND($A750="",$B750="",$G750=""),"",IF(AND($B750&lt;&gt;"",COUNTIFS('2. Soil Data'!$B$5:$B$604,$B750)=0),"Core ID not found in Soil Data, so the corer diameter cannot be looked up. ","")&amp;IF(ASH_CORRECTED&lt;&gt;"Yes","Root mass is NOT ash-corrected, so it includes adhering mineral soil and is too high. Set ASH_CORRECTED once you have done it. ","")&amp;IF(AND(ASH_CORRECTED="Yes",NOT(ISNUMBER($H750))),"Ash correction is switched on but no ash fraction is given for this row. ","")&amp;IF($I750="","Sieve mesh not recorded — a fine-root figure cannot be interpreted without it. ","")&amp;IF(AND(ISNUMBER($H750),$H750&gt;0.5),"Ash fraction above 0.5 — over half this sample was mineral soil. Re-wash. ","")&amp;IF($F750="Not separated","Live and dead not separated. Fine for a stock, but "&amp;"note it in reporting. ",""))</f>
        <v/>
      </c>
      <c r="P750" s="6"/>
      <c r="Q750" s="9" t="n">
        <f aca="false">IF($B750="",0,IF(COUNTIFS($B$5:$B750,$B750)=1,1,0))</f>
        <v>0</v>
      </c>
    </row>
    <row r="751" customFormat="false" ht="15" hidden="false" customHeight="false" outlineLevel="0" collapsed="false">
      <c r="A751" s="6"/>
      <c r="B751" s="6"/>
      <c r="C751" s="6"/>
      <c r="D751" s="6"/>
      <c r="E751" s="6"/>
      <c r="F751" s="6"/>
      <c r="G751" s="7"/>
      <c r="H751" s="7"/>
      <c r="I751" s="6"/>
      <c r="J751" s="9" t="str">
        <f aca="false">IF(NOT(ISNUMBER($G751)),"",IF(AND(ASH_CORRECTED="Yes",ISNUMBER($H751)),$G751*(1-$H751),$G751))</f>
        <v/>
      </c>
      <c r="K751" s="9" t="str">
        <f aca="false">IF($B751="","",IFERROR(AVERAGEIFS('2. Soil Data'!$G$5:$G$604,'2. Soil Data'!$B$5:$B$604,$B751),""))</f>
        <v/>
      </c>
      <c r="L751" s="9" t="str">
        <f aca="false">IF(NOT(ISNUMBER($K751)),"",PI()*($K751/2)^2)</f>
        <v/>
      </c>
      <c r="M751" s="9" t="str">
        <f aca="false">IF(OR(NOT(ISNUMBER($J751)),NOT(ISNUMBER($L751)),$L751=0),"",$J751/$L751*10000)</f>
        <v/>
      </c>
      <c r="N751" s="9" t="str">
        <f aca="false">IF(NOT(ISNUMBER($M751)),"",$M751*CARBON_FRACTION_ROOT/1000)</f>
        <v/>
      </c>
      <c r="O751" s="11" t="str">
        <f aca="false">IF(AND($A751="",$B751="",$G751=""),"",IF(AND($B751&lt;&gt;"",COUNTIFS('2. Soil Data'!$B$5:$B$604,$B751)=0),"Core ID not found in Soil Data, so the corer diameter cannot be looked up. ","")&amp;IF(ASH_CORRECTED&lt;&gt;"Yes","Root mass is NOT ash-corrected, so it includes adhering mineral soil and is too high. Set ASH_CORRECTED once you have done it. ","")&amp;IF(AND(ASH_CORRECTED="Yes",NOT(ISNUMBER($H751))),"Ash correction is switched on but no ash fraction is given for this row. ","")&amp;IF($I751="","Sieve mesh not recorded — a fine-root figure cannot be interpreted without it. ","")&amp;IF(AND(ISNUMBER($H751),$H751&gt;0.5),"Ash fraction above 0.5 — over half this sample was mineral soil. Re-wash. ","")&amp;IF($F751="Not separated","Live and dead not separated. Fine for a stock, but "&amp;"note it in reporting. ",""))</f>
        <v/>
      </c>
      <c r="P751" s="6"/>
      <c r="Q751" s="9" t="n">
        <f aca="false">IF($B751="",0,IF(COUNTIFS($B$5:$B751,$B751)=1,1,0))</f>
        <v>0</v>
      </c>
    </row>
    <row r="752" customFormat="false" ht="15" hidden="false" customHeight="false" outlineLevel="0" collapsed="false">
      <c r="A752" s="6"/>
      <c r="B752" s="6"/>
      <c r="C752" s="6"/>
      <c r="D752" s="6"/>
      <c r="E752" s="6"/>
      <c r="F752" s="6"/>
      <c r="G752" s="7"/>
      <c r="H752" s="7"/>
      <c r="I752" s="6"/>
      <c r="J752" s="9" t="str">
        <f aca="false">IF(NOT(ISNUMBER($G752)),"",IF(AND(ASH_CORRECTED="Yes",ISNUMBER($H752)),$G752*(1-$H752),$G752))</f>
        <v/>
      </c>
      <c r="K752" s="9" t="str">
        <f aca="false">IF($B752="","",IFERROR(AVERAGEIFS('2. Soil Data'!$G$5:$G$604,'2. Soil Data'!$B$5:$B$604,$B752),""))</f>
        <v/>
      </c>
      <c r="L752" s="9" t="str">
        <f aca="false">IF(NOT(ISNUMBER($K752)),"",PI()*($K752/2)^2)</f>
        <v/>
      </c>
      <c r="M752" s="9" t="str">
        <f aca="false">IF(OR(NOT(ISNUMBER($J752)),NOT(ISNUMBER($L752)),$L752=0),"",$J752/$L752*10000)</f>
        <v/>
      </c>
      <c r="N752" s="9" t="str">
        <f aca="false">IF(NOT(ISNUMBER($M752)),"",$M752*CARBON_FRACTION_ROOT/1000)</f>
        <v/>
      </c>
      <c r="O752" s="11" t="str">
        <f aca="false">IF(AND($A752="",$B752="",$G752=""),"",IF(AND($B752&lt;&gt;"",COUNTIFS('2. Soil Data'!$B$5:$B$604,$B752)=0),"Core ID not found in Soil Data, so the corer diameter cannot be looked up. ","")&amp;IF(ASH_CORRECTED&lt;&gt;"Yes","Root mass is NOT ash-corrected, so it includes adhering mineral soil and is too high. Set ASH_CORRECTED once you have done it. ","")&amp;IF(AND(ASH_CORRECTED="Yes",NOT(ISNUMBER($H752))),"Ash correction is switched on but no ash fraction is given for this row. ","")&amp;IF($I752="","Sieve mesh not recorded — a fine-root figure cannot be interpreted without it. ","")&amp;IF(AND(ISNUMBER($H752),$H752&gt;0.5),"Ash fraction above 0.5 — over half this sample was mineral soil. Re-wash. ","")&amp;IF($F752="Not separated","Live and dead not separated. Fine for a stock, but "&amp;"note it in reporting. ",""))</f>
        <v/>
      </c>
      <c r="P752" s="6"/>
      <c r="Q752" s="9" t="n">
        <f aca="false">IF($B752="",0,IF(COUNTIFS($B$5:$B752,$B752)=1,1,0))</f>
        <v>0</v>
      </c>
    </row>
    <row r="753" customFormat="false" ht="15" hidden="false" customHeight="false" outlineLevel="0" collapsed="false">
      <c r="A753" s="6"/>
      <c r="B753" s="6"/>
      <c r="C753" s="6"/>
      <c r="D753" s="6"/>
      <c r="E753" s="6"/>
      <c r="F753" s="6"/>
      <c r="G753" s="7"/>
      <c r="H753" s="7"/>
      <c r="I753" s="6"/>
      <c r="J753" s="9" t="str">
        <f aca="false">IF(NOT(ISNUMBER($G753)),"",IF(AND(ASH_CORRECTED="Yes",ISNUMBER($H753)),$G753*(1-$H753),$G753))</f>
        <v/>
      </c>
      <c r="K753" s="9" t="str">
        <f aca="false">IF($B753="","",IFERROR(AVERAGEIFS('2. Soil Data'!$G$5:$G$604,'2. Soil Data'!$B$5:$B$604,$B753),""))</f>
        <v/>
      </c>
      <c r="L753" s="9" t="str">
        <f aca="false">IF(NOT(ISNUMBER($K753)),"",PI()*($K753/2)^2)</f>
        <v/>
      </c>
      <c r="M753" s="9" t="str">
        <f aca="false">IF(OR(NOT(ISNUMBER($J753)),NOT(ISNUMBER($L753)),$L753=0),"",$J753/$L753*10000)</f>
        <v/>
      </c>
      <c r="N753" s="9" t="str">
        <f aca="false">IF(NOT(ISNUMBER($M753)),"",$M753*CARBON_FRACTION_ROOT/1000)</f>
        <v/>
      </c>
      <c r="O753" s="11" t="str">
        <f aca="false">IF(AND($A753="",$B753="",$G753=""),"",IF(AND($B753&lt;&gt;"",COUNTIFS('2. Soil Data'!$B$5:$B$604,$B753)=0),"Core ID not found in Soil Data, so the corer diameter cannot be looked up. ","")&amp;IF(ASH_CORRECTED&lt;&gt;"Yes","Root mass is NOT ash-corrected, so it includes adhering mineral soil and is too high. Set ASH_CORRECTED once you have done it. ","")&amp;IF(AND(ASH_CORRECTED="Yes",NOT(ISNUMBER($H753))),"Ash correction is switched on but no ash fraction is given for this row. ","")&amp;IF($I753="","Sieve mesh not recorded — a fine-root figure cannot be interpreted without it. ","")&amp;IF(AND(ISNUMBER($H753),$H753&gt;0.5),"Ash fraction above 0.5 — over half this sample was mineral soil. Re-wash. ","")&amp;IF($F753="Not separated","Live and dead not separated. Fine for a stock, but "&amp;"note it in reporting. ",""))</f>
        <v/>
      </c>
      <c r="P753" s="6"/>
      <c r="Q753" s="9" t="n">
        <f aca="false">IF($B753="",0,IF(COUNTIFS($B$5:$B753,$B753)=1,1,0))</f>
        <v>0</v>
      </c>
    </row>
    <row r="754" customFormat="false" ht="15" hidden="false" customHeight="false" outlineLevel="0" collapsed="false">
      <c r="A754" s="6"/>
      <c r="B754" s="6"/>
      <c r="C754" s="6"/>
      <c r="D754" s="6"/>
      <c r="E754" s="6"/>
      <c r="F754" s="6"/>
      <c r="G754" s="7"/>
      <c r="H754" s="7"/>
      <c r="I754" s="6"/>
      <c r="J754" s="9" t="str">
        <f aca="false">IF(NOT(ISNUMBER($G754)),"",IF(AND(ASH_CORRECTED="Yes",ISNUMBER($H754)),$G754*(1-$H754),$G754))</f>
        <v/>
      </c>
      <c r="K754" s="9" t="str">
        <f aca="false">IF($B754="","",IFERROR(AVERAGEIFS('2. Soil Data'!$G$5:$G$604,'2. Soil Data'!$B$5:$B$604,$B754),""))</f>
        <v/>
      </c>
      <c r="L754" s="9" t="str">
        <f aca="false">IF(NOT(ISNUMBER($K754)),"",PI()*($K754/2)^2)</f>
        <v/>
      </c>
      <c r="M754" s="9" t="str">
        <f aca="false">IF(OR(NOT(ISNUMBER($J754)),NOT(ISNUMBER($L754)),$L754=0),"",$J754/$L754*10000)</f>
        <v/>
      </c>
      <c r="N754" s="9" t="str">
        <f aca="false">IF(NOT(ISNUMBER($M754)),"",$M754*CARBON_FRACTION_ROOT/1000)</f>
        <v/>
      </c>
      <c r="O754" s="11" t="str">
        <f aca="false">IF(AND($A754="",$B754="",$G754=""),"",IF(AND($B754&lt;&gt;"",COUNTIFS('2. Soil Data'!$B$5:$B$604,$B754)=0),"Core ID not found in Soil Data, so the corer diameter cannot be looked up. ","")&amp;IF(ASH_CORRECTED&lt;&gt;"Yes","Root mass is NOT ash-corrected, so it includes adhering mineral soil and is too high. Set ASH_CORRECTED once you have done it. ","")&amp;IF(AND(ASH_CORRECTED="Yes",NOT(ISNUMBER($H754))),"Ash correction is switched on but no ash fraction is given for this row. ","")&amp;IF($I754="","Sieve mesh not recorded — a fine-root figure cannot be interpreted without it. ","")&amp;IF(AND(ISNUMBER($H754),$H754&gt;0.5),"Ash fraction above 0.5 — over half this sample was mineral soil. Re-wash. ","")&amp;IF($F754="Not separated","Live and dead not separated. Fine for a stock, but "&amp;"note it in reporting. ",""))</f>
        <v/>
      </c>
      <c r="P754" s="6"/>
      <c r="Q754" s="9" t="n">
        <f aca="false">IF($B754="",0,IF(COUNTIFS($B$5:$B754,$B754)=1,1,0))</f>
        <v>0</v>
      </c>
    </row>
    <row r="755" customFormat="false" ht="15" hidden="false" customHeight="false" outlineLevel="0" collapsed="false">
      <c r="A755" s="6"/>
      <c r="B755" s="6"/>
      <c r="C755" s="6"/>
      <c r="D755" s="6"/>
      <c r="E755" s="6"/>
      <c r="F755" s="6"/>
      <c r="G755" s="7"/>
      <c r="H755" s="7"/>
      <c r="I755" s="6"/>
      <c r="J755" s="9" t="str">
        <f aca="false">IF(NOT(ISNUMBER($G755)),"",IF(AND(ASH_CORRECTED="Yes",ISNUMBER($H755)),$G755*(1-$H755),$G755))</f>
        <v/>
      </c>
      <c r="K755" s="9" t="str">
        <f aca="false">IF($B755="","",IFERROR(AVERAGEIFS('2. Soil Data'!$G$5:$G$604,'2. Soil Data'!$B$5:$B$604,$B755),""))</f>
        <v/>
      </c>
      <c r="L755" s="9" t="str">
        <f aca="false">IF(NOT(ISNUMBER($K755)),"",PI()*($K755/2)^2)</f>
        <v/>
      </c>
      <c r="M755" s="9" t="str">
        <f aca="false">IF(OR(NOT(ISNUMBER($J755)),NOT(ISNUMBER($L755)),$L755=0),"",$J755/$L755*10000)</f>
        <v/>
      </c>
      <c r="N755" s="9" t="str">
        <f aca="false">IF(NOT(ISNUMBER($M755)),"",$M755*CARBON_FRACTION_ROOT/1000)</f>
        <v/>
      </c>
      <c r="O755" s="11" t="str">
        <f aca="false">IF(AND($A755="",$B755="",$G755=""),"",IF(AND($B755&lt;&gt;"",COUNTIFS('2. Soil Data'!$B$5:$B$604,$B755)=0),"Core ID not found in Soil Data, so the corer diameter cannot be looked up. ","")&amp;IF(ASH_CORRECTED&lt;&gt;"Yes","Root mass is NOT ash-corrected, so it includes adhering mineral soil and is too high. Set ASH_CORRECTED once you have done it. ","")&amp;IF(AND(ASH_CORRECTED="Yes",NOT(ISNUMBER($H755))),"Ash correction is switched on but no ash fraction is given for this row. ","")&amp;IF($I755="","Sieve mesh not recorded — a fine-root figure cannot be interpreted without it. ","")&amp;IF(AND(ISNUMBER($H755),$H755&gt;0.5),"Ash fraction above 0.5 — over half this sample was mineral soil. Re-wash. ","")&amp;IF($F755="Not separated","Live and dead not separated. Fine for a stock, but "&amp;"note it in reporting. ",""))</f>
        <v/>
      </c>
      <c r="P755" s="6"/>
      <c r="Q755" s="9" t="n">
        <f aca="false">IF($B755="",0,IF(COUNTIFS($B$5:$B755,$B755)=1,1,0))</f>
        <v>0</v>
      </c>
    </row>
    <row r="756" customFormat="false" ht="15" hidden="false" customHeight="false" outlineLevel="0" collapsed="false">
      <c r="A756" s="6"/>
      <c r="B756" s="6"/>
      <c r="C756" s="6"/>
      <c r="D756" s="6"/>
      <c r="E756" s="6"/>
      <c r="F756" s="6"/>
      <c r="G756" s="7"/>
      <c r="H756" s="7"/>
      <c r="I756" s="6"/>
      <c r="J756" s="9" t="str">
        <f aca="false">IF(NOT(ISNUMBER($G756)),"",IF(AND(ASH_CORRECTED="Yes",ISNUMBER($H756)),$G756*(1-$H756),$G756))</f>
        <v/>
      </c>
      <c r="K756" s="9" t="str">
        <f aca="false">IF($B756="","",IFERROR(AVERAGEIFS('2. Soil Data'!$G$5:$G$604,'2. Soil Data'!$B$5:$B$604,$B756),""))</f>
        <v/>
      </c>
      <c r="L756" s="9" t="str">
        <f aca="false">IF(NOT(ISNUMBER($K756)),"",PI()*($K756/2)^2)</f>
        <v/>
      </c>
      <c r="M756" s="9" t="str">
        <f aca="false">IF(OR(NOT(ISNUMBER($J756)),NOT(ISNUMBER($L756)),$L756=0),"",$J756/$L756*10000)</f>
        <v/>
      </c>
      <c r="N756" s="9" t="str">
        <f aca="false">IF(NOT(ISNUMBER($M756)),"",$M756*CARBON_FRACTION_ROOT/1000)</f>
        <v/>
      </c>
      <c r="O756" s="11" t="str">
        <f aca="false">IF(AND($A756="",$B756="",$G756=""),"",IF(AND($B756&lt;&gt;"",COUNTIFS('2. Soil Data'!$B$5:$B$604,$B756)=0),"Core ID not found in Soil Data, so the corer diameter cannot be looked up. ","")&amp;IF(ASH_CORRECTED&lt;&gt;"Yes","Root mass is NOT ash-corrected, so it includes adhering mineral soil and is too high. Set ASH_CORRECTED once you have done it. ","")&amp;IF(AND(ASH_CORRECTED="Yes",NOT(ISNUMBER($H756))),"Ash correction is switched on but no ash fraction is given for this row. ","")&amp;IF($I756="","Sieve mesh not recorded — a fine-root figure cannot be interpreted without it. ","")&amp;IF(AND(ISNUMBER($H756),$H756&gt;0.5),"Ash fraction above 0.5 — over half this sample was mineral soil. Re-wash. ","")&amp;IF($F756="Not separated","Live and dead not separated. Fine for a stock, but "&amp;"note it in reporting. ",""))</f>
        <v/>
      </c>
      <c r="P756" s="6"/>
      <c r="Q756" s="9" t="n">
        <f aca="false">IF($B756="",0,IF(COUNTIFS($B$5:$B756,$B756)=1,1,0))</f>
        <v>0</v>
      </c>
    </row>
    <row r="757" customFormat="false" ht="15" hidden="false" customHeight="false" outlineLevel="0" collapsed="false">
      <c r="A757" s="6"/>
      <c r="B757" s="6"/>
      <c r="C757" s="6"/>
      <c r="D757" s="6"/>
      <c r="E757" s="6"/>
      <c r="F757" s="6"/>
      <c r="G757" s="7"/>
      <c r="H757" s="7"/>
      <c r="I757" s="6"/>
      <c r="J757" s="9" t="str">
        <f aca="false">IF(NOT(ISNUMBER($G757)),"",IF(AND(ASH_CORRECTED="Yes",ISNUMBER($H757)),$G757*(1-$H757),$G757))</f>
        <v/>
      </c>
      <c r="K757" s="9" t="str">
        <f aca="false">IF($B757="","",IFERROR(AVERAGEIFS('2. Soil Data'!$G$5:$G$604,'2. Soil Data'!$B$5:$B$604,$B757),""))</f>
        <v/>
      </c>
      <c r="L757" s="9" t="str">
        <f aca="false">IF(NOT(ISNUMBER($K757)),"",PI()*($K757/2)^2)</f>
        <v/>
      </c>
      <c r="M757" s="9" t="str">
        <f aca="false">IF(OR(NOT(ISNUMBER($J757)),NOT(ISNUMBER($L757)),$L757=0),"",$J757/$L757*10000)</f>
        <v/>
      </c>
      <c r="N757" s="9" t="str">
        <f aca="false">IF(NOT(ISNUMBER($M757)),"",$M757*CARBON_FRACTION_ROOT/1000)</f>
        <v/>
      </c>
      <c r="O757" s="11" t="str">
        <f aca="false">IF(AND($A757="",$B757="",$G757=""),"",IF(AND($B757&lt;&gt;"",COUNTIFS('2. Soil Data'!$B$5:$B$604,$B757)=0),"Core ID not found in Soil Data, so the corer diameter cannot be looked up. ","")&amp;IF(ASH_CORRECTED&lt;&gt;"Yes","Root mass is NOT ash-corrected, so it includes adhering mineral soil and is too high. Set ASH_CORRECTED once you have done it. ","")&amp;IF(AND(ASH_CORRECTED="Yes",NOT(ISNUMBER($H757))),"Ash correction is switched on but no ash fraction is given for this row. ","")&amp;IF($I757="","Sieve mesh not recorded — a fine-root figure cannot be interpreted without it. ","")&amp;IF(AND(ISNUMBER($H757),$H757&gt;0.5),"Ash fraction above 0.5 — over half this sample was mineral soil. Re-wash. ","")&amp;IF($F757="Not separated","Live and dead not separated. Fine for a stock, but "&amp;"note it in reporting. ",""))</f>
        <v/>
      </c>
      <c r="P757" s="6"/>
      <c r="Q757" s="9" t="n">
        <f aca="false">IF($B757="",0,IF(COUNTIFS($B$5:$B757,$B757)=1,1,0))</f>
        <v>0</v>
      </c>
    </row>
    <row r="758" customFormat="false" ht="15" hidden="false" customHeight="false" outlineLevel="0" collapsed="false">
      <c r="A758" s="6"/>
      <c r="B758" s="6"/>
      <c r="C758" s="6"/>
      <c r="D758" s="6"/>
      <c r="E758" s="6"/>
      <c r="F758" s="6"/>
      <c r="G758" s="7"/>
      <c r="H758" s="7"/>
      <c r="I758" s="6"/>
      <c r="J758" s="9" t="str">
        <f aca="false">IF(NOT(ISNUMBER($G758)),"",IF(AND(ASH_CORRECTED="Yes",ISNUMBER($H758)),$G758*(1-$H758),$G758))</f>
        <v/>
      </c>
      <c r="K758" s="9" t="str">
        <f aca="false">IF($B758="","",IFERROR(AVERAGEIFS('2. Soil Data'!$G$5:$G$604,'2. Soil Data'!$B$5:$B$604,$B758),""))</f>
        <v/>
      </c>
      <c r="L758" s="9" t="str">
        <f aca="false">IF(NOT(ISNUMBER($K758)),"",PI()*($K758/2)^2)</f>
        <v/>
      </c>
      <c r="M758" s="9" t="str">
        <f aca="false">IF(OR(NOT(ISNUMBER($J758)),NOT(ISNUMBER($L758)),$L758=0),"",$J758/$L758*10000)</f>
        <v/>
      </c>
      <c r="N758" s="9" t="str">
        <f aca="false">IF(NOT(ISNUMBER($M758)),"",$M758*CARBON_FRACTION_ROOT/1000)</f>
        <v/>
      </c>
      <c r="O758" s="11" t="str">
        <f aca="false">IF(AND($A758="",$B758="",$G758=""),"",IF(AND($B758&lt;&gt;"",COUNTIFS('2. Soil Data'!$B$5:$B$604,$B758)=0),"Core ID not found in Soil Data, so the corer diameter cannot be looked up. ","")&amp;IF(ASH_CORRECTED&lt;&gt;"Yes","Root mass is NOT ash-corrected, so it includes adhering mineral soil and is too high. Set ASH_CORRECTED once you have done it. ","")&amp;IF(AND(ASH_CORRECTED="Yes",NOT(ISNUMBER($H758))),"Ash correction is switched on but no ash fraction is given for this row. ","")&amp;IF($I758="","Sieve mesh not recorded — a fine-root figure cannot be interpreted without it. ","")&amp;IF(AND(ISNUMBER($H758),$H758&gt;0.5),"Ash fraction above 0.5 — over half this sample was mineral soil. Re-wash. ","")&amp;IF($F758="Not separated","Live and dead not separated. Fine for a stock, but "&amp;"note it in reporting. ",""))</f>
        <v/>
      </c>
      <c r="P758" s="6"/>
      <c r="Q758" s="9" t="n">
        <f aca="false">IF($B758="",0,IF(COUNTIFS($B$5:$B758,$B758)=1,1,0))</f>
        <v>0</v>
      </c>
    </row>
    <row r="759" customFormat="false" ht="15" hidden="false" customHeight="false" outlineLevel="0" collapsed="false">
      <c r="A759" s="6"/>
      <c r="B759" s="6"/>
      <c r="C759" s="6"/>
      <c r="D759" s="6"/>
      <c r="E759" s="6"/>
      <c r="F759" s="6"/>
      <c r="G759" s="7"/>
      <c r="H759" s="7"/>
      <c r="I759" s="6"/>
      <c r="J759" s="9" t="str">
        <f aca="false">IF(NOT(ISNUMBER($G759)),"",IF(AND(ASH_CORRECTED="Yes",ISNUMBER($H759)),$G759*(1-$H759),$G759))</f>
        <v/>
      </c>
      <c r="K759" s="9" t="str">
        <f aca="false">IF($B759="","",IFERROR(AVERAGEIFS('2. Soil Data'!$G$5:$G$604,'2. Soil Data'!$B$5:$B$604,$B759),""))</f>
        <v/>
      </c>
      <c r="L759" s="9" t="str">
        <f aca="false">IF(NOT(ISNUMBER($K759)),"",PI()*($K759/2)^2)</f>
        <v/>
      </c>
      <c r="M759" s="9" t="str">
        <f aca="false">IF(OR(NOT(ISNUMBER($J759)),NOT(ISNUMBER($L759)),$L759=0),"",$J759/$L759*10000)</f>
        <v/>
      </c>
      <c r="N759" s="9" t="str">
        <f aca="false">IF(NOT(ISNUMBER($M759)),"",$M759*CARBON_FRACTION_ROOT/1000)</f>
        <v/>
      </c>
      <c r="O759" s="11" t="str">
        <f aca="false">IF(AND($A759="",$B759="",$G759=""),"",IF(AND($B759&lt;&gt;"",COUNTIFS('2. Soil Data'!$B$5:$B$604,$B759)=0),"Core ID not found in Soil Data, so the corer diameter cannot be looked up. ","")&amp;IF(ASH_CORRECTED&lt;&gt;"Yes","Root mass is NOT ash-corrected, so it includes adhering mineral soil and is too high. Set ASH_CORRECTED once you have done it. ","")&amp;IF(AND(ASH_CORRECTED="Yes",NOT(ISNUMBER($H759))),"Ash correction is switched on but no ash fraction is given for this row. ","")&amp;IF($I759="","Sieve mesh not recorded — a fine-root figure cannot be interpreted without it. ","")&amp;IF(AND(ISNUMBER($H759),$H759&gt;0.5),"Ash fraction above 0.5 — over half this sample was mineral soil. Re-wash. ","")&amp;IF($F759="Not separated","Live and dead not separated. Fine for a stock, but "&amp;"note it in reporting. ",""))</f>
        <v/>
      </c>
      <c r="P759" s="6"/>
      <c r="Q759" s="9" t="n">
        <f aca="false">IF($B759="",0,IF(COUNTIFS($B$5:$B759,$B759)=1,1,0))</f>
        <v>0</v>
      </c>
    </row>
    <row r="760" customFormat="false" ht="15" hidden="false" customHeight="false" outlineLevel="0" collapsed="false">
      <c r="A760" s="6"/>
      <c r="B760" s="6"/>
      <c r="C760" s="6"/>
      <c r="D760" s="6"/>
      <c r="E760" s="6"/>
      <c r="F760" s="6"/>
      <c r="G760" s="7"/>
      <c r="H760" s="7"/>
      <c r="I760" s="6"/>
      <c r="J760" s="9" t="str">
        <f aca="false">IF(NOT(ISNUMBER($G760)),"",IF(AND(ASH_CORRECTED="Yes",ISNUMBER($H760)),$G760*(1-$H760),$G760))</f>
        <v/>
      </c>
      <c r="K760" s="9" t="str">
        <f aca="false">IF($B760="","",IFERROR(AVERAGEIFS('2. Soil Data'!$G$5:$G$604,'2. Soil Data'!$B$5:$B$604,$B760),""))</f>
        <v/>
      </c>
      <c r="L760" s="9" t="str">
        <f aca="false">IF(NOT(ISNUMBER($K760)),"",PI()*($K760/2)^2)</f>
        <v/>
      </c>
      <c r="M760" s="9" t="str">
        <f aca="false">IF(OR(NOT(ISNUMBER($J760)),NOT(ISNUMBER($L760)),$L760=0),"",$J760/$L760*10000)</f>
        <v/>
      </c>
      <c r="N760" s="9" t="str">
        <f aca="false">IF(NOT(ISNUMBER($M760)),"",$M760*CARBON_FRACTION_ROOT/1000)</f>
        <v/>
      </c>
      <c r="O760" s="11" t="str">
        <f aca="false">IF(AND($A760="",$B760="",$G760=""),"",IF(AND($B760&lt;&gt;"",COUNTIFS('2. Soil Data'!$B$5:$B$604,$B760)=0),"Core ID not found in Soil Data, so the corer diameter cannot be looked up. ","")&amp;IF(ASH_CORRECTED&lt;&gt;"Yes","Root mass is NOT ash-corrected, so it includes adhering mineral soil and is too high. Set ASH_CORRECTED once you have done it. ","")&amp;IF(AND(ASH_CORRECTED="Yes",NOT(ISNUMBER($H760))),"Ash correction is switched on but no ash fraction is given for this row. ","")&amp;IF($I760="","Sieve mesh not recorded — a fine-root figure cannot be interpreted without it. ","")&amp;IF(AND(ISNUMBER($H760),$H760&gt;0.5),"Ash fraction above 0.5 — over half this sample was mineral soil. Re-wash. ","")&amp;IF($F760="Not separated","Live and dead not separated. Fine for a stock, but "&amp;"note it in reporting. ",""))</f>
        <v/>
      </c>
      <c r="P760" s="6"/>
      <c r="Q760" s="9" t="n">
        <f aca="false">IF($B760="",0,IF(COUNTIFS($B$5:$B760,$B760)=1,1,0))</f>
        <v>0</v>
      </c>
    </row>
    <row r="761" customFormat="false" ht="15" hidden="false" customHeight="false" outlineLevel="0" collapsed="false">
      <c r="A761" s="6"/>
      <c r="B761" s="6"/>
      <c r="C761" s="6"/>
      <c r="D761" s="6"/>
      <c r="E761" s="6"/>
      <c r="F761" s="6"/>
      <c r="G761" s="7"/>
      <c r="H761" s="7"/>
      <c r="I761" s="6"/>
      <c r="J761" s="9" t="str">
        <f aca="false">IF(NOT(ISNUMBER($G761)),"",IF(AND(ASH_CORRECTED="Yes",ISNUMBER($H761)),$G761*(1-$H761),$G761))</f>
        <v/>
      </c>
      <c r="K761" s="9" t="str">
        <f aca="false">IF($B761="","",IFERROR(AVERAGEIFS('2. Soil Data'!$G$5:$G$604,'2. Soil Data'!$B$5:$B$604,$B761),""))</f>
        <v/>
      </c>
      <c r="L761" s="9" t="str">
        <f aca="false">IF(NOT(ISNUMBER($K761)),"",PI()*($K761/2)^2)</f>
        <v/>
      </c>
      <c r="M761" s="9" t="str">
        <f aca="false">IF(OR(NOT(ISNUMBER($J761)),NOT(ISNUMBER($L761)),$L761=0),"",$J761/$L761*10000)</f>
        <v/>
      </c>
      <c r="N761" s="9" t="str">
        <f aca="false">IF(NOT(ISNUMBER($M761)),"",$M761*CARBON_FRACTION_ROOT/1000)</f>
        <v/>
      </c>
      <c r="O761" s="11" t="str">
        <f aca="false">IF(AND($A761="",$B761="",$G761=""),"",IF(AND($B761&lt;&gt;"",COUNTIFS('2. Soil Data'!$B$5:$B$604,$B761)=0),"Core ID not found in Soil Data, so the corer diameter cannot be looked up. ","")&amp;IF(ASH_CORRECTED&lt;&gt;"Yes","Root mass is NOT ash-corrected, so it includes adhering mineral soil and is too high. Set ASH_CORRECTED once you have done it. ","")&amp;IF(AND(ASH_CORRECTED="Yes",NOT(ISNUMBER($H761))),"Ash correction is switched on but no ash fraction is given for this row. ","")&amp;IF($I761="","Sieve mesh not recorded — a fine-root figure cannot be interpreted without it. ","")&amp;IF(AND(ISNUMBER($H761),$H761&gt;0.5),"Ash fraction above 0.5 — over half this sample was mineral soil. Re-wash. ","")&amp;IF($F761="Not separated","Live and dead not separated. Fine for a stock, but "&amp;"note it in reporting. ",""))</f>
        <v/>
      </c>
      <c r="P761" s="6"/>
      <c r="Q761" s="9" t="n">
        <f aca="false">IF($B761="",0,IF(COUNTIFS($B$5:$B761,$B761)=1,1,0))</f>
        <v>0</v>
      </c>
    </row>
    <row r="762" customFormat="false" ht="15" hidden="false" customHeight="false" outlineLevel="0" collapsed="false">
      <c r="A762" s="6"/>
      <c r="B762" s="6"/>
      <c r="C762" s="6"/>
      <c r="D762" s="6"/>
      <c r="E762" s="6"/>
      <c r="F762" s="6"/>
      <c r="G762" s="7"/>
      <c r="H762" s="7"/>
      <c r="I762" s="6"/>
      <c r="J762" s="9" t="str">
        <f aca="false">IF(NOT(ISNUMBER($G762)),"",IF(AND(ASH_CORRECTED="Yes",ISNUMBER($H762)),$G762*(1-$H762),$G762))</f>
        <v/>
      </c>
      <c r="K762" s="9" t="str">
        <f aca="false">IF($B762="","",IFERROR(AVERAGEIFS('2. Soil Data'!$G$5:$G$604,'2. Soil Data'!$B$5:$B$604,$B762),""))</f>
        <v/>
      </c>
      <c r="L762" s="9" t="str">
        <f aca="false">IF(NOT(ISNUMBER($K762)),"",PI()*($K762/2)^2)</f>
        <v/>
      </c>
      <c r="M762" s="9" t="str">
        <f aca="false">IF(OR(NOT(ISNUMBER($J762)),NOT(ISNUMBER($L762)),$L762=0),"",$J762/$L762*10000)</f>
        <v/>
      </c>
      <c r="N762" s="9" t="str">
        <f aca="false">IF(NOT(ISNUMBER($M762)),"",$M762*CARBON_FRACTION_ROOT/1000)</f>
        <v/>
      </c>
      <c r="O762" s="11" t="str">
        <f aca="false">IF(AND($A762="",$B762="",$G762=""),"",IF(AND($B762&lt;&gt;"",COUNTIFS('2. Soil Data'!$B$5:$B$604,$B762)=0),"Core ID not found in Soil Data, so the corer diameter cannot be looked up. ","")&amp;IF(ASH_CORRECTED&lt;&gt;"Yes","Root mass is NOT ash-corrected, so it includes adhering mineral soil and is too high. Set ASH_CORRECTED once you have done it. ","")&amp;IF(AND(ASH_CORRECTED="Yes",NOT(ISNUMBER($H762))),"Ash correction is switched on but no ash fraction is given for this row. ","")&amp;IF($I762="","Sieve mesh not recorded — a fine-root figure cannot be interpreted without it. ","")&amp;IF(AND(ISNUMBER($H762),$H762&gt;0.5),"Ash fraction above 0.5 — over half this sample was mineral soil. Re-wash. ","")&amp;IF($F762="Not separated","Live and dead not separated. Fine for a stock, but "&amp;"note it in reporting. ",""))</f>
        <v/>
      </c>
      <c r="P762" s="6"/>
      <c r="Q762" s="9" t="n">
        <f aca="false">IF($B762="",0,IF(COUNTIFS($B$5:$B762,$B762)=1,1,0))</f>
        <v>0</v>
      </c>
    </row>
    <row r="763" customFormat="false" ht="15" hidden="false" customHeight="false" outlineLevel="0" collapsed="false">
      <c r="A763" s="6"/>
      <c r="B763" s="6"/>
      <c r="C763" s="6"/>
      <c r="D763" s="6"/>
      <c r="E763" s="6"/>
      <c r="F763" s="6"/>
      <c r="G763" s="7"/>
      <c r="H763" s="7"/>
      <c r="I763" s="6"/>
      <c r="J763" s="9" t="str">
        <f aca="false">IF(NOT(ISNUMBER($G763)),"",IF(AND(ASH_CORRECTED="Yes",ISNUMBER($H763)),$G763*(1-$H763),$G763))</f>
        <v/>
      </c>
      <c r="K763" s="9" t="str">
        <f aca="false">IF($B763="","",IFERROR(AVERAGEIFS('2. Soil Data'!$G$5:$G$604,'2. Soil Data'!$B$5:$B$604,$B763),""))</f>
        <v/>
      </c>
      <c r="L763" s="9" t="str">
        <f aca="false">IF(NOT(ISNUMBER($K763)),"",PI()*($K763/2)^2)</f>
        <v/>
      </c>
      <c r="M763" s="9" t="str">
        <f aca="false">IF(OR(NOT(ISNUMBER($J763)),NOT(ISNUMBER($L763)),$L763=0),"",$J763/$L763*10000)</f>
        <v/>
      </c>
      <c r="N763" s="9" t="str">
        <f aca="false">IF(NOT(ISNUMBER($M763)),"",$M763*CARBON_FRACTION_ROOT/1000)</f>
        <v/>
      </c>
      <c r="O763" s="11" t="str">
        <f aca="false">IF(AND($A763="",$B763="",$G763=""),"",IF(AND($B763&lt;&gt;"",COUNTIFS('2. Soil Data'!$B$5:$B$604,$B763)=0),"Core ID not found in Soil Data, so the corer diameter cannot be looked up. ","")&amp;IF(ASH_CORRECTED&lt;&gt;"Yes","Root mass is NOT ash-corrected, so it includes adhering mineral soil and is too high. Set ASH_CORRECTED once you have done it. ","")&amp;IF(AND(ASH_CORRECTED="Yes",NOT(ISNUMBER($H763))),"Ash correction is switched on but no ash fraction is given for this row. ","")&amp;IF($I763="","Sieve mesh not recorded — a fine-root figure cannot be interpreted without it. ","")&amp;IF(AND(ISNUMBER($H763),$H763&gt;0.5),"Ash fraction above 0.5 — over half this sample was mineral soil. Re-wash. ","")&amp;IF($F763="Not separated","Live and dead not separated. Fine for a stock, but "&amp;"note it in reporting. ",""))</f>
        <v/>
      </c>
      <c r="P763" s="6"/>
      <c r="Q763" s="9" t="n">
        <f aca="false">IF($B763="",0,IF(COUNTIFS($B$5:$B763,$B763)=1,1,0))</f>
        <v>0</v>
      </c>
    </row>
    <row r="764" customFormat="false" ht="15" hidden="false" customHeight="false" outlineLevel="0" collapsed="false">
      <c r="A764" s="6"/>
      <c r="B764" s="6"/>
      <c r="C764" s="6"/>
      <c r="D764" s="6"/>
      <c r="E764" s="6"/>
      <c r="F764" s="6"/>
      <c r="G764" s="7"/>
      <c r="H764" s="7"/>
      <c r="I764" s="6"/>
      <c r="J764" s="9" t="str">
        <f aca="false">IF(NOT(ISNUMBER($G764)),"",IF(AND(ASH_CORRECTED="Yes",ISNUMBER($H764)),$G764*(1-$H764),$G764))</f>
        <v/>
      </c>
      <c r="K764" s="9" t="str">
        <f aca="false">IF($B764="","",IFERROR(AVERAGEIFS('2. Soil Data'!$G$5:$G$604,'2. Soil Data'!$B$5:$B$604,$B764),""))</f>
        <v/>
      </c>
      <c r="L764" s="9" t="str">
        <f aca="false">IF(NOT(ISNUMBER($K764)),"",PI()*($K764/2)^2)</f>
        <v/>
      </c>
      <c r="M764" s="9" t="str">
        <f aca="false">IF(OR(NOT(ISNUMBER($J764)),NOT(ISNUMBER($L764)),$L764=0),"",$J764/$L764*10000)</f>
        <v/>
      </c>
      <c r="N764" s="9" t="str">
        <f aca="false">IF(NOT(ISNUMBER($M764)),"",$M764*CARBON_FRACTION_ROOT/1000)</f>
        <v/>
      </c>
      <c r="O764" s="11" t="str">
        <f aca="false">IF(AND($A764="",$B764="",$G764=""),"",IF(AND($B764&lt;&gt;"",COUNTIFS('2. Soil Data'!$B$5:$B$604,$B764)=0),"Core ID not found in Soil Data, so the corer diameter cannot be looked up. ","")&amp;IF(ASH_CORRECTED&lt;&gt;"Yes","Root mass is NOT ash-corrected, so it includes adhering mineral soil and is too high. Set ASH_CORRECTED once you have done it. ","")&amp;IF(AND(ASH_CORRECTED="Yes",NOT(ISNUMBER($H764))),"Ash correction is switched on but no ash fraction is given for this row. ","")&amp;IF($I764="","Sieve mesh not recorded — a fine-root figure cannot be interpreted without it. ","")&amp;IF(AND(ISNUMBER($H764),$H764&gt;0.5),"Ash fraction above 0.5 — over half this sample was mineral soil. Re-wash. ","")&amp;IF($F764="Not separated","Live and dead not separated. Fine for a stock, but "&amp;"note it in reporting. ",""))</f>
        <v/>
      </c>
      <c r="P764" s="6"/>
      <c r="Q764" s="9" t="n">
        <f aca="false">IF($B764="",0,IF(COUNTIFS($B$5:$B764,$B764)=1,1,0))</f>
        <v>0</v>
      </c>
    </row>
    <row r="765" customFormat="false" ht="15" hidden="false" customHeight="false" outlineLevel="0" collapsed="false">
      <c r="A765" s="6"/>
      <c r="B765" s="6"/>
      <c r="C765" s="6"/>
      <c r="D765" s="6"/>
      <c r="E765" s="6"/>
      <c r="F765" s="6"/>
      <c r="G765" s="7"/>
      <c r="H765" s="7"/>
      <c r="I765" s="6"/>
      <c r="J765" s="9" t="str">
        <f aca="false">IF(NOT(ISNUMBER($G765)),"",IF(AND(ASH_CORRECTED="Yes",ISNUMBER($H765)),$G765*(1-$H765),$G765))</f>
        <v/>
      </c>
      <c r="K765" s="9" t="str">
        <f aca="false">IF($B765="","",IFERROR(AVERAGEIFS('2. Soil Data'!$G$5:$G$604,'2. Soil Data'!$B$5:$B$604,$B765),""))</f>
        <v/>
      </c>
      <c r="L765" s="9" t="str">
        <f aca="false">IF(NOT(ISNUMBER($K765)),"",PI()*($K765/2)^2)</f>
        <v/>
      </c>
      <c r="M765" s="9" t="str">
        <f aca="false">IF(OR(NOT(ISNUMBER($J765)),NOT(ISNUMBER($L765)),$L765=0),"",$J765/$L765*10000)</f>
        <v/>
      </c>
      <c r="N765" s="9" t="str">
        <f aca="false">IF(NOT(ISNUMBER($M765)),"",$M765*CARBON_FRACTION_ROOT/1000)</f>
        <v/>
      </c>
      <c r="O765" s="11" t="str">
        <f aca="false">IF(AND($A765="",$B765="",$G765=""),"",IF(AND($B765&lt;&gt;"",COUNTIFS('2. Soil Data'!$B$5:$B$604,$B765)=0),"Core ID not found in Soil Data, so the corer diameter cannot be looked up. ","")&amp;IF(ASH_CORRECTED&lt;&gt;"Yes","Root mass is NOT ash-corrected, so it includes adhering mineral soil and is too high. Set ASH_CORRECTED once you have done it. ","")&amp;IF(AND(ASH_CORRECTED="Yes",NOT(ISNUMBER($H765))),"Ash correction is switched on but no ash fraction is given for this row. ","")&amp;IF($I765="","Sieve mesh not recorded — a fine-root figure cannot be interpreted without it. ","")&amp;IF(AND(ISNUMBER($H765),$H765&gt;0.5),"Ash fraction above 0.5 — over half this sample was mineral soil. Re-wash. ","")&amp;IF($F765="Not separated","Live and dead not separated. Fine for a stock, but "&amp;"note it in reporting. ",""))</f>
        <v/>
      </c>
      <c r="P765" s="6"/>
      <c r="Q765" s="9" t="n">
        <f aca="false">IF($B765="",0,IF(COUNTIFS($B$5:$B765,$B765)=1,1,0))</f>
        <v>0</v>
      </c>
    </row>
    <row r="766" customFormat="false" ht="15" hidden="false" customHeight="false" outlineLevel="0" collapsed="false">
      <c r="A766" s="6"/>
      <c r="B766" s="6"/>
      <c r="C766" s="6"/>
      <c r="D766" s="6"/>
      <c r="E766" s="6"/>
      <c r="F766" s="6"/>
      <c r="G766" s="7"/>
      <c r="H766" s="7"/>
      <c r="I766" s="6"/>
      <c r="J766" s="9" t="str">
        <f aca="false">IF(NOT(ISNUMBER($G766)),"",IF(AND(ASH_CORRECTED="Yes",ISNUMBER($H766)),$G766*(1-$H766),$G766))</f>
        <v/>
      </c>
      <c r="K766" s="9" t="str">
        <f aca="false">IF($B766="","",IFERROR(AVERAGEIFS('2. Soil Data'!$G$5:$G$604,'2. Soil Data'!$B$5:$B$604,$B766),""))</f>
        <v/>
      </c>
      <c r="L766" s="9" t="str">
        <f aca="false">IF(NOT(ISNUMBER($K766)),"",PI()*($K766/2)^2)</f>
        <v/>
      </c>
      <c r="M766" s="9" t="str">
        <f aca="false">IF(OR(NOT(ISNUMBER($J766)),NOT(ISNUMBER($L766)),$L766=0),"",$J766/$L766*10000)</f>
        <v/>
      </c>
      <c r="N766" s="9" t="str">
        <f aca="false">IF(NOT(ISNUMBER($M766)),"",$M766*CARBON_FRACTION_ROOT/1000)</f>
        <v/>
      </c>
      <c r="O766" s="11" t="str">
        <f aca="false">IF(AND($A766="",$B766="",$G766=""),"",IF(AND($B766&lt;&gt;"",COUNTIFS('2. Soil Data'!$B$5:$B$604,$B766)=0),"Core ID not found in Soil Data, so the corer diameter cannot be looked up. ","")&amp;IF(ASH_CORRECTED&lt;&gt;"Yes","Root mass is NOT ash-corrected, so it includes adhering mineral soil and is too high. Set ASH_CORRECTED once you have done it. ","")&amp;IF(AND(ASH_CORRECTED="Yes",NOT(ISNUMBER($H766))),"Ash correction is switched on but no ash fraction is given for this row. ","")&amp;IF($I766="","Sieve mesh not recorded — a fine-root figure cannot be interpreted without it. ","")&amp;IF(AND(ISNUMBER($H766),$H766&gt;0.5),"Ash fraction above 0.5 — over half this sample was mineral soil. Re-wash. ","")&amp;IF($F766="Not separated","Live and dead not separated. Fine for a stock, but "&amp;"note it in reporting. ",""))</f>
        <v/>
      </c>
      <c r="P766" s="6"/>
      <c r="Q766" s="9" t="n">
        <f aca="false">IF($B766="",0,IF(COUNTIFS($B$5:$B766,$B766)=1,1,0))</f>
        <v>0</v>
      </c>
    </row>
    <row r="767" customFormat="false" ht="15" hidden="false" customHeight="false" outlineLevel="0" collapsed="false">
      <c r="A767" s="6"/>
      <c r="B767" s="6"/>
      <c r="C767" s="6"/>
      <c r="D767" s="6"/>
      <c r="E767" s="6"/>
      <c r="F767" s="6"/>
      <c r="G767" s="7"/>
      <c r="H767" s="7"/>
      <c r="I767" s="6"/>
      <c r="J767" s="9" t="str">
        <f aca="false">IF(NOT(ISNUMBER($G767)),"",IF(AND(ASH_CORRECTED="Yes",ISNUMBER($H767)),$G767*(1-$H767),$G767))</f>
        <v/>
      </c>
      <c r="K767" s="9" t="str">
        <f aca="false">IF($B767="","",IFERROR(AVERAGEIFS('2. Soil Data'!$G$5:$G$604,'2. Soil Data'!$B$5:$B$604,$B767),""))</f>
        <v/>
      </c>
      <c r="L767" s="9" t="str">
        <f aca="false">IF(NOT(ISNUMBER($K767)),"",PI()*($K767/2)^2)</f>
        <v/>
      </c>
      <c r="M767" s="9" t="str">
        <f aca="false">IF(OR(NOT(ISNUMBER($J767)),NOT(ISNUMBER($L767)),$L767=0),"",$J767/$L767*10000)</f>
        <v/>
      </c>
      <c r="N767" s="9" t="str">
        <f aca="false">IF(NOT(ISNUMBER($M767)),"",$M767*CARBON_FRACTION_ROOT/1000)</f>
        <v/>
      </c>
      <c r="O767" s="11" t="str">
        <f aca="false">IF(AND($A767="",$B767="",$G767=""),"",IF(AND($B767&lt;&gt;"",COUNTIFS('2. Soil Data'!$B$5:$B$604,$B767)=0),"Core ID not found in Soil Data, so the corer diameter cannot be looked up. ","")&amp;IF(ASH_CORRECTED&lt;&gt;"Yes","Root mass is NOT ash-corrected, so it includes adhering mineral soil and is too high. Set ASH_CORRECTED once you have done it. ","")&amp;IF(AND(ASH_CORRECTED="Yes",NOT(ISNUMBER($H767))),"Ash correction is switched on but no ash fraction is given for this row. ","")&amp;IF($I767="","Sieve mesh not recorded — a fine-root figure cannot be interpreted without it. ","")&amp;IF(AND(ISNUMBER($H767),$H767&gt;0.5),"Ash fraction above 0.5 — over half this sample was mineral soil. Re-wash. ","")&amp;IF($F767="Not separated","Live and dead not separated. Fine for a stock, but "&amp;"note it in reporting. ",""))</f>
        <v/>
      </c>
      <c r="P767" s="6"/>
      <c r="Q767" s="9" t="n">
        <f aca="false">IF($B767="",0,IF(COUNTIFS($B$5:$B767,$B767)=1,1,0))</f>
        <v>0</v>
      </c>
    </row>
    <row r="768" customFormat="false" ht="15" hidden="false" customHeight="false" outlineLevel="0" collapsed="false">
      <c r="A768" s="6"/>
      <c r="B768" s="6"/>
      <c r="C768" s="6"/>
      <c r="D768" s="6"/>
      <c r="E768" s="6"/>
      <c r="F768" s="6"/>
      <c r="G768" s="7"/>
      <c r="H768" s="7"/>
      <c r="I768" s="6"/>
      <c r="J768" s="9" t="str">
        <f aca="false">IF(NOT(ISNUMBER($G768)),"",IF(AND(ASH_CORRECTED="Yes",ISNUMBER($H768)),$G768*(1-$H768),$G768))</f>
        <v/>
      </c>
      <c r="K768" s="9" t="str">
        <f aca="false">IF($B768="","",IFERROR(AVERAGEIFS('2. Soil Data'!$G$5:$G$604,'2. Soil Data'!$B$5:$B$604,$B768),""))</f>
        <v/>
      </c>
      <c r="L768" s="9" t="str">
        <f aca="false">IF(NOT(ISNUMBER($K768)),"",PI()*($K768/2)^2)</f>
        <v/>
      </c>
      <c r="M768" s="9" t="str">
        <f aca="false">IF(OR(NOT(ISNUMBER($J768)),NOT(ISNUMBER($L768)),$L768=0),"",$J768/$L768*10000)</f>
        <v/>
      </c>
      <c r="N768" s="9" t="str">
        <f aca="false">IF(NOT(ISNUMBER($M768)),"",$M768*CARBON_FRACTION_ROOT/1000)</f>
        <v/>
      </c>
      <c r="O768" s="11" t="str">
        <f aca="false">IF(AND($A768="",$B768="",$G768=""),"",IF(AND($B768&lt;&gt;"",COUNTIFS('2. Soil Data'!$B$5:$B$604,$B768)=0),"Core ID not found in Soil Data, so the corer diameter cannot be looked up. ","")&amp;IF(ASH_CORRECTED&lt;&gt;"Yes","Root mass is NOT ash-corrected, so it includes adhering mineral soil and is too high. Set ASH_CORRECTED once you have done it. ","")&amp;IF(AND(ASH_CORRECTED="Yes",NOT(ISNUMBER($H768))),"Ash correction is switched on but no ash fraction is given for this row. ","")&amp;IF($I768="","Sieve mesh not recorded — a fine-root figure cannot be interpreted without it. ","")&amp;IF(AND(ISNUMBER($H768),$H768&gt;0.5),"Ash fraction above 0.5 — over half this sample was mineral soil. Re-wash. ","")&amp;IF($F768="Not separated","Live and dead not separated. Fine for a stock, but "&amp;"note it in reporting. ",""))</f>
        <v/>
      </c>
      <c r="P768" s="6"/>
      <c r="Q768" s="9" t="n">
        <f aca="false">IF($B768="",0,IF(COUNTIFS($B$5:$B768,$B768)=1,1,0))</f>
        <v>0</v>
      </c>
    </row>
    <row r="769" customFormat="false" ht="15" hidden="false" customHeight="false" outlineLevel="0" collapsed="false">
      <c r="A769" s="6"/>
      <c r="B769" s="6"/>
      <c r="C769" s="6"/>
      <c r="D769" s="6"/>
      <c r="E769" s="6"/>
      <c r="F769" s="6"/>
      <c r="G769" s="7"/>
      <c r="H769" s="7"/>
      <c r="I769" s="6"/>
      <c r="J769" s="9" t="str">
        <f aca="false">IF(NOT(ISNUMBER($G769)),"",IF(AND(ASH_CORRECTED="Yes",ISNUMBER($H769)),$G769*(1-$H769),$G769))</f>
        <v/>
      </c>
      <c r="K769" s="9" t="str">
        <f aca="false">IF($B769="","",IFERROR(AVERAGEIFS('2. Soil Data'!$G$5:$G$604,'2. Soil Data'!$B$5:$B$604,$B769),""))</f>
        <v/>
      </c>
      <c r="L769" s="9" t="str">
        <f aca="false">IF(NOT(ISNUMBER($K769)),"",PI()*($K769/2)^2)</f>
        <v/>
      </c>
      <c r="M769" s="9" t="str">
        <f aca="false">IF(OR(NOT(ISNUMBER($J769)),NOT(ISNUMBER($L769)),$L769=0),"",$J769/$L769*10000)</f>
        <v/>
      </c>
      <c r="N769" s="9" t="str">
        <f aca="false">IF(NOT(ISNUMBER($M769)),"",$M769*CARBON_FRACTION_ROOT/1000)</f>
        <v/>
      </c>
      <c r="O769" s="11" t="str">
        <f aca="false">IF(AND($A769="",$B769="",$G769=""),"",IF(AND($B769&lt;&gt;"",COUNTIFS('2. Soil Data'!$B$5:$B$604,$B769)=0),"Core ID not found in Soil Data, so the corer diameter cannot be looked up. ","")&amp;IF(ASH_CORRECTED&lt;&gt;"Yes","Root mass is NOT ash-corrected, so it includes adhering mineral soil and is too high. Set ASH_CORRECTED once you have done it. ","")&amp;IF(AND(ASH_CORRECTED="Yes",NOT(ISNUMBER($H769))),"Ash correction is switched on but no ash fraction is given for this row. ","")&amp;IF($I769="","Sieve mesh not recorded — a fine-root figure cannot be interpreted without it. ","")&amp;IF(AND(ISNUMBER($H769),$H769&gt;0.5),"Ash fraction above 0.5 — over half this sample was mineral soil. Re-wash. ","")&amp;IF($F769="Not separated","Live and dead not separated. Fine for a stock, but "&amp;"note it in reporting. ",""))</f>
        <v/>
      </c>
      <c r="P769" s="6"/>
      <c r="Q769" s="9" t="n">
        <f aca="false">IF($B769="",0,IF(COUNTIFS($B$5:$B769,$B769)=1,1,0))</f>
        <v>0</v>
      </c>
    </row>
    <row r="770" customFormat="false" ht="15" hidden="false" customHeight="false" outlineLevel="0" collapsed="false">
      <c r="A770" s="6"/>
      <c r="B770" s="6"/>
      <c r="C770" s="6"/>
      <c r="D770" s="6"/>
      <c r="E770" s="6"/>
      <c r="F770" s="6"/>
      <c r="G770" s="7"/>
      <c r="H770" s="7"/>
      <c r="I770" s="6"/>
      <c r="J770" s="9" t="str">
        <f aca="false">IF(NOT(ISNUMBER($G770)),"",IF(AND(ASH_CORRECTED="Yes",ISNUMBER($H770)),$G770*(1-$H770),$G770))</f>
        <v/>
      </c>
      <c r="K770" s="9" t="str">
        <f aca="false">IF($B770="","",IFERROR(AVERAGEIFS('2. Soil Data'!$G$5:$G$604,'2. Soil Data'!$B$5:$B$604,$B770),""))</f>
        <v/>
      </c>
      <c r="L770" s="9" t="str">
        <f aca="false">IF(NOT(ISNUMBER($K770)),"",PI()*($K770/2)^2)</f>
        <v/>
      </c>
      <c r="M770" s="9" t="str">
        <f aca="false">IF(OR(NOT(ISNUMBER($J770)),NOT(ISNUMBER($L770)),$L770=0),"",$J770/$L770*10000)</f>
        <v/>
      </c>
      <c r="N770" s="9" t="str">
        <f aca="false">IF(NOT(ISNUMBER($M770)),"",$M770*CARBON_FRACTION_ROOT/1000)</f>
        <v/>
      </c>
      <c r="O770" s="11" t="str">
        <f aca="false">IF(AND($A770="",$B770="",$G770=""),"",IF(AND($B770&lt;&gt;"",COUNTIFS('2. Soil Data'!$B$5:$B$604,$B770)=0),"Core ID not found in Soil Data, so the corer diameter cannot be looked up. ","")&amp;IF(ASH_CORRECTED&lt;&gt;"Yes","Root mass is NOT ash-corrected, so it includes adhering mineral soil and is too high. Set ASH_CORRECTED once you have done it. ","")&amp;IF(AND(ASH_CORRECTED="Yes",NOT(ISNUMBER($H770))),"Ash correction is switched on but no ash fraction is given for this row. ","")&amp;IF($I770="","Sieve mesh not recorded — a fine-root figure cannot be interpreted without it. ","")&amp;IF(AND(ISNUMBER($H770),$H770&gt;0.5),"Ash fraction above 0.5 — over half this sample was mineral soil. Re-wash. ","")&amp;IF($F770="Not separated","Live and dead not separated. Fine for a stock, but "&amp;"note it in reporting. ",""))</f>
        <v/>
      </c>
      <c r="P770" s="6"/>
      <c r="Q770" s="9" t="n">
        <f aca="false">IF($B770="",0,IF(COUNTIFS($B$5:$B770,$B770)=1,1,0))</f>
        <v>0</v>
      </c>
    </row>
    <row r="771" customFormat="false" ht="15" hidden="false" customHeight="false" outlineLevel="0" collapsed="false">
      <c r="A771" s="6"/>
      <c r="B771" s="6"/>
      <c r="C771" s="6"/>
      <c r="D771" s="6"/>
      <c r="E771" s="6"/>
      <c r="F771" s="6"/>
      <c r="G771" s="7"/>
      <c r="H771" s="7"/>
      <c r="I771" s="6"/>
      <c r="J771" s="9" t="str">
        <f aca="false">IF(NOT(ISNUMBER($G771)),"",IF(AND(ASH_CORRECTED="Yes",ISNUMBER($H771)),$G771*(1-$H771),$G771))</f>
        <v/>
      </c>
      <c r="K771" s="9" t="str">
        <f aca="false">IF($B771="","",IFERROR(AVERAGEIFS('2. Soil Data'!$G$5:$G$604,'2. Soil Data'!$B$5:$B$604,$B771),""))</f>
        <v/>
      </c>
      <c r="L771" s="9" t="str">
        <f aca="false">IF(NOT(ISNUMBER($K771)),"",PI()*($K771/2)^2)</f>
        <v/>
      </c>
      <c r="M771" s="9" t="str">
        <f aca="false">IF(OR(NOT(ISNUMBER($J771)),NOT(ISNUMBER($L771)),$L771=0),"",$J771/$L771*10000)</f>
        <v/>
      </c>
      <c r="N771" s="9" t="str">
        <f aca="false">IF(NOT(ISNUMBER($M771)),"",$M771*CARBON_FRACTION_ROOT/1000)</f>
        <v/>
      </c>
      <c r="O771" s="11" t="str">
        <f aca="false">IF(AND($A771="",$B771="",$G771=""),"",IF(AND($B771&lt;&gt;"",COUNTIFS('2. Soil Data'!$B$5:$B$604,$B771)=0),"Core ID not found in Soil Data, so the corer diameter cannot be looked up. ","")&amp;IF(ASH_CORRECTED&lt;&gt;"Yes","Root mass is NOT ash-corrected, so it includes adhering mineral soil and is too high. Set ASH_CORRECTED once you have done it. ","")&amp;IF(AND(ASH_CORRECTED="Yes",NOT(ISNUMBER($H771))),"Ash correction is switched on but no ash fraction is given for this row. ","")&amp;IF($I771="","Sieve mesh not recorded — a fine-root figure cannot be interpreted without it. ","")&amp;IF(AND(ISNUMBER($H771),$H771&gt;0.5),"Ash fraction above 0.5 — over half this sample was mineral soil. Re-wash. ","")&amp;IF($F771="Not separated","Live and dead not separated. Fine for a stock, but "&amp;"note it in reporting. ",""))</f>
        <v/>
      </c>
      <c r="P771" s="6"/>
      <c r="Q771" s="9" t="n">
        <f aca="false">IF($B771="",0,IF(COUNTIFS($B$5:$B771,$B771)=1,1,0))</f>
        <v>0</v>
      </c>
    </row>
    <row r="772" customFormat="false" ht="15" hidden="false" customHeight="false" outlineLevel="0" collapsed="false">
      <c r="A772" s="6"/>
      <c r="B772" s="6"/>
      <c r="C772" s="6"/>
      <c r="D772" s="6"/>
      <c r="E772" s="6"/>
      <c r="F772" s="6"/>
      <c r="G772" s="7"/>
      <c r="H772" s="7"/>
      <c r="I772" s="6"/>
      <c r="J772" s="9" t="str">
        <f aca="false">IF(NOT(ISNUMBER($G772)),"",IF(AND(ASH_CORRECTED="Yes",ISNUMBER($H772)),$G772*(1-$H772),$G772))</f>
        <v/>
      </c>
      <c r="K772" s="9" t="str">
        <f aca="false">IF($B772="","",IFERROR(AVERAGEIFS('2. Soil Data'!$G$5:$G$604,'2. Soil Data'!$B$5:$B$604,$B772),""))</f>
        <v/>
      </c>
      <c r="L772" s="9" t="str">
        <f aca="false">IF(NOT(ISNUMBER($K772)),"",PI()*($K772/2)^2)</f>
        <v/>
      </c>
      <c r="M772" s="9" t="str">
        <f aca="false">IF(OR(NOT(ISNUMBER($J772)),NOT(ISNUMBER($L772)),$L772=0),"",$J772/$L772*10000)</f>
        <v/>
      </c>
      <c r="N772" s="9" t="str">
        <f aca="false">IF(NOT(ISNUMBER($M772)),"",$M772*CARBON_FRACTION_ROOT/1000)</f>
        <v/>
      </c>
      <c r="O772" s="11" t="str">
        <f aca="false">IF(AND($A772="",$B772="",$G772=""),"",IF(AND($B772&lt;&gt;"",COUNTIFS('2. Soil Data'!$B$5:$B$604,$B772)=0),"Core ID not found in Soil Data, so the corer diameter cannot be looked up. ","")&amp;IF(ASH_CORRECTED&lt;&gt;"Yes","Root mass is NOT ash-corrected, so it includes adhering mineral soil and is too high. Set ASH_CORRECTED once you have done it. ","")&amp;IF(AND(ASH_CORRECTED="Yes",NOT(ISNUMBER($H772))),"Ash correction is switched on but no ash fraction is given for this row. ","")&amp;IF($I772="","Sieve mesh not recorded — a fine-root figure cannot be interpreted without it. ","")&amp;IF(AND(ISNUMBER($H772),$H772&gt;0.5),"Ash fraction above 0.5 — over half this sample was mineral soil. Re-wash. ","")&amp;IF($F772="Not separated","Live and dead not separated. Fine for a stock, but "&amp;"note it in reporting. ",""))</f>
        <v/>
      </c>
      <c r="P772" s="6"/>
      <c r="Q772" s="9" t="n">
        <f aca="false">IF($B772="",0,IF(COUNTIFS($B$5:$B772,$B772)=1,1,0))</f>
        <v>0</v>
      </c>
    </row>
    <row r="773" customFormat="false" ht="15" hidden="false" customHeight="false" outlineLevel="0" collapsed="false">
      <c r="A773" s="6"/>
      <c r="B773" s="6"/>
      <c r="C773" s="6"/>
      <c r="D773" s="6"/>
      <c r="E773" s="6"/>
      <c r="F773" s="6"/>
      <c r="G773" s="7"/>
      <c r="H773" s="7"/>
      <c r="I773" s="6"/>
      <c r="J773" s="9" t="str">
        <f aca="false">IF(NOT(ISNUMBER($G773)),"",IF(AND(ASH_CORRECTED="Yes",ISNUMBER($H773)),$G773*(1-$H773),$G773))</f>
        <v/>
      </c>
      <c r="K773" s="9" t="str">
        <f aca="false">IF($B773="","",IFERROR(AVERAGEIFS('2. Soil Data'!$G$5:$G$604,'2. Soil Data'!$B$5:$B$604,$B773),""))</f>
        <v/>
      </c>
      <c r="L773" s="9" t="str">
        <f aca="false">IF(NOT(ISNUMBER($K773)),"",PI()*($K773/2)^2)</f>
        <v/>
      </c>
      <c r="M773" s="9" t="str">
        <f aca="false">IF(OR(NOT(ISNUMBER($J773)),NOT(ISNUMBER($L773)),$L773=0),"",$J773/$L773*10000)</f>
        <v/>
      </c>
      <c r="N773" s="9" t="str">
        <f aca="false">IF(NOT(ISNUMBER($M773)),"",$M773*CARBON_FRACTION_ROOT/1000)</f>
        <v/>
      </c>
      <c r="O773" s="11" t="str">
        <f aca="false">IF(AND($A773="",$B773="",$G773=""),"",IF(AND($B773&lt;&gt;"",COUNTIFS('2. Soil Data'!$B$5:$B$604,$B773)=0),"Core ID not found in Soil Data, so the corer diameter cannot be looked up. ","")&amp;IF(ASH_CORRECTED&lt;&gt;"Yes","Root mass is NOT ash-corrected, so it includes adhering mineral soil and is too high. Set ASH_CORRECTED once you have done it. ","")&amp;IF(AND(ASH_CORRECTED="Yes",NOT(ISNUMBER($H773))),"Ash correction is switched on but no ash fraction is given for this row. ","")&amp;IF($I773="","Sieve mesh not recorded — a fine-root figure cannot be interpreted without it. ","")&amp;IF(AND(ISNUMBER($H773),$H773&gt;0.5),"Ash fraction above 0.5 — over half this sample was mineral soil. Re-wash. ","")&amp;IF($F773="Not separated","Live and dead not separated. Fine for a stock, but "&amp;"note it in reporting. ",""))</f>
        <v/>
      </c>
      <c r="P773" s="6"/>
      <c r="Q773" s="9" t="n">
        <f aca="false">IF($B773="",0,IF(COUNTIFS($B$5:$B773,$B773)=1,1,0))</f>
        <v>0</v>
      </c>
    </row>
    <row r="774" customFormat="false" ht="15" hidden="false" customHeight="false" outlineLevel="0" collapsed="false">
      <c r="A774" s="6"/>
      <c r="B774" s="6"/>
      <c r="C774" s="6"/>
      <c r="D774" s="6"/>
      <c r="E774" s="6"/>
      <c r="F774" s="6"/>
      <c r="G774" s="7"/>
      <c r="H774" s="7"/>
      <c r="I774" s="6"/>
      <c r="J774" s="9" t="str">
        <f aca="false">IF(NOT(ISNUMBER($G774)),"",IF(AND(ASH_CORRECTED="Yes",ISNUMBER($H774)),$G774*(1-$H774),$G774))</f>
        <v/>
      </c>
      <c r="K774" s="9" t="str">
        <f aca="false">IF($B774="","",IFERROR(AVERAGEIFS('2. Soil Data'!$G$5:$G$604,'2. Soil Data'!$B$5:$B$604,$B774),""))</f>
        <v/>
      </c>
      <c r="L774" s="9" t="str">
        <f aca="false">IF(NOT(ISNUMBER($K774)),"",PI()*($K774/2)^2)</f>
        <v/>
      </c>
      <c r="M774" s="9" t="str">
        <f aca="false">IF(OR(NOT(ISNUMBER($J774)),NOT(ISNUMBER($L774)),$L774=0),"",$J774/$L774*10000)</f>
        <v/>
      </c>
      <c r="N774" s="9" t="str">
        <f aca="false">IF(NOT(ISNUMBER($M774)),"",$M774*CARBON_FRACTION_ROOT/1000)</f>
        <v/>
      </c>
      <c r="O774" s="11" t="str">
        <f aca="false">IF(AND($A774="",$B774="",$G774=""),"",IF(AND($B774&lt;&gt;"",COUNTIFS('2. Soil Data'!$B$5:$B$604,$B774)=0),"Core ID not found in Soil Data, so the corer diameter cannot be looked up. ","")&amp;IF(ASH_CORRECTED&lt;&gt;"Yes","Root mass is NOT ash-corrected, so it includes adhering mineral soil and is too high. Set ASH_CORRECTED once you have done it. ","")&amp;IF(AND(ASH_CORRECTED="Yes",NOT(ISNUMBER($H774))),"Ash correction is switched on but no ash fraction is given for this row. ","")&amp;IF($I774="","Sieve mesh not recorded — a fine-root figure cannot be interpreted without it. ","")&amp;IF(AND(ISNUMBER($H774),$H774&gt;0.5),"Ash fraction above 0.5 — over half this sample was mineral soil. Re-wash. ","")&amp;IF($F774="Not separated","Live and dead not separated. Fine for a stock, but "&amp;"note it in reporting. ",""))</f>
        <v/>
      </c>
      <c r="P774" s="6"/>
      <c r="Q774" s="9" t="n">
        <f aca="false">IF($B774="",0,IF(COUNTIFS($B$5:$B774,$B774)=1,1,0))</f>
        <v>0</v>
      </c>
    </row>
    <row r="775" customFormat="false" ht="15" hidden="false" customHeight="false" outlineLevel="0" collapsed="false">
      <c r="A775" s="6"/>
      <c r="B775" s="6"/>
      <c r="C775" s="6"/>
      <c r="D775" s="6"/>
      <c r="E775" s="6"/>
      <c r="F775" s="6"/>
      <c r="G775" s="7"/>
      <c r="H775" s="7"/>
      <c r="I775" s="6"/>
      <c r="J775" s="9" t="str">
        <f aca="false">IF(NOT(ISNUMBER($G775)),"",IF(AND(ASH_CORRECTED="Yes",ISNUMBER($H775)),$G775*(1-$H775),$G775))</f>
        <v/>
      </c>
      <c r="K775" s="9" t="str">
        <f aca="false">IF($B775="","",IFERROR(AVERAGEIFS('2. Soil Data'!$G$5:$G$604,'2. Soil Data'!$B$5:$B$604,$B775),""))</f>
        <v/>
      </c>
      <c r="L775" s="9" t="str">
        <f aca="false">IF(NOT(ISNUMBER($K775)),"",PI()*($K775/2)^2)</f>
        <v/>
      </c>
      <c r="M775" s="9" t="str">
        <f aca="false">IF(OR(NOT(ISNUMBER($J775)),NOT(ISNUMBER($L775)),$L775=0),"",$J775/$L775*10000)</f>
        <v/>
      </c>
      <c r="N775" s="9" t="str">
        <f aca="false">IF(NOT(ISNUMBER($M775)),"",$M775*CARBON_FRACTION_ROOT/1000)</f>
        <v/>
      </c>
      <c r="O775" s="11" t="str">
        <f aca="false">IF(AND($A775="",$B775="",$G775=""),"",IF(AND($B775&lt;&gt;"",COUNTIFS('2. Soil Data'!$B$5:$B$604,$B775)=0),"Core ID not found in Soil Data, so the corer diameter cannot be looked up. ","")&amp;IF(ASH_CORRECTED&lt;&gt;"Yes","Root mass is NOT ash-corrected, so it includes adhering mineral soil and is too high. Set ASH_CORRECTED once you have done it. ","")&amp;IF(AND(ASH_CORRECTED="Yes",NOT(ISNUMBER($H775))),"Ash correction is switched on but no ash fraction is given for this row. ","")&amp;IF($I775="","Sieve mesh not recorded — a fine-root figure cannot be interpreted without it. ","")&amp;IF(AND(ISNUMBER($H775),$H775&gt;0.5),"Ash fraction above 0.5 — over half this sample was mineral soil. Re-wash. ","")&amp;IF($F775="Not separated","Live and dead not separated. Fine for a stock, but "&amp;"note it in reporting. ",""))</f>
        <v/>
      </c>
      <c r="P775" s="6"/>
      <c r="Q775" s="9" t="n">
        <f aca="false">IF($B775="",0,IF(COUNTIFS($B$5:$B775,$B775)=1,1,0))</f>
        <v>0</v>
      </c>
    </row>
    <row r="776" customFormat="false" ht="15" hidden="false" customHeight="false" outlineLevel="0" collapsed="false">
      <c r="A776" s="6"/>
      <c r="B776" s="6"/>
      <c r="C776" s="6"/>
      <c r="D776" s="6"/>
      <c r="E776" s="6"/>
      <c r="F776" s="6"/>
      <c r="G776" s="7"/>
      <c r="H776" s="7"/>
      <c r="I776" s="6"/>
      <c r="J776" s="9" t="str">
        <f aca="false">IF(NOT(ISNUMBER($G776)),"",IF(AND(ASH_CORRECTED="Yes",ISNUMBER($H776)),$G776*(1-$H776),$G776))</f>
        <v/>
      </c>
      <c r="K776" s="9" t="str">
        <f aca="false">IF($B776="","",IFERROR(AVERAGEIFS('2. Soil Data'!$G$5:$G$604,'2. Soil Data'!$B$5:$B$604,$B776),""))</f>
        <v/>
      </c>
      <c r="L776" s="9" t="str">
        <f aca="false">IF(NOT(ISNUMBER($K776)),"",PI()*($K776/2)^2)</f>
        <v/>
      </c>
      <c r="M776" s="9" t="str">
        <f aca="false">IF(OR(NOT(ISNUMBER($J776)),NOT(ISNUMBER($L776)),$L776=0),"",$J776/$L776*10000)</f>
        <v/>
      </c>
      <c r="N776" s="9" t="str">
        <f aca="false">IF(NOT(ISNUMBER($M776)),"",$M776*CARBON_FRACTION_ROOT/1000)</f>
        <v/>
      </c>
      <c r="O776" s="11" t="str">
        <f aca="false">IF(AND($A776="",$B776="",$G776=""),"",IF(AND($B776&lt;&gt;"",COUNTIFS('2. Soil Data'!$B$5:$B$604,$B776)=0),"Core ID not found in Soil Data, so the corer diameter cannot be looked up. ","")&amp;IF(ASH_CORRECTED&lt;&gt;"Yes","Root mass is NOT ash-corrected, so it includes adhering mineral soil and is too high. Set ASH_CORRECTED once you have done it. ","")&amp;IF(AND(ASH_CORRECTED="Yes",NOT(ISNUMBER($H776))),"Ash correction is switched on but no ash fraction is given for this row. ","")&amp;IF($I776="","Sieve mesh not recorded — a fine-root figure cannot be interpreted without it. ","")&amp;IF(AND(ISNUMBER($H776),$H776&gt;0.5),"Ash fraction above 0.5 — over half this sample was mineral soil. Re-wash. ","")&amp;IF($F776="Not separated","Live and dead not separated. Fine for a stock, but "&amp;"note it in reporting. ",""))</f>
        <v/>
      </c>
      <c r="P776" s="6"/>
      <c r="Q776" s="9" t="n">
        <f aca="false">IF($B776="",0,IF(COUNTIFS($B$5:$B776,$B776)=1,1,0))</f>
        <v>0</v>
      </c>
    </row>
    <row r="777" customFormat="false" ht="15" hidden="false" customHeight="false" outlineLevel="0" collapsed="false">
      <c r="A777" s="6"/>
      <c r="B777" s="6"/>
      <c r="C777" s="6"/>
      <c r="D777" s="6"/>
      <c r="E777" s="6"/>
      <c r="F777" s="6"/>
      <c r="G777" s="7"/>
      <c r="H777" s="7"/>
      <c r="I777" s="6"/>
      <c r="J777" s="9" t="str">
        <f aca="false">IF(NOT(ISNUMBER($G777)),"",IF(AND(ASH_CORRECTED="Yes",ISNUMBER($H777)),$G777*(1-$H777),$G777))</f>
        <v/>
      </c>
      <c r="K777" s="9" t="str">
        <f aca="false">IF($B777="","",IFERROR(AVERAGEIFS('2. Soil Data'!$G$5:$G$604,'2. Soil Data'!$B$5:$B$604,$B777),""))</f>
        <v/>
      </c>
      <c r="L777" s="9" t="str">
        <f aca="false">IF(NOT(ISNUMBER($K777)),"",PI()*($K777/2)^2)</f>
        <v/>
      </c>
      <c r="M777" s="9" t="str">
        <f aca="false">IF(OR(NOT(ISNUMBER($J777)),NOT(ISNUMBER($L777)),$L777=0),"",$J777/$L777*10000)</f>
        <v/>
      </c>
      <c r="N777" s="9" t="str">
        <f aca="false">IF(NOT(ISNUMBER($M777)),"",$M777*CARBON_FRACTION_ROOT/1000)</f>
        <v/>
      </c>
      <c r="O777" s="11" t="str">
        <f aca="false">IF(AND($A777="",$B777="",$G777=""),"",IF(AND($B777&lt;&gt;"",COUNTIFS('2. Soil Data'!$B$5:$B$604,$B777)=0),"Core ID not found in Soil Data, so the corer diameter cannot be looked up. ","")&amp;IF(ASH_CORRECTED&lt;&gt;"Yes","Root mass is NOT ash-corrected, so it includes adhering mineral soil and is too high. Set ASH_CORRECTED once you have done it. ","")&amp;IF(AND(ASH_CORRECTED="Yes",NOT(ISNUMBER($H777))),"Ash correction is switched on but no ash fraction is given for this row. ","")&amp;IF($I777="","Sieve mesh not recorded — a fine-root figure cannot be interpreted without it. ","")&amp;IF(AND(ISNUMBER($H777),$H777&gt;0.5),"Ash fraction above 0.5 — over half this sample was mineral soil. Re-wash. ","")&amp;IF($F777="Not separated","Live and dead not separated. Fine for a stock, but "&amp;"note it in reporting. ",""))</f>
        <v/>
      </c>
      <c r="P777" s="6"/>
      <c r="Q777" s="9" t="n">
        <f aca="false">IF($B777="",0,IF(COUNTIFS($B$5:$B777,$B777)=1,1,0))</f>
        <v>0</v>
      </c>
    </row>
    <row r="778" customFormat="false" ht="15" hidden="false" customHeight="false" outlineLevel="0" collapsed="false">
      <c r="A778" s="6"/>
      <c r="B778" s="6"/>
      <c r="C778" s="6"/>
      <c r="D778" s="6"/>
      <c r="E778" s="6"/>
      <c r="F778" s="6"/>
      <c r="G778" s="7"/>
      <c r="H778" s="7"/>
      <c r="I778" s="6"/>
      <c r="J778" s="9" t="str">
        <f aca="false">IF(NOT(ISNUMBER($G778)),"",IF(AND(ASH_CORRECTED="Yes",ISNUMBER($H778)),$G778*(1-$H778),$G778))</f>
        <v/>
      </c>
      <c r="K778" s="9" t="str">
        <f aca="false">IF($B778="","",IFERROR(AVERAGEIFS('2. Soil Data'!$G$5:$G$604,'2. Soil Data'!$B$5:$B$604,$B778),""))</f>
        <v/>
      </c>
      <c r="L778" s="9" t="str">
        <f aca="false">IF(NOT(ISNUMBER($K778)),"",PI()*($K778/2)^2)</f>
        <v/>
      </c>
      <c r="M778" s="9" t="str">
        <f aca="false">IF(OR(NOT(ISNUMBER($J778)),NOT(ISNUMBER($L778)),$L778=0),"",$J778/$L778*10000)</f>
        <v/>
      </c>
      <c r="N778" s="9" t="str">
        <f aca="false">IF(NOT(ISNUMBER($M778)),"",$M778*CARBON_FRACTION_ROOT/1000)</f>
        <v/>
      </c>
      <c r="O778" s="11" t="str">
        <f aca="false">IF(AND($A778="",$B778="",$G778=""),"",IF(AND($B778&lt;&gt;"",COUNTIFS('2. Soil Data'!$B$5:$B$604,$B778)=0),"Core ID not found in Soil Data, so the corer diameter cannot be looked up. ","")&amp;IF(ASH_CORRECTED&lt;&gt;"Yes","Root mass is NOT ash-corrected, so it includes adhering mineral soil and is too high. Set ASH_CORRECTED once you have done it. ","")&amp;IF(AND(ASH_CORRECTED="Yes",NOT(ISNUMBER($H778))),"Ash correction is switched on but no ash fraction is given for this row. ","")&amp;IF($I778="","Sieve mesh not recorded — a fine-root figure cannot be interpreted without it. ","")&amp;IF(AND(ISNUMBER($H778),$H778&gt;0.5),"Ash fraction above 0.5 — over half this sample was mineral soil. Re-wash. ","")&amp;IF($F778="Not separated","Live and dead not separated. Fine for a stock, but "&amp;"note it in reporting. ",""))</f>
        <v/>
      </c>
      <c r="P778" s="6"/>
      <c r="Q778" s="9" t="n">
        <f aca="false">IF($B778="",0,IF(COUNTIFS($B$5:$B778,$B778)=1,1,0))</f>
        <v>0</v>
      </c>
    </row>
    <row r="779" customFormat="false" ht="15" hidden="false" customHeight="false" outlineLevel="0" collapsed="false">
      <c r="A779" s="6"/>
      <c r="B779" s="6"/>
      <c r="C779" s="6"/>
      <c r="D779" s="6"/>
      <c r="E779" s="6"/>
      <c r="F779" s="6"/>
      <c r="G779" s="7"/>
      <c r="H779" s="7"/>
      <c r="I779" s="6"/>
      <c r="J779" s="9" t="str">
        <f aca="false">IF(NOT(ISNUMBER($G779)),"",IF(AND(ASH_CORRECTED="Yes",ISNUMBER($H779)),$G779*(1-$H779),$G779))</f>
        <v/>
      </c>
      <c r="K779" s="9" t="str">
        <f aca="false">IF($B779="","",IFERROR(AVERAGEIFS('2. Soil Data'!$G$5:$G$604,'2. Soil Data'!$B$5:$B$604,$B779),""))</f>
        <v/>
      </c>
      <c r="L779" s="9" t="str">
        <f aca="false">IF(NOT(ISNUMBER($K779)),"",PI()*($K779/2)^2)</f>
        <v/>
      </c>
      <c r="M779" s="9" t="str">
        <f aca="false">IF(OR(NOT(ISNUMBER($J779)),NOT(ISNUMBER($L779)),$L779=0),"",$J779/$L779*10000)</f>
        <v/>
      </c>
      <c r="N779" s="9" t="str">
        <f aca="false">IF(NOT(ISNUMBER($M779)),"",$M779*CARBON_FRACTION_ROOT/1000)</f>
        <v/>
      </c>
      <c r="O779" s="11" t="str">
        <f aca="false">IF(AND($A779="",$B779="",$G779=""),"",IF(AND($B779&lt;&gt;"",COUNTIFS('2. Soil Data'!$B$5:$B$604,$B779)=0),"Core ID not found in Soil Data, so the corer diameter cannot be looked up. ","")&amp;IF(ASH_CORRECTED&lt;&gt;"Yes","Root mass is NOT ash-corrected, so it includes adhering mineral soil and is too high. Set ASH_CORRECTED once you have done it. ","")&amp;IF(AND(ASH_CORRECTED="Yes",NOT(ISNUMBER($H779))),"Ash correction is switched on but no ash fraction is given for this row. ","")&amp;IF($I779="","Sieve mesh not recorded — a fine-root figure cannot be interpreted without it. ","")&amp;IF(AND(ISNUMBER($H779),$H779&gt;0.5),"Ash fraction above 0.5 — over half this sample was mineral soil. Re-wash. ","")&amp;IF($F779="Not separated","Live and dead not separated. Fine for a stock, but "&amp;"note it in reporting. ",""))</f>
        <v/>
      </c>
      <c r="P779" s="6"/>
      <c r="Q779" s="9" t="n">
        <f aca="false">IF($B779="",0,IF(COUNTIFS($B$5:$B779,$B779)=1,1,0))</f>
        <v>0</v>
      </c>
    </row>
    <row r="780" customFormat="false" ht="15" hidden="false" customHeight="false" outlineLevel="0" collapsed="false">
      <c r="A780" s="6"/>
      <c r="B780" s="6"/>
      <c r="C780" s="6"/>
      <c r="D780" s="6"/>
      <c r="E780" s="6"/>
      <c r="F780" s="6"/>
      <c r="G780" s="7"/>
      <c r="H780" s="7"/>
      <c r="I780" s="6"/>
      <c r="J780" s="9" t="str">
        <f aca="false">IF(NOT(ISNUMBER($G780)),"",IF(AND(ASH_CORRECTED="Yes",ISNUMBER($H780)),$G780*(1-$H780),$G780))</f>
        <v/>
      </c>
      <c r="K780" s="9" t="str">
        <f aca="false">IF($B780="","",IFERROR(AVERAGEIFS('2. Soil Data'!$G$5:$G$604,'2. Soil Data'!$B$5:$B$604,$B780),""))</f>
        <v/>
      </c>
      <c r="L780" s="9" t="str">
        <f aca="false">IF(NOT(ISNUMBER($K780)),"",PI()*($K780/2)^2)</f>
        <v/>
      </c>
      <c r="M780" s="9" t="str">
        <f aca="false">IF(OR(NOT(ISNUMBER($J780)),NOT(ISNUMBER($L780)),$L780=0),"",$J780/$L780*10000)</f>
        <v/>
      </c>
      <c r="N780" s="9" t="str">
        <f aca="false">IF(NOT(ISNUMBER($M780)),"",$M780*CARBON_FRACTION_ROOT/1000)</f>
        <v/>
      </c>
      <c r="O780" s="11" t="str">
        <f aca="false">IF(AND($A780="",$B780="",$G780=""),"",IF(AND($B780&lt;&gt;"",COUNTIFS('2. Soil Data'!$B$5:$B$604,$B780)=0),"Core ID not found in Soil Data, so the corer diameter cannot be looked up. ","")&amp;IF(ASH_CORRECTED&lt;&gt;"Yes","Root mass is NOT ash-corrected, so it includes adhering mineral soil and is too high. Set ASH_CORRECTED once you have done it. ","")&amp;IF(AND(ASH_CORRECTED="Yes",NOT(ISNUMBER($H780))),"Ash correction is switched on but no ash fraction is given for this row. ","")&amp;IF($I780="","Sieve mesh not recorded — a fine-root figure cannot be interpreted without it. ","")&amp;IF(AND(ISNUMBER($H780),$H780&gt;0.5),"Ash fraction above 0.5 — over half this sample was mineral soil. Re-wash. ","")&amp;IF($F780="Not separated","Live and dead not separated. Fine for a stock, but "&amp;"note it in reporting. ",""))</f>
        <v/>
      </c>
      <c r="P780" s="6"/>
      <c r="Q780" s="9" t="n">
        <f aca="false">IF($B780="",0,IF(COUNTIFS($B$5:$B780,$B780)=1,1,0))</f>
        <v>0</v>
      </c>
    </row>
    <row r="781" customFormat="false" ht="15" hidden="false" customHeight="false" outlineLevel="0" collapsed="false">
      <c r="A781" s="6"/>
      <c r="B781" s="6"/>
      <c r="C781" s="6"/>
      <c r="D781" s="6"/>
      <c r="E781" s="6"/>
      <c r="F781" s="6"/>
      <c r="G781" s="7"/>
      <c r="H781" s="7"/>
      <c r="I781" s="6"/>
      <c r="J781" s="9" t="str">
        <f aca="false">IF(NOT(ISNUMBER($G781)),"",IF(AND(ASH_CORRECTED="Yes",ISNUMBER($H781)),$G781*(1-$H781),$G781))</f>
        <v/>
      </c>
      <c r="K781" s="9" t="str">
        <f aca="false">IF($B781="","",IFERROR(AVERAGEIFS('2. Soil Data'!$G$5:$G$604,'2. Soil Data'!$B$5:$B$604,$B781),""))</f>
        <v/>
      </c>
      <c r="L781" s="9" t="str">
        <f aca="false">IF(NOT(ISNUMBER($K781)),"",PI()*($K781/2)^2)</f>
        <v/>
      </c>
      <c r="M781" s="9" t="str">
        <f aca="false">IF(OR(NOT(ISNUMBER($J781)),NOT(ISNUMBER($L781)),$L781=0),"",$J781/$L781*10000)</f>
        <v/>
      </c>
      <c r="N781" s="9" t="str">
        <f aca="false">IF(NOT(ISNUMBER($M781)),"",$M781*CARBON_FRACTION_ROOT/1000)</f>
        <v/>
      </c>
      <c r="O781" s="11" t="str">
        <f aca="false">IF(AND($A781="",$B781="",$G781=""),"",IF(AND($B781&lt;&gt;"",COUNTIFS('2. Soil Data'!$B$5:$B$604,$B781)=0),"Core ID not found in Soil Data, so the corer diameter cannot be looked up. ","")&amp;IF(ASH_CORRECTED&lt;&gt;"Yes","Root mass is NOT ash-corrected, so it includes adhering mineral soil and is too high. Set ASH_CORRECTED once you have done it. ","")&amp;IF(AND(ASH_CORRECTED="Yes",NOT(ISNUMBER($H781))),"Ash correction is switched on but no ash fraction is given for this row. ","")&amp;IF($I781="","Sieve mesh not recorded — a fine-root figure cannot be interpreted without it. ","")&amp;IF(AND(ISNUMBER($H781),$H781&gt;0.5),"Ash fraction above 0.5 — over half this sample was mineral soil. Re-wash. ","")&amp;IF($F781="Not separated","Live and dead not separated. Fine for a stock, but "&amp;"note it in reporting. ",""))</f>
        <v/>
      </c>
      <c r="P781" s="6"/>
      <c r="Q781" s="9" t="n">
        <f aca="false">IF($B781="",0,IF(COUNTIFS($B$5:$B781,$B781)=1,1,0))</f>
        <v>0</v>
      </c>
    </row>
    <row r="782" customFormat="false" ht="15" hidden="false" customHeight="false" outlineLevel="0" collapsed="false">
      <c r="A782" s="6"/>
      <c r="B782" s="6"/>
      <c r="C782" s="6"/>
      <c r="D782" s="6"/>
      <c r="E782" s="6"/>
      <c r="F782" s="6"/>
      <c r="G782" s="7"/>
      <c r="H782" s="7"/>
      <c r="I782" s="6"/>
      <c r="J782" s="9" t="str">
        <f aca="false">IF(NOT(ISNUMBER($G782)),"",IF(AND(ASH_CORRECTED="Yes",ISNUMBER($H782)),$G782*(1-$H782),$G782))</f>
        <v/>
      </c>
      <c r="K782" s="9" t="str">
        <f aca="false">IF($B782="","",IFERROR(AVERAGEIFS('2. Soil Data'!$G$5:$G$604,'2. Soil Data'!$B$5:$B$604,$B782),""))</f>
        <v/>
      </c>
      <c r="L782" s="9" t="str">
        <f aca="false">IF(NOT(ISNUMBER($K782)),"",PI()*($K782/2)^2)</f>
        <v/>
      </c>
      <c r="M782" s="9" t="str">
        <f aca="false">IF(OR(NOT(ISNUMBER($J782)),NOT(ISNUMBER($L782)),$L782=0),"",$J782/$L782*10000)</f>
        <v/>
      </c>
      <c r="N782" s="9" t="str">
        <f aca="false">IF(NOT(ISNUMBER($M782)),"",$M782*CARBON_FRACTION_ROOT/1000)</f>
        <v/>
      </c>
      <c r="O782" s="11" t="str">
        <f aca="false">IF(AND($A782="",$B782="",$G782=""),"",IF(AND($B782&lt;&gt;"",COUNTIFS('2. Soil Data'!$B$5:$B$604,$B782)=0),"Core ID not found in Soil Data, so the corer diameter cannot be looked up. ","")&amp;IF(ASH_CORRECTED&lt;&gt;"Yes","Root mass is NOT ash-corrected, so it includes adhering mineral soil and is too high. Set ASH_CORRECTED once you have done it. ","")&amp;IF(AND(ASH_CORRECTED="Yes",NOT(ISNUMBER($H782))),"Ash correction is switched on but no ash fraction is given for this row. ","")&amp;IF($I782="","Sieve mesh not recorded — a fine-root figure cannot be interpreted without it. ","")&amp;IF(AND(ISNUMBER($H782),$H782&gt;0.5),"Ash fraction above 0.5 — over half this sample was mineral soil. Re-wash. ","")&amp;IF($F782="Not separated","Live and dead not separated. Fine for a stock, but "&amp;"note it in reporting. ",""))</f>
        <v/>
      </c>
      <c r="P782" s="6"/>
      <c r="Q782" s="9" t="n">
        <f aca="false">IF($B782="",0,IF(COUNTIFS($B$5:$B782,$B782)=1,1,0))</f>
        <v>0</v>
      </c>
    </row>
    <row r="783" customFormat="false" ht="15" hidden="false" customHeight="false" outlineLevel="0" collapsed="false">
      <c r="A783" s="6"/>
      <c r="B783" s="6"/>
      <c r="C783" s="6"/>
      <c r="D783" s="6"/>
      <c r="E783" s="6"/>
      <c r="F783" s="6"/>
      <c r="G783" s="7"/>
      <c r="H783" s="7"/>
      <c r="I783" s="6"/>
      <c r="J783" s="9" t="str">
        <f aca="false">IF(NOT(ISNUMBER($G783)),"",IF(AND(ASH_CORRECTED="Yes",ISNUMBER($H783)),$G783*(1-$H783),$G783))</f>
        <v/>
      </c>
      <c r="K783" s="9" t="str">
        <f aca="false">IF($B783="","",IFERROR(AVERAGEIFS('2. Soil Data'!$G$5:$G$604,'2. Soil Data'!$B$5:$B$604,$B783),""))</f>
        <v/>
      </c>
      <c r="L783" s="9" t="str">
        <f aca="false">IF(NOT(ISNUMBER($K783)),"",PI()*($K783/2)^2)</f>
        <v/>
      </c>
      <c r="M783" s="9" t="str">
        <f aca="false">IF(OR(NOT(ISNUMBER($J783)),NOT(ISNUMBER($L783)),$L783=0),"",$J783/$L783*10000)</f>
        <v/>
      </c>
      <c r="N783" s="9" t="str">
        <f aca="false">IF(NOT(ISNUMBER($M783)),"",$M783*CARBON_FRACTION_ROOT/1000)</f>
        <v/>
      </c>
      <c r="O783" s="11" t="str">
        <f aca="false">IF(AND($A783="",$B783="",$G783=""),"",IF(AND($B783&lt;&gt;"",COUNTIFS('2. Soil Data'!$B$5:$B$604,$B783)=0),"Core ID not found in Soil Data, so the corer diameter cannot be looked up. ","")&amp;IF(ASH_CORRECTED&lt;&gt;"Yes","Root mass is NOT ash-corrected, so it includes adhering mineral soil and is too high. Set ASH_CORRECTED once you have done it. ","")&amp;IF(AND(ASH_CORRECTED="Yes",NOT(ISNUMBER($H783))),"Ash correction is switched on but no ash fraction is given for this row. ","")&amp;IF($I783="","Sieve mesh not recorded — a fine-root figure cannot be interpreted without it. ","")&amp;IF(AND(ISNUMBER($H783),$H783&gt;0.5),"Ash fraction above 0.5 — over half this sample was mineral soil. Re-wash. ","")&amp;IF($F783="Not separated","Live and dead not separated. Fine for a stock, but "&amp;"note it in reporting. ",""))</f>
        <v/>
      </c>
      <c r="P783" s="6"/>
      <c r="Q783" s="9" t="n">
        <f aca="false">IF($B783="",0,IF(COUNTIFS($B$5:$B783,$B783)=1,1,0))</f>
        <v>0</v>
      </c>
    </row>
    <row r="784" customFormat="false" ht="15" hidden="false" customHeight="false" outlineLevel="0" collapsed="false">
      <c r="A784" s="6"/>
      <c r="B784" s="6"/>
      <c r="C784" s="6"/>
      <c r="D784" s="6"/>
      <c r="E784" s="6"/>
      <c r="F784" s="6"/>
      <c r="G784" s="7"/>
      <c r="H784" s="7"/>
      <c r="I784" s="6"/>
      <c r="J784" s="9" t="str">
        <f aca="false">IF(NOT(ISNUMBER($G784)),"",IF(AND(ASH_CORRECTED="Yes",ISNUMBER($H784)),$G784*(1-$H784),$G784))</f>
        <v/>
      </c>
      <c r="K784" s="9" t="str">
        <f aca="false">IF($B784="","",IFERROR(AVERAGEIFS('2. Soil Data'!$G$5:$G$604,'2. Soil Data'!$B$5:$B$604,$B784),""))</f>
        <v/>
      </c>
      <c r="L784" s="9" t="str">
        <f aca="false">IF(NOT(ISNUMBER($K784)),"",PI()*($K784/2)^2)</f>
        <v/>
      </c>
      <c r="M784" s="9" t="str">
        <f aca="false">IF(OR(NOT(ISNUMBER($J784)),NOT(ISNUMBER($L784)),$L784=0),"",$J784/$L784*10000)</f>
        <v/>
      </c>
      <c r="N784" s="9" t="str">
        <f aca="false">IF(NOT(ISNUMBER($M784)),"",$M784*CARBON_FRACTION_ROOT/1000)</f>
        <v/>
      </c>
      <c r="O784" s="11" t="str">
        <f aca="false">IF(AND($A784="",$B784="",$G784=""),"",IF(AND($B784&lt;&gt;"",COUNTIFS('2. Soil Data'!$B$5:$B$604,$B784)=0),"Core ID not found in Soil Data, so the corer diameter cannot be looked up. ","")&amp;IF(ASH_CORRECTED&lt;&gt;"Yes","Root mass is NOT ash-corrected, so it includes adhering mineral soil and is too high. Set ASH_CORRECTED once you have done it. ","")&amp;IF(AND(ASH_CORRECTED="Yes",NOT(ISNUMBER($H784))),"Ash correction is switched on but no ash fraction is given for this row. ","")&amp;IF($I784="","Sieve mesh not recorded — a fine-root figure cannot be interpreted without it. ","")&amp;IF(AND(ISNUMBER($H784),$H784&gt;0.5),"Ash fraction above 0.5 — over half this sample was mineral soil. Re-wash. ","")&amp;IF($F784="Not separated","Live and dead not separated. Fine for a stock, but "&amp;"note it in reporting. ",""))</f>
        <v/>
      </c>
      <c r="P784" s="6"/>
      <c r="Q784" s="9" t="n">
        <f aca="false">IF($B784="",0,IF(COUNTIFS($B$5:$B784,$B784)=1,1,0))</f>
        <v>0</v>
      </c>
    </row>
    <row r="785" customFormat="false" ht="15" hidden="false" customHeight="false" outlineLevel="0" collapsed="false">
      <c r="A785" s="6"/>
      <c r="B785" s="6"/>
      <c r="C785" s="6"/>
      <c r="D785" s="6"/>
      <c r="E785" s="6"/>
      <c r="F785" s="6"/>
      <c r="G785" s="7"/>
      <c r="H785" s="7"/>
      <c r="I785" s="6"/>
      <c r="J785" s="9" t="str">
        <f aca="false">IF(NOT(ISNUMBER($G785)),"",IF(AND(ASH_CORRECTED="Yes",ISNUMBER($H785)),$G785*(1-$H785),$G785))</f>
        <v/>
      </c>
      <c r="K785" s="9" t="str">
        <f aca="false">IF($B785="","",IFERROR(AVERAGEIFS('2. Soil Data'!$G$5:$G$604,'2. Soil Data'!$B$5:$B$604,$B785),""))</f>
        <v/>
      </c>
      <c r="L785" s="9" t="str">
        <f aca="false">IF(NOT(ISNUMBER($K785)),"",PI()*($K785/2)^2)</f>
        <v/>
      </c>
      <c r="M785" s="9" t="str">
        <f aca="false">IF(OR(NOT(ISNUMBER($J785)),NOT(ISNUMBER($L785)),$L785=0),"",$J785/$L785*10000)</f>
        <v/>
      </c>
      <c r="N785" s="9" t="str">
        <f aca="false">IF(NOT(ISNUMBER($M785)),"",$M785*CARBON_FRACTION_ROOT/1000)</f>
        <v/>
      </c>
      <c r="O785" s="11" t="str">
        <f aca="false">IF(AND($A785="",$B785="",$G785=""),"",IF(AND($B785&lt;&gt;"",COUNTIFS('2. Soil Data'!$B$5:$B$604,$B785)=0),"Core ID not found in Soil Data, so the corer diameter cannot be looked up. ","")&amp;IF(ASH_CORRECTED&lt;&gt;"Yes","Root mass is NOT ash-corrected, so it includes adhering mineral soil and is too high. Set ASH_CORRECTED once you have done it. ","")&amp;IF(AND(ASH_CORRECTED="Yes",NOT(ISNUMBER($H785))),"Ash correction is switched on but no ash fraction is given for this row. ","")&amp;IF($I785="","Sieve mesh not recorded — a fine-root figure cannot be interpreted without it. ","")&amp;IF(AND(ISNUMBER($H785),$H785&gt;0.5),"Ash fraction above 0.5 — over half this sample was mineral soil. Re-wash. ","")&amp;IF($F785="Not separated","Live and dead not separated. Fine for a stock, but "&amp;"note it in reporting. ",""))</f>
        <v/>
      </c>
      <c r="P785" s="6"/>
      <c r="Q785" s="9" t="n">
        <f aca="false">IF($B785="",0,IF(COUNTIFS($B$5:$B785,$B785)=1,1,0))</f>
        <v>0</v>
      </c>
    </row>
    <row r="786" customFormat="false" ht="15" hidden="false" customHeight="false" outlineLevel="0" collapsed="false">
      <c r="A786" s="6"/>
      <c r="B786" s="6"/>
      <c r="C786" s="6"/>
      <c r="D786" s="6"/>
      <c r="E786" s="6"/>
      <c r="F786" s="6"/>
      <c r="G786" s="7"/>
      <c r="H786" s="7"/>
      <c r="I786" s="6"/>
      <c r="J786" s="9" t="str">
        <f aca="false">IF(NOT(ISNUMBER($G786)),"",IF(AND(ASH_CORRECTED="Yes",ISNUMBER($H786)),$G786*(1-$H786),$G786))</f>
        <v/>
      </c>
      <c r="K786" s="9" t="str">
        <f aca="false">IF($B786="","",IFERROR(AVERAGEIFS('2. Soil Data'!$G$5:$G$604,'2. Soil Data'!$B$5:$B$604,$B786),""))</f>
        <v/>
      </c>
      <c r="L786" s="9" t="str">
        <f aca="false">IF(NOT(ISNUMBER($K786)),"",PI()*($K786/2)^2)</f>
        <v/>
      </c>
      <c r="M786" s="9" t="str">
        <f aca="false">IF(OR(NOT(ISNUMBER($J786)),NOT(ISNUMBER($L786)),$L786=0),"",$J786/$L786*10000)</f>
        <v/>
      </c>
      <c r="N786" s="9" t="str">
        <f aca="false">IF(NOT(ISNUMBER($M786)),"",$M786*CARBON_FRACTION_ROOT/1000)</f>
        <v/>
      </c>
      <c r="O786" s="11" t="str">
        <f aca="false">IF(AND($A786="",$B786="",$G786=""),"",IF(AND($B786&lt;&gt;"",COUNTIFS('2. Soil Data'!$B$5:$B$604,$B786)=0),"Core ID not found in Soil Data, so the corer diameter cannot be looked up. ","")&amp;IF(ASH_CORRECTED&lt;&gt;"Yes","Root mass is NOT ash-corrected, so it includes adhering mineral soil and is too high. Set ASH_CORRECTED once you have done it. ","")&amp;IF(AND(ASH_CORRECTED="Yes",NOT(ISNUMBER($H786))),"Ash correction is switched on but no ash fraction is given for this row. ","")&amp;IF($I786="","Sieve mesh not recorded — a fine-root figure cannot be interpreted without it. ","")&amp;IF(AND(ISNUMBER($H786),$H786&gt;0.5),"Ash fraction above 0.5 — over half this sample was mineral soil. Re-wash. ","")&amp;IF($F786="Not separated","Live and dead not separated. Fine for a stock, but "&amp;"note it in reporting. ",""))</f>
        <v/>
      </c>
      <c r="P786" s="6"/>
      <c r="Q786" s="9" t="n">
        <f aca="false">IF($B786="",0,IF(COUNTIFS($B$5:$B786,$B786)=1,1,0))</f>
        <v>0</v>
      </c>
    </row>
    <row r="787" customFormat="false" ht="15" hidden="false" customHeight="false" outlineLevel="0" collapsed="false">
      <c r="A787" s="6"/>
      <c r="B787" s="6"/>
      <c r="C787" s="6"/>
      <c r="D787" s="6"/>
      <c r="E787" s="6"/>
      <c r="F787" s="6"/>
      <c r="G787" s="7"/>
      <c r="H787" s="7"/>
      <c r="I787" s="6"/>
      <c r="J787" s="9" t="str">
        <f aca="false">IF(NOT(ISNUMBER($G787)),"",IF(AND(ASH_CORRECTED="Yes",ISNUMBER($H787)),$G787*(1-$H787),$G787))</f>
        <v/>
      </c>
      <c r="K787" s="9" t="str">
        <f aca="false">IF($B787="","",IFERROR(AVERAGEIFS('2. Soil Data'!$G$5:$G$604,'2. Soil Data'!$B$5:$B$604,$B787),""))</f>
        <v/>
      </c>
      <c r="L787" s="9" t="str">
        <f aca="false">IF(NOT(ISNUMBER($K787)),"",PI()*($K787/2)^2)</f>
        <v/>
      </c>
      <c r="M787" s="9" t="str">
        <f aca="false">IF(OR(NOT(ISNUMBER($J787)),NOT(ISNUMBER($L787)),$L787=0),"",$J787/$L787*10000)</f>
        <v/>
      </c>
      <c r="N787" s="9" t="str">
        <f aca="false">IF(NOT(ISNUMBER($M787)),"",$M787*CARBON_FRACTION_ROOT/1000)</f>
        <v/>
      </c>
      <c r="O787" s="11" t="str">
        <f aca="false">IF(AND($A787="",$B787="",$G787=""),"",IF(AND($B787&lt;&gt;"",COUNTIFS('2. Soil Data'!$B$5:$B$604,$B787)=0),"Core ID not found in Soil Data, so the corer diameter cannot be looked up. ","")&amp;IF(ASH_CORRECTED&lt;&gt;"Yes","Root mass is NOT ash-corrected, so it includes adhering mineral soil and is too high. Set ASH_CORRECTED once you have done it. ","")&amp;IF(AND(ASH_CORRECTED="Yes",NOT(ISNUMBER($H787))),"Ash correction is switched on but no ash fraction is given for this row. ","")&amp;IF($I787="","Sieve mesh not recorded — a fine-root figure cannot be interpreted without it. ","")&amp;IF(AND(ISNUMBER($H787),$H787&gt;0.5),"Ash fraction above 0.5 — over half this sample was mineral soil. Re-wash. ","")&amp;IF($F787="Not separated","Live and dead not separated. Fine for a stock, but "&amp;"note it in reporting. ",""))</f>
        <v/>
      </c>
      <c r="P787" s="6"/>
      <c r="Q787" s="9" t="n">
        <f aca="false">IF($B787="",0,IF(COUNTIFS($B$5:$B787,$B787)=1,1,0))</f>
        <v>0</v>
      </c>
    </row>
    <row r="788" customFormat="false" ht="15" hidden="false" customHeight="false" outlineLevel="0" collapsed="false">
      <c r="A788" s="6"/>
      <c r="B788" s="6"/>
      <c r="C788" s="6"/>
      <c r="D788" s="6"/>
      <c r="E788" s="6"/>
      <c r="F788" s="6"/>
      <c r="G788" s="7"/>
      <c r="H788" s="7"/>
      <c r="I788" s="6"/>
      <c r="J788" s="9" t="str">
        <f aca="false">IF(NOT(ISNUMBER($G788)),"",IF(AND(ASH_CORRECTED="Yes",ISNUMBER($H788)),$G788*(1-$H788),$G788))</f>
        <v/>
      </c>
      <c r="K788" s="9" t="str">
        <f aca="false">IF($B788="","",IFERROR(AVERAGEIFS('2. Soil Data'!$G$5:$G$604,'2. Soil Data'!$B$5:$B$604,$B788),""))</f>
        <v/>
      </c>
      <c r="L788" s="9" t="str">
        <f aca="false">IF(NOT(ISNUMBER($K788)),"",PI()*($K788/2)^2)</f>
        <v/>
      </c>
      <c r="M788" s="9" t="str">
        <f aca="false">IF(OR(NOT(ISNUMBER($J788)),NOT(ISNUMBER($L788)),$L788=0),"",$J788/$L788*10000)</f>
        <v/>
      </c>
      <c r="N788" s="9" t="str">
        <f aca="false">IF(NOT(ISNUMBER($M788)),"",$M788*CARBON_FRACTION_ROOT/1000)</f>
        <v/>
      </c>
      <c r="O788" s="11" t="str">
        <f aca="false">IF(AND($A788="",$B788="",$G788=""),"",IF(AND($B788&lt;&gt;"",COUNTIFS('2. Soil Data'!$B$5:$B$604,$B788)=0),"Core ID not found in Soil Data, so the corer diameter cannot be looked up. ","")&amp;IF(ASH_CORRECTED&lt;&gt;"Yes","Root mass is NOT ash-corrected, so it includes adhering mineral soil and is too high. Set ASH_CORRECTED once you have done it. ","")&amp;IF(AND(ASH_CORRECTED="Yes",NOT(ISNUMBER($H788))),"Ash correction is switched on but no ash fraction is given for this row. ","")&amp;IF($I788="","Sieve mesh not recorded — a fine-root figure cannot be interpreted without it. ","")&amp;IF(AND(ISNUMBER($H788),$H788&gt;0.5),"Ash fraction above 0.5 — over half this sample was mineral soil. Re-wash. ","")&amp;IF($F788="Not separated","Live and dead not separated. Fine for a stock, but "&amp;"note it in reporting. ",""))</f>
        <v/>
      </c>
      <c r="P788" s="6"/>
      <c r="Q788" s="9" t="n">
        <f aca="false">IF($B788="",0,IF(COUNTIFS($B$5:$B788,$B788)=1,1,0))</f>
        <v>0</v>
      </c>
    </row>
    <row r="789" customFormat="false" ht="15" hidden="false" customHeight="false" outlineLevel="0" collapsed="false">
      <c r="A789" s="6"/>
      <c r="B789" s="6"/>
      <c r="C789" s="6"/>
      <c r="D789" s="6"/>
      <c r="E789" s="6"/>
      <c r="F789" s="6"/>
      <c r="G789" s="7"/>
      <c r="H789" s="7"/>
      <c r="I789" s="6"/>
      <c r="J789" s="9" t="str">
        <f aca="false">IF(NOT(ISNUMBER($G789)),"",IF(AND(ASH_CORRECTED="Yes",ISNUMBER($H789)),$G789*(1-$H789),$G789))</f>
        <v/>
      </c>
      <c r="K789" s="9" t="str">
        <f aca="false">IF($B789="","",IFERROR(AVERAGEIFS('2. Soil Data'!$G$5:$G$604,'2. Soil Data'!$B$5:$B$604,$B789),""))</f>
        <v/>
      </c>
      <c r="L789" s="9" t="str">
        <f aca="false">IF(NOT(ISNUMBER($K789)),"",PI()*($K789/2)^2)</f>
        <v/>
      </c>
      <c r="M789" s="9" t="str">
        <f aca="false">IF(OR(NOT(ISNUMBER($J789)),NOT(ISNUMBER($L789)),$L789=0),"",$J789/$L789*10000)</f>
        <v/>
      </c>
      <c r="N789" s="9" t="str">
        <f aca="false">IF(NOT(ISNUMBER($M789)),"",$M789*CARBON_FRACTION_ROOT/1000)</f>
        <v/>
      </c>
      <c r="O789" s="11" t="str">
        <f aca="false">IF(AND($A789="",$B789="",$G789=""),"",IF(AND($B789&lt;&gt;"",COUNTIFS('2. Soil Data'!$B$5:$B$604,$B789)=0),"Core ID not found in Soil Data, so the corer diameter cannot be looked up. ","")&amp;IF(ASH_CORRECTED&lt;&gt;"Yes","Root mass is NOT ash-corrected, so it includes adhering mineral soil and is too high. Set ASH_CORRECTED once you have done it. ","")&amp;IF(AND(ASH_CORRECTED="Yes",NOT(ISNUMBER($H789))),"Ash correction is switched on but no ash fraction is given for this row. ","")&amp;IF($I789="","Sieve mesh not recorded — a fine-root figure cannot be interpreted without it. ","")&amp;IF(AND(ISNUMBER($H789),$H789&gt;0.5),"Ash fraction above 0.5 — over half this sample was mineral soil. Re-wash. ","")&amp;IF($F789="Not separated","Live and dead not separated. Fine for a stock, but "&amp;"note it in reporting. ",""))</f>
        <v/>
      </c>
      <c r="P789" s="6"/>
      <c r="Q789" s="9" t="n">
        <f aca="false">IF($B789="",0,IF(COUNTIFS($B$5:$B789,$B789)=1,1,0))</f>
        <v>0</v>
      </c>
    </row>
    <row r="790" customFormat="false" ht="15" hidden="false" customHeight="false" outlineLevel="0" collapsed="false">
      <c r="A790" s="6"/>
      <c r="B790" s="6"/>
      <c r="C790" s="6"/>
      <c r="D790" s="6"/>
      <c r="E790" s="6"/>
      <c r="F790" s="6"/>
      <c r="G790" s="7"/>
      <c r="H790" s="7"/>
      <c r="I790" s="6"/>
      <c r="J790" s="9" t="str">
        <f aca="false">IF(NOT(ISNUMBER($G790)),"",IF(AND(ASH_CORRECTED="Yes",ISNUMBER($H790)),$G790*(1-$H790),$G790))</f>
        <v/>
      </c>
      <c r="K790" s="9" t="str">
        <f aca="false">IF($B790="","",IFERROR(AVERAGEIFS('2. Soil Data'!$G$5:$G$604,'2. Soil Data'!$B$5:$B$604,$B790),""))</f>
        <v/>
      </c>
      <c r="L790" s="9" t="str">
        <f aca="false">IF(NOT(ISNUMBER($K790)),"",PI()*($K790/2)^2)</f>
        <v/>
      </c>
      <c r="M790" s="9" t="str">
        <f aca="false">IF(OR(NOT(ISNUMBER($J790)),NOT(ISNUMBER($L790)),$L790=0),"",$J790/$L790*10000)</f>
        <v/>
      </c>
      <c r="N790" s="9" t="str">
        <f aca="false">IF(NOT(ISNUMBER($M790)),"",$M790*CARBON_FRACTION_ROOT/1000)</f>
        <v/>
      </c>
      <c r="O790" s="11" t="str">
        <f aca="false">IF(AND($A790="",$B790="",$G790=""),"",IF(AND($B790&lt;&gt;"",COUNTIFS('2. Soil Data'!$B$5:$B$604,$B790)=0),"Core ID not found in Soil Data, so the corer diameter cannot be looked up. ","")&amp;IF(ASH_CORRECTED&lt;&gt;"Yes","Root mass is NOT ash-corrected, so it includes adhering mineral soil and is too high. Set ASH_CORRECTED once you have done it. ","")&amp;IF(AND(ASH_CORRECTED="Yes",NOT(ISNUMBER($H790))),"Ash correction is switched on but no ash fraction is given for this row. ","")&amp;IF($I790="","Sieve mesh not recorded — a fine-root figure cannot be interpreted without it. ","")&amp;IF(AND(ISNUMBER($H790),$H790&gt;0.5),"Ash fraction above 0.5 — over half this sample was mineral soil. Re-wash. ","")&amp;IF($F790="Not separated","Live and dead not separated. Fine for a stock, but "&amp;"note it in reporting. ",""))</f>
        <v/>
      </c>
      <c r="P790" s="6"/>
      <c r="Q790" s="9" t="n">
        <f aca="false">IF($B790="",0,IF(COUNTIFS($B$5:$B790,$B790)=1,1,0))</f>
        <v>0</v>
      </c>
    </row>
    <row r="791" customFormat="false" ht="15" hidden="false" customHeight="false" outlineLevel="0" collapsed="false">
      <c r="A791" s="6"/>
      <c r="B791" s="6"/>
      <c r="C791" s="6"/>
      <c r="D791" s="6"/>
      <c r="E791" s="6"/>
      <c r="F791" s="6"/>
      <c r="G791" s="7"/>
      <c r="H791" s="7"/>
      <c r="I791" s="6"/>
      <c r="J791" s="9" t="str">
        <f aca="false">IF(NOT(ISNUMBER($G791)),"",IF(AND(ASH_CORRECTED="Yes",ISNUMBER($H791)),$G791*(1-$H791),$G791))</f>
        <v/>
      </c>
      <c r="K791" s="9" t="str">
        <f aca="false">IF($B791="","",IFERROR(AVERAGEIFS('2. Soil Data'!$G$5:$G$604,'2. Soil Data'!$B$5:$B$604,$B791),""))</f>
        <v/>
      </c>
      <c r="L791" s="9" t="str">
        <f aca="false">IF(NOT(ISNUMBER($K791)),"",PI()*($K791/2)^2)</f>
        <v/>
      </c>
      <c r="M791" s="9" t="str">
        <f aca="false">IF(OR(NOT(ISNUMBER($J791)),NOT(ISNUMBER($L791)),$L791=0),"",$J791/$L791*10000)</f>
        <v/>
      </c>
      <c r="N791" s="9" t="str">
        <f aca="false">IF(NOT(ISNUMBER($M791)),"",$M791*CARBON_FRACTION_ROOT/1000)</f>
        <v/>
      </c>
      <c r="O791" s="11" t="str">
        <f aca="false">IF(AND($A791="",$B791="",$G791=""),"",IF(AND($B791&lt;&gt;"",COUNTIFS('2. Soil Data'!$B$5:$B$604,$B791)=0),"Core ID not found in Soil Data, so the corer diameter cannot be looked up. ","")&amp;IF(ASH_CORRECTED&lt;&gt;"Yes","Root mass is NOT ash-corrected, so it includes adhering mineral soil and is too high. Set ASH_CORRECTED once you have done it. ","")&amp;IF(AND(ASH_CORRECTED="Yes",NOT(ISNUMBER($H791))),"Ash correction is switched on but no ash fraction is given for this row. ","")&amp;IF($I791="","Sieve mesh not recorded — a fine-root figure cannot be interpreted without it. ","")&amp;IF(AND(ISNUMBER($H791),$H791&gt;0.5),"Ash fraction above 0.5 — over half this sample was mineral soil. Re-wash. ","")&amp;IF($F791="Not separated","Live and dead not separated. Fine for a stock, but "&amp;"note it in reporting. ",""))</f>
        <v/>
      </c>
      <c r="P791" s="6"/>
      <c r="Q791" s="9" t="n">
        <f aca="false">IF($B791="",0,IF(COUNTIFS($B$5:$B791,$B791)=1,1,0))</f>
        <v>0</v>
      </c>
    </row>
    <row r="792" customFormat="false" ht="15" hidden="false" customHeight="false" outlineLevel="0" collapsed="false">
      <c r="A792" s="6"/>
      <c r="B792" s="6"/>
      <c r="C792" s="6"/>
      <c r="D792" s="6"/>
      <c r="E792" s="6"/>
      <c r="F792" s="6"/>
      <c r="G792" s="7"/>
      <c r="H792" s="7"/>
      <c r="I792" s="6"/>
      <c r="J792" s="9" t="str">
        <f aca="false">IF(NOT(ISNUMBER($G792)),"",IF(AND(ASH_CORRECTED="Yes",ISNUMBER($H792)),$G792*(1-$H792),$G792))</f>
        <v/>
      </c>
      <c r="K792" s="9" t="str">
        <f aca="false">IF($B792="","",IFERROR(AVERAGEIFS('2. Soil Data'!$G$5:$G$604,'2. Soil Data'!$B$5:$B$604,$B792),""))</f>
        <v/>
      </c>
      <c r="L792" s="9" t="str">
        <f aca="false">IF(NOT(ISNUMBER($K792)),"",PI()*($K792/2)^2)</f>
        <v/>
      </c>
      <c r="M792" s="9" t="str">
        <f aca="false">IF(OR(NOT(ISNUMBER($J792)),NOT(ISNUMBER($L792)),$L792=0),"",$J792/$L792*10000)</f>
        <v/>
      </c>
      <c r="N792" s="9" t="str">
        <f aca="false">IF(NOT(ISNUMBER($M792)),"",$M792*CARBON_FRACTION_ROOT/1000)</f>
        <v/>
      </c>
      <c r="O792" s="11" t="str">
        <f aca="false">IF(AND($A792="",$B792="",$G792=""),"",IF(AND($B792&lt;&gt;"",COUNTIFS('2. Soil Data'!$B$5:$B$604,$B792)=0),"Core ID not found in Soil Data, so the corer diameter cannot be looked up. ","")&amp;IF(ASH_CORRECTED&lt;&gt;"Yes","Root mass is NOT ash-corrected, so it includes adhering mineral soil and is too high. Set ASH_CORRECTED once you have done it. ","")&amp;IF(AND(ASH_CORRECTED="Yes",NOT(ISNUMBER($H792))),"Ash correction is switched on but no ash fraction is given for this row. ","")&amp;IF($I792="","Sieve mesh not recorded — a fine-root figure cannot be interpreted without it. ","")&amp;IF(AND(ISNUMBER($H792),$H792&gt;0.5),"Ash fraction above 0.5 — over half this sample was mineral soil. Re-wash. ","")&amp;IF($F792="Not separated","Live and dead not separated. Fine for a stock, but "&amp;"note it in reporting. ",""))</f>
        <v/>
      </c>
      <c r="P792" s="6"/>
      <c r="Q792" s="9" t="n">
        <f aca="false">IF($B792="",0,IF(COUNTIFS($B$5:$B792,$B792)=1,1,0))</f>
        <v>0</v>
      </c>
    </row>
    <row r="793" customFormat="false" ht="15" hidden="false" customHeight="false" outlineLevel="0" collapsed="false">
      <c r="A793" s="6"/>
      <c r="B793" s="6"/>
      <c r="C793" s="6"/>
      <c r="D793" s="6"/>
      <c r="E793" s="6"/>
      <c r="F793" s="6"/>
      <c r="G793" s="7"/>
      <c r="H793" s="7"/>
      <c r="I793" s="6"/>
      <c r="J793" s="9" t="str">
        <f aca="false">IF(NOT(ISNUMBER($G793)),"",IF(AND(ASH_CORRECTED="Yes",ISNUMBER($H793)),$G793*(1-$H793),$G793))</f>
        <v/>
      </c>
      <c r="K793" s="9" t="str">
        <f aca="false">IF($B793="","",IFERROR(AVERAGEIFS('2. Soil Data'!$G$5:$G$604,'2. Soil Data'!$B$5:$B$604,$B793),""))</f>
        <v/>
      </c>
      <c r="L793" s="9" t="str">
        <f aca="false">IF(NOT(ISNUMBER($K793)),"",PI()*($K793/2)^2)</f>
        <v/>
      </c>
      <c r="M793" s="9" t="str">
        <f aca="false">IF(OR(NOT(ISNUMBER($J793)),NOT(ISNUMBER($L793)),$L793=0),"",$J793/$L793*10000)</f>
        <v/>
      </c>
      <c r="N793" s="9" t="str">
        <f aca="false">IF(NOT(ISNUMBER($M793)),"",$M793*CARBON_FRACTION_ROOT/1000)</f>
        <v/>
      </c>
      <c r="O793" s="11" t="str">
        <f aca="false">IF(AND($A793="",$B793="",$G793=""),"",IF(AND($B793&lt;&gt;"",COUNTIFS('2. Soil Data'!$B$5:$B$604,$B793)=0),"Core ID not found in Soil Data, so the corer diameter cannot be looked up. ","")&amp;IF(ASH_CORRECTED&lt;&gt;"Yes","Root mass is NOT ash-corrected, so it includes adhering mineral soil and is too high. Set ASH_CORRECTED once you have done it. ","")&amp;IF(AND(ASH_CORRECTED="Yes",NOT(ISNUMBER($H793))),"Ash correction is switched on but no ash fraction is given for this row. ","")&amp;IF($I793="","Sieve mesh not recorded — a fine-root figure cannot be interpreted without it. ","")&amp;IF(AND(ISNUMBER($H793),$H793&gt;0.5),"Ash fraction above 0.5 — over half this sample was mineral soil. Re-wash. ","")&amp;IF($F793="Not separated","Live and dead not separated. Fine for a stock, but "&amp;"note it in reporting. ",""))</f>
        <v/>
      </c>
      <c r="P793" s="6"/>
      <c r="Q793" s="9" t="n">
        <f aca="false">IF($B793="",0,IF(COUNTIFS($B$5:$B793,$B793)=1,1,0))</f>
        <v>0</v>
      </c>
    </row>
    <row r="794" customFormat="false" ht="15" hidden="false" customHeight="false" outlineLevel="0" collapsed="false">
      <c r="A794" s="6"/>
      <c r="B794" s="6"/>
      <c r="C794" s="6"/>
      <c r="D794" s="6"/>
      <c r="E794" s="6"/>
      <c r="F794" s="6"/>
      <c r="G794" s="7"/>
      <c r="H794" s="7"/>
      <c r="I794" s="6"/>
      <c r="J794" s="9" t="str">
        <f aca="false">IF(NOT(ISNUMBER($G794)),"",IF(AND(ASH_CORRECTED="Yes",ISNUMBER($H794)),$G794*(1-$H794),$G794))</f>
        <v/>
      </c>
      <c r="K794" s="9" t="str">
        <f aca="false">IF($B794="","",IFERROR(AVERAGEIFS('2. Soil Data'!$G$5:$G$604,'2. Soil Data'!$B$5:$B$604,$B794),""))</f>
        <v/>
      </c>
      <c r="L794" s="9" t="str">
        <f aca="false">IF(NOT(ISNUMBER($K794)),"",PI()*($K794/2)^2)</f>
        <v/>
      </c>
      <c r="M794" s="9" t="str">
        <f aca="false">IF(OR(NOT(ISNUMBER($J794)),NOT(ISNUMBER($L794)),$L794=0),"",$J794/$L794*10000)</f>
        <v/>
      </c>
      <c r="N794" s="9" t="str">
        <f aca="false">IF(NOT(ISNUMBER($M794)),"",$M794*CARBON_FRACTION_ROOT/1000)</f>
        <v/>
      </c>
      <c r="O794" s="11" t="str">
        <f aca="false">IF(AND($A794="",$B794="",$G794=""),"",IF(AND($B794&lt;&gt;"",COUNTIFS('2. Soil Data'!$B$5:$B$604,$B794)=0),"Core ID not found in Soil Data, so the corer diameter cannot be looked up. ","")&amp;IF(ASH_CORRECTED&lt;&gt;"Yes","Root mass is NOT ash-corrected, so it includes adhering mineral soil and is too high. Set ASH_CORRECTED once you have done it. ","")&amp;IF(AND(ASH_CORRECTED="Yes",NOT(ISNUMBER($H794))),"Ash correction is switched on but no ash fraction is given for this row. ","")&amp;IF($I794="","Sieve mesh not recorded — a fine-root figure cannot be interpreted without it. ","")&amp;IF(AND(ISNUMBER($H794),$H794&gt;0.5),"Ash fraction above 0.5 — over half this sample was mineral soil. Re-wash. ","")&amp;IF($F794="Not separated","Live and dead not separated. Fine for a stock, but "&amp;"note it in reporting. ",""))</f>
        <v/>
      </c>
      <c r="P794" s="6"/>
      <c r="Q794" s="9" t="n">
        <f aca="false">IF($B794="",0,IF(COUNTIFS($B$5:$B794,$B794)=1,1,0))</f>
        <v>0</v>
      </c>
    </row>
    <row r="795" customFormat="false" ht="15" hidden="false" customHeight="false" outlineLevel="0" collapsed="false">
      <c r="A795" s="6"/>
      <c r="B795" s="6"/>
      <c r="C795" s="6"/>
      <c r="D795" s="6"/>
      <c r="E795" s="6"/>
      <c r="F795" s="6"/>
      <c r="G795" s="7"/>
      <c r="H795" s="7"/>
      <c r="I795" s="6"/>
      <c r="J795" s="9" t="str">
        <f aca="false">IF(NOT(ISNUMBER($G795)),"",IF(AND(ASH_CORRECTED="Yes",ISNUMBER($H795)),$G795*(1-$H795),$G795))</f>
        <v/>
      </c>
      <c r="K795" s="9" t="str">
        <f aca="false">IF($B795="","",IFERROR(AVERAGEIFS('2. Soil Data'!$G$5:$G$604,'2. Soil Data'!$B$5:$B$604,$B795),""))</f>
        <v/>
      </c>
      <c r="L795" s="9" t="str">
        <f aca="false">IF(NOT(ISNUMBER($K795)),"",PI()*($K795/2)^2)</f>
        <v/>
      </c>
      <c r="M795" s="9" t="str">
        <f aca="false">IF(OR(NOT(ISNUMBER($J795)),NOT(ISNUMBER($L795)),$L795=0),"",$J795/$L795*10000)</f>
        <v/>
      </c>
      <c r="N795" s="9" t="str">
        <f aca="false">IF(NOT(ISNUMBER($M795)),"",$M795*CARBON_FRACTION_ROOT/1000)</f>
        <v/>
      </c>
      <c r="O795" s="11" t="str">
        <f aca="false">IF(AND($A795="",$B795="",$G795=""),"",IF(AND($B795&lt;&gt;"",COUNTIFS('2. Soil Data'!$B$5:$B$604,$B795)=0),"Core ID not found in Soil Data, so the corer diameter cannot be looked up. ","")&amp;IF(ASH_CORRECTED&lt;&gt;"Yes","Root mass is NOT ash-corrected, so it includes adhering mineral soil and is too high. Set ASH_CORRECTED once you have done it. ","")&amp;IF(AND(ASH_CORRECTED="Yes",NOT(ISNUMBER($H795))),"Ash correction is switched on but no ash fraction is given for this row. ","")&amp;IF($I795="","Sieve mesh not recorded — a fine-root figure cannot be interpreted without it. ","")&amp;IF(AND(ISNUMBER($H795),$H795&gt;0.5),"Ash fraction above 0.5 — over half this sample was mineral soil. Re-wash. ","")&amp;IF($F795="Not separated","Live and dead not separated. Fine for a stock, but "&amp;"note it in reporting. ",""))</f>
        <v/>
      </c>
      <c r="P795" s="6"/>
      <c r="Q795" s="9" t="n">
        <f aca="false">IF($B795="",0,IF(COUNTIFS($B$5:$B795,$B795)=1,1,0))</f>
        <v>0</v>
      </c>
    </row>
    <row r="796" customFormat="false" ht="15" hidden="false" customHeight="false" outlineLevel="0" collapsed="false">
      <c r="A796" s="6"/>
      <c r="B796" s="6"/>
      <c r="C796" s="6"/>
      <c r="D796" s="6"/>
      <c r="E796" s="6"/>
      <c r="F796" s="6"/>
      <c r="G796" s="7"/>
      <c r="H796" s="7"/>
      <c r="I796" s="6"/>
      <c r="J796" s="9" t="str">
        <f aca="false">IF(NOT(ISNUMBER($G796)),"",IF(AND(ASH_CORRECTED="Yes",ISNUMBER($H796)),$G796*(1-$H796),$G796))</f>
        <v/>
      </c>
      <c r="K796" s="9" t="str">
        <f aca="false">IF($B796="","",IFERROR(AVERAGEIFS('2. Soil Data'!$G$5:$G$604,'2. Soil Data'!$B$5:$B$604,$B796),""))</f>
        <v/>
      </c>
      <c r="L796" s="9" t="str">
        <f aca="false">IF(NOT(ISNUMBER($K796)),"",PI()*($K796/2)^2)</f>
        <v/>
      </c>
      <c r="M796" s="9" t="str">
        <f aca="false">IF(OR(NOT(ISNUMBER($J796)),NOT(ISNUMBER($L796)),$L796=0),"",$J796/$L796*10000)</f>
        <v/>
      </c>
      <c r="N796" s="9" t="str">
        <f aca="false">IF(NOT(ISNUMBER($M796)),"",$M796*CARBON_FRACTION_ROOT/1000)</f>
        <v/>
      </c>
      <c r="O796" s="11" t="str">
        <f aca="false">IF(AND($A796="",$B796="",$G796=""),"",IF(AND($B796&lt;&gt;"",COUNTIFS('2. Soil Data'!$B$5:$B$604,$B796)=0),"Core ID not found in Soil Data, so the corer diameter cannot be looked up. ","")&amp;IF(ASH_CORRECTED&lt;&gt;"Yes","Root mass is NOT ash-corrected, so it includes adhering mineral soil and is too high. Set ASH_CORRECTED once you have done it. ","")&amp;IF(AND(ASH_CORRECTED="Yes",NOT(ISNUMBER($H796))),"Ash correction is switched on but no ash fraction is given for this row. ","")&amp;IF($I796="","Sieve mesh not recorded — a fine-root figure cannot be interpreted without it. ","")&amp;IF(AND(ISNUMBER($H796),$H796&gt;0.5),"Ash fraction above 0.5 — over half this sample was mineral soil. Re-wash. ","")&amp;IF($F796="Not separated","Live and dead not separated. Fine for a stock, but "&amp;"note it in reporting. ",""))</f>
        <v/>
      </c>
      <c r="P796" s="6"/>
      <c r="Q796" s="9" t="n">
        <f aca="false">IF($B796="",0,IF(COUNTIFS($B$5:$B796,$B796)=1,1,0))</f>
        <v>0</v>
      </c>
    </row>
    <row r="797" customFormat="false" ht="15" hidden="false" customHeight="false" outlineLevel="0" collapsed="false">
      <c r="A797" s="6"/>
      <c r="B797" s="6"/>
      <c r="C797" s="6"/>
      <c r="D797" s="6"/>
      <c r="E797" s="6"/>
      <c r="F797" s="6"/>
      <c r="G797" s="7"/>
      <c r="H797" s="7"/>
      <c r="I797" s="6"/>
      <c r="J797" s="9" t="str">
        <f aca="false">IF(NOT(ISNUMBER($G797)),"",IF(AND(ASH_CORRECTED="Yes",ISNUMBER($H797)),$G797*(1-$H797),$G797))</f>
        <v/>
      </c>
      <c r="K797" s="9" t="str">
        <f aca="false">IF($B797="","",IFERROR(AVERAGEIFS('2. Soil Data'!$G$5:$G$604,'2. Soil Data'!$B$5:$B$604,$B797),""))</f>
        <v/>
      </c>
      <c r="L797" s="9" t="str">
        <f aca="false">IF(NOT(ISNUMBER($K797)),"",PI()*($K797/2)^2)</f>
        <v/>
      </c>
      <c r="M797" s="9" t="str">
        <f aca="false">IF(OR(NOT(ISNUMBER($J797)),NOT(ISNUMBER($L797)),$L797=0),"",$J797/$L797*10000)</f>
        <v/>
      </c>
      <c r="N797" s="9" t="str">
        <f aca="false">IF(NOT(ISNUMBER($M797)),"",$M797*CARBON_FRACTION_ROOT/1000)</f>
        <v/>
      </c>
      <c r="O797" s="11" t="str">
        <f aca="false">IF(AND($A797="",$B797="",$G797=""),"",IF(AND($B797&lt;&gt;"",COUNTIFS('2. Soil Data'!$B$5:$B$604,$B797)=0),"Core ID not found in Soil Data, so the corer diameter cannot be looked up. ","")&amp;IF(ASH_CORRECTED&lt;&gt;"Yes","Root mass is NOT ash-corrected, so it includes adhering mineral soil and is too high. Set ASH_CORRECTED once you have done it. ","")&amp;IF(AND(ASH_CORRECTED="Yes",NOT(ISNUMBER($H797))),"Ash correction is switched on but no ash fraction is given for this row. ","")&amp;IF($I797="","Sieve mesh not recorded — a fine-root figure cannot be interpreted without it. ","")&amp;IF(AND(ISNUMBER($H797),$H797&gt;0.5),"Ash fraction above 0.5 — over half this sample was mineral soil. Re-wash. ","")&amp;IF($F797="Not separated","Live and dead not separated. Fine for a stock, but "&amp;"note it in reporting. ",""))</f>
        <v/>
      </c>
      <c r="P797" s="6"/>
      <c r="Q797" s="9" t="n">
        <f aca="false">IF($B797="",0,IF(COUNTIFS($B$5:$B797,$B797)=1,1,0))</f>
        <v>0</v>
      </c>
    </row>
    <row r="798" customFormat="false" ht="15" hidden="false" customHeight="false" outlineLevel="0" collapsed="false">
      <c r="A798" s="6"/>
      <c r="B798" s="6"/>
      <c r="C798" s="6"/>
      <c r="D798" s="6"/>
      <c r="E798" s="6"/>
      <c r="F798" s="6"/>
      <c r="G798" s="7"/>
      <c r="H798" s="7"/>
      <c r="I798" s="6"/>
      <c r="J798" s="9" t="str">
        <f aca="false">IF(NOT(ISNUMBER($G798)),"",IF(AND(ASH_CORRECTED="Yes",ISNUMBER($H798)),$G798*(1-$H798),$G798))</f>
        <v/>
      </c>
      <c r="K798" s="9" t="str">
        <f aca="false">IF($B798="","",IFERROR(AVERAGEIFS('2. Soil Data'!$G$5:$G$604,'2. Soil Data'!$B$5:$B$604,$B798),""))</f>
        <v/>
      </c>
      <c r="L798" s="9" t="str">
        <f aca="false">IF(NOT(ISNUMBER($K798)),"",PI()*($K798/2)^2)</f>
        <v/>
      </c>
      <c r="M798" s="9" t="str">
        <f aca="false">IF(OR(NOT(ISNUMBER($J798)),NOT(ISNUMBER($L798)),$L798=0),"",$J798/$L798*10000)</f>
        <v/>
      </c>
      <c r="N798" s="9" t="str">
        <f aca="false">IF(NOT(ISNUMBER($M798)),"",$M798*CARBON_FRACTION_ROOT/1000)</f>
        <v/>
      </c>
      <c r="O798" s="11" t="str">
        <f aca="false">IF(AND($A798="",$B798="",$G798=""),"",IF(AND($B798&lt;&gt;"",COUNTIFS('2. Soil Data'!$B$5:$B$604,$B798)=0),"Core ID not found in Soil Data, so the corer diameter cannot be looked up. ","")&amp;IF(ASH_CORRECTED&lt;&gt;"Yes","Root mass is NOT ash-corrected, so it includes adhering mineral soil and is too high. Set ASH_CORRECTED once you have done it. ","")&amp;IF(AND(ASH_CORRECTED="Yes",NOT(ISNUMBER($H798))),"Ash correction is switched on but no ash fraction is given for this row. ","")&amp;IF($I798="","Sieve mesh not recorded — a fine-root figure cannot be interpreted without it. ","")&amp;IF(AND(ISNUMBER($H798),$H798&gt;0.5),"Ash fraction above 0.5 — over half this sample was mineral soil. Re-wash. ","")&amp;IF($F798="Not separated","Live and dead not separated. Fine for a stock, but "&amp;"note it in reporting. ",""))</f>
        <v/>
      </c>
      <c r="P798" s="6"/>
      <c r="Q798" s="9" t="n">
        <f aca="false">IF($B798="",0,IF(COUNTIFS($B$5:$B798,$B798)=1,1,0))</f>
        <v>0</v>
      </c>
    </row>
    <row r="799" customFormat="false" ht="15" hidden="false" customHeight="false" outlineLevel="0" collapsed="false">
      <c r="A799" s="6"/>
      <c r="B799" s="6"/>
      <c r="C799" s="6"/>
      <c r="D799" s="6"/>
      <c r="E799" s="6"/>
      <c r="F799" s="6"/>
      <c r="G799" s="7"/>
      <c r="H799" s="7"/>
      <c r="I799" s="6"/>
      <c r="J799" s="9" t="str">
        <f aca="false">IF(NOT(ISNUMBER($G799)),"",IF(AND(ASH_CORRECTED="Yes",ISNUMBER($H799)),$G799*(1-$H799),$G799))</f>
        <v/>
      </c>
      <c r="K799" s="9" t="str">
        <f aca="false">IF($B799="","",IFERROR(AVERAGEIFS('2. Soil Data'!$G$5:$G$604,'2. Soil Data'!$B$5:$B$604,$B799),""))</f>
        <v/>
      </c>
      <c r="L799" s="9" t="str">
        <f aca="false">IF(NOT(ISNUMBER($K799)),"",PI()*($K799/2)^2)</f>
        <v/>
      </c>
      <c r="M799" s="9" t="str">
        <f aca="false">IF(OR(NOT(ISNUMBER($J799)),NOT(ISNUMBER($L799)),$L799=0),"",$J799/$L799*10000)</f>
        <v/>
      </c>
      <c r="N799" s="9" t="str">
        <f aca="false">IF(NOT(ISNUMBER($M799)),"",$M799*CARBON_FRACTION_ROOT/1000)</f>
        <v/>
      </c>
      <c r="O799" s="11" t="str">
        <f aca="false">IF(AND($A799="",$B799="",$G799=""),"",IF(AND($B799&lt;&gt;"",COUNTIFS('2. Soil Data'!$B$5:$B$604,$B799)=0),"Core ID not found in Soil Data, so the corer diameter cannot be looked up. ","")&amp;IF(ASH_CORRECTED&lt;&gt;"Yes","Root mass is NOT ash-corrected, so it includes adhering mineral soil and is too high. Set ASH_CORRECTED once you have done it. ","")&amp;IF(AND(ASH_CORRECTED="Yes",NOT(ISNUMBER($H799))),"Ash correction is switched on but no ash fraction is given for this row. ","")&amp;IF($I799="","Sieve mesh not recorded — a fine-root figure cannot be interpreted without it. ","")&amp;IF(AND(ISNUMBER($H799),$H799&gt;0.5),"Ash fraction above 0.5 — over half this sample was mineral soil. Re-wash. ","")&amp;IF($F799="Not separated","Live and dead not separated. Fine for a stock, but "&amp;"note it in reporting. ",""))</f>
        <v/>
      </c>
      <c r="P799" s="6"/>
      <c r="Q799" s="9" t="n">
        <f aca="false">IF($B799="",0,IF(COUNTIFS($B$5:$B799,$B799)=1,1,0))</f>
        <v>0</v>
      </c>
    </row>
    <row r="800" customFormat="false" ht="15" hidden="false" customHeight="false" outlineLevel="0" collapsed="false">
      <c r="A800" s="6"/>
      <c r="B800" s="6"/>
      <c r="C800" s="6"/>
      <c r="D800" s="6"/>
      <c r="E800" s="6"/>
      <c r="F800" s="6"/>
      <c r="G800" s="7"/>
      <c r="H800" s="7"/>
      <c r="I800" s="6"/>
      <c r="J800" s="9" t="str">
        <f aca="false">IF(NOT(ISNUMBER($G800)),"",IF(AND(ASH_CORRECTED="Yes",ISNUMBER($H800)),$G800*(1-$H800),$G800))</f>
        <v/>
      </c>
      <c r="K800" s="9" t="str">
        <f aca="false">IF($B800="","",IFERROR(AVERAGEIFS('2. Soil Data'!$G$5:$G$604,'2. Soil Data'!$B$5:$B$604,$B800),""))</f>
        <v/>
      </c>
      <c r="L800" s="9" t="str">
        <f aca="false">IF(NOT(ISNUMBER($K800)),"",PI()*($K800/2)^2)</f>
        <v/>
      </c>
      <c r="M800" s="9" t="str">
        <f aca="false">IF(OR(NOT(ISNUMBER($J800)),NOT(ISNUMBER($L800)),$L800=0),"",$J800/$L800*10000)</f>
        <v/>
      </c>
      <c r="N800" s="9" t="str">
        <f aca="false">IF(NOT(ISNUMBER($M800)),"",$M800*CARBON_FRACTION_ROOT/1000)</f>
        <v/>
      </c>
      <c r="O800" s="11" t="str">
        <f aca="false">IF(AND($A800="",$B800="",$G800=""),"",IF(AND($B800&lt;&gt;"",COUNTIFS('2. Soil Data'!$B$5:$B$604,$B800)=0),"Core ID not found in Soil Data, so the corer diameter cannot be looked up. ","")&amp;IF(ASH_CORRECTED&lt;&gt;"Yes","Root mass is NOT ash-corrected, so it includes adhering mineral soil and is too high. Set ASH_CORRECTED once you have done it. ","")&amp;IF(AND(ASH_CORRECTED="Yes",NOT(ISNUMBER($H800))),"Ash correction is switched on but no ash fraction is given for this row. ","")&amp;IF($I800="","Sieve mesh not recorded — a fine-root figure cannot be interpreted without it. ","")&amp;IF(AND(ISNUMBER($H800),$H800&gt;0.5),"Ash fraction above 0.5 — over half this sample was mineral soil. Re-wash. ","")&amp;IF($F800="Not separated","Live and dead not separated. Fine for a stock, but "&amp;"note it in reporting. ",""))</f>
        <v/>
      </c>
      <c r="P800" s="6"/>
      <c r="Q800" s="9" t="n">
        <f aca="false">IF($B800="",0,IF(COUNTIFS($B$5:$B800,$B800)=1,1,0))</f>
        <v>0</v>
      </c>
    </row>
    <row r="801" customFormat="false" ht="15" hidden="false" customHeight="false" outlineLevel="0" collapsed="false">
      <c r="A801" s="6"/>
      <c r="B801" s="6"/>
      <c r="C801" s="6"/>
      <c r="D801" s="6"/>
      <c r="E801" s="6"/>
      <c r="F801" s="6"/>
      <c r="G801" s="7"/>
      <c r="H801" s="7"/>
      <c r="I801" s="6"/>
      <c r="J801" s="9" t="str">
        <f aca="false">IF(NOT(ISNUMBER($G801)),"",IF(AND(ASH_CORRECTED="Yes",ISNUMBER($H801)),$G801*(1-$H801),$G801))</f>
        <v/>
      </c>
      <c r="K801" s="9" t="str">
        <f aca="false">IF($B801="","",IFERROR(AVERAGEIFS('2. Soil Data'!$G$5:$G$604,'2. Soil Data'!$B$5:$B$604,$B801),""))</f>
        <v/>
      </c>
      <c r="L801" s="9" t="str">
        <f aca="false">IF(NOT(ISNUMBER($K801)),"",PI()*($K801/2)^2)</f>
        <v/>
      </c>
      <c r="M801" s="9" t="str">
        <f aca="false">IF(OR(NOT(ISNUMBER($J801)),NOT(ISNUMBER($L801)),$L801=0),"",$J801/$L801*10000)</f>
        <v/>
      </c>
      <c r="N801" s="9" t="str">
        <f aca="false">IF(NOT(ISNUMBER($M801)),"",$M801*CARBON_FRACTION_ROOT/1000)</f>
        <v/>
      </c>
      <c r="O801" s="11" t="str">
        <f aca="false">IF(AND($A801="",$B801="",$G801=""),"",IF(AND($B801&lt;&gt;"",COUNTIFS('2. Soil Data'!$B$5:$B$604,$B801)=0),"Core ID not found in Soil Data, so the corer diameter cannot be looked up. ","")&amp;IF(ASH_CORRECTED&lt;&gt;"Yes","Root mass is NOT ash-corrected, so it includes adhering mineral soil and is too high. Set ASH_CORRECTED once you have done it. ","")&amp;IF(AND(ASH_CORRECTED="Yes",NOT(ISNUMBER($H801))),"Ash correction is switched on but no ash fraction is given for this row. ","")&amp;IF($I801="","Sieve mesh not recorded — a fine-root figure cannot be interpreted without it. ","")&amp;IF(AND(ISNUMBER($H801),$H801&gt;0.5),"Ash fraction above 0.5 — over half this sample was mineral soil. Re-wash. ","")&amp;IF($F801="Not separated","Live and dead not separated. Fine for a stock, but "&amp;"note it in reporting. ",""))</f>
        <v/>
      </c>
      <c r="P801" s="6"/>
      <c r="Q801" s="9" t="n">
        <f aca="false">IF($B801="",0,IF(COUNTIFS($B$5:$B801,$B801)=1,1,0))</f>
        <v>0</v>
      </c>
    </row>
    <row r="802" customFormat="false" ht="15" hidden="false" customHeight="false" outlineLevel="0" collapsed="false">
      <c r="A802" s="6"/>
      <c r="B802" s="6"/>
      <c r="C802" s="6"/>
      <c r="D802" s="6"/>
      <c r="E802" s="6"/>
      <c r="F802" s="6"/>
      <c r="G802" s="7"/>
      <c r="H802" s="7"/>
      <c r="I802" s="6"/>
      <c r="J802" s="9" t="str">
        <f aca="false">IF(NOT(ISNUMBER($G802)),"",IF(AND(ASH_CORRECTED="Yes",ISNUMBER($H802)),$G802*(1-$H802),$G802))</f>
        <v/>
      </c>
      <c r="K802" s="9" t="str">
        <f aca="false">IF($B802="","",IFERROR(AVERAGEIFS('2. Soil Data'!$G$5:$G$604,'2. Soil Data'!$B$5:$B$604,$B802),""))</f>
        <v/>
      </c>
      <c r="L802" s="9" t="str">
        <f aca="false">IF(NOT(ISNUMBER($K802)),"",PI()*($K802/2)^2)</f>
        <v/>
      </c>
      <c r="M802" s="9" t="str">
        <f aca="false">IF(OR(NOT(ISNUMBER($J802)),NOT(ISNUMBER($L802)),$L802=0),"",$J802/$L802*10000)</f>
        <v/>
      </c>
      <c r="N802" s="9" t="str">
        <f aca="false">IF(NOT(ISNUMBER($M802)),"",$M802*CARBON_FRACTION_ROOT/1000)</f>
        <v/>
      </c>
      <c r="O802" s="11" t="str">
        <f aca="false">IF(AND($A802="",$B802="",$G802=""),"",IF(AND($B802&lt;&gt;"",COUNTIFS('2. Soil Data'!$B$5:$B$604,$B802)=0),"Core ID not found in Soil Data, so the corer diameter cannot be looked up. ","")&amp;IF(ASH_CORRECTED&lt;&gt;"Yes","Root mass is NOT ash-corrected, so it includes adhering mineral soil and is too high. Set ASH_CORRECTED once you have done it. ","")&amp;IF(AND(ASH_CORRECTED="Yes",NOT(ISNUMBER($H802))),"Ash correction is switched on but no ash fraction is given for this row. ","")&amp;IF($I802="","Sieve mesh not recorded — a fine-root figure cannot be interpreted without it. ","")&amp;IF(AND(ISNUMBER($H802),$H802&gt;0.5),"Ash fraction above 0.5 — over half this sample was mineral soil. Re-wash. ","")&amp;IF($F802="Not separated","Live and dead not separated. Fine for a stock, but "&amp;"note it in reporting. ",""))</f>
        <v/>
      </c>
      <c r="P802" s="6"/>
      <c r="Q802" s="9" t="n">
        <f aca="false">IF($B802="",0,IF(COUNTIFS($B$5:$B802,$B802)=1,1,0))</f>
        <v>0</v>
      </c>
    </row>
    <row r="803" customFormat="false" ht="15" hidden="false" customHeight="false" outlineLevel="0" collapsed="false">
      <c r="A803" s="6"/>
      <c r="B803" s="6"/>
      <c r="C803" s="6"/>
      <c r="D803" s="6"/>
      <c r="E803" s="6"/>
      <c r="F803" s="6"/>
      <c r="G803" s="7"/>
      <c r="H803" s="7"/>
      <c r="I803" s="6"/>
      <c r="J803" s="9" t="str">
        <f aca="false">IF(NOT(ISNUMBER($G803)),"",IF(AND(ASH_CORRECTED="Yes",ISNUMBER($H803)),$G803*(1-$H803),$G803))</f>
        <v/>
      </c>
      <c r="K803" s="9" t="str">
        <f aca="false">IF($B803="","",IFERROR(AVERAGEIFS('2. Soil Data'!$G$5:$G$604,'2. Soil Data'!$B$5:$B$604,$B803),""))</f>
        <v/>
      </c>
      <c r="L803" s="9" t="str">
        <f aca="false">IF(NOT(ISNUMBER($K803)),"",PI()*($K803/2)^2)</f>
        <v/>
      </c>
      <c r="M803" s="9" t="str">
        <f aca="false">IF(OR(NOT(ISNUMBER($J803)),NOT(ISNUMBER($L803)),$L803=0),"",$J803/$L803*10000)</f>
        <v/>
      </c>
      <c r="N803" s="9" t="str">
        <f aca="false">IF(NOT(ISNUMBER($M803)),"",$M803*CARBON_FRACTION_ROOT/1000)</f>
        <v/>
      </c>
      <c r="O803" s="11" t="str">
        <f aca="false">IF(AND($A803="",$B803="",$G803=""),"",IF(AND($B803&lt;&gt;"",COUNTIFS('2. Soil Data'!$B$5:$B$604,$B803)=0),"Core ID not found in Soil Data, so the corer diameter cannot be looked up. ","")&amp;IF(ASH_CORRECTED&lt;&gt;"Yes","Root mass is NOT ash-corrected, so it includes adhering mineral soil and is too high. Set ASH_CORRECTED once you have done it. ","")&amp;IF(AND(ASH_CORRECTED="Yes",NOT(ISNUMBER($H803))),"Ash correction is switched on but no ash fraction is given for this row. ","")&amp;IF($I803="","Sieve mesh not recorded — a fine-root figure cannot be interpreted without it. ","")&amp;IF(AND(ISNUMBER($H803),$H803&gt;0.5),"Ash fraction above 0.5 — over half this sample was mineral soil. Re-wash. ","")&amp;IF($F803="Not separated","Live and dead not separated. Fine for a stock, but "&amp;"note it in reporting. ",""))</f>
        <v/>
      </c>
      <c r="P803" s="6"/>
      <c r="Q803" s="9" t="n">
        <f aca="false">IF($B803="",0,IF(COUNTIFS($B$5:$B803,$B803)=1,1,0))</f>
        <v>0</v>
      </c>
    </row>
    <row r="804" customFormat="false" ht="15" hidden="false" customHeight="false" outlineLevel="0" collapsed="false">
      <c r="A804" s="6"/>
      <c r="B804" s="6"/>
      <c r="C804" s="6"/>
      <c r="D804" s="6"/>
      <c r="E804" s="6"/>
      <c r="F804" s="6"/>
      <c r="G804" s="7"/>
      <c r="H804" s="7"/>
      <c r="I804" s="6"/>
      <c r="J804" s="9" t="str">
        <f aca="false">IF(NOT(ISNUMBER($G804)),"",IF(AND(ASH_CORRECTED="Yes",ISNUMBER($H804)),$G804*(1-$H804),$G804))</f>
        <v/>
      </c>
      <c r="K804" s="9" t="str">
        <f aca="false">IF($B804="","",IFERROR(AVERAGEIFS('2. Soil Data'!$G$5:$G$604,'2. Soil Data'!$B$5:$B$604,$B804),""))</f>
        <v/>
      </c>
      <c r="L804" s="9" t="str">
        <f aca="false">IF(NOT(ISNUMBER($K804)),"",PI()*($K804/2)^2)</f>
        <v/>
      </c>
      <c r="M804" s="9" t="str">
        <f aca="false">IF(OR(NOT(ISNUMBER($J804)),NOT(ISNUMBER($L804)),$L804=0),"",$J804/$L804*10000)</f>
        <v/>
      </c>
      <c r="N804" s="9" t="str">
        <f aca="false">IF(NOT(ISNUMBER($M804)),"",$M804*CARBON_FRACTION_ROOT/1000)</f>
        <v/>
      </c>
      <c r="O804" s="11" t="str">
        <f aca="false">IF(AND($A804="",$B804="",$G804=""),"",IF(AND($B804&lt;&gt;"",COUNTIFS('2. Soil Data'!$B$5:$B$604,$B804)=0),"Core ID not found in Soil Data, so the corer diameter cannot be looked up. ","")&amp;IF(ASH_CORRECTED&lt;&gt;"Yes","Root mass is NOT ash-corrected, so it includes adhering mineral soil and is too high. Set ASH_CORRECTED once you have done it. ","")&amp;IF(AND(ASH_CORRECTED="Yes",NOT(ISNUMBER($H804))),"Ash correction is switched on but no ash fraction is given for this row. ","")&amp;IF($I804="","Sieve mesh not recorded — a fine-root figure cannot be interpreted without it. ","")&amp;IF(AND(ISNUMBER($H804),$H804&gt;0.5),"Ash fraction above 0.5 — over half this sample was mineral soil. Re-wash. ","")&amp;IF($F804="Not separated","Live and dead not separated. Fine for a stock, but "&amp;"note it in reporting. ",""))</f>
        <v/>
      </c>
      <c r="P804" s="6"/>
      <c r="Q804" s="9" t="n">
        <f aca="false">IF($B804="",0,IF(COUNTIFS($B$5:$B804,$B804)=1,1,0))</f>
        <v>0</v>
      </c>
    </row>
    <row r="805" customFormat="false" ht="15" hidden="false" customHeight="false" outlineLevel="0" collapsed="false">
      <c r="A805" s="6"/>
      <c r="B805" s="6"/>
      <c r="C805" s="6"/>
      <c r="D805" s="6"/>
      <c r="E805" s="6"/>
      <c r="F805" s="6"/>
      <c r="G805" s="7"/>
      <c r="H805" s="7"/>
      <c r="I805" s="6"/>
      <c r="J805" s="9" t="str">
        <f aca="false">IF(NOT(ISNUMBER($G805)),"",IF(AND(ASH_CORRECTED="Yes",ISNUMBER($H805)),$G805*(1-$H805),$G805))</f>
        <v/>
      </c>
      <c r="K805" s="9" t="str">
        <f aca="false">IF($B805="","",IFERROR(AVERAGEIFS('2. Soil Data'!$G$5:$G$604,'2. Soil Data'!$B$5:$B$604,$B805),""))</f>
        <v/>
      </c>
      <c r="L805" s="9" t="str">
        <f aca="false">IF(NOT(ISNUMBER($K805)),"",PI()*($K805/2)^2)</f>
        <v/>
      </c>
      <c r="M805" s="9" t="str">
        <f aca="false">IF(OR(NOT(ISNUMBER($J805)),NOT(ISNUMBER($L805)),$L805=0),"",$J805/$L805*10000)</f>
        <v/>
      </c>
      <c r="N805" s="9" t="str">
        <f aca="false">IF(NOT(ISNUMBER($M805)),"",$M805*CARBON_FRACTION_ROOT/1000)</f>
        <v/>
      </c>
      <c r="O805" s="11" t="str">
        <f aca="false">IF(AND($A805="",$B805="",$G805=""),"",IF(AND($B805&lt;&gt;"",COUNTIFS('2. Soil Data'!$B$5:$B$604,$B805)=0),"Core ID not found in Soil Data, so the corer diameter cannot be looked up. ","")&amp;IF(ASH_CORRECTED&lt;&gt;"Yes","Root mass is NOT ash-corrected, so it includes adhering mineral soil and is too high. Set ASH_CORRECTED once you have done it. ","")&amp;IF(AND(ASH_CORRECTED="Yes",NOT(ISNUMBER($H805))),"Ash correction is switched on but no ash fraction is given for this row. ","")&amp;IF($I805="","Sieve mesh not recorded — a fine-root figure cannot be interpreted without it. ","")&amp;IF(AND(ISNUMBER($H805),$H805&gt;0.5),"Ash fraction above 0.5 — over half this sample was mineral soil. Re-wash. ","")&amp;IF($F805="Not separated","Live and dead not separated. Fine for a stock, but "&amp;"note it in reporting. ",""))</f>
        <v/>
      </c>
      <c r="P805" s="6"/>
      <c r="Q805" s="9" t="n">
        <f aca="false">IF($B805="",0,IF(COUNTIFS($B$5:$B805,$B805)=1,1,0))</f>
        <v>0</v>
      </c>
    </row>
    <row r="806" customFormat="false" ht="15" hidden="false" customHeight="false" outlineLevel="0" collapsed="false">
      <c r="A806" s="6"/>
      <c r="B806" s="6"/>
      <c r="C806" s="6"/>
      <c r="D806" s="6"/>
      <c r="E806" s="6"/>
      <c r="F806" s="6"/>
      <c r="G806" s="7"/>
      <c r="H806" s="7"/>
      <c r="I806" s="6"/>
      <c r="J806" s="9" t="str">
        <f aca="false">IF(NOT(ISNUMBER($G806)),"",IF(AND(ASH_CORRECTED="Yes",ISNUMBER($H806)),$G806*(1-$H806),$G806))</f>
        <v/>
      </c>
      <c r="K806" s="9" t="str">
        <f aca="false">IF($B806="","",IFERROR(AVERAGEIFS('2. Soil Data'!$G$5:$G$604,'2. Soil Data'!$B$5:$B$604,$B806),""))</f>
        <v/>
      </c>
      <c r="L806" s="9" t="str">
        <f aca="false">IF(NOT(ISNUMBER($K806)),"",PI()*($K806/2)^2)</f>
        <v/>
      </c>
      <c r="M806" s="9" t="str">
        <f aca="false">IF(OR(NOT(ISNUMBER($J806)),NOT(ISNUMBER($L806)),$L806=0),"",$J806/$L806*10000)</f>
        <v/>
      </c>
      <c r="N806" s="9" t="str">
        <f aca="false">IF(NOT(ISNUMBER($M806)),"",$M806*CARBON_FRACTION_ROOT/1000)</f>
        <v/>
      </c>
      <c r="O806" s="11" t="str">
        <f aca="false">IF(AND($A806="",$B806="",$G806=""),"",IF(AND($B806&lt;&gt;"",COUNTIFS('2. Soil Data'!$B$5:$B$604,$B806)=0),"Core ID not found in Soil Data, so the corer diameter cannot be looked up. ","")&amp;IF(ASH_CORRECTED&lt;&gt;"Yes","Root mass is NOT ash-corrected, so it includes adhering mineral soil and is too high. Set ASH_CORRECTED once you have done it. ","")&amp;IF(AND(ASH_CORRECTED="Yes",NOT(ISNUMBER($H806))),"Ash correction is switched on but no ash fraction is given for this row. ","")&amp;IF($I806="","Sieve mesh not recorded — a fine-root figure cannot be interpreted without it. ","")&amp;IF(AND(ISNUMBER($H806),$H806&gt;0.5),"Ash fraction above 0.5 — over half this sample was mineral soil. Re-wash. ","")&amp;IF($F806="Not separated","Live and dead not separated. Fine for a stock, but "&amp;"note it in reporting. ",""))</f>
        <v/>
      </c>
      <c r="P806" s="6"/>
      <c r="Q806" s="9" t="n">
        <f aca="false">IF($B806="",0,IF(COUNTIFS($B$5:$B806,$B806)=1,1,0))</f>
        <v>0</v>
      </c>
    </row>
    <row r="807" customFormat="false" ht="15" hidden="false" customHeight="false" outlineLevel="0" collapsed="false">
      <c r="A807" s="6"/>
      <c r="B807" s="6"/>
      <c r="C807" s="6"/>
      <c r="D807" s="6"/>
      <c r="E807" s="6"/>
      <c r="F807" s="6"/>
      <c r="G807" s="7"/>
      <c r="H807" s="7"/>
      <c r="I807" s="6"/>
      <c r="J807" s="9" t="str">
        <f aca="false">IF(NOT(ISNUMBER($G807)),"",IF(AND(ASH_CORRECTED="Yes",ISNUMBER($H807)),$G807*(1-$H807),$G807))</f>
        <v/>
      </c>
      <c r="K807" s="9" t="str">
        <f aca="false">IF($B807="","",IFERROR(AVERAGEIFS('2. Soil Data'!$G$5:$G$604,'2. Soil Data'!$B$5:$B$604,$B807),""))</f>
        <v/>
      </c>
      <c r="L807" s="9" t="str">
        <f aca="false">IF(NOT(ISNUMBER($K807)),"",PI()*($K807/2)^2)</f>
        <v/>
      </c>
      <c r="M807" s="9" t="str">
        <f aca="false">IF(OR(NOT(ISNUMBER($J807)),NOT(ISNUMBER($L807)),$L807=0),"",$J807/$L807*10000)</f>
        <v/>
      </c>
      <c r="N807" s="9" t="str">
        <f aca="false">IF(NOT(ISNUMBER($M807)),"",$M807*CARBON_FRACTION_ROOT/1000)</f>
        <v/>
      </c>
      <c r="O807" s="11" t="str">
        <f aca="false">IF(AND($A807="",$B807="",$G807=""),"",IF(AND($B807&lt;&gt;"",COUNTIFS('2. Soil Data'!$B$5:$B$604,$B807)=0),"Core ID not found in Soil Data, so the corer diameter cannot be looked up. ","")&amp;IF(ASH_CORRECTED&lt;&gt;"Yes","Root mass is NOT ash-corrected, so it includes adhering mineral soil and is too high. Set ASH_CORRECTED once you have done it. ","")&amp;IF(AND(ASH_CORRECTED="Yes",NOT(ISNUMBER($H807))),"Ash correction is switched on but no ash fraction is given for this row. ","")&amp;IF($I807="","Sieve mesh not recorded — a fine-root figure cannot be interpreted without it. ","")&amp;IF(AND(ISNUMBER($H807),$H807&gt;0.5),"Ash fraction above 0.5 — over half this sample was mineral soil. Re-wash. ","")&amp;IF($F807="Not separated","Live and dead not separated. Fine for a stock, but "&amp;"note it in reporting. ",""))</f>
        <v/>
      </c>
      <c r="P807" s="6"/>
      <c r="Q807" s="9" t="n">
        <f aca="false">IF($B807="",0,IF(COUNTIFS($B$5:$B807,$B807)=1,1,0))</f>
        <v>0</v>
      </c>
    </row>
    <row r="808" customFormat="false" ht="15" hidden="false" customHeight="false" outlineLevel="0" collapsed="false">
      <c r="A808" s="6"/>
      <c r="B808" s="6"/>
      <c r="C808" s="6"/>
      <c r="D808" s="6"/>
      <c r="E808" s="6"/>
      <c r="F808" s="6"/>
      <c r="G808" s="7"/>
      <c r="H808" s="7"/>
      <c r="I808" s="6"/>
      <c r="J808" s="9" t="str">
        <f aca="false">IF(NOT(ISNUMBER($G808)),"",IF(AND(ASH_CORRECTED="Yes",ISNUMBER($H808)),$G808*(1-$H808),$G808))</f>
        <v/>
      </c>
      <c r="K808" s="9" t="str">
        <f aca="false">IF($B808="","",IFERROR(AVERAGEIFS('2. Soil Data'!$G$5:$G$604,'2. Soil Data'!$B$5:$B$604,$B808),""))</f>
        <v/>
      </c>
      <c r="L808" s="9" t="str">
        <f aca="false">IF(NOT(ISNUMBER($K808)),"",PI()*($K808/2)^2)</f>
        <v/>
      </c>
      <c r="M808" s="9" t="str">
        <f aca="false">IF(OR(NOT(ISNUMBER($J808)),NOT(ISNUMBER($L808)),$L808=0),"",$J808/$L808*10000)</f>
        <v/>
      </c>
      <c r="N808" s="9" t="str">
        <f aca="false">IF(NOT(ISNUMBER($M808)),"",$M808*CARBON_FRACTION_ROOT/1000)</f>
        <v/>
      </c>
      <c r="O808" s="11" t="str">
        <f aca="false">IF(AND($A808="",$B808="",$G808=""),"",IF(AND($B808&lt;&gt;"",COUNTIFS('2. Soil Data'!$B$5:$B$604,$B808)=0),"Core ID not found in Soil Data, so the corer diameter cannot be looked up. ","")&amp;IF(ASH_CORRECTED&lt;&gt;"Yes","Root mass is NOT ash-corrected, so it includes adhering mineral soil and is too high. Set ASH_CORRECTED once you have done it. ","")&amp;IF(AND(ASH_CORRECTED="Yes",NOT(ISNUMBER($H808))),"Ash correction is switched on but no ash fraction is given for this row. ","")&amp;IF($I808="","Sieve mesh not recorded — a fine-root figure cannot be interpreted without it. ","")&amp;IF(AND(ISNUMBER($H808),$H808&gt;0.5),"Ash fraction above 0.5 — over half this sample was mineral soil. Re-wash. ","")&amp;IF($F808="Not separated","Live and dead not separated. Fine for a stock, but "&amp;"note it in reporting. ",""))</f>
        <v/>
      </c>
      <c r="P808" s="6"/>
      <c r="Q808" s="9" t="n">
        <f aca="false">IF($B808="",0,IF(COUNTIFS($B$5:$B808,$B808)=1,1,0))</f>
        <v>0</v>
      </c>
    </row>
    <row r="809" customFormat="false" ht="15" hidden="false" customHeight="false" outlineLevel="0" collapsed="false">
      <c r="A809" s="6"/>
      <c r="B809" s="6"/>
      <c r="C809" s="6"/>
      <c r="D809" s="6"/>
      <c r="E809" s="6"/>
      <c r="F809" s="6"/>
      <c r="G809" s="7"/>
      <c r="H809" s="7"/>
      <c r="I809" s="6"/>
      <c r="J809" s="9" t="str">
        <f aca="false">IF(NOT(ISNUMBER($G809)),"",IF(AND(ASH_CORRECTED="Yes",ISNUMBER($H809)),$G809*(1-$H809),$G809))</f>
        <v/>
      </c>
      <c r="K809" s="9" t="str">
        <f aca="false">IF($B809="","",IFERROR(AVERAGEIFS('2. Soil Data'!$G$5:$G$604,'2. Soil Data'!$B$5:$B$604,$B809),""))</f>
        <v/>
      </c>
      <c r="L809" s="9" t="str">
        <f aca="false">IF(NOT(ISNUMBER($K809)),"",PI()*($K809/2)^2)</f>
        <v/>
      </c>
      <c r="M809" s="9" t="str">
        <f aca="false">IF(OR(NOT(ISNUMBER($J809)),NOT(ISNUMBER($L809)),$L809=0),"",$J809/$L809*10000)</f>
        <v/>
      </c>
      <c r="N809" s="9" t="str">
        <f aca="false">IF(NOT(ISNUMBER($M809)),"",$M809*CARBON_FRACTION_ROOT/1000)</f>
        <v/>
      </c>
      <c r="O809" s="11" t="str">
        <f aca="false">IF(AND($A809="",$B809="",$G809=""),"",IF(AND($B809&lt;&gt;"",COUNTIFS('2. Soil Data'!$B$5:$B$604,$B809)=0),"Core ID not found in Soil Data, so the corer diameter cannot be looked up. ","")&amp;IF(ASH_CORRECTED&lt;&gt;"Yes","Root mass is NOT ash-corrected, so it includes adhering mineral soil and is too high. Set ASH_CORRECTED once you have done it. ","")&amp;IF(AND(ASH_CORRECTED="Yes",NOT(ISNUMBER($H809))),"Ash correction is switched on but no ash fraction is given for this row. ","")&amp;IF($I809="","Sieve mesh not recorded — a fine-root figure cannot be interpreted without it. ","")&amp;IF(AND(ISNUMBER($H809),$H809&gt;0.5),"Ash fraction above 0.5 — over half this sample was mineral soil. Re-wash. ","")&amp;IF($F809="Not separated","Live and dead not separated. Fine for a stock, but "&amp;"note it in reporting. ",""))</f>
        <v/>
      </c>
      <c r="P809" s="6"/>
      <c r="Q809" s="9" t="n">
        <f aca="false">IF($B809="",0,IF(COUNTIFS($B$5:$B809,$B809)=1,1,0))</f>
        <v>0</v>
      </c>
    </row>
    <row r="810" customFormat="false" ht="15" hidden="false" customHeight="false" outlineLevel="0" collapsed="false">
      <c r="A810" s="6"/>
      <c r="B810" s="6"/>
      <c r="C810" s="6"/>
      <c r="D810" s="6"/>
      <c r="E810" s="6"/>
      <c r="F810" s="6"/>
      <c r="G810" s="7"/>
      <c r="H810" s="7"/>
      <c r="I810" s="6"/>
      <c r="J810" s="9" t="str">
        <f aca="false">IF(NOT(ISNUMBER($G810)),"",IF(AND(ASH_CORRECTED="Yes",ISNUMBER($H810)),$G810*(1-$H810),$G810))</f>
        <v/>
      </c>
      <c r="K810" s="9" t="str">
        <f aca="false">IF($B810="","",IFERROR(AVERAGEIFS('2. Soil Data'!$G$5:$G$604,'2. Soil Data'!$B$5:$B$604,$B810),""))</f>
        <v/>
      </c>
      <c r="L810" s="9" t="str">
        <f aca="false">IF(NOT(ISNUMBER($K810)),"",PI()*($K810/2)^2)</f>
        <v/>
      </c>
      <c r="M810" s="9" t="str">
        <f aca="false">IF(OR(NOT(ISNUMBER($J810)),NOT(ISNUMBER($L810)),$L810=0),"",$J810/$L810*10000)</f>
        <v/>
      </c>
      <c r="N810" s="9" t="str">
        <f aca="false">IF(NOT(ISNUMBER($M810)),"",$M810*CARBON_FRACTION_ROOT/1000)</f>
        <v/>
      </c>
      <c r="O810" s="11" t="str">
        <f aca="false">IF(AND($A810="",$B810="",$G810=""),"",IF(AND($B810&lt;&gt;"",COUNTIFS('2. Soil Data'!$B$5:$B$604,$B810)=0),"Core ID not found in Soil Data, so the corer diameter cannot be looked up. ","")&amp;IF(ASH_CORRECTED&lt;&gt;"Yes","Root mass is NOT ash-corrected, so it includes adhering mineral soil and is too high. Set ASH_CORRECTED once you have done it. ","")&amp;IF(AND(ASH_CORRECTED="Yes",NOT(ISNUMBER($H810))),"Ash correction is switched on but no ash fraction is given for this row. ","")&amp;IF($I810="","Sieve mesh not recorded — a fine-root figure cannot be interpreted without it. ","")&amp;IF(AND(ISNUMBER($H810),$H810&gt;0.5),"Ash fraction above 0.5 — over half this sample was mineral soil. Re-wash. ","")&amp;IF($F810="Not separated","Live and dead not separated. Fine for a stock, but "&amp;"note it in reporting. ",""))</f>
        <v/>
      </c>
      <c r="P810" s="6"/>
      <c r="Q810" s="9" t="n">
        <f aca="false">IF($B810="",0,IF(COUNTIFS($B$5:$B810,$B810)=1,1,0))</f>
        <v>0</v>
      </c>
    </row>
    <row r="811" customFormat="false" ht="15" hidden="false" customHeight="false" outlineLevel="0" collapsed="false">
      <c r="A811" s="6"/>
      <c r="B811" s="6"/>
      <c r="C811" s="6"/>
      <c r="D811" s="6"/>
      <c r="E811" s="6"/>
      <c r="F811" s="6"/>
      <c r="G811" s="7"/>
      <c r="H811" s="7"/>
      <c r="I811" s="6"/>
      <c r="J811" s="9" t="str">
        <f aca="false">IF(NOT(ISNUMBER($G811)),"",IF(AND(ASH_CORRECTED="Yes",ISNUMBER($H811)),$G811*(1-$H811),$G811))</f>
        <v/>
      </c>
      <c r="K811" s="9" t="str">
        <f aca="false">IF($B811="","",IFERROR(AVERAGEIFS('2. Soil Data'!$G$5:$G$604,'2. Soil Data'!$B$5:$B$604,$B811),""))</f>
        <v/>
      </c>
      <c r="L811" s="9" t="str">
        <f aca="false">IF(NOT(ISNUMBER($K811)),"",PI()*($K811/2)^2)</f>
        <v/>
      </c>
      <c r="M811" s="9" t="str">
        <f aca="false">IF(OR(NOT(ISNUMBER($J811)),NOT(ISNUMBER($L811)),$L811=0),"",$J811/$L811*10000)</f>
        <v/>
      </c>
      <c r="N811" s="9" t="str">
        <f aca="false">IF(NOT(ISNUMBER($M811)),"",$M811*CARBON_FRACTION_ROOT/1000)</f>
        <v/>
      </c>
      <c r="O811" s="11" t="str">
        <f aca="false">IF(AND($A811="",$B811="",$G811=""),"",IF(AND($B811&lt;&gt;"",COUNTIFS('2. Soil Data'!$B$5:$B$604,$B811)=0),"Core ID not found in Soil Data, so the corer diameter cannot be looked up. ","")&amp;IF(ASH_CORRECTED&lt;&gt;"Yes","Root mass is NOT ash-corrected, so it includes adhering mineral soil and is too high. Set ASH_CORRECTED once you have done it. ","")&amp;IF(AND(ASH_CORRECTED="Yes",NOT(ISNUMBER($H811))),"Ash correction is switched on but no ash fraction is given for this row. ","")&amp;IF($I811="","Sieve mesh not recorded — a fine-root figure cannot be interpreted without it. ","")&amp;IF(AND(ISNUMBER($H811),$H811&gt;0.5),"Ash fraction above 0.5 — over half this sample was mineral soil. Re-wash. ","")&amp;IF($F811="Not separated","Live and dead not separated. Fine for a stock, but "&amp;"note it in reporting. ",""))</f>
        <v/>
      </c>
      <c r="P811" s="6"/>
      <c r="Q811" s="9" t="n">
        <f aca="false">IF($B811="",0,IF(COUNTIFS($B$5:$B811,$B811)=1,1,0))</f>
        <v>0</v>
      </c>
    </row>
    <row r="812" customFormat="false" ht="15" hidden="false" customHeight="false" outlineLevel="0" collapsed="false">
      <c r="A812" s="6"/>
      <c r="B812" s="6"/>
      <c r="C812" s="6"/>
      <c r="D812" s="6"/>
      <c r="E812" s="6"/>
      <c r="F812" s="6"/>
      <c r="G812" s="7"/>
      <c r="H812" s="7"/>
      <c r="I812" s="6"/>
      <c r="J812" s="9" t="str">
        <f aca="false">IF(NOT(ISNUMBER($G812)),"",IF(AND(ASH_CORRECTED="Yes",ISNUMBER($H812)),$G812*(1-$H812),$G812))</f>
        <v/>
      </c>
      <c r="K812" s="9" t="str">
        <f aca="false">IF($B812="","",IFERROR(AVERAGEIFS('2. Soil Data'!$G$5:$G$604,'2. Soil Data'!$B$5:$B$604,$B812),""))</f>
        <v/>
      </c>
      <c r="L812" s="9" t="str">
        <f aca="false">IF(NOT(ISNUMBER($K812)),"",PI()*($K812/2)^2)</f>
        <v/>
      </c>
      <c r="M812" s="9" t="str">
        <f aca="false">IF(OR(NOT(ISNUMBER($J812)),NOT(ISNUMBER($L812)),$L812=0),"",$J812/$L812*10000)</f>
        <v/>
      </c>
      <c r="N812" s="9" t="str">
        <f aca="false">IF(NOT(ISNUMBER($M812)),"",$M812*CARBON_FRACTION_ROOT/1000)</f>
        <v/>
      </c>
      <c r="O812" s="11" t="str">
        <f aca="false">IF(AND($A812="",$B812="",$G812=""),"",IF(AND($B812&lt;&gt;"",COUNTIFS('2. Soil Data'!$B$5:$B$604,$B812)=0),"Core ID not found in Soil Data, so the corer diameter cannot be looked up. ","")&amp;IF(ASH_CORRECTED&lt;&gt;"Yes","Root mass is NOT ash-corrected, so it includes adhering mineral soil and is too high. Set ASH_CORRECTED once you have done it. ","")&amp;IF(AND(ASH_CORRECTED="Yes",NOT(ISNUMBER($H812))),"Ash correction is switched on but no ash fraction is given for this row. ","")&amp;IF($I812="","Sieve mesh not recorded — a fine-root figure cannot be interpreted without it. ","")&amp;IF(AND(ISNUMBER($H812),$H812&gt;0.5),"Ash fraction above 0.5 — over half this sample was mineral soil. Re-wash. ","")&amp;IF($F812="Not separated","Live and dead not separated. Fine for a stock, but "&amp;"note it in reporting. ",""))</f>
        <v/>
      </c>
      <c r="P812" s="6"/>
      <c r="Q812" s="9" t="n">
        <f aca="false">IF($B812="",0,IF(COUNTIFS($B$5:$B812,$B812)=1,1,0))</f>
        <v>0</v>
      </c>
    </row>
    <row r="813" customFormat="false" ht="15" hidden="false" customHeight="false" outlineLevel="0" collapsed="false">
      <c r="A813" s="6"/>
      <c r="B813" s="6"/>
      <c r="C813" s="6"/>
      <c r="D813" s="6"/>
      <c r="E813" s="6"/>
      <c r="F813" s="6"/>
      <c r="G813" s="7"/>
      <c r="H813" s="7"/>
      <c r="I813" s="6"/>
      <c r="J813" s="9" t="str">
        <f aca="false">IF(NOT(ISNUMBER($G813)),"",IF(AND(ASH_CORRECTED="Yes",ISNUMBER($H813)),$G813*(1-$H813),$G813))</f>
        <v/>
      </c>
      <c r="K813" s="9" t="str">
        <f aca="false">IF($B813="","",IFERROR(AVERAGEIFS('2. Soil Data'!$G$5:$G$604,'2. Soil Data'!$B$5:$B$604,$B813),""))</f>
        <v/>
      </c>
      <c r="L813" s="9" t="str">
        <f aca="false">IF(NOT(ISNUMBER($K813)),"",PI()*($K813/2)^2)</f>
        <v/>
      </c>
      <c r="M813" s="9" t="str">
        <f aca="false">IF(OR(NOT(ISNUMBER($J813)),NOT(ISNUMBER($L813)),$L813=0),"",$J813/$L813*10000)</f>
        <v/>
      </c>
      <c r="N813" s="9" t="str">
        <f aca="false">IF(NOT(ISNUMBER($M813)),"",$M813*CARBON_FRACTION_ROOT/1000)</f>
        <v/>
      </c>
      <c r="O813" s="11" t="str">
        <f aca="false">IF(AND($A813="",$B813="",$G813=""),"",IF(AND($B813&lt;&gt;"",COUNTIFS('2. Soil Data'!$B$5:$B$604,$B813)=0),"Core ID not found in Soil Data, so the corer diameter cannot be looked up. ","")&amp;IF(ASH_CORRECTED&lt;&gt;"Yes","Root mass is NOT ash-corrected, so it includes adhering mineral soil and is too high. Set ASH_CORRECTED once you have done it. ","")&amp;IF(AND(ASH_CORRECTED="Yes",NOT(ISNUMBER($H813))),"Ash correction is switched on but no ash fraction is given for this row. ","")&amp;IF($I813="","Sieve mesh not recorded — a fine-root figure cannot be interpreted without it. ","")&amp;IF(AND(ISNUMBER($H813),$H813&gt;0.5),"Ash fraction above 0.5 — over half this sample was mineral soil. Re-wash. ","")&amp;IF($F813="Not separated","Live and dead not separated. Fine for a stock, but "&amp;"note it in reporting. ",""))</f>
        <v/>
      </c>
      <c r="P813" s="6"/>
      <c r="Q813" s="9" t="n">
        <f aca="false">IF($B813="",0,IF(COUNTIFS($B$5:$B813,$B813)=1,1,0))</f>
        <v>0</v>
      </c>
    </row>
    <row r="814" customFormat="false" ht="15" hidden="false" customHeight="false" outlineLevel="0" collapsed="false">
      <c r="A814" s="6"/>
      <c r="B814" s="6"/>
      <c r="C814" s="6"/>
      <c r="D814" s="6"/>
      <c r="E814" s="6"/>
      <c r="F814" s="6"/>
      <c r="G814" s="7"/>
      <c r="H814" s="7"/>
      <c r="I814" s="6"/>
      <c r="J814" s="9" t="str">
        <f aca="false">IF(NOT(ISNUMBER($G814)),"",IF(AND(ASH_CORRECTED="Yes",ISNUMBER($H814)),$G814*(1-$H814),$G814))</f>
        <v/>
      </c>
      <c r="K814" s="9" t="str">
        <f aca="false">IF($B814="","",IFERROR(AVERAGEIFS('2. Soil Data'!$G$5:$G$604,'2. Soil Data'!$B$5:$B$604,$B814),""))</f>
        <v/>
      </c>
      <c r="L814" s="9" t="str">
        <f aca="false">IF(NOT(ISNUMBER($K814)),"",PI()*($K814/2)^2)</f>
        <v/>
      </c>
      <c r="M814" s="9" t="str">
        <f aca="false">IF(OR(NOT(ISNUMBER($J814)),NOT(ISNUMBER($L814)),$L814=0),"",$J814/$L814*10000)</f>
        <v/>
      </c>
      <c r="N814" s="9" t="str">
        <f aca="false">IF(NOT(ISNUMBER($M814)),"",$M814*CARBON_FRACTION_ROOT/1000)</f>
        <v/>
      </c>
      <c r="O814" s="11" t="str">
        <f aca="false">IF(AND($A814="",$B814="",$G814=""),"",IF(AND($B814&lt;&gt;"",COUNTIFS('2. Soil Data'!$B$5:$B$604,$B814)=0),"Core ID not found in Soil Data, so the corer diameter cannot be looked up. ","")&amp;IF(ASH_CORRECTED&lt;&gt;"Yes","Root mass is NOT ash-corrected, so it includes adhering mineral soil and is too high. Set ASH_CORRECTED once you have done it. ","")&amp;IF(AND(ASH_CORRECTED="Yes",NOT(ISNUMBER($H814))),"Ash correction is switched on but no ash fraction is given for this row. ","")&amp;IF($I814="","Sieve mesh not recorded — a fine-root figure cannot be interpreted without it. ","")&amp;IF(AND(ISNUMBER($H814),$H814&gt;0.5),"Ash fraction above 0.5 — over half this sample was mineral soil. Re-wash. ","")&amp;IF($F814="Not separated","Live and dead not separated. Fine for a stock, but "&amp;"note it in reporting. ",""))</f>
        <v/>
      </c>
      <c r="P814" s="6"/>
      <c r="Q814" s="9" t="n">
        <f aca="false">IF($B814="",0,IF(COUNTIFS($B$5:$B814,$B814)=1,1,0))</f>
        <v>0</v>
      </c>
    </row>
    <row r="815" customFormat="false" ht="15" hidden="false" customHeight="false" outlineLevel="0" collapsed="false">
      <c r="A815" s="6"/>
      <c r="B815" s="6"/>
      <c r="C815" s="6"/>
      <c r="D815" s="6"/>
      <c r="E815" s="6"/>
      <c r="F815" s="6"/>
      <c r="G815" s="7"/>
      <c r="H815" s="7"/>
      <c r="I815" s="6"/>
      <c r="J815" s="9" t="str">
        <f aca="false">IF(NOT(ISNUMBER($G815)),"",IF(AND(ASH_CORRECTED="Yes",ISNUMBER($H815)),$G815*(1-$H815),$G815))</f>
        <v/>
      </c>
      <c r="K815" s="9" t="str">
        <f aca="false">IF($B815="","",IFERROR(AVERAGEIFS('2. Soil Data'!$G$5:$G$604,'2. Soil Data'!$B$5:$B$604,$B815),""))</f>
        <v/>
      </c>
      <c r="L815" s="9" t="str">
        <f aca="false">IF(NOT(ISNUMBER($K815)),"",PI()*($K815/2)^2)</f>
        <v/>
      </c>
      <c r="M815" s="9" t="str">
        <f aca="false">IF(OR(NOT(ISNUMBER($J815)),NOT(ISNUMBER($L815)),$L815=0),"",$J815/$L815*10000)</f>
        <v/>
      </c>
      <c r="N815" s="9" t="str">
        <f aca="false">IF(NOT(ISNUMBER($M815)),"",$M815*CARBON_FRACTION_ROOT/1000)</f>
        <v/>
      </c>
      <c r="O815" s="11" t="str">
        <f aca="false">IF(AND($A815="",$B815="",$G815=""),"",IF(AND($B815&lt;&gt;"",COUNTIFS('2. Soil Data'!$B$5:$B$604,$B815)=0),"Core ID not found in Soil Data, so the corer diameter cannot be looked up. ","")&amp;IF(ASH_CORRECTED&lt;&gt;"Yes","Root mass is NOT ash-corrected, so it includes adhering mineral soil and is too high. Set ASH_CORRECTED once you have done it. ","")&amp;IF(AND(ASH_CORRECTED="Yes",NOT(ISNUMBER($H815))),"Ash correction is switched on but no ash fraction is given for this row. ","")&amp;IF($I815="","Sieve mesh not recorded — a fine-root figure cannot be interpreted without it. ","")&amp;IF(AND(ISNUMBER($H815),$H815&gt;0.5),"Ash fraction above 0.5 — over half this sample was mineral soil. Re-wash. ","")&amp;IF($F815="Not separated","Live and dead not separated. Fine for a stock, but "&amp;"note it in reporting. ",""))</f>
        <v/>
      </c>
      <c r="P815" s="6"/>
      <c r="Q815" s="9" t="n">
        <f aca="false">IF($B815="",0,IF(COUNTIFS($B$5:$B815,$B815)=1,1,0))</f>
        <v>0</v>
      </c>
    </row>
    <row r="816" customFormat="false" ht="15" hidden="false" customHeight="false" outlineLevel="0" collapsed="false">
      <c r="A816" s="6"/>
      <c r="B816" s="6"/>
      <c r="C816" s="6"/>
      <c r="D816" s="6"/>
      <c r="E816" s="6"/>
      <c r="F816" s="6"/>
      <c r="G816" s="7"/>
      <c r="H816" s="7"/>
      <c r="I816" s="6"/>
      <c r="J816" s="9" t="str">
        <f aca="false">IF(NOT(ISNUMBER($G816)),"",IF(AND(ASH_CORRECTED="Yes",ISNUMBER($H816)),$G816*(1-$H816),$G816))</f>
        <v/>
      </c>
      <c r="K816" s="9" t="str">
        <f aca="false">IF($B816="","",IFERROR(AVERAGEIFS('2. Soil Data'!$G$5:$G$604,'2. Soil Data'!$B$5:$B$604,$B816),""))</f>
        <v/>
      </c>
      <c r="L816" s="9" t="str">
        <f aca="false">IF(NOT(ISNUMBER($K816)),"",PI()*($K816/2)^2)</f>
        <v/>
      </c>
      <c r="M816" s="9" t="str">
        <f aca="false">IF(OR(NOT(ISNUMBER($J816)),NOT(ISNUMBER($L816)),$L816=0),"",$J816/$L816*10000)</f>
        <v/>
      </c>
      <c r="N816" s="9" t="str">
        <f aca="false">IF(NOT(ISNUMBER($M816)),"",$M816*CARBON_FRACTION_ROOT/1000)</f>
        <v/>
      </c>
      <c r="O816" s="11" t="str">
        <f aca="false">IF(AND($A816="",$B816="",$G816=""),"",IF(AND($B816&lt;&gt;"",COUNTIFS('2. Soil Data'!$B$5:$B$604,$B816)=0),"Core ID not found in Soil Data, so the corer diameter cannot be looked up. ","")&amp;IF(ASH_CORRECTED&lt;&gt;"Yes","Root mass is NOT ash-corrected, so it includes adhering mineral soil and is too high. Set ASH_CORRECTED once you have done it. ","")&amp;IF(AND(ASH_CORRECTED="Yes",NOT(ISNUMBER($H816))),"Ash correction is switched on but no ash fraction is given for this row. ","")&amp;IF($I816="","Sieve mesh not recorded — a fine-root figure cannot be interpreted without it. ","")&amp;IF(AND(ISNUMBER($H816),$H816&gt;0.5),"Ash fraction above 0.5 — over half this sample was mineral soil. Re-wash. ","")&amp;IF($F816="Not separated","Live and dead not separated. Fine for a stock, but "&amp;"note it in reporting. ",""))</f>
        <v/>
      </c>
      <c r="P816" s="6"/>
      <c r="Q816" s="9" t="n">
        <f aca="false">IF($B816="",0,IF(COUNTIFS($B$5:$B816,$B816)=1,1,0))</f>
        <v>0</v>
      </c>
    </row>
    <row r="817" customFormat="false" ht="15" hidden="false" customHeight="false" outlineLevel="0" collapsed="false">
      <c r="A817" s="6"/>
      <c r="B817" s="6"/>
      <c r="C817" s="6"/>
      <c r="D817" s="6"/>
      <c r="E817" s="6"/>
      <c r="F817" s="6"/>
      <c r="G817" s="7"/>
      <c r="H817" s="7"/>
      <c r="I817" s="6"/>
      <c r="J817" s="9" t="str">
        <f aca="false">IF(NOT(ISNUMBER($G817)),"",IF(AND(ASH_CORRECTED="Yes",ISNUMBER($H817)),$G817*(1-$H817),$G817))</f>
        <v/>
      </c>
      <c r="K817" s="9" t="str">
        <f aca="false">IF($B817="","",IFERROR(AVERAGEIFS('2. Soil Data'!$G$5:$G$604,'2. Soil Data'!$B$5:$B$604,$B817),""))</f>
        <v/>
      </c>
      <c r="L817" s="9" t="str">
        <f aca="false">IF(NOT(ISNUMBER($K817)),"",PI()*($K817/2)^2)</f>
        <v/>
      </c>
      <c r="M817" s="9" t="str">
        <f aca="false">IF(OR(NOT(ISNUMBER($J817)),NOT(ISNUMBER($L817)),$L817=0),"",$J817/$L817*10000)</f>
        <v/>
      </c>
      <c r="N817" s="9" t="str">
        <f aca="false">IF(NOT(ISNUMBER($M817)),"",$M817*CARBON_FRACTION_ROOT/1000)</f>
        <v/>
      </c>
      <c r="O817" s="11" t="str">
        <f aca="false">IF(AND($A817="",$B817="",$G817=""),"",IF(AND($B817&lt;&gt;"",COUNTIFS('2. Soil Data'!$B$5:$B$604,$B817)=0),"Core ID not found in Soil Data, so the corer diameter cannot be looked up. ","")&amp;IF(ASH_CORRECTED&lt;&gt;"Yes","Root mass is NOT ash-corrected, so it includes adhering mineral soil and is too high. Set ASH_CORRECTED once you have done it. ","")&amp;IF(AND(ASH_CORRECTED="Yes",NOT(ISNUMBER($H817))),"Ash correction is switched on but no ash fraction is given for this row. ","")&amp;IF($I817="","Sieve mesh not recorded — a fine-root figure cannot be interpreted without it. ","")&amp;IF(AND(ISNUMBER($H817),$H817&gt;0.5),"Ash fraction above 0.5 — over half this sample was mineral soil. Re-wash. ","")&amp;IF($F817="Not separated","Live and dead not separated. Fine for a stock, but "&amp;"note it in reporting. ",""))</f>
        <v/>
      </c>
      <c r="P817" s="6"/>
      <c r="Q817" s="9" t="n">
        <f aca="false">IF($B817="",0,IF(COUNTIFS($B$5:$B817,$B817)=1,1,0))</f>
        <v>0</v>
      </c>
    </row>
    <row r="818" customFormat="false" ht="15" hidden="false" customHeight="false" outlineLevel="0" collapsed="false">
      <c r="A818" s="6"/>
      <c r="B818" s="6"/>
      <c r="C818" s="6"/>
      <c r="D818" s="6"/>
      <c r="E818" s="6"/>
      <c r="F818" s="6"/>
      <c r="G818" s="7"/>
      <c r="H818" s="7"/>
      <c r="I818" s="6"/>
      <c r="J818" s="9" t="str">
        <f aca="false">IF(NOT(ISNUMBER($G818)),"",IF(AND(ASH_CORRECTED="Yes",ISNUMBER($H818)),$G818*(1-$H818),$G818))</f>
        <v/>
      </c>
      <c r="K818" s="9" t="str">
        <f aca="false">IF($B818="","",IFERROR(AVERAGEIFS('2. Soil Data'!$G$5:$G$604,'2. Soil Data'!$B$5:$B$604,$B818),""))</f>
        <v/>
      </c>
      <c r="L818" s="9" t="str">
        <f aca="false">IF(NOT(ISNUMBER($K818)),"",PI()*($K818/2)^2)</f>
        <v/>
      </c>
      <c r="M818" s="9" t="str">
        <f aca="false">IF(OR(NOT(ISNUMBER($J818)),NOT(ISNUMBER($L818)),$L818=0),"",$J818/$L818*10000)</f>
        <v/>
      </c>
      <c r="N818" s="9" t="str">
        <f aca="false">IF(NOT(ISNUMBER($M818)),"",$M818*CARBON_FRACTION_ROOT/1000)</f>
        <v/>
      </c>
      <c r="O818" s="11" t="str">
        <f aca="false">IF(AND($A818="",$B818="",$G818=""),"",IF(AND($B818&lt;&gt;"",COUNTIFS('2. Soil Data'!$B$5:$B$604,$B818)=0),"Core ID not found in Soil Data, so the corer diameter cannot be looked up. ","")&amp;IF(ASH_CORRECTED&lt;&gt;"Yes","Root mass is NOT ash-corrected, so it includes adhering mineral soil and is too high. Set ASH_CORRECTED once you have done it. ","")&amp;IF(AND(ASH_CORRECTED="Yes",NOT(ISNUMBER($H818))),"Ash correction is switched on but no ash fraction is given for this row. ","")&amp;IF($I818="","Sieve mesh not recorded — a fine-root figure cannot be interpreted without it. ","")&amp;IF(AND(ISNUMBER($H818),$H818&gt;0.5),"Ash fraction above 0.5 — over half this sample was mineral soil. Re-wash. ","")&amp;IF($F818="Not separated","Live and dead not separated. Fine for a stock, but "&amp;"note it in reporting. ",""))</f>
        <v/>
      </c>
      <c r="P818" s="6"/>
      <c r="Q818" s="9" t="n">
        <f aca="false">IF($B818="",0,IF(COUNTIFS($B$5:$B818,$B818)=1,1,0))</f>
        <v>0</v>
      </c>
    </row>
    <row r="819" customFormat="false" ht="15" hidden="false" customHeight="false" outlineLevel="0" collapsed="false">
      <c r="A819" s="6"/>
      <c r="B819" s="6"/>
      <c r="C819" s="6"/>
      <c r="D819" s="6"/>
      <c r="E819" s="6"/>
      <c r="F819" s="6"/>
      <c r="G819" s="7"/>
      <c r="H819" s="7"/>
      <c r="I819" s="6"/>
      <c r="J819" s="9" t="str">
        <f aca="false">IF(NOT(ISNUMBER($G819)),"",IF(AND(ASH_CORRECTED="Yes",ISNUMBER($H819)),$G819*(1-$H819),$G819))</f>
        <v/>
      </c>
      <c r="K819" s="9" t="str">
        <f aca="false">IF($B819="","",IFERROR(AVERAGEIFS('2. Soil Data'!$G$5:$G$604,'2. Soil Data'!$B$5:$B$604,$B819),""))</f>
        <v/>
      </c>
      <c r="L819" s="9" t="str">
        <f aca="false">IF(NOT(ISNUMBER($K819)),"",PI()*($K819/2)^2)</f>
        <v/>
      </c>
      <c r="M819" s="9" t="str">
        <f aca="false">IF(OR(NOT(ISNUMBER($J819)),NOT(ISNUMBER($L819)),$L819=0),"",$J819/$L819*10000)</f>
        <v/>
      </c>
      <c r="N819" s="9" t="str">
        <f aca="false">IF(NOT(ISNUMBER($M819)),"",$M819*CARBON_FRACTION_ROOT/1000)</f>
        <v/>
      </c>
      <c r="O819" s="11" t="str">
        <f aca="false">IF(AND($A819="",$B819="",$G819=""),"",IF(AND($B819&lt;&gt;"",COUNTIFS('2. Soil Data'!$B$5:$B$604,$B819)=0),"Core ID not found in Soil Data, so the corer diameter cannot be looked up. ","")&amp;IF(ASH_CORRECTED&lt;&gt;"Yes","Root mass is NOT ash-corrected, so it includes adhering mineral soil and is too high. Set ASH_CORRECTED once you have done it. ","")&amp;IF(AND(ASH_CORRECTED="Yes",NOT(ISNUMBER($H819))),"Ash correction is switched on but no ash fraction is given for this row. ","")&amp;IF($I819="","Sieve mesh not recorded — a fine-root figure cannot be interpreted without it. ","")&amp;IF(AND(ISNUMBER($H819),$H819&gt;0.5),"Ash fraction above 0.5 — over half this sample was mineral soil. Re-wash. ","")&amp;IF($F819="Not separated","Live and dead not separated. Fine for a stock, but "&amp;"note it in reporting. ",""))</f>
        <v/>
      </c>
      <c r="P819" s="6"/>
      <c r="Q819" s="9" t="n">
        <f aca="false">IF($B819="",0,IF(COUNTIFS($B$5:$B819,$B819)=1,1,0))</f>
        <v>0</v>
      </c>
    </row>
    <row r="820" customFormat="false" ht="15" hidden="false" customHeight="false" outlineLevel="0" collapsed="false">
      <c r="A820" s="6"/>
      <c r="B820" s="6"/>
      <c r="C820" s="6"/>
      <c r="D820" s="6"/>
      <c r="E820" s="6"/>
      <c r="F820" s="6"/>
      <c r="G820" s="7"/>
      <c r="H820" s="7"/>
      <c r="I820" s="6"/>
      <c r="J820" s="9" t="str">
        <f aca="false">IF(NOT(ISNUMBER($G820)),"",IF(AND(ASH_CORRECTED="Yes",ISNUMBER($H820)),$G820*(1-$H820),$G820))</f>
        <v/>
      </c>
      <c r="K820" s="9" t="str">
        <f aca="false">IF($B820="","",IFERROR(AVERAGEIFS('2. Soil Data'!$G$5:$G$604,'2. Soil Data'!$B$5:$B$604,$B820),""))</f>
        <v/>
      </c>
      <c r="L820" s="9" t="str">
        <f aca="false">IF(NOT(ISNUMBER($K820)),"",PI()*($K820/2)^2)</f>
        <v/>
      </c>
      <c r="M820" s="9" t="str">
        <f aca="false">IF(OR(NOT(ISNUMBER($J820)),NOT(ISNUMBER($L820)),$L820=0),"",$J820/$L820*10000)</f>
        <v/>
      </c>
      <c r="N820" s="9" t="str">
        <f aca="false">IF(NOT(ISNUMBER($M820)),"",$M820*CARBON_FRACTION_ROOT/1000)</f>
        <v/>
      </c>
      <c r="O820" s="11" t="str">
        <f aca="false">IF(AND($A820="",$B820="",$G820=""),"",IF(AND($B820&lt;&gt;"",COUNTIFS('2. Soil Data'!$B$5:$B$604,$B820)=0),"Core ID not found in Soil Data, so the corer diameter cannot be looked up. ","")&amp;IF(ASH_CORRECTED&lt;&gt;"Yes","Root mass is NOT ash-corrected, so it includes adhering mineral soil and is too high. Set ASH_CORRECTED once you have done it. ","")&amp;IF(AND(ASH_CORRECTED="Yes",NOT(ISNUMBER($H820))),"Ash correction is switched on but no ash fraction is given for this row. ","")&amp;IF($I820="","Sieve mesh not recorded — a fine-root figure cannot be interpreted without it. ","")&amp;IF(AND(ISNUMBER($H820),$H820&gt;0.5),"Ash fraction above 0.5 — over half this sample was mineral soil. Re-wash. ","")&amp;IF($F820="Not separated","Live and dead not separated. Fine for a stock, but "&amp;"note it in reporting. ",""))</f>
        <v/>
      </c>
      <c r="P820" s="6"/>
      <c r="Q820" s="9" t="n">
        <f aca="false">IF($B820="",0,IF(COUNTIFS($B$5:$B820,$B820)=1,1,0))</f>
        <v>0</v>
      </c>
    </row>
    <row r="821" customFormat="false" ht="15" hidden="false" customHeight="false" outlineLevel="0" collapsed="false">
      <c r="A821" s="6"/>
      <c r="B821" s="6"/>
      <c r="C821" s="6"/>
      <c r="D821" s="6"/>
      <c r="E821" s="6"/>
      <c r="F821" s="6"/>
      <c r="G821" s="7"/>
      <c r="H821" s="7"/>
      <c r="I821" s="6"/>
      <c r="J821" s="9" t="str">
        <f aca="false">IF(NOT(ISNUMBER($G821)),"",IF(AND(ASH_CORRECTED="Yes",ISNUMBER($H821)),$G821*(1-$H821),$G821))</f>
        <v/>
      </c>
      <c r="K821" s="9" t="str">
        <f aca="false">IF($B821="","",IFERROR(AVERAGEIFS('2. Soil Data'!$G$5:$G$604,'2. Soil Data'!$B$5:$B$604,$B821),""))</f>
        <v/>
      </c>
      <c r="L821" s="9" t="str">
        <f aca="false">IF(NOT(ISNUMBER($K821)),"",PI()*($K821/2)^2)</f>
        <v/>
      </c>
      <c r="M821" s="9" t="str">
        <f aca="false">IF(OR(NOT(ISNUMBER($J821)),NOT(ISNUMBER($L821)),$L821=0),"",$J821/$L821*10000)</f>
        <v/>
      </c>
      <c r="N821" s="9" t="str">
        <f aca="false">IF(NOT(ISNUMBER($M821)),"",$M821*CARBON_FRACTION_ROOT/1000)</f>
        <v/>
      </c>
      <c r="O821" s="11" t="str">
        <f aca="false">IF(AND($A821="",$B821="",$G821=""),"",IF(AND($B821&lt;&gt;"",COUNTIFS('2. Soil Data'!$B$5:$B$604,$B821)=0),"Core ID not found in Soil Data, so the corer diameter cannot be looked up. ","")&amp;IF(ASH_CORRECTED&lt;&gt;"Yes","Root mass is NOT ash-corrected, so it includes adhering mineral soil and is too high. Set ASH_CORRECTED once you have done it. ","")&amp;IF(AND(ASH_CORRECTED="Yes",NOT(ISNUMBER($H821))),"Ash correction is switched on but no ash fraction is given for this row. ","")&amp;IF($I821="","Sieve mesh not recorded — a fine-root figure cannot be interpreted without it. ","")&amp;IF(AND(ISNUMBER($H821),$H821&gt;0.5),"Ash fraction above 0.5 — over half this sample was mineral soil. Re-wash. ","")&amp;IF($F821="Not separated","Live and dead not separated. Fine for a stock, but "&amp;"note it in reporting. ",""))</f>
        <v/>
      </c>
      <c r="P821" s="6"/>
      <c r="Q821" s="9" t="n">
        <f aca="false">IF($B821="",0,IF(COUNTIFS($B$5:$B821,$B821)=1,1,0))</f>
        <v>0</v>
      </c>
    </row>
    <row r="822" customFormat="false" ht="15" hidden="false" customHeight="false" outlineLevel="0" collapsed="false">
      <c r="A822" s="6"/>
      <c r="B822" s="6"/>
      <c r="C822" s="6"/>
      <c r="D822" s="6"/>
      <c r="E822" s="6"/>
      <c r="F822" s="6"/>
      <c r="G822" s="7"/>
      <c r="H822" s="7"/>
      <c r="I822" s="6"/>
      <c r="J822" s="9" t="str">
        <f aca="false">IF(NOT(ISNUMBER($G822)),"",IF(AND(ASH_CORRECTED="Yes",ISNUMBER($H822)),$G822*(1-$H822),$G822))</f>
        <v/>
      </c>
      <c r="K822" s="9" t="str">
        <f aca="false">IF($B822="","",IFERROR(AVERAGEIFS('2. Soil Data'!$G$5:$G$604,'2. Soil Data'!$B$5:$B$604,$B822),""))</f>
        <v/>
      </c>
      <c r="L822" s="9" t="str">
        <f aca="false">IF(NOT(ISNUMBER($K822)),"",PI()*($K822/2)^2)</f>
        <v/>
      </c>
      <c r="M822" s="9" t="str">
        <f aca="false">IF(OR(NOT(ISNUMBER($J822)),NOT(ISNUMBER($L822)),$L822=0),"",$J822/$L822*10000)</f>
        <v/>
      </c>
      <c r="N822" s="9" t="str">
        <f aca="false">IF(NOT(ISNUMBER($M822)),"",$M822*CARBON_FRACTION_ROOT/1000)</f>
        <v/>
      </c>
      <c r="O822" s="11" t="str">
        <f aca="false">IF(AND($A822="",$B822="",$G822=""),"",IF(AND($B822&lt;&gt;"",COUNTIFS('2. Soil Data'!$B$5:$B$604,$B822)=0),"Core ID not found in Soil Data, so the corer diameter cannot be looked up. ","")&amp;IF(ASH_CORRECTED&lt;&gt;"Yes","Root mass is NOT ash-corrected, so it includes adhering mineral soil and is too high. Set ASH_CORRECTED once you have done it. ","")&amp;IF(AND(ASH_CORRECTED="Yes",NOT(ISNUMBER($H822))),"Ash correction is switched on but no ash fraction is given for this row. ","")&amp;IF($I822="","Sieve mesh not recorded — a fine-root figure cannot be interpreted without it. ","")&amp;IF(AND(ISNUMBER($H822),$H822&gt;0.5),"Ash fraction above 0.5 — over half this sample was mineral soil. Re-wash. ","")&amp;IF($F822="Not separated","Live and dead not separated. Fine for a stock, but "&amp;"note it in reporting. ",""))</f>
        <v/>
      </c>
      <c r="P822" s="6"/>
      <c r="Q822" s="9" t="n">
        <f aca="false">IF($B822="",0,IF(COUNTIFS($B$5:$B822,$B822)=1,1,0))</f>
        <v>0</v>
      </c>
    </row>
    <row r="823" customFormat="false" ht="15" hidden="false" customHeight="false" outlineLevel="0" collapsed="false">
      <c r="A823" s="6"/>
      <c r="B823" s="6"/>
      <c r="C823" s="6"/>
      <c r="D823" s="6"/>
      <c r="E823" s="6"/>
      <c r="F823" s="6"/>
      <c r="G823" s="7"/>
      <c r="H823" s="7"/>
      <c r="I823" s="6"/>
      <c r="J823" s="9" t="str">
        <f aca="false">IF(NOT(ISNUMBER($G823)),"",IF(AND(ASH_CORRECTED="Yes",ISNUMBER($H823)),$G823*(1-$H823),$G823))</f>
        <v/>
      </c>
      <c r="K823" s="9" t="str">
        <f aca="false">IF($B823="","",IFERROR(AVERAGEIFS('2. Soil Data'!$G$5:$G$604,'2. Soil Data'!$B$5:$B$604,$B823),""))</f>
        <v/>
      </c>
      <c r="L823" s="9" t="str">
        <f aca="false">IF(NOT(ISNUMBER($K823)),"",PI()*($K823/2)^2)</f>
        <v/>
      </c>
      <c r="M823" s="9" t="str">
        <f aca="false">IF(OR(NOT(ISNUMBER($J823)),NOT(ISNUMBER($L823)),$L823=0),"",$J823/$L823*10000)</f>
        <v/>
      </c>
      <c r="N823" s="9" t="str">
        <f aca="false">IF(NOT(ISNUMBER($M823)),"",$M823*CARBON_FRACTION_ROOT/1000)</f>
        <v/>
      </c>
      <c r="O823" s="11" t="str">
        <f aca="false">IF(AND($A823="",$B823="",$G823=""),"",IF(AND($B823&lt;&gt;"",COUNTIFS('2. Soil Data'!$B$5:$B$604,$B823)=0),"Core ID not found in Soil Data, so the corer diameter cannot be looked up. ","")&amp;IF(ASH_CORRECTED&lt;&gt;"Yes","Root mass is NOT ash-corrected, so it includes adhering mineral soil and is too high. Set ASH_CORRECTED once you have done it. ","")&amp;IF(AND(ASH_CORRECTED="Yes",NOT(ISNUMBER($H823))),"Ash correction is switched on but no ash fraction is given for this row. ","")&amp;IF($I823="","Sieve mesh not recorded — a fine-root figure cannot be interpreted without it. ","")&amp;IF(AND(ISNUMBER($H823),$H823&gt;0.5),"Ash fraction above 0.5 — over half this sample was mineral soil. Re-wash. ","")&amp;IF($F823="Not separated","Live and dead not separated. Fine for a stock, but "&amp;"note it in reporting. ",""))</f>
        <v/>
      </c>
      <c r="P823" s="6"/>
      <c r="Q823" s="9" t="n">
        <f aca="false">IF($B823="",0,IF(COUNTIFS($B$5:$B823,$B823)=1,1,0))</f>
        <v>0</v>
      </c>
    </row>
    <row r="824" customFormat="false" ht="15" hidden="false" customHeight="false" outlineLevel="0" collapsed="false">
      <c r="A824" s="6"/>
      <c r="B824" s="6"/>
      <c r="C824" s="6"/>
      <c r="D824" s="6"/>
      <c r="E824" s="6"/>
      <c r="F824" s="6"/>
      <c r="G824" s="7"/>
      <c r="H824" s="7"/>
      <c r="I824" s="6"/>
      <c r="J824" s="9" t="str">
        <f aca="false">IF(NOT(ISNUMBER($G824)),"",IF(AND(ASH_CORRECTED="Yes",ISNUMBER($H824)),$G824*(1-$H824),$G824))</f>
        <v/>
      </c>
      <c r="K824" s="9" t="str">
        <f aca="false">IF($B824="","",IFERROR(AVERAGEIFS('2. Soil Data'!$G$5:$G$604,'2. Soil Data'!$B$5:$B$604,$B824),""))</f>
        <v/>
      </c>
      <c r="L824" s="9" t="str">
        <f aca="false">IF(NOT(ISNUMBER($K824)),"",PI()*($K824/2)^2)</f>
        <v/>
      </c>
      <c r="M824" s="9" t="str">
        <f aca="false">IF(OR(NOT(ISNUMBER($J824)),NOT(ISNUMBER($L824)),$L824=0),"",$J824/$L824*10000)</f>
        <v/>
      </c>
      <c r="N824" s="9" t="str">
        <f aca="false">IF(NOT(ISNUMBER($M824)),"",$M824*CARBON_FRACTION_ROOT/1000)</f>
        <v/>
      </c>
      <c r="O824" s="11" t="str">
        <f aca="false">IF(AND($A824="",$B824="",$G824=""),"",IF(AND($B824&lt;&gt;"",COUNTIFS('2. Soil Data'!$B$5:$B$604,$B824)=0),"Core ID not found in Soil Data, so the corer diameter cannot be looked up. ","")&amp;IF(ASH_CORRECTED&lt;&gt;"Yes","Root mass is NOT ash-corrected, so it includes adhering mineral soil and is too high. Set ASH_CORRECTED once you have done it. ","")&amp;IF(AND(ASH_CORRECTED="Yes",NOT(ISNUMBER($H824))),"Ash correction is switched on but no ash fraction is given for this row. ","")&amp;IF($I824="","Sieve mesh not recorded — a fine-root figure cannot be interpreted without it. ","")&amp;IF(AND(ISNUMBER($H824),$H824&gt;0.5),"Ash fraction above 0.5 — over half this sample was mineral soil. Re-wash. ","")&amp;IF($F824="Not separated","Live and dead not separated. Fine for a stock, but "&amp;"note it in reporting. ",""))</f>
        <v/>
      </c>
      <c r="P824" s="6"/>
      <c r="Q824" s="9" t="n">
        <f aca="false">IF($B824="",0,IF(COUNTIFS($B$5:$B824,$B824)=1,1,0))</f>
        <v>0</v>
      </c>
    </row>
    <row r="825" customFormat="false" ht="15" hidden="false" customHeight="false" outlineLevel="0" collapsed="false">
      <c r="A825" s="6"/>
      <c r="B825" s="6"/>
      <c r="C825" s="6"/>
      <c r="D825" s="6"/>
      <c r="E825" s="6"/>
      <c r="F825" s="6"/>
      <c r="G825" s="7"/>
      <c r="H825" s="7"/>
      <c r="I825" s="6"/>
      <c r="J825" s="9" t="str">
        <f aca="false">IF(NOT(ISNUMBER($G825)),"",IF(AND(ASH_CORRECTED="Yes",ISNUMBER($H825)),$G825*(1-$H825),$G825))</f>
        <v/>
      </c>
      <c r="K825" s="9" t="str">
        <f aca="false">IF($B825="","",IFERROR(AVERAGEIFS('2. Soil Data'!$G$5:$G$604,'2. Soil Data'!$B$5:$B$604,$B825),""))</f>
        <v/>
      </c>
      <c r="L825" s="9" t="str">
        <f aca="false">IF(NOT(ISNUMBER($K825)),"",PI()*($K825/2)^2)</f>
        <v/>
      </c>
      <c r="M825" s="9" t="str">
        <f aca="false">IF(OR(NOT(ISNUMBER($J825)),NOT(ISNUMBER($L825)),$L825=0),"",$J825/$L825*10000)</f>
        <v/>
      </c>
      <c r="N825" s="9" t="str">
        <f aca="false">IF(NOT(ISNUMBER($M825)),"",$M825*CARBON_FRACTION_ROOT/1000)</f>
        <v/>
      </c>
      <c r="O825" s="11" t="str">
        <f aca="false">IF(AND($A825="",$B825="",$G825=""),"",IF(AND($B825&lt;&gt;"",COUNTIFS('2. Soil Data'!$B$5:$B$604,$B825)=0),"Core ID not found in Soil Data, so the corer diameter cannot be looked up. ","")&amp;IF(ASH_CORRECTED&lt;&gt;"Yes","Root mass is NOT ash-corrected, so it includes adhering mineral soil and is too high. Set ASH_CORRECTED once you have done it. ","")&amp;IF(AND(ASH_CORRECTED="Yes",NOT(ISNUMBER($H825))),"Ash correction is switched on but no ash fraction is given for this row. ","")&amp;IF($I825="","Sieve mesh not recorded — a fine-root figure cannot be interpreted without it. ","")&amp;IF(AND(ISNUMBER($H825),$H825&gt;0.5),"Ash fraction above 0.5 — over half this sample was mineral soil. Re-wash. ","")&amp;IF($F825="Not separated","Live and dead not separated. Fine for a stock, but "&amp;"note it in reporting. ",""))</f>
        <v/>
      </c>
      <c r="P825" s="6"/>
      <c r="Q825" s="9" t="n">
        <f aca="false">IF($B825="",0,IF(COUNTIFS($B$5:$B825,$B825)=1,1,0))</f>
        <v>0</v>
      </c>
    </row>
    <row r="826" customFormat="false" ht="15" hidden="false" customHeight="false" outlineLevel="0" collapsed="false">
      <c r="A826" s="6"/>
      <c r="B826" s="6"/>
      <c r="C826" s="6"/>
      <c r="D826" s="6"/>
      <c r="E826" s="6"/>
      <c r="F826" s="6"/>
      <c r="G826" s="7"/>
      <c r="H826" s="7"/>
      <c r="I826" s="6"/>
      <c r="J826" s="9" t="str">
        <f aca="false">IF(NOT(ISNUMBER($G826)),"",IF(AND(ASH_CORRECTED="Yes",ISNUMBER($H826)),$G826*(1-$H826),$G826))</f>
        <v/>
      </c>
      <c r="K826" s="9" t="str">
        <f aca="false">IF($B826="","",IFERROR(AVERAGEIFS('2. Soil Data'!$G$5:$G$604,'2. Soil Data'!$B$5:$B$604,$B826),""))</f>
        <v/>
      </c>
      <c r="L826" s="9" t="str">
        <f aca="false">IF(NOT(ISNUMBER($K826)),"",PI()*($K826/2)^2)</f>
        <v/>
      </c>
      <c r="M826" s="9" t="str">
        <f aca="false">IF(OR(NOT(ISNUMBER($J826)),NOT(ISNUMBER($L826)),$L826=0),"",$J826/$L826*10000)</f>
        <v/>
      </c>
      <c r="N826" s="9" t="str">
        <f aca="false">IF(NOT(ISNUMBER($M826)),"",$M826*CARBON_FRACTION_ROOT/1000)</f>
        <v/>
      </c>
      <c r="O826" s="11" t="str">
        <f aca="false">IF(AND($A826="",$B826="",$G826=""),"",IF(AND($B826&lt;&gt;"",COUNTIFS('2. Soil Data'!$B$5:$B$604,$B826)=0),"Core ID not found in Soil Data, so the corer diameter cannot be looked up. ","")&amp;IF(ASH_CORRECTED&lt;&gt;"Yes","Root mass is NOT ash-corrected, so it includes adhering mineral soil and is too high. Set ASH_CORRECTED once you have done it. ","")&amp;IF(AND(ASH_CORRECTED="Yes",NOT(ISNUMBER($H826))),"Ash correction is switched on but no ash fraction is given for this row. ","")&amp;IF($I826="","Sieve mesh not recorded — a fine-root figure cannot be interpreted without it. ","")&amp;IF(AND(ISNUMBER($H826),$H826&gt;0.5),"Ash fraction above 0.5 — over half this sample was mineral soil. Re-wash. ","")&amp;IF($F826="Not separated","Live and dead not separated. Fine for a stock, but "&amp;"note it in reporting. ",""))</f>
        <v/>
      </c>
      <c r="P826" s="6"/>
      <c r="Q826" s="9" t="n">
        <f aca="false">IF($B826="",0,IF(COUNTIFS($B$5:$B826,$B826)=1,1,0))</f>
        <v>0</v>
      </c>
    </row>
    <row r="827" customFormat="false" ht="15" hidden="false" customHeight="false" outlineLevel="0" collapsed="false">
      <c r="A827" s="6"/>
      <c r="B827" s="6"/>
      <c r="C827" s="6"/>
      <c r="D827" s="6"/>
      <c r="E827" s="6"/>
      <c r="F827" s="6"/>
      <c r="G827" s="7"/>
      <c r="H827" s="7"/>
      <c r="I827" s="6"/>
      <c r="J827" s="9" t="str">
        <f aca="false">IF(NOT(ISNUMBER($G827)),"",IF(AND(ASH_CORRECTED="Yes",ISNUMBER($H827)),$G827*(1-$H827),$G827))</f>
        <v/>
      </c>
      <c r="K827" s="9" t="str">
        <f aca="false">IF($B827="","",IFERROR(AVERAGEIFS('2. Soil Data'!$G$5:$G$604,'2. Soil Data'!$B$5:$B$604,$B827),""))</f>
        <v/>
      </c>
      <c r="L827" s="9" t="str">
        <f aca="false">IF(NOT(ISNUMBER($K827)),"",PI()*($K827/2)^2)</f>
        <v/>
      </c>
      <c r="M827" s="9" t="str">
        <f aca="false">IF(OR(NOT(ISNUMBER($J827)),NOT(ISNUMBER($L827)),$L827=0),"",$J827/$L827*10000)</f>
        <v/>
      </c>
      <c r="N827" s="9" t="str">
        <f aca="false">IF(NOT(ISNUMBER($M827)),"",$M827*CARBON_FRACTION_ROOT/1000)</f>
        <v/>
      </c>
      <c r="O827" s="11" t="str">
        <f aca="false">IF(AND($A827="",$B827="",$G827=""),"",IF(AND($B827&lt;&gt;"",COUNTIFS('2. Soil Data'!$B$5:$B$604,$B827)=0),"Core ID not found in Soil Data, so the corer diameter cannot be looked up. ","")&amp;IF(ASH_CORRECTED&lt;&gt;"Yes","Root mass is NOT ash-corrected, so it includes adhering mineral soil and is too high. Set ASH_CORRECTED once you have done it. ","")&amp;IF(AND(ASH_CORRECTED="Yes",NOT(ISNUMBER($H827))),"Ash correction is switched on but no ash fraction is given for this row. ","")&amp;IF($I827="","Sieve mesh not recorded — a fine-root figure cannot be interpreted without it. ","")&amp;IF(AND(ISNUMBER($H827),$H827&gt;0.5),"Ash fraction above 0.5 — over half this sample was mineral soil. Re-wash. ","")&amp;IF($F827="Not separated","Live and dead not separated. Fine for a stock, but "&amp;"note it in reporting. ",""))</f>
        <v/>
      </c>
      <c r="P827" s="6"/>
      <c r="Q827" s="9" t="n">
        <f aca="false">IF($B827="",0,IF(COUNTIFS($B$5:$B827,$B827)=1,1,0))</f>
        <v>0</v>
      </c>
    </row>
    <row r="828" customFormat="false" ht="15" hidden="false" customHeight="false" outlineLevel="0" collapsed="false">
      <c r="A828" s="6"/>
      <c r="B828" s="6"/>
      <c r="C828" s="6"/>
      <c r="D828" s="6"/>
      <c r="E828" s="6"/>
      <c r="F828" s="6"/>
      <c r="G828" s="7"/>
      <c r="H828" s="7"/>
      <c r="I828" s="6"/>
      <c r="J828" s="9" t="str">
        <f aca="false">IF(NOT(ISNUMBER($G828)),"",IF(AND(ASH_CORRECTED="Yes",ISNUMBER($H828)),$G828*(1-$H828),$G828))</f>
        <v/>
      </c>
      <c r="K828" s="9" t="str">
        <f aca="false">IF($B828="","",IFERROR(AVERAGEIFS('2. Soil Data'!$G$5:$G$604,'2. Soil Data'!$B$5:$B$604,$B828),""))</f>
        <v/>
      </c>
      <c r="L828" s="9" t="str">
        <f aca="false">IF(NOT(ISNUMBER($K828)),"",PI()*($K828/2)^2)</f>
        <v/>
      </c>
      <c r="M828" s="9" t="str">
        <f aca="false">IF(OR(NOT(ISNUMBER($J828)),NOT(ISNUMBER($L828)),$L828=0),"",$J828/$L828*10000)</f>
        <v/>
      </c>
      <c r="N828" s="9" t="str">
        <f aca="false">IF(NOT(ISNUMBER($M828)),"",$M828*CARBON_FRACTION_ROOT/1000)</f>
        <v/>
      </c>
      <c r="O828" s="11" t="str">
        <f aca="false">IF(AND($A828="",$B828="",$G828=""),"",IF(AND($B828&lt;&gt;"",COUNTIFS('2. Soil Data'!$B$5:$B$604,$B828)=0),"Core ID not found in Soil Data, so the corer diameter cannot be looked up. ","")&amp;IF(ASH_CORRECTED&lt;&gt;"Yes","Root mass is NOT ash-corrected, so it includes adhering mineral soil and is too high. Set ASH_CORRECTED once you have done it. ","")&amp;IF(AND(ASH_CORRECTED="Yes",NOT(ISNUMBER($H828))),"Ash correction is switched on but no ash fraction is given for this row. ","")&amp;IF($I828="","Sieve mesh not recorded — a fine-root figure cannot be interpreted without it. ","")&amp;IF(AND(ISNUMBER($H828),$H828&gt;0.5),"Ash fraction above 0.5 — over half this sample was mineral soil. Re-wash. ","")&amp;IF($F828="Not separated","Live and dead not separated. Fine for a stock, but "&amp;"note it in reporting. ",""))</f>
        <v/>
      </c>
      <c r="P828" s="6"/>
      <c r="Q828" s="9" t="n">
        <f aca="false">IF($B828="",0,IF(COUNTIFS($B$5:$B828,$B828)=1,1,0))</f>
        <v>0</v>
      </c>
    </row>
    <row r="829" customFormat="false" ht="15" hidden="false" customHeight="false" outlineLevel="0" collapsed="false">
      <c r="A829" s="6"/>
      <c r="B829" s="6"/>
      <c r="C829" s="6"/>
      <c r="D829" s="6"/>
      <c r="E829" s="6"/>
      <c r="F829" s="6"/>
      <c r="G829" s="7"/>
      <c r="H829" s="7"/>
      <c r="I829" s="6"/>
      <c r="J829" s="9" t="str">
        <f aca="false">IF(NOT(ISNUMBER($G829)),"",IF(AND(ASH_CORRECTED="Yes",ISNUMBER($H829)),$G829*(1-$H829),$G829))</f>
        <v/>
      </c>
      <c r="K829" s="9" t="str">
        <f aca="false">IF($B829="","",IFERROR(AVERAGEIFS('2. Soil Data'!$G$5:$G$604,'2. Soil Data'!$B$5:$B$604,$B829),""))</f>
        <v/>
      </c>
      <c r="L829" s="9" t="str">
        <f aca="false">IF(NOT(ISNUMBER($K829)),"",PI()*($K829/2)^2)</f>
        <v/>
      </c>
      <c r="M829" s="9" t="str">
        <f aca="false">IF(OR(NOT(ISNUMBER($J829)),NOT(ISNUMBER($L829)),$L829=0),"",$J829/$L829*10000)</f>
        <v/>
      </c>
      <c r="N829" s="9" t="str">
        <f aca="false">IF(NOT(ISNUMBER($M829)),"",$M829*CARBON_FRACTION_ROOT/1000)</f>
        <v/>
      </c>
      <c r="O829" s="11" t="str">
        <f aca="false">IF(AND($A829="",$B829="",$G829=""),"",IF(AND($B829&lt;&gt;"",COUNTIFS('2. Soil Data'!$B$5:$B$604,$B829)=0),"Core ID not found in Soil Data, so the corer diameter cannot be looked up. ","")&amp;IF(ASH_CORRECTED&lt;&gt;"Yes","Root mass is NOT ash-corrected, so it includes adhering mineral soil and is too high. Set ASH_CORRECTED once you have done it. ","")&amp;IF(AND(ASH_CORRECTED="Yes",NOT(ISNUMBER($H829))),"Ash correction is switched on but no ash fraction is given for this row. ","")&amp;IF($I829="","Sieve mesh not recorded — a fine-root figure cannot be interpreted without it. ","")&amp;IF(AND(ISNUMBER($H829),$H829&gt;0.5),"Ash fraction above 0.5 — over half this sample was mineral soil. Re-wash. ","")&amp;IF($F829="Not separated","Live and dead not separated. Fine for a stock, but "&amp;"note it in reporting. ",""))</f>
        <v/>
      </c>
      <c r="P829" s="6"/>
      <c r="Q829" s="9" t="n">
        <f aca="false">IF($B829="",0,IF(COUNTIFS($B$5:$B829,$B829)=1,1,0))</f>
        <v>0</v>
      </c>
    </row>
    <row r="830" customFormat="false" ht="15" hidden="false" customHeight="false" outlineLevel="0" collapsed="false">
      <c r="A830" s="6"/>
      <c r="B830" s="6"/>
      <c r="C830" s="6"/>
      <c r="D830" s="6"/>
      <c r="E830" s="6"/>
      <c r="F830" s="6"/>
      <c r="G830" s="7"/>
      <c r="H830" s="7"/>
      <c r="I830" s="6"/>
      <c r="J830" s="9" t="str">
        <f aca="false">IF(NOT(ISNUMBER($G830)),"",IF(AND(ASH_CORRECTED="Yes",ISNUMBER($H830)),$G830*(1-$H830),$G830))</f>
        <v/>
      </c>
      <c r="K830" s="9" t="str">
        <f aca="false">IF($B830="","",IFERROR(AVERAGEIFS('2. Soil Data'!$G$5:$G$604,'2. Soil Data'!$B$5:$B$604,$B830),""))</f>
        <v/>
      </c>
      <c r="L830" s="9" t="str">
        <f aca="false">IF(NOT(ISNUMBER($K830)),"",PI()*($K830/2)^2)</f>
        <v/>
      </c>
      <c r="M830" s="9" t="str">
        <f aca="false">IF(OR(NOT(ISNUMBER($J830)),NOT(ISNUMBER($L830)),$L830=0),"",$J830/$L830*10000)</f>
        <v/>
      </c>
      <c r="N830" s="9" t="str">
        <f aca="false">IF(NOT(ISNUMBER($M830)),"",$M830*CARBON_FRACTION_ROOT/1000)</f>
        <v/>
      </c>
      <c r="O830" s="11" t="str">
        <f aca="false">IF(AND($A830="",$B830="",$G830=""),"",IF(AND($B830&lt;&gt;"",COUNTIFS('2. Soil Data'!$B$5:$B$604,$B830)=0),"Core ID not found in Soil Data, so the corer diameter cannot be looked up. ","")&amp;IF(ASH_CORRECTED&lt;&gt;"Yes","Root mass is NOT ash-corrected, so it includes adhering mineral soil and is too high. Set ASH_CORRECTED once you have done it. ","")&amp;IF(AND(ASH_CORRECTED="Yes",NOT(ISNUMBER($H830))),"Ash correction is switched on but no ash fraction is given for this row. ","")&amp;IF($I830="","Sieve mesh not recorded — a fine-root figure cannot be interpreted without it. ","")&amp;IF(AND(ISNUMBER($H830),$H830&gt;0.5),"Ash fraction above 0.5 — over half this sample was mineral soil. Re-wash. ","")&amp;IF($F830="Not separated","Live and dead not separated. Fine for a stock, but "&amp;"note it in reporting. ",""))</f>
        <v/>
      </c>
      <c r="P830" s="6"/>
      <c r="Q830" s="9" t="n">
        <f aca="false">IF($B830="",0,IF(COUNTIFS($B$5:$B830,$B830)=1,1,0))</f>
        <v>0</v>
      </c>
    </row>
    <row r="831" customFormat="false" ht="15" hidden="false" customHeight="false" outlineLevel="0" collapsed="false">
      <c r="A831" s="6"/>
      <c r="B831" s="6"/>
      <c r="C831" s="6"/>
      <c r="D831" s="6"/>
      <c r="E831" s="6"/>
      <c r="F831" s="6"/>
      <c r="G831" s="7"/>
      <c r="H831" s="7"/>
      <c r="I831" s="6"/>
      <c r="J831" s="9" t="str">
        <f aca="false">IF(NOT(ISNUMBER($G831)),"",IF(AND(ASH_CORRECTED="Yes",ISNUMBER($H831)),$G831*(1-$H831),$G831))</f>
        <v/>
      </c>
      <c r="K831" s="9" t="str">
        <f aca="false">IF($B831="","",IFERROR(AVERAGEIFS('2. Soil Data'!$G$5:$G$604,'2. Soil Data'!$B$5:$B$604,$B831),""))</f>
        <v/>
      </c>
      <c r="L831" s="9" t="str">
        <f aca="false">IF(NOT(ISNUMBER($K831)),"",PI()*($K831/2)^2)</f>
        <v/>
      </c>
      <c r="M831" s="9" t="str">
        <f aca="false">IF(OR(NOT(ISNUMBER($J831)),NOT(ISNUMBER($L831)),$L831=0),"",$J831/$L831*10000)</f>
        <v/>
      </c>
      <c r="N831" s="9" t="str">
        <f aca="false">IF(NOT(ISNUMBER($M831)),"",$M831*CARBON_FRACTION_ROOT/1000)</f>
        <v/>
      </c>
      <c r="O831" s="11" t="str">
        <f aca="false">IF(AND($A831="",$B831="",$G831=""),"",IF(AND($B831&lt;&gt;"",COUNTIFS('2. Soil Data'!$B$5:$B$604,$B831)=0),"Core ID not found in Soil Data, so the corer diameter cannot be looked up. ","")&amp;IF(ASH_CORRECTED&lt;&gt;"Yes","Root mass is NOT ash-corrected, so it includes adhering mineral soil and is too high. Set ASH_CORRECTED once you have done it. ","")&amp;IF(AND(ASH_CORRECTED="Yes",NOT(ISNUMBER($H831))),"Ash correction is switched on but no ash fraction is given for this row. ","")&amp;IF($I831="","Sieve mesh not recorded — a fine-root figure cannot be interpreted without it. ","")&amp;IF(AND(ISNUMBER($H831),$H831&gt;0.5),"Ash fraction above 0.5 — over half this sample was mineral soil. Re-wash. ","")&amp;IF($F831="Not separated","Live and dead not separated. Fine for a stock, but "&amp;"note it in reporting. ",""))</f>
        <v/>
      </c>
      <c r="P831" s="6"/>
      <c r="Q831" s="9" t="n">
        <f aca="false">IF($B831="",0,IF(COUNTIFS($B$5:$B831,$B831)=1,1,0))</f>
        <v>0</v>
      </c>
    </row>
    <row r="832" customFormat="false" ht="15" hidden="false" customHeight="false" outlineLevel="0" collapsed="false">
      <c r="A832" s="6"/>
      <c r="B832" s="6"/>
      <c r="C832" s="6"/>
      <c r="D832" s="6"/>
      <c r="E832" s="6"/>
      <c r="F832" s="6"/>
      <c r="G832" s="7"/>
      <c r="H832" s="7"/>
      <c r="I832" s="6"/>
      <c r="J832" s="9" t="str">
        <f aca="false">IF(NOT(ISNUMBER($G832)),"",IF(AND(ASH_CORRECTED="Yes",ISNUMBER($H832)),$G832*(1-$H832),$G832))</f>
        <v/>
      </c>
      <c r="K832" s="9" t="str">
        <f aca="false">IF($B832="","",IFERROR(AVERAGEIFS('2. Soil Data'!$G$5:$G$604,'2. Soil Data'!$B$5:$B$604,$B832),""))</f>
        <v/>
      </c>
      <c r="L832" s="9" t="str">
        <f aca="false">IF(NOT(ISNUMBER($K832)),"",PI()*($K832/2)^2)</f>
        <v/>
      </c>
      <c r="M832" s="9" t="str">
        <f aca="false">IF(OR(NOT(ISNUMBER($J832)),NOT(ISNUMBER($L832)),$L832=0),"",$J832/$L832*10000)</f>
        <v/>
      </c>
      <c r="N832" s="9" t="str">
        <f aca="false">IF(NOT(ISNUMBER($M832)),"",$M832*CARBON_FRACTION_ROOT/1000)</f>
        <v/>
      </c>
      <c r="O832" s="11" t="str">
        <f aca="false">IF(AND($A832="",$B832="",$G832=""),"",IF(AND($B832&lt;&gt;"",COUNTIFS('2. Soil Data'!$B$5:$B$604,$B832)=0),"Core ID not found in Soil Data, so the corer diameter cannot be looked up. ","")&amp;IF(ASH_CORRECTED&lt;&gt;"Yes","Root mass is NOT ash-corrected, so it includes adhering mineral soil and is too high. Set ASH_CORRECTED once you have done it. ","")&amp;IF(AND(ASH_CORRECTED="Yes",NOT(ISNUMBER($H832))),"Ash correction is switched on but no ash fraction is given for this row. ","")&amp;IF($I832="","Sieve mesh not recorded — a fine-root figure cannot be interpreted without it. ","")&amp;IF(AND(ISNUMBER($H832),$H832&gt;0.5),"Ash fraction above 0.5 — over half this sample was mineral soil. Re-wash. ","")&amp;IF($F832="Not separated","Live and dead not separated. Fine for a stock, but "&amp;"note it in reporting. ",""))</f>
        <v/>
      </c>
      <c r="P832" s="6"/>
      <c r="Q832" s="9" t="n">
        <f aca="false">IF($B832="",0,IF(COUNTIFS($B$5:$B832,$B832)=1,1,0))</f>
        <v>0</v>
      </c>
    </row>
    <row r="833" customFormat="false" ht="15" hidden="false" customHeight="false" outlineLevel="0" collapsed="false">
      <c r="A833" s="6"/>
      <c r="B833" s="6"/>
      <c r="C833" s="6"/>
      <c r="D833" s="6"/>
      <c r="E833" s="6"/>
      <c r="F833" s="6"/>
      <c r="G833" s="7"/>
      <c r="H833" s="7"/>
      <c r="I833" s="6"/>
      <c r="J833" s="9" t="str">
        <f aca="false">IF(NOT(ISNUMBER($G833)),"",IF(AND(ASH_CORRECTED="Yes",ISNUMBER($H833)),$G833*(1-$H833),$G833))</f>
        <v/>
      </c>
      <c r="K833" s="9" t="str">
        <f aca="false">IF($B833="","",IFERROR(AVERAGEIFS('2. Soil Data'!$G$5:$G$604,'2. Soil Data'!$B$5:$B$604,$B833),""))</f>
        <v/>
      </c>
      <c r="L833" s="9" t="str">
        <f aca="false">IF(NOT(ISNUMBER($K833)),"",PI()*($K833/2)^2)</f>
        <v/>
      </c>
      <c r="M833" s="9" t="str">
        <f aca="false">IF(OR(NOT(ISNUMBER($J833)),NOT(ISNUMBER($L833)),$L833=0),"",$J833/$L833*10000)</f>
        <v/>
      </c>
      <c r="N833" s="9" t="str">
        <f aca="false">IF(NOT(ISNUMBER($M833)),"",$M833*CARBON_FRACTION_ROOT/1000)</f>
        <v/>
      </c>
      <c r="O833" s="11" t="str">
        <f aca="false">IF(AND($A833="",$B833="",$G833=""),"",IF(AND($B833&lt;&gt;"",COUNTIFS('2. Soil Data'!$B$5:$B$604,$B833)=0),"Core ID not found in Soil Data, so the corer diameter cannot be looked up. ","")&amp;IF(ASH_CORRECTED&lt;&gt;"Yes","Root mass is NOT ash-corrected, so it includes adhering mineral soil and is too high. Set ASH_CORRECTED once you have done it. ","")&amp;IF(AND(ASH_CORRECTED="Yes",NOT(ISNUMBER($H833))),"Ash correction is switched on but no ash fraction is given for this row. ","")&amp;IF($I833="","Sieve mesh not recorded — a fine-root figure cannot be interpreted without it. ","")&amp;IF(AND(ISNUMBER($H833),$H833&gt;0.5),"Ash fraction above 0.5 — over half this sample was mineral soil. Re-wash. ","")&amp;IF($F833="Not separated","Live and dead not separated. Fine for a stock, but "&amp;"note it in reporting. ",""))</f>
        <v/>
      </c>
      <c r="P833" s="6"/>
      <c r="Q833" s="9" t="n">
        <f aca="false">IF($B833="",0,IF(COUNTIFS($B$5:$B833,$B833)=1,1,0))</f>
        <v>0</v>
      </c>
    </row>
    <row r="834" customFormat="false" ht="15" hidden="false" customHeight="false" outlineLevel="0" collapsed="false">
      <c r="A834" s="6"/>
      <c r="B834" s="6"/>
      <c r="C834" s="6"/>
      <c r="D834" s="6"/>
      <c r="E834" s="6"/>
      <c r="F834" s="6"/>
      <c r="G834" s="7"/>
      <c r="H834" s="7"/>
      <c r="I834" s="6"/>
      <c r="J834" s="9" t="str">
        <f aca="false">IF(NOT(ISNUMBER($G834)),"",IF(AND(ASH_CORRECTED="Yes",ISNUMBER($H834)),$G834*(1-$H834),$G834))</f>
        <v/>
      </c>
      <c r="K834" s="9" t="str">
        <f aca="false">IF($B834="","",IFERROR(AVERAGEIFS('2. Soil Data'!$G$5:$G$604,'2. Soil Data'!$B$5:$B$604,$B834),""))</f>
        <v/>
      </c>
      <c r="L834" s="9" t="str">
        <f aca="false">IF(NOT(ISNUMBER($K834)),"",PI()*($K834/2)^2)</f>
        <v/>
      </c>
      <c r="M834" s="9" t="str">
        <f aca="false">IF(OR(NOT(ISNUMBER($J834)),NOT(ISNUMBER($L834)),$L834=0),"",$J834/$L834*10000)</f>
        <v/>
      </c>
      <c r="N834" s="9" t="str">
        <f aca="false">IF(NOT(ISNUMBER($M834)),"",$M834*CARBON_FRACTION_ROOT/1000)</f>
        <v/>
      </c>
      <c r="O834" s="11" t="str">
        <f aca="false">IF(AND($A834="",$B834="",$G834=""),"",IF(AND($B834&lt;&gt;"",COUNTIFS('2. Soil Data'!$B$5:$B$604,$B834)=0),"Core ID not found in Soil Data, so the corer diameter cannot be looked up. ","")&amp;IF(ASH_CORRECTED&lt;&gt;"Yes","Root mass is NOT ash-corrected, so it includes adhering mineral soil and is too high. Set ASH_CORRECTED once you have done it. ","")&amp;IF(AND(ASH_CORRECTED="Yes",NOT(ISNUMBER($H834))),"Ash correction is switched on but no ash fraction is given for this row. ","")&amp;IF($I834="","Sieve mesh not recorded — a fine-root figure cannot be interpreted without it. ","")&amp;IF(AND(ISNUMBER($H834),$H834&gt;0.5),"Ash fraction above 0.5 — over half this sample was mineral soil. Re-wash. ","")&amp;IF($F834="Not separated","Live and dead not separated. Fine for a stock, but "&amp;"note it in reporting. ",""))</f>
        <v/>
      </c>
      <c r="P834" s="6"/>
      <c r="Q834" s="9" t="n">
        <f aca="false">IF($B834="",0,IF(COUNTIFS($B$5:$B834,$B834)=1,1,0))</f>
        <v>0</v>
      </c>
    </row>
    <row r="835" customFormat="false" ht="15" hidden="false" customHeight="false" outlineLevel="0" collapsed="false">
      <c r="A835" s="6"/>
      <c r="B835" s="6"/>
      <c r="C835" s="6"/>
      <c r="D835" s="6"/>
      <c r="E835" s="6"/>
      <c r="F835" s="6"/>
      <c r="G835" s="7"/>
      <c r="H835" s="7"/>
      <c r="I835" s="6"/>
      <c r="J835" s="9" t="str">
        <f aca="false">IF(NOT(ISNUMBER($G835)),"",IF(AND(ASH_CORRECTED="Yes",ISNUMBER($H835)),$G835*(1-$H835),$G835))</f>
        <v/>
      </c>
      <c r="K835" s="9" t="str">
        <f aca="false">IF($B835="","",IFERROR(AVERAGEIFS('2. Soil Data'!$G$5:$G$604,'2. Soil Data'!$B$5:$B$604,$B835),""))</f>
        <v/>
      </c>
      <c r="L835" s="9" t="str">
        <f aca="false">IF(NOT(ISNUMBER($K835)),"",PI()*($K835/2)^2)</f>
        <v/>
      </c>
      <c r="M835" s="9" t="str">
        <f aca="false">IF(OR(NOT(ISNUMBER($J835)),NOT(ISNUMBER($L835)),$L835=0),"",$J835/$L835*10000)</f>
        <v/>
      </c>
      <c r="N835" s="9" t="str">
        <f aca="false">IF(NOT(ISNUMBER($M835)),"",$M835*CARBON_FRACTION_ROOT/1000)</f>
        <v/>
      </c>
      <c r="O835" s="11" t="str">
        <f aca="false">IF(AND($A835="",$B835="",$G835=""),"",IF(AND($B835&lt;&gt;"",COUNTIFS('2. Soil Data'!$B$5:$B$604,$B835)=0),"Core ID not found in Soil Data, so the corer diameter cannot be looked up. ","")&amp;IF(ASH_CORRECTED&lt;&gt;"Yes","Root mass is NOT ash-corrected, so it includes adhering mineral soil and is too high. Set ASH_CORRECTED once you have done it. ","")&amp;IF(AND(ASH_CORRECTED="Yes",NOT(ISNUMBER($H835))),"Ash correction is switched on but no ash fraction is given for this row. ","")&amp;IF($I835="","Sieve mesh not recorded — a fine-root figure cannot be interpreted without it. ","")&amp;IF(AND(ISNUMBER($H835),$H835&gt;0.5),"Ash fraction above 0.5 — over half this sample was mineral soil. Re-wash. ","")&amp;IF($F835="Not separated","Live and dead not separated. Fine for a stock, but "&amp;"note it in reporting. ",""))</f>
        <v/>
      </c>
      <c r="P835" s="6"/>
      <c r="Q835" s="9" t="n">
        <f aca="false">IF($B835="",0,IF(COUNTIFS($B$5:$B835,$B835)=1,1,0))</f>
        <v>0</v>
      </c>
    </row>
    <row r="836" customFormat="false" ht="15" hidden="false" customHeight="false" outlineLevel="0" collapsed="false">
      <c r="A836" s="6"/>
      <c r="B836" s="6"/>
      <c r="C836" s="6"/>
      <c r="D836" s="6"/>
      <c r="E836" s="6"/>
      <c r="F836" s="6"/>
      <c r="G836" s="7"/>
      <c r="H836" s="7"/>
      <c r="I836" s="6"/>
      <c r="J836" s="9" t="str">
        <f aca="false">IF(NOT(ISNUMBER($G836)),"",IF(AND(ASH_CORRECTED="Yes",ISNUMBER($H836)),$G836*(1-$H836),$G836))</f>
        <v/>
      </c>
      <c r="K836" s="9" t="str">
        <f aca="false">IF($B836="","",IFERROR(AVERAGEIFS('2. Soil Data'!$G$5:$G$604,'2. Soil Data'!$B$5:$B$604,$B836),""))</f>
        <v/>
      </c>
      <c r="L836" s="9" t="str">
        <f aca="false">IF(NOT(ISNUMBER($K836)),"",PI()*($K836/2)^2)</f>
        <v/>
      </c>
      <c r="M836" s="9" t="str">
        <f aca="false">IF(OR(NOT(ISNUMBER($J836)),NOT(ISNUMBER($L836)),$L836=0),"",$J836/$L836*10000)</f>
        <v/>
      </c>
      <c r="N836" s="9" t="str">
        <f aca="false">IF(NOT(ISNUMBER($M836)),"",$M836*CARBON_FRACTION_ROOT/1000)</f>
        <v/>
      </c>
      <c r="O836" s="11" t="str">
        <f aca="false">IF(AND($A836="",$B836="",$G836=""),"",IF(AND($B836&lt;&gt;"",COUNTIFS('2. Soil Data'!$B$5:$B$604,$B836)=0),"Core ID not found in Soil Data, so the corer diameter cannot be looked up. ","")&amp;IF(ASH_CORRECTED&lt;&gt;"Yes","Root mass is NOT ash-corrected, so it includes adhering mineral soil and is too high. Set ASH_CORRECTED once you have done it. ","")&amp;IF(AND(ASH_CORRECTED="Yes",NOT(ISNUMBER($H836))),"Ash correction is switched on but no ash fraction is given for this row. ","")&amp;IF($I836="","Sieve mesh not recorded — a fine-root figure cannot be interpreted without it. ","")&amp;IF(AND(ISNUMBER($H836),$H836&gt;0.5),"Ash fraction above 0.5 — over half this sample was mineral soil. Re-wash. ","")&amp;IF($F836="Not separated","Live and dead not separated. Fine for a stock, but "&amp;"note it in reporting. ",""))</f>
        <v/>
      </c>
      <c r="P836" s="6"/>
      <c r="Q836" s="9" t="n">
        <f aca="false">IF($B836="",0,IF(COUNTIFS($B$5:$B836,$B836)=1,1,0))</f>
        <v>0</v>
      </c>
    </row>
    <row r="837" customFormat="false" ht="15" hidden="false" customHeight="false" outlineLevel="0" collapsed="false">
      <c r="A837" s="6"/>
      <c r="B837" s="6"/>
      <c r="C837" s="6"/>
      <c r="D837" s="6"/>
      <c r="E837" s="6"/>
      <c r="F837" s="6"/>
      <c r="G837" s="7"/>
      <c r="H837" s="7"/>
      <c r="I837" s="6"/>
      <c r="J837" s="9" t="str">
        <f aca="false">IF(NOT(ISNUMBER($G837)),"",IF(AND(ASH_CORRECTED="Yes",ISNUMBER($H837)),$G837*(1-$H837),$G837))</f>
        <v/>
      </c>
      <c r="K837" s="9" t="str">
        <f aca="false">IF($B837="","",IFERROR(AVERAGEIFS('2. Soil Data'!$G$5:$G$604,'2. Soil Data'!$B$5:$B$604,$B837),""))</f>
        <v/>
      </c>
      <c r="L837" s="9" t="str">
        <f aca="false">IF(NOT(ISNUMBER($K837)),"",PI()*($K837/2)^2)</f>
        <v/>
      </c>
      <c r="M837" s="9" t="str">
        <f aca="false">IF(OR(NOT(ISNUMBER($J837)),NOT(ISNUMBER($L837)),$L837=0),"",$J837/$L837*10000)</f>
        <v/>
      </c>
      <c r="N837" s="9" t="str">
        <f aca="false">IF(NOT(ISNUMBER($M837)),"",$M837*CARBON_FRACTION_ROOT/1000)</f>
        <v/>
      </c>
      <c r="O837" s="11" t="str">
        <f aca="false">IF(AND($A837="",$B837="",$G837=""),"",IF(AND($B837&lt;&gt;"",COUNTIFS('2. Soil Data'!$B$5:$B$604,$B837)=0),"Core ID not found in Soil Data, so the corer diameter cannot be looked up. ","")&amp;IF(ASH_CORRECTED&lt;&gt;"Yes","Root mass is NOT ash-corrected, so it includes adhering mineral soil and is too high. Set ASH_CORRECTED once you have done it. ","")&amp;IF(AND(ASH_CORRECTED="Yes",NOT(ISNUMBER($H837))),"Ash correction is switched on but no ash fraction is given for this row. ","")&amp;IF($I837="","Sieve mesh not recorded — a fine-root figure cannot be interpreted without it. ","")&amp;IF(AND(ISNUMBER($H837),$H837&gt;0.5),"Ash fraction above 0.5 — over half this sample was mineral soil. Re-wash. ","")&amp;IF($F837="Not separated","Live and dead not separated. Fine for a stock, but "&amp;"note it in reporting. ",""))</f>
        <v/>
      </c>
      <c r="P837" s="6"/>
      <c r="Q837" s="9" t="n">
        <f aca="false">IF($B837="",0,IF(COUNTIFS($B$5:$B837,$B837)=1,1,0))</f>
        <v>0</v>
      </c>
    </row>
    <row r="838" customFormat="false" ht="15" hidden="false" customHeight="false" outlineLevel="0" collapsed="false">
      <c r="A838" s="6"/>
      <c r="B838" s="6"/>
      <c r="C838" s="6"/>
      <c r="D838" s="6"/>
      <c r="E838" s="6"/>
      <c r="F838" s="6"/>
      <c r="G838" s="7"/>
      <c r="H838" s="7"/>
      <c r="I838" s="6"/>
      <c r="J838" s="9" t="str">
        <f aca="false">IF(NOT(ISNUMBER($G838)),"",IF(AND(ASH_CORRECTED="Yes",ISNUMBER($H838)),$G838*(1-$H838),$G838))</f>
        <v/>
      </c>
      <c r="K838" s="9" t="str">
        <f aca="false">IF($B838="","",IFERROR(AVERAGEIFS('2. Soil Data'!$G$5:$G$604,'2. Soil Data'!$B$5:$B$604,$B838),""))</f>
        <v/>
      </c>
      <c r="L838" s="9" t="str">
        <f aca="false">IF(NOT(ISNUMBER($K838)),"",PI()*($K838/2)^2)</f>
        <v/>
      </c>
      <c r="M838" s="9" t="str">
        <f aca="false">IF(OR(NOT(ISNUMBER($J838)),NOT(ISNUMBER($L838)),$L838=0),"",$J838/$L838*10000)</f>
        <v/>
      </c>
      <c r="N838" s="9" t="str">
        <f aca="false">IF(NOT(ISNUMBER($M838)),"",$M838*CARBON_FRACTION_ROOT/1000)</f>
        <v/>
      </c>
      <c r="O838" s="11" t="str">
        <f aca="false">IF(AND($A838="",$B838="",$G838=""),"",IF(AND($B838&lt;&gt;"",COUNTIFS('2. Soil Data'!$B$5:$B$604,$B838)=0),"Core ID not found in Soil Data, so the corer diameter cannot be looked up. ","")&amp;IF(ASH_CORRECTED&lt;&gt;"Yes","Root mass is NOT ash-corrected, so it includes adhering mineral soil and is too high. Set ASH_CORRECTED once you have done it. ","")&amp;IF(AND(ASH_CORRECTED="Yes",NOT(ISNUMBER($H838))),"Ash correction is switched on but no ash fraction is given for this row. ","")&amp;IF($I838="","Sieve mesh not recorded — a fine-root figure cannot be interpreted without it. ","")&amp;IF(AND(ISNUMBER($H838),$H838&gt;0.5),"Ash fraction above 0.5 — over half this sample was mineral soil. Re-wash. ","")&amp;IF($F838="Not separated","Live and dead not separated. Fine for a stock, but "&amp;"note it in reporting. ",""))</f>
        <v/>
      </c>
      <c r="P838" s="6"/>
      <c r="Q838" s="9" t="n">
        <f aca="false">IF($B838="",0,IF(COUNTIFS($B$5:$B838,$B838)=1,1,0))</f>
        <v>0</v>
      </c>
    </row>
    <row r="839" customFormat="false" ht="15" hidden="false" customHeight="false" outlineLevel="0" collapsed="false">
      <c r="A839" s="6"/>
      <c r="B839" s="6"/>
      <c r="C839" s="6"/>
      <c r="D839" s="6"/>
      <c r="E839" s="6"/>
      <c r="F839" s="6"/>
      <c r="G839" s="7"/>
      <c r="H839" s="7"/>
      <c r="I839" s="6"/>
      <c r="J839" s="9" t="str">
        <f aca="false">IF(NOT(ISNUMBER($G839)),"",IF(AND(ASH_CORRECTED="Yes",ISNUMBER($H839)),$G839*(1-$H839),$G839))</f>
        <v/>
      </c>
      <c r="K839" s="9" t="str">
        <f aca="false">IF($B839="","",IFERROR(AVERAGEIFS('2. Soil Data'!$G$5:$G$604,'2. Soil Data'!$B$5:$B$604,$B839),""))</f>
        <v/>
      </c>
      <c r="L839" s="9" t="str">
        <f aca="false">IF(NOT(ISNUMBER($K839)),"",PI()*($K839/2)^2)</f>
        <v/>
      </c>
      <c r="M839" s="9" t="str">
        <f aca="false">IF(OR(NOT(ISNUMBER($J839)),NOT(ISNUMBER($L839)),$L839=0),"",$J839/$L839*10000)</f>
        <v/>
      </c>
      <c r="N839" s="9" t="str">
        <f aca="false">IF(NOT(ISNUMBER($M839)),"",$M839*CARBON_FRACTION_ROOT/1000)</f>
        <v/>
      </c>
      <c r="O839" s="11" t="str">
        <f aca="false">IF(AND($A839="",$B839="",$G839=""),"",IF(AND($B839&lt;&gt;"",COUNTIFS('2. Soil Data'!$B$5:$B$604,$B839)=0),"Core ID not found in Soil Data, so the corer diameter cannot be looked up. ","")&amp;IF(ASH_CORRECTED&lt;&gt;"Yes","Root mass is NOT ash-corrected, so it includes adhering mineral soil and is too high. Set ASH_CORRECTED once you have done it. ","")&amp;IF(AND(ASH_CORRECTED="Yes",NOT(ISNUMBER($H839))),"Ash correction is switched on but no ash fraction is given for this row. ","")&amp;IF($I839="","Sieve mesh not recorded — a fine-root figure cannot be interpreted without it. ","")&amp;IF(AND(ISNUMBER($H839),$H839&gt;0.5),"Ash fraction above 0.5 — over half this sample was mineral soil. Re-wash. ","")&amp;IF($F839="Not separated","Live and dead not separated. Fine for a stock, but "&amp;"note it in reporting. ",""))</f>
        <v/>
      </c>
      <c r="P839" s="6"/>
      <c r="Q839" s="9" t="n">
        <f aca="false">IF($B839="",0,IF(COUNTIFS($B$5:$B839,$B839)=1,1,0))</f>
        <v>0</v>
      </c>
    </row>
    <row r="840" customFormat="false" ht="15" hidden="false" customHeight="false" outlineLevel="0" collapsed="false">
      <c r="A840" s="6"/>
      <c r="B840" s="6"/>
      <c r="C840" s="6"/>
      <c r="D840" s="6"/>
      <c r="E840" s="6"/>
      <c r="F840" s="6"/>
      <c r="G840" s="7"/>
      <c r="H840" s="7"/>
      <c r="I840" s="6"/>
      <c r="J840" s="9" t="str">
        <f aca="false">IF(NOT(ISNUMBER($G840)),"",IF(AND(ASH_CORRECTED="Yes",ISNUMBER($H840)),$G840*(1-$H840),$G840))</f>
        <v/>
      </c>
      <c r="K840" s="9" t="str">
        <f aca="false">IF($B840="","",IFERROR(AVERAGEIFS('2. Soil Data'!$G$5:$G$604,'2. Soil Data'!$B$5:$B$604,$B840),""))</f>
        <v/>
      </c>
      <c r="L840" s="9" t="str">
        <f aca="false">IF(NOT(ISNUMBER($K840)),"",PI()*($K840/2)^2)</f>
        <v/>
      </c>
      <c r="M840" s="9" t="str">
        <f aca="false">IF(OR(NOT(ISNUMBER($J840)),NOT(ISNUMBER($L840)),$L840=0),"",$J840/$L840*10000)</f>
        <v/>
      </c>
      <c r="N840" s="9" t="str">
        <f aca="false">IF(NOT(ISNUMBER($M840)),"",$M840*CARBON_FRACTION_ROOT/1000)</f>
        <v/>
      </c>
      <c r="O840" s="11" t="str">
        <f aca="false">IF(AND($A840="",$B840="",$G840=""),"",IF(AND($B840&lt;&gt;"",COUNTIFS('2. Soil Data'!$B$5:$B$604,$B840)=0),"Core ID not found in Soil Data, so the corer diameter cannot be looked up. ","")&amp;IF(ASH_CORRECTED&lt;&gt;"Yes","Root mass is NOT ash-corrected, so it includes adhering mineral soil and is too high. Set ASH_CORRECTED once you have done it. ","")&amp;IF(AND(ASH_CORRECTED="Yes",NOT(ISNUMBER($H840))),"Ash correction is switched on but no ash fraction is given for this row. ","")&amp;IF($I840="","Sieve mesh not recorded — a fine-root figure cannot be interpreted without it. ","")&amp;IF(AND(ISNUMBER($H840),$H840&gt;0.5),"Ash fraction above 0.5 — over half this sample was mineral soil. Re-wash. ","")&amp;IF($F840="Not separated","Live and dead not separated. Fine for a stock, but "&amp;"note it in reporting. ",""))</f>
        <v/>
      </c>
      <c r="P840" s="6"/>
      <c r="Q840" s="9" t="n">
        <f aca="false">IF($B840="",0,IF(COUNTIFS($B$5:$B840,$B840)=1,1,0))</f>
        <v>0</v>
      </c>
    </row>
    <row r="841" customFormat="false" ht="15" hidden="false" customHeight="false" outlineLevel="0" collapsed="false">
      <c r="A841" s="6"/>
      <c r="B841" s="6"/>
      <c r="C841" s="6"/>
      <c r="D841" s="6"/>
      <c r="E841" s="6"/>
      <c r="F841" s="6"/>
      <c r="G841" s="7"/>
      <c r="H841" s="7"/>
      <c r="I841" s="6"/>
      <c r="J841" s="9" t="str">
        <f aca="false">IF(NOT(ISNUMBER($G841)),"",IF(AND(ASH_CORRECTED="Yes",ISNUMBER($H841)),$G841*(1-$H841),$G841))</f>
        <v/>
      </c>
      <c r="K841" s="9" t="str">
        <f aca="false">IF($B841="","",IFERROR(AVERAGEIFS('2. Soil Data'!$G$5:$G$604,'2. Soil Data'!$B$5:$B$604,$B841),""))</f>
        <v/>
      </c>
      <c r="L841" s="9" t="str">
        <f aca="false">IF(NOT(ISNUMBER($K841)),"",PI()*($K841/2)^2)</f>
        <v/>
      </c>
      <c r="M841" s="9" t="str">
        <f aca="false">IF(OR(NOT(ISNUMBER($J841)),NOT(ISNUMBER($L841)),$L841=0),"",$J841/$L841*10000)</f>
        <v/>
      </c>
      <c r="N841" s="9" t="str">
        <f aca="false">IF(NOT(ISNUMBER($M841)),"",$M841*CARBON_FRACTION_ROOT/1000)</f>
        <v/>
      </c>
      <c r="O841" s="11" t="str">
        <f aca="false">IF(AND($A841="",$B841="",$G841=""),"",IF(AND($B841&lt;&gt;"",COUNTIFS('2. Soil Data'!$B$5:$B$604,$B841)=0),"Core ID not found in Soil Data, so the corer diameter cannot be looked up. ","")&amp;IF(ASH_CORRECTED&lt;&gt;"Yes","Root mass is NOT ash-corrected, so it includes adhering mineral soil and is too high. Set ASH_CORRECTED once you have done it. ","")&amp;IF(AND(ASH_CORRECTED="Yes",NOT(ISNUMBER($H841))),"Ash correction is switched on but no ash fraction is given for this row. ","")&amp;IF($I841="","Sieve mesh not recorded — a fine-root figure cannot be interpreted without it. ","")&amp;IF(AND(ISNUMBER($H841),$H841&gt;0.5),"Ash fraction above 0.5 — over half this sample was mineral soil. Re-wash. ","")&amp;IF($F841="Not separated","Live and dead not separated. Fine for a stock, but "&amp;"note it in reporting. ",""))</f>
        <v/>
      </c>
      <c r="P841" s="6"/>
      <c r="Q841" s="9" t="n">
        <f aca="false">IF($B841="",0,IF(COUNTIFS($B$5:$B841,$B841)=1,1,0))</f>
        <v>0</v>
      </c>
    </row>
    <row r="842" customFormat="false" ht="15" hidden="false" customHeight="false" outlineLevel="0" collapsed="false">
      <c r="A842" s="6"/>
      <c r="B842" s="6"/>
      <c r="C842" s="6"/>
      <c r="D842" s="6"/>
      <c r="E842" s="6"/>
      <c r="F842" s="6"/>
      <c r="G842" s="7"/>
      <c r="H842" s="7"/>
      <c r="I842" s="6"/>
      <c r="J842" s="9" t="str">
        <f aca="false">IF(NOT(ISNUMBER($G842)),"",IF(AND(ASH_CORRECTED="Yes",ISNUMBER($H842)),$G842*(1-$H842),$G842))</f>
        <v/>
      </c>
      <c r="K842" s="9" t="str">
        <f aca="false">IF($B842="","",IFERROR(AVERAGEIFS('2. Soil Data'!$G$5:$G$604,'2. Soil Data'!$B$5:$B$604,$B842),""))</f>
        <v/>
      </c>
      <c r="L842" s="9" t="str">
        <f aca="false">IF(NOT(ISNUMBER($K842)),"",PI()*($K842/2)^2)</f>
        <v/>
      </c>
      <c r="M842" s="9" t="str">
        <f aca="false">IF(OR(NOT(ISNUMBER($J842)),NOT(ISNUMBER($L842)),$L842=0),"",$J842/$L842*10000)</f>
        <v/>
      </c>
      <c r="N842" s="9" t="str">
        <f aca="false">IF(NOT(ISNUMBER($M842)),"",$M842*CARBON_FRACTION_ROOT/1000)</f>
        <v/>
      </c>
      <c r="O842" s="11" t="str">
        <f aca="false">IF(AND($A842="",$B842="",$G842=""),"",IF(AND($B842&lt;&gt;"",COUNTIFS('2. Soil Data'!$B$5:$B$604,$B842)=0),"Core ID not found in Soil Data, so the corer diameter cannot be looked up. ","")&amp;IF(ASH_CORRECTED&lt;&gt;"Yes","Root mass is NOT ash-corrected, so it includes adhering mineral soil and is too high. Set ASH_CORRECTED once you have done it. ","")&amp;IF(AND(ASH_CORRECTED="Yes",NOT(ISNUMBER($H842))),"Ash correction is switched on but no ash fraction is given for this row. ","")&amp;IF($I842="","Sieve mesh not recorded — a fine-root figure cannot be interpreted without it. ","")&amp;IF(AND(ISNUMBER($H842),$H842&gt;0.5),"Ash fraction above 0.5 — over half this sample was mineral soil. Re-wash. ","")&amp;IF($F842="Not separated","Live and dead not separated. Fine for a stock, but "&amp;"note it in reporting. ",""))</f>
        <v/>
      </c>
      <c r="P842" s="6"/>
      <c r="Q842" s="9" t="n">
        <f aca="false">IF($B842="",0,IF(COUNTIFS($B$5:$B842,$B842)=1,1,0))</f>
        <v>0</v>
      </c>
    </row>
    <row r="843" customFormat="false" ht="15" hidden="false" customHeight="false" outlineLevel="0" collapsed="false">
      <c r="A843" s="6"/>
      <c r="B843" s="6"/>
      <c r="C843" s="6"/>
      <c r="D843" s="6"/>
      <c r="E843" s="6"/>
      <c r="F843" s="6"/>
      <c r="G843" s="7"/>
      <c r="H843" s="7"/>
      <c r="I843" s="6"/>
      <c r="J843" s="9" t="str">
        <f aca="false">IF(NOT(ISNUMBER($G843)),"",IF(AND(ASH_CORRECTED="Yes",ISNUMBER($H843)),$G843*(1-$H843),$G843))</f>
        <v/>
      </c>
      <c r="K843" s="9" t="str">
        <f aca="false">IF($B843="","",IFERROR(AVERAGEIFS('2. Soil Data'!$G$5:$G$604,'2. Soil Data'!$B$5:$B$604,$B843),""))</f>
        <v/>
      </c>
      <c r="L843" s="9" t="str">
        <f aca="false">IF(NOT(ISNUMBER($K843)),"",PI()*($K843/2)^2)</f>
        <v/>
      </c>
      <c r="M843" s="9" t="str">
        <f aca="false">IF(OR(NOT(ISNUMBER($J843)),NOT(ISNUMBER($L843)),$L843=0),"",$J843/$L843*10000)</f>
        <v/>
      </c>
      <c r="N843" s="9" t="str">
        <f aca="false">IF(NOT(ISNUMBER($M843)),"",$M843*CARBON_FRACTION_ROOT/1000)</f>
        <v/>
      </c>
      <c r="O843" s="11" t="str">
        <f aca="false">IF(AND($A843="",$B843="",$G843=""),"",IF(AND($B843&lt;&gt;"",COUNTIFS('2. Soil Data'!$B$5:$B$604,$B843)=0),"Core ID not found in Soil Data, so the corer diameter cannot be looked up. ","")&amp;IF(ASH_CORRECTED&lt;&gt;"Yes","Root mass is NOT ash-corrected, so it includes adhering mineral soil and is too high. Set ASH_CORRECTED once you have done it. ","")&amp;IF(AND(ASH_CORRECTED="Yes",NOT(ISNUMBER($H843))),"Ash correction is switched on but no ash fraction is given for this row. ","")&amp;IF($I843="","Sieve mesh not recorded — a fine-root figure cannot be interpreted without it. ","")&amp;IF(AND(ISNUMBER($H843),$H843&gt;0.5),"Ash fraction above 0.5 — over half this sample was mineral soil. Re-wash. ","")&amp;IF($F843="Not separated","Live and dead not separated. Fine for a stock, but "&amp;"note it in reporting. ",""))</f>
        <v/>
      </c>
      <c r="P843" s="6"/>
      <c r="Q843" s="9" t="n">
        <f aca="false">IF($B843="",0,IF(COUNTIFS($B$5:$B843,$B843)=1,1,0))</f>
        <v>0</v>
      </c>
    </row>
    <row r="844" customFormat="false" ht="15" hidden="false" customHeight="false" outlineLevel="0" collapsed="false">
      <c r="A844" s="6"/>
      <c r="B844" s="6"/>
      <c r="C844" s="6"/>
      <c r="D844" s="6"/>
      <c r="E844" s="6"/>
      <c r="F844" s="6"/>
      <c r="G844" s="7"/>
      <c r="H844" s="7"/>
      <c r="I844" s="6"/>
      <c r="J844" s="9" t="str">
        <f aca="false">IF(NOT(ISNUMBER($G844)),"",IF(AND(ASH_CORRECTED="Yes",ISNUMBER($H844)),$G844*(1-$H844),$G844))</f>
        <v/>
      </c>
      <c r="K844" s="9" t="str">
        <f aca="false">IF($B844="","",IFERROR(AVERAGEIFS('2. Soil Data'!$G$5:$G$604,'2. Soil Data'!$B$5:$B$604,$B844),""))</f>
        <v/>
      </c>
      <c r="L844" s="9" t="str">
        <f aca="false">IF(NOT(ISNUMBER($K844)),"",PI()*($K844/2)^2)</f>
        <v/>
      </c>
      <c r="M844" s="9" t="str">
        <f aca="false">IF(OR(NOT(ISNUMBER($J844)),NOT(ISNUMBER($L844)),$L844=0),"",$J844/$L844*10000)</f>
        <v/>
      </c>
      <c r="N844" s="9" t="str">
        <f aca="false">IF(NOT(ISNUMBER($M844)),"",$M844*CARBON_FRACTION_ROOT/1000)</f>
        <v/>
      </c>
      <c r="O844" s="11" t="str">
        <f aca="false">IF(AND($A844="",$B844="",$G844=""),"",IF(AND($B844&lt;&gt;"",COUNTIFS('2. Soil Data'!$B$5:$B$604,$B844)=0),"Core ID not found in Soil Data, so the corer diameter cannot be looked up. ","")&amp;IF(ASH_CORRECTED&lt;&gt;"Yes","Root mass is NOT ash-corrected, so it includes adhering mineral soil and is too high. Set ASH_CORRECTED once you have done it. ","")&amp;IF(AND(ASH_CORRECTED="Yes",NOT(ISNUMBER($H844))),"Ash correction is switched on but no ash fraction is given for this row. ","")&amp;IF($I844="","Sieve mesh not recorded — a fine-root figure cannot be interpreted without it. ","")&amp;IF(AND(ISNUMBER($H844),$H844&gt;0.5),"Ash fraction above 0.5 — over half this sample was mineral soil. Re-wash. ","")&amp;IF($F844="Not separated","Live and dead not separated. Fine for a stock, but "&amp;"note it in reporting. ",""))</f>
        <v/>
      </c>
      <c r="P844" s="6"/>
      <c r="Q844" s="9" t="n">
        <f aca="false">IF($B844="",0,IF(COUNTIFS($B$5:$B844,$B844)=1,1,0))</f>
        <v>0</v>
      </c>
    </row>
    <row r="845" customFormat="false" ht="15" hidden="false" customHeight="false" outlineLevel="0" collapsed="false">
      <c r="A845" s="6"/>
      <c r="B845" s="6"/>
      <c r="C845" s="6"/>
      <c r="D845" s="6"/>
      <c r="E845" s="6"/>
      <c r="F845" s="6"/>
      <c r="G845" s="7"/>
      <c r="H845" s="7"/>
      <c r="I845" s="6"/>
      <c r="J845" s="9" t="str">
        <f aca="false">IF(NOT(ISNUMBER($G845)),"",IF(AND(ASH_CORRECTED="Yes",ISNUMBER($H845)),$G845*(1-$H845),$G845))</f>
        <v/>
      </c>
      <c r="K845" s="9" t="str">
        <f aca="false">IF($B845="","",IFERROR(AVERAGEIFS('2. Soil Data'!$G$5:$G$604,'2. Soil Data'!$B$5:$B$604,$B845),""))</f>
        <v/>
      </c>
      <c r="L845" s="9" t="str">
        <f aca="false">IF(NOT(ISNUMBER($K845)),"",PI()*($K845/2)^2)</f>
        <v/>
      </c>
      <c r="M845" s="9" t="str">
        <f aca="false">IF(OR(NOT(ISNUMBER($J845)),NOT(ISNUMBER($L845)),$L845=0),"",$J845/$L845*10000)</f>
        <v/>
      </c>
      <c r="N845" s="9" t="str">
        <f aca="false">IF(NOT(ISNUMBER($M845)),"",$M845*CARBON_FRACTION_ROOT/1000)</f>
        <v/>
      </c>
      <c r="O845" s="11" t="str">
        <f aca="false">IF(AND($A845="",$B845="",$G845=""),"",IF(AND($B845&lt;&gt;"",COUNTIFS('2. Soil Data'!$B$5:$B$604,$B845)=0),"Core ID not found in Soil Data, so the corer diameter cannot be looked up. ","")&amp;IF(ASH_CORRECTED&lt;&gt;"Yes","Root mass is NOT ash-corrected, so it includes adhering mineral soil and is too high. Set ASH_CORRECTED once you have done it. ","")&amp;IF(AND(ASH_CORRECTED="Yes",NOT(ISNUMBER($H845))),"Ash correction is switched on but no ash fraction is given for this row. ","")&amp;IF($I845="","Sieve mesh not recorded — a fine-root figure cannot be interpreted without it. ","")&amp;IF(AND(ISNUMBER($H845),$H845&gt;0.5),"Ash fraction above 0.5 — over half this sample was mineral soil. Re-wash. ","")&amp;IF($F845="Not separated","Live and dead not separated. Fine for a stock, but "&amp;"note it in reporting. ",""))</f>
        <v/>
      </c>
      <c r="P845" s="6"/>
      <c r="Q845" s="9" t="n">
        <f aca="false">IF($B845="",0,IF(COUNTIFS($B$5:$B845,$B845)=1,1,0))</f>
        <v>0</v>
      </c>
    </row>
    <row r="846" customFormat="false" ht="15" hidden="false" customHeight="false" outlineLevel="0" collapsed="false">
      <c r="A846" s="6"/>
      <c r="B846" s="6"/>
      <c r="C846" s="6"/>
      <c r="D846" s="6"/>
      <c r="E846" s="6"/>
      <c r="F846" s="6"/>
      <c r="G846" s="7"/>
      <c r="H846" s="7"/>
      <c r="I846" s="6"/>
      <c r="J846" s="9" t="str">
        <f aca="false">IF(NOT(ISNUMBER($G846)),"",IF(AND(ASH_CORRECTED="Yes",ISNUMBER($H846)),$G846*(1-$H846),$G846))</f>
        <v/>
      </c>
      <c r="K846" s="9" t="str">
        <f aca="false">IF($B846="","",IFERROR(AVERAGEIFS('2. Soil Data'!$G$5:$G$604,'2. Soil Data'!$B$5:$B$604,$B846),""))</f>
        <v/>
      </c>
      <c r="L846" s="9" t="str">
        <f aca="false">IF(NOT(ISNUMBER($K846)),"",PI()*($K846/2)^2)</f>
        <v/>
      </c>
      <c r="M846" s="9" t="str">
        <f aca="false">IF(OR(NOT(ISNUMBER($J846)),NOT(ISNUMBER($L846)),$L846=0),"",$J846/$L846*10000)</f>
        <v/>
      </c>
      <c r="N846" s="9" t="str">
        <f aca="false">IF(NOT(ISNUMBER($M846)),"",$M846*CARBON_FRACTION_ROOT/1000)</f>
        <v/>
      </c>
      <c r="O846" s="11" t="str">
        <f aca="false">IF(AND($A846="",$B846="",$G846=""),"",IF(AND($B846&lt;&gt;"",COUNTIFS('2. Soil Data'!$B$5:$B$604,$B846)=0),"Core ID not found in Soil Data, so the corer diameter cannot be looked up. ","")&amp;IF(ASH_CORRECTED&lt;&gt;"Yes","Root mass is NOT ash-corrected, so it includes adhering mineral soil and is too high. Set ASH_CORRECTED once you have done it. ","")&amp;IF(AND(ASH_CORRECTED="Yes",NOT(ISNUMBER($H846))),"Ash correction is switched on but no ash fraction is given for this row. ","")&amp;IF($I846="","Sieve mesh not recorded — a fine-root figure cannot be interpreted without it. ","")&amp;IF(AND(ISNUMBER($H846),$H846&gt;0.5),"Ash fraction above 0.5 — over half this sample was mineral soil. Re-wash. ","")&amp;IF($F846="Not separated","Live and dead not separated. Fine for a stock, but "&amp;"note it in reporting. ",""))</f>
        <v/>
      </c>
      <c r="P846" s="6"/>
      <c r="Q846" s="9" t="n">
        <f aca="false">IF($B846="",0,IF(COUNTIFS($B$5:$B846,$B846)=1,1,0))</f>
        <v>0</v>
      </c>
    </row>
    <row r="847" customFormat="false" ht="15" hidden="false" customHeight="false" outlineLevel="0" collapsed="false">
      <c r="A847" s="6"/>
      <c r="B847" s="6"/>
      <c r="C847" s="6"/>
      <c r="D847" s="6"/>
      <c r="E847" s="6"/>
      <c r="F847" s="6"/>
      <c r="G847" s="7"/>
      <c r="H847" s="7"/>
      <c r="I847" s="6"/>
      <c r="J847" s="9" t="str">
        <f aca="false">IF(NOT(ISNUMBER($G847)),"",IF(AND(ASH_CORRECTED="Yes",ISNUMBER($H847)),$G847*(1-$H847),$G847))</f>
        <v/>
      </c>
      <c r="K847" s="9" t="str">
        <f aca="false">IF($B847="","",IFERROR(AVERAGEIFS('2. Soil Data'!$G$5:$G$604,'2. Soil Data'!$B$5:$B$604,$B847),""))</f>
        <v/>
      </c>
      <c r="L847" s="9" t="str">
        <f aca="false">IF(NOT(ISNUMBER($K847)),"",PI()*($K847/2)^2)</f>
        <v/>
      </c>
      <c r="M847" s="9" t="str">
        <f aca="false">IF(OR(NOT(ISNUMBER($J847)),NOT(ISNUMBER($L847)),$L847=0),"",$J847/$L847*10000)</f>
        <v/>
      </c>
      <c r="N847" s="9" t="str">
        <f aca="false">IF(NOT(ISNUMBER($M847)),"",$M847*CARBON_FRACTION_ROOT/1000)</f>
        <v/>
      </c>
      <c r="O847" s="11" t="str">
        <f aca="false">IF(AND($A847="",$B847="",$G847=""),"",IF(AND($B847&lt;&gt;"",COUNTIFS('2. Soil Data'!$B$5:$B$604,$B847)=0),"Core ID not found in Soil Data, so the corer diameter cannot be looked up. ","")&amp;IF(ASH_CORRECTED&lt;&gt;"Yes","Root mass is NOT ash-corrected, so it includes adhering mineral soil and is too high. Set ASH_CORRECTED once you have done it. ","")&amp;IF(AND(ASH_CORRECTED="Yes",NOT(ISNUMBER($H847))),"Ash correction is switched on but no ash fraction is given for this row. ","")&amp;IF($I847="","Sieve mesh not recorded — a fine-root figure cannot be interpreted without it. ","")&amp;IF(AND(ISNUMBER($H847),$H847&gt;0.5),"Ash fraction above 0.5 — over half this sample was mineral soil. Re-wash. ","")&amp;IF($F847="Not separated","Live and dead not separated. Fine for a stock, but "&amp;"note it in reporting. ",""))</f>
        <v/>
      </c>
      <c r="P847" s="6"/>
      <c r="Q847" s="9" t="n">
        <f aca="false">IF($B847="",0,IF(COUNTIFS($B$5:$B847,$B847)=1,1,0))</f>
        <v>0</v>
      </c>
    </row>
    <row r="848" customFormat="false" ht="15" hidden="false" customHeight="false" outlineLevel="0" collapsed="false">
      <c r="A848" s="6"/>
      <c r="B848" s="6"/>
      <c r="C848" s="6"/>
      <c r="D848" s="6"/>
      <c r="E848" s="6"/>
      <c r="F848" s="6"/>
      <c r="G848" s="7"/>
      <c r="H848" s="7"/>
      <c r="I848" s="6"/>
      <c r="J848" s="9" t="str">
        <f aca="false">IF(NOT(ISNUMBER($G848)),"",IF(AND(ASH_CORRECTED="Yes",ISNUMBER($H848)),$G848*(1-$H848),$G848))</f>
        <v/>
      </c>
      <c r="K848" s="9" t="str">
        <f aca="false">IF($B848="","",IFERROR(AVERAGEIFS('2. Soil Data'!$G$5:$G$604,'2. Soil Data'!$B$5:$B$604,$B848),""))</f>
        <v/>
      </c>
      <c r="L848" s="9" t="str">
        <f aca="false">IF(NOT(ISNUMBER($K848)),"",PI()*($K848/2)^2)</f>
        <v/>
      </c>
      <c r="M848" s="9" t="str">
        <f aca="false">IF(OR(NOT(ISNUMBER($J848)),NOT(ISNUMBER($L848)),$L848=0),"",$J848/$L848*10000)</f>
        <v/>
      </c>
      <c r="N848" s="9" t="str">
        <f aca="false">IF(NOT(ISNUMBER($M848)),"",$M848*CARBON_FRACTION_ROOT/1000)</f>
        <v/>
      </c>
      <c r="O848" s="11" t="str">
        <f aca="false">IF(AND($A848="",$B848="",$G848=""),"",IF(AND($B848&lt;&gt;"",COUNTIFS('2. Soil Data'!$B$5:$B$604,$B848)=0),"Core ID not found in Soil Data, so the corer diameter cannot be looked up. ","")&amp;IF(ASH_CORRECTED&lt;&gt;"Yes","Root mass is NOT ash-corrected, so it includes adhering mineral soil and is too high. Set ASH_CORRECTED once you have done it. ","")&amp;IF(AND(ASH_CORRECTED="Yes",NOT(ISNUMBER($H848))),"Ash correction is switched on but no ash fraction is given for this row. ","")&amp;IF($I848="","Sieve mesh not recorded — a fine-root figure cannot be interpreted without it. ","")&amp;IF(AND(ISNUMBER($H848),$H848&gt;0.5),"Ash fraction above 0.5 — over half this sample was mineral soil. Re-wash. ","")&amp;IF($F848="Not separated","Live and dead not separated. Fine for a stock, but "&amp;"note it in reporting. ",""))</f>
        <v/>
      </c>
      <c r="P848" s="6"/>
      <c r="Q848" s="9" t="n">
        <f aca="false">IF($B848="",0,IF(COUNTIFS($B$5:$B848,$B848)=1,1,0))</f>
        <v>0</v>
      </c>
    </row>
    <row r="849" customFormat="false" ht="15" hidden="false" customHeight="false" outlineLevel="0" collapsed="false">
      <c r="A849" s="6"/>
      <c r="B849" s="6"/>
      <c r="C849" s="6"/>
      <c r="D849" s="6"/>
      <c r="E849" s="6"/>
      <c r="F849" s="6"/>
      <c r="G849" s="7"/>
      <c r="H849" s="7"/>
      <c r="I849" s="6"/>
      <c r="J849" s="9" t="str">
        <f aca="false">IF(NOT(ISNUMBER($G849)),"",IF(AND(ASH_CORRECTED="Yes",ISNUMBER($H849)),$G849*(1-$H849),$G849))</f>
        <v/>
      </c>
      <c r="K849" s="9" t="str">
        <f aca="false">IF($B849="","",IFERROR(AVERAGEIFS('2. Soil Data'!$G$5:$G$604,'2. Soil Data'!$B$5:$B$604,$B849),""))</f>
        <v/>
      </c>
      <c r="L849" s="9" t="str">
        <f aca="false">IF(NOT(ISNUMBER($K849)),"",PI()*($K849/2)^2)</f>
        <v/>
      </c>
      <c r="M849" s="9" t="str">
        <f aca="false">IF(OR(NOT(ISNUMBER($J849)),NOT(ISNUMBER($L849)),$L849=0),"",$J849/$L849*10000)</f>
        <v/>
      </c>
      <c r="N849" s="9" t="str">
        <f aca="false">IF(NOT(ISNUMBER($M849)),"",$M849*CARBON_FRACTION_ROOT/1000)</f>
        <v/>
      </c>
      <c r="O849" s="11" t="str">
        <f aca="false">IF(AND($A849="",$B849="",$G849=""),"",IF(AND($B849&lt;&gt;"",COUNTIFS('2. Soil Data'!$B$5:$B$604,$B849)=0),"Core ID not found in Soil Data, so the corer diameter cannot be looked up. ","")&amp;IF(ASH_CORRECTED&lt;&gt;"Yes","Root mass is NOT ash-corrected, so it includes adhering mineral soil and is too high. Set ASH_CORRECTED once you have done it. ","")&amp;IF(AND(ASH_CORRECTED="Yes",NOT(ISNUMBER($H849))),"Ash correction is switched on but no ash fraction is given for this row. ","")&amp;IF($I849="","Sieve mesh not recorded — a fine-root figure cannot be interpreted without it. ","")&amp;IF(AND(ISNUMBER($H849),$H849&gt;0.5),"Ash fraction above 0.5 — over half this sample was mineral soil. Re-wash. ","")&amp;IF($F849="Not separated","Live and dead not separated. Fine for a stock, but "&amp;"note it in reporting. ",""))</f>
        <v/>
      </c>
      <c r="P849" s="6"/>
      <c r="Q849" s="9" t="n">
        <f aca="false">IF($B849="",0,IF(COUNTIFS($B$5:$B849,$B849)=1,1,0))</f>
        <v>0</v>
      </c>
    </row>
    <row r="850" customFormat="false" ht="15" hidden="false" customHeight="false" outlineLevel="0" collapsed="false">
      <c r="A850" s="6"/>
      <c r="B850" s="6"/>
      <c r="C850" s="6"/>
      <c r="D850" s="6"/>
      <c r="E850" s="6"/>
      <c r="F850" s="6"/>
      <c r="G850" s="7"/>
      <c r="H850" s="7"/>
      <c r="I850" s="6"/>
      <c r="J850" s="9" t="str">
        <f aca="false">IF(NOT(ISNUMBER($G850)),"",IF(AND(ASH_CORRECTED="Yes",ISNUMBER($H850)),$G850*(1-$H850),$G850))</f>
        <v/>
      </c>
      <c r="K850" s="9" t="str">
        <f aca="false">IF($B850="","",IFERROR(AVERAGEIFS('2. Soil Data'!$G$5:$G$604,'2. Soil Data'!$B$5:$B$604,$B850),""))</f>
        <v/>
      </c>
      <c r="L850" s="9" t="str">
        <f aca="false">IF(NOT(ISNUMBER($K850)),"",PI()*($K850/2)^2)</f>
        <v/>
      </c>
      <c r="M850" s="9" t="str">
        <f aca="false">IF(OR(NOT(ISNUMBER($J850)),NOT(ISNUMBER($L850)),$L850=0),"",$J850/$L850*10000)</f>
        <v/>
      </c>
      <c r="N850" s="9" t="str">
        <f aca="false">IF(NOT(ISNUMBER($M850)),"",$M850*CARBON_FRACTION_ROOT/1000)</f>
        <v/>
      </c>
      <c r="O850" s="11" t="str">
        <f aca="false">IF(AND($A850="",$B850="",$G850=""),"",IF(AND($B850&lt;&gt;"",COUNTIFS('2. Soil Data'!$B$5:$B$604,$B850)=0),"Core ID not found in Soil Data, so the corer diameter cannot be looked up. ","")&amp;IF(ASH_CORRECTED&lt;&gt;"Yes","Root mass is NOT ash-corrected, so it includes adhering mineral soil and is too high. Set ASH_CORRECTED once you have done it. ","")&amp;IF(AND(ASH_CORRECTED="Yes",NOT(ISNUMBER($H850))),"Ash correction is switched on but no ash fraction is given for this row. ","")&amp;IF($I850="","Sieve mesh not recorded — a fine-root figure cannot be interpreted without it. ","")&amp;IF(AND(ISNUMBER($H850),$H850&gt;0.5),"Ash fraction above 0.5 — over half this sample was mineral soil. Re-wash. ","")&amp;IF($F850="Not separated","Live and dead not separated. Fine for a stock, but "&amp;"note it in reporting. ",""))</f>
        <v/>
      </c>
      <c r="P850" s="6"/>
      <c r="Q850" s="9" t="n">
        <f aca="false">IF($B850="",0,IF(COUNTIFS($B$5:$B850,$B850)=1,1,0))</f>
        <v>0</v>
      </c>
    </row>
    <row r="851" customFormat="false" ht="15" hidden="false" customHeight="false" outlineLevel="0" collapsed="false">
      <c r="A851" s="6"/>
      <c r="B851" s="6"/>
      <c r="C851" s="6"/>
      <c r="D851" s="6"/>
      <c r="E851" s="6"/>
      <c r="F851" s="6"/>
      <c r="G851" s="7"/>
      <c r="H851" s="7"/>
      <c r="I851" s="6"/>
      <c r="J851" s="9" t="str">
        <f aca="false">IF(NOT(ISNUMBER($G851)),"",IF(AND(ASH_CORRECTED="Yes",ISNUMBER($H851)),$G851*(1-$H851),$G851))</f>
        <v/>
      </c>
      <c r="K851" s="9" t="str">
        <f aca="false">IF($B851="","",IFERROR(AVERAGEIFS('2. Soil Data'!$G$5:$G$604,'2. Soil Data'!$B$5:$B$604,$B851),""))</f>
        <v/>
      </c>
      <c r="L851" s="9" t="str">
        <f aca="false">IF(NOT(ISNUMBER($K851)),"",PI()*($K851/2)^2)</f>
        <v/>
      </c>
      <c r="M851" s="9" t="str">
        <f aca="false">IF(OR(NOT(ISNUMBER($J851)),NOT(ISNUMBER($L851)),$L851=0),"",$J851/$L851*10000)</f>
        <v/>
      </c>
      <c r="N851" s="9" t="str">
        <f aca="false">IF(NOT(ISNUMBER($M851)),"",$M851*CARBON_FRACTION_ROOT/1000)</f>
        <v/>
      </c>
      <c r="O851" s="11" t="str">
        <f aca="false">IF(AND($A851="",$B851="",$G851=""),"",IF(AND($B851&lt;&gt;"",COUNTIFS('2. Soil Data'!$B$5:$B$604,$B851)=0),"Core ID not found in Soil Data, so the corer diameter cannot be looked up. ","")&amp;IF(ASH_CORRECTED&lt;&gt;"Yes","Root mass is NOT ash-corrected, so it includes adhering mineral soil and is too high. Set ASH_CORRECTED once you have done it. ","")&amp;IF(AND(ASH_CORRECTED="Yes",NOT(ISNUMBER($H851))),"Ash correction is switched on but no ash fraction is given for this row. ","")&amp;IF($I851="","Sieve mesh not recorded — a fine-root figure cannot be interpreted without it. ","")&amp;IF(AND(ISNUMBER($H851),$H851&gt;0.5),"Ash fraction above 0.5 — over half this sample was mineral soil. Re-wash. ","")&amp;IF($F851="Not separated","Live and dead not separated. Fine for a stock, but "&amp;"note it in reporting. ",""))</f>
        <v/>
      </c>
      <c r="P851" s="6"/>
      <c r="Q851" s="9" t="n">
        <f aca="false">IF($B851="",0,IF(COUNTIFS($B$5:$B851,$B851)=1,1,0))</f>
        <v>0</v>
      </c>
    </row>
    <row r="852" customFormat="false" ht="15" hidden="false" customHeight="false" outlineLevel="0" collapsed="false">
      <c r="A852" s="6"/>
      <c r="B852" s="6"/>
      <c r="C852" s="6"/>
      <c r="D852" s="6"/>
      <c r="E852" s="6"/>
      <c r="F852" s="6"/>
      <c r="G852" s="7"/>
      <c r="H852" s="7"/>
      <c r="I852" s="6"/>
      <c r="J852" s="9" t="str">
        <f aca="false">IF(NOT(ISNUMBER($G852)),"",IF(AND(ASH_CORRECTED="Yes",ISNUMBER($H852)),$G852*(1-$H852),$G852))</f>
        <v/>
      </c>
      <c r="K852" s="9" t="str">
        <f aca="false">IF($B852="","",IFERROR(AVERAGEIFS('2. Soil Data'!$G$5:$G$604,'2. Soil Data'!$B$5:$B$604,$B852),""))</f>
        <v/>
      </c>
      <c r="L852" s="9" t="str">
        <f aca="false">IF(NOT(ISNUMBER($K852)),"",PI()*($K852/2)^2)</f>
        <v/>
      </c>
      <c r="M852" s="9" t="str">
        <f aca="false">IF(OR(NOT(ISNUMBER($J852)),NOT(ISNUMBER($L852)),$L852=0),"",$J852/$L852*10000)</f>
        <v/>
      </c>
      <c r="N852" s="9" t="str">
        <f aca="false">IF(NOT(ISNUMBER($M852)),"",$M852*CARBON_FRACTION_ROOT/1000)</f>
        <v/>
      </c>
      <c r="O852" s="11" t="str">
        <f aca="false">IF(AND($A852="",$B852="",$G852=""),"",IF(AND($B852&lt;&gt;"",COUNTIFS('2. Soil Data'!$B$5:$B$604,$B852)=0),"Core ID not found in Soil Data, so the corer diameter cannot be looked up. ","")&amp;IF(ASH_CORRECTED&lt;&gt;"Yes","Root mass is NOT ash-corrected, so it includes adhering mineral soil and is too high. Set ASH_CORRECTED once you have done it. ","")&amp;IF(AND(ASH_CORRECTED="Yes",NOT(ISNUMBER($H852))),"Ash correction is switched on but no ash fraction is given for this row. ","")&amp;IF($I852="","Sieve mesh not recorded — a fine-root figure cannot be interpreted without it. ","")&amp;IF(AND(ISNUMBER($H852),$H852&gt;0.5),"Ash fraction above 0.5 — over half this sample was mineral soil. Re-wash. ","")&amp;IF($F852="Not separated","Live and dead not separated. Fine for a stock, but "&amp;"note it in reporting. ",""))</f>
        <v/>
      </c>
      <c r="P852" s="6"/>
      <c r="Q852" s="9" t="n">
        <f aca="false">IF($B852="",0,IF(COUNTIFS($B$5:$B852,$B852)=1,1,0))</f>
        <v>0</v>
      </c>
    </row>
    <row r="853" customFormat="false" ht="15" hidden="false" customHeight="false" outlineLevel="0" collapsed="false">
      <c r="A853" s="6"/>
      <c r="B853" s="6"/>
      <c r="C853" s="6"/>
      <c r="D853" s="6"/>
      <c r="E853" s="6"/>
      <c r="F853" s="6"/>
      <c r="G853" s="7"/>
      <c r="H853" s="7"/>
      <c r="I853" s="6"/>
      <c r="J853" s="9" t="str">
        <f aca="false">IF(NOT(ISNUMBER($G853)),"",IF(AND(ASH_CORRECTED="Yes",ISNUMBER($H853)),$G853*(1-$H853),$G853))</f>
        <v/>
      </c>
      <c r="K853" s="9" t="str">
        <f aca="false">IF($B853="","",IFERROR(AVERAGEIFS('2. Soil Data'!$G$5:$G$604,'2. Soil Data'!$B$5:$B$604,$B853),""))</f>
        <v/>
      </c>
      <c r="L853" s="9" t="str">
        <f aca="false">IF(NOT(ISNUMBER($K853)),"",PI()*($K853/2)^2)</f>
        <v/>
      </c>
      <c r="M853" s="9" t="str">
        <f aca="false">IF(OR(NOT(ISNUMBER($J853)),NOT(ISNUMBER($L853)),$L853=0),"",$J853/$L853*10000)</f>
        <v/>
      </c>
      <c r="N853" s="9" t="str">
        <f aca="false">IF(NOT(ISNUMBER($M853)),"",$M853*CARBON_FRACTION_ROOT/1000)</f>
        <v/>
      </c>
      <c r="O853" s="11" t="str">
        <f aca="false">IF(AND($A853="",$B853="",$G853=""),"",IF(AND($B853&lt;&gt;"",COUNTIFS('2. Soil Data'!$B$5:$B$604,$B853)=0),"Core ID not found in Soil Data, so the corer diameter cannot be looked up. ","")&amp;IF(ASH_CORRECTED&lt;&gt;"Yes","Root mass is NOT ash-corrected, so it includes adhering mineral soil and is too high. Set ASH_CORRECTED once you have done it. ","")&amp;IF(AND(ASH_CORRECTED="Yes",NOT(ISNUMBER($H853))),"Ash correction is switched on but no ash fraction is given for this row. ","")&amp;IF($I853="","Sieve mesh not recorded — a fine-root figure cannot be interpreted without it. ","")&amp;IF(AND(ISNUMBER($H853),$H853&gt;0.5),"Ash fraction above 0.5 — over half this sample was mineral soil. Re-wash. ","")&amp;IF($F853="Not separated","Live and dead not separated. Fine for a stock, but "&amp;"note it in reporting. ",""))</f>
        <v/>
      </c>
      <c r="P853" s="6"/>
      <c r="Q853" s="9" t="n">
        <f aca="false">IF($B853="",0,IF(COUNTIFS($B$5:$B853,$B853)=1,1,0))</f>
        <v>0</v>
      </c>
    </row>
    <row r="854" customFormat="false" ht="15" hidden="false" customHeight="false" outlineLevel="0" collapsed="false">
      <c r="A854" s="6"/>
      <c r="B854" s="6"/>
      <c r="C854" s="6"/>
      <c r="D854" s="6"/>
      <c r="E854" s="6"/>
      <c r="F854" s="6"/>
      <c r="G854" s="7"/>
      <c r="H854" s="7"/>
      <c r="I854" s="6"/>
      <c r="J854" s="9" t="str">
        <f aca="false">IF(NOT(ISNUMBER($G854)),"",IF(AND(ASH_CORRECTED="Yes",ISNUMBER($H854)),$G854*(1-$H854),$G854))</f>
        <v/>
      </c>
      <c r="K854" s="9" t="str">
        <f aca="false">IF($B854="","",IFERROR(AVERAGEIFS('2. Soil Data'!$G$5:$G$604,'2. Soil Data'!$B$5:$B$604,$B854),""))</f>
        <v/>
      </c>
      <c r="L854" s="9" t="str">
        <f aca="false">IF(NOT(ISNUMBER($K854)),"",PI()*($K854/2)^2)</f>
        <v/>
      </c>
      <c r="M854" s="9" t="str">
        <f aca="false">IF(OR(NOT(ISNUMBER($J854)),NOT(ISNUMBER($L854)),$L854=0),"",$J854/$L854*10000)</f>
        <v/>
      </c>
      <c r="N854" s="9" t="str">
        <f aca="false">IF(NOT(ISNUMBER($M854)),"",$M854*CARBON_FRACTION_ROOT/1000)</f>
        <v/>
      </c>
      <c r="O854" s="11" t="str">
        <f aca="false">IF(AND($A854="",$B854="",$G854=""),"",IF(AND($B854&lt;&gt;"",COUNTIFS('2. Soil Data'!$B$5:$B$604,$B854)=0),"Core ID not found in Soil Data, so the corer diameter cannot be looked up. ","")&amp;IF(ASH_CORRECTED&lt;&gt;"Yes","Root mass is NOT ash-corrected, so it includes adhering mineral soil and is too high. Set ASH_CORRECTED once you have done it. ","")&amp;IF(AND(ASH_CORRECTED="Yes",NOT(ISNUMBER($H854))),"Ash correction is switched on but no ash fraction is given for this row. ","")&amp;IF($I854="","Sieve mesh not recorded — a fine-root figure cannot be interpreted without it. ","")&amp;IF(AND(ISNUMBER($H854),$H854&gt;0.5),"Ash fraction above 0.5 — over half this sample was mineral soil. Re-wash. ","")&amp;IF($F854="Not separated","Live and dead not separated. Fine for a stock, but "&amp;"note it in reporting. ",""))</f>
        <v/>
      </c>
      <c r="P854" s="6"/>
      <c r="Q854" s="9" t="n">
        <f aca="false">IF($B854="",0,IF(COUNTIFS($B$5:$B854,$B854)=1,1,0))</f>
        <v>0</v>
      </c>
    </row>
    <row r="855" customFormat="false" ht="15" hidden="false" customHeight="false" outlineLevel="0" collapsed="false">
      <c r="A855" s="6"/>
      <c r="B855" s="6"/>
      <c r="C855" s="6"/>
      <c r="D855" s="6"/>
      <c r="E855" s="6"/>
      <c r="F855" s="6"/>
      <c r="G855" s="7"/>
      <c r="H855" s="7"/>
      <c r="I855" s="6"/>
      <c r="J855" s="9" t="str">
        <f aca="false">IF(NOT(ISNUMBER($G855)),"",IF(AND(ASH_CORRECTED="Yes",ISNUMBER($H855)),$G855*(1-$H855),$G855))</f>
        <v/>
      </c>
      <c r="K855" s="9" t="str">
        <f aca="false">IF($B855="","",IFERROR(AVERAGEIFS('2. Soil Data'!$G$5:$G$604,'2. Soil Data'!$B$5:$B$604,$B855),""))</f>
        <v/>
      </c>
      <c r="L855" s="9" t="str">
        <f aca="false">IF(NOT(ISNUMBER($K855)),"",PI()*($K855/2)^2)</f>
        <v/>
      </c>
      <c r="M855" s="9" t="str">
        <f aca="false">IF(OR(NOT(ISNUMBER($J855)),NOT(ISNUMBER($L855)),$L855=0),"",$J855/$L855*10000)</f>
        <v/>
      </c>
      <c r="N855" s="9" t="str">
        <f aca="false">IF(NOT(ISNUMBER($M855)),"",$M855*CARBON_FRACTION_ROOT/1000)</f>
        <v/>
      </c>
      <c r="O855" s="11" t="str">
        <f aca="false">IF(AND($A855="",$B855="",$G855=""),"",IF(AND($B855&lt;&gt;"",COUNTIFS('2. Soil Data'!$B$5:$B$604,$B855)=0),"Core ID not found in Soil Data, so the corer diameter cannot be looked up. ","")&amp;IF(ASH_CORRECTED&lt;&gt;"Yes","Root mass is NOT ash-corrected, so it includes adhering mineral soil and is too high. Set ASH_CORRECTED once you have done it. ","")&amp;IF(AND(ASH_CORRECTED="Yes",NOT(ISNUMBER($H855))),"Ash correction is switched on but no ash fraction is given for this row. ","")&amp;IF($I855="","Sieve mesh not recorded — a fine-root figure cannot be interpreted without it. ","")&amp;IF(AND(ISNUMBER($H855),$H855&gt;0.5),"Ash fraction above 0.5 — over half this sample was mineral soil. Re-wash. ","")&amp;IF($F855="Not separated","Live and dead not separated. Fine for a stock, but "&amp;"note it in reporting. ",""))</f>
        <v/>
      </c>
      <c r="P855" s="6"/>
      <c r="Q855" s="9" t="n">
        <f aca="false">IF($B855="",0,IF(COUNTIFS($B$5:$B855,$B855)=1,1,0))</f>
        <v>0</v>
      </c>
    </row>
    <row r="856" customFormat="false" ht="15" hidden="false" customHeight="false" outlineLevel="0" collapsed="false">
      <c r="A856" s="6"/>
      <c r="B856" s="6"/>
      <c r="C856" s="6"/>
      <c r="D856" s="6"/>
      <c r="E856" s="6"/>
      <c r="F856" s="6"/>
      <c r="G856" s="7"/>
      <c r="H856" s="7"/>
      <c r="I856" s="6"/>
      <c r="J856" s="9" t="str">
        <f aca="false">IF(NOT(ISNUMBER($G856)),"",IF(AND(ASH_CORRECTED="Yes",ISNUMBER($H856)),$G856*(1-$H856),$G856))</f>
        <v/>
      </c>
      <c r="K856" s="9" t="str">
        <f aca="false">IF($B856="","",IFERROR(AVERAGEIFS('2. Soil Data'!$G$5:$G$604,'2. Soil Data'!$B$5:$B$604,$B856),""))</f>
        <v/>
      </c>
      <c r="L856" s="9" t="str">
        <f aca="false">IF(NOT(ISNUMBER($K856)),"",PI()*($K856/2)^2)</f>
        <v/>
      </c>
      <c r="M856" s="9" t="str">
        <f aca="false">IF(OR(NOT(ISNUMBER($J856)),NOT(ISNUMBER($L856)),$L856=0),"",$J856/$L856*10000)</f>
        <v/>
      </c>
      <c r="N856" s="9" t="str">
        <f aca="false">IF(NOT(ISNUMBER($M856)),"",$M856*CARBON_FRACTION_ROOT/1000)</f>
        <v/>
      </c>
      <c r="O856" s="11" t="str">
        <f aca="false">IF(AND($A856="",$B856="",$G856=""),"",IF(AND($B856&lt;&gt;"",COUNTIFS('2. Soil Data'!$B$5:$B$604,$B856)=0),"Core ID not found in Soil Data, so the corer diameter cannot be looked up. ","")&amp;IF(ASH_CORRECTED&lt;&gt;"Yes","Root mass is NOT ash-corrected, so it includes adhering mineral soil and is too high. Set ASH_CORRECTED once you have done it. ","")&amp;IF(AND(ASH_CORRECTED="Yes",NOT(ISNUMBER($H856))),"Ash correction is switched on but no ash fraction is given for this row. ","")&amp;IF($I856="","Sieve mesh not recorded — a fine-root figure cannot be interpreted without it. ","")&amp;IF(AND(ISNUMBER($H856),$H856&gt;0.5),"Ash fraction above 0.5 — over half this sample was mineral soil. Re-wash. ","")&amp;IF($F856="Not separated","Live and dead not separated. Fine for a stock, but "&amp;"note it in reporting. ",""))</f>
        <v/>
      </c>
      <c r="P856" s="6"/>
      <c r="Q856" s="9" t="n">
        <f aca="false">IF($B856="",0,IF(COUNTIFS($B$5:$B856,$B856)=1,1,0))</f>
        <v>0</v>
      </c>
    </row>
    <row r="857" customFormat="false" ht="15" hidden="false" customHeight="false" outlineLevel="0" collapsed="false">
      <c r="A857" s="6"/>
      <c r="B857" s="6"/>
      <c r="C857" s="6"/>
      <c r="D857" s="6"/>
      <c r="E857" s="6"/>
      <c r="F857" s="6"/>
      <c r="G857" s="7"/>
      <c r="H857" s="7"/>
      <c r="I857" s="6"/>
      <c r="J857" s="9" t="str">
        <f aca="false">IF(NOT(ISNUMBER($G857)),"",IF(AND(ASH_CORRECTED="Yes",ISNUMBER($H857)),$G857*(1-$H857),$G857))</f>
        <v/>
      </c>
      <c r="K857" s="9" t="str">
        <f aca="false">IF($B857="","",IFERROR(AVERAGEIFS('2. Soil Data'!$G$5:$G$604,'2. Soil Data'!$B$5:$B$604,$B857),""))</f>
        <v/>
      </c>
      <c r="L857" s="9" t="str">
        <f aca="false">IF(NOT(ISNUMBER($K857)),"",PI()*($K857/2)^2)</f>
        <v/>
      </c>
      <c r="M857" s="9" t="str">
        <f aca="false">IF(OR(NOT(ISNUMBER($J857)),NOT(ISNUMBER($L857)),$L857=0),"",$J857/$L857*10000)</f>
        <v/>
      </c>
      <c r="N857" s="9" t="str">
        <f aca="false">IF(NOT(ISNUMBER($M857)),"",$M857*CARBON_FRACTION_ROOT/1000)</f>
        <v/>
      </c>
      <c r="O857" s="11" t="str">
        <f aca="false">IF(AND($A857="",$B857="",$G857=""),"",IF(AND($B857&lt;&gt;"",COUNTIFS('2. Soil Data'!$B$5:$B$604,$B857)=0),"Core ID not found in Soil Data, so the corer diameter cannot be looked up. ","")&amp;IF(ASH_CORRECTED&lt;&gt;"Yes","Root mass is NOT ash-corrected, so it includes adhering mineral soil and is too high. Set ASH_CORRECTED once you have done it. ","")&amp;IF(AND(ASH_CORRECTED="Yes",NOT(ISNUMBER($H857))),"Ash correction is switched on but no ash fraction is given for this row. ","")&amp;IF($I857="","Sieve mesh not recorded — a fine-root figure cannot be interpreted without it. ","")&amp;IF(AND(ISNUMBER($H857),$H857&gt;0.5),"Ash fraction above 0.5 — over half this sample was mineral soil. Re-wash. ","")&amp;IF($F857="Not separated","Live and dead not separated. Fine for a stock, but "&amp;"note it in reporting. ",""))</f>
        <v/>
      </c>
      <c r="P857" s="6"/>
      <c r="Q857" s="9" t="n">
        <f aca="false">IF($B857="",0,IF(COUNTIFS($B$5:$B857,$B857)=1,1,0))</f>
        <v>0</v>
      </c>
    </row>
    <row r="858" customFormat="false" ht="15" hidden="false" customHeight="false" outlineLevel="0" collapsed="false">
      <c r="A858" s="6"/>
      <c r="B858" s="6"/>
      <c r="C858" s="6"/>
      <c r="D858" s="6"/>
      <c r="E858" s="6"/>
      <c r="F858" s="6"/>
      <c r="G858" s="7"/>
      <c r="H858" s="7"/>
      <c r="I858" s="6"/>
      <c r="J858" s="9" t="str">
        <f aca="false">IF(NOT(ISNUMBER($G858)),"",IF(AND(ASH_CORRECTED="Yes",ISNUMBER($H858)),$G858*(1-$H858),$G858))</f>
        <v/>
      </c>
      <c r="K858" s="9" t="str">
        <f aca="false">IF($B858="","",IFERROR(AVERAGEIFS('2. Soil Data'!$G$5:$G$604,'2. Soil Data'!$B$5:$B$604,$B858),""))</f>
        <v/>
      </c>
      <c r="L858" s="9" t="str">
        <f aca="false">IF(NOT(ISNUMBER($K858)),"",PI()*($K858/2)^2)</f>
        <v/>
      </c>
      <c r="M858" s="9" t="str">
        <f aca="false">IF(OR(NOT(ISNUMBER($J858)),NOT(ISNUMBER($L858)),$L858=0),"",$J858/$L858*10000)</f>
        <v/>
      </c>
      <c r="N858" s="9" t="str">
        <f aca="false">IF(NOT(ISNUMBER($M858)),"",$M858*CARBON_FRACTION_ROOT/1000)</f>
        <v/>
      </c>
      <c r="O858" s="11" t="str">
        <f aca="false">IF(AND($A858="",$B858="",$G858=""),"",IF(AND($B858&lt;&gt;"",COUNTIFS('2. Soil Data'!$B$5:$B$604,$B858)=0),"Core ID not found in Soil Data, so the corer diameter cannot be looked up. ","")&amp;IF(ASH_CORRECTED&lt;&gt;"Yes","Root mass is NOT ash-corrected, so it includes adhering mineral soil and is too high. Set ASH_CORRECTED once you have done it. ","")&amp;IF(AND(ASH_CORRECTED="Yes",NOT(ISNUMBER($H858))),"Ash correction is switched on but no ash fraction is given for this row. ","")&amp;IF($I858="","Sieve mesh not recorded — a fine-root figure cannot be interpreted without it. ","")&amp;IF(AND(ISNUMBER($H858),$H858&gt;0.5),"Ash fraction above 0.5 — over half this sample was mineral soil. Re-wash. ","")&amp;IF($F858="Not separated","Live and dead not separated. Fine for a stock, but "&amp;"note it in reporting. ",""))</f>
        <v/>
      </c>
      <c r="P858" s="6"/>
      <c r="Q858" s="9" t="n">
        <f aca="false">IF($B858="",0,IF(COUNTIFS($B$5:$B858,$B858)=1,1,0))</f>
        <v>0</v>
      </c>
    </row>
    <row r="859" customFormat="false" ht="15" hidden="false" customHeight="false" outlineLevel="0" collapsed="false">
      <c r="A859" s="6"/>
      <c r="B859" s="6"/>
      <c r="C859" s="6"/>
      <c r="D859" s="6"/>
      <c r="E859" s="6"/>
      <c r="F859" s="6"/>
      <c r="G859" s="7"/>
      <c r="H859" s="7"/>
      <c r="I859" s="6"/>
      <c r="J859" s="9" t="str">
        <f aca="false">IF(NOT(ISNUMBER($G859)),"",IF(AND(ASH_CORRECTED="Yes",ISNUMBER($H859)),$G859*(1-$H859),$G859))</f>
        <v/>
      </c>
      <c r="K859" s="9" t="str">
        <f aca="false">IF($B859="","",IFERROR(AVERAGEIFS('2. Soil Data'!$G$5:$G$604,'2. Soil Data'!$B$5:$B$604,$B859),""))</f>
        <v/>
      </c>
      <c r="L859" s="9" t="str">
        <f aca="false">IF(NOT(ISNUMBER($K859)),"",PI()*($K859/2)^2)</f>
        <v/>
      </c>
      <c r="M859" s="9" t="str">
        <f aca="false">IF(OR(NOT(ISNUMBER($J859)),NOT(ISNUMBER($L859)),$L859=0),"",$J859/$L859*10000)</f>
        <v/>
      </c>
      <c r="N859" s="9" t="str">
        <f aca="false">IF(NOT(ISNUMBER($M859)),"",$M859*CARBON_FRACTION_ROOT/1000)</f>
        <v/>
      </c>
      <c r="O859" s="11" t="str">
        <f aca="false">IF(AND($A859="",$B859="",$G859=""),"",IF(AND($B859&lt;&gt;"",COUNTIFS('2. Soil Data'!$B$5:$B$604,$B859)=0),"Core ID not found in Soil Data, so the corer diameter cannot be looked up. ","")&amp;IF(ASH_CORRECTED&lt;&gt;"Yes","Root mass is NOT ash-corrected, so it includes adhering mineral soil and is too high. Set ASH_CORRECTED once you have done it. ","")&amp;IF(AND(ASH_CORRECTED="Yes",NOT(ISNUMBER($H859))),"Ash correction is switched on but no ash fraction is given for this row. ","")&amp;IF($I859="","Sieve mesh not recorded — a fine-root figure cannot be interpreted without it. ","")&amp;IF(AND(ISNUMBER($H859),$H859&gt;0.5),"Ash fraction above 0.5 — over half this sample was mineral soil. Re-wash. ","")&amp;IF($F859="Not separated","Live and dead not separated. Fine for a stock, but "&amp;"note it in reporting. ",""))</f>
        <v/>
      </c>
      <c r="P859" s="6"/>
      <c r="Q859" s="9" t="n">
        <f aca="false">IF($B859="",0,IF(COUNTIFS($B$5:$B859,$B859)=1,1,0))</f>
        <v>0</v>
      </c>
    </row>
    <row r="860" customFormat="false" ht="15" hidden="false" customHeight="false" outlineLevel="0" collapsed="false">
      <c r="A860" s="6"/>
      <c r="B860" s="6"/>
      <c r="C860" s="6"/>
      <c r="D860" s="6"/>
      <c r="E860" s="6"/>
      <c r="F860" s="6"/>
      <c r="G860" s="7"/>
      <c r="H860" s="7"/>
      <c r="I860" s="6"/>
      <c r="J860" s="9" t="str">
        <f aca="false">IF(NOT(ISNUMBER($G860)),"",IF(AND(ASH_CORRECTED="Yes",ISNUMBER($H860)),$G860*(1-$H860),$G860))</f>
        <v/>
      </c>
      <c r="K860" s="9" t="str">
        <f aca="false">IF($B860="","",IFERROR(AVERAGEIFS('2. Soil Data'!$G$5:$G$604,'2. Soil Data'!$B$5:$B$604,$B860),""))</f>
        <v/>
      </c>
      <c r="L860" s="9" t="str">
        <f aca="false">IF(NOT(ISNUMBER($K860)),"",PI()*($K860/2)^2)</f>
        <v/>
      </c>
      <c r="M860" s="9" t="str">
        <f aca="false">IF(OR(NOT(ISNUMBER($J860)),NOT(ISNUMBER($L860)),$L860=0),"",$J860/$L860*10000)</f>
        <v/>
      </c>
      <c r="N860" s="9" t="str">
        <f aca="false">IF(NOT(ISNUMBER($M860)),"",$M860*CARBON_FRACTION_ROOT/1000)</f>
        <v/>
      </c>
      <c r="O860" s="11" t="str">
        <f aca="false">IF(AND($A860="",$B860="",$G860=""),"",IF(AND($B860&lt;&gt;"",COUNTIFS('2. Soil Data'!$B$5:$B$604,$B860)=0),"Core ID not found in Soil Data, so the corer diameter cannot be looked up. ","")&amp;IF(ASH_CORRECTED&lt;&gt;"Yes","Root mass is NOT ash-corrected, so it includes adhering mineral soil and is too high. Set ASH_CORRECTED once you have done it. ","")&amp;IF(AND(ASH_CORRECTED="Yes",NOT(ISNUMBER($H860))),"Ash correction is switched on but no ash fraction is given for this row. ","")&amp;IF($I860="","Sieve mesh not recorded — a fine-root figure cannot be interpreted without it. ","")&amp;IF(AND(ISNUMBER($H860),$H860&gt;0.5),"Ash fraction above 0.5 — over half this sample was mineral soil. Re-wash. ","")&amp;IF($F860="Not separated","Live and dead not separated. Fine for a stock, but "&amp;"note it in reporting. ",""))</f>
        <v/>
      </c>
      <c r="P860" s="6"/>
      <c r="Q860" s="9" t="n">
        <f aca="false">IF($B860="",0,IF(COUNTIFS($B$5:$B860,$B860)=1,1,0))</f>
        <v>0</v>
      </c>
    </row>
    <row r="861" customFormat="false" ht="15" hidden="false" customHeight="false" outlineLevel="0" collapsed="false">
      <c r="A861" s="6"/>
      <c r="B861" s="6"/>
      <c r="C861" s="6"/>
      <c r="D861" s="6"/>
      <c r="E861" s="6"/>
      <c r="F861" s="6"/>
      <c r="G861" s="7"/>
      <c r="H861" s="7"/>
      <c r="I861" s="6"/>
      <c r="J861" s="9" t="str">
        <f aca="false">IF(NOT(ISNUMBER($G861)),"",IF(AND(ASH_CORRECTED="Yes",ISNUMBER($H861)),$G861*(1-$H861),$G861))</f>
        <v/>
      </c>
      <c r="K861" s="9" t="str">
        <f aca="false">IF($B861="","",IFERROR(AVERAGEIFS('2. Soil Data'!$G$5:$G$604,'2. Soil Data'!$B$5:$B$604,$B861),""))</f>
        <v/>
      </c>
      <c r="L861" s="9" t="str">
        <f aca="false">IF(NOT(ISNUMBER($K861)),"",PI()*($K861/2)^2)</f>
        <v/>
      </c>
      <c r="M861" s="9" t="str">
        <f aca="false">IF(OR(NOT(ISNUMBER($J861)),NOT(ISNUMBER($L861)),$L861=0),"",$J861/$L861*10000)</f>
        <v/>
      </c>
      <c r="N861" s="9" t="str">
        <f aca="false">IF(NOT(ISNUMBER($M861)),"",$M861*CARBON_FRACTION_ROOT/1000)</f>
        <v/>
      </c>
      <c r="O861" s="11" t="str">
        <f aca="false">IF(AND($A861="",$B861="",$G861=""),"",IF(AND($B861&lt;&gt;"",COUNTIFS('2. Soil Data'!$B$5:$B$604,$B861)=0),"Core ID not found in Soil Data, so the corer diameter cannot be looked up. ","")&amp;IF(ASH_CORRECTED&lt;&gt;"Yes","Root mass is NOT ash-corrected, so it includes adhering mineral soil and is too high. Set ASH_CORRECTED once you have done it. ","")&amp;IF(AND(ASH_CORRECTED="Yes",NOT(ISNUMBER($H861))),"Ash correction is switched on but no ash fraction is given for this row. ","")&amp;IF($I861="","Sieve mesh not recorded — a fine-root figure cannot be interpreted without it. ","")&amp;IF(AND(ISNUMBER($H861),$H861&gt;0.5),"Ash fraction above 0.5 — over half this sample was mineral soil. Re-wash. ","")&amp;IF($F861="Not separated","Live and dead not separated. Fine for a stock, but "&amp;"note it in reporting. ",""))</f>
        <v/>
      </c>
      <c r="P861" s="6"/>
      <c r="Q861" s="9" t="n">
        <f aca="false">IF($B861="",0,IF(COUNTIFS($B$5:$B861,$B861)=1,1,0))</f>
        <v>0</v>
      </c>
    </row>
    <row r="862" customFormat="false" ht="15" hidden="false" customHeight="false" outlineLevel="0" collapsed="false">
      <c r="A862" s="6"/>
      <c r="B862" s="6"/>
      <c r="C862" s="6"/>
      <c r="D862" s="6"/>
      <c r="E862" s="6"/>
      <c r="F862" s="6"/>
      <c r="G862" s="7"/>
      <c r="H862" s="7"/>
      <c r="I862" s="6"/>
      <c r="J862" s="9" t="str">
        <f aca="false">IF(NOT(ISNUMBER($G862)),"",IF(AND(ASH_CORRECTED="Yes",ISNUMBER($H862)),$G862*(1-$H862),$G862))</f>
        <v/>
      </c>
      <c r="K862" s="9" t="str">
        <f aca="false">IF($B862="","",IFERROR(AVERAGEIFS('2. Soil Data'!$G$5:$G$604,'2. Soil Data'!$B$5:$B$604,$B862),""))</f>
        <v/>
      </c>
      <c r="L862" s="9" t="str">
        <f aca="false">IF(NOT(ISNUMBER($K862)),"",PI()*($K862/2)^2)</f>
        <v/>
      </c>
      <c r="M862" s="9" t="str">
        <f aca="false">IF(OR(NOT(ISNUMBER($J862)),NOT(ISNUMBER($L862)),$L862=0),"",$J862/$L862*10000)</f>
        <v/>
      </c>
      <c r="N862" s="9" t="str">
        <f aca="false">IF(NOT(ISNUMBER($M862)),"",$M862*CARBON_FRACTION_ROOT/1000)</f>
        <v/>
      </c>
      <c r="O862" s="11" t="str">
        <f aca="false">IF(AND($A862="",$B862="",$G862=""),"",IF(AND($B862&lt;&gt;"",COUNTIFS('2. Soil Data'!$B$5:$B$604,$B862)=0),"Core ID not found in Soil Data, so the corer diameter cannot be looked up. ","")&amp;IF(ASH_CORRECTED&lt;&gt;"Yes","Root mass is NOT ash-corrected, so it includes adhering mineral soil and is too high. Set ASH_CORRECTED once you have done it. ","")&amp;IF(AND(ASH_CORRECTED="Yes",NOT(ISNUMBER($H862))),"Ash correction is switched on but no ash fraction is given for this row. ","")&amp;IF($I862="","Sieve mesh not recorded — a fine-root figure cannot be interpreted without it. ","")&amp;IF(AND(ISNUMBER($H862),$H862&gt;0.5),"Ash fraction above 0.5 — over half this sample was mineral soil. Re-wash. ","")&amp;IF($F862="Not separated","Live and dead not separated. Fine for a stock, but "&amp;"note it in reporting. ",""))</f>
        <v/>
      </c>
      <c r="P862" s="6"/>
      <c r="Q862" s="9" t="n">
        <f aca="false">IF($B862="",0,IF(COUNTIFS($B$5:$B862,$B862)=1,1,0))</f>
        <v>0</v>
      </c>
    </row>
    <row r="863" customFormat="false" ht="15" hidden="false" customHeight="false" outlineLevel="0" collapsed="false">
      <c r="A863" s="6"/>
      <c r="B863" s="6"/>
      <c r="C863" s="6"/>
      <c r="D863" s="6"/>
      <c r="E863" s="6"/>
      <c r="F863" s="6"/>
      <c r="G863" s="7"/>
      <c r="H863" s="7"/>
      <c r="I863" s="6"/>
      <c r="J863" s="9" t="str">
        <f aca="false">IF(NOT(ISNUMBER($G863)),"",IF(AND(ASH_CORRECTED="Yes",ISNUMBER($H863)),$G863*(1-$H863),$G863))</f>
        <v/>
      </c>
      <c r="K863" s="9" t="str">
        <f aca="false">IF($B863="","",IFERROR(AVERAGEIFS('2. Soil Data'!$G$5:$G$604,'2. Soil Data'!$B$5:$B$604,$B863),""))</f>
        <v/>
      </c>
      <c r="L863" s="9" t="str">
        <f aca="false">IF(NOT(ISNUMBER($K863)),"",PI()*($K863/2)^2)</f>
        <v/>
      </c>
      <c r="M863" s="9" t="str">
        <f aca="false">IF(OR(NOT(ISNUMBER($J863)),NOT(ISNUMBER($L863)),$L863=0),"",$J863/$L863*10000)</f>
        <v/>
      </c>
      <c r="N863" s="9" t="str">
        <f aca="false">IF(NOT(ISNUMBER($M863)),"",$M863*CARBON_FRACTION_ROOT/1000)</f>
        <v/>
      </c>
      <c r="O863" s="11" t="str">
        <f aca="false">IF(AND($A863="",$B863="",$G863=""),"",IF(AND($B863&lt;&gt;"",COUNTIFS('2. Soil Data'!$B$5:$B$604,$B863)=0),"Core ID not found in Soil Data, so the corer diameter cannot be looked up. ","")&amp;IF(ASH_CORRECTED&lt;&gt;"Yes","Root mass is NOT ash-corrected, so it includes adhering mineral soil and is too high. Set ASH_CORRECTED once you have done it. ","")&amp;IF(AND(ASH_CORRECTED="Yes",NOT(ISNUMBER($H863))),"Ash correction is switched on but no ash fraction is given for this row. ","")&amp;IF($I863="","Sieve mesh not recorded — a fine-root figure cannot be interpreted without it. ","")&amp;IF(AND(ISNUMBER($H863),$H863&gt;0.5),"Ash fraction above 0.5 — over half this sample was mineral soil. Re-wash. ","")&amp;IF($F863="Not separated","Live and dead not separated. Fine for a stock, but "&amp;"note it in reporting. ",""))</f>
        <v/>
      </c>
      <c r="P863" s="6"/>
      <c r="Q863" s="9" t="n">
        <f aca="false">IF($B863="",0,IF(COUNTIFS($B$5:$B863,$B863)=1,1,0))</f>
        <v>0</v>
      </c>
    </row>
    <row r="864" customFormat="false" ht="15" hidden="false" customHeight="false" outlineLevel="0" collapsed="false">
      <c r="A864" s="6"/>
      <c r="B864" s="6"/>
      <c r="C864" s="6"/>
      <c r="D864" s="6"/>
      <c r="E864" s="6"/>
      <c r="F864" s="6"/>
      <c r="G864" s="7"/>
      <c r="H864" s="7"/>
      <c r="I864" s="6"/>
      <c r="J864" s="9" t="str">
        <f aca="false">IF(NOT(ISNUMBER($G864)),"",IF(AND(ASH_CORRECTED="Yes",ISNUMBER($H864)),$G864*(1-$H864),$G864))</f>
        <v/>
      </c>
      <c r="K864" s="9" t="str">
        <f aca="false">IF($B864="","",IFERROR(AVERAGEIFS('2. Soil Data'!$G$5:$G$604,'2. Soil Data'!$B$5:$B$604,$B864),""))</f>
        <v/>
      </c>
      <c r="L864" s="9" t="str">
        <f aca="false">IF(NOT(ISNUMBER($K864)),"",PI()*($K864/2)^2)</f>
        <v/>
      </c>
      <c r="M864" s="9" t="str">
        <f aca="false">IF(OR(NOT(ISNUMBER($J864)),NOT(ISNUMBER($L864)),$L864=0),"",$J864/$L864*10000)</f>
        <v/>
      </c>
      <c r="N864" s="9" t="str">
        <f aca="false">IF(NOT(ISNUMBER($M864)),"",$M864*CARBON_FRACTION_ROOT/1000)</f>
        <v/>
      </c>
      <c r="O864" s="11" t="str">
        <f aca="false">IF(AND($A864="",$B864="",$G864=""),"",IF(AND($B864&lt;&gt;"",COUNTIFS('2. Soil Data'!$B$5:$B$604,$B864)=0),"Core ID not found in Soil Data, so the corer diameter cannot be looked up. ","")&amp;IF(ASH_CORRECTED&lt;&gt;"Yes","Root mass is NOT ash-corrected, so it includes adhering mineral soil and is too high. Set ASH_CORRECTED once you have done it. ","")&amp;IF(AND(ASH_CORRECTED="Yes",NOT(ISNUMBER($H864))),"Ash correction is switched on but no ash fraction is given for this row. ","")&amp;IF($I864="","Sieve mesh not recorded — a fine-root figure cannot be interpreted without it. ","")&amp;IF(AND(ISNUMBER($H864),$H864&gt;0.5),"Ash fraction above 0.5 — over half this sample was mineral soil. Re-wash. ","")&amp;IF($F864="Not separated","Live and dead not separated. Fine for a stock, but "&amp;"note it in reporting. ",""))</f>
        <v/>
      </c>
      <c r="P864" s="6"/>
      <c r="Q864" s="9" t="n">
        <f aca="false">IF($B864="",0,IF(COUNTIFS($B$5:$B864,$B864)=1,1,0))</f>
        <v>0</v>
      </c>
    </row>
    <row r="865" customFormat="false" ht="15" hidden="false" customHeight="false" outlineLevel="0" collapsed="false">
      <c r="A865" s="6"/>
      <c r="B865" s="6"/>
      <c r="C865" s="6"/>
      <c r="D865" s="6"/>
      <c r="E865" s="6"/>
      <c r="F865" s="6"/>
      <c r="G865" s="7"/>
      <c r="H865" s="7"/>
      <c r="I865" s="6"/>
      <c r="J865" s="9" t="str">
        <f aca="false">IF(NOT(ISNUMBER($G865)),"",IF(AND(ASH_CORRECTED="Yes",ISNUMBER($H865)),$G865*(1-$H865),$G865))</f>
        <v/>
      </c>
      <c r="K865" s="9" t="str">
        <f aca="false">IF($B865="","",IFERROR(AVERAGEIFS('2. Soil Data'!$G$5:$G$604,'2. Soil Data'!$B$5:$B$604,$B865),""))</f>
        <v/>
      </c>
      <c r="L865" s="9" t="str">
        <f aca="false">IF(NOT(ISNUMBER($K865)),"",PI()*($K865/2)^2)</f>
        <v/>
      </c>
      <c r="M865" s="9" t="str">
        <f aca="false">IF(OR(NOT(ISNUMBER($J865)),NOT(ISNUMBER($L865)),$L865=0),"",$J865/$L865*10000)</f>
        <v/>
      </c>
      <c r="N865" s="9" t="str">
        <f aca="false">IF(NOT(ISNUMBER($M865)),"",$M865*CARBON_FRACTION_ROOT/1000)</f>
        <v/>
      </c>
      <c r="O865" s="11" t="str">
        <f aca="false">IF(AND($A865="",$B865="",$G865=""),"",IF(AND($B865&lt;&gt;"",COUNTIFS('2. Soil Data'!$B$5:$B$604,$B865)=0),"Core ID not found in Soil Data, so the corer diameter cannot be looked up. ","")&amp;IF(ASH_CORRECTED&lt;&gt;"Yes","Root mass is NOT ash-corrected, so it includes adhering mineral soil and is too high. Set ASH_CORRECTED once you have done it. ","")&amp;IF(AND(ASH_CORRECTED="Yes",NOT(ISNUMBER($H865))),"Ash correction is switched on but no ash fraction is given for this row. ","")&amp;IF($I865="","Sieve mesh not recorded — a fine-root figure cannot be interpreted without it. ","")&amp;IF(AND(ISNUMBER($H865),$H865&gt;0.5),"Ash fraction above 0.5 — over half this sample was mineral soil. Re-wash. ","")&amp;IF($F865="Not separated","Live and dead not separated. Fine for a stock, but "&amp;"note it in reporting. ",""))</f>
        <v/>
      </c>
      <c r="P865" s="6"/>
      <c r="Q865" s="9" t="n">
        <f aca="false">IF($B865="",0,IF(COUNTIFS($B$5:$B865,$B865)=1,1,0))</f>
        <v>0</v>
      </c>
    </row>
    <row r="866" customFormat="false" ht="15" hidden="false" customHeight="false" outlineLevel="0" collapsed="false">
      <c r="A866" s="6"/>
      <c r="B866" s="6"/>
      <c r="C866" s="6"/>
      <c r="D866" s="6"/>
      <c r="E866" s="6"/>
      <c r="F866" s="6"/>
      <c r="G866" s="7"/>
      <c r="H866" s="7"/>
      <c r="I866" s="6"/>
      <c r="J866" s="9" t="str">
        <f aca="false">IF(NOT(ISNUMBER($G866)),"",IF(AND(ASH_CORRECTED="Yes",ISNUMBER($H866)),$G866*(1-$H866),$G866))</f>
        <v/>
      </c>
      <c r="K866" s="9" t="str">
        <f aca="false">IF($B866="","",IFERROR(AVERAGEIFS('2. Soil Data'!$G$5:$G$604,'2. Soil Data'!$B$5:$B$604,$B866),""))</f>
        <v/>
      </c>
      <c r="L866" s="9" t="str">
        <f aca="false">IF(NOT(ISNUMBER($K866)),"",PI()*($K866/2)^2)</f>
        <v/>
      </c>
      <c r="M866" s="9" t="str">
        <f aca="false">IF(OR(NOT(ISNUMBER($J866)),NOT(ISNUMBER($L866)),$L866=0),"",$J866/$L866*10000)</f>
        <v/>
      </c>
      <c r="N866" s="9" t="str">
        <f aca="false">IF(NOT(ISNUMBER($M866)),"",$M866*CARBON_FRACTION_ROOT/1000)</f>
        <v/>
      </c>
      <c r="O866" s="11" t="str">
        <f aca="false">IF(AND($A866="",$B866="",$G866=""),"",IF(AND($B866&lt;&gt;"",COUNTIFS('2. Soil Data'!$B$5:$B$604,$B866)=0),"Core ID not found in Soil Data, so the corer diameter cannot be looked up. ","")&amp;IF(ASH_CORRECTED&lt;&gt;"Yes","Root mass is NOT ash-corrected, so it includes adhering mineral soil and is too high. Set ASH_CORRECTED once you have done it. ","")&amp;IF(AND(ASH_CORRECTED="Yes",NOT(ISNUMBER($H866))),"Ash correction is switched on but no ash fraction is given for this row. ","")&amp;IF($I866="","Sieve mesh not recorded — a fine-root figure cannot be interpreted without it. ","")&amp;IF(AND(ISNUMBER($H866),$H866&gt;0.5),"Ash fraction above 0.5 — over half this sample was mineral soil. Re-wash. ","")&amp;IF($F866="Not separated","Live and dead not separated. Fine for a stock, but "&amp;"note it in reporting. ",""))</f>
        <v/>
      </c>
      <c r="P866" s="6"/>
      <c r="Q866" s="9" t="n">
        <f aca="false">IF($B866="",0,IF(COUNTIFS($B$5:$B866,$B866)=1,1,0))</f>
        <v>0</v>
      </c>
    </row>
    <row r="867" customFormat="false" ht="15" hidden="false" customHeight="false" outlineLevel="0" collapsed="false">
      <c r="A867" s="6"/>
      <c r="B867" s="6"/>
      <c r="C867" s="6"/>
      <c r="D867" s="6"/>
      <c r="E867" s="6"/>
      <c r="F867" s="6"/>
      <c r="G867" s="7"/>
      <c r="H867" s="7"/>
      <c r="I867" s="6"/>
      <c r="J867" s="9" t="str">
        <f aca="false">IF(NOT(ISNUMBER($G867)),"",IF(AND(ASH_CORRECTED="Yes",ISNUMBER($H867)),$G867*(1-$H867),$G867))</f>
        <v/>
      </c>
      <c r="K867" s="9" t="str">
        <f aca="false">IF($B867="","",IFERROR(AVERAGEIFS('2. Soil Data'!$G$5:$G$604,'2. Soil Data'!$B$5:$B$604,$B867),""))</f>
        <v/>
      </c>
      <c r="L867" s="9" t="str">
        <f aca="false">IF(NOT(ISNUMBER($K867)),"",PI()*($K867/2)^2)</f>
        <v/>
      </c>
      <c r="M867" s="9" t="str">
        <f aca="false">IF(OR(NOT(ISNUMBER($J867)),NOT(ISNUMBER($L867)),$L867=0),"",$J867/$L867*10000)</f>
        <v/>
      </c>
      <c r="N867" s="9" t="str">
        <f aca="false">IF(NOT(ISNUMBER($M867)),"",$M867*CARBON_FRACTION_ROOT/1000)</f>
        <v/>
      </c>
      <c r="O867" s="11" t="str">
        <f aca="false">IF(AND($A867="",$B867="",$G867=""),"",IF(AND($B867&lt;&gt;"",COUNTIFS('2. Soil Data'!$B$5:$B$604,$B867)=0),"Core ID not found in Soil Data, so the corer diameter cannot be looked up. ","")&amp;IF(ASH_CORRECTED&lt;&gt;"Yes","Root mass is NOT ash-corrected, so it includes adhering mineral soil and is too high. Set ASH_CORRECTED once you have done it. ","")&amp;IF(AND(ASH_CORRECTED="Yes",NOT(ISNUMBER($H867))),"Ash correction is switched on but no ash fraction is given for this row. ","")&amp;IF($I867="","Sieve mesh not recorded — a fine-root figure cannot be interpreted without it. ","")&amp;IF(AND(ISNUMBER($H867),$H867&gt;0.5),"Ash fraction above 0.5 — over half this sample was mineral soil. Re-wash. ","")&amp;IF($F867="Not separated","Live and dead not separated. Fine for a stock, but "&amp;"note it in reporting. ",""))</f>
        <v/>
      </c>
      <c r="P867" s="6"/>
      <c r="Q867" s="9" t="n">
        <f aca="false">IF($B867="",0,IF(COUNTIFS($B$5:$B867,$B867)=1,1,0))</f>
        <v>0</v>
      </c>
    </row>
    <row r="868" customFormat="false" ht="15" hidden="false" customHeight="false" outlineLevel="0" collapsed="false">
      <c r="A868" s="6"/>
      <c r="B868" s="6"/>
      <c r="C868" s="6"/>
      <c r="D868" s="6"/>
      <c r="E868" s="6"/>
      <c r="F868" s="6"/>
      <c r="G868" s="7"/>
      <c r="H868" s="7"/>
      <c r="I868" s="6"/>
      <c r="J868" s="9" t="str">
        <f aca="false">IF(NOT(ISNUMBER($G868)),"",IF(AND(ASH_CORRECTED="Yes",ISNUMBER($H868)),$G868*(1-$H868),$G868))</f>
        <v/>
      </c>
      <c r="K868" s="9" t="str">
        <f aca="false">IF($B868="","",IFERROR(AVERAGEIFS('2. Soil Data'!$G$5:$G$604,'2. Soil Data'!$B$5:$B$604,$B868),""))</f>
        <v/>
      </c>
      <c r="L868" s="9" t="str">
        <f aca="false">IF(NOT(ISNUMBER($K868)),"",PI()*($K868/2)^2)</f>
        <v/>
      </c>
      <c r="M868" s="9" t="str">
        <f aca="false">IF(OR(NOT(ISNUMBER($J868)),NOT(ISNUMBER($L868)),$L868=0),"",$J868/$L868*10000)</f>
        <v/>
      </c>
      <c r="N868" s="9" t="str">
        <f aca="false">IF(NOT(ISNUMBER($M868)),"",$M868*CARBON_FRACTION_ROOT/1000)</f>
        <v/>
      </c>
      <c r="O868" s="11" t="str">
        <f aca="false">IF(AND($A868="",$B868="",$G868=""),"",IF(AND($B868&lt;&gt;"",COUNTIFS('2. Soil Data'!$B$5:$B$604,$B868)=0),"Core ID not found in Soil Data, so the corer diameter cannot be looked up. ","")&amp;IF(ASH_CORRECTED&lt;&gt;"Yes","Root mass is NOT ash-corrected, so it includes adhering mineral soil and is too high. Set ASH_CORRECTED once you have done it. ","")&amp;IF(AND(ASH_CORRECTED="Yes",NOT(ISNUMBER($H868))),"Ash correction is switched on but no ash fraction is given for this row. ","")&amp;IF($I868="","Sieve mesh not recorded — a fine-root figure cannot be interpreted without it. ","")&amp;IF(AND(ISNUMBER($H868),$H868&gt;0.5),"Ash fraction above 0.5 — over half this sample was mineral soil. Re-wash. ","")&amp;IF($F868="Not separated","Live and dead not separated. Fine for a stock, but "&amp;"note it in reporting. ",""))</f>
        <v/>
      </c>
      <c r="P868" s="6"/>
      <c r="Q868" s="9" t="n">
        <f aca="false">IF($B868="",0,IF(COUNTIFS($B$5:$B868,$B868)=1,1,0))</f>
        <v>0</v>
      </c>
    </row>
    <row r="869" customFormat="false" ht="15" hidden="false" customHeight="false" outlineLevel="0" collapsed="false">
      <c r="A869" s="6"/>
      <c r="B869" s="6"/>
      <c r="C869" s="6"/>
      <c r="D869" s="6"/>
      <c r="E869" s="6"/>
      <c r="F869" s="6"/>
      <c r="G869" s="7"/>
      <c r="H869" s="7"/>
      <c r="I869" s="6"/>
      <c r="J869" s="9" t="str">
        <f aca="false">IF(NOT(ISNUMBER($G869)),"",IF(AND(ASH_CORRECTED="Yes",ISNUMBER($H869)),$G869*(1-$H869),$G869))</f>
        <v/>
      </c>
      <c r="K869" s="9" t="str">
        <f aca="false">IF($B869="","",IFERROR(AVERAGEIFS('2. Soil Data'!$G$5:$G$604,'2. Soil Data'!$B$5:$B$604,$B869),""))</f>
        <v/>
      </c>
      <c r="L869" s="9" t="str">
        <f aca="false">IF(NOT(ISNUMBER($K869)),"",PI()*($K869/2)^2)</f>
        <v/>
      </c>
      <c r="M869" s="9" t="str">
        <f aca="false">IF(OR(NOT(ISNUMBER($J869)),NOT(ISNUMBER($L869)),$L869=0),"",$J869/$L869*10000)</f>
        <v/>
      </c>
      <c r="N869" s="9" t="str">
        <f aca="false">IF(NOT(ISNUMBER($M869)),"",$M869*CARBON_FRACTION_ROOT/1000)</f>
        <v/>
      </c>
      <c r="O869" s="11" t="str">
        <f aca="false">IF(AND($A869="",$B869="",$G869=""),"",IF(AND($B869&lt;&gt;"",COUNTIFS('2. Soil Data'!$B$5:$B$604,$B869)=0),"Core ID not found in Soil Data, so the corer diameter cannot be looked up. ","")&amp;IF(ASH_CORRECTED&lt;&gt;"Yes","Root mass is NOT ash-corrected, so it includes adhering mineral soil and is too high. Set ASH_CORRECTED once you have done it. ","")&amp;IF(AND(ASH_CORRECTED="Yes",NOT(ISNUMBER($H869))),"Ash correction is switched on but no ash fraction is given for this row. ","")&amp;IF($I869="","Sieve mesh not recorded — a fine-root figure cannot be interpreted without it. ","")&amp;IF(AND(ISNUMBER($H869),$H869&gt;0.5),"Ash fraction above 0.5 — over half this sample was mineral soil. Re-wash. ","")&amp;IF($F869="Not separated","Live and dead not separated. Fine for a stock, but "&amp;"note it in reporting. ",""))</f>
        <v/>
      </c>
      <c r="P869" s="6"/>
      <c r="Q869" s="9" t="n">
        <f aca="false">IF($B869="",0,IF(COUNTIFS($B$5:$B869,$B869)=1,1,0))</f>
        <v>0</v>
      </c>
    </row>
    <row r="870" customFormat="false" ht="15" hidden="false" customHeight="false" outlineLevel="0" collapsed="false">
      <c r="A870" s="6"/>
      <c r="B870" s="6"/>
      <c r="C870" s="6"/>
      <c r="D870" s="6"/>
      <c r="E870" s="6"/>
      <c r="F870" s="6"/>
      <c r="G870" s="7"/>
      <c r="H870" s="7"/>
      <c r="I870" s="6"/>
      <c r="J870" s="9" t="str">
        <f aca="false">IF(NOT(ISNUMBER($G870)),"",IF(AND(ASH_CORRECTED="Yes",ISNUMBER($H870)),$G870*(1-$H870),$G870))</f>
        <v/>
      </c>
      <c r="K870" s="9" t="str">
        <f aca="false">IF($B870="","",IFERROR(AVERAGEIFS('2. Soil Data'!$G$5:$G$604,'2. Soil Data'!$B$5:$B$604,$B870),""))</f>
        <v/>
      </c>
      <c r="L870" s="9" t="str">
        <f aca="false">IF(NOT(ISNUMBER($K870)),"",PI()*($K870/2)^2)</f>
        <v/>
      </c>
      <c r="M870" s="9" t="str">
        <f aca="false">IF(OR(NOT(ISNUMBER($J870)),NOT(ISNUMBER($L870)),$L870=0),"",$J870/$L870*10000)</f>
        <v/>
      </c>
      <c r="N870" s="9" t="str">
        <f aca="false">IF(NOT(ISNUMBER($M870)),"",$M870*CARBON_FRACTION_ROOT/1000)</f>
        <v/>
      </c>
      <c r="O870" s="11" t="str">
        <f aca="false">IF(AND($A870="",$B870="",$G870=""),"",IF(AND($B870&lt;&gt;"",COUNTIFS('2. Soil Data'!$B$5:$B$604,$B870)=0),"Core ID not found in Soil Data, so the corer diameter cannot be looked up. ","")&amp;IF(ASH_CORRECTED&lt;&gt;"Yes","Root mass is NOT ash-corrected, so it includes adhering mineral soil and is too high. Set ASH_CORRECTED once you have done it. ","")&amp;IF(AND(ASH_CORRECTED="Yes",NOT(ISNUMBER($H870))),"Ash correction is switched on but no ash fraction is given for this row. ","")&amp;IF($I870="","Sieve mesh not recorded — a fine-root figure cannot be interpreted without it. ","")&amp;IF(AND(ISNUMBER($H870),$H870&gt;0.5),"Ash fraction above 0.5 — over half this sample was mineral soil. Re-wash. ","")&amp;IF($F870="Not separated","Live and dead not separated. Fine for a stock, but "&amp;"note it in reporting. ",""))</f>
        <v/>
      </c>
      <c r="P870" s="6"/>
      <c r="Q870" s="9" t="n">
        <f aca="false">IF($B870="",0,IF(COUNTIFS($B$5:$B870,$B870)=1,1,0))</f>
        <v>0</v>
      </c>
    </row>
    <row r="871" customFormat="false" ht="15" hidden="false" customHeight="false" outlineLevel="0" collapsed="false">
      <c r="A871" s="6"/>
      <c r="B871" s="6"/>
      <c r="C871" s="6"/>
      <c r="D871" s="6"/>
      <c r="E871" s="6"/>
      <c r="F871" s="6"/>
      <c r="G871" s="7"/>
      <c r="H871" s="7"/>
      <c r="I871" s="6"/>
      <c r="J871" s="9" t="str">
        <f aca="false">IF(NOT(ISNUMBER($G871)),"",IF(AND(ASH_CORRECTED="Yes",ISNUMBER($H871)),$G871*(1-$H871),$G871))</f>
        <v/>
      </c>
      <c r="K871" s="9" t="str">
        <f aca="false">IF($B871="","",IFERROR(AVERAGEIFS('2. Soil Data'!$G$5:$G$604,'2. Soil Data'!$B$5:$B$604,$B871),""))</f>
        <v/>
      </c>
      <c r="L871" s="9" t="str">
        <f aca="false">IF(NOT(ISNUMBER($K871)),"",PI()*($K871/2)^2)</f>
        <v/>
      </c>
      <c r="M871" s="9" t="str">
        <f aca="false">IF(OR(NOT(ISNUMBER($J871)),NOT(ISNUMBER($L871)),$L871=0),"",$J871/$L871*10000)</f>
        <v/>
      </c>
      <c r="N871" s="9" t="str">
        <f aca="false">IF(NOT(ISNUMBER($M871)),"",$M871*CARBON_FRACTION_ROOT/1000)</f>
        <v/>
      </c>
      <c r="O871" s="11" t="str">
        <f aca="false">IF(AND($A871="",$B871="",$G871=""),"",IF(AND($B871&lt;&gt;"",COUNTIFS('2. Soil Data'!$B$5:$B$604,$B871)=0),"Core ID not found in Soil Data, so the corer diameter cannot be looked up. ","")&amp;IF(ASH_CORRECTED&lt;&gt;"Yes","Root mass is NOT ash-corrected, so it includes adhering mineral soil and is too high. Set ASH_CORRECTED once you have done it. ","")&amp;IF(AND(ASH_CORRECTED="Yes",NOT(ISNUMBER($H871))),"Ash correction is switched on but no ash fraction is given for this row. ","")&amp;IF($I871="","Sieve mesh not recorded — a fine-root figure cannot be interpreted without it. ","")&amp;IF(AND(ISNUMBER($H871),$H871&gt;0.5),"Ash fraction above 0.5 — over half this sample was mineral soil. Re-wash. ","")&amp;IF($F871="Not separated","Live and dead not separated. Fine for a stock, but "&amp;"note it in reporting. ",""))</f>
        <v/>
      </c>
      <c r="P871" s="6"/>
      <c r="Q871" s="9" t="n">
        <f aca="false">IF($B871="",0,IF(COUNTIFS($B$5:$B871,$B871)=1,1,0))</f>
        <v>0</v>
      </c>
    </row>
    <row r="872" customFormat="false" ht="15" hidden="false" customHeight="false" outlineLevel="0" collapsed="false">
      <c r="A872" s="6"/>
      <c r="B872" s="6"/>
      <c r="C872" s="6"/>
      <c r="D872" s="6"/>
      <c r="E872" s="6"/>
      <c r="F872" s="6"/>
      <c r="G872" s="7"/>
      <c r="H872" s="7"/>
      <c r="I872" s="6"/>
      <c r="J872" s="9" t="str">
        <f aca="false">IF(NOT(ISNUMBER($G872)),"",IF(AND(ASH_CORRECTED="Yes",ISNUMBER($H872)),$G872*(1-$H872),$G872))</f>
        <v/>
      </c>
      <c r="K872" s="9" t="str">
        <f aca="false">IF($B872="","",IFERROR(AVERAGEIFS('2. Soil Data'!$G$5:$G$604,'2. Soil Data'!$B$5:$B$604,$B872),""))</f>
        <v/>
      </c>
      <c r="L872" s="9" t="str">
        <f aca="false">IF(NOT(ISNUMBER($K872)),"",PI()*($K872/2)^2)</f>
        <v/>
      </c>
      <c r="M872" s="9" t="str">
        <f aca="false">IF(OR(NOT(ISNUMBER($J872)),NOT(ISNUMBER($L872)),$L872=0),"",$J872/$L872*10000)</f>
        <v/>
      </c>
      <c r="N872" s="9" t="str">
        <f aca="false">IF(NOT(ISNUMBER($M872)),"",$M872*CARBON_FRACTION_ROOT/1000)</f>
        <v/>
      </c>
      <c r="O872" s="11" t="str">
        <f aca="false">IF(AND($A872="",$B872="",$G872=""),"",IF(AND($B872&lt;&gt;"",COUNTIFS('2. Soil Data'!$B$5:$B$604,$B872)=0),"Core ID not found in Soil Data, so the corer diameter cannot be looked up. ","")&amp;IF(ASH_CORRECTED&lt;&gt;"Yes","Root mass is NOT ash-corrected, so it includes adhering mineral soil and is too high. Set ASH_CORRECTED once you have done it. ","")&amp;IF(AND(ASH_CORRECTED="Yes",NOT(ISNUMBER($H872))),"Ash correction is switched on but no ash fraction is given for this row. ","")&amp;IF($I872="","Sieve mesh not recorded — a fine-root figure cannot be interpreted without it. ","")&amp;IF(AND(ISNUMBER($H872),$H872&gt;0.5),"Ash fraction above 0.5 — over half this sample was mineral soil. Re-wash. ","")&amp;IF($F872="Not separated","Live and dead not separated. Fine for a stock, but "&amp;"note it in reporting. ",""))</f>
        <v/>
      </c>
      <c r="P872" s="6"/>
      <c r="Q872" s="9" t="n">
        <f aca="false">IF($B872="",0,IF(COUNTIFS($B$5:$B872,$B872)=1,1,0))</f>
        <v>0</v>
      </c>
    </row>
    <row r="873" customFormat="false" ht="15" hidden="false" customHeight="false" outlineLevel="0" collapsed="false">
      <c r="A873" s="6"/>
      <c r="B873" s="6"/>
      <c r="C873" s="6"/>
      <c r="D873" s="6"/>
      <c r="E873" s="6"/>
      <c r="F873" s="6"/>
      <c r="G873" s="7"/>
      <c r="H873" s="7"/>
      <c r="I873" s="6"/>
      <c r="J873" s="9" t="str">
        <f aca="false">IF(NOT(ISNUMBER($G873)),"",IF(AND(ASH_CORRECTED="Yes",ISNUMBER($H873)),$G873*(1-$H873),$G873))</f>
        <v/>
      </c>
      <c r="K873" s="9" t="str">
        <f aca="false">IF($B873="","",IFERROR(AVERAGEIFS('2. Soil Data'!$G$5:$G$604,'2. Soil Data'!$B$5:$B$604,$B873),""))</f>
        <v/>
      </c>
      <c r="L873" s="9" t="str">
        <f aca="false">IF(NOT(ISNUMBER($K873)),"",PI()*($K873/2)^2)</f>
        <v/>
      </c>
      <c r="M873" s="9" t="str">
        <f aca="false">IF(OR(NOT(ISNUMBER($J873)),NOT(ISNUMBER($L873)),$L873=0),"",$J873/$L873*10000)</f>
        <v/>
      </c>
      <c r="N873" s="9" t="str">
        <f aca="false">IF(NOT(ISNUMBER($M873)),"",$M873*CARBON_FRACTION_ROOT/1000)</f>
        <v/>
      </c>
      <c r="O873" s="11" t="str">
        <f aca="false">IF(AND($A873="",$B873="",$G873=""),"",IF(AND($B873&lt;&gt;"",COUNTIFS('2. Soil Data'!$B$5:$B$604,$B873)=0),"Core ID not found in Soil Data, so the corer diameter cannot be looked up. ","")&amp;IF(ASH_CORRECTED&lt;&gt;"Yes","Root mass is NOT ash-corrected, so it includes adhering mineral soil and is too high. Set ASH_CORRECTED once you have done it. ","")&amp;IF(AND(ASH_CORRECTED="Yes",NOT(ISNUMBER($H873))),"Ash correction is switched on but no ash fraction is given for this row. ","")&amp;IF($I873="","Sieve mesh not recorded — a fine-root figure cannot be interpreted without it. ","")&amp;IF(AND(ISNUMBER($H873),$H873&gt;0.5),"Ash fraction above 0.5 — over half this sample was mineral soil. Re-wash. ","")&amp;IF($F873="Not separated","Live and dead not separated. Fine for a stock, but "&amp;"note it in reporting. ",""))</f>
        <v/>
      </c>
      <c r="P873" s="6"/>
      <c r="Q873" s="9" t="n">
        <f aca="false">IF($B873="",0,IF(COUNTIFS($B$5:$B873,$B873)=1,1,0))</f>
        <v>0</v>
      </c>
    </row>
    <row r="874" customFormat="false" ht="15" hidden="false" customHeight="false" outlineLevel="0" collapsed="false">
      <c r="A874" s="6"/>
      <c r="B874" s="6"/>
      <c r="C874" s="6"/>
      <c r="D874" s="6"/>
      <c r="E874" s="6"/>
      <c r="F874" s="6"/>
      <c r="G874" s="7"/>
      <c r="H874" s="7"/>
      <c r="I874" s="6"/>
      <c r="J874" s="9" t="str">
        <f aca="false">IF(NOT(ISNUMBER($G874)),"",IF(AND(ASH_CORRECTED="Yes",ISNUMBER($H874)),$G874*(1-$H874),$G874))</f>
        <v/>
      </c>
      <c r="K874" s="9" t="str">
        <f aca="false">IF($B874="","",IFERROR(AVERAGEIFS('2. Soil Data'!$G$5:$G$604,'2. Soil Data'!$B$5:$B$604,$B874),""))</f>
        <v/>
      </c>
      <c r="L874" s="9" t="str">
        <f aca="false">IF(NOT(ISNUMBER($K874)),"",PI()*($K874/2)^2)</f>
        <v/>
      </c>
      <c r="M874" s="9" t="str">
        <f aca="false">IF(OR(NOT(ISNUMBER($J874)),NOT(ISNUMBER($L874)),$L874=0),"",$J874/$L874*10000)</f>
        <v/>
      </c>
      <c r="N874" s="9" t="str">
        <f aca="false">IF(NOT(ISNUMBER($M874)),"",$M874*CARBON_FRACTION_ROOT/1000)</f>
        <v/>
      </c>
      <c r="O874" s="11" t="str">
        <f aca="false">IF(AND($A874="",$B874="",$G874=""),"",IF(AND($B874&lt;&gt;"",COUNTIFS('2. Soil Data'!$B$5:$B$604,$B874)=0),"Core ID not found in Soil Data, so the corer diameter cannot be looked up. ","")&amp;IF(ASH_CORRECTED&lt;&gt;"Yes","Root mass is NOT ash-corrected, so it includes adhering mineral soil and is too high. Set ASH_CORRECTED once you have done it. ","")&amp;IF(AND(ASH_CORRECTED="Yes",NOT(ISNUMBER($H874))),"Ash correction is switched on but no ash fraction is given for this row. ","")&amp;IF($I874="","Sieve mesh not recorded — a fine-root figure cannot be interpreted without it. ","")&amp;IF(AND(ISNUMBER($H874),$H874&gt;0.5),"Ash fraction above 0.5 — over half this sample was mineral soil. Re-wash. ","")&amp;IF($F874="Not separated","Live and dead not separated. Fine for a stock, but "&amp;"note it in reporting. ",""))</f>
        <v/>
      </c>
      <c r="P874" s="6"/>
      <c r="Q874" s="9" t="n">
        <f aca="false">IF($B874="",0,IF(COUNTIFS($B$5:$B874,$B874)=1,1,0))</f>
        <v>0</v>
      </c>
    </row>
    <row r="875" customFormat="false" ht="15" hidden="false" customHeight="false" outlineLevel="0" collapsed="false">
      <c r="A875" s="6"/>
      <c r="B875" s="6"/>
      <c r="C875" s="6"/>
      <c r="D875" s="6"/>
      <c r="E875" s="6"/>
      <c r="F875" s="6"/>
      <c r="G875" s="7"/>
      <c r="H875" s="7"/>
      <c r="I875" s="6"/>
      <c r="J875" s="9" t="str">
        <f aca="false">IF(NOT(ISNUMBER($G875)),"",IF(AND(ASH_CORRECTED="Yes",ISNUMBER($H875)),$G875*(1-$H875),$G875))</f>
        <v/>
      </c>
      <c r="K875" s="9" t="str">
        <f aca="false">IF($B875="","",IFERROR(AVERAGEIFS('2. Soil Data'!$G$5:$G$604,'2. Soil Data'!$B$5:$B$604,$B875),""))</f>
        <v/>
      </c>
      <c r="L875" s="9" t="str">
        <f aca="false">IF(NOT(ISNUMBER($K875)),"",PI()*($K875/2)^2)</f>
        <v/>
      </c>
      <c r="M875" s="9" t="str">
        <f aca="false">IF(OR(NOT(ISNUMBER($J875)),NOT(ISNUMBER($L875)),$L875=0),"",$J875/$L875*10000)</f>
        <v/>
      </c>
      <c r="N875" s="9" t="str">
        <f aca="false">IF(NOT(ISNUMBER($M875)),"",$M875*CARBON_FRACTION_ROOT/1000)</f>
        <v/>
      </c>
      <c r="O875" s="11" t="str">
        <f aca="false">IF(AND($A875="",$B875="",$G875=""),"",IF(AND($B875&lt;&gt;"",COUNTIFS('2. Soil Data'!$B$5:$B$604,$B875)=0),"Core ID not found in Soil Data, so the corer diameter cannot be looked up. ","")&amp;IF(ASH_CORRECTED&lt;&gt;"Yes","Root mass is NOT ash-corrected, so it includes adhering mineral soil and is too high. Set ASH_CORRECTED once you have done it. ","")&amp;IF(AND(ASH_CORRECTED="Yes",NOT(ISNUMBER($H875))),"Ash correction is switched on but no ash fraction is given for this row. ","")&amp;IF($I875="","Sieve mesh not recorded — a fine-root figure cannot be interpreted without it. ","")&amp;IF(AND(ISNUMBER($H875),$H875&gt;0.5),"Ash fraction above 0.5 — over half this sample was mineral soil. Re-wash. ","")&amp;IF($F875="Not separated","Live and dead not separated. Fine for a stock, but "&amp;"note it in reporting. ",""))</f>
        <v/>
      </c>
      <c r="P875" s="6"/>
      <c r="Q875" s="9" t="n">
        <f aca="false">IF($B875="",0,IF(COUNTIFS($B$5:$B875,$B875)=1,1,0))</f>
        <v>0</v>
      </c>
    </row>
    <row r="876" customFormat="false" ht="15" hidden="false" customHeight="false" outlineLevel="0" collapsed="false">
      <c r="A876" s="6"/>
      <c r="B876" s="6"/>
      <c r="C876" s="6"/>
      <c r="D876" s="6"/>
      <c r="E876" s="6"/>
      <c r="F876" s="6"/>
      <c r="G876" s="7"/>
      <c r="H876" s="7"/>
      <c r="I876" s="6"/>
      <c r="J876" s="9" t="str">
        <f aca="false">IF(NOT(ISNUMBER($G876)),"",IF(AND(ASH_CORRECTED="Yes",ISNUMBER($H876)),$G876*(1-$H876),$G876))</f>
        <v/>
      </c>
      <c r="K876" s="9" t="str">
        <f aca="false">IF($B876="","",IFERROR(AVERAGEIFS('2. Soil Data'!$G$5:$G$604,'2. Soil Data'!$B$5:$B$604,$B876),""))</f>
        <v/>
      </c>
      <c r="L876" s="9" t="str">
        <f aca="false">IF(NOT(ISNUMBER($K876)),"",PI()*($K876/2)^2)</f>
        <v/>
      </c>
      <c r="M876" s="9" t="str">
        <f aca="false">IF(OR(NOT(ISNUMBER($J876)),NOT(ISNUMBER($L876)),$L876=0),"",$J876/$L876*10000)</f>
        <v/>
      </c>
      <c r="N876" s="9" t="str">
        <f aca="false">IF(NOT(ISNUMBER($M876)),"",$M876*CARBON_FRACTION_ROOT/1000)</f>
        <v/>
      </c>
      <c r="O876" s="11" t="str">
        <f aca="false">IF(AND($A876="",$B876="",$G876=""),"",IF(AND($B876&lt;&gt;"",COUNTIFS('2. Soil Data'!$B$5:$B$604,$B876)=0),"Core ID not found in Soil Data, so the corer diameter cannot be looked up. ","")&amp;IF(ASH_CORRECTED&lt;&gt;"Yes","Root mass is NOT ash-corrected, so it includes adhering mineral soil and is too high. Set ASH_CORRECTED once you have done it. ","")&amp;IF(AND(ASH_CORRECTED="Yes",NOT(ISNUMBER($H876))),"Ash correction is switched on but no ash fraction is given for this row. ","")&amp;IF($I876="","Sieve mesh not recorded — a fine-root figure cannot be interpreted without it. ","")&amp;IF(AND(ISNUMBER($H876),$H876&gt;0.5),"Ash fraction above 0.5 — over half this sample was mineral soil. Re-wash. ","")&amp;IF($F876="Not separated","Live and dead not separated. Fine for a stock, but "&amp;"note it in reporting. ",""))</f>
        <v/>
      </c>
      <c r="P876" s="6"/>
      <c r="Q876" s="9" t="n">
        <f aca="false">IF($B876="",0,IF(COUNTIFS($B$5:$B876,$B876)=1,1,0))</f>
        <v>0</v>
      </c>
    </row>
    <row r="877" customFormat="false" ht="15" hidden="false" customHeight="false" outlineLevel="0" collapsed="false">
      <c r="A877" s="6"/>
      <c r="B877" s="6"/>
      <c r="C877" s="6"/>
      <c r="D877" s="6"/>
      <c r="E877" s="6"/>
      <c r="F877" s="6"/>
      <c r="G877" s="7"/>
      <c r="H877" s="7"/>
      <c r="I877" s="6"/>
      <c r="J877" s="9" t="str">
        <f aca="false">IF(NOT(ISNUMBER($G877)),"",IF(AND(ASH_CORRECTED="Yes",ISNUMBER($H877)),$G877*(1-$H877),$G877))</f>
        <v/>
      </c>
      <c r="K877" s="9" t="str">
        <f aca="false">IF($B877="","",IFERROR(AVERAGEIFS('2. Soil Data'!$G$5:$G$604,'2. Soil Data'!$B$5:$B$604,$B877),""))</f>
        <v/>
      </c>
      <c r="L877" s="9" t="str">
        <f aca="false">IF(NOT(ISNUMBER($K877)),"",PI()*($K877/2)^2)</f>
        <v/>
      </c>
      <c r="M877" s="9" t="str">
        <f aca="false">IF(OR(NOT(ISNUMBER($J877)),NOT(ISNUMBER($L877)),$L877=0),"",$J877/$L877*10000)</f>
        <v/>
      </c>
      <c r="N877" s="9" t="str">
        <f aca="false">IF(NOT(ISNUMBER($M877)),"",$M877*CARBON_FRACTION_ROOT/1000)</f>
        <v/>
      </c>
      <c r="O877" s="11" t="str">
        <f aca="false">IF(AND($A877="",$B877="",$G877=""),"",IF(AND($B877&lt;&gt;"",COUNTIFS('2. Soil Data'!$B$5:$B$604,$B877)=0),"Core ID not found in Soil Data, so the corer diameter cannot be looked up. ","")&amp;IF(ASH_CORRECTED&lt;&gt;"Yes","Root mass is NOT ash-corrected, so it includes adhering mineral soil and is too high. Set ASH_CORRECTED once you have done it. ","")&amp;IF(AND(ASH_CORRECTED="Yes",NOT(ISNUMBER($H877))),"Ash correction is switched on but no ash fraction is given for this row. ","")&amp;IF($I877="","Sieve mesh not recorded — a fine-root figure cannot be interpreted without it. ","")&amp;IF(AND(ISNUMBER($H877),$H877&gt;0.5),"Ash fraction above 0.5 — over half this sample was mineral soil. Re-wash. ","")&amp;IF($F877="Not separated","Live and dead not separated. Fine for a stock, but "&amp;"note it in reporting. ",""))</f>
        <v/>
      </c>
      <c r="P877" s="6"/>
      <c r="Q877" s="9" t="n">
        <f aca="false">IF($B877="",0,IF(COUNTIFS($B$5:$B877,$B877)=1,1,0))</f>
        <v>0</v>
      </c>
    </row>
    <row r="878" customFormat="false" ht="15" hidden="false" customHeight="false" outlineLevel="0" collapsed="false">
      <c r="A878" s="6"/>
      <c r="B878" s="6"/>
      <c r="C878" s="6"/>
      <c r="D878" s="6"/>
      <c r="E878" s="6"/>
      <c r="F878" s="6"/>
      <c r="G878" s="7"/>
      <c r="H878" s="7"/>
      <c r="I878" s="6"/>
      <c r="J878" s="9" t="str">
        <f aca="false">IF(NOT(ISNUMBER($G878)),"",IF(AND(ASH_CORRECTED="Yes",ISNUMBER($H878)),$G878*(1-$H878),$G878))</f>
        <v/>
      </c>
      <c r="K878" s="9" t="str">
        <f aca="false">IF($B878="","",IFERROR(AVERAGEIFS('2. Soil Data'!$G$5:$G$604,'2. Soil Data'!$B$5:$B$604,$B878),""))</f>
        <v/>
      </c>
      <c r="L878" s="9" t="str">
        <f aca="false">IF(NOT(ISNUMBER($K878)),"",PI()*($K878/2)^2)</f>
        <v/>
      </c>
      <c r="M878" s="9" t="str">
        <f aca="false">IF(OR(NOT(ISNUMBER($J878)),NOT(ISNUMBER($L878)),$L878=0),"",$J878/$L878*10000)</f>
        <v/>
      </c>
      <c r="N878" s="9" t="str">
        <f aca="false">IF(NOT(ISNUMBER($M878)),"",$M878*CARBON_FRACTION_ROOT/1000)</f>
        <v/>
      </c>
      <c r="O878" s="11" t="str">
        <f aca="false">IF(AND($A878="",$B878="",$G878=""),"",IF(AND($B878&lt;&gt;"",COUNTIFS('2. Soil Data'!$B$5:$B$604,$B878)=0),"Core ID not found in Soil Data, so the corer diameter cannot be looked up. ","")&amp;IF(ASH_CORRECTED&lt;&gt;"Yes","Root mass is NOT ash-corrected, so it includes adhering mineral soil and is too high. Set ASH_CORRECTED once you have done it. ","")&amp;IF(AND(ASH_CORRECTED="Yes",NOT(ISNUMBER($H878))),"Ash correction is switched on but no ash fraction is given for this row. ","")&amp;IF($I878="","Sieve mesh not recorded — a fine-root figure cannot be interpreted without it. ","")&amp;IF(AND(ISNUMBER($H878),$H878&gt;0.5),"Ash fraction above 0.5 — over half this sample was mineral soil. Re-wash. ","")&amp;IF($F878="Not separated","Live and dead not separated. Fine for a stock, but "&amp;"note it in reporting. ",""))</f>
        <v/>
      </c>
      <c r="P878" s="6"/>
      <c r="Q878" s="9" t="n">
        <f aca="false">IF($B878="",0,IF(COUNTIFS($B$5:$B878,$B878)=1,1,0))</f>
        <v>0</v>
      </c>
    </row>
    <row r="879" customFormat="false" ht="15" hidden="false" customHeight="false" outlineLevel="0" collapsed="false">
      <c r="A879" s="6"/>
      <c r="B879" s="6"/>
      <c r="C879" s="6"/>
      <c r="D879" s="6"/>
      <c r="E879" s="6"/>
      <c r="F879" s="6"/>
      <c r="G879" s="7"/>
      <c r="H879" s="7"/>
      <c r="I879" s="6"/>
      <c r="J879" s="9" t="str">
        <f aca="false">IF(NOT(ISNUMBER($G879)),"",IF(AND(ASH_CORRECTED="Yes",ISNUMBER($H879)),$G879*(1-$H879),$G879))</f>
        <v/>
      </c>
      <c r="K879" s="9" t="str">
        <f aca="false">IF($B879="","",IFERROR(AVERAGEIFS('2. Soil Data'!$G$5:$G$604,'2. Soil Data'!$B$5:$B$604,$B879),""))</f>
        <v/>
      </c>
      <c r="L879" s="9" t="str">
        <f aca="false">IF(NOT(ISNUMBER($K879)),"",PI()*($K879/2)^2)</f>
        <v/>
      </c>
      <c r="M879" s="9" t="str">
        <f aca="false">IF(OR(NOT(ISNUMBER($J879)),NOT(ISNUMBER($L879)),$L879=0),"",$J879/$L879*10000)</f>
        <v/>
      </c>
      <c r="N879" s="9" t="str">
        <f aca="false">IF(NOT(ISNUMBER($M879)),"",$M879*CARBON_FRACTION_ROOT/1000)</f>
        <v/>
      </c>
      <c r="O879" s="11" t="str">
        <f aca="false">IF(AND($A879="",$B879="",$G879=""),"",IF(AND($B879&lt;&gt;"",COUNTIFS('2. Soil Data'!$B$5:$B$604,$B879)=0),"Core ID not found in Soil Data, so the corer diameter cannot be looked up. ","")&amp;IF(ASH_CORRECTED&lt;&gt;"Yes","Root mass is NOT ash-corrected, so it includes adhering mineral soil and is too high. Set ASH_CORRECTED once you have done it. ","")&amp;IF(AND(ASH_CORRECTED="Yes",NOT(ISNUMBER($H879))),"Ash correction is switched on but no ash fraction is given for this row. ","")&amp;IF($I879="","Sieve mesh not recorded — a fine-root figure cannot be interpreted without it. ","")&amp;IF(AND(ISNUMBER($H879),$H879&gt;0.5),"Ash fraction above 0.5 — over half this sample was mineral soil. Re-wash. ","")&amp;IF($F879="Not separated","Live and dead not separated. Fine for a stock, but "&amp;"note it in reporting. ",""))</f>
        <v/>
      </c>
      <c r="P879" s="6"/>
      <c r="Q879" s="9" t="n">
        <f aca="false">IF($B879="",0,IF(COUNTIFS($B$5:$B879,$B879)=1,1,0))</f>
        <v>0</v>
      </c>
    </row>
    <row r="880" customFormat="false" ht="15" hidden="false" customHeight="false" outlineLevel="0" collapsed="false">
      <c r="A880" s="6"/>
      <c r="B880" s="6"/>
      <c r="C880" s="6"/>
      <c r="D880" s="6"/>
      <c r="E880" s="6"/>
      <c r="F880" s="6"/>
      <c r="G880" s="7"/>
      <c r="H880" s="7"/>
      <c r="I880" s="6"/>
      <c r="J880" s="9" t="str">
        <f aca="false">IF(NOT(ISNUMBER($G880)),"",IF(AND(ASH_CORRECTED="Yes",ISNUMBER($H880)),$G880*(1-$H880),$G880))</f>
        <v/>
      </c>
      <c r="K880" s="9" t="str">
        <f aca="false">IF($B880="","",IFERROR(AVERAGEIFS('2. Soil Data'!$G$5:$G$604,'2. Soil Data'!$B$5:$B$604,$B880),""))</f>
        <v/>
      </c>
      <c r="L880" s="9" t="str">
        <f aca="false">IF(NOT(ISNUMBER($K880)),"",PI()*($K880/2)^2)</f>
        <v/>
      </c>
      <c r="M880" s="9" t="str">
        <f aca="false">IF(OR(NOT(ISNUMBER($J880)),NOT(ISNUMBER($L880)),$L880=0),"",$J880/$L880*10000)</f>
        <v/>
      </c>
      <c r="N880" s="9" t="str">
        <f aca="false">IF(NOT(ISNUMBER($M880)),"",$M880*CARBON_FRACTION_ROOT/1000)</f>
        <v/>
      </c>
      <c r="O880" s="11" t="str">
        <f aca="false">IF(AND($A880="",$B880="",$G880=""),"",IF(AND($B880&lt;&gt;"",COUNTIFS('2. Soil Data'!$B$5:$B$604,$B880)=0),"Core ID not found in Soil Data, so the corer diameter cannot be looked up. ","")&amp;IF(ASH_CORRECTED&lt;&gt;"Yes","Root mass is NOT ash-corrected, so it includes adhering mineral soil and is too high. Set ASH_CORRECTED once you have done it. ","")&amp;IF(AND(ASH_CORRECTED="Yes",NOT(ISNUMBER($H880))),"Ash correction is switched on but no ash fraction is given for this row. ","")&amp;IF($I880="","Sieve mesh not recorded — a fine-root figure cannot be interpreted without it. ","")&amp;IF(AND(ISNUMBER($H880),$H880&gt;0.5),"Ash fraction above 0.5 — over half this sample was mineral soil. Re-wash. ","")&amp;IF($F880="Not separated","Live and dead not separated. Fine for a stock, but "&amp;"note it in reporting. ",""))</f>
        <v/>
      </c>
      <c r="P880" s="6"/>
      <c r="Q880" s="9" t="n">
        <f aca="false">IF($B880="",0,IF(COUNTIFS($B$5:$B880,$B880)=1,1,0))</f>
        <v>0</v>
      </c>
    </row>
    <row r="881" customFormat="false" ht="15" hidden="false" customHeight="false" outlineLevel="0" collapsed="false">
      <c r="A881" s="6"/>
      <c r="B881" s="6"/>
      <c r="C881" s="6"/>
      <c r="D881" s="6"/>
      <c r="E881" s="6"/>
      <c r="F881" s="6"/>
      <c r="G881" s="7"/>
      <c r="H881" s="7"/>
      <c r="I881" s="6"/>
      <c r="J881" s="9" t="str">
        <f aca="false">IF(NOT(ISNUMBER($G881)),"",IF(AND(ASH_CORRECTED="Yes",ISNUMBER($H881)),$G881*(1-$H881),$G881))</f>
        <v/>
      </c>
      <c r="K881" s="9" t="str">
        <f aca="false">IF($B881="","",IFERROR(AVERAGEIFS('2. Soil Data'!$G$5:$G$604,'2. Soil Data'!$B$5:$B$604,$B881),""))</f>
        <v/>
      </c>
      <c r="L881" s="9" t="str">
        <f aca="false">IF(NOT(ISNUMBER($K881)),"",PI()*($K881/2)^2)</f>
        <v/>
      </c>
      <c r="M881" s="9" t="str">
        <f aca="false">IF(OR(NOT(ISNUMBER($J881)),NOT(ISNUMBER($L881)),$L881=0),"",$J881/$L881*10000)</f>
        <v/>
      </c>
      <c r="N881" s="9" t="str">
        <f aca="false">IF(NOT(ISNUMBER($M881)),"",$M881*CARBON_FRACTION_ROOT/1000)</f>
        <v/>
      </c>
      <c r="O881" s="11" t="str">
        <f aca="false">IF(AND($A881="",$B881="",$G881=""),"",IF(AND($B881&lt;&gt;"",COUNTIFS('2. Soil Data'!$B$5:$B$604,$B881)=0),"Core ID not found in Soil Data, so the corer diameter cannot be looked up. ","")&amp;IF(ASH_CORRECTED&lt;&gt;"Yes","Root mass is NOT ash-corrected, so it includes adhering mineral soil and is too high. Set ASH_CORRECTED once you have done it. ","")&amp;IF(AND(ASH_CORRECTED="Yes",NOT(ISNUMBER($H881))),"Ash correction is switched on but no ash fraction is given for this row. ","")&amp;IF($I881="","Sieve mesh not recorded — a fine-root figure cannot be interpreted without it. ","")&amp;IF(AND(ISNUMBER($H881),$H881&gt;0.5),"Ash fraction above 0.5 — over half this sample was mineral soil. Re-wash. ","")&amp;IF($F881="Not separated","Live and dead not separated. Fine for a stock, but "&amp;"note it in reporting. ",""))</f>
        <v/>
      </c>
      <c r="P881" s="6"/>
      <c r="Q881" s="9" t="n">
        <f aca="false">IF($B881="",0,IF(COUNTIFS($B$5:$B881,$B881)=1,1,0))</f>
        <v>0</v>
      </c>
    </row>
    <row r="882" customFormat="false" ht="15" hidden="false" customHeight="false" outlineLevel="0" collapsed="false">
      <c r="A882" s="6"/>
      <c r="B882" s="6"/>
      <c r="C882" s="6"/>
      <c r="D882" s="6"/>
      <c r="E882" s="6"/>
      <c r="F882" s="6"/>
      <c r="G882" s="7"/>
      <c r="H882" s="7"/>
      <c r="I882" s="6"/>
      <c r="J882" s="9" t="str">
        <f aca="false">IF(NOT(ISNUMBER($G882)),"",IF(AND(ASH_CORRECTED="Yes",ISNUMBER($H882)),$G882*(1-$H882),$G882))</f>
        <v/>
      </c>
      <c r="K882" s="9" t="str">
        <f aca="false">IF($B882="","",IFERROR(AVERAGEIFS('2. Soil Data'!$G$5:$G$604,'2. Soil Data'!$B$5:$B$604,$B882),""))</f>
        <v/>
      </c>
      <c r="L882" s="9" t="str">
        <f aca="false">IF(NOT(ISNUMBER($K882)),"",PI()*($K882/2)^2)</f>
        <v/>
      </c>
      <c r="M882" s="9" t="str">
        <f aca="false">IF(OR(NOT(ISNUMBER($J882)),NOT(ISNUMBER($L882)),$L882=0),"",$J882/$L882*10000)</f>
        <v/>
      </c>
      <c r="N882" s="9" t="str">
        <f aca="false">IF(NOT(ISNUMBER($M882)),"",$M882*CARBON_FRACTION_ROOT/1000)</f>
        <v/>
      </c>
      <c r="O882" s="11" t="str">
        <f aca="false">IF(AND($A882="",$B882="",$G882=""),"",IF(AND($B882&lt;&gt;"",COUNTIFS('2. Soil Data'!$B$5:$B$604,$B882)=0),"Core ID not found in Soil Data, so the corer diameter cannot be looked up. ","")&amp;IF(ASH_CORRECTED&lt;&gt;"Yes","Root mass is NOT ash-corrected, so it includes adhering mineral soil and is too high. Set ASH_CORRECTED once you have done it. ","")&amp;IF(AND(ASH_CORRECTED="Yes",NOT(ISNUMBER($H882))),"Ash correction is switched on but no ash fraction is given for this row. ","")&amp;IF($I882="","Sieve mesh not recorded — a fine-root figure cannot be interpreted without it. ","")&amp;IF(AND(ISNUMBER($H882),$H882&gt;0.5),"Ash fraction above 0.5 — over half this sample was mineral soil. Re-wash. ","")&amp;IF($F882="Not separated","Live and dead not separated. Fine for a stock, but "&amp;"note it in reporting. ",""))</f>
        <v/>
      </c>
      <c r="P882" s="6"/>
      <c r="Q882" s="9" t="n">
        <f aca="false">IF($B882="",0,IF(COUNTIFS($B$5:$B882,$B882)=1,1,0))</f>
        <v>0</v>
      </c>
    </row>
    <row r="883" customFormat="false" ht="15" hidden="false" customHeight="false" outlineLevel="0" collapsed="false">
      <c r="A883" s="6"/>
      <c r="B883" s="6"/>
      <c r="C883" s="6"/>
      <c r="D883" s="6"/>
      <c r="E883" s="6"/>
      <c r="F883" s="6"/>
      <c r="G883" s="7"/>
      <c r="H883" s="7"/>
      <c r="I883" s="6"/>
      <c r="J883" s="9" t="str">
        <f aca="false">IF(NOT(ISNUMBER($G883)),"",IF(AND(ASH_CORRECTED="Yes",ISNUMBER($H883)),$G883*(1-$H883),$G883))</f>
        <v/>
      </c>
      <c r="K883" s="9" t="str">
        <f aca="false">IF($B883="","",IFERROR(AVERAGEIFS('2. Soil Data'!$G$5:$G$604,'2. Soil Data'!$B$5:$B$604,$B883),""))</f>
        <v/>
      </c>
      <c r="L883" s="9" t="str">
        <f aca="false">IF(NOT(ISNUMBER($K883)),"",PI()*($K883/2)^2)</f>
        <v/>
      </c>
      <c r="M883" s="9" t="str">
        <f aca="false">IF(OR(NOT(ISNUMBER($J883)),NOT(ISNUMBER($L883)),$L883=0),"",$J883/$L883*10000)</f>
        <v/>
      </c>
      <c r="N883" s="9" t="str">
        <f aca="false">IF(NOT(ISNUMBER($M883)),"",$M883*CARBON_FRACTION_ROOT/1000)</f>
        <v/>
      </c>
      <c r="O883" s="11" t="str">
        <f aca="false">IF(AND($A883="",$B883="",$G883=""),"",IF(AND($B883&lt;&gt;"",COUNTIFS('2. Soil Data'!$B$5:$B$604,$B883)=0),"Core ID not found in Soil Data, so the corer diameter cannot be looked up. ","")&amp;IF(ASH_CORRECTED&lt;&gt;"Yes","Root mass is NOT ash-corrected, so it includes adhering mineral soil and is too high. Set ASH_CORRECTED once you have done it. ","")&amp;IF(AND(ASH_CORRECTED="Yes",NOT(ISNUMBER($H883))),"Ash correction is switched on but no ash fraction is given for this row. ","")&amp;IF($I883="","Sieve mesh not recorded — a fine-root figure cannot be interpreted without it. ","")&amp;IF(AND(ISNUMBER($H883),$H883&gt;0.5),"Ash fraction above 0.5 — over half this sample was mineral soil. Re-wash. ","")&amp;IF($F883="Not separated","Live and dead not separated. Fine for a stock, but "&amp;"note it in reporting. ",""))</f>
        <v/>
      </c>
      <c r="P883" s="6"/>
      <c r="Q883" s="9" t="n">
        <f aca="false">IF($B883="",0,IF(COUNTIFS($B$5:$B883,$B883)=1,1,0))</f>
        <v>0</v>
      </c>
    </row>
    <row r="884" customFormat="false" ht="15" hidden="false" customHeight="false" outlineLevel="0" collapsed="false">
      <c r="A884" s="6"/>
      <c r="B884" s="6"/>
      <c r="C884" s="6"/>
      <c r="D884" s="6"/>
      <c r="E884" s="6"/>
      <c r="F884" s="6"/>
      <c r="G884" s="7"/>
      <c r="H884" s="7"/>
      <c r="I884" s="6"/>
      <c r="J884" s="9" t="str">
        <f aca="false">IF(NOT(ISNUMBER($G884)),"",IF(AND(ASH_CORRECTED="Yes",ISNUMBER($H884)),$G884*(1-$H884),$G884))</f>
        <v/>
      </c>
      <c r="K884" s="9" t="str">
        <f aca="false">IF($B884="","",IFERROR(AVERAGEIFS('2. Soil Data'!$G$5:$G$604,'2. Soil Data'!$B$5:$B$604,$B884),""))</f>
        <v/>
      </c>
      <c r="L884" s="9" t="str">
        <f aca="false">IF(NOT(ISNUMBER($K884)),"",PI()*($K884/2)^2)</f>
        <v/>
      </c>
      <c r="M884" s="9" t="str">
        <f aca="false">IF(OR(NOT(ISNUMBER($J884)),NOT(ISNUMBER($L884)),$L884=0),"",$J884/$L884*10000)</f>
        <v/>
      </c>
      <c r="N884" s="9" t="str">
        <f aca="false">IF(NOT(ISNUMBER($M884)),"",$M884*CARBON_FRACTION_ROOT/1000)</f>
        <v/>
      </c>
      <c r="O884" s="11" t="str">
        <f aca="false">IF(AND($A884="",$B884="",$G884=""),"",IF(AND($B884&lt;&gt;"",COUNTIFS('2. Soil Data'!$B$5:$B$604,$B884)=0),"Core ID not found in Soil Data, so the corer diameter cannot be looked up. ","")&amp;IF(ASH_CORRECTED&lt;&gt;"Yes","Root mass is NOT ash-corrected, so it includes adhering mineral soil and is too high. Set ASH_CORRECTED once you have done it. ","")&amp;IF(AND(ASH_CORRECTED="Yes",NOT(ISNUMBER($H884))),"Ash correction is switched on but no ash fraction is given for this row. ","")&amp;IF($I884="","Sieve mesh not recorded — a fine-root figure cannot be interpreted without it. ","")&amp;IF(AND(ISNUMBER($H884),$H884&gt;0.5),"Ash fraction above 0.5 — over half this sample was mineral soil. Re-wash. ","")&amp;IF($F884="Not separated","Live and dead not separated. Fine for a stock, but "&amp;"note it in reporting. ",""))</f>
        <v/>
      </c>
      <c r="P884" s="6"/>
      <c r="Q884" s="9" t="n">
        <f aca="false">IF($B884="",0,IF(COUNTIFS($B$5:$B884,$B884)=1,1,0))</f>
        <v>0</v>
      </c>
    </row>
    <row r="885" customFormat="false" ht="15" hidden="false" customHeight="false" outlineLevel="0" collapsed="false">
      <c r="A885" s="6"/>
      <c r="B885" s="6"/>
      <c r="C885" s="6"/>
      <c r="D885" s="6"/>
      <c r="E885" s="6"/>
      <c r="F885" s="6"/>
      <c r="G885" s="7"/>
      <c r="H885" s="7"/>
      <c r="I885" s="6"/>
      <c r="J885" s="9" t="str">
        <f aca="false">IF(NOT(ISNUMBER($G885)),"",IF(AND(ASH_CORRECTED="Yes",ISNUMBER($H885)),$G885*(1-$H885),$G885))</f>
        <v/>
      </c>
      <c r="K885" s="9" t="str">
        <f aca="false">IF($B885="","",IFERROR(AVERAGEIFS('2. Soil Data'!$G$5:$G$604,'2. Soil Data'!$B$5:$B$604,$B885),""))</f>
        <v/>
      </c>
      <c r="L885" s="9" t="str">
        <f aca="false">IF(NOT(ISNUMBER($K885)),"",PI()*($K885/2)^2)</f>
        <v/>
      </c>
      <c r="M885" s="9" t="str">
        <f aca="false">IF(OR(NOT(ISNUMBER($J885)),NOT(ISNUMBER($L885)),$L885=0),"",$J885/$L885*10000)</f>
        <v/>
      </c>
      <c r="N885" s="9" t="str">
        <f aca="false">IF(NOT(ISNUMBER($M885)),"",$M885*CARBON_FRACTION_ROOT/1000)</f>
        <v/>
      </c>
      <c r="O885" s="11" t="str">
        <f aca="false">IF(AND($A885="",$B885="",$G885=""),"",IF(AND($B885&lt;&gt;"",COUNTIFS('2. Soil Data'!$B$5:$B$604,$B885)=0),"Core ID not found in Soil Data, so the corer diameter cannot be looked up. ","")&amp;IF(ASH_CORRECTED&lt;&gt;"Yes","Root mass is NOT ash-corrected, so it includes adhering mineral soil and is too high. Set ASH_CORRECTED once you have done it. ","")&amp;IF(AND(ASH_CORRECTED="Yes",NOT(ISNUMBER($H885))),"Ash correction is switched on but no ash fraction is given for this row. ","")&amp;IF($I885="","Sieve mesh not recorded — a fine-root figure cannot be interpreted without it. ","")&amp;IF(AND(ISNUMBER($H885),$H885&gt;0.5),"Ash fraction above 0.5 — over half this sample was mineral soil. Re-wash. ","")&amp;IF($F885="Not separated","Live and dead not separated. Fine for a stock, but "&amp;"note it in reporting. ",""))</f>
        <v/>
      </c>
      <c r="P885" s="6"/>
      <c r="Q885" s="9" t="n">
        <f aca="false">IF($B885="",0,IF(COUNTIFS($B$5:$B885,$B885)=1,1,0))</f>
        <v>0</v>
      </c>
    </row>
    <row r="886" customFormat="false" ht="15" hidden="false" customHeight="false" outlineLevel="0" collapsed="false">
      <c r="A886" s="6"/>
      <c r="B886" s="6"/>
      <c r="C886" s="6"/>
      <c r="D886" s="6"/>
      <c r="E886" s="6"/>
      <c r="F886" s="6"/>
      <c r="G886" s="7"/>
      <c r="H886" s="7"/>
      <c r="I886" s="6"/>
      <c r="J886" s="9" t="str">
        <f aca="false">IF(NOT(ISNUMBER($G886)),"",IF(AND(ASH_CORRECTED="Yes",ISNUMBER($H886)),$G886*(1-$H886),$G886))</f>
        <v/>
      </c>
      <c r="K886" s="9" t="str">
        <f aca="false">IF($B886="","",IFERROR(AVERAGEIFS('2. Soil Data'!$G$5:$G$604,'2. Soil Data'!$B$5:$B$604,$B886),""))</f>
        <v/>
      </c>
      <c r="L886" s="9" t="str">
        <f aca="false">IF(NOT(ISNUMBER($K886)),"",PI()*($K886/2)^2)</f>
        <v/>
      </c>
      <c r="M886" s="9" t="str">
        <f aca="false">IF(OR(NOT(ISNUMBER($J886)),NOT(ISNUMBER($L886)),$L886=0),"",$J886/$L886*10000)</f>
        <v/>
      </c>
      <c r="N886" s="9" t="str">
        <f aca="false">IF(NOT(ISNUMBER($M886)),"",$M886*CARBON_FRACTION_ROOT/1000)</f>
        <v/>
      </c>
      <c r="O886" s="11" t="str">
        <f aca="false">IF(AND($A886="",$B886="",$G886=""),"",IF(AND($B886&lt;&gt;"",COUNTIFS('2. Soil Data'!$B$5:$B$604,$B886)=0),"Core ID not found in Soil Data, so the corer diameter cannot be looked up. ","")&amp;IF(ASH_CORRECTED&lt;&gt;"Yes","Root mass is NOT ash-corrected, so it includes adhering mineral soil and is too high. Set ASH_CORRECTED once you have done it. ","")&amp;IF(AND(ASH_CORRECTED="Yes",NOT(ISNUMBER($H886))),"Ash correction is switched on but no ash fraction is given for this row. ","")&amp;IF($I886="","Sieve mesh not recorded — a fine-root figure cannot be interpreted without it. ","")&amp;IF(AND(ISNUMBER($H886),$H886&gt;0.5),"Ash fraction above 0.5 — over half this sample was mineral soil. Re-wash. ","")&amp;IF($F886="Not separated","Live and dead not separated. Fine for a stock, but "&amp;"note it in reporting. ",""))</f>
        <v/>
      </c>
      <c r="P886" s="6"/>
      <c r="Q886" s="9" t="n">
        <f aca="false">IF($B886="",0,IF(COUNTIFS($B$5:$B886,$B886)=1,1,0))</f>
        <v>0</v>
      </c>
    </row>
    <row r="887" customFormat="false" ht="15" hidden="false" customHeight="false" outlineLevel="0" collapsed="false">
      <c r="A887" s="6"/>
      <c r="B887" s="6"/>
      <c r="C887" s="6"/>
      <c r="D887" s="6"/>
      <c r="E887" s="6"/>
      <c r="F887" s="6"/>
      <c r="G887" s="7"/>
      <c r="H887" s="7"/>
      <c r="I887" s="6"/>
      <c r="J887" s="9" t="str">
        <f aca="false">IF(NOT(ISNUMBER($G887)),"",IF(AND(ASH_CORRECTED="Yes",ISNUMBER($H887)),$G887*(1-$H887),$G887))</f>
        <v/>
      </c>
      <c r="K887" s="9" t="str">
        <f aca="false">IF($B887="","",IFERROR(AVERAGEIFS('2. Soil Data'!$G$5:$G$604,'2. Soil Data'!$B$5:$B$604,$B887),""))</f>
        <v/>
      </c>
      <c r="L887" s="9" t="str">
        <f aca="false">IF(NOT(ISNUMBER($K887)),"",PI()*($K887/2)^2)</f>
        <v/>
      </c>
      <c r="M887" s="9" t="str">
        <f aca="false">IF(OR(NOT(ISNUMBER($J887)),NOT(ISNUMBER($L887)),$L887=0),"",$J887/$L887*10000)</f>
        <v/>
      </c>
      <c r="N887" s="9" t="str">
        <f aca="false">IF(NOT(ISNUMBER($M887)),"",$M887*CARBON_FRACTION_ROOT/1000)</f>
        <v/>
      </c>
      <c r="O887" s="11" t="str">
        <f aca="false">IF(AND($A887="",$B887="",$G887=""),"",IF(AND($B887&lt;&gt;"",COUNTIFS('2. Soil Data'!$B$5:$B$604,$B887)=0),"Core ID not found in Soil Data, so the corer diameter cannot be looked up. ","")&amp;IF(ASH_CORRECTED&lt;&gt;"Yes","Root mass is NOT ash-corrected, so it includes adhering mineral soil and is too high. Set ASH_CORRECTED once you have done it. ","")&amp;IF(AND(ASH_CORRECTED="Yes",NOT(ISNUMBER($H887))),"Ash correction is switched on but no ash fraction is given for this row. ","")&amp;IF($I887="","Sieve mesh not recorded — a fine-root figure cannot be interpreted without it. ","")&amp;IF(AND(ISNUMBER($H887),$H887&gt;0.5),"Ash fraction above 0.5 — over half this sample was mineral soil. Re-wash. ","")&amp;IF($F887="Not separated","Live and dead not separated. Fine for a stock, but "&amp;"note it in reporting. ",""))</f>
        <v/>
      </c>
      <c r="P887" s="6"/>
      <c r="Q887" s="9" t="n">
        <f aca="false">IF($B887="",0,IF(COUNTIFS($B$5:$B887,$B887)=1,1,0))</f>
        <v>0</v>
      </c>
    </row>
    <row r="888" customFormat="false" ht="15" hidden="false" customHeight="false" outlineLevel="0" collapsed="false">
      <c r="A888" s="6"/>
      <c r="B888" s="6"/>
      <c r="C888" s="6"/>
      <c r="D888" s="6"/>
      <c r="E888" s="6"/>
      <c r="F888" s="6"/>
      <c r="G888" s="7"/>
      <c r="H888" s="7"/>
      <c r="I888" s="6"/>
      <c r="J888" s="9" t="str">
        <f aca="false">IF(NOT(ISNUMBER($G888)),"",IF(AND(ASH_CORRECTED="Yes",ISNUMBER($H888)),$G888*(1-$H888),$G888))</f>
        <v/>
      </c>
      <c r="K888" s="9" t="str">
        <f aca="false">IF($B888="","",IFERROR(AVERAGEIFS('2. Soil Data'!$G$5:$G$604,'2. Soil Data'!$B$5:$B$604,$B888),""))</f>
        <v/>
      </c>
      <c r="L888" s="9" t="str">
        <f aca="false">IF(NOT(ISNUMBER($K888)),"",PI()*($K888/2)^2)</f>
        <v/>
      </c>
      <c r="M888" s="9" t="str">
        <f aca="false">IF(OR(NOT(ISNUMBER($J888)),NOT(ISNUMBER($L888)),$L888=0),"",$J888/$L888*10000)</f>
        <v/>
      </c>
      <c r="N888" s="9" t="str">
        <f aca="false">IF(NOT(ISNUMBER($M888)),"",$M888*CARBON_FRACTION_ROOT/1000)</f>
        <v/>
      </c>
      <c r="O888" s="11" t="str">
        <f aca="false">IF(AND($A888="",$B888="",$G888=""),"",IF(AND($B888&lt;&gt;"",COUNTIFS('2. Soil Data'!$B$5:$B$604,$B888)=0),"Core ID not found in Soil Data, so the corer diameter cannot be looked up. ","")&amp;IF(ASH_CORRECTED&lt;&gt;"Yes","Root mass is NOT ash-corrected, so it includes adhering mineral soil and is too high. Set ASH_CORRECTED once you have done it. ","")&amp;IF(AND(ASH_CORRECTED="Yes",NOT(ISNUMBER($H888))),"Ash correction is switched on but no ash fraction is given for this row. ","")&amp;IF($I888="","Sieve mesh not recorded — a fine-root figure cannot be interpreted without it. ","")&amp;IF(AND(ISNUMBER($H888),$H888&gt;0.5),"Ash fraction above 0.5 — over half this sample was mineral soil. Re-wash. ","")&amp;IF($F888="Not separated","Live and dead not separated. Fine for a stock, but "&amp;"note it in reporting. ",""))</f>
        <v/>
      </c>
      <c r="P888" s="6"/>
      <c r="Q888" s="9" t="n">
        <f aca="false">IF($B888="",0,IF(COUNTIFS($B$5:$B888,$B888)=1,1,0))</f>
        <v>0</v>
      </c>
    </row>
    <row r="889" customFormat="false" ht="15" hidden="false" customHeight="false" outlineLevel="0" collapsed="false">
      <c r="A889" s="6"/>
      <c r="B889" s="6"/>
      <c r="C889" s="6"/>
      <c r="D889" s="6"/>
      <c r="E889" s="6"/>
      <c r="F889" s="6"/>
      <c r="G889" s="7"/>
      <c r="H889" s="7"/>
      <c r="I889" s="6"/>
      <c r="J889" s="9" t="str">
        <f aca="false">IF(NOT(ISNUMBER($G889)),"",IF(AND(ASH_CORRECTED="Yes",ISNUMBER($H889)),$G889*(1-$H889),$G889))</f>
        <v/>
      </c>
      <c r="K889" s="9" t="str">
        <f aca="false">IF($B889="","",IFERROR(AVERAGEIFS('2. Soil Data'!$G$5:$G$604,'2. Soil Data'!$B$5:$B$604,$B889),""))</f>
        <v/>
      </c>
      <c r="L889" s="9" t="str">
        <f aca="false">IF(NOT(ISNUMBER($K889)),"",PI()*($K889/2)^2)</f>
        <v/>
      </c>
      <c r="M889" s="9" t="str">
        <f aca="false">IF(OR(NOT(ISNUMBER($J889)),NOT(ISNUMBER($L889)),$L889=0),"",$J889/$L889*10000)</f>
        <v/>
      </c>
      <c r="N889" s="9" t="str">
        <f aca="false">IF(NOT(ISNUMBER($M889)),"",$M889*CARBON_FRACTION_ROOT/1000)</f>
        <v/>
      </c>
      <c r="O889" s="11" t="str">
        <f aca="false">IF(AND($A889="",$B889="",$G889=""),"",IF(AND($B889&lt;&gt;"",COUNTIFS('2. Soil Data'!$B$5:$B$604,$B889)=0),"Core ID not found in Soil Data, so the corer diameter cannot be looked up. ","")&amp;IF(ASH_CORRECTED&lt;&gt;"Yes","Root mass is NOT ash-corrected, so it includes adhering mineral soil and is too high. Set ASH_CORRECTED once you have done it. ","")&amp;IF(AND(ASH_CORRECTED="Yes",NOT(ISNUMBER($H889))),"Ash correction is switched on but no ash fraction is given for this row. ","")&amp;IF($I889="","Sieve mesh not recorded — a fine-root figure cannot be interpreted without it. ","")&amp;IF(AND(ISNUMBER($H889),$H889&gt;0.5),"Ash fraction above 0.5 — over half this sample was mineral soil. Re-wash. ","")&amp;IF($F889="Not separated","Live and dead not separated. Fine for a stock, but "&amp;"note it in reporting. ",""))</f>
        <v/>
      </c>
      <c r="P889" s="6"/>
      <c r="Q889" s="9" t="n">
        <f aca="false">IF($B889="",0,IF(COUNTIFS($B$5:$B889,$B889)=1,1,0))</f>
        <v>0</v>
      </c>
    </row>
    <row r="890" customFormat="false" ht="15" hidden="false" customHeight="false" outlineLevel="0" collapsed="false">
      <c r="A890" s="6"/>
      <c r="B890" s="6"/>
      <c r="C890" s="6"/>
      <c r="D890" s="6"/>
      <c r="E890" s="6"/>
      <c r="F890" s="6"/>
      <c r="G890" s="7"/>
      <c r="H890" s="7"/>
      <c r="I890" s="6"/>
      <c r="J890" s="9" t="str">
        <f aca="false">IF(NOT(ISNUMBER($G890)),"",IF(AND(ASH_CORRECTED="Yes",ISNUMBER($H890)),$G890*(1-$H890),$G890))</f>
        <v/>
      </c>
      <c r="K890" s="9" t="str">
        <f aca="false">IF($B890="","",IFERROR(AVERAGEIFS('2. Soil Data'!$G$5:$G$604,'2. Soil Data'!$B$5:$B$604,$B890),""))</f>
        <v/>
      </c>
      <c r="L890" s="9" t="str">
        <f aca="false">IF(NOT(ISNUMBER($K890)),"",PI()*($K890/2)^2)</f>
        <v/>
      </c>
      <c r="M890" s="9" t="str">
        <f aca="false">IF(OR(NOT(ISNUMBER($J890)),NOT(ISNUMBER($L890)),$L890=0),"",$J890/$L890*10000)</f>
        <v/>
      </c>
      <c r="N890" s="9" t="str">
        <f aca="false">IF(NOT(ISNUMBER($M890)),"",$M890*CARBON_FRACTION_ROOT/1000)</f>
        <v/>
      </c>
      <c r="O890" s="11" t="str">
        <f aca="false">IF(AND($A890="",$B890="",$G890=""),"",IF(AND($B890&lt;&gt;"",COUNTIFS('2. Soil Data'!$B$5:$B$604,$B890)=0),"Core ID not found in Soil Data, so the corer diameter cannot be looked up. ","")&amp;IF(ASH_CORRECTED&lt;&gt;"Yes","Root mass is NOT ash-corrected, so it includes adhering mineral soil and is too high. Set ASH_CORRECTED once you have done it. ","")&amp;IF(AND(ASH_CORRECTED="Yes",NOT(ISNUMBER($H890))),"Ash correction is switched on but no ash fraction is given for this row. ","")&amp;IF($I890="","Sieve mesh not recorded — a fine-root figure cannot be interpreted without it. ","")&amp;IF(AND(ISNUMBER($H890),$H890&gt;0.5),"Ash fraction above 0.5 — over half this sample was mineral soil. Re-wash. ","")&amp;IF($F890="Not separated","Live and dead not separated. Fine for a stock, but "&amp;"note it in reporting. ",""))</f>
        <v/>
      </c>
      <c r="P890" s="6"/>
      <c r="Q890" s="9" t="n">
        <f aca="false">IF($B890="",0,IF(COUNTIFS($B$5:$B890,$B890)=1,1,0))</f>
        <v>0</v>
      </c>
    </row>
    <row r="891" customFormat="false" ht="15" hidden="false" customHeight="false" outlineLevel="0" collapsed="false">
      <c r="A891" s="6"/>
      <c r="B891" s="6"/>
      <c r="C891" s="6"/>
      <c r="D891" s="6"/>
      <c r="E891" s="6"/>
      <c r="F891" s="6"/>
      <c r="G891" s="7"/>
      <c r="H891" s="7"/>
      <c r="I891" s="6"/>
      <c r="J891" s="9" t="str">
        <f aca="false">IF(NOT(ISNUMBER($G891)),"",IF(AND(ASH_CORRECTED="Yes",ISNUMBER($H891)),$G891*(1-$H891),$G891))</f>
        <v/>
      </c>
      <c r="K891" s="9" t="str">
        <f aca="false">IF($B891="","",IFERROR(AVERAGEIFS('2. Soil Data'!$G$5:$G$604,'2. Soil Data'!$B$5:$B$604,$B891),""))</f>
        <v/>
      </c>
      <c r="L891" s="9" t="str">
        <f aca="false">IF(NOT(ISNUMBER($K891)),"",PI()*($K891/2)^2)</f>
        <v/>
      </c>
      <c r="M891" s="9" t="str">
        <f aca="false">IF(OR(NOT(ISNUMBER($J891)),NOT(ISNUMBER($L891)),$L891=0),"",$J891/$L891*10000)</f>
        <v/>
      </c>
      <c r="N891" s="9" t="str">
        <f aca="false">IF(NOT(ISNUMBER($M891)),"",$M891*CARBON_FRACTION_ROOT/1000)</f>
        <v/>
      </c>
      <c r="O891" s="11" t="str">
        <f aca="false">IF(AND($A891="",$B891="",$G891=""),"",IF(AND($B891&lt;&gt;"",COUNTIFS('2. Soil Data'!$B$5:$B$604,$B891)=0),"Core ID not found in Soil Data, so the corer diameter cannot be looked up. ","")&amp;IF(ASH_CORRECTED&lt;&gt;"Yes","Root mass is NOT ash-corrected, so it includes adhering mineral soil and is too high. Set ASH_CORRECTED once you have done it. ","")&amp;IF(AND(ASH_CORRECTED="Yes",NOT(ISNUMBER($H891))),"Ash correction is switched on but no ash fraction is given for this row. ","")&amp;IF($I891="","Sieve mesh not recorded — a fine-root figure cannot be interpreted without it. ","")&amp;IF(AND(ISNUMBER($H891),$H891&gt;0.5),"Ash fraction above 0.5 — over half this sample was mineral soil. Re-wash. ","")&amp;IF($F891="Not separated","Live and dead not separated. Fine for a stock, but "&amp;"note it in reporting. ",""))</f>
        <v/>
      </c>
      <c r="P891" s="6"/>
      <c r="Q891" s="9" t="n">
        <f aca="false">IF($B891="",0,IF(COUNTIFS($B$5:$B891,$B891)=1,1,0))</f>
        <v>0</v>
      </c>
    </row>
    <row r="892" customFormat="false" ht="15" hidden="false" customHeight="false" outlineLevel="0" collapsed="false">
      <c r="A892" s="6"/>
      <c r="B892" s="6"/>
      <c r="C892" s="6"/>
      <c r="D892" s="6"/>
      <c r="E892" s="6"/>
      <c r="F892" s="6"/>
      <c r="G892" s="7"/>
      <c r="H892" s="7"/>
      <c r="I892" s="6"/>
      <c r="J892" s="9" t="str">
        <f aca="false">IF(NOT(ISNUMBER($G892)),"",IF(AND(ASH_CORRECTED="Yes",ISNUMBER($H892)),$G892*(1-$H892),$G892))</f>
        <v/>
      </c>
      <c r="K892" s="9" t="str">
        <f aca="false">IF($B892="","",IFERROR(AVERAGEIFS('2. Soil Data'!$G$5:$G$604,'2. Soil Data'!$B$5:$B$604,$B892),""))</f>
        <v/>
      </c>
      <c r="L892" s="9" t="str">
        <f aca="false">IF(NOT(ISNUMBER($K892)),"",PI()*($K892/2)^2)</f>
        <v/>
      </c>
      <c r="M892" s="9" t="str">
        <f aca="false">IF(OR(NOT(ISNUMBER($J892)),NOT(ISNUMBER($L892)),$L892=0),"",$J892/$L892*10000)</f>
        <v/>
      </c>
      <c r="N892" s="9" t="str">
        <f aca="false">IF(NOT(ISNUMBER($M892)),"",$M892*CARBON_FRACTION_ROOT/1000)</f>
        <v/>
      </c>
      <c r="O892" s="11" t="str">
        <f aca="false">IF(AND($A892="",$B892="",$G892=""),"",IF(AND($B892&lt;&gt;"",COUNTIFS('2. Soil Data'!$B$5:$B$604,$B892)=0),"Core ID not found in Soil Data, so the corer diameter cannot be looked up. ","")&amp;IF(ASH_CORRECTED&lt;&gt;"Yes","Root mass is NOT ash-corrected, so it includes adhering mineral soil and is too high. Set ASH_CORRECTED once you have done it. ","")&amp;IF(AND(ASH_CORRECTED="Yes",NOT(ISNUMBER($H892))),"Ash correction is switched on but no ash fraction is given for this row. ","")&amp;IF($I892="","Sieve mesh not recorded — a fine-root figure cannot be interpreted without it. ","")&amp;IF(AND(ISNUMBER($H892),$H892&gt;0.5),"Ash fraction above 0.5 — over half this sample was mineral soil. Re-wash. ","")&amp;IF($F892="Not separated","Live and dead not separated. Fine for a stock, but "&amp;"note it in reporting. ",""))</f>
        <v/>
      </c>
      <c r="P892" s="6"/>
      <c r="Q892" s="9" t="n">
        <f aca="false">IF($B892="",0,IF(COUNTIFS($B$5:$B892,$B892)=1,1,0))</f>
        <v>0</v>
      </c>
    </row>
    <row r="893" customFormat="false" ht="15" hidden="false" customHeight="false" outlineLevel="0" collapsed="false">
      <c r="A893" s="6"/>
      <c r="B893" s="6"/>
      <c r="C893" s="6"/>
      <c r="D893" s="6"/>
      <c r="E893" s="6"/>
      <c r="F893" s="6"/>
      <c r="G893" s="7"/>
      <c r="H893" s="7"/>
      <c r="I893" s="6"/>
      <c r="J893" s="9" t="str">
        <f aca="false">IF(NOT(ISNUMBER($G893)),"",IF(AND(ASH_CORRECTED="Yes",ISNUMBER($H893)),$G893*(1-$H893),$G893))</f>
        <v/>
      </c>
      <c r="K893" s="9" t="str">
        <f aca="false">IF($B893="","",IFERROR(AVERAGEIFS('2. Soil Data'!$G$5:$G$604,'2. Soil Data'!$B$5:$B$604,$B893),""))</f>
        <v/>
      </c>
      <c r="L893" s="9" t="str">
        <f aca="false">IF(NOT(ISNUMBER($K893)),"",PI()*($K893/2)^2)</f>
        <v/>
      </c>
      <c r="M893" s="9" t="str">
        <f aca="false">IF(OR(NOT(ISNUMBER($J893)),NOT(ISNUMBER($L893)),$L893=0),"",$J893/$L893*10000)</f>
        <v/>
      </c>
      <c r="N893" s="9" t="str">
        <f aca="false">IF(NOT(ISNUMBER($M893)),"",$M893*CARBON_FRACTION_ROOT/1000)</f>
        <v/>
      </c>
      <c r="O893" s="11" t="str">
        <f aca="false">IF(AND($A893="",$B893="",$G893=""),"",IF(AND($B893&lt;&gt;"",COUNTIFS('2. Soil Data'!$B$5:$B$604,$B893)=0),"Core ID not found in Soil Data, so the corer diameter cannot be looked up. ","")&amp;IF(ASH_CORRECTED&lt;&gt;"Yes","Root mass is NOT ash-corrected, so it includes adhering mineral soil and is too high. Set ASH_CORRECTED once you have done it. ","")&amp;IF(AND(ASH_CORRECTED="Yes",NOT(ISNUMBER($H893))),"Ash correction is switched on but no ash fraction is given for this row. ","")&amp;IF($I893="","Sieve mesh not recorded — a fine-root figure cannot be interpreted without it. ","")&amp;IF(AND(ISNUMBER($H893),$H893&gt;0.5),"Ash fraction above 0.5 — over half this sample was mineral soil. Re-wash. ","")&amp;IF($F893="Not separated","Live and dead not separated. Fine for a stock, but "&amp;"note it in reporting. ",""))</f>
        <v/>
      </c>
      <c r="P893" s="6"/>
      <c r="Q893" s="9" t="n">
        <f aca="false">IF($B893="",0,IF(COUNTIFS($B$5:$B893,$B893)=1,1,0))</f>
        <v>0</v>
      </c>
    </row>
    <row r="894" customFormat="false" ht="15" hidden="false" customHeight="false" outlineLevel="0" collapsed="false">
      <c r="A894" s="6"/>
      <c r="B894" s="6"/>
      <c r="C894" s="6"/>
      <c r="D894" s="6"/>
      <c r="E894" s="6"/>
      <c r="F894" s="6"/>
      <c r="G894" s="7"/>
      <c r="H894" s="7"/>
      <c r="I894" s="6"/>
      <c r="J894" s="9" t="str">
        <f aca="false">IF(NOT(ISNUMBER($G894)),"",IF(AND(ASH_CORRECTED="Yes",ISNUMBER($H894)),$G894*(1-$H894),$G894))</f>
        <v/>
      </c>
      <c r="K894" s="9" t="str">
        <f aca="false">IF($B894="","",IFERROR(AVERAGEIFS('2. Soil Data'!$G$5:$G$604,'2. Soil Data'!$B$5:$B$604,$B894),""))</f>
        <v/>
      </c>
      <c r="L894" s="9" t="str">
        <f aca="false">IF(NOT(ISNUMBER($K894)),"",PI()*($K894/2)^2)</f>
        <v/>
      </c>
      <c r="M894" s="9" t="str">
        <f aca="false">IF(OR(NOT(ISNUMBER($J894)),NOT(ISNUMBER($L894)),$L894=0),"",$J894/$L894*10000)</f>
        <v/>
      </c>
      <c r="N894" s="9" t="str">
        <f aca="false">IF(NOT(ISNUMBER($M894)),"",$M894*CARBON_FRACTION_ROOT/1000)</f>
        <v/>
      </c>
      <c r="O894" s="11" t="str">
        <f aca="false">IF(AND($A894="",$B894="",$G894=""),"",IF(AND($B894&lt;&gt;"",COUNTIFS('2. Soil Data'!$B$5:$B$604,$B894)=0),"Core ID not found in Soil Data, so the corer diameter cannot be looked up. ","")&amp;IF(ASH_CORRECTED&lt;&gt;"Yes","Root mass is NOT ash-corrected, so it includes adhering mineral soil and is too high. Set ASH_CORRECTED once you have done it. ","")&amp;IF(AND(ASH_CORRECTED="Yes",NOT(ISNUMBER($H894))),"Ash correction is switched on but no ash fraction is given for this row. ","")&amp;IF($I894="","Sieve mesh not recorded — a fine-root figure cannot be interpreted without it. ","")&amp;IF(AND(ISNUMBER($H894),$H894&gt;0.5),"Ash fraction above 0.5 — over half this sample was mineral soil. Re-wash. ","")&amp;IF($F894="Not separated","Live and dead not separated. Fine for a stock, but "&amp;"note it in reporting. ",""))</f>
        <v/>
      </c>
      <c r="P894" s="6"/>
      <c r="Q894" s="9" t="n">
        <f aca="false">IF($B894="",0,IF(COUNTIFS($B$5:$B894,$B894)=1,1,0))</f>
        <v>0</v>
      </c>
    </row>
    <row r="895" customFormat="false" ht="15" hidden="false" customHeight="false" outlineLevel="0" collapsed="false">
      <c r="A895" s="6"/>
      <c r="B895" s="6"/>
      <c r="C895" s="6"/>
      <c r="D895" s="6"/>
      <c r="E895" s="6"/>
      <c r="F895" s="6"/>
      <c r="G895" s="7"/>
      <c r="H895" s="7"/>
      <c r="I895" s="6"/>
      <c r="J895" s="9" t="str">
        <f aca="false">IF(NOT(ISNUMBER($G895)),"",IF(AND(ASH_CORRECTED="Yes",ISNUMBER($H895)),$G895*(1-$H895),$G895))</f>
        <v/>
      </c>
      <c r="K895" s="9" t="str">
        <f aca="false">IF($B895="","",IFERROR(AVERAGEIFS('2. Soil Data'!$G$5:$G$604,'2. Soil Data'!$B$5:$B$604,$B895),""))</f>
        <v/>
      </c>
      <c r="L895" s="9" t="str">
        <f aca="false">IF(NOT(ISNUMBER($K895)),"",PI()*($K895/2)^2)</f>
        <v/>
      </c>
      <c r="M895" s="9" t="str">
        <f aca="false">IF(OR(NOT(ISNUMBER($J895)),NOT(ISNUMBER($L895)),$L895=0),"",$J895/$L895*10000)</f>
        <v/>
      </c>
      <c r="N895" s="9" t="str">
        <f aca="false">IF(NOT(ISNUMBER($M895)),"",$M895*CARBON_FRACTION_ROOT/1000)</f>
        <v/>
      </c>
      <c r="O895" s="11" t="str">
        <f aca="false">IF(AND($A895="",$B895="",$G895=""),"",IF(AND($B895&lt;&gt;"",COUNTIFS('2. Soil Data'!$B$5:$B$604,$B895)=0),"Core ID not found in Soil Data, so the corer diameter cannot be looked up. ","")&amp;IF(ASH_CORRECTED&lt;&gt;"Yes","Root mass is NOT ash-corrected, so it includes adhering mineral soil and is too high. Set ASH_CORRECTED once you have done it. ","")&amp;IF(AND(ASH_CORRECTED="Yes",NOT(ISNUMBER($H895))),"Ash correction is switched on but no ash fraction is given for this row. ","")&amp;IF($I895="","Sieve mesh not recorded — a fine-root figure cannot be interpreted without it. ","")&amp;IF(AND(ISNUMBER($H895),$H895&gt;0.5),"Ash fraction above 0.5 — over half this sample was mineral soil. Re-wash. ","")&amp;IF($F895="Not separated","Live and dead not separated. Fine for a stock, but "&amp;"note it in reporting. ",""))</f>
        <v/>
      </c>
      <c r="P895" s="6"/>
      <c r="Q895" s="9" t="n">
        <f aca="false">IF($B895="",0,IF(COUNTIFS($B$5:$B895,$B895)=1,1,0))</f>
        <v>0</v>
      </c>
    </row>
    <row r="896" customFormat="false" ht="15" hidden="false" customHeight="false" outlineLevel="0" collapsed="false">
      <c r="A896" s="6"/>
      <c r="B896" s="6"/>
      <c r="C896" s="6"/>
      <c r="D896" s="6"/>
      <c r="E896" s="6"/>
      <c r="F896" s="6"/>
      <c r="G896" s="7"/>
      <c r="H896" s="7"/>
      <c r="I896" s="6"/>
      <c r="J896" s="9" t="str">
        <f aca="false">IF(NOT(ISNUMBER($G896)),"",IF(AND(ASH_CORRECTED="Yes",ISNUMBER($H896)),$G896*(1-$H896),$G896))</f>
        <v/>
      </c>
      <c r="K896" s="9" t="str">
        <f aca="false">IF($B896="","",IFERROR(AVERAGEIFS('2. Soil Data'!$G$5:$G$604,'2. Soil Data'!$B$5:$B$604,$B896),""))</f>
        <v/>
      </c>
      <c r="L896" s="9" t="str">
        <f aca="false">IF(NOT(ISNUMBER($K896)),"",PI()*($K896/2)^2)</f>
        <v/>
      </c>
      <c r="M896" s="9" t="str">
        <f aca="false">IF(OR(NOT(ISNUMBER($J896)),NOT(ISNUMBER($L896)),$L896=0),"",$J896/$L896*10000)</f>
        <v/>
      </c>
      <c r="N896" s="9" t="str">
        <f aca="false">IF(NOT(ISNUMBER($M896)),"",$M896*CARBON_FRACTION_ROOT/1000)</f>
        <v/>
      </c>
      <c r="O896" s="11" t="str">
        <f aca="false">IF(AND($A896="",$B896="",$G896=""),"",IF(AND($B896&lt;&gt;"",COUNTIFS('2. Soil Data'!$B$5:$B$604,$B896)=0),"Core ID not found in Soil Data, so the corer diameter cannot be looked up. ","")&amp;IF(ASH_CORRECTED&lt;&gt;"Yes","Root mass is NOT ash-corrected, so it includes adhering mineral soil and is too high. Set ASH_CORRECTED once you have done it. ","")&amp;IF(AND(ASH_CORRECTED="Yes",NOT(ISNUMBER($H896))),"Ash correction is switched on but no ash fraction is given for this row. ","")&amp;IF($I896="","Sieve mesh not recorded — a fine-root figure cannot be interpreted without it. ","")&amp;IF(AND(ISNUMBER($H896),$H896&gt;0.5),"Ash fraction above 0.5 — over half this sample was mineral soil. Re-wash. ","")&amp;IF($F896="Not separated","Live and dead not separated. Fine for a stock, but "&amp;"note it in reporting. ",""))</f>
        <v/>
      </c>
      <c r="P896" s="6"/>
      <c r="Q896" s="9" t="n">
        <f aca="false">IF($B896="",0,IF(COUNTIFS($B$5:$B896,$B896)=1,1,0))</f>
        <v>0</v>
      </c>
    </row>
    <row r="897" customFormat="false" ht="15" hidden="false" customHeight="false" outlineLevel="0" collapsed="false">
      <c r="A897" s="6"/>
      <c r="B897" s="6"/>
      <c r="C897" s="6"/>
      <c r="D897" s="6"/>
      <c r="E897" s="6"/>
      <c r="F897" s="6"/>
      <c r="G897" s="7"/>
      <c r="H897" s="7"/>
      <c r="I897" s="6"/>
      <c r="J897" s="9" t="str">
        <f aca="false">IF(NOT(ISNUMBER($G897)),"",IF(AND(ASH_CORRECTED="Yes",ISNUMBER($H897)),$G897*(1-$H897),$G897))</f>
        <v/>
      </c>
      <c r="K897" s="9" t="str">
        <f aca="false">IF($B897="","",IFERROR(AVERAGEIFS('2. Soil Data'!$G$5:$G$604,'2. Soil Data'!$B$5:$B$604,$B897),""))</f>
        <v/>
      </c>
      <c r="L897" s="9" t="str">
        <f aca="false">IF(NOT(ISNUMBER($K897)),"",PI()*($K897/2)^2)</f>
        <v/>
      </c>
      <c r="M897" s="9" t="str">
        <f aca="false">IF(OR(NOT(ISNUMBER($J897)),NOT(ISNUMBER($L897)),$L897=0),"",$J897/$L897*10000)</f>
        <v/>
      </c>
      <c r="N897" s="9" t="str">
        <f aca="false">IF(NOT(ISNUMBER($M897)),"",$M897*CARBON_FRACTION_ROOT/1000)</f>
        <v/>
      </c>
      <c r="O897" s="11" t="str">
        <f aca="false">IF(AND($A897="",$B897="",$G897=""),"",IF(AND($B897&lt;&gt;"",COUNTIFS('2. Soil Data'!$B$5:$B$604,$B897)=0),"Core ID not found in Soil Data, so the corer diameter cannot be looked up. ","")&amp;IF(ASH_CORRECTED&lt;&gt;"Yes","Root mass is NOT ash-corrected, so it includes adhering mineral soil and is too high. Set ASH_CORRECTED once you have done it. ","")&amp;IF(AND(ASH_CORRECTED="Yes",NOT(ISNUMBER($H897))),"Ash correction is switched on but no ash fraction is given for this row. ","")&amp;IF($I897="","Sieve mesh not recorded — a fine-root figure cannot be interpreted without it. ","")&amp;IF(AND(ISNUMBER($H897),$H897&gt;0.5),"Ash fraction above 0.5 — over half this sample was mineral soil. Re-wash. ","")&amp;IF($F897="Not separated","Live and dead not separated. Fine for a stock, but "&amp;"note it in reporting. ",""))</f>
        <v/>
      </c>
      <c r="P897" s="6"/>
      <c r="Q897" s="9" t="n">
        <f aca="false">IF($B897="",0,IF(COUNTIFS($B$5:$B897,$B897)=1,1,0))</f>
        <v>0</v>
      </c>
    </row>
    <row r="898" customFormat="false" ht="15" hidden="false" customHeight="false" outlineLevel="0" collapsed="false">
      <c r="A898" s="6"/>
      <c r="B898" s="6"/>
      <c r="C898" s="6"/>
      <c r="D898" s="6"/>
      <c r="E898" s="6"/>
      <c r="F898" s="6"/>
      <c r="G898" s="7"/>
      <c r="H898" s="7"/>
      <c r="I898" s="6"/>
      <c r="J898" s="9" t="str">
        <f aca="false">IF(NOT(ISNUMBER($G898)),"",IF(AND(ASH_CORRECTED="Yes",ISNUMBER($H898)),$G898*(1-$H898),$G898))</f>
        <v/>
      </c>
      <c r="K898" s="9" t="str">
        <f aca="false">IF($B898="","",IFERROR(AVERAGEIFS('2. Soil Data'!$G$5:$G$604,'2. Soil Data'!$B$5:$B$604,$B898),""))</f>
        <v/>
      </c>
      <c r="L898" s="9" t="str">
        <f aca="false">IF(NOT(ISNUMBER($K898)),"",PI()*($K898/2)^2)</f>
        <v/>
      </c>
      <c r="M898" s="9" t="str">
        <f aca="false">IF(OR(NOT(ISNUMBER($J898)),NOT(ISNUMBER($L898)),$L898=0),"",$J898/$L898*10000)</f>
        <v/>
      </c>
      <c r="N898" s="9" t="str">
        <f aca="false">IF(NOT(ISNUMBER($M898)),"",$M898*CARBON_FRACTION_ROOT/1000)</f>
        <v/>
      </c>
      <c r="O898" s="11" t="str">
        <f aca="false">IF(AND($A898="",$B898="",$G898=""),"",IF(AND($B898&lt;&gt;"",COUNTIFS('2. Soil Data'!$B$5:$B$604,$B898)=0),"Core ID not found in Soil Data, so the corer diameter cannot be looked up. ","")&amp;IF(ASH_CORRECTED&lt;&gt;"Yes","Root mass is NOT ash-corrected, so it includes adhering mineral soil and is too high. Set ASH_CORRECTED once you have done it. ","")&amp;IF(AND(ASH_CORRECTED="Yes",NOT(ISNUMBER($H898))),"Ash correction is switched on but no ash fraction is given for this row. ","")&amp;IF($I898="","Sieve mesh not recorded — a fine-root figure cannot be interpreted without it. ","")&amp;IF(AND(ISNUMBER($H898),$H898&gt;0.5),"Ash fraction above 0.5 — over half this sample was mineral soil. Re-wash. ","")&amp;IF($F898="Not separated","Live and dead not separated. Fine for a stock, but "&amp;"note it in reporting. ",""))</f>
        <v/>
      </c>
      <c r="P898" s="6"/>
      <c r="Q898" s="9" t="n">
        <f aca="false">IF($B898="",0,IF(COUNTIFS($B$5:$B898,$B898)=1,1,0))</f>
        <v>0</v>
      </c>
    </row>
    <row r="899" customFormat="false" ht="15" hidden="false" customHeight="false" outlineLevel="0" collapsed="false">
      <c r="A899" s="6"/>
      <c r="B899" s="6"/>
      <c r="C899" s="6"/>
      <c r="D899" s="6"/>
      <c r="E899" s="6"/>
      <c r="F899" s="6"/>
      <c r="G899" s="7"/>
      <c r="H899" s="7"/>
      <c r="I899" s="6"/>
      <c r="J899" s="9" t="str">
        <f aca="false">IF(NOT(ISNUMBER($G899)),"",IF(AND(ASH_CORRECTED="Yes",ISNUMBER($H899)),$G899*(1-$H899),$G899))</f>
        <v/>
      </c>
      <c r="K899" s="9" t="str">
        <f aca="false">IF($B899="","",IFERROR(AVERAGEIFS('2. Soil Data'!$G$5:$G$604,'2. Soil Data'!$B$5:$B$604,$B899),""))</f>
        <v/>
      </c>
      <c r="L899" s="9" t="str">
        <f aca="false">IF(NOT(ISNUMBER($K899)),"",PI()*($K899/2)^2)</f>
        <v/>
      </c>
      <c r="M899" s="9" t="str">
        <f aca="false">IF(OR(NOT(ISNUMBER($J899)),NOT(ISNUMBER($L899)),$L899=0),"",$J899/$L899*10000)</f>
        <v/>
      </c>
      <c r="N899" s="9" t="str">
        <f aca="false">IF(NOT(ISNUMBER($M899)),"",$M899*CARBON_FRACTION_ROOT/1000)</f>
        <v/>
      </c>
      <c r="O899" s="11" t="str">
        <f aca="false">IF(AND($A899="",$B899="",$G899=""),"",IF(AND($B899&lt;&gt;"",COUNTIFS('2. Soil Data'!$B$5:$B$604,$B899)=0),"Core ID not found in Soil Data, so the corer diameter cannot be looked up. ","")&amp;IF(ASH_CORRECTED&lt;&gt;"Yes","Root mass is NOT ash-corrected, so it includes adhering mineral soil and is too high. Set ASH_CORRECTED once you have done it. ","")&amp;IF(AND(ASH_CORRECTED="Yes",NOT(ISNUMBER($H899))),"Ash correction is switched on but no ash fraction is given for this row. ","")&amp;IF($I899="","Sieve mesh not recorded — a fine-root figure cannot be interpreted without it. ","")&amp;IF(AND(ISNUMBER($H899),$H899&gt;0.5),"Ash fraction above 0.5 — over half this sample was mineral soil. Re-wash. ","")&amp;IF($F899="Not separated","Live and dead not separated. Fine for a stock, but "&amp;"note it in reporting. ",""))</f>
        <v/>
      </c>
      <c r="P899" s="6"/>
      <c r="Q899" s="9" t="n">
        <f aca="false">IF($B899="",0,IF(COUNTIFS($B$5:$B899,$B899)=1,1,0))</f>
        <v>0</v>
      </c>
    </row>
    <row r="900" customFormat="false" ht="15" hidden="false" customHeight="false" outlineLevel="0" collapsed="false">
      <c r="A900" s="6"/>
      <c r="B900" s="6"/>
      <c r="C900" s="6"/>
      <c r="D900" s="6"/>
      <c r="E900" s="6"/>
      <c r="F900" s="6"/>
      <c r="G900" s="7"/>
      <c r="H900" s="7"/>
      <c r="I900" s="6"/>
      <c r="J900" s="9" t="str">
        <f aca="false">IF(NOT(ISNUMBER($G900)),"",IF(AND(ASH_CORRECTED="Yes",ISNUMBER($H900)),$G900*(1-$H900),$G900))</f>
        <v/>
      </c>
      <c r="K900" s="9" t="str">
        <f aca="false">IF($B900="","",IFERROR(AVERAGEIFS('2. Soil Data'!$G$5:$G$604,'2. Soil Data'!$B$5:$B$604,$B900),""))</f>
        <v/>
      </c>
      <c r="L900" s="9" t="str">
        <f aca="false">IF(NOT(ISNUMBER($K900)),"",PI()*($K900/2)^2)</f>
        <v/>
      </c>
      <c r="M900" s="9" t="str">
        <f aca="false">IF(OR(NOT(ISNUMBER($J900)),NOT(ISNUMBER($L900)),$L900=0),"",$J900/$L900*10000)</f>
        <v/>
      </c>
      <c r="N900" s="9" t="str">
        <f aca="false">IF(NOT(ISNUMBER($M900)),"",$M900*CARBON_FRACTION_ROOT/1000)</f>
        <v/>
      </c>
      <c r="O900" s="11" t="str">
        <f aca="false">IF(AND($A900="",$B900="",$G900=""),"",IF(AND($B900&lt;&gt;"",COUNTIFS('2. Soil Data'!$B$5:$B$604,$B900)=0),"Core ID not found in Soil Data, so the corer diameter cannot be looked up. ","")&amp;IF(ASH_CORRECTED&lt;&gt;"Yes","Root mass is NOT ash-corrected, so it includes adhering mineral soil and is too high. Set ASH_CORRECTED once you have done it. ","")&amp;IF(AND(ASH_CORRECTED="Yes",NOT(ISNUMBER($H900))),"Ash correction is switched on but no ash fraction is given for this row. ","")&amp;IF($I900="","Sieve mesh not recorded — a fine-root figure cannot be interpreted without it. ","")&amp;IF(AND(ISNUMBER($H900),$H900&gt;0.5),"Ash fraction above 0.5 — over half this sample was mineral soil. Re-wash. ","")&amp;IF($F900="Not separated","Live and dead not separated. Fine for a stock, but "&amp;"note it in reporting. ",""))</f>
        <v/>
      </c>
      <c r="P900" s="6"/>
      <c r="Q900" s="9" t="n">
        <f aca="false">IF($B900="",0,IF(COUNTIFS($B$5:$B900,$B900)=1,1,0))</f>
        <v>0</v>
      </c>
    </row>
    <row r="901" customFormat="false" ht="15" hidden="false" customHeight="false" outlineLevel="0" collapsed="false">
      <c r="A901" s="6"/>
      <c r="B901" s="6"/>
      <c r="C901" s="6"/>
      <c r="D901" s="6"/>
      <c r="E901" s="6"/>
      <c r="F901" s="6"/>
      <c r="G901" s="7"/>
      <c r="H901" s="7"/>
      <c r="I901" s="6"/>
      <c r="J901" s="9" t="str">
        <f aca="false">IF(NOT(ISNUMBER($G901)),"",IF(AND(ASH_CORRECTED="Yes",ISNUMBER($H901)),$G901*(1-$H901),$G901))</f>
        <v/>
      </c>
      <c r="K901" s="9" t="str">
        <f aca="false">IF($B901="","",IFERROR(AVERAGEIFS('2. Soil Data'!$G$5:$G$604,'2. Soil Data'!$B$5:$B$604,$B901),""))</f>
        <v/>
      </c>
      <c r="L901" s="9" t="str">
        <f aca="false">IF(NOT(ISNUMBER($K901)),"",PI()*($K901/2)^2)</f>
        <v/>
      </c>
      <c r="M901" s="9" t="str">
        <f aca="false">IF(OR(NOT(ISNUMBER($J901)),NOT(ISNUMBER($L901)),$L901=0),"",$J901/$L901*10000)</f>
        <v/>
      </c>
      <c r="N901" s="9" t="str">
        <f aca="false">IF(NOT(ISNUMBER($M901)),"",$M901*CARBON_FRACTION_ROOT/1000)</f>
        <v/>
      </c>
      <c r="O901" s="11" t="str">
        <f aca="false">IF(AND($A901="",$B901="",$G901=""),"",IF(AND($B901&lt;&gt;"",COUNTIFS('2. Soil Data'!$B$5:$B$604,$B901)=0),"Core ID not found in Soil Data, so the corer diameter cannot be looked up. ","")&amp;IF(ASH_CORRECTED&lt;&gt;"Yes","Root mass is NOT ash-corrected, so it includes adhering mineral soil and is too high. Set ASH_CORRECTED once you have done it. ","")&amp;IF(AND(ASH_CORRECTED="Yes",NOT(ISNUMBER($H901))),"Ash correction is switched on but no ash fraction is given for this row. ","")&amp;IF($I901="","Sieve mesh not recorded — a fine-root figure cannot be interpreted without it. ","")&amp;IF(AND(ISNUMBER($H901),$H901&gt;0.5),"Ash fraction above 0.5 — over half this sample was mineral soil. Re-wash. ","")&amp;IF($F901="Not separated","Live and dead not separated. Fine for a stock, but "&amp;"note it in reporting. ",""))</f>
        <v/>
      </c>
      <c r="P901" s="6"/>
      <c r="Q901" s="9" t="n">
        <f aca="false">IF($B901="",0,IF(COUNTIFS($B$5:$B901,$B901)=1,1,0))</f>
        <v>0</v>
      </c>
    </row>
    <row r="902" customFormat="false" ht="15" hidden="false" customHeight="false" outlineLevel="0" collapsed="false">
      <c r="A902" s="6"/>
      <c r="B902" s="6"/>
      <c r="C902" s="6"/>
      <c r="D902" s="6"/>
      <c r="E902" s="6"/>
      <c r="F902" s="6"/>
      <c r="G902" s="7"/>
      <c r="H902" s="7"/>
      <c r="I902" s="6"/>
      <c r="J902" s="9" t="str">
        <f aca="false">IF(NOT(ISNUMBER($G902)),"",IF(AND(ASH_CORRECTED="Yes",ISNUMBER($H902)),$G902*(1-$H902),$G902))</f>
        <v/>
      </c>
      <c r="K902" s="9" t="str">
        <f aca="false">IF($B902="","",IFERROR(AVERAGEIFS('2. Soil Data'!$G$5:$G$604,'2. Soil Data'!$B$5:$B$604,$B902),""))</f>
        <v/>
      </c>
      <c r="L902" s="9" t="str">
        <f aca="false">IF(NOT(ISNUMBER($K902)),"",PI()*($K902/2)^2)</f>
        <v/>
      </c>
      <c r="M902" s="9" t="str">
        <f aca="false">IF(OR(NOT(ISNUMBER($J902)),NOT(ISNUMBER($L902)),$L902=0),"",$J902/$L902*10000)</f>
        <v/>
      </c>
      <c r="N902" s="9" t="str">
        <f aca="false">IF(NOT(ISNUMBER($M902)),"",$M902*CARBON_FRACTION_ROOT/1000)</f>
        <v/>
      </c>
      <c r="O902" s="11" t="str">
        <f aca="false">IF(AND($A902="",$B902="",$G902=""),"",IF(AND($B902&lt;&gt;"",COUNTIFS('2. Soil Data'!$B$5:$B$604,$B902)=0),"Core ID not found in Soil Data, so the corer diameter cannot be looked up. ","")&amp;IF(ASH_CORRECTED&lt;&gt;"Yes","Root mass is NOT ash-corrected, so it includes adhering mineral soil and is too high. Set ASH_CORRECTED once you have done it. ","")&amp;IF(AND(ASH_CORRECTED="Yes",NOT(ISNUMBER($H902))),"Ash correction is switched on but no ash fraction is given for this row. ","")&amp;IF($I902="","Sieve mesh not recorded — a fine-root figure cannot be interpreted without it. ","")&amp;IF(AND(ISNUMBER($H902),$H902&gt;0.5),"Ash fraction above 0.5 — over half this sample was mineral soil. Re-wash. ","")&amp;IF($F902="Not separated","Live and dead not separated. Fine for a stock, but "&amp;"note it in reporting. ",""))</f>
        <v/>
      </c>
      <c r="P902" s="6"/>
      <c r="Q902" s="9" t="n">
        <f aca="false">IF($B902="",0,IF(COUNTIFS($B$5:$B902,$B902)=1,1,0))</f>
        <v>0</v>
      </c>
    </row>
    <row r="903" customFormat="false" ht="15" hidden="false" customHeight="false" outlineLevel="0" collapsed="false">
      <c r="A903" s="6"/>
      <c r="B903" s="6"/>
      <c r="C903" s="6"/>
      <c r="D903" s="6"/>
      <c r="E903" s="6"/>
      <c r="F903" s="6"/>
      <c r="G903" s="7"/>
      <c r="H903" s="7"/>
      <c r="I903" s="6"/>
      <c r="J903" s="9" t="str">
        <f aca="false">IF(NOT(ISNUMBER($G903)),"",IF(AND(ASH_CORRECTED="Yes",ISNUMBER($H903)),$G903*(1-$H903),$G903))</f>
        <v/>
      </c>
      <c r="K903" s="9" t="str">
        <f aca="false">IF($B903="","",IFERROR(AVERAGEIFS('2. Soil Data'!$G$5:$G$604,'2. Soil Data'!$B$5:$B$604,$B903),""))</f>
        <v/>
      </c>
      <c r="L903" s="9" t="str">
        <f aca="false">IF(NOT(ISNUMBER($K903)),"",PI()*($K903/2)^2)</f>
        <v/>
      </c>
      <c r="M903" s="9" t="str">
        <f aca="false">IF(OR(NOT(ISNUMBER($J903)),NOT(ISNUMBER($L903)),$L903=0),"",$J903/$L903*10000)</f>
        <v/>
      </c>
      <c r="N903" s="9" t="str">
        <f aca="false">IF(NOT(ISNUMBER($M903)),"",$M903*CARBON_FRACTION_ROOT/1000)</f>
        <v/>
      </c>
      <c r="O903" s="11" t="str">
        <f aca="false">IF(AND($A903="",$B903="",$G903=""),"",IF(AND($B903&lt;&gt;"",COUNTIFS('2. Soil Data'!$B$5:$B$604,$B903)=0),"Core ID not found in Soil Data, so the corer diameter cannot be looked up. ","")&amp;IF(ASH_CORRECTED&lt;&gt;"Yes","Root mass is NOT ash-corrected, so it includes adhering mineral soil and is too high. Set ASH_CORRECTED once you have done it. ","")&amp;IF(AND(ASH_CORRECTED="Yes",NOT(ISNUMBER($H903))),"Ash correction is switched on but no ash fraction is given for this row. ","")&amp;IF($I903="","Sieve mesh not recorded — a fine-root figure cannot be interpreted without it. ","")&amp;IF(AND(ISNUMBER($H903),$H903&gt;0.5),"Ash fraction above 0.5 — over half this sample was mineral soil. Re-wash. ","")&amp;IF($F903="Not separated","Live and dead not separated. Fine for a stock, but "&amp;"note it in reporting. ",""))</f>
        <v/>
      </c>
      <c r="P903" s="6"/>
      <c r="Q903" s="9" t="n">
        <f aca="false">IF($B903="",0,IF(COUNTIFS($B$5:$B903,$B903)=1,1,0))</f>
        <v>0</v>
      </c>
    </row>
    <row r="904" customFormat="false" ht="15" hidden="false" customHeight="false" outlineLevel="0" collapsed="false">
      <c r="A904" s="6"/>
      <c r="B904" s="6"/>
      <c r="C904" s="6"/>
      <c r="D904" s="6"/>
      <c r="E904" s="6"/>
      <c r="F904" s="6"/>
      <c r="G904" s="7"/>
      <c r="H904" s="7"/>
      <c r="I904" s="6"/>
      <c r="J904" s="9" t="str">
        <f aca="false">IF(NOT(ISNUMBER($G904)),"",IF(AND(ASH_CORRECTED="Yes",ISNUMBER($H904)),$G904*(1-$H904),$G904))</f>
        <v/>
      </c>
      <c r="K904" s="9" t="str">
        <f aca="false">IF($B904="","",IFERROR(AVERAGEIFS('2. Soil Data'!$G$5:$G$604,'2. Soil Data'!$B$5:$B$604,$B904),""))</f>
        <v/>
      </c>
      <c r="L904" s="9" t="str">
        <f aca="false">IF(NOT(ISNUMBER($K904)),"",PI()*($K904/2)^2)</f>
        <v/>
      </c>
      <c r="M904" s="9" t="str">
        <f aca="false">IF(OR(NOT(ISNUMBER($J904)),NOT(ISNUMBER($L904)),$L904=0),"",$J904/$L904*10000)</f>
        <v/>
      </c>
      <c r="N904" s="9" t="str">
        <f aca="false">IF(NOT(ISNUMBER($M904)),"",$M904*CARBON_FRACTION_ROOT/1000)</f>
        <v/>
      </c>
      <c r="O904" s="11" t="str">
        <f aca="false">IF(AND($A904="",$B904="",$G904=""),"",IF(AND($B904&lt;&gt;"",COUNTIFS('2. Soil Data'!$B$5:$B$604,$B904)=0),"Core ID not found in Soil Data, so the corer diameter cannot be looked up. ","")&amp;IF(ASH_CORRECTED&lt;&gt;"Yes","Root mass is NOT ash-corrected, so it includes adhering mineral soil and is too high. Set ASH_CORRECTED once you have done it. ","")&amp;IF(AND(ASH_CORRECTED="Yes",NOT(ISNUMBER($H904))),"Ash correction is switched on but no ash fraction is given for this row. ","")&amp;IF($I904="","Sieve mesh not recorded — a fine-root figure cannot be interpreted without it. ","")&amp;IF(AND(ISNUMBER($H904),$H904&gt;0.5),"Ash fraction above 0.5 — over half this sample was mineral soil. Re-wash. ","")&amp;IF($F904="Not separated","Live and dead not separated. Fine for a stock, but "&amp;"note it in reporting. ",""))</f>
        <v/>
      </c>
      <c r="P904" s="6"/>
      <c r="Q904" s="9" t="n">
        <f aca="false">IF($B904="",0,IF(COUNTIFS($B$5:$B904,$B904)=1,1,0))</f>
        <v>0</v>
      </c>
    </row>
  </sheetData>
  <mergeCells count="2">
    <mergeCell ref="A1:Q1"/>
    <mergeCell ref="A2:Q2"/>
  </mergeCells>
  <dataValidations count="2">
    <dataValidation allowBlank="true" errorStyle="stop" operator="between" showDropDown="false" showErrorMessage="false" showInputMessage="false" sqref="E5:E904" type="list">
      <formula1>"&lt;=2 mm (fine),&gt;2 mm (coarse)"</formula1>
      <formula2>0</formula2>
    </dataValidation>
    <dataValidation allowBlank="true" errorStyle="stop" operator="between" showDropDown="false" showErrorMessage="false" showInputMessage="false" sqref="F5:F904" type="list">
      <formula1>"Live,Dead,Not separated"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20"/>
    <col collapsed="false" customWidth="true" hidden="false" outlineLevel="0" max="4" min="4" style="0" width="19"/>
    <col collapsed="false" customWidth="true" hidden="false" outlineLevel="0" max="5" min="5" style="0" width="18"/>
    <col collapsed="false" customWidth="true" hidden="false" outlineLevel="0" max="6" min="6" style="0" width="13"/>
    <col collapsed="false" customWidth="true" hidden="false" outlineLevel="0" max="9" min="7" style="0" width="15"/>
    <col collapsed="false" customWidth="true" hidden="false" outlineLevel="0" max="10" min="10" style="0" width="13"/>
    <col collapsed="false" customWidth="true" hidden="false" outlineLevel="0" max="12" min="11" style="0" width="14"/>
    <col collapsed="false" customWidth="true" hidden="false" outlineLevel="0" max="13" min="13" style="0" width="12"/>
    <col collapsed="false" customWidth="true" hidden="false" outlineLevel="0" max="14" min="14" style="0" width="30"/>
    <col collapsed="false" customWidth="true" hidden="false" outlineLevel="0" max="15" min="15" style="0" width="15"/>
    <col collapsed="false" customWidth="true" hidden="false" outlineLevel="0" max="16" min="16" style="0" width="52"/>
    <col collapsed="false" customWidth="true" hidden="false" outlineLevel="0" max="17" min="17" style="0" width="30"/>
  </cols>
  <sheetData>
    <row r="1" customFormat="false" ht="17.35" hidden="false" customHeight="false" outlineLevel="0" collapsed="false">
      <c r="A1" s="1" t="s">
        <v>136</v>
      </c>
      <c r="B1" s="1"/>
      <c r="C1" s="1"/>
      <c r="D1" s="1"/>
      <c r="E1" s="1"/>
      <c r="F1" s="1"/>
      <c r="G1" s="1"/>
      <c r="H1" s="1"/>
      <c r="I1" s="1"/>
      <c r="J1" s="1"/>
      <c r="K1" s="1"/>
      <c r="L1" s="1"/>
      <c r="M1" s="1"/>
      <c r="N1" s="1"/>
      <c r="O1" s="1"/>
      <c r="P1" s="1"/>
      <c r="Q1" s="1"/>
    </row>
    <row r="2" customFormat="false" ht="31.5" hidden="false" customHeight="true" outlineLevel="0" collapsed="false">
      <c r="A2" s="2" t="s">
        <v>137</v>
      </c>
      <c r="B2" s="2"/>
      <c r="C2" s="2"/>
      <c r="D2" s="2"/>
      <c r="E2" s="2"/>
      <c r="F2" s="2"/>
      <c r="G2" s="2"/>
      <c r="H2" s="2"/>
      <c r="I2" s="2"/>
      <c r="J2" s="2"/>
      <c r="K2" s="2"/>
      <c r="L2" s="2"/>
      <c r="M2" s="2"/>
      <c r="N2" s="2"/>
      <c r="O2" s="2"/>
      <c r="P2" s="2"/>
      <c r="Q2" s="2"/>
    </row>
    <row r="4" customFormat="false" ht="45.75" hidden="false" customHeight="true" outlineLevel="0" collapsed="false">
      <c r="A4" s="14" t="s">
        <v>45</v>
      </c>
      <c r="B4" s="14" t="s">
        <v>138</v>
      </c>
      <c r="C4" s="14" t="s">
        <v>139</v>
      </c>
      <c r="D4" s="14" t="s">
        <v>140</v>
      </c>
      <c r="E4" s="14" t="s">
        <v>141</v>
      </c>
      <c r="F4" s="14" t="s">
        <v>142</v>
      </c>
      <c r="G4" s="14" t="s">
        <v>143</v>
      </c>
      <c r="H4" s="14" t="s">
        <v>144</v>
      </c>
      <c r="I4" s="14" t="s">
        <v>145</v>
      </c>
      <c r="J4" s="14" t="s">
        <v>146</v>
      </c>
      <c r="K4" s="14" t="s">
        <v>147</v>
      </c>
      <c r="L4" s="14" t="s">
        <v>148</v>
      </c>
      <c r="M4" s="14" t="s">
        <v>62</v>
      </c>
      <c r="N4" s="14" t="s">
        <v>149</v>
      </c>
      <c r="O4" s="14" t="s">
        <v>150</v>
      </c>
      <c r="P4" s="14" t="s">
        <v>108</v>
      </c>
      <c r="Q4" s="14" t="s">
        <v>64</v>
      </c>
    </row>
    <row r="5" customFormat="false" ht="15" hidden="false" customHeight="false" outlineLevel="0" collapsed="false">
      <c r="A5" s="6" t="s">
        <v>65</v>
      </c>
      <c r="B5" s="6" t="s">
        <v>68</v>
      </c>
      <c r="C5" s="6" t="s">
        <v>151</v>
      </c>
      <c r="D5" s="6" t="s">
        <v>152</v>
      </c>
      <c r="E5" s="6" t="s">
        <v>153</v>
      </c>
      <c r="F5" s="6" t="n">
        <v>0.25</v>
      </c>
      <c r="G5" s="7" t="n">
        <v>34</v>
      </c>
      <c r="H5" s="7" t="n">
        <v>21</v>
      </c>
      <c r="I5" s="9" t="n">
        <f aca="false">IF(OR(NOT(ISNUMBER($F5)),$F5=0,AND(NOT(ISNUMBER($G5)),NOT(ISNUMBER($H5)))),"",(IF(ISNUMBER($G5),$G5,0)+IF(ISNUMBER($H5),$H5,0))/$F5*CARBON_FRACTION_BIOMASS/1000)</f>
        <v>0.11</v>
      </c>
      <c r="J5" s="6" t="n">
        <v>100</v>
      </c>
      <c r="K5" s="7"/>
      <c r="L5" s="9" t="str">
        <f aca="false">IF(OR(NOT(ISNUMBER($K5)),NOT(ISNUMBER($J5)),$J5=0),"",$K5*CARBON_FRACTION_BIOMASS/$J5)</f>
        <v/>
      </c>
      <c r="M5" s="6" t="n">
        <v>0</v>
      </c>
      <c r="N5" s="6"/>
      <c r="O5" s="9" t="n">
        <f aca="false">IF($A5="","",IF(ISNUMBER($I5),$I5,0)+IF(ISNUMBER($L5),$L5,0)+IF(ISNUMBER($N5),$N5,0))</f>
        <v>0.11</v>
      </c>
      <c r="P5" s="11" t="str">
        <f aca="false">IF($A5="","",IF(COUNTIF('1. Plot &amp; Site Log'!$A$5:$A$64,$A5)=0,"Plot ID not in the Plot &amp; Site Log. ","")&amp;IF(COMPARABLE_SEASON_RULE="","No comparable-season rule is written down in Settings, so no plot can say "&amp;"whether it met one. ","")&amp;IF($E5="No","Did NOT meet the project comparable-season rule. Usable on its own, but do not "&amp;"pool it with plots that did, or compare it to another visit. ","")&amp;IF($E5="Not assessed","Comparability against the season rule has not been assessed for this plot. ","")&amp;IF($C5="Unknown","Phenological stage unknown — a standing crop with no stage attached cannot be "&amp;"interpreted or repeated. ","")&amp;IF($B5="","No sampling date. A clip-and-weigh without a date cannot be interpreted. ","")&amp;IF(OR($D5="Grazing — heavy",$D5="Hayed / mown",$D5="Burned"),"Standing material was removed before clipping, so this is what SURVIVED, not "&amp;"what grew. Report it as such. ","")&amp;IF($D5="Unknown","Recent removal unknown — the clip cannot be separated from grazing loss. ","")&amp;IF(AND(ISNUMBER($M5),$M5&gt;0,NOT(ISNUMBER($N5))),"Canopy cover is recorded but no tree carbon is entered — any tree over 2 m "&amp;"goes through the Forests protocol. ","")&amp;IF(AND(ISNUMBER($K5),$K5&gt;0),"Shrub figures are ABOVE-ground only; shrub roots are in neither this pool nor "&amp;"the soil core. Declare the gap. ",""))</f>
        <v/>
      </c>
      <c r="Q5" s="6"/>
    </row>
    <row r="6" customFormat="false" ht="15" hidden="false" customHeight="false" outlineLevel="0" collapsed="false">
      <c r="A6" s="6" t="s">
        <v>76</v>
      </c>
      <c r="B6" s="6" t="s">
        <v>68</v>
      </c>
      <c r="C6" s="6" t="s">
        <v>151</v>
      </c>
      <c r="D6" s="6" t="s">
        <v>152</v>
      </c>
      <c r="E6" s="6" t="s">
        <v>153</v>
      </c>
      <c r="F6" s="6" t="n">
        <v>0.25</v>
      </c>
      <c r="G6" s="7" t="n">
        <v>29</v>
      </c>
      <c r="H6" s="7" t="n">
        <v>18</v>
      </c>
      <c r="I6" s="9" t="n">
        <f aca="false">IF(OR(NOT(ISNUMBER($F6)),$F6=0,AND(NOT(ISNUMBER($G6)),NOT(ISNUMBER($H6)))),"",(IF(ISNUMBER($G6),$G6,0)+IF(ISNUMBER($H6),$H6,0))/$F6*CARBON_FRACTION_BIOMASS/1000)</f>
        <v>0.094</v>
      </c>
      <c r="J6" s="6" t="n">
        <v>100</v>
      </c>
      <c r="K6" s="7"/>
      <c r="L6" s="9" t="str">
        <f aca="false">IF(OR(NOT(ISNUMBER($K6)),NOT(ISNUMBER($J6)),$J6=0),"",$K6*CARBON_FRACTION_BIOMASS/$J6)</f>
        <v/>
      </c>
      <c r="M6" s="6" t="n">
        <v>0</v>
      </c>
      <c r="N6" s="6"/>
      <c r="O6" s="9" t="n">
        <f aca="false">IF($A6="","",IF(ISNUMBER($I6),$I6,0)+IF(ISNUMBER($L6),$L6,0)+IF(ISNUMBER($N6),$N6,0))</f>
        <v>0.094</v>
      </c>
      <c r="P6" s="11" t="str">
        <f aca="false">IF($A6="","",IF(COUNTIF('1. Plot &amp; Site Log'!$A$5:$A$64,$A6)=0,"Plot ID not in the Plot &amp; Site Log. ","")&amp;IF(COMPARABLE_SEASON_RULE="","No comparable-season rule is written down in Settings, so no plot can say "&amp;"whether it met one. ","")&amp;IF($E6="No","Did NOT meet the project comparable-season rule. Usable on its own, but do not "&amp;"pool it with plots that did, or compare it to another visit. ","")&amp;IF($E6="Not assessed","Comparability against the season rule has not been assessed for this plot. ","")&amp;IF($C6="Unknown","Phenological stage unknown — a standing crop with no stage attached cannot be "&amp;"interpreted or repeated. ","")&amp;IF($B6="","No sampling date. A clip-and-weigh without a date cannot be interpreted. ","")&amp;IF(OR($D6="Grazing — heavy",$D6="Hayed / mown",$D6="Burned"),"Standing material was removed before clipping, so this is what SURVIVED, not "&amp;"what grew. Report it as such. ","")&amp;IF($D6="Unknown","Recent removal unknown — the clip cannot be separated from grazing loss. ","")&amp;IF(AND(ISNUMBER($M6),$M6&gt;0,NOT(ISNUMBER($N6))),"Canopy cover is recorded but no tree carbon is entered — any tree over 2 m "&amp;"goes through the Forests protocol. ","")&amp;IF(AND(ISNUMBER($K6),$K6&gt;0),"Shrub figures are ABOVE-ground only; shrub roots are in neither this pool nor "&amp;"the soil core. Declare the gap. ",""))</f>
        <v/>
      </c>
      <c r="Q6" s="6"/>
    </row>
    <row r="7" customFormat="false" ht="15" hidden="false" customHeight="false" outlineLevel="0" collapsed="false">
      <c r="A7" s="6" t="s">
        <v>77</v>
      </c>
      <c r="B7" s="6" t="s">
        <v>68</v>
      </c>
      <c r="C7" s="6" t="s">
        <v>151</v>
      </c>
      <c r="D7" s="6" t="s">
        <v>152</v>
      </c>
      <c r="E7" s="6" t="s">
        <v>153</v>
      </c>
      <c r="F7" s="6" t="n">
        <v>0.25</v>
      </c>
      <c r="G7" s="7" t="n">
        <v>38</v>
      </c>
      <c r="H7" s="7" t="n">
        <v>25</v>
      </c>
      <c r="I7" s="9" t="n">
        <f aca="false">IF(OR(NOT(ISNUMBER($F7)),$F7=0,AND(NOT(ISNUMBER($G7)),NOT(ISNUMBER($H7)))),"",(IF(ISNUMBER($G7),$G7,0)+IF(ISNUMBER($H7),$H7,0))/$F7*CARBON_FRACTION_BIOMASS/1000)</f>
        <v>0.126</v>
      </c>
      <c r="J7" s="6" t="n">
        <v>100</v>
      </c>
      <c r="K7" s="7"/>
      <c r="L7" s="9" t="str">
        <f aca="false">IF(OR(NOT(ISNUMBER($K7)),NOT(ISNUMBER($J7)),$J7=0),"",$K7*CARBON_FRACTION_BIOMASS/$J7)</f>
        <v/>
      </c>
      <c r="M7" s="6" t="n">
        <v>0</v>
      </c>
      <c r="N7" s="6"/>
      <c r="O7" s="9" t="n">
        <f aca="false">IF($A7="","",IF(ISNUMBER($I7),$I7,0)+IF(ISNUMBER($L7),$L7,0)+IF(ISNUMBER($N7),$N7,0))</f>
        <v>0.126</v>
      </c>
      <c r="P7" s="11" t="str">
        <f aca="false">IF($A7="","",IF(COUNTIF('1. Plot &amp; Site Log'!$A$5:$A$64,$A7)=0,"Plot ID not in the Plot &amp; Site Log. ","")&amp;IF(COMPARABLE_SEASON_RULE="","No comparable-season rule is written down in Settings, so no plot can say "&amp;"whether it met one. ","")&amp;IF($E7="No","Did NOT meet the project comparable-season rule. Usable on its own, but do not "&amp;"pool it with plots that did, or compare it to another visit. ","")&amp;IF($E7="Not assessed","Comparability against the season rule has not been assessed for this plot. ","")&amp;IF($C7="Unknown","Phenological stage unknown — a standing crop with no stage attached cannot be "&amp;"interpreted or repeated. ","")&amp;IF($B7="","No sampling date. A clip-and-weigh without a date cannot be interpreted. ","")&amp;IF(OR($D7="Grazing — heavy",$D7="Hayed / mown",$D7="Burned"),"Standing material was removed before clipping, so this is what SURVIVED, not "&amp;"what grew. Report it as such. ","")&amp;IF($D7="Unknown","Recent removal unknown — the clip cannot be separated from grazing loss. ","")&amp;IF(AND(ISNUMBER($M7),$M7&gt;0,NOT(ISNUMBER($N7))),"Canopy cover is recorded but no tree carbon is entered — any tree over 2 m "&amp;"goes through the Forests protocol. ","")&amp;IF(AND(ISNUMBER($K7),$K7&gt;0),"Shrub figures are ABOVE-ground only; shrub roots are in neither this pool nor "&amp;"the soil core. Declare the gap. ",""))</f>
        <v/>
      </c>
      <c r="Q7" s="6"/>
    </row>
    <row r="8" customFormat="false" ht="15" hidden="false" customHeight="false" outlineLevel="0" collapsed="false">
      <c r="A8" s="6" t="s">
        <v>78</v>
      </c>
      <c r="B8" s="6" t="s">
        <v>68</v>
      </c>
      <c r="C8" s="6" t="s">
        <v>151</v>
      </c>
      <c r="D8" s="6" t="s">
        <v>152</v>
      </c>
      <c r="E8" s="6" t="s">
        <v>153</v>
      </c>
      <c r="F8" s="6" t="n">
        <v>0.25</v>
      </c>
      <c r="G8" s="7" t="n">
        <v>62</v>
      </c>
      <c r="H8" s="7" t="n">
        <v>48</v>
      </c>
      <c r="I8" s="9" t="n">
        <f aca="false">IF(OR(NOT(ISNUMBER($F8)),$F8=0,AND(NOT(ISNUMBER($G8)),NOT(ISNUMBER($H8)))),"",(IF(ISNUMBER($G8),$G8,0)+IF(ISNUMBER($H8),$H8,0))/$F8*CARBON_FRACTION_BIOMASS/1000)</f>
        <v>0.22</v>
      </c>
      <c r="J8" s="6" t="n">
        <v>100</v>
      </c>
      <c r="K8" s="7"/>
      <c r="L8" s="9" t="str">
        <f aca="false">IF(OR(NOT(ISNUMBER($K8)),NOT(ISNUMBER($J8)),$J8=0),"",$K8*CARBON_FRACTION_BIOMASS/$J8)</f>
        <v/>
      </c>
      <c r="M8" s="6" t="n">
        <v>0</v>
      </c>
      <c r="N8" s="6"/>
      <c r="O8" s="9" t="n">
        <f aca="false">IF($A8="","",IF(ISNUMBER($I8),$I8,0)+IF(ISNUMBER($L8),$L8,0)+IF(ISNUMBER($N8),$N8,0))</f>
        <v>0.22</v>
      </c>
      <c r="P8" s="11" t="str">
        <f aca="false">IF($A8="","",IF(COUNTIF('1. Plot &amp; Site Log'!$A$5:$A$64,$A8)=0,"Plot ID not in the Plot &amp; Site Log. ","")&amp;IF(COMPARABLE_SEASON_RULE="","No comparable-season rule is written down in Settings, so no plot can say "&amp;"whether it met one. ","")&amp;IF($E8="No","Did NOT meet the project comparable-season rule. Usable on its own, but do not "&amp;"pool it with plots that did, or compare it to another visit. ","")&amp;IF($E8="Not assessed","Comparability against the season rule has not been assessed for this plot. ","")&amp;IF($C8="Unknown","Phenological stage unknown — a standing crop with no stage attached cannot be "&amp;"interpreted or repeated. ","")&amp;IF($B8="","No sampling date. A clip-and-weigh without a date cannot be interpreted. ","")&amp;IF(OR($D8="Grazing — heavy",$D8="Hayed / mown",$D8="Burned"),"Standing material was removed before clipping, so this is what SURVIVED, not "&amp;"what grew. Report it as such. ","")&amp;IF($D8="Unknown","Recent removal unknown — the clip cannot be separated from grazing loss. ","")&amp;IF(AND(ISNUMBER($M8),$M8&gt;0,NOT(ISNUMBER($N8))),"Canopy cover is recorded but no tree carbon is entered — any tree over 2 m "&amp;"goes through the Forests protocol. ","")&amp;IF(AND(ISNUMBER($K8),$K8&gt;0),"Shrub figures are ABOVE-ground only; shrub roots are in neither this pool nor "&amp;"the soil core. Declare the gap. ",""))</f>
        <v/>
      </c>
      <c r="Q8" s="6"/>
    </row>
    <row r="9" customFormat="false" ht="15" hidden="false" customHeight="false" outlineLevel="0" collapsed="false">
      <c r="A9" s="6" t="s">
        <v>81</v>
      </c>
      <c r="B9" s="6" t="s">
        <v>68</v>
      </c>
      <c r="C9" s="6" t="s">
        <v>151</v>
      </c>
      <c r="D9" s="6" t="s">
        <v>152</v>
      </c>
      <c r="E9" s="6" t="s">
        <v>153</v>
      </c>
      <c r="F9" s="6" t="n">
        <v>0.25</v>
      </c>
      <c r="G9" s="7" t="n">
        <v>58</v>
      </c>
      <c r="H9" s="7" t="n">
        <v>52</v>
      </c>
      <c r="I9" s="9" t="n">
        <f aca="false">IF(OR(NOT(ISNUMBER($F9)),$F9=0,AND(NOT(ISNUMBER($G9)),NOT(ISNUMBER($H9)))),"",(IF(ISNUMBER($G9),$G9,0)+IF(ISNUMBER($H9),$H9,0))/$F9*CARBON_FRACTION_BIOMASS/1000)</f>
        <v>0.22</v>
      </c>
      <c r="J9" s="6" t="n">
        <v>100</v>
      </c>
      <c r="K9" s="7"/>
      <c r="L9" s="9" t="str">
        <f aca="false">IF(OR(NOT(ISNUMBER($K9)),NOT(ISNUMBER($J9)),$J9=0),"",$K9*CARBON_FRACTION_BIOMASS/$J9)</f>
        <v/>
      </c>
      <c r="M9" s="6" t="n">
        <v>0</v>
      </c>
      <c r="N9" s="6"/>
      <c r="O9" s="9" t="n">
        <f aca="false">IF($A9="","",IF(ISNUMBER($I9),$I9,0)+IF(ISNUMBER($L9),$L9,0)+IF(ISNUMBER($N9),$N9,0))</f>
        <v>0.22</v>
      </c>
      <c r="P9" s="11" t="str">
        <f aca="false">IF($A9="","",IF(COUNTIF('1. Plot &amp; Site Log'!$A$5:$A$64,$A9)=0,"Plot ID not in the Plot &amp; Site Log. ","")&amp;IF(COMPARABLE_SEASON_RULE="","No comparable-season rule is written down in Settings, so no plot can say "&amp;"whether it met one. ","")&amp;IF($E9="No","Did NOT meet the project comparable-season rule. Usable on its own, but do not "&amp;"pool it with plots that did, or compare it to another visit. ","")&amp;IF($E9="Not assessed","Comparability against the season rule has not been assessed for this plot. ","")&amp;IF($C9="Unknown","Phenological stage unknown — a standing crop with no stage attached cannot be "&amp;"interpreted or repeated. ","")&amp;IF($B9="","No sampling date. A clip-and-weigh without a date cannot be interpreted. ","")&amp;IF(OR($D9="Grazing — heavy",$D9="Hayed / mown",$D9="Burned"),"Standing material was removed before clipping, so this is what SURVIVED, not "&amp;"what grew. Report it as such. ","")&amp;IF($D9="Unknown","Recent removal unknown — the clip cannot be separated from grazing loss. ","")&amp;IF(AND(ISNUMBER($M9),$M9&gt;0,NOT(ISNUMBER($N9))),"Canopy cover is recorded but no tree carbon is entered — any tree over 2 m "&amp;"goes through the Forests protocol. ","")&amp;IF(AND(ISNUMBER($K9),$K9&gt;0),"Shrub figures are ABOVE-ground only; shrub roots are in neither this pool nor "&amp;"the soil core. Declare the gap. ",""))</f>
        <v/>
      </c>
      <c r="Q9" s="6"/>
    </row>
    <row r="10" customFormat="false" ht="15" hidden="false" customHeight="false" outlineLevel="0" collapsed="false">
      <c r="A10" s="6" t="s">
        <v>82</v>
      </c>
      <c r="B10" s="6" t="s">
        <v>68</v>
      </c>
      <c r="C10" s="6" t="s">
        <v>151</v>
      </c>
      <c r="D10" s="6" t="s">
        <v>152</v>
      </c>
      <c r="E10" s="6" t="s">
        <v>153</v>
      </c>
      <c r="F10" s="6" t="n">
        <v>0.25</v>
      </c>
      <c r="G10" s="7" t="n">
        <v>67</v>
      </c>
      <c r="H10" s="7" t="n">
        <v>44</v>
      </c>
      <c r="I10" s="9" t="n">
        <f aca="false">IF(OR(NOT(ISNUMBER($F10)),$F10=0,AND(NOT(ISNUMBER($G10)),NOT(ISNUMBER($H10)))),"",(IF(ISNUMBER($G10),$G10,0)+IF(ISNUMBER($H10),$H10,0))/$F10*CARBON_FRACTION_BIOMASS/1000)</f>
        <v>0.222</v>
      </c>
      <c r="J10" s="6" t="n">
        <v>100</v>
      </c>
      <c r="K10" s="7"/>
      <c r="L10" s="9" t="str">
        <f aca="false">IF(OR(NOT(ISNUMBER($K10)),NOT(ISNUMBER($J10)),$J10=0),"",$K10*CARBON_FRACTION_BIOMASS/$J10)</f>
        <v/>
      </c>
      <c r="M10" s="6" t="n">
        <v>0</v>
      </c>
      <c r="N10" s="6"/>
      <c r="O10" s="9" t="n">
        <f aca="false">IF($A10="","",IF(ISNUMBER($I10),$I10,0)+IF(ISNUMBER($L10),$L10,0)+IF(ISNUMBER($N10),$N10,0))</f>
        <v>0.222</v>
      </c>
      <c r="P10" s="11" t="str">
        <f aca="false">IF($A10="","",IF(COUNTIF('1. Plot &amp; Site Log'!$A$5:$A$64,$A10)=0,"Plot ID not in the Plot &amp; Site Log. ","")&amp;IF(COMPARABLE_SEASON_RULE="","No comparable-season rule is written down in Settings, so no plot can say "&amp;"whether it met one. ","")&amp;IF($E10="No","Did NOT meet the project comparable-season rule. Usable on its own, but do not "&amp;"pool it with plots that did, or compare it to another visit. ","")&amp;IF($E10="Not assessed","Comparability against the season rule has not been assessed for this plot. ","")&amp;IF($C10="Unknown","Phenological stage unknown — a standing crop with no stage attached cannot be "&amp;"interpreted or repeated. ","")&amp;IF($B10="","No sampling date. A clip-and-weigh without a date cannot be interpreted. ","")&amp;IF(OR($D10="Grazing — heavy",$D10="Hayed / mown",$D10="Burned"),"Standing material was removed before clipping, so this is what SURVIVED, not "&amp;"what grew. Report it as such. ","")&amp;IF($D10="Unknown","Recent removal unknown — the clip cannot be separated from grazing loss. ","")&amp;IF(AND(ISNUMBER($M10),$M10&gt;0,NOT(ISNUMBER($N10))),"Canopy cover is recorded but no tree carbon is entered — any tree over 2 m "&amp;"goes through the Forests protocol. ","")&amp;IF(AND(ISNUMBER($K10),$K10&gt;0),"Shrub figures are ABOVE-ground only; shrub roots are in neither this pool nor "&amp;"the soil core. Declare the gap. ",""))</f>
        <v/>
      </c>
      <c r="Q10" s="6"/>
    </row>
    <row r="11" customFormat="false" ht="15" hidden="false" customHeight="false" outlineLevel="0" collapsed="false">
      <c r="A11" s="6" t="s">
        <v>83</v>
      </c>
      <c r="B11" s="6" t="s">
        <v>68</v>
      </c>
      <c r="C11" s="6" t="s">
        <v>151</v>
      </c>
      <c r="D11" s="6" t="s">
        <v>152</v>
      </c>
      <c r="E11" s="6" t="s">
        <v>153</v>
      </c>
      <c r="F11" s="6" t="n">
        <v>0.25</v>
      </c>
      <c r="G11" s="7" t="n">
        <v>41</v>
      </c>
      <c r="H11" s="7" t="n">
        <v>19</v>
      </c>
      <c r="I11" s="9" t="n">
        <f aca="false">IF(OR(NOT(ISNUMBER($F11)),$F11=0,AND(NOT(ISNUMBER($G11)),NOT(ISNUMBER($H11)))),"",(IF(ISNUMBER($G11),$G11,0)+IF(ISNUMBER($H11),$H11,0))/$F11*CARBON_FRACTION_BIOMASS/1000)</f>
        <v>0.12</v>
      </c>
      <c r="J11" s="6" t="n">
        <v>100</v>
      </c>
      <c r="K11" s="7" t="n">
        <v>3.2</v>
      </c>
      <c r="L11" s="9" t="n">
        <f aca="false">IF(OR(NOT(ISNUMBER($K11)),NOT(ISNUMBER($J11)),$J11=0),"",$K11*CARBON_FRACTION_BIOMASS/$J11)</f>
        <v>0.016</v>
      </c>
      <c r="M11" s="6" t="n">
        <v>28</v>
      </c>
      <c r="N11" s="6" t="n">
        <v>1.94</v>
      </c>
      <c r="O11" s="9" t="n">
        <f aca="false">IF($A11="","",IF(ISNUMBER($I11),$I11,0)+IF(ISNUMBER($L11),$L11,0)+IF(ISNUMBER($N11),$N11,0))</f>
        <v>2.076</v>
      </c>
      <c r="P11" s="11" t="str">
        <f aca="false">IF($A11="","",IF(COUNTIF('1. Plot &amp; Site Log'!$A$5:$A$64,$A11)=0,"Plot ID not in the Plot &amp; Site Log. ","")&amp;IF(COMPARABLE_SEASON_RULE="","No comparable-season rule is written down in Settings, so no plot can say "&amp;"whether it met one. ","")&amp;IF($E11="No","Did NOT meet the project comparable-season rule. Usable on its own, but do not "&amp;"pool it with plots that did, or compare it to another visit. ","")&amp;IF($E11="Not assessed","Comparability against the season rule has not been assessed for this plot. ","")&amp;IF($C11="Unknown","Phenological stage unknown — a standing crop with no stage attached cannot be "&amp;"interpreted or repeated. ","")&amp;IF($B11="","No sampling date. A clip-and-weigh without a date cannot be interpreted. ","")&amp;IF(OR($D11="Grazing — heavy",$D11="Hayed / mown",$D11="Burned"),"Standing material was removed before clipping, so this is what SURVIVED, not "&amp;"what grew. Report it as such. ","")&amp;IF($D11="Unknown","Recent removal unknown — the clip cannot be separated from grazing loss. ","")&amp;IF(AND(ISNUMBER($M11),$M11&gt;0,NOT(ISNUMBER($N11))),"Canopy cover is recorded but no tree carbon is entered — any tree over 2 m "&amp;"goes through the Forests protocol. ","")&amp;IF(AND(ISNUMBER($K11),$K11&gt;0),"Shrub figures are ABOVE-ground only; shrub roots are in neither this pool nor "&amp;"the soil core. Declare the gap. ",""))</f>
        <v>Shrub figures are ABOVE-ground only; shrub roots are in neither this pool nor the soil core. Declare the gap. </v>
      </c>
      <c r="Q11" s="6"/>
    </row>
    <row r="12" customFormat="false" ht="15" hidden="false" customHeight="false" outlineLevel="0" collapsed="false">
      <c r="A12" s="6" t="s">
        <v>87</v>
      </c>
      <c r="B12" s="6" t="s">
        <v>68</v>
      </c>
      <c r="C12" s="6" t="s">
        <v>151</v>
      </c>
      <c r="D12" s="6" t="s">
        <v>152</v>
      </c>
      <c r="E12" s="6" t="s">
        <v>153</v>
      </c>
      <c r="F12" s="6" t="n">
        <v>0.25</v>
      </c>
      <c r="G12" s="7" t="n">
        <v>36</v>
      </c>
      <c r="H12" s="7" t="n">
        <v>22</v>
      </c>
      <c r="I12" s="9" t="n">
        <f aca="false">IF(OR(NOT(ISNUMBER($F12)),$F12=0,AND(NOT(ISNUMBER($G12)),NOT(ISNUMBER($H12)))),"",(IF(ISNUMBER($G12),$G12,0)+IF(ISNUMBER($H12),$H12,0))/$F12*CARBON_FRACTION_BIOMASS/1000)</f>
        <v>0.116</v>
      </c>
      <c r="J12" s="6" t="n">
        <v>100</v>
      </c>
      <c r="K12" s="7" t="n">
        <v>4.1</v>
      </c>
      <c r="L12" s="9" t="n">
        <f aca="false">IF(OR(NOT(ISNUMBER($K12)),NOT(ISNUMBER($J12)),$J12=0),"",$K12*CARBON_FRACTION_BIOMASS/$J12)</f>
        <v>0.0205</v>
      </c>
      <c r="M12" s="6" t="n">
        <v>31</v>
      </c>
      <c r="N12" s="6" t="n">
        <v>2.31</v>
      </c>
      <c r="O12" s="9" t="n">
        <f aca="false">IF($A12="","",IF(ISNUMBER($I12),$I12,0)+IF(ISNUMBER($L12),$L12,0)+IF(ISNUMBER($N12),$N12,0))</f>
        <v>2.4465</v>
      </c>
      <c r="P12" s="11" t="str">
        <f aca="false">IF($A12="","",IF(COUNTIF('1. Plot &amp; Site Log'!$A$5:$A$64,$A12)=0,"Plot ID not in the Plot &amp; Site Log. ","")&amp;IF(COMPARABLE_SEASON_RULE="","No comparable-season rule is written down in Settings, so no plot can say "&amp;"whether it met one. ","")&amp;IF($E12="No","Did NOT meet the project comparable-season rule. Usable on its own, but do not "&amp;"pool it with plots that did, or compare it to another visit. ","")&amp;IF($E12="Not assessed","Comparability against the season rule has not been assessed for this plot. ","")&amp;IF($C12="Unknown","Phenological stage unknown — a standing crop with no stage attached cannot be "&amp;"interpreted or repeated. ","")&amp;IF($B12="","No sampling date. A clip-and-weigh without a date cannot be interpreted. ","")&amp;IF(OR($D12="Grazing — heavy",$D12="Hayed / mown",$D12="Burned"),"Standing material was removed before clipping, so this is what SURVIVED, not "&amp;"what grew. Report it as such. ","")&amp;IF($D12="Unknown","Recent removal unknown — the clip cannot be separated from grazing loss. ","")&amp;IF(AND(ISNUMBER($M12),$M12&gt;0,NOT(ISNUMBER($N12))),"Canopy cover is recorded but no tree carbon is entered — any tree over 2 m "&amp;"goes through the Forests protocol. ","")&amp;IF(AND(ISNUMBER($K12),$K12&gt;0),"Shrub figures are ABOVE-ground only; shrub roots are in neither this pool nor "&amp;"the soil core. Declare the gap. ",""))</f>
        <v>Shrub figures are ABOVE-ground only; shrub roots are in neither this pool nor the soil core. Declare the gap. </v>
      </c>
      <c r="Q12" s="6"/>
    </row>
    <row r="13" customFormat="false" ht="15" hidden="false" customHeight="false" outlineLevel="0" collapsed="false">
      <c r="A13" s="6" t="s">
        <v>88</v>
      </c>
      <c r="B13" s="6" t="s">
        <v>68</v>
      </c>
      <c r="C13" s="6" t="s">
        <v>151</v>
      </c>
      <c r="D13" s="6" t="s">
        <v>152</v>
      </c>
      <c r="E13" s="6" t="s">
        <v>153</v>
      </c>
      <c r="F13" s="6" t="n">
        <v>0.25</v>
      </c>
      <c r="G13" s="7" t="n">
        <v>44</v>
      </c>
      <c r="H13" s="7" t="n">
        <v>17</v>
      </c>
      <c r="I13" s="9" t="n">
        <f aca="false">IF(OR(NOT(ISNUMBER($F13)),$F13=0,AND(NOT(ISNUMBER($G13)),NOT(ISNUMBER($H13)))),"",(IF(ISNUMBER($G13),$G13,0)+IF(ISNUMBER($H13),$H13,0))/$F13*CARBON_FRACTION_BIOMASS/1000)</f>
        <v>0.122</v>
      </c>
      <c r="J13" s="6" t="n">
        <v>100</v>
      </c>
      <c r="K13" s="7" t="n">
        <v>2.6</v>
      </c>
      <c r="L13" s="9" t="n">
        <f aca="false">IF(OR(NOT(ISNUMBER($K13)),NOT(ISNUMBER($J13)),$J13=0),"",$K13*CARBON_FRACTION_BIOMASS/$J13)</f>
        <v>0.013</v>
      </c>
      <c r="M13" s="6" t="n">
        <v>22</v>
      </c>
      <c r="N13" s="6" t="n">
        <v>1.42</v>
      </c>
      <c r="O13" s="9" t="n">
        <f aca="false">IF($A13="","",IF(ISNUMBER($I13),$I13,0)+IF(ISNUMBER($L13),$L13,0)+IF(ISNUMBER($N13),$N13,0))</f>
        <v>1.555</v>
      </c>
      <c r="P13" s="11" t="str">
        <f aca="false">IF($A13="","",IF(COUNTIF('1. Plot &amp; Site Log'!$A$5:$A$64,$A13)=0,"Plot ID not in the Plot &amp; Site Log. ","")&amp;IF(COMPARABLE_SEASON_RULE="","No comparable-season rule is written down in Settings, so no plot can say "&amp;"whether it met one. ","")&amp;IF($E13="No","Did NOT meet the project comparable-season rule. Usable on its own, but do not "&amp;"pool it with plots that did, or compare it to another visit. ","")&amp;IF($E13="Not assessed","Comparability against the season rule has not been assessed for this plot. ","")&amp;IF($C13="Unknown","Phenological stage unknown — a standing crop with no stage attached cannot be "&amp;"interpreted or repeated. ","")&amp;IF($B13="","No sampling date. A clip-and-weigh without a date cannot be interpreted. ","")&amp;IF(OR($D13="Grazing — heavy",$D13="Hayed / mown",$D13="Burned"),"Standing material was removed before clipping, so this is what SURVIVED, not "&amp;"what grew. Report it as such. ","")&amp;IF($D13="Unknown","Recent removal unknown — the clip cannot be separated from grazing loss. ","")&amp;IF(AND(ISNUMBER($M13),$M13&gt;0,NOT(ISNUMBER($N13))),"Canopy cover is recorded but no tree carbon is entered — any tree over 2 m "&amp;"goes through the Forests protocol. ","")&amp;IF(AND(ISNUMBER($K13),$K13&gt;0),"Shrub figures are ABOVE-ground only; shrub roots are in neither this pool nor "&amp;"the soil core. Declare the gap. ",""))</f>
        <v>Shrub figures are ABOVE-ground only; shrub roots are in neither this pool nor the soil core. Declare the gap. </v>
      </c>
      <c r="Q13" s="6"/>
    </row>
    <row r="14" customFormat="false" ht="15" hidden="false" customHeight="false" outlineLevel="0" collapsed="false">
      <c r="A14" s="6"/>
      <c r="B14" s="6"/>
      <c r="C14" s="6"/>
      <c r="D14" s="6"/>
      <c r="E14" s="6"/>
      <c r="F14" s="6"/>
      <c r="G14" s="7"/>
      <c r="H14" s="7"/>
      <c r="I14" s="9" t="str">
        <f aca="false">IF(OR(NOT(ISNUMBER($F14)),$F14=0,AND(NOT(ISNUMBER($G14)),NOT(ISNUMBER($H14)))),"",(IF(ISNUMBER($G14),$G14,0)+IF(ISNUMBER($H14),$H14,0))/$F14*CARBON_FRACTION_BIOMASS/1000)</f>
        <v/>
      </c>
      <c r="J14" s="6"/>
      <c r="K14" s="7"/>
      <c r="L14" s="9" t="str">
        <f aca="false">IF(OR(NOT(ISNUMBER($K14)),NOT(ISNUMBER($J14)),$J14=0),"",$K14*CARBON_FRACTION_BIOMASS/$J14)</f>
        <v/>
      </c>
      <c r="M14" s="6"/>
      <c r="N14" s="6"/>
      <c r="O14" s="9" t="str">
        <f aca="false">IF($A14="","",IF(ISNUMBER($I14),$I14,0)+IF(ISNUMBER($L14),$L14,0)+IF(ISNUMBER($N14),$N14,0))</f>
        <v/>
      </c>
      <c r="P14" s="11" t="str">
        <f aca="false">IF($A14="","",IF(COUNTIF('1. Plot &amp; Site Log'!$A$5:$A$64,$A14)=0,"Plot ID not in the Plot &amp; Site Log. ","")&amp;IF(COMPARABLE_SEASON_RULE="","No comparable-season rule is written down in Settings, so no plot can say "&amp;"whether it met one. ","")&amp;IF($E14="No","Did NOT meet the project comparable-season rule. Usable on its own, but do not "&amp;"pool it with plots that did, or compare it to another visit. ","")&amp;IF($E14="Not assessed","Comparability against the season rule has not been assessed for this plot. ","")&amp;IF($C14="Unknown","Phenological stage unknown — a standing crop with no stage attached cannot be "&amp;"interpreted or repeated. ","")&amp;IF($B14="","No sampling date. A clip-and-weigh without a date cannot be interpreted. ","")&amp;IF(OR($D14="Grazing — heavy",$D14="Hayed / mown",$D14="Burned"),"Standing material was removed before clipping, so this is what SURVIVED, not "&amp;"what grew. Report it as such. ","")&amp;IF($D14="Unknown","Recent removal unknown — the clip cannot be separated from grazing loss. ","")&amp;IF(AND(ISNUMBER($M14),$M14&gt;0,NOT(ISNUMBER($N14))),"Canopy cover is recorded but no tree carbon is entered — any tree over 2 m "&amp;"goes through the Forests protocol. ","")&amp;IF(AND(ISNUMBER($K14),$K14&gt;0),"Shrub figures are ABOVE-ground only; shrub roots are in neither this pool nor "&amp;"the soil core. Declare the gap. ",""))</f>
        <v/>
      </c>
      <c r="Q14" s="6"/>
    </row>
    <row r="15" customFormat="false" ht="15" hidden="false" customHeight="false" outlineLevel="0" collapsed="false">
      <c r="A15" s="6"/>
      <c r="B15" s="6"/>
      <c r="C15" s="6"/>
      <c r="D15" s="6"/>
      <c r="E15" s="6"/>
      <c r="F15" s="6"/>
      <c r="G15" s="7"/>
      <c r="H15" s="7"/>
      <c r="I15" s="9" t="str">
        <f aca="false">IF(OR(NOT(ISNUMBER($F15)),$F15=0,AND(NOT(ISNUMBER($G15)),NOT(ISNUMBER($H15)))),"",(IF(ISNUMBER($G15),$G15,0)+IF(ISNUMBER($H15),$H15,0))/$F15*CARBON_FRACTION_BIOMASS/1000)</f>
        <v/>
      </c>
      <c r="J15" s="6"/>
      <c r="K15" s="7"/>
      <c r="L15" s="9" t="str">
        <f aca="false">IF(OR(NOT(ISNUMBER($K15)),NOT(ISNUMBER($J15)),$J15=0),"",$K15*CARBON_FRACTION_BIOMASS/$J15)</f>
        <v/>
      </c>
      <c r="M15" s="6"/>
      <c r="N15" s="6"/>
      <c r="O15" s="9" t="str">
        <f aca="false">IF($A15="","",IF(ISNUMBER($I15),$I15,0)+IF(ISNUMBER($L15),$L15,0)+IF(ISNUMBER($N15),$N15,0))</f>
        <v/>
      </c>
      <c r="P15" s="11" t="str">
        <f aca="false">IF($A15="","",IF(COUNTIF('1. Plot &amp; Site Log'!$A$5:$A$64,$A15)=0,"Plot ID not in the Plot &amp; Site Log. ","")&amp;IF(COMPARABLE_SEASON_RULE="","No comparable-season rule is written down in Settings, so no plot can say "&amp;"whether it met one. ","")&amp;IF($E15="No","Did NOT meet the project comparable-season rule. Usable on its own, but do not "&amp;"pool it with plots that did, or compare it to another visit. ","")&amp;IF($E15="Not assessed","Comparability against the season rule has not been assessed for this plot. ","")&amp;IF($C15="Unknown","Phenological stage unknown — a standing crop with no stage attached cannot be "&amp;"interpreted or repeated. ","")&amp;IF($B15="","No sampling date. A clip-and-weigh without a date cannot be interpreted. ","")&amp;IF(OR($D15="Grazing — heavy",$D15="Hayed / mown",$D15="Burned"),"Standing material was removed before clipping, so this is what SURVIVED, not "&amp;"what grew. Report it as such. ","")&amp;IF($D15="Unknown","Recent removal unknown — the clip cannot be separated from grazing loss. ","")&amp;IF(AND(ISNUMBER($M15),$M15&gt;0,NOT(ISNUMBER($N15))),"Canopy cover is recorded but no tree carbon is entered — any tree over 2 m "&amp;"goes through the Forests protocol. ","")&amp;IF(AND(ISNUMBER($K15),$K15&gt;0),"Shrub figures are ABOVE-ground only; shrub roots are in neither this pool nor "&amp;"the soil core. Declare the gap. ",""))</f>
        <v/>
      </c>
      <c r="Q15" s="6"/>
    </row>
    <row r="16" customFormat="false" ht="15" hidden="false" customHeight="false" outlineLevel="0" collapsed="false">
      <c r="A16" s="6"/>
      <c r="B16" s="6"/>
      <c r="C16" s="6"/>
      <c r="D16" s="6"/>
      <c r="E16" s="6"/>
      <c r="F16" s="6"/>
      <c r="G16" s="7"/>
      <c r="H16" s="7"/>
      <c r="I16" s="9" t="str">
        <f aca="false">IF(OR(NOT(ISNUMBER($F16)),$F16=0,AND(NOT(ISNUMBER($G16)),NOT(ISNUMBER($H16)))),"",(IF(ISNUMBER($G16),$G16,0)+IF(ISNUMBER($H16),$H16,0))/$F16*CARBON_FRACTION_BIOMASS/1000)</f>
        <v/>
      </c>
      <c r="J16" s="6"/>
      <c r="K16" s="7"/>
      <c r="L16" s="9" t="str">
        <f aca="false">IF(OR(NOT(ISNUMBER($K16)),NOT(ISNUMBER($J16)),$J16=0),"",$K16*CARBON_FRACTION_BIOMASS/$J16)</f>
        <v/>
      </c>
      <c r="M16" s="6"/>
      <c r="N16" s="6"/>
      <c r="O16" s="9" t="str">
        <f aca="false">IF($A16="","",IF(ISNUMBER($I16),$I16,0)+IF(ISNUMBER($L16),$L16,0)+IF(ISNUMBER($N16),$N16,0))</f>
        <v/>
      </c>
      <c r="P16" s="11" t="str">
        <f aca="false">IF($A16="","",IF(COUNTIF('1. Plot &amp; Site Log'!$A$5:$A$64,$A16)=0,"Plot ID not in the Plot &amp; Site Log. ","")&amp;IF(COMPARABLE_SEASON_RULE="","No comparable-season rule is written down in Settings, so no plot can say "&amp;"whether it met one. ","")&amp;IF($E16="No","Did NOT meet the project comparable-season rule. Usable on its own, but do not "&amp;"pool it with plots that did, or compare it to another visit. ","")&amp;IF($E16="Not assessed","Comparability against the season rule has not been assessed for this plot. ","")&amp;IF($C16="Unknown","Phenological stage unknown — a standing crop with no stage attached cannot be "&amp;"interpreted or repeated. ","")&amp;IF($B16="","No sampling date. A clip-and-weigh without a date cannot be interpreted. ","")&amp;IF(OR($D16="Grazing — heavy",$D16="Hayed / mown",$D16="Burned"),"Standing material was removed before clipping, so this is what SURVIVED, not "&amp;"what grew. Report it as such. ","")&amp;IF($D16="Unknown","Recent removal unknown — the clip cannot be separated from grazing loss. ","")&amp;IF(AND(ISNUMBER($M16),$M16&gt;0,NOT(ISNUMBER($N16))),"Canopy cover is recorded but no tree carbon is entered — any tree over 2 m "&amp;"goes through the Forests protocol. ","")&amp;IF(AND(ISNUMBER($K16),$K16&gt;0),"Shrub figures are ABOVE-ground only; shrub roots are in neither this pool nor "&amp;"the soil core. Declare the gap. ",""))</f>
        <v/>
      </c>
      <c r="Q16" s="6"/>
    </row>
    <row r="17" customFormat="false" ht="15" hidden="false" customHeight="false" outlineLevel="0" collapsed="false">
      <c r="A17" s="6"/>
      <c r="B17" s="6"/>
      <c r="C17" s="6"/>
      <c r="D17" s="6"/>
      <c r="E17" s="6"/>
      <c r="F17" s="6"/>
      <c r="G17" s="7"/>
      <c r="H17" s="7"/>
      <c r="I17" s="9" t="str">
        <f aca="false">IF(OR(NOT(ISNUMBER($F17)),$F17=0,AND(NOT(ISNUMBER($G17)),NOT(ISNUMBER($H17)))),"",(IF(ISNUMBER($G17),$G17,0)+IF(ISNUMBER($H17),$H17,0))/$F17*CARBON_FRACTION_BIOMASS/1000)</f>
        <v/>
      </c>
      <c r="J17" s="6"/>
      <c r="K17" s="7"/>
      <c r="L17" s="9" t="str">
        <f aca="false">IF(OR(NOT(ISNUMBER($K17)),NOT(ISNUMBER($J17)),$J17=0),"",$K17*CARBON_FRACTION_BIOMASS/$J17)</f>
        <v/>
      </c>
      <c r="M17" s="6"/>
      <c r="N17" s="6"/>
      <c r="O17" s="9" t="str">
        <f aca="false">IF($A17="","",IF(ISNUMBER($I17),$I17,0)+IF(ISNUMBER($L17),$L17,0)+IF(ISNUMBER($N17),$N17,0))</f>
        <v/>
      </c>
      <c r="P17" s="11" t="str">
        <f aca="false">IF($A17="","",IF(COUNTIF('1. Plot &amp; Site Log'!$A$5:$A$64,$A17)=0,"Plot ID not in the Plot &amp; Site Log. ","")&amp;IF(COMPARABLE_SEASON_RULE="","No comparable-season rule is written down in Settings, so no plot can say "&amp;"whether it met one. ","")&amp;IF($E17="No","Did NOT meet the project comparable-season rule. Usable on its own, but do not "&amp;"pool it with plots that did, or compare it to another visit. ","")&amp;IF($E17="Not assessed","Comparability against the season rule has not been assessed for this plot. ","")&amp;IF($C17="Unknown","Phenological stage unknown — a standing crop with no stage attached cannot be "&amp;"interpreted or repeated. ","")&amp;IF($B17="","No sampling date. A clip-and-weigh without a date cannot be interpreted. ","")&amp;IF(OR($D17="Grazing — heavy",$D17="Hayed / mown",$D17="Burned"),"Standing material was removed before clipping, so this is what SURVIVED, not "&amp;"what grew. Report it as such. ","")&amp;IF($D17="Unknown","Recent removal unknown — the clip cannot be separated from grazing loss. ","")&amp;IF(AND(ISNUMBER($M17),$M17&gt;0,NOT(ISNUMBER($N17))),"Canopy cover is recorded but no tree carbon is entered — any tree over 2 m "&amp;"goes through the Forests protocol. ","")&amp;IF(AND(ISNUMBER($K17),$K17&gt;0),"Shrub figures are ABOVE-ground only; shrub roots are in neither this pool nor "&amp;"the soil core. Declare the gap. ",""))</f>
        <v/>
      </c>
      <c r="Q17" s="6"/>
    </row>
    <row r="18" customFormat="false" ht="15" hidden="false" customHeight="false" outlineLevel="0" collapsed="false">
      <c r="A18" s="6"/>
      <c r="B18" s="6"/>
      <c r="C18" s="6"/>
      <c r="D18" s="6"/>
      <c r="E18" s="6"/>
      <c r="F18" s="6"/>
      <c r="G18" s="7"/>
      <c r="H18" s="7"/>
      <c r="I18" s="9" t="str">
        <f aca="false">IF(OR(NOT(ISNUMBER($F18)),$F18=0,AND(NOT(ISNUMBER($G18)),NOT(ISNUMBER($H18)))),"",(IF(ISNUMBER($G18),$G18,0)+IF(ISNUMBER($H18),$H18,0))/$F18*CARBON_FRACTION_BIOMASS/1000)</f>
        <v/>
      </c>
      <c r="J18" s="6"/>
      <c r="K18" s="7"/>
      <c r="L18" s="9" t="str">
        <f aca="false">IF(OR(NOT(ISNUMBER($K18)),NOT(ISNUMBER($J18)),$J18=0),"",$K18*CARBON_FRACTION_BIOMASS/$J18)</f>
        <v/>
      </c>
      <c r="M18" s="6"/>
      <c r="N18" s="6"/>
      <c r="O18" s="9" t="str">
        <f aca="false">IF($A18="","",IF(ISNUMBER($I18),$I18,0)+IF(ISNUMBER($L18),$L18,0)+IF(ISNUMBER($N18),$N18,0))</f>
        <v/>
      </c>
      <c r="P18" s="11" t="str">
        <f aca="false">IF($A18="","",IF(COUNTIF('1. Plot &amp; Site Log'!$A$5:$A$64,$A18)=0,"Plot ID not in the Plot &amp; Site Log. ","")&amp;IF(COMPARABLE_SEASON_RULE="","No comparable-season rule is written down in Settings, so no plot can say "&amp;"whether it met one. ","")&amp;IF($E18="No","Did NOT meet the project comparable-season rule. Usable on its own, but do not "&amp;"pool it with plots that did, or compare it to another visit. ","")&amp;IF($E18="Not assessed","Comparability against the season rule has not been assessed for this plot. ","")&amp;IF($C18="Unknown","Phenological stage unknown — a standing crop with no stage attached cannot be "&amp;"interpreted or repeated. ","")&amp;IF($B18="","No sampling date. A clip-and-weigh without a date cannot be interpreted. ","")&amp;IF(OR($D18="Grazing — heavy",$D18="Hayed / mown",$D18="Burned"),"Standing material was removed before clipping, so this is what SURVIVED, not "&amp;"what grew. Report it as such. ","")&amp;IF($D18="Unknown","Recent removal unknown — the clip cannot be separated from grazing loss. ","")&amp;IF(AND(ISNUMBER($M18),$M18&gt;0,NOT(ISNUMBER($N18))),"Canopy cover is recorded but no tree carbon is entered — any tree over 2 m "&amp;"goes through the Forests protocol. ","")&amp;IF(AND(ISNUMBER($K18),$K18&gt;0),"Shrub figures are ABOVE-ground only; shrub roots are in neither this pool nor "&amp;"the soil core. Declare the gap. ",""))</f>
        <v/>
      </c>
      <c r="Q18" s="6"/>
    </row>
    <row r="19" customFormat="false" ht="15" hidden="false" customHeight="false" outlineLevel="0" collapsed="false">
      <c r="A19" s="6"/>
      <c r="B19" s="6"/>
      <c r="C19" s="6"/>
      <c r="D19" s="6"/>
      <c r="E19" s="6"/>
      <c r="F19" s="6"/>
      <c r="G19" s="7"/>
      <c r="H19" s="7"/>
      <c r="I19" s="9" t="str">
        <f aca="false">IF(OR(NOT(ISNUMBER($F19)),$F19=0,AND(NOT(ISNUMBER($G19)),NOT(ISNUMBER($H19)))),"",(IF(ISNUMBER($G19),$G19,0)+IF(ISNUMBER($H19),$H19,0))/$F19*CARBON_FRACTION_BIOMASS/1000)</f>
        <v/>
      </c>
      <c r="J19" s="6"/>
      <c r="K19" s="7"/>
      <c r="L19" s="9" t="str">
        <f aca="false">IF(OR(NOT(ISNUMBER($K19)),NOT(ISNUMBER($J19)),$J19=0),"",$K19*CARBON_FRACTION_BIOMASS/$J19)</f>
        <v/>
      </c>
      <c r="M19" s="6"/>
      <c r="N19" s="6"/>
      <c r="O19" s="9" t="str">
        <f aca="false">IF($A19="","",IF(ISNUMBER($I19),$I19,0)+IF(ISNUMBER($L19),$L19,0)+IF(ISNUMBER($N19),$N19,0))</f>
        <v/>
      </c>
      <c r="P19" s="11" t="str">
        <f aca="false">IF($A19="","",IF(COUNTIF('1. Plot &amp; Site Log'!$A$5:$A$64,$A19)=0,"Plot ID not in the Plot &amp; Site Log. ","")&amp;IF(COMPARABLE_SEASON_RULE="","No comparable-season rule is written down in Settings, so no plot can say "&amp;"whether it met one. ","")&amp;IF($E19="No","Did NOT meet the project comparable-season rule. Usable on its own, but do not "&amp;"pool it with plots that did, or compare it to another visit. ","")&amp;IF($E19="Not assessed","Comparability against the season rule has not been assessed for this plot. ","")&amp;IF($C19="Unknown","Phenological stage unknown — a standing crop with no stage attached cannot be "&amp;"interpreted or repeated. ","")&amp;IF($B19="","No sampling date. A clip-and-weigh without a date cannot be interpreted. ","")&amp;IF(OR($D19="Grazing — heavy",$D19="Hayed / mown",$D19="Burned"),"Standing material was removed before clipping, so this is what SURVIVED, not "&amp;"what grew. Report it as such. ","")&amp;IF($D19="Unknown","Recent removal unknown — the clip cannot be separated from grazing loss. ","")&amp;IF(AND(ISNUMBER($M19),$M19&gt;0,NOT(ISNUMBER($N19))),"Canopy cover is recorded but no tree carbon is entered — any tree over 2 m "&amp;"goes through the Forests protocol. ","")&amp;IF(AND(ISNUMBER($K19),$K19&gt;0),"Shrub figures are ABOVE-ground only; shrub roots are in neither this pool nor "&amp;"the soil core. Declare the gap. ",""))</f>
        <v/>
      </c>
      <c r="Q19" s="6"/>
    </row>
    <row r="20" customFormat="false" ht="15" hidden="false" customHeight="false" outlineLevel="0" collapsed="false">
      <c r="A20" s="6"/>
      <c r="B20" s="6"/>
      <c r="C20" s="6"/>
      <c r="D20" s="6"/>
      <c r="E20" s="6"/>
      <c r="F20" s="6"/>
      <c r="G20" s="7"/>
      <c r="H20" s="7"/>
      <c r="I20" s="9" t="str">
        <f aca="false">IF(OR(NOT(ISNUMBER($F20)),$F20=0,AND(NOT(ISNUMBER($G20)),NOT(ISNUMBER($H20)))),"",(IF(ISNUMBER($G20),$G20,0)+IF(ISNUMBER($H20),$H20,0))/$F20*CARBON_FRACTION_BIOMASS/1000)</f>
        <v/>
      </c>
      <c r="J20" s="6"/>
      <c r="K20" s="7"/>
      <c r="L20" s="9" t="str">
        <f aca="false">IF(OR(NOT(ISNUMBER($K20)),NOT(ISNUMBER($J20)),$J20=0),"",$K20*CARBON_FRACTION_BIOMASS/$J20)</f>
        <v/>
      </c>
      <c r="M20" s="6"/>
      <c r="N20" s="6"/>
      <c r="O20" s="9" t="str">
        <f aca="false">IF($A20="","",IF(ISNUMBER($I20),$I20,0)+IF(ISNUMBER($L20),$L20,0)+IF(ISNUMBER($N20),$N20,0))</f>
        <v/>
      </c>
      <c r="P20" s="11" t="str">
        <f aca="false">IF($A20="","",IF(COUNTIF('1. Plot &amp; Site Log'!$A$5:$A$64,$A20)=0,"Plot ID not in the Plot &amp; Site Log. ","")&amp;IF(COMPARABLE_SEASON_RULE="","No comparable-season rule is written down in Settings, so no plot can say "&amp;"whether it met one. ","")&amp;IF($E20="No","Did NOT meet the project comparable-season rule. Usable on its own, but do not "&amp;"pool it with plots that did, or compare it to another visit. ","")&amp;IF($E20="Not assessed","Comparability against the season rule has not been assessed for this plot. ","")&amp;IF($C20="Unknown","Phenological stage unknown — a standing crop with no stage attached cannot be "&amp;"interpreted or repeated. ","")&amp;IF($B20="","No sampling date. A clip-and-weigh without a date cannot be interpreted. ","")&amp;IF(OR($D20="Grazing — heavy",$D20="Hayed / mown",$D20="Burned"),"Standing material was removed before clipping, so this is what SURVIVED, not "&amp;"what grew. Report it as such. ","")&amp;IF($D20="Unknown","Recent removal unknown — the clip cannot be separated from grazing loss. ","")&amp;IF(AND(ISNUMBER($M20),$M20&gt;0,NOT(ISNUMBER($N20))),"Canopy cover is recorded but no tree carbon is entered — any tree over 2 m "&amp;"goes through the Forests protocol. ","")&amp;IF(AND(ISNUMBER($K20),$K20&gt;0),"Shrub figures are ABOVE-ground only; shrub roots are in neither this pool nor "&amp;"the soil core. Declare the gap. ",""))</f>
        <v/>
      </c>
      <c r="Q20" s="6"/>
    </row>
    <row r="21" customFormat="false" ht="15" hidden="false" customHeight="false" outlineLevel="0" collapsed="false">
      <c r="A21" s="6"/>
      <c r="B21" s="6"/>
      <c r="C21" s="6"/>
      <c r="D21" s="6"/>
      <c r="E21" s="6"/>
      <c r="F21" s="6"/>
      <c r="G21" s="7"/>
      <c r="H21" s="7"/>
      <c r="I21" s="9" t="str">
        <f aca="false">IF(OR(NOT(ISNUMBER($F21)),$F21=0,AND(NOT(ISNUMBER($G21)),NOT(ISNUMBER($H21)))),"",(IF(ISNUMBER($G21),$G21,0)+IF(ISNUMBER($H21),$H21,0))/$F21*CARBON_FRACTION_BIOMASS/1000)</f>
        <v/>
      </c>
      <c r="J21" s="6"/>
      <c r="K21" s="7"/>
      <c r="L21" s="9" t="str">
        <f aca="false">IF(OR(NOT(ISNUMBER($K21)),NOT(ISNUMBER($J21)),$J21=0),"",$K21*CARBON_FRACTION_BIOMASS/$J21)</f>
        <v/>
      </c>
      <c r="M21" s="6"/>
      <c r="N21" s="6"/>
      <c r="O21" s="9" t="str">
        <f aca="false">IF($A21="","",IF(ISNUMBER($I21),$I21,0)+IF(ISNUMBER($L21),$L21,0)+IF(ISNUMBER($N21),$N21,0))</f>
        <v/>
      </c>
      <c r="P21" s="11" t="str">
        <f aca="false">IF($A21="","",IF(COUNTIF('1. Plot &amp; Site Log'!$A$5:$A$64,$A21)=0,"Plot ID not in the Plot &amp; Site Log. ","")&amp;IF(COMPARABLE_SEASON_RULE="","No comparable-season rule is written down in Settings, so no plot can say "&amp;"whether it met one. ","")&amp;IF($E21="No","Did NOT meet the project comparable-season rule. Usable on its own, but do not "&amp;"pool it with plots that did, or compare it to another visit. ","")&amp;IF($E21="Not assessed","Comparability against the season rule has not been assessed for this plot. ","")&amp;IF($C21="Unknown","Phenological stage unknown — a standing crop with no stage attached cannot be "&amp;"interpreted or repeated. ","")&amp;IF($B21="","No sampling date. A clip-and-weigh without a date cannot be interpreted. ","")&amp;IF(OR($D21="Grazing — heavy",$D21="Hayed / mown",$D21="Burned"),"Standing material was removed before clipping, so this is what SURVIVED, not "&amp;"what grew. Report it as such. ","")&amp;IF($D21="Unknown","Recent removal unknown — the clip cannot be separated from grazing loss. ","")&amp;IF(AND(ISNUMBER($M21),$M21&gt;0,NOT(ISNUMBER($N21))),"Canopy cover is recorded but no tree carbon is entered — any tree over 2 m "&amp;"goes through the Forests protocol. ","")&amp;IF(AND(ISNUMBER($K21),$K21&gt;0),"Shrub figures are ABOVE-ground only; shrub roots are in neither this pool nor "&amp;"the soil core. Declare the gap. ",""))</f>
        <v/>
      </c>
      <c r="Q21" s="6"/>
    </row>
    <row r="22" customFormat="false" ht="15" hidden="false" customHeight="false" outlineLevel="0" collapsed="false">
      <c r="A22" s="6"/>
      <c r="B22" s="6"/>
      <c r="C22" s="6"/>
      <c r="D22" s="6"/>
      <c r="E22" s="6"/>
      <c r="F22" s="6"/>
      <c r="G22" s="7"/>
      <c r="H22" s="7"/>
      <c r="I22" s="9" t="str">
        <f aca="false">IF(OR(NOT(ISNUMBER($F22)),$F22=0,AND(NOT(ISNUMBER($G22)),NOT(ISNUMBER($H22)))),"",(IF(ISNUMBER($G22),$G22,0)+IF(ISNUMBER($H22),$H22,0))/$F22*CARBON_FRACTION_BIOMASS/1000)</f>
        <v/>
      </c>
      <c r="J22" s="6"/>
      <c r="K22" s="7"/>
      <c r="L22" s="9" t="str">
        <f aca="false">IF(OR(NOT(ISNUMBER($K22)),NOT(ISNUMBER($J22)),$J22=0),"",$K22*CARBON_FRACTION_BIOMASS/$J22)</f>
        <v/>
      </c>
      <c r="M22" s="6"/>
      <c r="N22" s="6"/>
      <c r="O22" s="9" t="str">
        <f aca="false">IF($A22="","",IF(ISNUMBER($I22),$I22,0)+IF(ISNUMBER($L22),$L22,0)+IF(ISNUMBER($N22),$N22,0))</f>
        <v/>
      </c>
      <c r="P22" s="11" t="str">
        <f aca="false">IF($A22="","",IF(COUNTIF('1. Plot &amp; Site Log'!$A$5:$A$64,$A22)=0,"Plot ID not in the Plot &amp; Site Log. ","")&amp;IF(COMPARABLE_SEASON_RULE="","No comparable-season rule is written down in Settings, so no plot can say "&amp;"whether it met one. ","")&amp;IF($E22="No","Did NOT meet the project comparable-season rule. Usable on its own, but do not "&amp;"pool it with plots that did, or compare it to another visit. ","")&amp;IF($E22="Not assessed","Comparability against the season rule has not been assessed for this plot. ","")&amp;IF($C22="Unknown","Phenological stage unknown — a standing crop with no stage attached cannot be "&amp;"interpreted or repeated. ","")&amp;IF($B22="","No sampling date. A clip-and-weigh without a date cannot be interpreted. ","")&amp;IF(OR($D22="Grazing — heavy",$D22="Hayed / mown",$D22="Burned"),"Standing material was removed before clipping, so this is what SURVIVED, not "&amp;"what grew. Report it as such. ","")&amp;IF($D22="Unknown","Recent removal unknown — the clip cannot be separated from grazing loss. ","")&amp;IF(AND(ISNUMBER($M22),$M22&gt;0,NOT(ISNUMBER($N22))),"Canopy cover is recorded but no tree carbon is entered — any tree over 2 m "&amp;"goes through the Forests protocol. ","")&amp;IF(AND(ISNUMBER($K22),$K22&gt;0),"Shrub figures are ABOVE-ground only; shrub roots are in neither this pool nor "&amp;"the soil core. Declare the gap. ",""))</f>
        <v/>
      </c>
      <c r="Q22" s="6"/>
    </row>
    <row r="23" customFormat="false" ht="15" hidden="false" customHeight="false" outlineLevel="0" collapsed="false">
      <c r="A23" s="6"/>
      <c r="B23" s="6"/>
      <c r="C23" s="6"/>
      <c r="D23" s="6"/>
      <c r="E23" s="6"/>
      <c r="F23" s="6"/>
      <c r="G23" s="7"/>
      <c r="H23" s="7"/>
      <c r="I23" s="9" t="str">
        <f aca="false">IF(OR(NOT(ISNUMBER($F23)),$F23=0,AND(NOT(ISNUMBER($G23)),NOT(ISNUMBER($H23)))),"",(IF(ISNUMBER($G23),$G23,0)+IF(ISNUMBER($H23),$H23,0))/$F23*CARBON_FRACTION_BIOMASS/1000)</f>
        <v/>
      </c>
      <c r="J23" s="6"/>
      <c r="K23" s="7"/>
      <c r="L23" s="9" t="str">
        <f aca="false">IF(OR(NOT(ISNUMBER($K23)),NOT(ISNUMBER($J23)),$J23=0),"",$K23*CARBON_FRACTION_BIOMASS/$J23)</f>
        <v/>
      </c>
      <c r="M23" s="6"/>
      <c r="N23" s="6"/>
      <c r="O23" s="9" t="str">
        <f aca="false">IF($A23="","",IF(ISNUMBER($I23),$I23,0)+IF(ISNUMBER($L23),$L23,0)+IF(ISNUMBER($N23),$N23,0))</f>
        <v/>
      </c>
      <c r="P23" s="11" t="str">
        <f aca="false">IF($A23="","",IF(COUNTIF('1. Plot &amp; Site Log'!$A$5:$A$64,$A23)=0,"Plot ID not in the Plot &amp; Site Log. ","")&amp;IF(COMPARABLE_SEASON_RULE="","No comparable-season rule is written down in Settings, so no plot can say "&amp;"whether it met one. ","")&amp;IF($E23="No","Did NOT meet the project comparable-season rule. Usable on its own, but do not "&amp;"pool it with plots that did, or compare it to another visit. ","")&amp;IF($E23="Not assessed","Comparability against the season rule has not been assessed for this plot. ","")&amp;IF($C23="Unknown","Phenological stage unknown — a standing crop with no stage attached cannot be "&amp;"interpreted or repeated. ","")&amp;IF($B23="","No sampling date. A clip-and-weigh without a date cannot be interpreted. ","")&amp;IF(OR($D23="Grazing — heavy",$D23="Hayed / mown",$D23="Burned"),"Standing material was removed before clipping, so this is what SURVIVED, not "&amp;"what grew. Report it as such. ","")&amp;IF($D23="Unknown","Recent removal unknown — the clip cannot be separated from grazing loss. ","")&amp;IF(AND(ISNUMBER($M23),$M23&gt;0,NOT(ISNUMBER($N23))),"Canopy cover is recorded but no tree carbon is entered — any tree over 2 m "&amp;"goes through the Forests protocol. ","")&amp;IF(AND(ISNUMBER($K23),$K23&gt;0),"Shrub figures are ABOVE-ground only; shrub roots are in neither this pool nor "&amp;"the soil core. Declare the gap. ",""))</f>
        <v/>
      </c>
      <c r="Q23" s="6"/>
    </row>
    <row r="24" customFormat="false" ht="15" hidden="false" customHeight="false" outlineLevel="0" collapsed="false">
      <c r="A24" s="6"/>
      <c r="B24" s="6"/>
      <c r="C24" s="6"/>
      <c r="D24" s="6"/>
      <c r="E24" s="6"/>
      <c r="F24" s="6"/>
      <c r="G24" s="7"/>
      <c r="H24" s="7"/>
      <c r="I24" s="9" t="str">
        <f aca="false">IF(OR(NOT(ISNUMBER($F24)),$F24=0,AND(NOT(ISNUMBER($G24)),NOT(ISNUMBER($H24)))),"",(IF(ISNUMBER($G24),$G24,0)+IF(ISNUMBER($H24),$H24,0))/$F24*CARBON_FRACTION_BIOMASS/1000)</f>
        <v/>
      </c>
      <c r="J24" s="6"/>
      <c r="K24" s="7"/>
      <c r="L24" s="9" t="str">
        <f aca="false">IF(OR(NOT(ISNUMBER($K24)),NOT(ISNUMBER($J24)),$J24=0),"",$K24*CARBON_FRACTION_BIOMASS/$J24)</f>
        <v/>
      </c>
      <c r="M24" s="6"/>
      <c r="N24" s="6"/>
      <c r="O24" s="9" t="str">
        <f aca="false">IF($A24="","",IF(ISNUMBER($I24),$I24,0)+IF(ISNUMBER($L24),$L24,0)+IF(ISNUMBER($N24),$N24,0))</f>
        <v/>
      </c>
      <c r="P24" s="11" t="str">
        <f aca="false">IF($A24="","",IF(COUNTIF('1. Plot &amp; Site Log'!$A$5:$A$64,$A24)=0,"Plot ID not in the Plot &amp; Site Log. ","")&amp;IF(COMPARABLE_SEASON_RULE="","No comparable-season rule is written down in Settings, so no plot can say "&amp;"whether it met one. ","")&amp;IF($E24="No","Did NOT meet the project comparable-season rule. Usable on its own, but do not "&amp;"pool it with plots that did, or compare it to another visit. ","")&amp;IF($E24="Not assessed","Comparability against the season rule has not been assessed for this plot. ","")&amp;IF($C24="Unknown","Phenological stage unknown — a standing crop with no stage attached cannot be "&amp;"interpreted or repeated. ","")&amp;IF($B24="","No sampling date. A clip-and-weigh without a date cannot be interpreted. ","")&amp;IF(OR($D24="Grazing — heavy",$D24="Hayed / mown",$D24="Burned"),"Standing material was removed before clipping, so this is what SURVIVED, not "&amp;"what grew. Report it as such. ","")&amp;IF($D24="Unknown","Recent removal unknown — the clip cannot be separated from grazing loss. ","")&amp;IF(AND(ISNUMBER($M24),$M24&gt;0,NOT(ISNUMBER($N24))),"Canopy cover is recorded but no tree carbon is entered — any tree over 2 m "&amp;"goes through the Forests protocol. ","")&amp;IF(AND(ISNUMBER($K24),$K24&gt;0),"Shrub figures are ABOVE-ground only; shrub roots are in neither this pool nor "&amp;"the soil core. Declare the gap. ",""))</f>
        <v/>
      </c>
      <c r="Q24" s="6"/>
    </row>
    <row r="25" customFormat="false" ht="15" hidden="false" customHeight="false" outlineLevel="0" collapsed="false">
      <c r="A25" s="6"/>
      <c r="B25" s="6"/>
      <c r="C25" s="6"/>
      <c r="D25" s="6"/>
      <c r="E25" s="6"/>
      <c r="F25" s="6"/>
      <c r="G25" s="7"/>
      <c r="H25" s="7"/>
      <c r="I25" s="9" t="str">
        <f aca="false">IF(OR(NOT(ISNUMBER($F25)),$F25=0,AND(NOT(ISNUMBER($G25)),NOT(ISNUMBER($H25)))),"",(IF(ISNUMBER($G25),$G25,0)+IF(ISNUMBER($H25),$H25,0))/$F25*CARBON_FRACTION_BIOMASS/1000)</f>
        <v/>
      </c>
      <c r="J25" s="6"/>
      <c r="K25" s="7"/>
      <c r="L25" s="9" t="str">
        <f aca="false">IF(OR(NOT(ISNUMBER($K25)),NOT(ISNUMBER($J25)),$J25=0),"",$K25*CARBON_FRACTION_BIOMASS/$J25)</f>
        <v/>
      </c>
      <c r="M25" s="6"/>
      <c r="N25" s="6"/>
      <c r="O25" s="9" t="str">
        <f aca="false">IF($A25="","",IF(ISNUMBER($I25),$I25,0)+IF(ISNUMBER($L25),$L25,0)+IF(ISNUMBER($N25),$N25,0))</f>
        <v/>
      </c>
      <c r="P25" s="11" t="str">
        <f aca="false">IF($A25="","",IF(COUNTIF('1. Plot &amp; Site Log'!$A$5:$A$64,$A25)=0,"Plot ID not in the Plot &amp; Site Log. ","")&amp;IF(COMPARABLE_SEASON_RULE="","No comparable-season rule is written down in Settings, so no plot can say "&amp;"whether it met one. ","")&amp;IF($E25="No","Did NOT meet the project comparable-season rule. Usable on its own, but do not "&amp;"pool it with plots that did, or compare it to another visit. ","")&amp;IF($E25="Not assessed","Comparability against the season rule has not been assessed for this plot. ","")&amp;IF($C25="Unknown","Phenological stage unknown — a standing crop with no stage attached cannot be "&amp;"interpreted or repeated. ","")&amp;IF($B25="","No sampling date. A clip-and-weigh without a date cannot be interpreted. ","")&amp;IF(OR($D25="Grazing — heavy",$D25="Hayed / mown",$D25="Burned"),"Standing material was removed before clipping, so this is what SURVIVED, not "&amp;"what grew. Report it as such. ","")&amp;IF($D25="Unknown","Recent removal unknown — the clip cannot be separated from grazing loss. ","")&amp;IF(AND(ISNUMBER($M25),$M25&gt;0,NOT(ISNUMBER($N25))),"Canopy cover is recorded but no tree carbon is entered — any tree over 2 m "&amp;"goes through the Forests protocol. ","")&amp;IF(AND(ISNUMBER($K25),$K25&gt;0),"Shrub figures are ABOVE-ground only; shrub roots are in neither this pool nor "&amp;"the soil core. Declare the gap. ",""))</f>
        <v/>
      </c>
      <c r="Q25" s="6"/>
    </row>
    <row r="26" customFormat="false" ht="15" hidden="false" customHeight="false" outlineLevel="0" collapsed="false">
      <c r="A26" s="6"/>
      <c r="B26" s="6"/>
      <c r="C26" s="6"/>
      <c r="D26" s="6"/>
      <c r="E26" s="6"/>
      <c r="F26" s="6"/>
      <c r="G26" s="7"/>
      <c r="H26" s="7"/>
      <c r="I26" s="9" t="str">
        <f aca="false">IF(OR(NOT(ISNUMBER($F26)),$F26=0,AND(NOT(ISNUMBER($G26)),NOT(ISNUMBER($H26)))),"",(IF(ISNUMBER($G26),$G26,0)+IF(ISNUMBER($H26),$H26,0))/$F26*CARBON_FRACTION_BIOMASS/1000)</f>
        <v/>
      </c>
      <c r="J26" s="6"/>
      <c r="K26" s="7"/>
      <c r="L26" s="9" t="str">
        <f aca="false">IF(OR(NOT(ISNUMBER($K26)),NOT(ISNUMBER($J26)),$J26=0),"",$K26*CARBON_FRACTION_BIOMASS/$J26)</f>
        <v/>
      </c>
      <c r="M26" s="6"/>
      <c r="N26" s="6"/>
      <c r="O26" s="9" t="str">
        <f aca="false">IF($A26="","",IF(ISNUMBER($I26),$I26,0)+IF(ISNUMBER($L26),$L26,0)+IF(ISNUMBER($N26),$N26,0))</f>
        <v/>
      </c>
      <c r="P26" s="11" t="str">
        <f aca="false">IF($A26="","",IF(COUNTIF('1. Plot &amp; Site Log'!$A$5:$A$64,$A26)=0,"Plot ID not in the Plot &amp; Site Log. ","")&amp;IF(COMPARABLE_SEASON_RULE="","No comparable-season rule is written down in Settings, so no plot can say "&amp;"whether it met one. ","")&amp;IF($E26="No","Did NOT meet the project comparable-season rule. Usable on its own, but do not "&amp;"pool it with plots that did, or compare it to another visit. ","")&amp;IF($E26="Not assessed","Comparability against the season rule has not been assessed for this plot. ","")&amp;IF($C26="Unknown","Phenological stage unknown — a standing crop with no stage attached cannot be "&amp;"interpreted or repeated. ","")&amp;IF($B26="","No sampling date. A clip-and-weigh without a date cannot be interpreted. ","")&amp;IF(OR($D26="Grazing — heavy",$D26="Hayed / mown",$D26="Burned"),"Standing material was removed before clipping, so this is what SURVIVED, not "&amp;"what grew. Report it as such. ","")&amp;IF($D26="Unknown","Recent removal unknown — the clip cannot be separated from grazing loss. ","")&amp;IF(AND(ISNUMBER($M26),$M26&gt;0,NOT(ISNUMBER($N26))),"Canopy cover is recorded but no tree carbon is entered — any tree over 2 m "&amp;"goes through the Forests protocol. ","")&amp;IF(AND(ISNUMBER($K26),$K26&gt;0),"Shrub figures are ABOVE-ground only; shrub roots are in neither this pool nor "&amp;"the soil core. Declare the gap. ",""))</f>
        <v/>
      </c>
      <c r="Q26" s="6"/>
    </row>
    <row r="27" customFormat="false" ht="15" hidden="false" customHeight="false" outlineLevel="0" collapsed="false">
      <c r="A27" s="6"/>
      <c r="B27" s="6"/>
      <c r="C27" s="6"/>
      <c r="D27" s="6"/>
      <c r="E27" s="6"/>
      <c r="F27" s="6"/>
      <c r="G27" s="7"/>
      <c r="H27" s="7"/>
      <c r="I27" s="9" t="str">
        <f aca="false">IF(OR(NOT(ISNUMBER($F27)),$F27=0,AND(NOT(ISNUMBER($G27)),NOT(ISNUMBER($H27)))),"",(IF(ISNUMBER($G27),$G27,0)+IF(ISNUMBER($H27),$H27,0))/$F27*CARBON_FRACTION_BIOMASS/1000)</f>
        <v/>
      </c>
      <c r="J27" s="6"/>
      <c r="K27" s="7"/>
      <c r="L27" s="9" t="str">
        <f aca="false">IF(OR(NOT(ISNUMBER($K27)),NOT(ISNUMBER($J27)),$J27=0),"",$K27*CARBON_FRACTION_BIOMASS/$J27)</f>
        <v/>
      </c>
      <c r="M27" s="6"/>
      <c r="N27" s="6"/>
      <c r="O27" s="9" t="str">
        <f aca="false">IF($A27="","",IF(ISNUMBER($I27),$I27,0)+IF(ISNUMBER($L27),$L27,0)+IF(ISNUMBER($N27),$N27,0))</f>
        <v/>
      </c>
      <c r="P27" s="11" t="str">
        <f aca="false">IF($A27="","",IF(COUNTIF('1. Plot &amp; Site Log'!$A$5:$A$64,$A27)=0,"Plot ID not in the Plot &amp; Site Log. ","")&amp;IF(COMPARABLE_SEASON_RULE="","No comparable-season rule is written down in Settings, so no plot can say "&amp;"whether it met one. ","")&amp;IF($E27="No","Did NOT meet the project comparable-season rule. Usable on its own, but do not "&amp;"pool it with plots that did, or compare it to another visit. ","")&amp;IF($E27="Not assessed","Comparability against the season rule has not been assessed for this plot. ","")&amp;IF($C27="Unknown","Phenological stage unknown — a standing crop with no stage attached cannot be "&amp;"interpreted or repeated. ","")&amp;IF($B27="","No sampling date. A clip-and-weigh without a date cannot be interpreted. ","")&amp;IF(OR($D27="Grazing — heavy",$D27="Hayed / mown",$D27="Burned"),"Standing material was removed before clipping, so this is what SURVIVED, not "&amp;"what grew. Report it as such. ","")&amp;IF($D27="Unknown","Recent removal unknown — the clip cannot be separated from grazing loss. ","")&amp;IF(AND(ISNUMBER($M27),$M27&gt;0,NOT(ISNUMBER($N27))),"Canopy cover is recorded but no tree carbon is entered — any tree over 2 m "&amp;"goes through the Forests protocol. ","")&amp;IF(AND(ISNUMBER($K27),$K27&gt;0),"Shrub figures are ABOVE-ground only; shrub roots are in neither this pool nor "&amp;"the soil core. Declare the gap. ",""))</f>
        <v/>
      </c>
      <c r="Q27" s="6"/>
    </row>
    <row r="28" customFormat="false" ht="15" hidden="false" customHeight="false" outlineLevel="0" collapsed="false">
      <c r="A28" s="6"/>
      <c r="B28" s="6"/>
      <c r="C28" s="6"/>
      <c r="D28" s="6"/>
      <c r="E28" s="6"/>
      <c r="F28" s="6"/>
      <c r="G28" s="7"/>
      <c r="H28" s="7"/>
      <c r="I28" s="9" t="str">
        <f aca="false">IF(OR(NOT(ISNUMBER($F28)),$F28=0,AND(NOT(ISNUMBER($G28)),NOT(ISNUMBER($H28)))),"",(IF(ISNUMBER($G28),$G28,0)+IF(ISNUMBER($H28),$H28,0))/$F28*CARBON_FRACTION_BIOMASS/1000)</f>
        <v/>
      </c>
      <c r="J28" s="6"/>
      <c r="K28" s="7"/>
      <c r="L28" s="9" t="str">
        <f aca="false">IF(OR(NOT(ISNUMBER($K28)),NOT(ISNUMBER($J28)),$J28=0),"",$K28*CARBON_FRACTION_BIOMASS/$J28)</f>
        <v/>
      </c>
      <c r="M28" s="6"/>
      <c r="N28" s="6"/>
      <c r="O28" s="9" t="str">
        <f aca="false">IF($A28="","",IF(ISNUMBER($I28),$I28,0)+IF(ISNUMBER($L28),$L28,0)+IF(ISNUMBER($N28),$N28,0))</f>
        <v/>
      </c>
      <c r="P28" s="11" t="str">
        <f aca="false">IF($A28="","",IF(COUNTIF('1. Plot &amp; Site Log'!$A$5:$A$64,$A28)=0,"Plot ID not in the Plot &amp; Site Log. ","")&amp;IF(COMPARABLE_SEASON_RULE="","No comparable-season rule is written down in Settings, so no plot can say "&amp;"whether it met one. ","")&amp;IF($E28="No","Did NOT meet the project comparable-season rule. Usable on its own, but do not "&amp;"pool it with plots that did, or compare it to another visit. ","")&amp;IF($E28="Not assessed","Comparability against the season rule has not been assessed for this plot. ","")&amp;IF($C28="Unknown","Phenological stage unknown — a standing crop with no stage attached cannot be "&amp;"interpreted or repeated. ","")&amp;IF($B28="","No sampling date. A clip-and-weigh without a date cannot be interpreted. ","")&amp;IF(OR($D28="Grazing — heavy",$D28="Hayed / mown",$D28="Burned"),"Standing material was removed before clipping, so this is what SURVIVED, not "&amp;"what grew. Report it as such. ","")&amp;IF($D28="Unknown","Recent removal unknown — the clip cannot be separated from grazing loss. ","")&amp;IF(AND(ISNUMBER($M28),$M28&gt;0,NOT(ISNUMBER($N28))),"Canopy cover is recorded but no tree carbon is entered — any tree over 2 m "&amp;"goes through the Forests protocol. ","")&amp;IF(AND(ISNUMBER($K28),$K28&gt;0),"Shrub figures are ABOVE-ground only; shrub roots are in neither this pool nor "&amp;"the soil core. Declare the gap. ",""))</f>
        <v/>
      </c>
      <c r="Q28" s="6"/>
    </row>
    <row r="29" customFormat="false" ht="15" hidden="false" customHeight="false" outlineLevel="0" collapsed="false">
      <c r="A29" s="6"/>
      <c r="B29" s="6"/>
      <c r="C29" s="6"/>
      <c r="D29" s="6"/>
      <c r="E29" s="6"/>
      <c r="F29" s="6"/>
      <c r="G29" s="7"/>
      <c r="H29" s="7"/>
      <c r="I29" s="9" t="str">
        <f aca="false">IF(OR(NOT(ISNUMBER($F29)),$F29=0,AND(NOT(ISNUMBER($G29)),NOT(ISNUMBER($H29)))),"",(IF(ISNUMBER($G29),$G29,0)+IF(ISNUMBER($H29),$H29,0))/$F29*CARBON_FRACTION_BIOMASS/1000)</f>
        <v/>
      </c>
      <c r="J29" s="6"/>
      <c r="K29" s="7"/>
      <c r="L29" s="9" t="str">
        <f aca="false">IF(OR(NOT(ISNUMBER($K29)),NOT(ISNUMBER($J29)),$J29=0),"",$K29*CARBON_FRACTION_BIOMASS/$J29)</f>
        <v/>
      </c>
      <c r="M29" s="6"/>
      <c r="N29" s="6"/>
      <c r="O29" s="9" t="str">
        <f aca="false">IF($A29="","",IF(ISNUMBER($I29),$I29,0)+IF(ISNUMBER($L29),$L29,0)+IF(ISNUMBER($N29),$N29,0))</f>
        <v/>
      </c>
      <c r="P29" s="11" t="str">
        <f aca="false">IF($A29="","",IF(COUNTIF('1. Plot &amp; Site Log'!$A$5:$A$64,$A29)=0,"Plot ID not in the Plot &amp; Site Log. ","")&amp;IF(COMPARABLE_SEASON_RULE="","No comparable-season rule is written down in Settings, so no plot can say "&amp;"whether it met one. ","")&amp;IF($E29="No","Did NOT meet the project comparable-season rule. Usable on its own, but do not "&amp;"pool it with plots that did, or compare it to another visit. ","")&amp;IF($E29="Not assessed","Comparability against the season rule has not been assessed for this plot. ","")&amp;IF($C29="Unknown","Phenological stage unknown — a standing crop with no stage attached cannot be "&amp;"interpreted or repeated. ","")&amp;IF($B29="","No sampling date. A clip-and-weigh without a date cannot be interpreted. ","")&amp;IF(OR($D29="Grazing — heavy",$D29="Hayed / mown",$D29="Burned"),"Standing material was removed before clipping, so this is what SURVIVED, not "&amp;"what grew. Report it as such. ","")&amp;IF($D29="Unknown","Recent removal unknown — the clip cannot be separated from grazing loss. ","")&amp;IF(AND(ISNUMBER($M29),$M29&gt;0,NOT(ISNUMBER($N29))),"Canopy cover is recorded but no tree carbon is entered — any tree over 2 m "&amp;"goes through the Forests protocol. ","")&amp;IF(AND(ISNUMBER($K29),$K29&gt;0),"Shrub figures are ABOVE-ground only; shrub roots are in neither this pool nor "&amp;"the soil core. Declare the gap. ",""))</f>
        <v/>
      </c>
      <c r="Q29" s="6"/>
    </row>
    <row r="30" customFormat="false" ht="15" hidden="false" customHeight="false" outlineLevel="0" collapsed="false">
      <c r="A30" s="6"/>
      <c r="B30" s="6"/>
      <c r="C30" s="6"/>
      <c r="D30" s="6"/>
      <c r="E30" s="6"/>
      <c r="F30" s="6"/>
      <c r="G30" s="7"/>
      <c r="H30" s="7"/>
      <c r="I30" s="9" t="str">
        <f aca="false">IF(OR(NOT(ISNUMBER($F30)),$F30=0,AND(NOT(ISNUMBER($G30)),NOT(ISNUMBER($H30)))),"",(IF(ISNUMBER($G30),$G30,0)+IF(ISNUMBER($H30),$H30,0))/$F30*CARBON_FRACTION_BIOMASS/1000)</f>
        <v/>
      </c>
      <c r="J30" s="6"/>
      <c r="K30" s="7"/>
      <c r="L30" s="9" t="str">
        <f aca="false">IF(OR(NOT(ISNUMBER($K30)),NOT(ISNUMBER($J30)),$J30=0),"",$K30*CARBON_FRACTION_BIOMASS/$J30)</f>
        <v/>
      </c>
      <c r="M30" s="6"/>
      <c r="N30" s="6"/>
      <c r="O30" s="9" t="str">
        <f aca="false">IF($A30="","",IF(ISNUMBER($I30),$I30,0)+IF(ISNUMBER($L30),$L30,0)+IF(ISNUMBER($N30),$N30,0))</f>
        <v/>
      </c>
      <c r="P30" s="11" t="str">
        <f aca="false">IF($A30="","",IF(COUNTIF('1. Plot &amp; Site Log'!$A$5:$A$64,$A30)=0,"Plot ID not in the Plot &amp; Site Log. ","")&amp;IF(COMPARABLE_SEASON_RULE="","No comparable-season rule is written down in Settings, so no plot can say "&amp;"whether it met one. ","")&amp;IF($E30="No","Did NOT meet the project comparable-season rule. Usable on its own, but do not "&amp;"pool it with plots that did, or compare it to another visit. ","")&amp;IF($E30="Not assessed","Comparability against the season rule has not been assessed for this plot. ","")&amp;IF($C30="Unknown","Phenological stage unknown — a standing crop with no stage attached cannot be "&amp;"interpreted or repeated. ","")&amp;IF($B30="","No sampling date. A clip-and-weigh without a date cannot be interpreted. ","")&amp;IF(OR($D30="Grazing — heavy",$D30="Hayed / mown",$D30="Burned"),"Standing material was removed before clipping, so this is what SURVIVED, not "&amp;"what grew. Report it as such. ","")&amp;IF($D30="Unknown","Recent removal unknown — the clip cannot be separated from grazing loss. ","")&amp;IF(AND(ISNUMBER($M30),$M30&gt;0,NOT(ISNUMBER($N30))),"Canopy cover is recorded but no tree carbon is entered — any tree over 2 m "&amp;"goes through the Forests protocol. ","")&amp;IF(AND(ISNUMBER($K30),$K30&gt;0),"Shrub figures are ABOVE-ground only; shrub roots are in neither this pool nor "&amp;"the soil core. Declare the gap. ",""))</f>
        <v/>
      </c>
      <c r="Q30" s="6"/>
    </row>
    <row r="31" customFormat="false" ht="15" hidden="false" customHeight="false" outlineLevel="0" collapsed="false">
      <c r="A31" s="6"/>
      <c r="B31" s="6"/>
      <c r="C31" s="6"/>
      <c r="D31" s="6"/>
      <c r="E31" s="6"/>
      <c r="F31" s="6"/>
      <c r="G31" s="7"/>
      <c r="H31" s="7"/>
      <c r="I31" s="9" t="str">
        <f aca="false">IF(OR(NOT(ISNUMBER($F31)),$F31=0,AND(NOT(ISNUMBER($G31)),NOT(ISNUMBER($H31)))),"",(IF(ISNUMBER($G31),$G31,0)+IF(ISNUMBER($H31),$H31,0))/$F31*CARBON_FRACTION_BIOMASS/1000)</f>
        <v/>
      </c>
      <c r="J31" s="6"/>
      <c r="K31" s="7"/>
      <c r="L31" s="9" t="str">
        <f aca="false">IF(OR(NOT(ISNUMBER($K31)),NOT(ISNUMBER($J31)),$J31=0),"",$K31*CARBON_FRACTION_BIOMASS/$J31)</f>
        <v/>
      </c>
      <c r="M31" s="6"/>
      <c r="N31" s="6"/>
      <c r="O31" s="9" t="str">
        <f aca="false">IF($A31="","",IF(ISNUMBER($I31),$I31,0)+IF(ISNUMBER($L31),$L31,0)+IF(ISNUMBER($N31),$N31,0))</f>
        <v/>
      </c>
      <c r="P31" s="11" t="str">
        <f aca="false">IF($A31="","",IF(COUNTIF('1. Plot &amp; Site Log'!$A$5:$A$64,$A31)=0,"Plot ID not in the Plot &amp; Site Log. ","")&amp;IF(COMPARABLE_SEASON_RULE="","No comparable-season rule is written down in Settings, so no plot can say "&amp;"whether it met one. ","")&amp;IF($E31="No","Did NOT meet the project comparable-season rule. Usable on its own, but do not "&amp;"pool it with plots that did, or compare it to another visit. ","")&amp;IF($E31="Not assessed","Comparability against the season rule has not been assessed for this plot. ","")&amp;IF($C31="Unknown","Phenological stage unknown — a standing crop with no stage attached cannot be "&amp;"interpreted or repeated. ","")&amp;IF($B31="","No sampling date. A clip-and-weigh without a date cannot be interpreted. ","")&amp;IF(OR($D31="Grazing — heavy",$D31="Hayed / mown",$D31="Burned"),"Standing material was removed before clipping, so this is what SURVIVED, not "&amp;"what grew. Report it as such. ","")&amp;IF($D31="Unknown","Recent removal unknown — the clip cannot be separated from grazing loss. ","")&amp;IF(AND(ISNUMBER($M31),$M31&gt;0,NOT(ISNUMBER($N31))),"Canopy cover is recorded but no tree carbon is entered — any tree over 2 m "&amp;"goes through the Forests protocol. ","")&amp;IF(AND(ISNUMBER($K31),$K31&gt;0),"Shrub figures are ABOVE-ground only; shrub roots are in neither this pool nor "&amp;"the soil core. Declare the gap. ",""))</f>
        <v/>
      </c>
      <c r="Q31" s="6"/>
    </row>
    <row r="32" customFormat="false" ht="15" hidden="false" customHeight="false" outlineLevel="0" collapsed="false">
      <c r="A32" s="6"/>
      <c r="B32" s="6"/>
      <c r="C32" s="6"/>
      <c r="D32" s="6"/>
      <c r="E32" s="6"/>
      <c r="F32" s="6"/>
      <c r="G32" s="7"/>
      <c r="H32" s="7"/>
      <c r="I32" s="9" t="str">
        <f aca="false">IF(OR(NOT(ISNUMBER($F32)),$F32=0,AND(NOT(ISNUMBER($G32)),NOT(ISNUMBER($H32)))),"",(IF(ISNUMBER($G32),$G32,0)+IF(ISNUMBER($H32),$H32,0))/$F32*CARBON_FRACTION_BIOMASS/1000)</f>
        <v/>
      </c>
      <c r="J32" s="6"/>
      <c r="K32" s="7"/>
      <c r="L32" s="9" t="str">
        <f aca="false">IF(OR(NOT(ISNUMBER($K32)),NOT(ISNUMBER($J32)),$J32=0),"",$K32*CARBON_FRACTION_BIOMASS/$J32)</f>
        <v/>
      </c>
      <c r="M32" s="6"/>
      <c r="N32" s="6"/>
      <c r="O32" s="9" t="str">
        <f aca="false">IF($A32="","",IF(ISNUMBER($I32),$I32,0)+IF(ISNUMBER($L32),$L32,0)+IF(ISNUMBER($N32),$N32,0))</f>
        <v/>
      </c>
      <c r="P32" s="11" t="str">
        <f aca="false">IF($A32="","",IF(COUNTIF('1. Plot &amp; Site Log'!$A$5:$A$64,$A32)=0,"Plot ID not in the Plot &amp; Site Log. ","")&amp;IF(COMPARABLE_SEASON_RULE="","No comparable-season rule is written down in Settings, so no plot can say "&amp;"whether it met one. ","")&amp;IF($E32="No","Did NOT meet the project comparable-season rule. Usable on its own, but do not "&amp;"pool it with plots that did, or compare it to another visit. ","")&amp;IF($E32="Not assessed","Comparability against the season rule has not been assessed for this plot. ","")&amp;IF($C32="Unknown","Phenological stage unknown — a standing crop with no stage attached cannot be "&amp;"interpreted or repeated. ","")&amp;IF($B32="","No sampling date. A clip-and-weigh without a date cannot be interpreted. ","")&amp;IF(OR($D32="Grazing — heavy",$D32="Hayed / mown",$D32="Burned"),"Standing material was removed before clipping, so this is what SURVIVED, not "&amp;"what grew. Report it as such. ","")&amp;IF($D32="Unknown","Recent removal unknown — the clip cannot be separated from grazing loss. ","")&amp;IF(AND(ISNUMBER($M32),$M32&gt;0,NOT(ISNUMBER($N32))),"Canopy cover is recorded but no tree carbon is entered — any tree over 2 m "&amp;"goes through the Forests protocol. ","")&amp;IF(AND(ISNUMBER($K32),$K32&gt;0),"Shrub figures are ABOVE-ground only; shrub roots are in neither this pool nor "&amp;"the soil core. Declare the gap. ",""))</f>
        <v/>
      </c>
      <c r="Q32" s="6"/>
    </row>
    <row r="33" customFormat="false" ht="15" hidden="false" customHeight="false" outlineLevel="0" collapsed="false">
      <c r="A33" s="6"/>
      <c r="B33" s="6"/>
      <c r="C33" s="6"/>
      <c r="D33" s="6"/>
      <c r="E33" s="6"/>
      <c r="F33" s="6"/>
      <c r="G33" s="7"/>
      <c r="H33" s="7"/>
      <c r="I33" s="9" t="str">
        <f aca="false">IF(OR(NOT(ISNUMBER($F33)),$F33=0,AND(NOT(ISNUMBER($G33)),NOT(ISNUMBER($H33)))),"",(IF(ISNUMBER($G33),$G33,0)+IF(ISNUMBER($H33),$H33,0))/$F33*CARBON_FRACTION_BIOMASS/1000)</f>
        <v/>
      </c>
      <c r="J33" s="6"/>
      <c r="K33" s="7"/>
      <c r="L33" s="9" t="str">
        <f aca="false">IF(OR(NOT(ISNUMBER($K33)),NOT(ISNUMBER($J33)),$J33=0),"",$K33*CARBON_FRACTION_BIOMASS/$J33)</f>
        <v/>
      </c>
      <c r="M33" s="6"/>
      <c r="N33" s="6"/>
      <c r="O33" s="9" t="str">
        <f aca="false">IF($A33="","",IF(ISNUMBER($I33),$I33,0)+IF(ISNUMBER($L33),$L33,0)+IF(ISNUMBER($N33),$N33,0))</f>
        <v/>
      </c>
      <c r="P33" s="11" t="str">
        <f aca="false">IF($A33="","",IF(COUNTIF('1. Plot &amp; Site Log'!$A$5:$A$64,$A33)=0,"Plot ID not in the Plot &amp; Site Log. ","")&amp;IF(COMPARABLE_SEASON_RULE="","No comparable-season rule is written down in Settings, so no plot can say "&amp;"whether it met one. ","")&amp;IF($E33="No","Did NOT meet the project comparable-season rule. Usable on its own, but do not "&amp;"pool it with plots that did, or compare it to another visit. ","")&amp;IF($E33="Not assessed","Comparability against the season rule has not been assessed for this plot. ","")&amp;IF($C33="Unknown","Phenological stage unknown — a standing crop with no stage attached cannot be "&amp;"interpreted or repeated. ","")&amp;IF($B33="","No sampling date. A clip-and-weigh without a date cannot be interpreted. ","")&amp;IF(OR($D33="Grazing — heavy",$D33="Hayed / mown",$D33="Burned"),"Standing material was removed before clipping, so this is what SURVIVED, not "&amp;"what grew. Report it as such. ","")&amp;IF($D33="Unknown","Recent removal unknown — the clip cannot be separated from grazing loss. ","")&amp;IF(AND(ISNUMBER($M33),$M33&gt;0,NOT(ISNUMBER($N33))),"Canopy cover is recorded but no tree carbon is entered — any tree over 2 m "&amp;"goes through the Forests protocol. ","")&amp;IF(AND(ISNUMBER($K33),$K33&gt;0),"Shrub figures are ABOVE-ground only; shrub roots are in neither this pool nor "&amp;"the soil core. Declare the gap. ",""))</f>
        <v/>
      </c>
      <c r="Q33" s="6"/>
    </row>
    <row r="34" customFormat="false" ht="15" hidden="false" customHeight="false" outlineLevel="0" collapsed="false">
      <c r="A34" s="6"/>
      <c r="B34" s="6"/>
      <c r="C34" s="6"/>
      <c r="D34" s="6"/>
      <c r="E34" s="6"/>
      <c r="F34" s="6"/>
      <c r="G34" s="7"/>
      <c r="H34" s="7"/>
      <c r="I34" s="9" t="str">
        <f aca="false">IF(OR(NOT(ISNUMBER($F34)),$F34=0,AND(NOT(ISNUMBER($G34)),NOT(ISNUMBER($H34)))),"",(IF(ISNUMBER($G34),$G34,0)+IF(ISNUMBER($H34),$H34,0))/$F34*CARBON_FRACTION_BIOMASS/1000)</f>
        <v/>
      </c>
      <c r="J34" s="6"/>
      <c r="K34" s="7"/>
      <c r="L34" s="9" t="str">
        <f aca="false">IF(OR(NOT(ISNUMBER($K34)),NOT(ISNUMBER($J34)),$J34=0),"",$K34*CARBON_FRACTION_BIOMASS/$J34)</f>
        <v/>
      </c>
      <c r="M34" s="6"/>
      <c r="N34" s="6"/>
      <c r="O34" s="9" t="str">
        <f aca="false">IF($A34="","",IF(ISNUMBER($I34),$I34,0)+IF(ISNUMBER($L34),$L34,0)+IF(ISNUMBER($N34),$N34,0))</f>
        <v/>
      </c>
      <c r="P34" s="11" t="str">
        <f aca="false">IF($A34="","",IF(COUNTIF('1. Plot &amp; Site Log'!$A$5:$A$64,$A34)=0,"Plot ID not in the Plot &amp; Site Log. ","")&amp;IF(COMPARABLE_SEASON_RULE="","No comparable-season rule is written down in Settings, so no plot can say "&amp;"whether it met one. ","")&amp;IF($E34="No","Did NOT meet the project comparable-season rule. Usable on its own, but do not "&amp;"pool it with plots that did, or compare it to another visit. ","")&amp;IF($E34="Not assessed","Comparability against the season rule has not been assessed for this plot. ","")&amp;IF($C34="Unknown","Phenological stage unknown — a standing crop with no stage attached cannot be "&amp;"interpreted or repeated. ","")&amp;IF($B34="","No sampling date. A clip-and-weigh without a date cannot be interpreted. ","")&amp;IF(OR($D34="Grazing — heavy",$D34="Hayed / mown",$D34="Burned"),"Standing material was removed before clipping, so this is what SURVIVED, not "&amp;"what grew. Report it as such. ","")&amp;IF($D34="Unknown","Recent removal unknown — the clip cannot be separated from grazing loss. ","")&amp;IF(AND(ISNUMBER($M34),$M34&gt;0,NOT(ISNUMBER($N34))),"Canopy cover is recorded but no tree carbon is entered — any tree over 2 m "&amp;"goes through the Forests protocol. ","")&amp;IF(AND(ISNUMBER($K34),$K34&gt;0),"Shrub figures are ABOVE-ground only; shrub roots are in neither this pool nor "&amp;"the soil core. Declare the gap. ",""))</f>
        <v/>
      </c>
      <c r="Q34" s="6"/>
    </row>
    <row r="35" customFormat="false" ht="15" hidden="false" customHeight="false" outlineLevel="0" collapsed="false">
      <c r="A35" s="6"/>
      <c r="B35" s="6"/>
      <c r="C35" s="6"/>
      <c r="D35" s="6"/>
      <c r="E35" s="6"/>
      <c r="F35" s="6"/>
      <c r="G35" s="7"/>
      <c r="H35" s="7"/>
      <c r="I35" s="9" t="str">
        <f aca="false">IF(OR(NOT(ISNUMBER($F35)),$F35=0,AND(NOT(ISNUMBER($G35)),NOT(ISNUMBER($H35)))),"",(IF(ISNUMBER($G35),$G35,0)+IF(ISNUMBER($H35),$H35,0))/$F35*CARBON_FRACTION_BIOMASS/1000)</f>
        <v/>
      </c>
      <c r="J35" s="6"/>
      <c r="K35" s="7"/>
      <c r="L35" s="9" t="str">
        <f aca="false">IF(OR(NOT(ISNUMBER($K35)),NOT(ISNUMBER($J35)),$J35=0),"",$K35*CARBON_FRACTION_BIOMASS/$J35)</f>
        <v/>
      </c>
      <c r="M35" s="6"/>
      <c r="N35" s="6"/>
      <c r="O35" s="9" t="str">
        <f aca="false">IF($A35="","",IF(ISNUMBER($I35),$I35,0)+IF(ISNUMBER($L35),$L35,0)+IF(ISNUMBER($N35),$N35,0))</f>
        <v/>
      </c>
      <c r="P35" s="11" t="str">
        <f aca="false">IF($A35="","",IF(COUNTIF('1. Plot &amp; Site Log'!$A$5:$A$64,$A35)=0,"Plot ID not in the Plot &amp; Site Log. ","")&amp;IF(COMPARABLE_SEASON_RULE="","No comparable-season rule is written down in Settings, so no plot can say "&amp;"whether it met one. ","")&amp;IF($E35="No","Did NOT meet the project comparable-season rule. Usable on its own, but do not "&amp;"pool it with plots that did, or compare it to another visit. ","")&amp;IF($E35="Not assessed","Comparability against the season rule has not been assessed for this plot. ","")&amp;IF($C35="Unknown","Phenological stage unknown — a standing crop with no stage attached cannot be "&amp;"interpreted or repeated. ","")&amp;IF($B35="","No sampling date. A clip-and-weigh without a date cannot be interpreted. ","")&amp;IF(OR($D35="Grazing — heavy",$D35="Hayed / mown",$D35="Burned"),"Standing material was removed before clipping, so this is what SURVIVED, not "&amp;"what grew. Report it as such. ","")&amp;IF($D35="Unknown","Recent removal unknown — the clip cannot be separated from grazing loss. ","")&amp;IF(AND(ISNUMBER($M35),$M35&gt;0,NOT(ISNUMBER($N35))),"Canopy cover is recorded but no tree carbon is entered — any tree over 2 m "&amp;"goes through the Forests protocol. ","")&amp;IF(AND(ISNUMBER($K35),$K35&gt;0),"Shrub figures are ABOVE-ground only; shrub roots are in neither this pool nor "&amp;"the soil core. Declare the gap. ",""))</f>
        <v/>
      </c>
      <c r="Q35" s="6"/>
    </row>
    <row r="36" customFormat="false" ht="15" hidden="false" customHeight="false" outlineLevel="0" collapsed="false">
      <c r="A36" s="6"/>
      <c r="B36" s="6"/>
      <c r="C36" s="6"/>
      <c r="D36" s="6"/>
      <c r="E36" s="6"/>
      <c r="F36" s="6"/>
      <c r="G36" s="7"/>
      <c r="H36" s="7"/>
      <c r="I36" s="9" t="str">
        <f aca="false">IF(OR(NOT(ISNUMBER($F36)),$F36=0,AND(NOT(ISNUMBER($G36)),NOT(ISNUMBER($H36)))),"",(IF(ISNUMBER($G36),$G36,0)+IF(ISNUMBER($H36),$H36,0))/$F36*CARBON_FRACTION_BIOMASS/1000)</f>
        <v/>
      </c>
      <c r="J36" s="6"/>
      <c r="K36" s="7"/>
      <c r="L36" s="9" t="str">
        <f aca="false">IF(OR(NOT(ISNUMBER($K36)),NOT(ISNUMBER($J36)),$J36=0),"",$K36*CARBON_FRACTION_BIOMASS/$J36)</f>
        <v/>
      </c>
      <c r="M36" s="6"/>
      <c r="N36" s="6"/>
      <c r="O36" s="9" t="str">
        <f aca="false">IF($A36="","",IF(ISNUMBER($I36),$I36,0)+IF(ISNUMBER($L36),$L36,0)+IF(ISNUMBER($N36),$N36,0))</f>
        <v/>
      </c>
      <c r="P36" s="11" t="str">
        <f aca="false">IF($A36="","",IF(COUNTIF('1. Plot &amp; Site Log'!$A$5:$A$64,$A36)=0,"Plot ID not in the Plot &amp; Site Log. ","")&amp;IF(COMPARABLE_SEASON_RULE="","No comparable-season rule is written down in Settings, so no plot can say "&amp;"whether it met one. ","")&amp;IF($E36="No","Did NOT meet the project comparable-season rule. Usable on its own, but do not "&amp;"pool it with plots that did, or compare it to another visit. ","")&amp;IF($E36="Not assessed","Comparability against the season rule has not been assessed for this plot. ","")&amp;IF($C36="Unknown","Phenological stage unknown — a standing crop with no stage attached cannot be "&amp;"interpreted or repeated. ","")&amp;IF($B36="","No sampling date. A clip-and-weigh without a date cannot be interpreted. ","")&amp;IF(OR($D36="Grazing — heavy",$D36="Hayed / mown",$D36="Burned"),"Standing material was removed before clipping, so this is what SURVIVED, not "&amp;"what grew. Report it as such. ","")&amp;IF($D36="Unknown","Recent removal unknown — the clip cannot be separated from grazing loss. ","")&amp;IF(AND(ISNUMBER($M36),$M36&gt;0,NOT(ISNUMBER($N36))),"Canopy cover is recorded but no tree carbon is entered — any tree over 2 m "&amp;"goes through the Forests protocol. ","")&amp;IF(AND(ISNUMBER($K36),$K36&gt;0),"Shrub figures are ABOVE-ground only; shrub roots are in neither this pool nor "&amp;"the soil core. Declare the gap. ",""))</f>
        <v/>
      </c>
      <c r="Q36" s="6"/>
    </row>
    <row r="37" customFormat="false" ht="15" hidden="false" customHeight="false" outlineLevel="0" collapsed="false">
      <c r="A37" s="6"/>
      <c r="B37" s="6"/>
      <c r="C37" s="6"/>
      <c r="D37" s="6"/>
      <c r="E37" s="6"/>
      <c r="F37" s="6"/>
      <c r="G37" s="7"/>
      <c r="H37" s="7"/>
      <c r="I37" s="9" t="str">
        <f aca="false">IF(OR(NOT(ISNUMBER($F37)),$F37=0,AND(NOT(ISNUMBER($G37)),NOT(ISNUMBER($H37)))),"",(IF(ISNUMBER($G37),$G37,0)+IF(ISNUMBER($H37),$H37,0))/$F37*CARBON_FRACTION_BIOMASS/1000)</f>
        <v/>
      </c>
      <c r="J37" s="6"/>
      <c r="K37" s="7"/>
      <c r="L37" s="9" t="str">
        <f aca="false">IF(OR(NOT(ISNUMBER($K37)),NOT(ISNUMBER($J37)),$J37=0),"",$K37*CARBON_FRACTION_BIOMASS/$J37)</f>
        <v/>
      </c>
      <c r="M37" s="6"/>
      <c r="N37" s="6"/>
      <c r="O37" s="9" t="str">
        <f aca="false">IF($A37="","",IF(ISNUMBER($I37),$I37,0)+IF(ISNUMBER($L37),$L37,0)+IF(ISNUMBER($N37),$N37,0))</f>
        <v/>
      </c>
      <c r="P37" s="11" t="str">
        <f aca="false">IF($A37="","",IF(COUNTIF('1. Plot &amp; Site Log'!$A$5:$A$64,$A37)=0,"Plot ID not in the Plot &amp; Site Log. ","")&amp;IF(COMPARABLE_SEASON_RULE="","No comparable-season rule is written down in Settings, so no plot can say "&amp;"whether it met one. ","")&amp;IF($E37="No","Did NOT meet the project comparable-season rule. Usable on its own, but do not "&amp;"pool it with plots that did, or compare it to another visit. ","")&amp;IF($E37="Not assessed","Comparability against the season rule has not been assessed for this plot. ","")&amp;IF($C37="Unknown","Phenological stage unknown — a standing crop with no stage attached cannot be "&amp;"interpreted or repeated. ","")&amp;IF($B37="","No sampling date. A clip-and-weigh without a date cannot be interpreted. ","")&amp;IF(OR($D37="Grazing — heavy",$D37="Hayed / mown",$D37="Burned"),"Standing material was removed before clipping, so this is what SURVIVED, not "&amp;"what grew. Report it as such. ","")&amp;IF($D37="Unknown","Recent removal unknown — the clip cannot be separated from grazing loss. ","")&amp;IF(AND(ISNUMBER($M37),$M37&gt;0,NOT(ISNUMBER($N37))),"Canopy cover is recorded but no tree carbon is entered — any tree over 2 m "&amp;"goes through the Forests protocol. ","")&amp;IF(AND(ISNUMBER($K37),$K37&gt;0),"Shrub figures are ABOVE-ground only; shrub roots are in neither this pool nor "&amp;"the soil core. Declare the gap. ",""))</f>
        <v/>
      </c>
      <c r="Q37" s="6"/>
    </row>
    <row r="38" customFormat="false" ht="15" hidden="false" customHeight="false" outlineLevel="0" collapsed="false">
      <c r="A38" s="6"/>
      <c r="B38" s="6"/>
      <c r="C38" s="6"/>
      <c r="D38" s="6"/>
      <c r="E38" s="6"/>
      <c r="F38" s="6"/>
      <c r="G38" s="7"/>
      <c r="H38" s="7"/>
      <c r="I38" s="9" t="str">
        <f aca="false">IF(OR(NOT(ISNUMBER($F38)),$F38=0,AND(NOT(ISNUMBER($G38)),NOT(ISNUMBER($H38)))),"",(IF(ISNUMBER($G38),$G38,0)+IF(ISNUMBER($H38),$H38,0))/$F38*CARBON_FRACTION_BIOMASS/1000)</f>
        <v/>
      </c>
      <c r="J38" s="6"/>
      <c r="K38" s="7"/>
      <c r="L38" s="9" t="str">
        <f aca="false">IF(OR(NOT(ISNUMBER($K38)),NOT(ISNUMBER($J38)),$J38=0),"",$K38*CARBON_FRACTION_BIOMASS/$J38)</f>
        <v/>
      </c>
      <c r="M38" s="6"/>
      <c r="N38" s="6"/>
      <c r="O38" s="9" t="str">
        <f aca="false">IF($A38="","",IF(ISNUMBER($I38),$I38,0)+IF(ISNUMBER($L38),$L38,0)+IF(ISNUMBER($N38),$N38,0))</f>
        <v/>
      </c>
      <c r="P38" s="11" t="str">
        <f aca="false">IF($A38="","",IF(COUNTIF('1. Plot &amp; Site Log'!$A$5:$A$64,$A38)=0,"Plot ID not in the Plot &amp; Site Log. ","")&amp;IF(COMPARABLE_SEASON_RULE="","No comparable-season rule is written down in Settings, so no plot can say "&amp;"whether it met one. ","")&amp;IF($E38="No","Did NOT meet the project comparable-season rule. Usable on its own, but do not "&amp;"pool it with plots that did, or compare it to another visit. ","")&amp;IF($E38="Not assessed","Comparability against the season rule has not been assessed for this plot. ","")&amp;IF($C38="Unknown","Phenological stage unknown — a standing crop with no stage attached cannot be "&amp;"interpreted or repeated. ","")&amp;IF($B38="","No sampling date. A clip-and-weigh without a date cannot be interpreted. ","")&amp;IF(OR($D38="Grazing — heavy",$D38="Hayed / mown",$D38="Burned"),"Standing material was removed before clipping, so this is what SURVIVED, not "&amp;"what grew. Report it as such. ","")&amp;IF($D38="Unknown","Recent removal unknown — the clip cannot be separated from grazing loss. ","")&amp;IF(AND(ISNUMBER($M38),$M38&gt;0,NOT(ISNUMBER($N38))),"Canopy cover is recorded but no tree carbon is entered — any tree over 2 m "&amp;"goes through the Forests protocol. ","")&amp;IF(AND(ISNUMBER($K38),$K38&gt;0),"Shrub figures are ABOVE-ground only; shrub roots are in neither this pool nor "&amp;"the soil core. Declare the gap. ",""))</f>
        <v/>
      </c>
      <c r="Q38" s="6"/>
    </row>
    <row r="39" customFormat="false" ht="15" hidden="false" customHeight="false" outlineLevel="0" collapsed="false">
      <c r="A39" s="6"/>
      <c r="B39" s="6"/>
      <c r="C39" s="6"/>
      <c r="D39" s="6"/>
      <c r="E39" s="6"/>
      <c r="F39" s="6"/>
      <c r="G39" s="7"/>
      <c r="H39" s="7"/>
      <c r="I39" s="9" t="str">
        <f aca="false">IF(OR(NOT(ISNUMBER($F39)),$F39=0,AND(NOT(ISNUMBER($G39)),NOT(ISNUMBER($H39)))),"",(IF(ISNUMBER($G39),$G39,0)+IF(ISNUMBER($H39),$H39,0))/$F39*CARBON_FRACTION_BIOMASS/1000)</f>
        <v/>
      </c>
      <c r="J39" s="6"/>
      <c r="K39" s="7"/>
      <c r="L39" s="9" t="str">
        <f aca="false">IF(OR(NOT(ISNUMBER($K39)),NOT(ISNUMBER($J39)),$J39=0),"",$K39*CARBON_FRACTION_BIOMASS/$J39)</f>
        <v/>
      </c>
      <c r="M39" s="6"/>
      <c r="N39" s="6"/>
      <c r="O39" s="9" t="str">
        <f aca="false">IF($A39="","",IF(ISNUMBER($I39),$I39,0)+IF(ISNUMBER($L39),$L39,0)+IF(ISNUMBER($N39),$N39,0))</f>
        <v/>
      </c>
      <c r="P39" s="11" t="str">
        <f aca="false">IF($A39="","",IF(COUNTIF('1. Plot &amp; Site Log'!$A$5:$A$64,$A39)=0,"Plot ID not in the Plot &amp; Site Log. ","")&amp;IF(COMPARABLE_SEASON_RULE="","No comparable-season rule is written down in Settings, so no plot can say "&amp;"whether it met one. ","")&amp;IF($E39="No","Did NOT meet the project comparable-season rule. Usable on its own, but do not "&amp;"pool it with plots that did, or compare it to another visit. ","")&amp;IF($E39="Not assessed","Comparability against the season rule has not been assessed for this plot. ","")&amp;IF($C39="Unknown","Phenological stage unknown — a standing crop with no stage attached cannot be "&amp;"interpreted or repeated. ","")&amp;IF($B39="","No sampling date. A clip-and-weigh without a date cannot be interpreted. ","")&amp;IF(OR($D39="Grazing — heavy",$D39="Hayed / mown",$D39="Burned"),"Standing material was removed before clipping, so this is what SURVIVED, not "&amp;"what grew. Report it as such. ","")&amp;IF($D39="Unknown","Recent removal unknown — the clip cannot be separated from grazing loss. ","")&amp;IF(AND(ISNUMBER($M39),$M39&gt;0,NOT(ISNUMBER($N39))),"Canopy cover is recorded but no tree carbon is entered — any tree over 2 m "&amp;"goes through the Forests protocol. ","")&amp;IF(AND(ISNUMBER($K39),$K39&gt;0),"Shrub figures are ABOVE-ground only; shrub roots are in neither this pool nor "&amp;"the soil core. Declare the gap. ",""))</f>
        <v/>
      </c>
      <c r="Q39" s="6"/>
    </row>
    <row r="40" customFormat="false" ht="15" hidden="false" customHeight="false" outlineLevel="0" collapsed="false">
      <c r="A40" s="6"/>
      <c r="B40" s="6"/>
      <c r="C40" s="6"/>
      <c r="D40" s="6"/>
      <c r="E40" s="6"/>
      <c r="F40" s="6"/>
      <c r="G40" s="7"/>
      <c r="H40" s="7"/>
      <c r="I40" s="9" t="str">
        <f aca="false">IF(OR(NOT(ISNUMBER($F40)),$F40=0,AND(NOT(ISNUMBER($G40)),NOT(ISNUMBER($H40)))),"",(IF(ISNUMBER($G40),$G40,0)+IF(ISNUMBER($H40),$H40,0))/$F40*CARBON_FRACTION_BIOMASS/1000)</f>
        <v/>
      </c>
      <c r="J40" s="6"/>
      <c r="K40" s="7"/>
      <c r="L40" s="9" t="str">
        <f aca="false">IF(OR(NOT(ISNUMBER($K40)),NOT(ISNUMBER($J40)),$J40=0),"",$K40*CARBON_FRACTION_BIOMASS/$J40)</f>
        <v/>
      </c>
      <c r="M40" s="6"/>
      <c r="N40" s="6"/>
      <c r="O40" s="9" t="str">
        <f aca="false">IF($A40="","",IF(ISNUMBER($I40),$I40,0)+IF(ISNUMBER($L40),$L40,0)+IF(ISNUMBER($N40),$N40,0))</f>
        <v/>
      </c>
      <c r="P40" s="11" t="str">
        <f aca="false">IF($A40="","",IF(COUNTIF('1. Plot &amp; Site Log'!$A$5:$A$64,$A40)=0,"Plot ID not in the Plot &amp; Site Log. ","")&amp;IF(COMPARABLE_SEASON_RULE="","No comparable-season rule is written down in Settings, so no plot can say "&amp;"whether it met one. ","")&amp;IF($E40="No","Did NOT meet the project comparable-season rule. Usable on its own, but do not "&amp;"pool it with plots that did, or compare it to another visit. ","")&amp;IF($E40="Not assessed","Comparability against the season rule has not been assessed for this plot. ","")&amp;IF($C40="Unknown","Phenological stage unknown — a standing crop with no stage attached cannot be "&amp;"interpreted or repeated. ","")&amp;IF($B40="","No sampling date. A clip-and-weigh without a date cannot be interpreted. ","")&amp;IF(OR($D40="Grazing — heavy",$D40="Hayed / mown",$D40="Burned"),"Standing material was removed before clipping, so this is what SURVIVED, not "&amp;"what grew. Report it as such. ","")&amp;IF($D40="Unknown","Recent removal unknown — the clip cannot be separated from grazing loss. ","")&amp;IF(AND(ISNUMBER($M40),$M40&gt;0,NOT(ISNUMBER($N40))),"Canopy cover is recorded but no tree carbon is entered — any tree over 2 m "&amp;"goes through the Forests protocol. ","")&amp;IF(AND(ISNUMBER($K40),$K40&gt;0),"Shrub figures are ABOVE-ground only; shrub roots are in neither this pool nor "&amp;"the soil core. Declare the gap. ",""))</f>
        <v/>
      </c>
      <c r="Q40" s="6"/>
    </row>
    <row r="41" customFormat="false" ht="15" hidden="false" customHeight="false" outlineLevel="0" collapsed="false">
      <c r="A41" s="6"/>
      <c r="B41" s="6"/>
      <c r="C41" s="6"/>
      <c r="D41" s="6"/>
      <c r="E41" s="6"/>
      <c r="F41" s="6"/>
      <c r="G41" s="7"/>
      <c r="H41" s="7"/>
      <c r="I41" s="9" t="str">
        <f aca="false">IF(OR(NOT(ISNUMBER($F41)),$F41=0,AND(NOT(ISNUMBER($G41)),NOT(ISNUMBER($H41)))),"",(IF(ISNUMBER($G41),$G41,0)+IF(ISNUMBER($H41),$H41,0))/$F41*CARBON_FRACTION_BIOMASS/1000)</f>
        <v/>
      </c>
      <c r="J41" s="6"/>
      <c r="K41" s="7"/>
      <c r="L41" s="9" t="str">
        <f aca="false">IF(OR(NOT(ISNUMBER($K41)),NOT(ISNUMBER($J41)),$J41=0),"",$K41*CARBON_FRACTION_BIOMASS/$J41)</f>
        <v/>
      </c>
      <c r="M41" s="6"/>
      <c r="N41" s="6"/>
      <c r="O41" s="9" t="str">
        <f aca="false">IF($A41="","",IF(ISNUMBER($I41),$I41,0)+IF(ISNUMBER($L41),$L41,0)+IF(ISNUMBER($N41),$N41,0))</f>
        <v/>
      </c>
      <c r="P41" s="11" t="str">
        <f aca="false">IF($A41="","",IF(COUNTIF('1. Plot &amp; Site Log'!$A$5:$A$64,$A41)=0,"Plot ID not in the Plot &amp; Site Log. ","")&amp;IF(COMPARABLE_SEASON_RULE="","No comparable-season rule is written down in Settings, so no plot can say "&amp;"whether it met one. ","")&amp;IF($E41="No","Did NOT meet the project comparable-season rule. Usable on its own, but do not "&amp;"pool it with plots that did, or compare it to another visit. ","")&amp;IF($E41="Not assessed","Comparability against the season rule has not been assessed for this plot. ","")&amp;IF($C41="Unknown","Phenological stage unknown — a standing crop with no stage attached cannot be "&amp;"interpreted or repeated. ","")&amp;IF($B41="","No sampling date. A clip-and-weigh without a date cannot be interpreted. ","")&amp;IF(OR($D41="Grazing — heavy",$D41="Hayed / mown",$D41="Burned"),"Standing material was removed before clipping, so this is what SURVIVED, not "&amp;"what grew. Report it as such. ","")&amp;IF($D41="Unknown","Recent removal unknown — the clip cannot be separated from grazing loss. ","")&amp;IF(AND(ISNUMBER($M41),$M41&gt;0,NOT(ISNUMBER($N41))),"Canopy cover is recorded but no tree carbon is entered — any tree over 2 m "&amp;"goes through the Forests protocol. ","")&amp;IF(AND(ISNUMBER($K41),$K41&gt;0),"Shrub figures are ABOVE-ground only; shrub roots are in neither this pool nor "&amp;"the soil core. Declare the gap. ",""))</f>
        <v/>
      </c>
      <c r="Q41" s="6"/>
    </row>
    <row r="42" customFormat="false" ht="15" hidden="false" customHeight="false" outlineLevel="0" collapsed="false">
      <c r="A42" s="6"/>
      <c r="B42" s="6"/>
      <c r="C42" s="6"/>
      <c r="D42" s="6"/>
      <c r="E42" s="6"/>
      <c r="F42" s="6"/>
      <c r="G42" s="7"/>
      <c r="H42" s="7"/>
      <c r="I42" s="9" t="str">
        <f aca="false">IF(OR(NOT(ISNUMBER($F42)),$F42=0,AND(NOT(ISNUMBER($G42)),NOT(ISNUMBER($H42)))),"",(IF(ISNUMBER($G42),$G42,0)+IF(ISNUMBER($H42),$H42,0))/$F42*CARBON_FRACTION_BIOMASS/1000)</f>
        <v/>
      </c>
      <c r="J42" s="6"/>
      <c r="K42" s="7"/>
      <c r="L42" s="9" t="str">
        <f aca="false">IF(OR(NOT(ISNUMBER($K42)),NOT(ISNUMBER($J42)),$J42=0),"",$K42*CARBON_FRACTION_BIOMASS/$J42)</f>
        <v/>
      </c>
      <c r="M42" s="6"/>
      <c r="N42" s="6"/>
      <c r="O42" s="9" t="str">
        <f aca="false">IF($A42="","",IF(ISNUMBER($I42),$I42,0)+IF(ISNUMBER($L42),$L42,0)+IF(ISNUMBER($N42),$N42,0))</f>
        <v/>
      </c>
      <c r="P42" s="11" t="str">
        <f aca="false">IF($A42="","",IF(COUNTIF('1. Plot &amp; Site Log'!$A$5:$A$64,$A42)=0,"Plot ID not in the Plot &amp; Site Log. ","")&amp;IF(COMPARABLE_SEASON_RULE="","No comparable-season rule is written down in Settings, so no plot can say "&amp;"whether it met one. ","")&amp;IF($E42="No","Did NOT meet the project comparable-season rule. Usable on its own, but do not "&amp;"pool it with plots that did, or compare it to another visit. ","")&amp;IF($E42="Not assessed","Comparability against the season rule has not been assessed for this plot. ","")&amp;IF($C42="Unknown","Phenological stage unknown — a standing crop with no stage attached cannot be "&amp;"interpreted or repeated. ","")&amp;IF($B42="","No sampling date. A clip-and-weigh without a date cannot be interpreted. ","")&amp;IF(OR($D42="Grazing — heavy",$D42="Hayed / mown",$D42="Burned"),"Standing material was removed before clipping, so this is what SURVIVED, not "&amp;"what grew. Report it as such. ","")&amp;IF($D42="Unknown","Recent removal unknown — the clip cannot be separated from grazing loss. ","")&amp;IF(AND(ISNUMBER($M42),$M42&gt;0,NOT(ISNUMBER($N42))),"Canopy cover is recorded but no tree carbon is entered — any tree over 2 m "&amp;"goes through the Forests protocol. ","")&amp;IF(AND(ISNUMBER($K42),$K42&gt;0),"Shrub figures are ABOVE-ground only; shrub roots are in neither this pool nor "&amp;"the soil core. Declare the gap. ",""))</f>
        <v/>
      </c>
      <c r="Q42" s="6"/>
    </row>
    <row r="43" customFormat="false" ht="15" hidden="false" customHeight="false" outlineLevel="0" collapsed="false">
      <c r="A43" s="6"/>
      <c r="B43" s="6"/>
      <c r="C43" s="6"/>
      <c r="D43" s="6"/>
      <c r="E43" s="6"/>
      <c r="F43" s="6"/>
      <c r="G43" s="7"/>
      <c r="H43" s="7"/>
      <c r="I43" s="9" t="str">
        <f aca="false">IF(OR(NOT(ISNUMBER($F43)),$F43=0,AND(NOT(ISNUMBER($G43)),NOT(ISNUMBER($H43)))),"",(IF(ISNUMBER($G43),$G43,0)+IF(ISNUMBER($H43),$H43,0))/$F43*CARBON_FRACTION_BIOMASS/1000)</f>
        <v/>
      </c>
      <c r="J43" s="6"/>
      <c r="K43" s="7"/>
      <c r="L43" s="9" t="str">
        <f aca="false">IF(OR(NOT(ISNUMBER($K43)),NOT(ISNUMBER($J43)),$J43=0),"",$K43*CARBON_FRACTION_BIOMASS/$J43)</f>
        <v/>
      </c>
      <c r="M43" s="6"/>
      <c r="N43" s="6"/>
      <c r="O43" s="9" t="str">
        <f aca="false">IF($A43="","",IF(ISNUMBER($I43),$I43,0)+IF(ISNUMBER($L43),$L43,0)+IF(ISNUMBER($N43),$N43,0))</f>
        <v/>
      </c>
      <c r="P43" s="11" t="str">
        <f aca="false">IF($A43="","",IF(COUNTIF('1. Plot &amp; Site Log'!$A$5:$A$64,$A43)=0,"Plot ID not in the Plot &amp; Site Log. ","")&amp;IF(COMPARABLE_SEASON_RULE="","No comparable-season rule is written down in Settings, so no plot can say "&amp;"whether it met one. ","")&amp;IF($E43="No","Did NOT meet the project comparable-season rule. Usable on its own, but do not "&amp;"pool it with plots that did, or compare it to another visit. ","")&amp;IF($E43="Not assessed","Comparability against the season rule has not been assessed for this plot. ","")&amp;IF($C43="Unknown","Phenological stage unknown — a standing crop with no stage attached cannot be "&amp;"interpreted or repeated. ","")&amp;IF($B43="","No sampling date. A clip-and-weigh without a date cannot be interpreted. ","")&amp;IF(OR($D43="Grazing — heavy",$D43="Hayed / mown",$D43="Burned"),"Standing material was removed before clipping, so this is what SURVIVED, not "&amp;"what grew. Report it as such. ","")&amp;IF($D43="Unknown","Recent removal unknown — the clip cannot be separated from grazing loss. ","")&amp;IF(AND(ISNUMBER($M43),$M43&gt;0,NOT(ISNUMBER($N43))),"Canopy cover is recorded but no tree carbon is entered — any tree over 2 m "&amp;"goes through the Forests protocol. ","")&amp;IF(AND(ISNUMBER($K43),$K43&gt;0),"Shrub figures are ABOVE-ground only; shrub roots are in neither this pool nor "&amp;"the soil core. Declare the gap. ",""))</f>
        <v/>
      </c>
      <c r="Q43" s="6"/>
    </row>
    <row r="44" customFormat="false" ht="15" hidden="false" customHeight="false" outlineLevel="0" collapsed="false">
      <c r="A44" s="6"/>
      <c r="B44" s="6"/>
      <c r="C44" s="6"/>
      <c r="D44" s="6"/>
      <c r="E44" s="6"/>
      <c r="F44" s="6"/>
      <c r="G44" s="7"/>
      <c r="H44" s="7"/>
      <c r="I44" s="9" t="str">
        <f aca="false">IF(OR(NOT(ISNUMBER($F44)),$F44=0,AND(NOT(ISNUMBER($G44)),NOT(ISNUMBER($H44)))),"",(IF(ISNUMBER($G44),$G44,0)+IF(ISNUMBER($H44),$H44,0))/$F44*CARBON_FRACTION_BIOMASS/1000)</f>
        <v/>
      </c>
      <c r="J44" s="6"/>
      <c r="K44" s="7"/>
      <c r="L44" s="9" t="str">
        <f aca="false">IF(OR(NOT(ISNUMBER($K44)),NOT(ISNUMBER($J44)),$J44=0),"",$K44*CARBON_FRACTION_BIOMASS/$J44)</f>
        <v/>
      </c>
      <c r="M44" s="6"/>
      <c r="N44" s="6"/>
      <c r="O44" s="9" t="str">
        <f aca="false">IF($A44="","",IF(ISNUMBER($I44),$I44,0)+IF(ISNUMBER($L44),$L44,0)+IF(ISNUMBER($N44),$N44,0))</f>
        <v/>
      </c>
      <c r="P44" s="11" t="str">
        <f aca="false">IF($A44="","",IF(COUNTIF('1. Plot &amp; Site Log'!$A$5:$A$64,$A44)=0,"Plot ID not in the Plot &amp; Site Log. ","")&amp;IF(COMPARABLE_SEASON_RULE="","No comparable-season rule is written down in Settings, so no plot can say "&amp;"whether it met one. ","")&amp;IF($E44="No","Did NOT meet the project comparable-season rule. Usable on its own, but do not "&amp;"pool it with plots that did, or compare it to another visit. ","")&amp;IF($E44="Not assessed","Comparability against the season rule has not been assessed for this plot. ","")&amp;IF($C44="Unknown","Phenological stage unknown — a standing crop with no stage attached cannot be "&amp;"interpreted or repeated. ","")&amp;IF($B44="","No sampling date. A clip-and-weigh without a date cannot be interpreted. ","")&amp;IF(OR($D44="Grazing — heavy",$D44="Hayed / mown",$D44="Burned"),"Standing material was removed before clipping, so this is what SURVIVED, not "&amp;"what grew. Report it as such. ","")&amp;IF($D44="Unknown","Recent removal unknown — the clip cannot be separated from grazing loss. ","")&amp;IF(AND(ISNUMBER($M44),$M44&gt;0,NOT(ISNUMBER($N44))),"Canopy cover is recorded but no tree carbon is entered — any tree over 2 m "&amp;"goes through the Forests protocol. ","")&amp;IF(AND(ISNUMBER($K44),$K44&gt;0),"Shrub figures are ABOVE-ground only; shrub roots are in neither this pool nor "&amp;"the soil core. Declare the gap. ",""))</f>
        <v/>
      </c>
      <c r="Q44" s="6"/>
    </row>
    <row r="45" customFormat="false" ht="15" hidden="false" customHeight="false" outlineLevel="0" collapsed="false">
      <c r="A45" s="6"/>
      <c r="B45" s="6"/>
      <c r="C45" s="6"/>
      <c r="D45" s="6"/>
      <c r="E45" s="6"/>
      <c r="F45" s="6"/>
      <c r="G45" s="7"/>
      <c r="H45" s="7"/>
      <c r="I45" s="9" t="str">
        <f aca="false">IF(OR(NOT(ISNUMBER($F45)),$F45=0,AND(NOT(ISNUMBER($G45)),NOT(ISNUMBER($H45)))),"",(IF(ISNUMBER($G45),$G45,0)+IF(ISNUMBER($H45),$H45,0))/$F45*CARBON_FRACTION_BIOMASS/1000)</f>
        <v/>
      </c>
      <c r="J45" s="6"/>
      <c r="K45" s="7"/>
      <c r="L45" s="9" t="str">
        <f aca="false">IF(OR(NOT(ISNUMBER($K45)),NOT(ISNUMBER($J45)),$J45=0),"",$K45*CARBON_FRACTION_BIOMASS/$J45)</f>
        <v/>
      </c>
      <c r="M45" s="6"/>
      <c r="N45" s="6"/>
      <c r="O45" s="9" t="str">
        <f aca="false">IF($A45="","",IF(ISNUMBER($I45),$I45,0)+IF(ISNUMBER($L45),$L45,0)+IF(ISNUMBER($N45),$N45,0))</f>
        <v/>
      </c>
      <c r="P45" s="11" t="str">
        <f aca="false">IF($A45="","",IF(COUNTIF('1. Plot &amp; Site Log'!$A$5:$A$64,$A45)=0,"Plot ID not in the Plot &amp; Site Log. ","")&amp;IF(COMPARABLE_SEASON_RULE="","No comparable-season rule is written down in Settings, so no plot can say "&amp;"whether it met one. ","")&amp;IF($E45="No","Did NOT meet the project comparable-season rule. Usable on its own, but do not "&amp;"pool it with plots that did, or compare it to another visit. ","")&amp;IF($E45="Not assessed","Comparability against the season rule has not been assessed for this plot. ","")&amp;IF($C45="Unknown","Phenological stage unknown — a standing crop with no stage attached cannot be "&amp;"interpreted or repeated. ","")&amp;IF($B45="","No sampling date. A clip-and-weigh without a date cannot be interpreted. ","")&amp;IF(OR($D45="Grazing — heavy",$D45="Hayed / mown",$D45="Burned"),"Standing material was removed before clipping, so this is what SURVIVED, not "&amp;"what grew. Report it as such. ","")&amp;IF($D45="Unknown","Recent removal unknown — the clip cannot be separated from grazing loss. ","")&amp;IF(AND(ISNUMBER($M45),$M45&gt;0,NOT(ISNUMBER($N45))),"Canopy cover is recorded but no tree carbon is entered — any tree over 2 m "&amp;"goes through the Forests protocol. ","")&amp;IF(AND(ISNUMBER($K45),$K45&gt;0),"Shrub figures are ABOVE-ground only; shrub roots are in neither this pool nor "&amp;"the soil core. Declare the gap. ",""))</f>
        <v/>
      </c>
      <c r="Q45" s="6"/>
    </row>
    <row r="46" customFormat="false" ht="15" hidden="false" customHeight="false" outlineLevel="0" collapsed="false">
      <c r="A46" s="6"/>
      <c r="B46" s="6"/>
      <c r="C46" s="6"/>
      <c r="D46" s="6"/>
      <c r="E46" s="6"/>
      <c r="F46" s="6"/>
      <c r="G46" s="7"/>
      <c r="H46" s="7"/>
      <c r="I46" s="9" t="str">
        <f aca="false">IF(OR(NOT(ISNUMBER($F46)),$F46=0,AND(NOT(ISNUMBER($G46)),NOT(ISNUMBER($H46)))),"",(IF(ISNUMBER($G46),$G46,0)+IF(ISNUMBER($H46),$H46,0))/$F46*CARBON_FRACTION_BIOMASS/1000)</f>
        <v/>
      </c>
      <c r="J46" s="6"/>
      <c r="K46" s="7"/>
      <c r="L46" s="9" t="str">
        <f aca="false">IF(OR(NOT(ISNUMBER($K46)),NOT(ISNUMBER($J46)),$J46=0),"",$K46*CARBON_FRACTION_BIOMASS/$J46)</f>
        <v/>
      </c>
      <c r="M46" s="6"/>
      <c r="N46" s="6"/>
      <c r="O46" s="9" t="str">
        <f aca="false">IF($A46="","",IF(ISNUMBER($I46),$I46,0)+IF(ISNUMBER($L46),$L46,0)+IF(ISNUMBER($N46),$N46,0))</f>
        <v/>
      </c>
      <c r="P46" s="11" t="str">
        <f aca="false">IF($A46="","",IF(COUNTIF('1. Plot &amp; Site Log'!$A$5:$A$64,$A46)=0,"Plot ID not in the Plot &amp; Site Log. ","")&amp;IF(COMPARABLE_SEASON_RULE="","No comparable-season rule is written down in Settings, so no plot can say "&amp;"whether it met one. ","")&amp;IF($E46="No","Did NOT meet the project comparable-season rule. Usable on its own, but do not "&amp;"pool it with plots that did, or compare it to another visit. ","")&amp;IF($E46="Not assessed","Comparability against the season rule has not been assessed for this plot. ","")&amp;IF($C46="Unknown","Phenological stage unknown — a standing crop with no stage attached cannot be "&amp;"interpreted or repeated. ","")&amp;IF($B46="","No sampling date. A clip-and-weigh without a date cannot be interpreted. ","")&amp;IF(OR($D46="Grazing — heavy",$D46="Hayed / mown",$D46="Burned"),"Standing material was removed before clipping, so this is what SURVIVED, not "&amp;"what grew. Report it as such. ","")&amp;IF($D46="Unknown","Recent removal unknown — the clip cannot be separated from grazing loss. ","")&amp;IF(AND(ISNUMBER($M46),$M46&gt;0,NOT(ISNUMBER($N46))),"Canopy cover is recorded but no tree carbon is entered — any tree over 2 m "&amp;"goes through the Forests protocol. ","")&amp;IF(AND(ISNUMBER($K46),$K46&gt;0),"Shrub figures are ABOVE-ground only; shrub roots are in neither this pool nor "&amp;"the soil core. Declare the gap. ",""))</f>
        <v/>
      </c>
      <c r="Q46" s="6"/>
    </row>
    <row r="47" customFormat="false" ht="15" hidden="false" customHeight="false" outlineLevel="0" collapsed="false">
      <c r="A47" s="6"/>
      <c r="B47" s="6"/>
      <c r="C47" s="6"/>
      <c r="D47" s="6"/>
      <c r="E47" s="6"/>
      <c r="F47" s="6"/>
      <c r="G47" s="7"/>
      <c r="H47" s="7"/>
      <c r="I47" s="9" t="str">
        <f aca="false">IF(OR(NOT(ISNUMBER($F47)),$F47=0,AND(NOT(ISNUMBER($G47)),NOT(ISNUMBER($H47)))),"",(IF(ISNUMBER($G47),$G47,0)+IF(ISNUMBER($H47),$H47,0))/$F47*CARBON_FRACTION_BIOMASS/1000)</f>
        <v/>
      </c>
      <c r="J47" s="6"/>
      <c r="K47" s="7"/>
      <c r="L47" s="9" t="str">
        <f aca="false">IF(OR(NOT(ISNUMBER($K47)),NOT(ISNUMBER($J47)),$J47=0),"",$K47*CARBON_FRACTION_BIOMASS/$J47)</f>
        <v/>
      </c>
      <c r="M47" s="6"/>
      <c r="N47" s="6"/>
      <c r="O47" s="9" t="str">
        <f aca="false">IF($A47="","",IF(ISNUMBER($I47),$I47,0)+IF(ISNUMBER($L47),$L47,0)+IF(ISNUMBER($N47),$N47,0))</f>
        <v/>
      </c>
      <c r="P47" s="11" t="str">
        <f aca="false">IF($A47="","",IF(COUNTIF('1. Plot &amp; Site Log'!$A$5:$A$64,$A47)=0,"Plot ID not in the Plot &amp; Site Log. ","")&amp;IF(COMPARABLE_SEASON_RULE="","No comparable-season rule is written down in Settings, so no plot can say "&amp;"whether it met one. ","")&amp;IF($E47="No","Did NOT meet the project comparable-season rule. Usable on its own, but do not "&amp;"pool it with plots that did, or compare it to another visit. ","")&amp;IF($E47="Not assessed","Comparability against the season rule has not been assessed for this plot. ","")&amp;IF($C47="Unknown","Phenological stage unknown — a standing crop with no stage attached cannot be "&amp;"interpreted or repeated. ","")&amp;IF($B47="","No sampling date. A clip-and-weigh without a date cannot be interpreted. ","")&amp;IF(OR($D47="Grazing — heavy",$D47="Hayed / mown",$D47="Burned"),"Standing material was removed before clipping, so this is what SURVIVED, not "&amp;"what grew. Report it as such. ","")&amp;IF($D47="Unknown","Recent removal unknown — the clip cannot be separated from grazing loss. ","")&amp;IF(AND(ISNUMBER($M47),$M47&gt;0,NOT(ISNUMBER($N47))),"Canopy cover is recorded but no tree carbon is entered — any tree over 2 m "&amp;"goes through the Forests protocol. ","")&amp;IF(AND(ISNUMBER($K47),$K47&gt;0),"Shrub figures are ABOVE-ground only; shrub roots are in neither this pool nor "&amp;"the soil core. Declare the gap. ",""))</f>
        <v/>
      </c>
      <c r="Q47" s="6"/>
    </row>
    <row r="48" customFormat="false" ht="15" hidden="false" customHeight="false" outlineLevel="0" collapsed="false">
      <c r="A48" s="6"/>
      <c r="B48" s="6"/>
      <c r="C48" s="6"/>
      <c r="D48" s="6"/>
      <c r="E48" s="6"/>
      <c r="F48" s="6"/>
      <c r="G48" s="7"/>
      <c r="H48" s="7"/>
      <c r="I48" s="9" t="str">
        <f aca="false">IF(OR(NOT(ISNUMBER($F48)),$F48=0,AND(NOT(ISNUMBER($G48)),NOT(ISNUMBER($H48)))),"",(IF(ISNUMBER($G48),$G48,0)+IF(ISNUMBER($H48),$H48,0))/$F48*CARBON_FRACTION_BIOMASS/1000)</f>
        <v/>
      </c>
      <c r="J48" s="6"/>
      <c r="K48" s="7"/>
      <c r="L48" s="9" t="str">
        <f aca="false">IF(OR(NOT(ISNUMBER($K48)),NOT(ISNUMBER($J48)),$J48=0),"",$K48*CARBON_FRACTION_BIOMASS/$J48)</f>
        <v/>
      </c>
      <c r="M48" s="6"/>
      <c r="N48" s="6"/>
      <c r="O48" s="9" t="str">
        <f aca="false">IF($A48="","",IF(ISNUMBER($I48),$I48,0)+IF(ISNUMBER($L48),$L48,0)+IF(ISNUMBER($N48),$N48,0))</f>
        <v/>
      </c>
      <c r="P48" s="11" t="str">
        <f aca="false">IF($A48="","",IF(COUNTIF('1. Plot &amp; Site Log'!$A$5:$A$64,$A48)=0,"Plot ID not in the Plot &amp; Site Log. ","")&amp;IF(COMPARABLE_SEASON_RULE="","No comparable-season rule is written down in Settings, so no plot can say "&amp;"whether it met one. ","")&amp;IF($E48="No","Did NOT meet the project comparable-season rule. Usable on its own, but do not "&amp;"pool it with plots that did, or compare it to another visit. ","")&amp;IF($E48="Not assessed","Comparability against the season rule has not been assessed for this plot. ","")&amp;IF($C48="Unknown","Phenological stage unknown — a standing crop with no stage attached cannot be "&amp;"interpreted or repeated. ","")&amp;IF($B48="","No sampling date. A clip-and-weigh without a date cannot be interpreted. ","")&amp;IF(OR($D48="Grazing — heavy",$D48="Hayed / mown",$D48="Burned"),"Standing material was removed before clipping, so this is what SURVIVED, not "&amp;"what grew. Report it as such. ","")&amp;IF($D48="Unknown","Recent removal unknown — the clip cannot be separated from grazing loss. ","")&amp;IF(AND(ISNUMBER($M48),$M48&gt;0,NOT(ISNUMBER($N48))),"Canopy cover is recorded but no tree carbon is entered — any tree over 2 m "&amp;"goes through the Forests protocol. ","")&amp;IF(AND(ISNUMBER($K48),$K48&gt;0),"Shrub figures are ABOVE-ground only; shrub roots are in neither this pool nor "&amp;"the soil core. Declare the gap. ",""))</f>
        <v/>
      </c>
      <c r="Q48" s="6"/>
    </row>
    <row r="49" customFormat="false" ht="15" hidden="false" customHeight="false" outlineLevel="0" collapsed="false">
      <c r="A49" s="6"/>
      <c r="B49" s="6"/>
      <c r="C49" s="6"/>
      <c r="D49" s="6"/>
      <c r="E49" s="6"/>
      <c r="F49" s="6"/>
      <c r="G49" s="7"/>
      <c r="H49" s="7"/>
      <c r="I49" s="9" t="str">
        <f aca="false">IF(OR(NOT(ISNUMBER($F49)),$F49=0,AND(NOT(ISNUMBER($G49)),NOT(ISNUMBER($H49)))),"",(IF(ISNUMBER($G49),$G49,0)+IF(ISNUMBER($H49),$H49,0))/$F49*CARBON_FRACTION_BIOMASS/1000)</f>
        <v/>
      </c>
      <c r="J49" s="6"/>
      <c r="K49" s="7"/>
      <c r="L49" s="9" t="str">
        <f aca="false">IF(OR(NOT(ISNUMBER($K49)),NOT(ISNUMBER($J49)),$J49=0),"",$K49*CARBON_FRACTION_BIOMASS/$J49)</f>
        <v/>
      </c>
      <c r="M49" s="6"/>
      <c r="N49" s="6"/>
      <c r="O49" s="9" t="str">
        <f aca="false">IF($A49="","",IF(ISNUMBER($I49),$I49,0)+IF(ISNUMBER($L49),$L49,0)+IF(ISNUMBER($N49),$N49,0))</f>
        <v/>
      </c>
      <c r="P49" s="11" t="str">
        <f aca="false">IF($A49="","",IF(COUNTIF('1. Plot &amp; Site Log'!$A$5:$A$64,$A49)=0,"Plot ID not in the Plot &amp; Site Log. ","")&amp;IF(COMPARABLE_SEASON_RULE="","No comparable-season rule is written down in Settings, so no plot can say "&amp;"whether it met one. ","")&amp;IF($E49="No","Did NOT meet the project comparable-season rule. Usable on its own, but do not "&amp;"pool it with plots that did, or compare it to another visit. ","")&amp;IF($E49="Not assessed","Comparability against the season rule has not been assessed for this plot. ","")&amp;IF($C49="Unknown","Phenological stage unknown — a standing crop with no stage attached cannot be "&amp;"interpreted or repeated. ","")&amp;IF($B49="","No sampling date. A clip-and-weigh without a date cannot be interpreted. ","")&amp;IF(OR($D49="Grazing — heavy",$D49="Hayed / mown",$D49="Burned"),"Standing material was removed before clipping, so this is what SURVIVED, not "&amp;"what grew. Report it as such. ","")&amp;IF($D49="Unknown","Recent removal unknown — the clip cannot be separated from grazing loss. ","")&amp;IF(AND(ISNUMBER($M49),$M49&gt;0,NOT(ISNUMBER($N49))),"Canopy cover is recorded but no tree carbon is entered — any tree over 2 m "&amp;"goes through the Forests protocol. ","")&amp;IF(AND(ISNUMBER($K49),$K49&gt;0),"Shrub figures are ABOVE-ground only; shrub roots are in neither this pool nor "&amp;"the soil core. Declare the gap. ",""))</f>
        <v/>
      </c>
      <c r="Q49" s="6"/>
    </row>
    <row r="50" customFormat="false" ht="15" hidden="false" customHeight="false" outlineLevel="0" collapsed="false">
      <c r="A50" s="6"/>
      <c r="B50" s="6"/>
      <c r="C50" s="6"/>
      <c r="D50" s="6"/>
      <c r="E50" s="6"/>
      <c r="F50" s="6"/>
      <c r="G50" s="7"/>
      <c r="H50" s="7"/>
      <c r="I50" s="9" t="str">
        <f aca="false">IF(OR(NOT(ISNUMBER($F50)),$F50=0,AND(NOT(ISNUMBER($G50)),NOT(ISNUMBER($H50)))),"",(IF(ISNUMBER($G50),$G50,0)+IF(ISNUMBER($H50),$H50,0))/$F50*CARBON_FRACTION_BIOMASS/1000)</f>
        <v/>
      </c>
      <c r="J50" s="6"/>
      <c r="K50" s="7"/>
      <c r="L50" s="9" t="str">
        <f aca="false">IF(OR(NOT(ISNUMBER($K50)),NOT(ISNUMBER($J50)),$J50=0),"",$K50*CARBON_FRACTION_BIOMASS/$J50)</f>
        <v/>
      </c>
      <c r="M50" s="6"/>
      <c r="N50" s="6"/>
      <c r="O50" s="9" t="str">
        <f aca="false">IF($A50="","",IF(ISNUMBER($I50),$I50,0)+IF(ISNUMBER($L50),$L50,0)+IF(ISNUMBER($N50),$N50,0))</f>
        <v/>
      </c>
      <c r="P50" s="11" t="str">
        <f aca="false">IF($A50="","",IF(COUNTIF('1. Plot &amp; Site Log'!$A$5:$A$64,$A50)=0,"Plot ID not in the Plot &amp; Site Log. ","")&amp;IF(COMPARABLE_SEASON_RULE="","No comparable-season rule is written down in Settings, so no plot can say "&amp;"whether it met one. ","")&amp;IF($E50="No","Did NOT meet the project comparable-season rule. Usable on its own, but do not "&amp;"pool it with plots that did, or compare it to another visit. ","")&amp;IF($E50="Not assessed","Comparability against the season rule has not been assessed for this plot. ","")&amp;IF($C50="Unknown","Phenological stage unknown — a standing crop with no stage attached cannot be "&amp;"interpreted or repeated. ","")&amp;IF($B50="","No sampling date. A clip-and-weigh without a date cannot be interpreted. ","")&amp;IF(OR($D50="Grazing — heavy",$D50="Hayed / mown",$D50="Burned"),"Standing material was removed before clipping, so this is what SURVIVED, not "&amp;"what grew. Report it as such. ","")&amp;IF($D50="Unknown","Recent removal unknown — the clip cannot be separated from grazing loss. ","")&amp;IF(AND(ISNUMBER($M50),$M50&gt;0,NOT(ISNUMBER($N50))),"Canopy cover is recorded but no tree carbon is entered — any tree over 2 m "&amp;"goes through the Forests protocol. ","")&amp;IF(AND(ISNUMBER($K50),$K50&gt;0),"Shrub figures are ABOVE-ground only; shrub roots are in neither this pool nor "&amp;"the soil core. Declare the gap. ",""))</f>
        <v/>
      </c>
      <c r="Q50" s="6"/>
    </row>
    <row r="51" customFormat="false" ht="15" hidden="false" customHeight="false" outlineLevel="0" collapsed="false">
      <c r="A51" s="6"/>
      <c r="B51" s="6"/>
      <c r="C51" s="6"/>
      <c r="D51" s="6"/>
      <c r="E51" s="6"/>
      <c r="F51" s="6"/>
      <c r="G51" s="7"/>
      <c r="H51" s="7"/>
      <c r="I51" s="9" t="str">
        <f aca="false">IF(OR(NOT(ISNUMBER($F51)),$F51=0,AND(NOT(ISNUMBER($G51)),NOT(ISNUMBER($H51)))),"",(IF(ISNUMBER($G51),$G51,0)+IF(ISNUMBER($H51),$H51,0))/$F51*CARBON_FRACTION_BIOMASS/1000)</f>
        <v/>
      </c>
      <c r="J51" s="6"/>
      <c r="K51" s="7"/>
      <c r="L51" s="9" t="str">
        <f aca="false">IF(OR(NOT(ISNUMBER($K51)),NOT(ISNUMBER($J51)),$J51=0),"",$K51*CARBON_FRACTION_BIOMASS/$J51)</f>
        <v/>
      </c>
      <c r="M51" s="6"/>
      <c r="N51" s="6"/>
      <c r="O51" s="9" t="str">
        <f aca="false">IF($A51="","",IF(ISNUMBER($I51),$I51,0)+IF(ISNUMBER($L51),$L51,0)+IF(ISNUMBER($N51),$N51,0))</f>
        <v/>
      </c>
      <c r="P51" s="11" t="str">
        <f aca="false">IF($A51="","",IF(COUNTIF('1. Plot &amp; Site Log'!$A$5:$A$64,$A51)=0,"Plot ID not in the Plot &amp; Site Log. ","")&amp;IF(COMPARABLE_SEASON_RULE="","No comparable-season rule is written down in Settings, so no plot can say "&amp;"whether it met one. ","")&amp;IF($E51="No","Did NOT meet the project comparable-season rule. Usable on its own, but do not "&amp;"pool it with plots that did, or compare it to another visit. ","")&amp;IF($E51="Not assessed","Comparability against the season rule has not been assessed for this plot. ","")&amp;IF($C51="Unknown","Phenological stage unknown — a standing crop with no stage attached cannot be "&amp;"interpreted or repeated. ","")&amp;IF($B51="","No sampling date. A clip-and-weigh without a date cannot be interpreted. ","")&amp;IF(OR($D51="Grazing — heavy",$D51="Hayed / mown",$D51="Burned"),"Standing material was removed before clipping, so this is what SURVIVED, not "&amp;"what grew. Report it as such. ","")&amp;IF($D51="Unknown","Recent removal unknown — the clip cannot be separated from grazing loss. ","")&amp;IF(AND(ISNUMBER($M51),$M51&gt;0,NOT(ISNUMBER($N51))),"Canopy cover is recorded but no tree carbon is entered — any tree over 2 m "&amp;"goes through the Forests protocol. ","")&amp;IF(AND(ISNUMBER($K51),$K51&gt;0),"Shrub figures are ABOVE-ground only; shrub roots are in neither this pool nor "&amp;"the soil core. Declare the gap. ",""))</f>
        <v/>
      </c>
      <c r="Q51" s="6"/>
    </row>
    <row r="52" customFormat="false" ht="15" hidden="false" customHeight="false" outlineLevel="0" collapsed="false">
      <c r="A52" s="6"/>
      <c r="B52" s="6"/>
      <c r="C52" s="6"/>
      <c r="D52" s="6"/>
      <c r="E52" s="6"/>
      <c r="F52" s="6"/>
      <c r="G52" s="7"/>
      <c r="H52" s="7"/>
      <c r="I52" s="9" t="str">
        <f aca="false">IF(OR(NOT(ISNUMBER($F52)),$F52=0,AND(NOT(ISNUMBER($G52)),NOT(ISNUMBER($H52)))),"",(IF(ISNUMBER($G52),$G52,0)+IF(ISNUMBER($H52),$H52,0))/$F52*CARBON_FRACTION_BIOMASS/1000)</f>
        <v/>
      </c>
      <c r="J52" s="6"/>
      <c r="K52" s="7"/>
      <c r="L52" s="9" t="str">
        <f aca="false">IF(OR(NOT(ISNUMBER($K52)),NOT(ISNUMBER($J52)),$J52=0),"",$K52*CARBON_FRACTION_BIOMASS/$J52)</f>
        <v/>
      </c>
      <c r="M52" s="6"/>
      <c r="N52" s="6"/>
      <c r="O52" s="9" t="str">
        <f aca="false">IF($A52="","",IF(ISNUMBER($I52),$I52,0)+IF(ISNUMBER($L52),$L52,0)+IF(ISNUMBER($N52),$N52,0))</f>
        <v/>
      </c>
      <c r="P52" s="11" t="str">
        <f aca="false">IF($A52="","",IF(COUNTIF('1. Plot &amp; Site Log'!$A$5:$A$64,$A52)=0,"Plot ID not in the Plot &amp; Site Log. ","")&amp;IF(COMPARABLE_SEASON_RULE="","No comparable-season rule is written down in Settings, so no plot can say "&amp;"whether it met one. ","")&amp;IF($E52="No","Did NOT meet the project comparable-season rule. Usable on its own, but do not "&amp;"pool it with plots that did, or compare it to another visit. ","")&amp;IF($E52="Not assessed","Comparability against the season rule has not been assessed for this plot. ","")&amp;IF($C52="Unknown","Phenological stage unknown — a standing crop with no stage attached cannot be "&amp;"interpreted or repeated. ","")&amp;IF($B52="","No sampling date. A clip-and-weigh without a date cannot be interpreted. ","")&amp;IF(OR($D52="Grazing — heavy",$D52="Hayed / mown",$D52="Burned"),"Standing material was removed before clipping, so this is what SURVIVED, not "&amp;"what grew. Report it as such. ","")&amp;IF($D52="Unknown","Recent removal unknown — the clip cannot be separated from grazing loss. ","")&amp;IF(AND(ISNUMBER($M52),$M52&gt;0,NOT(ISNUMBER($N52))),"Canopy cover is recorded but no tree carbon is entered — any tree over 2 m "&amp;"goes through the Forests protocol. ","")&amp;IF(AND(ISNUMBER($K52),$K52&gt;0),"Shrub figures are ABOVE-ground only; shrub roots are in neither this pool nor "&amp;"the soil core. Declare the gap. ",""))</f>
        <v/>
      </c>
      <c r="Q52" s="6"/>
    </row>
    <row r="53" customFormat="false" ht="15" hidden="false" customHeight="false" outlineLevel="0" collapsed="false">
      <c r="A53" s="6"/>
      <c r="B53" s="6"/>
      <c r="C53" s="6"/>
      <c r="D53" s="6"/>
      <c r="E53" s="6"/>
      <c r="F53" s="6"/>
      <c r="G53" s="7"/>
      <c r="H53" s="7"/>
      <c r="I53" s="9" t="str">
        <f aca="false">IF(OR(NOT(ISNUMBER($F53)),$F53=0,AND(NOT(ISNUMBER($G53)),NOT(ISNUMBER($H53)))),"",(IF(ISNUMBER($G53),$G53,0)+IF(ISNUMBER($H53),$H53,0))/$F53*CARBON_FRACTION_BIOMASS/1000)</f>
        <v/>
      </c>
      <c r="J53" s="6"/>
      <c r="K53" s="7"/>
      <c r="L53" s="9" t="str">
        <f aca="false">IF(OR(NOT(ISNUMBER($K53)),NOT(ISNUMBER($J53)),$J53=0),"",$K53*CARBON_FRACTION_BIOMASS/$J53)</f>
        <v/>
      </c>
      <c r="M53" s="6"/>
      <c r="N53" s="6"/>
      <c r="O53" s="9" t="str">
        <f aca="false">IF($A53="","",IF(ISNUMBER($I53),$I53,0)+IF(ISNUMBER($L53),$L53,0)+IF(ISNUMBER($N53),$N53,0))</f>
        <v/>
      </c>
      <c r="P53" s="11" t="str">
        <f aca="false">IF($A53="","",IF(COUNTIF('1. Plot &amp; Site Log'!$A$5:$A$64,$A53)=0,"Plot ID not in the Plot &amp; Site Log. ","")&amp;IF(COMPARABLE_SEASON_RULE="","No comparable-season rule is written down in Settings, so no plot can say "&amp;"whether it met one. ","")&amp;IF($E53="No","Did NOT meet the project comparable-season rule. Usable on its own, but do not "&amp;"pool it with plots that did, or compare it to another visit. ","")&amp;IF($E53="Not assessed","Comparability against the season rule has not been assessed for this plot. ","")&amp;IF($C53="Unknown","Phenological stage unknown — a standing crop with no stage attached cannot be "&amp;"interpreted or repeated. ","")&amp;IF($B53="","No sampling date. A clip-and-weigh without a date cannot be interpreted. ","")&amp;IF(OR($D53="Grazing — heavy",$D53="Hayed / mown",$D53="Burned"),"Standing material was removed before clipping, so this is what SURVIVED, not "&amp;"what grew. Report it as such. ","")&amp;IF($D53="Unknown","Recent removal unknown — the clip cannot be separated from grazing loss. ","")&amp;IF(AND(ISNUMBER($M53),$M53&gt;0,NOT(ISNUMBER($N53))),"Canopy cover is recorded but no tree carbon is entered — any tree over 2 m "&amp;"goes through the Forests protocol. ","")&amp;IF(AND(ISNUMBER($K53),$K53&gt;0),"Shrub figures are ABOVE-ground only; shrub roots are in neither this pool nor "&amp;"the soil core. Declare the gap. ",""))</f>
        <v/>
      </c>
      <c r="Q53" s="6"/>
    </row>
    <row r="54" customFormat="false" ht="15" hidden="false" customHeight="false" outlineLevel="0" collapsed="false">
      <c r="A54" s="6"/>
      <c r="B54" s="6"/>
      <c r="C54" s="6"/>
      <c r="D54" s="6"/>
      <c r="E54" s="6"/>
      <c r="F54" s="6"/>
      <c r="G54" s="7"/>
      <c r="H54" s="7"/>
      <c r="I54" s="9" t="str">
        <f aca="false">IF(OR(NOT(ISNUMBER($F54)),$F54=0,AND(NOT(ISNUMBER($G54)),NOT(ISNUMBER($H54)))),"",(IF(ISNUMBER($G54),$G54,0)+IF(ISNUMBER($H54),$H54,0))/$F54*CARBON_FRACTION_BIOMASS/1000)</f>
        <v/>
      </c>
      <c r="J54" s="6"/>
      <c r="K54" s="7"/>
      <c r="L54" s="9" t="str">
        <f aca="false">IF(OR(NOT(ISNUMBER($K54)),NOT(ISNUMBER($J54)),$J54=0),"",$K54*CARBON_FRACTION_BIOMASS/$J54)</f>
        <v/>
      </c>
      <c r="M54" s="6"/>
      <c r="N54" s="6"/>
      <c r="O54" s="9" t="str">
        <f aca="false">IF($A54="","",IF(ISNUMBER($I54),$I54,0)+IF(ISNUMBER($L54),$L54,0)+IF(ISNUMBER($N54),$N54,0))</f>
        <v/>
      </c>
      <c r="P54" s="11" t="str">
        <f aca="false">IF($A54="","",IF(COUNTIF('1. Plot &amp; Site Log'!$A$5:$A$64,$A54)=0,"Plot ID not in the Plot &amp; Site Log. ","")&amp;IF(COMPARABLE_SEASON_RULE="","No comparable-season rule is written down in Settings, so no plot can say "&amp;"whether it met one. ","")&amp;IF($E54="No","Did NOT meet the project comparable-season rule. Usable on its own, but do not "&amp;"pool it with plots that did, or compare it to another visit. ","")&amp;IF($E54="Not assessed","Comparability against the season rule has not been assessed for this plot. ","")&amp;IF($C54="Unknown","Phenological stage unknown — a standing crop with no stage attached cannot be "&amp;"interpreted or repeated. ","")&amp;IF($B54="","No sampling date. A clip-and-weigh without a date cannot be interpreted. ","")&amp;IF(OR($D54="Grazing — heavy",$D54="Hayed / mown",$D54="Burned"),"Standing material was removed before clipping, so this is what SURVIVED, not "&amp;"what grew. Report it as such. ","")&amp;IF($D54="Unknown","Recent removal unknown — the clip cannot be separated from grazing loss. ","")&amp;IF(AND(ISNUMBER($M54),$M54&gt;0,NOT(ISNUMBER($N54))),"Canopy cover is recorded but no tree carbon is entered — any tree over 2 m "&amp;"goes through the Forests protocol. ","")&amp;IF(AND(ISNUMBER($K54),$K54&gt;0),"Shrub figures are ABOVE-ground only; shrub roots are in neither this pool nor "&amp;"the soil core. Declare the gap. ",""))</f>
        <v/>
      </c>
      <c r="Q54" s="6"/>
    </row>
    <row r="55" customFormat="false" ht="15" hidden="false" customHeight="false" outlineLevel="0" collapsed="false">
      <c r="A55" s="6"/>
      <c r="B55" s="6"/>
      <c r="C55" s="6"/>
      <c r="D55" s="6"/>
      <c r="E55" s="6"/>
      <c r="F55" s="6"/>
      <c r="G55" s="7"/>
      <c r="H55" s="7"/>
      <c r="I55" s="9" t="str">
        <f aca="false">IF(OR(NOT(ISNUMBER($F55)),$F55=0,AND(NOT(ISNUMBER($G55)),NOT(ISNUMBER($H55)))),"",(IF(ISNUMBER($G55),$G55,0)+IF(ISNUMBER($H55),$H55,0))/$F55*CARBON_FRACTION_BIOMASS/1000)</f>
        <v/>
      </c>
      <c r="J55" s="6"/>
      <c r="K55" s="7"/>
      <c r="L55" s="9" t="str">
        <f aca="false">IF(OR(NOT(ISNUMBER($K55)),NOT(ISNUMBER($J55)),$J55=0),"",$K55*CARBON_FRACTION_BIOMASS/$J55)</f>
        <v/>
      </c>
      <c r="M55" s="6"/>
      <c r="N55" s="6"/>
      <c r="O55" s="9" t="str">
        <f aca="false">IF($A55="","",IF(ISNUMBER($I55),$I55,0)+IF(ISNUMBER($L55),$L55,0)+IF(ISNUMBER($N55),$N55,0))</f>
        <v/>
      </c>
      <c r="P55" s="11" t="str">
        <f aca="false">IF($A55="","",IF(COUNTIF('1. Plot &amp; Site Log'!$A$5:$A$64,$A55)=0,"Plot ID not in the Plot &amp; Site Log. ","")&amp;IF(COMPARABLE_SEASON_RULE="","No comparable-season rule is written down in Settings, so no plot can say "&amp;"whether it met one. ","")&amp;IF($E55="No","Did NOT meet the project comparable-season rule. Usable on its own, but do not "&amp;"pool it with plots that did, or compare it to another visit. ","")&amp;IF($E55="Not assessed","Comparability against the season rule has not been assessed for this plot. ","")&amp;IF($C55="Unknown","Phenological stage unknown — a standing crop with no stage attached cannot be "&amp;"interpreted or repeated. ","")&amp;IF($B55="","No sampling date. A clip-and-weigh without a date cannot be interpreted. ","")&amp;IF(OR($D55="Grazing — heavy",$D55="Hayed / mown",$D55="Burned"),"Standing material was removed before clipping, so this is what SURVIVED, not "&amp;"what grew. Report it as such. ","")&amp;IF($D55="Unknown","Recent removal unknown — the clip cannot be separated from grazing loss. ","")&amp;IF(AND(ISNUMBER($M55),$M55&gt;0,NOT(ISNUMBER($N55))),"Canopy cover is recorded but no tree carbon is entered — any tree over 2 m "&amp;"goes through the Forests protocol. ","")&amp;IF(AND(ISNUMBER($K55),$K55&gt;0),"Shrub figures are ABOVE-ground only; shrub roots are in neither this pool nor "&amp;"the soil core. Declare the gap. ",""))</f>
        <v/>
      </c>
      <c r="Q55" s="6"/>
    </row>
    <row r="56" customFormat="false" ht="15" hidden="false" customHeight="false" outlineLevel="0" collapsed="false">
      <c r="A56" s="6"/>
      <c r="B56" s="6"/>
      <c r="C56" s="6"/>
      <c r="D56" s="6"/>
      <c r="E56" s="6"/>
      <c r="F56" s="6"/>
      <c r="G56" s="7"/>
      <c r="H56" s="7"/>
      <c r="I56" s="9" t="str">
        <f aca="false">IF(OR(NOT(ISNUMBER($F56)),$F56=0,AND(NOT(ISNUMBER($G56)),NOT(ISNUMBER($H56)))),"",(IF(ISNUMBER($G56),$G56,0)+IF(ISNUMBER($H56),$H56,0))/$F56*CARBON_FRACTION_BIOMASS/1000)</f>
        <v/>
      </c>
      <c r="J56" s="6"/>
      <c r="K56" s="7"/>
      <c r="L56" s="9" t="str">
        <f aca="false">IF(OR(NOT(ISNUMBER($K56)),NOT(ISNUMBER($J56)),$J56=0),"",$K56*CARBON_FRACTION_BIOMASS/$J56)</f>
        <v/>
      </c>
      <c r="M56" s="6"/>
      <c r="N56" s="6"/>
      <c r="O56" s="9" t="str">
        <f aca="false">IF($A56="","",IF(ISNUMBER($I56),$I56,0)+IF(ISNUMBER($L56),$L56,0)+IF(ISNUMBER($N56),$N56,0))</f>
        <v/>
      </c>
      <c r="P56" s="11" t="str">
        <f aca="false">IF($A56="","",IF(COUNTIF('1. Plot &amp; Site Log'!$A$5:$A$64,$A56)=0,"Plot ID not in the Plot &amp; Site Log. ","")&amp;IF(COMPARABLE_SEASON_RULE="","No comparable-season rule is written down in Settings, so no plot can say "&amp;"whether it met one. ","")&amp;IF($E56="No","Did NOT meet the project comparable-season rule. Usable on its own, but do not "&amp;"pool it with plots that did, or compare it to another visit. ","")&amp;IF($E56="Not assessed","Comparability against the season rule has not been assessed for this plot. ","")&amp;IF($C56="Unknown","Phenological stage unknown — a standing crop with no stage attached cannot be "&amp;"interpreted or repeated. ","")&amp;IF($B56="","No sampling date. A clip-and-weigh without a date cannot be interpreted. ","")&amp;IF(OR($D56="Grazing — heavy",$D56="Hayed / mown",$D56="Burned"),"Standing material was removed before clipping, so this is what SURVIVED, not "&amp;"what grew. Report it as such. ","")&amp;IF($D56="Unknown","Recent removal unknown — the clip cannot be separated from grazing loss. ","")&amp;IF(AND(ISNUMBER($M56),$M56&gt;0,NOT(ISNUMBER($N56))),"Canopy cover is recorded but no tree carbon is entered — any tree over 2 m "&amp;"goes through the Forests protocol. ","")&amp;IF(AND(ISNUMBER($K56),$K56&gt;0),"Shrub figures are ABOVE-ground only; shrub roots are in neither this pool nor "&amp;"the soil core. Declare the gap. ",""))</f>
        <v/>
      </c>
      <c r="Q56" s="6"/>
    </row>
    <row r="57" customFormat="false" ht="15" hidden="false" customHeight="false" outlineLevel="0" collapsed="false">
      <c r="A57" s="6"/>
      <c r="B57" s="6"/>
      <c r="C57" s="6"/>
      <c r="D57" s="6"/>
      <c r="E57" s="6"/>
      <c r="F57" s="6"/>
      <c r="G57" s="7"/>
      <c r="H57" s="7"/>
      <c r="I57" s="9" t="str">
        <f aca="false">IF(OR(NOT(ISNUMBER($F57)),$F57=0,AND(NOT(ISNUMBER($G57)),NOT(ISNUMBER($H57)))),"",(IF(ISNUMBER($G57),$G57,0)+IF(ISNUMBER($H57),$H57,0))/$F57*CARBON_FRACTION_BIOMASS/1000)</f>
        <v/>
      </c>
      <c r="J57" s="6"/>
      <c r="K57" s="7"/>
      <c r="L57" s="9" t="str">
        <f aca="false">IF(OR(NOT(ISNUMBER($K57)),NOT(ISNUMBER($J57)),$J57=0),"",$K57*CARBON_FRACTION_BIOMASS/$J57)</f>
        <v/>
      </c>
      <c r="M57" s="6"/>
      <c r="N57" s="6"/>
      <c r="O57" s="9" t="str">
        <f aca="false">IF($A57="","",IF(ISNUMBER($I57),$I57,0)+IF(ISNUMBER($L57),$L57,0)+IF(ISNUMBER($N57),$N57,0))</f>
        <v/>
      </c>
      <c r="P57" s="11" t="str">
        <f aca="false">IF($A57="","",IF(COUNTIF('1. Plot &amp; Site Log'!$A$5:$A$64,$A57)=0,"Plot ID not in the Plot &amp; Site Log. ","")&amp;IF(COMPARABLE_SEASON_RULE="","No comparable-season rule is written down in Settings, so no plot can say "&amp;"whether it met one. ","")&amp;IF($E57="No","Did NOT meet the project comparable-season rule. Usable on its own, but do not "&amp;"pool it with plots that did, or compare it to another visit. ","")&amp;IF($E57="Not assessed","Comparability against the season rule has not been assessed for this plot. ","")&amp;IF($C57="Unknown","Phenological stage unknown — a standing crop with no stage attached cannot be "&amp;"interpreted or repeated. ","")&amp;IF($B57="","No sampling date. A clip-and-weigh without a date cannot be interpreted. ","")&amp;IF(OR($D57="Grazing — heavy",$D57="Hayed / mown",$D57="Burned"),"Standing material was removed before clipping, so this is what SURVIVED, not "&amp;"what grew. Report it as such. ","")&amp;IF($D57="Unknown","Recent removal unknown — the clip cannot be separated from grazing loss. ","")&amp;IF(AND(ISNUMBER($M57),$M57&gt;0,NOT(ISNUMBER($N57))),"Canopy cover is recorded but no tree carbon is entered — any tree over 2 m "&amp;"goes through the Forests protocol. ","")&amp;IF(AND(ISNUMBER($K57),$K57&gt;0),"Shrub figures are ABOVE-ground only; shrub roots are in neither this pool nor "&amp;"the soil core. Declare the gap. ",""))</f>
        <v/>
      </c>
      <c r="Q57" s="6"/>
    </row>
    <row r="58" customFormat="false" ht="15" hidden="false" customHeight="false" outlineLevel="0" collapsed="false">
      <c r="A58" s="6"/>
      <c r="B58" s="6"/>
      <c r="C58" s="6"/>
      <c r="D58" s="6"/>
      <c r="E58" s="6"/>
      <c r="F58" s="6"/>
      <c r="G58" s="7"/>
      <c r="H58" s="7"/>
      <c r="I58" s="9" t="str">
        <f aca="false">IF(OR(NOT(ISNUMBER($F58)),$F58=0,AND(NOT(ISNUMBER($G58)),NOT(ISNUMBER($H58)))),"",(IF(ISNUMBER($G58),$G58,0)+IF(ISNUMBER($H58),$H58,0))/$F58*CARBON_FRACTION_BIOMASS/1000)</f>
        <v/>
      </c>
      <c r="J58" s="6"/>
      <c r="K58" s="7"/>
      <c r="L58" s="9" t="str">
        <f aca="false">IF(OR(NOT(ISNUMBER($K58)),NOT(ISNUMBER($J58)),$J58=0),"",$K58*CARBON_FRACTION_BIOMASS/$J58)</f>
        <v/>
      </c>
      <c r="M58" s="6"/>
      <c r="N58" s="6"/>
      <c r="O58" s="9" t="str">
        <f aca="false">IF($A58="","",IF(ISNUMBER($I58),$I58,0)+IF(ISNUMBER($L58),$L58,0)+IF(ISNUMBER($N58),$N58,0))</f>
        <v/>
      </c>
      <c r="P58" s="11" t="str">
        <f aca="false">IF($A58="","",IF(COUNTIF('1. Plot &amp; Site Log'!$A$5:$A$64,$A58)=0,"Plot ID not in the Plot &amp; Site Log. ","")&amp;IF(COMPARABLE_SEASON_RULE="","No comparable-season rule is written down in Settings, so no plot can say "&amp;"whether it met one. ","")&amp;IF($E58="No","Did NOT meet the project comparable-season rule. Usable on its own, but do not "&amp;"pool it with plots that did, or compare it to another visit. ","")&amp;IF($E58="Not assessed","Comparability against the season rule has not been assessed for this plot. ","")&amp;IF($C58="Unknown","Phenological stage unknown — a standing crop with no stage attached cannot be "&amp;"interpreted or repeated. ","")&amp;IF($B58="","No sampling date. A clip-and-weigh without a date cannot be interpreted. ","")&amp;IF(OR($D58="Grazing — heavy",$D58="Hayed / mown",$D58="Burned"),"Standing material was removed before clipping, so this is what SURVIVED, not "&amp;"what grew. Report it as such. ","")&amp;IF($D58="Unknown","Recent removal unknown — the clip cannot be separated from grazing loss. ","")&amp;IF(AND(ISNUMBER($M58),$M58&gt;0,NOT(ISNUMBER($N58))),"Canopy cover is recorded but no tree carbon is entered — any tree over 2 m "&amp;"goes through the Forests protocol. ","")&amp;IF(AND(ISNUMBER($K58),$K58&gt;0),"Shrub figures are ABOVE-ground only; shrub roots are in neither this pool nor "&amp;"the soil core. Declare the gap. ",""))</f>
        <v/>
      </c>
      <c r="Q58" s="6"/>
    </row>
    <row r="59" customFormat="false" ht="15" hidden="false" customHeight="false" outlineLevel="0" collapsed="false">
      <c r="A59" s="6"/>
      <c r="B59" s="6"/>
      <c r="C59" s="6"/>
      <c r="D59" s="6"/>
      <c r="E59" s="6"/>
      <c r="F59" s="6"/>
      <c r="G59" s="7"/>
      <c r="H59" s="7"/>
      <c r="I59" s="9" t="str">
        <f aca="false">IF(OR(NOT(ISNUMBER($F59)),$F59=0,AND(NOT(ISNUMBER($G59)),NOT(ISNUMBER($H59)))),"",(IF(ISNUMBER($G59),$G59,0)+IF(ISNUMBER($H59),$H59,0))/$F59*CARBON_FRACTION_BIOMASS/1000)</f>
        <v/>
      </c>
      <c r="J59" s="6"/>
      <c r="K59" s="7"/>
      <c r="L59" s="9" t="str">
        <f aca="false">IF(OR(NOT(ISNUMBER($K59)),NOT(ISNUMBER($J59)),$J59=0),"",$K59*CARBON_FRACTION_BIOMASS/$J59)</f>
        <v/>
      </c>
      <c r="M59" s="6"/>
      <c r="N59" s="6"/>
      <c r="O59" s="9" t="str">
        <f aca="false">IF($A59="","",IF(ISNUMBER($I59),$I59,0)+IF(ISNUMBER($L59),$L59,0)+IF(ISNUMBER($N59),$N59,0))</f>
        <v/>
      </c>
      <c r="P59" s="11" t="str">
        <f aca="false">IF($A59="","",IF(COUNTIF('1. Plot &amp; Site Log'!$A$5:$A$64,$A59)=0,"Plot ID not in the Plot &amp; Site Log. ","")&amp;IF(COMPARABLE_SEASON_RULE="","No comparable-season rule is written down in Settings, so no plot can say "&amp;"whether it met one. ","")&amp;IF($E59="No","Did NOT meet the project comparable-season rule. Usable on its own, but do not "&amp;"pool it with plots that did, or compare it to another visit. ","")&amp;IF($E59="Not assessed","Comparability against the season rule has not been assessed for this plot. ","")&amp;IF($C59="Unknown","Phenological stage unknown — a standing crop with no stage attached cannot be "&amp;"interpreted or repeated. ","")&amp;IF($B59="","No sampling date. A clip-and-weigh without a date cannot be interpreted. ","")&amp;IF(OR($D59="Grazing — heavy",$D59="Hayed / mown",$D59="Burned"),"Standing material was removed before clipping, so this is what SURVIVED, not "&amp;"what grew. Report it as such. ","")&amp;IF($D59="Unknown","Recent removal unknown — the clip cannot be separated from grazing loss. ","")&amp;IF(AND(ISNUMBER($M59),$M59&gt;0,NOT(ISNUMBER($N59))),"Canopy cover is recorded but no tree carbon is entered — any tree over 2 m "&amp;"goes through the Forests protocol. ","")&amp;IF(AND(ISNUMBER($K59),$K59&gt;0),"Shrub figures are ABOVE-ground only; shrub roots are in neither this pool nor "&amp;"the soil core. Declare the gap. ",""))</f>
        <v/>
      </c>
      <c r="Q59" s="6"/>
    </row>
    <row r="60" customFormat="false" ht="15" hidden="false" customHeight="false" outlineLevel="0" collapsed="false">
      <c r="A60" s="6"/>
      <c r="B60" s="6"/>
      <c r="C60" s="6"/>
      <c r="D60" s="6"/>
      <c r="E60" s="6"/>
      <c r="F60" s="6"/>
      <c r="G60" s="7"/>
      <c r="H60" s="7"/>
      <c r="I60" s="9" t="str">
        <f aca="false">IF(OR(NOT(ISNUMBER($F60)),$F60=0,AND(NOT(ISNUMBER($G60)),NOT(ISNUMBER($H60)))),"",(IF(ISNUMBER($G60),$G60,0)+IF(ISNUMBER($H60),$H60,0))/$F60*CARBON_FRACTION_BIOMASS/1000)</f>
        <v/>
      </c>
      <c r="J60" s="6"/>
      <c r="K60" s="7"/>
      <c r="L60" s="9" t="str">
        <f aca="false">IF(OR(NOT(ISNUMBER($K60)),NOT(ISNUMBER($J60)),$J60=0),"",$K60*CARBON_FRACTION_BIOMASS/$J60)</f>
        <v/>
      </c>
      <c r="M60" s="6"/>
      <c r="N60" s="6"/>
      <c r="O60" s="9" t="str">
        <f aca="false">IF($A60="","",IF(ISNUMBER($I60),$I60,0)+IF(ISNUMBER($L60),$L60,0)+IF(ISNUMBER($N60),$N60,0))</f>
        <v/>
      </c>
      <c r="P60" s="11" t="str">
        <f aca="false">IF($A60="","",IF(COUNTIF('1. Plot &amp; Site Log'!$A$5:$A$64,$A60)=0,"Plot ID not in the Plot &amp; Site Log. ","")&amp;IF(COMPARABLE_SEASON_RULE="","No comparable-season rule is written down in Settings, so no plot can say "&amp;"whether it met one. ","")&amp;IF($E60="No","Did NOT meet the project comparable-season rule. Usable on its own, but do not "&amp;"pool it with plots that did, or compare it to another visit. ","")&amp;IF($E60="Not assessed","Comparability against the season rule has not been assessed for this plot. ","")&amp;IF($C60="Unknown","Phenological stage unknown — a standing crop with no stage attached cannot be "&amp;"interpreted or repeated. ","")&amp;IF($B60="","No sampling date. A clip-and-weigh without a date cannot be interpreted. ","")&amp;IF(OR($D60="Grazing — heavy",$D60="Hayed / mown",$D60="Burned"),"Standing material was removed before clipping, so this is what SURVIVED, not "&amp;"what grew. Report it as such. ","")&amp;IF($D60="Unknown","Recent removal unknown — the clip cannot be separated from grazing loss. ","")&amp;IF(AND(ISNUMBER($M60),$M60&gt;0,NOT(ISNUMBER($N60))),"Canopy cover is recorded but no tree carbon is entered — any tree over 2 m "&amp;"goes through the Forests protocol. ","")&amp;IF(AND(ISNUMBER($K60),$K60&gt;0),"Shrub figures are ABOVE-ground only; shrub roots are in neither this pool nor "&amp;"the soil core. Declare the gap. ",""))</f>
        <v/>
      </c>
      <c r="Q60" s="6"/>
    </row>
    <row r="61" customFormat="false" ht="15" hidden="false" customHeight="false" outlineLevel="0" collapsed="false">
      <c r="A61" s="6"/>
      <c r="B61" s="6"/>
      <c r="C61" s="6"/>
      <c r="D61" s="6"/>
      <c r="E61" s="6"/>
      <c r="F61" s="6"/>
      <c r="G61" s="7"/>
      <c r="H61" s="7"/>
      <c r="I61" s="9" t="str">
        <f aca="false">IF(OR(NOT(ISNUMBER($F61)),$F61=0,AND(NOT(ISNUMBER($G61)),NOT(ISNUMBER($H61)))),"",(IF(ISNUMBER($G61),$G61,0)+IF(ISNUMBER($H61),$H61,0))/$F61*CARBON_FRACTION_BIOMASS/1000)</f>
        <v/>
      </c>
      <c r="J61" s="6"/>
      <c r="K61" s="7"/>
      <c r="L61" s="9" t="str">
        <f aca="false">IF(OR(NOT(ISNUMBER($K61)),NOT(ISNUMBER($J61)),$J61=0),"",$K61*CARBON_FRACTION_BIOMASS/$J61)</f>
        <v/>
      </c>
      <c r="M61" s="6"/>
      <c r="N61" s="6"/>
      <c r="O61" s="9" t="str">
        <f aca="false">IF($A61="","",IF(ISNUMBER($I61),$I61,0)+IF(ISNUMBER($L61),$L61,0)+IF(ISNUMBER($N61),$N61,0))</f>
        <v/>
      </c>
      <c r="P61" s="11" t="str">
        <f aca="false">IF($A61="","",IF(COUNTIF('1. Plot &amp; Site Log'!$A$5:$A$64,$A61)=0,"Plot ID not in the Plot &amp; Site Log. ","")&amp;IF(COMPARABLE_SEASON_RULE="","No comparable-season rule is written down in Settings, so no plot can say "&amp;"whether it met one. ","")&amp;IF($E61="No","Did NOT meet the project comparable-season rule. Usable on its own, but do not "&amp;"pool it with plots that did, or compare it to another visit. ","")&amp;IF($E61="Not assessed","Comparability against the season rule has not been assessed for this plot. ","")&amp;IF($C61="Unknown","Phenological stage unknown — a standing crop with no stage attached cannot be "&amp;"interpreted or repeated. ","")&amp;IF($B61="","No sampling date. A clip-and-weigh without a date cannot be interpreted. ","")&amp;IF(OR($D61="Grazing — heavy",$D61="Hayed / mown",$D61="Burned"),"Standing material was removed before clipping, so this is what SURVIVED, not "&amp;"what grew. Report it as such. ","")&amp;IF($D61="Unknown","Recent removal unknown — the clip cannot be separated from grazing loss. ","")&amp;IF(AND(ISNUMBER($M61),$M61&gt;0,NOT(ISNUMBER($N61))),"Canopy cover is recorded but no tree carbon is entered — any tree over 2 m "&amp;"goes through the Forests protocol. ","")&amp;IF(AND(ISNUMBER($K61),$K61&gt;0),"Shrub figures are ABOVE-ground only; shrub roots are in neither this pool nor "&amp;"the soil core. Declare the gap. ",""))</f>
        <v/>
      </c>
      <c r="Q61" s="6"/>
    </row>
    <row r="62" customFormat="false" ht="15" hidden="false" customHeight="false" outlineLevel="0" collapsed="false">
      <c r="A62" s="6"/>
      <c r="B62" s="6"/>
      <c r="C62" s="6"/>
      <c r="D62" s="6"/>
      <c r="E62" s="6"/>
      <c r="F62" s="6"/>
      <c r="G62" s="7"/>
      <c r="H62" s="7"/>
      <c r="I62" s="9" t="str">
        <f aca="false">IF(OR(NOT(ISNUMBER($F62)),$F62=0,AND(NOT(ISNUMBER($G62)),NOT(ISNUMBER($H62)))),"",(IF(ISNUMBER($G62),$G62,0)+IF(ISNUMBER($H62),$H62,0))/$F62*CARBON_FRACTION_BIOMASS/1000)</f>
        <v/>
      </c>
      <c r="J62" s="6"/>
      <c r="K62" s="7"/>
      <c r="L62" s="9" t="str">
        <f aca="false">IF(OR(NOT(ISNUMBER($K62)),NOT(ISNUMBER($J62)),$J62=0),"",$K62*CARBON_FRACTION_BIOMASS/$J62)</f>
        <v/>
      </c>
      <c r="M62" s="6"/>
      <c r="N62" s="6"/>
      <c r="O62" s="9" t="str">
        <f aca="false">IF($A62="","",IF(ISNUMBER($I62),$I62,0)+IF(ISNUMBER($L62),$L62,0)+IF(ISNUMBER($N62),$N62,0))</f>
        <v/>
      </c>
      <c r="P62" s="11" t="str">
        <f aca="false">IF($A62="","",IF(COUNTIF('1. Plot &amp; Site Log'!$A$5:$A$64,$A62)=0,"Plot ID not in the Plot &amp; Site Log. ","")&amp;IF(COMPARABLE_SEASON_RULE="","No comparable-season rule is written down in Settings, so no plot can say "&amp;"whether it met one. ","")&amp;IF($E62="No","Did NOT meet the project comparable-season rule. Usable on its own, but do not "&amp;"pool it with plots that did, or compare it to another visit. ","")&amp;IF($E62="Not assessed","Comparability against the season rule has not been assessed for this plot. ","")&amp;IF($C62="Unknown","Phenological stage unknown — a standing crop with no stage attached cannot be "&amp;"interpreted or repeated. ","")&amp;IF($B62="","No sampling date. A clip-and-weigh without a date cannot be interpreted. ","")&amp;IF(OR($D62="Grazing — heavy",$D62="Hayed / mown",$D62="Burned"),"Standing material was removed before clipping, so this is what SURVIVED, not "&amp;"what grew. Report it as such. ","")&amp;IF($D62="Unknown","Recent removal unknown — the clip cannot be separated from grazing loss. ","")&amp;IF(AND(ISNUMBER($M62),$M62&gt;0,NOT(ISNUMBER($N62))),"Canopy cover is recorded but no tree carbon is entered — any tree over 2 m "&amp;"goes through the Forests protocol. ","")&amp;IF(AND(ISNUMBER($K62),$K62&gt;0),"Shrub figures are ABOVE-ground only; shrub roots are in neither this pool nor "&amp;"the soil core. Declare the gap. ",""))</f>
        <v/>
      </c>
      <c r="Q62" s="6"/>
    </row>
    <row r="63" customFormat="false" ht="15" hidden="false" customHeight="false" outlineLevel="0" collapsed="false">
      <c r="A63" s="6"/>
      <c r="B63" s="6"/>
      <c r="C63" s="6"/>
      <c r="D63" s="6"/>
      <c r="E63" s="6"/>
      <c r="F63" s="6"/>
      <c r="G63" s="7"/>
      <c r="H63" s="7"/>
      <c r="I63" s="9" t="str">
        <f aca="false">IF(OR(NOT(ISNUMBER($F63)),$F63=0,AND(NOT(ISNUMBER($G63)),NOT(ISNUMBER($H63)))),"",(IF(ISNUMBER($G63),$G63,0)+IF(ISNUMBER($H63),$H63,0))/$F63*CARBON_FRACTION_BIOMASS/1000)</f>
        <v/>
      </c>
      <c r="J63" s="6"/>
      <c r="K63" s="7"/>
      <c r="L63" s="9" t="str">
        <f aca="false">IF(OR(NOT(ISNUMBER($K63)),NOT(ISNUMBER($J63)),$J63=0),"",$K63*CARBON_FRACTION_BIOMASS/$J63)</f>
        <v/>
      </c>
      <c r="M63" s="6"/>
      <c r="N63" s="6"/>
      <c r="O63" s="9" t="str">
        <f aca="false">IF($A63="","",IF(ISNUMBER($I63),$I63,0)+IF(ISNUMBER($L63),$L63,0)+IF(ISNUMBER($N63),$N63,0))</f>
        <v/>
      </c>
      <c r="P63" s="11" t="str">
        <f aca="false">IF($A63="","",IF(COUNTIF('1. Plot &amp; Site Log'!$A$5:$A$64,$A63)=0,"Plot ID not in the Plot &amp; Site Log. ","")&amp;IF(COMPARABLE_SEASON_RULE="","No comparable-season rule is written down in Settings, so no plot can say "&amp;"whether it met one. ","")&amp;IF($E63="No","Did NOT meet the project comparable-season rule. Usable on its own, but do not "&amp;"pool it with plots that did, or compare it to another visit. ","")&amp;IF($E63="Not assessed","Comparability against the season rule has not been assessed for this plot. ","")&amp;IF($C63="Unknown","Phenological stage unknown — a standing crop with no stage attached cannot be "&amp;"interpreted or repeated. ","")&amp;IF($B63="","No sampling date. A clip-and-weigh without a date cannot be interpreted. ","")&amp;IF(OR($D63="Grazing — heavy",$D63="Hayed / mown",$D63="Burned"),"Standing material was removed before clipping, so this is what SURVIVED, not "&amp;"what grew. Report it as such. ","")&amp;IF($D63="Unknown","Recent removal unknown — the clip cannot be separated from grazing loss. ","")&amp;IF(AND(ISNUMBER($M63),$M63&gt;0,NOT(ISNUMBER($N63))),"Canopy cover is recorded but no tree carbon is entered — any tree over 2 m "&amp;"goes through the Forests protocol. ","")&amp;IF(AND(ISNUMBER($K63),$K63&gt;0),"Shrub figures are ABOVE-ground only; shrub roots are in neither this pool nor "&amp;"the soil core. Declare the gap. ",""))</f>
        <v/>
      </c>
      <c r="Q63" s="6"/>
    </row>
    <row r="64" customFormat="false" ht="15" hidden="false" customHeight="false" outlineLevel="0" collapsed="false">
      <c r="A64" s="6"/>
      <c r="B64" s="6"/>
      <c r="C64" s="6"/>
      <c r="D64" s="6"/>
      <c r="E64" s="6"/>
      <c r="F64" s="6"/>
      <c r="G64" s="7"/>
      <c r="H64" s="7"/>
      <c r="I64" s="9" t="str">
        <f aca="false">IF(OR(NOT(ISNUMBER($F64)),$F64=0,AND(NOT(ISNUMBER($G64)),NOT(ISNUMBER($H64)))),"",(IF(ISNUMBER($G64),$G64,0)+IF(ISNUMBER($H64),$H64,0))/$F64*CARBON_FRACTION_BIOMASS/1000)</f>
        <v/>
      </c>
      <c r="J64" s="6"/>
      <c r="K64" s="7"/>
      <c r="L64" s="9" t="str">
        <f aca="false">IF(OR(NOT(ISNUMBER($K64)),NOT(ISNUMBER($J64)),$J64=0),"",$K64*CARBON_FRACTION_BIOMASS/$J64)</f>
        <v/>
      </c>
      <c r="M64" s="6"/>
      <c r="N64" s="6"/>
      <c r="O64" s="9" t="str">
        <f aca="false">IF($A64="","",IF(ISNUMBER($I64),$I64,0)+IF(ISNUMBER($L64),$L64,0)+IF(ISNUMBER($N64),$N64,0))</f>
        <v/>
      </c>
      <c r="P64" s="11" t="str">
        <f aca="false">IF($A64="","",IF(COUNTIF('1. Plot &amp; Site Log'!$A$5:$A$64,$A64)=0,"Plot ID not in the Plot &amp; Site Log. ","")&amp;IF(COMPARABLE_SEASON_RULE="","No comparable-season rule is written down in Settings, so no plot can say "&amp;"whether it met one. ","")&amp;IF($E64="No","Did NOT meet the project comparable-season rule. Usable on its own, but do not "&amp;"pool it with plots that did, or compare it to another visit. ","")&amp;IF($E64="Not assessed","Comparability against the season rule has not been assessed for this plot. ","")&amp;IF($C64="Unknown","Phenological stage unknown — a standing crop with no stage attached cannot be "&amp;"interpreted or repeated. ","")&amp;IF($B64="","No sampling date. A clip-and-weigh without a date cannot be interpreted. ","")&amp;IF(OR($D64="Grazing — heavy",$D64="Hayed / mown",$D64="Burned"),"Standing material was removed before clipping, so this is what SURVIVED, not "&amp;"what grew. Report it as such. ","")&amp;IF($D64="Unknown","Recent removal unknown — the clip cannot be separated from grazing loss. ","")&amp;IF(AND(ISNUMBER($M64),$M64&gt;0,NOT(ISNUMBER($N64))),"Canopy cover is recorded but no tree carbon is entered — any tree over 2 m "&amp;"goes through the Forests protocol. ","")&amp;IF(AND(ISNUMBER($K64),$K64&gt;0),"Shrub figures are ABOVE-ground only; shrub roots are in neither this pool nor "&amp;"the soil core. Declare the gap. ",""))</f>
        <v/>
      </c>
      <c r="Q64" s="6"/>
    </row>
  </sheetData>
  <mergeCells count="2">
    <mergeCell ref="A1:Q1"/>
    <mergeCell ref="A2:Q2"/>
  </mergeCells>
  <dataValidations count="3">
    <dataValidation allowBlank="true" errorStyle="stop" operator="between" showDropDown="false" showErrorMessage="false" showInputMessage="false" sqref="C5:C64" type="list">
      <formula1>"Emergence / early vegetative,Vegetative,Peak standing biomass,Flowering / anthesis,Seed set / senescing,Dormant / cured,Unknown"</formula1>
      <formula2>0</formula2>
    </dataValidation>
    <dataValidation allowBlank="true" errorStyle="stop" operator="between" showDropDown="false" showErrorMessage="false" showInputMessage="false" sqref="D5:D64" type="list">
      <formula1>"None observed,Grazing — light,Grazing — moderate,Grazing — heavy,Hayed / mown,Burned,Unknown"</formula1>
      <formula2>0</formula2>
    </dataValidation>
    <dataValidation allowBlank="true" errorStyle="stop" operator="between" showDropDown="false" showErrorMessage="false" showInputMessage="false" sqref="E5:E64" type="list">
      <formula1>"Yes,No,Not assessed"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5" min="4" style="0" width="16"/>
    <col collapsed="false" customWidth="true" hidden="false" outlineLevel="0" max="6" min="6" style="0" width="13"/>
    <col collapsed="false" customWidth="true" hidden="false" outlineLevel="0" max="7" min="7" style="0" width="14"/>
    <col collapsed="false" customWidth="true" hidden="false" outlineLevel="0" max="8" min="8" style="0" width="15"/>
    <col collapsed="false" customWidth="true" hidden="false" outlineLevel="0" max="10" min="9" style="0" width="17"/>
    <col collapsed="false" customWidth="true" hidden="false" outlineLevel="0" max="11" min="11" style="0" width="52"/>
    <col collapsed="false" customWidth="true" hidden="true" outlineLevel="0" max="13" min="12" style="0" width="9"/>
    <col collapsed="false" customWidth="true" hidden="true" outlineLevel="0" max="14" min="14" style="0" width="7"/>
    <col collapsed="false" customWidth="true" hidden="true" outlineLevel="0" max="16" min="15" style="0" width="8"/>
    <col collapsed="false" customWidth="true" hidden="true" outlineLevel="0" max="20" min="17" style="0" width="9"/>
  </cols>
  <sheetData>
    <row r="1" customFormat="false" ht="17.35" hidden="false" customHeight="false" outlineLevel="0" collapsed="false">
      <c r="A1" s="1" t="s">
        <v>154</v>
      </c>
      <c r="B1" s="1"/>
      <c r="C1" s="1"/>
      <c r="D1" s="1"/>
      <c r="E1" s="1"/>
      <c r="F1" s="1"/>
      <c r="G1" s="1"/>
      <c r="H1" s="1"/>
      <c r="I1" s="1"/>
      <c r="J1" s="1"/>
      <c r="K1" s="1"/>
      <c r="L1" s="1"/>
      <c r="M1" s="1"/>
      <c r="N1" s="1"/>
      <c r="O1" s="1"/>
      <c r="P1" s="1"/>
      <c r="Q1" s="1"/>
      <c r="R1" s="1"/>
      <c r="S1" s="1"/>
      <c r="T1" s="1"/>
    </row>
    <row r="2" customFormat="false" ht="31.5" hidden="false" customHeight="true" outlineLevel="0" collapsed="false">
      <c r="A2" s="2" t="s">
        <v>155</v>
      </c>
      <c r="B2" s="2"/>
      <c r="C2" s="2"/>
      <c r="D2" s="2"/>
      <c r="E2" s="2"/>
      <c r="F2" s="2"/>
      <c r="G2" s="2"/>
      <c r="H2" s="2"/>
      <c r="I2" s="2"/>
      <c r="J2" s="2"/>
      <c r="K2" s="2"/>
      <c r="L2" s="2"/>
      <c r="M2" s="2"/>
      <c r="N2" s="2"/>
      <c r="O2" s="2"/>
      <c r="P2" s="2"/>
      <c r="Q2" s="2"/>
      <c r="R2" s="2"/>
      <c r="S2" s="2"/>
      <c r="T2" s="2"/>
    </row>
    <row r="4" customFormat="false" ht="45.75" hidden="false" customHeight="true" outlineLevel="0" collapsed="false">
      <c r="A4" s="14" t="s">
        <v>45</v>
      </c>
      <c r="B4" s="14" t="s">
        <v>46</v>
      </c>
      <c r="C4" s="14" t="s">
        <v>156</v>
      </c>
      <c r="D4" s="14" t="s">
        <v>157</v>
      </c>
      <c r="E4" s="14" t="s">
        <v>158</v>
      </c>
      <c r="F4" s="14" t="s">
        <v>159</v>
      </c>
      <c r="G4" s="14" t="s">
        <v>160</v>
      </c>
      <c r="H4" s="14" t="s">
        <v>161</v>
      </c>
      <c r="I4" s="14" t="s">
        <v>162</v>
      </c>
      <c r="J4" s="14" t="s">
        <v>163</v>
      </c>
      <c r="K4" s="14" t="s">
        <v>108</v>
      </c>
      <c r="L4" s="14" t="s">
        <v>164</v>
      </c>
      <c r="M4" s="14" t="s">
        <v>165</v>
      </c>
      <c r="N4" s="14" t="s">
        <v>166</v>
      </c>
      <c r="O4" s="14" t="s">
        <v>167</v>
      </c>
      <c r="P4" s="14" t="s">
        <v>168</v>
      </c>
      <c r="Q4" s="14" t="s">
        <v>169</v>
      </c>
      <c r="R4" s="14" t="s">
        <v>170</v>
      </c>
      <c r="S4" s="14" t="s">
        <v>171</v>
      </c>
      <c r="T4" s="14" t="s">
        <v>172</v>
      </c>
    </row>
    <row r="5" customFormat="false" ht="15" hidden="false" customHeight="false" outlineLevel="0" collapsed="false">
      <c r="A5" s="10" t="str">
        <f aca="false">IF(INDEX('1. Plot &amp; Site Log'!$A$5:$A$64,1)="","",INDEX('1. Plot &amp; Site Log'!$A$5:$A$64,1))</f>
        <v>GP-01</v>
      </c>
      <c r="B5" s="10" t="str">
        <f aca="false">IF($A5="","",INDEX('1. Plot &amp; Site Log'!$B$5:$B$64,MATCH($A5,'1. Plot &amp; Site Log'!$A$5:$A$64,0)))</f>
        <v>S1</v>
      </c>
      <c r="C5" s="10" t="n">
        <f aca="false">IF($A5="","",COUNTIFS('2. Soil Data'!$A$5:$A$604,$A5))</f>
        <v>4</v>
      </c>
      <c r="D5" s="10" t="n">
        <f aca="false">IF(OR($A5="",$C5=0,$O5=0),"",SUMIFS('2. Soil Data'!$R$5:$R$604,'2. Soil Data'!$A$5:$A$604,$A5)/$O5)</f>
        <v>11.15135</v>
      </c>
      <c r="E5" s="10" t="n">
        <f aca="false">IF(OR($A5="",$C5=0,$O5=0),"",SUMIFS('2. Soil Data'!$P$5:$P$604,'2. Soil Data'!$A$5:$A$604,$A5)/$O5)</f>
        <v>16.064135</v>
      </c>
      <c r="F5" s="10" t="n">
        <f aca="false">IF($A5="","",SUMPRODUCT(MAX(('2. Soil Data'!$A$5:$A$604=$A5)*IF(ISNUMBER('2. Soil Data'!$E$5:$E$604),'2. Soil Data'!$E$5:$E$604,0))))</f>
        <v>60</v>
      </c>
      <c r="G5" s="10" t="n">
        <f aca="false">IF(OR($A5="",$P5=0),"",SUMIFS('3. Root Biomass'!$N$5:$N$904,'3. Root Biomass'!$A$5:$A$904,$A5)/$P5)</f>
        <v>1.33656390977424</v>
      </c>
      <c r="H5" s="10" t="n">
        <f aca="false">IF($A5="","",IFERROR(SUMIFS('4. Vegetation Data'!$O$5:$O$64,'4. Vegetation Data'!$A$5:$A$64,$A5),""))</f>
        <v>0.11</v>
      </c>
      <c r="I5" s="10" t="n">
        <f aca="false">IF($A5="","",IF(ISNUMBER($D5),$D5,0)+IF(ISNUMBER($G5),$G5,0)+IF(ISNUMBER($H5),$H5,0))</f>
        <v>12.5979139097742</v>
      </c>
      <c r="J5" s="10" t="n">
        <f aca="false">IF($A5="","",IF(ISNUMBER($E5),$E5,0)+IF(ISNUMBER($G5),$G5,0)+IF(ISNUMBER($H5),$H5,0))</f>
        <v>17.5106989097742</v>
      </c>
      <c r="K5" s="11" t="str">
        <f aca="false">IF($A5="","",IF($C5=0,"No soil increments for this plot — it contributes nothing. ","")&amp;IF(AND(ISNUMBER($F5),$F5&lt;SOIL_REPORTING_DEPTH_CM),"Cored shallower than the reporting depth, so the reporting-depth figure is an UNDERESTIMATE for this plot. ","")&amp;IF(AND(ISNUMBER($G5),$G5&gt;0,ISNUMBER($F5)),"Root total reaches only "&amp;$F5&amp;" cm — the bottom of the core, not the bottom of the roots. Report it as a MINIMUM. ","")&amp;IF(AND(ISNUMBER($G5),$G5&gt;0,ROOT_SOIL_REPORTING_BOUNDARY="Not agreed with the lab"),"Root carbon is being added to a soil stock whose root content was never agreed with the lab. The overlap is unknown, not zero — settle ROOT_SOIL_REPORTING_BOUNDARY before reporting a combined figure. ","")&amp;IF(AND(ISNUMBER($G5),$G5&gt;0,ROOT_SOIL_REPORTING_BOUNDARY="Operational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Root total reaches only 60 cm — the bottom of the core, not the bottom of the roots. Report it as a MINIMUM. </v>
      </c>
      <c r="L5" s="9" t="n">
        <f aca="false">IF(ISNUMBER($D5),$D5,"")</f>
        <v>11.15135</v>
      </c>
      <c r="M5" s="9" t="n">
        <f aca="false">IF(ISNUMBER($G5),$G5,"")</f>
        <v>1.33656390977424</v>
      </c>
      <c r="N5" s="9" t="n">
        <f aca="false">IF(AND(ISNUMBER($D5),$A5&lt;&gt;""),1,0)</f>
        <v>1</v>
      </c>
      <c r="O5" s="9" t="n">
        <f aca="false">IF($A5="","",SUMIFS('2. Soil Data'!$U$5:$U$604,'2. Soil Data'!$A$5:$A$604,$A5))</f>
        <v>1</v>
      </c>
      <c r="P5" s="9" t="n">
        <f aca="false">IF($A5="","",SUMIFS('3. Root Biomass'!$Q$5:$Q$904,'3. Root Biomass'!$A$5:$A$904,$A5))</f>
        <v>1</v>
      </c>
      <c r="Q5" s="9" t="n">
        <f aca="false">IF(ISNUMBER($D5),$D5^2,"")</f>
        <v>124.3526068225</v>
      </c>
      <c r="R5" s="9" t="n">
        <f aca="false">IF(ISNUMBER($G5),$G5^2,"")</f>
        <v>1.786403084911</v>
      </c>
      <c r="S5" s="9" t="n">
        <f aca="false">IF($A5="","",IF(ISNUMBER($D5),$D5,0)+IF(ISNUMBER($G5),$G5,0))</f>
        <v>12.4879139097742</v>
      </c>
      <c r="T5" s="9" t="n">
        <f aca="false">IF(ISNUMBER($S5),$S5^2,"")</f>
        <v>155.947993817933</v>
      </c>
    </row>
    <row r="6" customFormat="false" ht="15" hidden="false" customHeight="false" outlineLevel="0" collapsed="false">
      <c r="A6" s="10" t="str">
        <f aca="false">IF(INDEX('1. Plot &amp; Site Log'!$A$5:$A$64,2)="","",INDEX('1. Plot &amp; Site Log'!$A$5:$A$64,2))</f>
        <v>GP-02</v>
      </c>
      <c r="B6" s="10" t="str">
        <f aca="false">IF($A6="","",INDEX('1. Plot &amp; Site Log'!$B$5:$B$64,MATCH($A6,'1. Plot &amp; Site Log'!$A$5:$A$64,0)))</f>
        <v>S1</v>
      </c>
      <c r="C6" s="10" t="n">
        <f aca="false">IF($A6="","",COUNTIFS('2. Soil Data'!$A$5:$A$604,$A6))</f>
        <v>4</v>
      </c>
      <c r="D6" s="10" t="n">
        <f aca="false">IF(OR($A6="",$C6=0,$O6=0),"",SUMIFS('2. Soil Data'!$R$5:$R$604,'2. Soil Data'!$A$5:$A$604,$A6)/$O6)</f>
        <v>10.07148</v>
      </c>
      <c r="E6" s="10" t="n">
        <f aca="false">IF(OR($A6="",$C6=0,$O6=0),"",SUMIFS('2. Soil Data'!$P$5:$P$604,'2. Soil Data'!$A$5:$A$604,$A6)/$O6)</f>
        <v>14.57988</v>
      </c>
      <c r="F6" s="10" t="n">
        <f aca="false">IF($A6="","",SUMPRODUCT(MAX(('2. Soil Data'!$A$5:$A$604=$A6)*IF(ISNUMBER('2. Soil Data'!$E$5:$E$604),'2. Soil Data'!$E$5:$E$604,0))))</f>
        <v>60</v>
      </c>
      <c r="G6" s="10" t="n">
        <f aca="false">IF(OR($A6="",$P6=0),"",SUMIFS('3. Root Biomass'!$N$5:$N$904,'3. Root Biomass'!$A$5:$A$904,$A6)/$P6)</f>
        <v>0.689929777345034</v>
      </c>
      <c r="H6" s="10" t="n">
        <f aca="false">IF($A6="","",IFERROR(SUMIFS('4. Vegetation Data'!$O$5:$O$64,'4. Vegetation Data'!$A$5:$A$64,$A6),""))</f>
        <v>0.094</v>
      </c>
      <c r="I6" s="10" t="n">
        <f aca="false">IF($A6="","",IF(ISNUMBER($D6),$D6,0)+IF(ISNUMBER($G6),$G6,0)+IF(ISNUMBER($H6),$H6,0))</f>
        <v>10.855409777345</v>
      </c>
      <c r="J6" s="10" t="n">
        <f aca="false">IF($A6="","",IF(ISNUMBER($E6),$E6,0)+IF(ISNUMBER($G6),$G6,0)+IF(ISNUMBER($H6),$H6,0))</f>
        <v>15.363809777345</v>
      </c>
      <c r="K6" s="11" t="str">
        <f aca="false">IF($A6="","",IF($C6=0,"No soil increments for this plot — it contributes nothing. ","")&amp;IF(AND(ISNUMBER($F6),$F6&lt;SOIL_REPORTING_DEPTH_CM),"Cored shallower than the reporting depth, so the reporting-depth figure is an UNDERESTIMATE for this plot. ","")&amp;IF(AND(ISNUMBER($G6),$G6&gt;0,ISNUMBER($F6)),"Root total reaches only "&amp;$F6&amp;" cm — the bottom of the core, not the bottom of the roots. Report it as a MINIMUM. ","")&amp;IF(AND(ISNUMBER($G6),$G6&gt;0,ROOT_SOIL_REPORTING_BOUNDARY="Not agreed with the lab"),"Root carbon is being added to a soil stock whose root content was never agreed with the lab. The overlap is unknown, not zero — settle ROOT_SOIL_REPORTING_BOUNDARY before reporting a combined figure. ","")&amp;IF(AND(ISNUMBER($G6),$G6&gt;0,ROOT_SOIL_REPORTING_BOUNDARY="Operational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Root total reaches only 60 cm — the bottom of the core, not the bottom of the roots. Report it as a MINIMUM. </v>
      </c>
      <c r="L6" s="9" t="n">
        <f aca="false">IF(ISNUMBER($D6),$D6,"")</f>
        <v>10.07148</v>
      </c>
      <c r="M6" s="9" t="n">
        <f aca="false">IF(ISNUMBER($G6),$G6,"")</f>
        <v>0.689929777345034</v>
      </c>
      <c r="N6" s="9" t="n">
        <f aca="false">IF(AND(ISNUMBER($D6),$A6&lt;&gt;""),1,0)</f>
        <v>1</v>
      </c>
      <c r="O6" s="9" t="n">
        <f aca="false">IF($A6="","",SUMIFS('2. Soil Data'!$U$5:$U$604,'2. Soil Data'!$A$5:$A$604,$A6))</f>
        <v>1</v>
      </c>
      <c r="P6" s="9" t="n">
        <f aca="false">IF($A6="","",SUMIFS('3. Root Biomass'!$Q$5:$Q$904,'3. Root Biomass'!$A$5:$A$904,$A6))</f>
        <v>1</v>
      </c>
      <c r="Q6" s="9" t="n">
        <f aca="false">IF(ISNUMBER($D6),$D6^2,"")</f>
        <v>101.4347093904</v>
      </c>
      <c r="R6" s="9" t="n">
        <f aca="false">IF(ISNUMBER($G6),$G6^2,"")</f>
        <v>0.476003097667368</v>
      </c>
      <c r="S6" s="9" t="n">
        <f aca="false">IF($A6="","",IF(ISNUMBER($D6),$D6,0)+IF(ISNUMBER($G6),$G6,0))</f>
        <v>10.761409777345</v>
      </c>
      <c r="T6" s="9" t="n">
        <f aca="false">IF(ISNUMBER($S6),$S6^2,"")</f>
        <v>115.807940395937</v>
      </c>
    </row>
    <row r="7" customFormat="false" ht="15" hidden="false" customHeight="false" outlineLevel="0" collapsed="false">
      <c r="A7" s="10" t="str">
        <f aca="false">IF(INDEX('1. Plot &amp; Site Log'!$A$5:$A$64,3)="","",INDEX('1. Plot &amp; Site Log'!$A$5:$A$64,3))</f>
        <v>GP-03</v>
      </c>
      <c r="B7" s="10" t="str">
        <f aca="false">IF($A7="","",INDEX('1. Plot &amp; Site Log'!$B$5:$B$64,MATCH($A7,'1. Plot &amp; Site Log'!$A$5:$A$64,0)))</f>
        <v>S1</v>
      </c>
      <c r="C7" s="10" t="n">
        <f aca="false">IF($A7="","",COUNTIFS('2. Soil Data'!$A$5:$A$604,$A7))</f>
        <v>4</v>
      </c>
      <c r="D7" s="10" t="n">
        <f aca="false">IF(OR($A7="",$C7=0,$O7=0),"",SUMIFS('2. Soil Data'!$R$5:$R$604,'2. Soil Data'!$A$5:$A$604,$A7)/$O7)</f>
        <v>10.474109</v>
      </c>
      <c r="E7" s="10" t="n">
        <f aca="false">IF(OR($A7="",$C7=0,$O7=0),"",SUMIFS('2. Soil Data'!$P$5:$P$604,'2. Soil Data'!$A$5:$A$604,$A7)/$O7)</f>
        <v>15.043859</v>
      </c>
      <c r="F7" s="10" t="n">
        <f aca="false">IF($A7="","",SUMPRODUCT(MAX(('2. Soil Data'!$A$5:$A$604=$A7)*IF(ISNUMBER('2. Soil Data'!$E$5:$E$604),'2. Soil Data'!$E$5:$E$604,0))))</f>
        <v>60</v>
      </c>
      <c r="G7" s="10" t="n">
        <f aca="false">IF(OR($A7="",$P7=0),"",SUMIFS('3. Root Biomass'!$N$5:$N$904,'3. Root Biomass'!$A$5:$A$904,$A7)/$P7)</f>
        <v>0.881743060111477</v>
      </c>
      <c r="H7" s="10" t="n">
        <f aca="false">IF($A7="","",IFERROR(SUMIFS('4. Vegetation Data'!$O$5:$O$64,'4. Vegetation Data'!$A$5:$A$64,$A7),""))</f>
        <v>0.126</v>
      </c>
      <c r="I7" s="10" t="n">
        <f aca="false">IF($A7="","",IF(ISNUMBER($D7),$D7,0)+IF(ISNUMBER($G7),$G7,0)+IF(ISNUMBER($H7),$H7,0))</f>
        <v>11.4818520601115</v>
      </c>
      <c r="J7" s="10" t="n">
        <f aca="false">IF($A7="","",IF(ISNUMBER($E7),$E7,0)+IF(ISNUMBER($G7),$G7,0)+IF(ISNUMBER($H7),$H7,0))</f>
        <v>16.0516020601115</v>
      </c>
      <c r="K7" s="11" t="str">
        <f aca="false">IF($A7="","",IF($C7=0,"No soil increments for this plot — it contributes nothing. ","")&amp;IF(AND(ISNUMBER($F7),$F7&lt;SOIL_REPORTING_DEPTH_CM),"Cored shallower than the reporting depth, so the reporting-depth figure is an UNDERESTIMATE for this plot. ","")&amp;IF(AND(ISNUMBER($G7),$G7&gt;0,ISNUMBER($F7)),"Root total reaches only "&amp;$F7&amp;" cm — the bottom of the core, not the bottom of the roots. Report it as a MINIMUM. ","")&amp;IF(AND(ISNUMBER($G7),$G7&gt;0,ROOT_SOIL_REPORTING_BOUNDARY="Not agreed with the lab"),"Root carbon is being added to a soil stock whose root content was never agreed with the lab. The overlap is unknown, not zero — settle ROOT_SOIL_REPORTING_BOUNDARY before reporting a combined figure. ","")&amp;IF(AND(ISNUMBER($G7),$G7&gt;0,ROOT_SOIL_REPORTING_BOUNDARY="Operational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Root total reaches only 60 cm — the bottom of the core, not the bottom of the roots. Report it as a MINIMUM. </v>
      </c>
      <c r="L7" s="9" t="n">
        <f aca="false">IF(ISNUMBER($D7),$D7,"")</f>
        <v>10.474109</v>
      </c>
      <c r="M7" s="9" t="n">
        <f aca="false">IF(ISNUMBER($G7),$G7,"")</f>
        <v>0.881743060111477</v>
      </c>
      <c r="N7" s="9" t="n">
        <f aca="false">IF(AND(ISNUMBER($D7),$A7&lt;&gt;""),1,0)</f>
        <v>1</v>
      </c>
      <c r="O7" s="9" t="n">
        <f aca="false">IF($A7="","",SUMIFS('2. Soil Data'!$U$5:$U$604,'2. Soil Data'!$A$5:$A$604,$A7))</f>
        <v>1</v>
      </c>
      <c r="P7" s="9" t="n">
        <f aca="false">IF($A7="","",SUMIFS('3. Root Biomass'!$Q$5:$Q$904,'3. Root Biomass'!$A$5:$A$904,$A7))</f>
        <v>1</v>
      </c>
      <c r="Q7" s="9" t="n">
        <f aca="false">IF(ISNUMBER($D7),$D7^2,"")</f>
        <v>109.706959343881</v>
      </c>
      <c r="R7" s="9" t="n">
        <f aca="false">IF(ISNUMBER($G7),$G7^2,"")</f>
        <v>0.777470824054752</v>
      </c>
      <c r="S7" s="9" t="n">
        <f aca="false">IF($A7="","",IF(ISNUMBER($D7),$D7,0)+IF(ISNUMBER($G7),$G7,0))</f>
        <v>11.3558520601115</v>
      </c>
      <c r="T7" s="9" t="n">
        <f aca="false">IF(ISNUMBER($S7),$S7^2,"")</f>
        <v>128.955376011138</v>
      </c>
    </row>
    <row r="8" customFormat="false" ht="15" hidden="false" customHeight="false" outlineLevel="0" collapsed="false">
      <c r="A8" s="10" t="str">
        <f aca="false">IF(INDEX('1. Plot &amp; Site Log'!$A$5:$A$64,4)="","",INDEX('1. Plot &amp; Site Log'!$A$5:$A$64,4))</f>
        <v>UP-01</v>
      </c>
      <c r="B8" s="10" t="str">
        <f aca="false">IF($A8="","",INDEX('1. Plot &amp; Site Log'!$B$5:$B$64,MATCH($A8,'1. Plot &amp; Site Log'!$A$5:$A$64,0)))</f>
        <v>S2</v>
      </c>
      <c r="C8" s="10" t="n">
        <f aca="false">IF($A8="","",COUNTIFS('2. Soil Data'!$A$5:$A$604,$A8))</f>
        <v>4</v>
      </c>
      <c r="D8" s="10" t="n">
        <f aca="false">IF(OR($A8="",$C8=0,$O8=0),"",SUMIFS('2. Soil Data'!$R$5:$R$604,'2. Soil Data'!$A$5:$A$604,$A8)/$O8)</f>
        <v>12.936561</v>
      </c>
      <c r="E8" s="10" t="n">
        <f aca="false">IF(OR($A8="",$C8=0,$O8=0),"",SUMIFS('2. Soil Data'!$P$5:$P$604,'2. Soil Data'!$A$5:$A$604,$A8)/$O8)</f>
        <v>18.534516</v>
      </c>
      <c r="F8" s="10" t="n">
        <f aca="false">IF($A8="","",SUMPRODUCT(MAX(('2. Soil Data'!$A$5:$A$604=$A8)*IF(ISNUMBER('2. Soil Data'!$E$5:$E$604),'2. Soil Data'!$E$5:$E$604,0))))</f>
        <v>60</v>
      </c>
      <c r="G8" s="10" t="n">
        <f aca="false">IF(OR($A8="",$P8=0),"",SUMIFS('3. Root Biomass'!$N$5:$N$904,'3. Root Biomass'!$A$5:$A$904,$A8)/$P8)</f>
        <v>1.59357902568284</v>
      </c>
      <c r="H8" s="10" t="n">
        <f aca="false">IF($A8="","",IFERROR(SUMIFS('4. Vegetation Data'!$O$5:$O$64,'4. Vegetation Data'!$A$5:$A$64,$A8),""))</f>
        <v>0.22</v>
      </c>
      <c r="I8" s="10" t="n">
        <f aca="false">IF($A8="","",IF(ISNUMBER($D8),$D8,0)+IF(ISNUMBER($G8),$G8,0)+IF(ISNUMBER($H8),$H8,0))</f>
        <v>14.7501400256828</v>
      </c>
      <c r="J8" s="10" t="n">
        <f aca="false">IF($A8="","",IF(ISNUMBER($E8),$E8,0)+IF(ISNUMBER($G8),$G8,0)+IF(ISNUMBER($H8),$H8,0))</f>
        <v>20.3480950256828</v>
      </c>
      <c r="K8" s="11" t="str">
        <f aca="false">IF($A8="","",IF($C8=0,"No soil increments for this plot — it contributes nothing. ","")&amp;IF(AND(ISNUMBER($F8),$F8&lt;SOIL_REPORTING_DEPTH_CM),"Cored shallower than the reporting depth, so the reporting-depth figure is an UNDERESTIMATE for this plot. ","")&amp;IF(AND(ISNUMBER($G8),$G8&gt;0,ISNUMBER($F8)),"Root total reaches only "&amp;$F8&amp;" cm — the bottom of the core, not the bottom of the roots. Report it as a MINIMUM. ","")&amp;IF(AND(ISNUMBER($G8),$G8&gt;0,ROOT_SOIL_REPORTING_BOUNDARY="Not agreed with the lab"),"Root carbon is being added to a soil stock whose root content was never agreed with the lab. The overlap is unknown, not zero — settle ROOT_SOIL_REPORTING_BOUNDARY before reporting a combined figure. ","")&amp;IF(AND(ISNUMBER($G8),$G8&gt;0,ROOT_SOIL_REPORTING_BOUNDARY="Operational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Root total reaches only 60 cm — the bottom of the core, not the bottom of the roots. Report it as a MINIMUM. </v>
      </c>
      <c r="L8" s="9" t="n">
        <f aca="false">IF(ISNUMBER($D8),$D8,"")</f>
        <v>12.936561</v>
      </c>
      <c r="M8" s="9" t="n">
        <f aca="false">IF(ISNUMBER($G8),$G8,"")</f>
        <v>1.59357902568284</v>
      </c>
      <c r="N8" s="9" t="n">
        <f aca="false">IF(AND(ISNUMBER($D8),$A8&lt;&gt;""),1,0)</f>
        <v>1</v>
      </c>
      <c r="O8" s="9" t="n">
        <f aca="false">IF($A8="","",SUMIFS('2. Soil Data'!$U$5:$U$604,'2. Soil Data'!$A$5:$A$604,$A8))</f>
        <v>1</v>
      </c>
      <c r="P8" s="9" t="n">
        <f aca="false">IF($A8="","",SUMIFS('3. Root Biomass'!$Q$5:$Q$904,'3. Root Biomass'!$A$5:$A$904,$A8))</f>
        <v>1</v>
      </c>
      <c r="Q8" s="9" t="n">
        <f aca="false">IF(ISNUMBER($D8),$D8^2,"")</f>
        <v>167.354610506721</v>
      </c>
      <c r="R8" s="9" t="n">
        <f aca="false">IF(ISNUMBER($G8),$G8^2,"")</f>
        <v>2.53949411109628</v>
      </c>
      <c r="S8" s="9" t="n">
        <f aca="false">IF($A8="","",IF(ISNUMBER($D8),$D8,0)+IF(ISNUMBER($G8),$G8,0))</f>
        <v>14.5301400256828</v>
      </c>
      <c r="T8" s="9" t="n">
        <f aca="false">IF(ISNUMBER($S8),$S8^2,"")</f>
        <v>211.124969165951</v>
      </c>
    </row>
    <row r="9" customFormat="false" ht="15" hidden="false" customHeight="false" outlineLevel="0" collapsed="false">
      <c r="A9" s="10" t="str">
        <f aca="false">IF(INDEX('1. Plot &amp; Site Log'!$A$5:$A$64,5)="","",INDEX('1. Plot &amp; Site Log'!$A$5:$A$64,5))</f>
        <v>UP-02</v>
      </c>
      <c r="B9" s="10" t="str">
        <f aca="false">IF($A9="","",INDEX('1. Plot &amp; Site Log'!$B$5:$B$64,MATCH($A9,'1. Plot &amp; Site Log'!$A$5:$A$64,0)))</f>
        <v>S2</v>
      </c>
      <c r="C9" s="10" t="n">
        <f aca="false">IF($A9="","",COUNTIFS('2. Soil Data'!$A$5:$A$604,$A9))</f>
        <v>4</v>
      </c>
      <c r="D9" s="10" t="n">
        <f aca="false">IF(OR($A9="",$C9=0,$O9=0),"",SUMIFS('2. Soil Data'!$R$5:$R$604,'2. Soil Data'!$A$5:$A$604,$A9)/$O9)</f>
        <v>9.648159</v>
      </c>
      <c r="E9" s="10" t="n">
        <f aca="false">IF(OR($A9="",$C9=0,$O9=0),"",SUMIFS('2. Soil Data'!$P$5:$P$604,'2. Soil Data'!$A$5:$A$604,$A9)/$O9)</f>
        <v>13.878273</v>
      </c>
      <c r="F9" s="10" t="n">
        <f aca="false">IF($A9="","",SUMPRODUCT(MAX(('2. Soil Data'!$A$5:$A$604=$A9)*IF(ISNUMBER('2. Soil Data'!$E$5:$E$604),'2. Soil Data'!$E$5:$E$604,0))))</f>
        <v>60</v>
      </c>
      <c r="G9" s="10" t="n">
        <f aca="false">IF(OR($A9="",$P9=0),"",SUMIFS('3. Root Biomass'!$N$5:$N$904,'3. Root Biomass'!$A$5:$A$904,$A9)/$P9)</f>
        <v>0.817932623143803</v>
      </c>
      <c r="H9" s="10" t="n">
        <f aca="false">IF($A9="","",IFERROR(SUMIFS('4. Vegetation Data'!$O$5:$O$64,'4. Vegetation Data'!$A$5:$A$64,$A9),""))</f>
        <v>0.22</v>
      </c>
      <c r="I9" s="10" t="n">
        <f aca="false">IF($A9="","",IF(ISNUMBER($D9),$D9,0)+IF(ISNUMBER($G9),$G9,0)+IF(ISNUMBER($H9),$H9,0))</f>
        <v>10.6860916231438</v>
      </c>
      <c r="J9" s="10" t="n">
        <f aca="false">IF($A9="","",IF(ISNUMBER($E9),$E9,0)+IF(ISNUMBER($G9),$G9,0)+IF(ISNUMBER($H9),$H9,0))</f>
        <v>14.9162056231438</v>
      </c>
      <c r="K9" s="11" t="str">
        <f aca="false">IF($A9="","",IF($C9=0,"No soil increments for this plot — it contributes nothing. ","")&amp;IF(AND(ISNUMBER($F9),$F9&lt;SOIL_REPORTING_DEPTH_CM),"Cored shallower than the reporting depth, so the reporting-depth figure is an UNDERESTIMATE for this plot. ","")&amp;IF(AND(ISNUMBER($G9),$G9&gt;0,ISNUMBER($F9)),"Root total reaches only "&amp;$F9&amp;" cm — the bottom of the core, not the bottom of the roots. Report it as a MINIMUM. ","")&amp;IF(AND(ISNUMBER($G9),$G9&gt;0,ROOT_SOIL_REPORTING_BOUNDARY="Not agreed with the lab"),"Root carbon is being added to a soil stock whose root content was never agreed with the lab. The overlap is unknown, not zero — settle ROOT_SOIL_REPORTING_BOUNDARY before reporting a combined figure. ","")&amp;IF(AND(ISNUMBER($G9),$G9&gt;0,ROOT_SOIL_REPORTING_BOUNDARY="Operational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Root total reaches only 60 cm — the bottom of the core, not the bottom of the roots. Report it as a MINIMUM. </v>
      </c>
      <c r="L9" s="9" t="n">
        <f aca="false">IF(ISNUMBER($D9),$D9,"")</f>
        <v>9.648159</v>
      </c>
      <c r="M9" s="9" t="n">
        <f aca="false">IF(ISNUMBER($G9),$G9,"")</f>
        <v>0.817932623143803</v>
      </c>
      <c r="N9" s="9" t="n">
        <f aca="false">IF(AND(ISNUMBER($D9),$A9&lt;&gt;""),1,0)</f>
        <v>1</v>
      </c>
      <c r="O9" s="9" t="n">
        <f aca="false">IF($A9="","",SUMIFS('2. Soil Data'!$U$5:$U$604,'2. Soil Data'!$A$5:$A$604,$A9))</f>
        <v>1</v>
      </c>
      <c r="P9" s="9" t="n">
        <f aca="false">IF($A9="","",SUMIFS('3. Root Biomass'!$Q$5:$Q$904,'3. Root Biomass'!$A$5:$A$904,$A9))</f>
        <v>1</v>
      </c>
      <c r="Q9" s="9" t="n">
        <f aca="false">IF(ISNUMBER($D9),$D9^2,"")</f>
        <v>93.086972089281</v>
      </c>
      <c r="R9" s="9" t="n">
        <f aca="false">IF(ISNUMBER($G9),$G9^2,"")</f>
        <v>0.669013776002902</v>
      </c>
      <c r="S9" s="9" t="n">
        <f aca="false">IF($A9="","",IF(ISNUMBER($D9),$D9,0)+IF(ISNUMBER($G9),$G9,0))</f>
        <v>10.4660916231438</v>
      </c>
      <c r="T9" s="9" t="n">
        <f aca="false">IF(ISNUMBER($S9),$S9^2,"")</f>
        <v>109.539073864041</v>
      </c>
    </row>
    <row r="10" customFormat="false" ht="15" hidden="false" customHeight="false" outlineLevel="0" collapsed="false">
      <c r="A10" s="10" t="str">
        <f aca="false">IF(INDEX('1. Plot &amp; Site Log'!$A$5:$A$64,6)="","",INDEX('1. Plot &amp; Site Log'!$A$5:$A$64,6))</f>
        <v>UP-03</v>
      </c>
      <c r="B10" s="10" t="str">
        <f aca="false">IF($A10="","",INDEX('1. Plot &amp; Site Log'!$B$5:$B$64,MATCH($A10,'1. Plot &amp; Site Log'!$A$5:$A$64,0)))</f>
        <v>S2</v>
      </c>
      <c r="C10" s="10" t="n">
        <f aca="false">IF($A10="","",COUNTIFS('2. Soil Data'!$A$5:$A$604,$A10))</f>
        <v>3</v>
      </c>
      <c r="D10" s="10" t="n">
        <f aca="false">IF(OR($A10="",$C10=0,$O10=0),"",SUMIFS('2. Soil Data'!$R$5:$R$604,'2. Soil Data'!$A$5:$A$604,$A10)/$O10)</f>
        <v>11.539946</v>
      </c>
      <c r="E10" s="10" t="n">
        <f aca="false">IF(OR($A10="",$C10=0,$O10=0),"",SUMIFS('2. Soil Data'!$P$5:$P$604,'2. Soil Data'!$A$5:$A$604,$A10)/$O10)</f>
        <v>11.539946</v>
      </c>
      <c r="F10" s="10" t="n">
        <f aca="false">IF($A10="","",SUMPRODUCT(MAX(('2. Soil Data'!$A$5:$A$604=$A10)*IF(ISNUMBER('2. Soil Data'!$E$5:$E$604),'2. Soil Data'!$E$5:$E$604,0))))</f>
        <v>30</v>
      </c>
      <c r="G10" s="10" t="n">
        <f aca="false">IF(OR($A10="",$P10=0),"",SUMIFS('3. Root Biomass'!$N$5:$N$904,'3. Root Biomass'!$A$5:$A$904,$A10)/$P10)</f>
        <v>1.06670399683127</v>
      </c>
      <c r="H10" s="10" t="n">
        <f aca="false">IF($A10="","",IFERROR(SUMIFS('4. Vegetation Data'!$O$5:$O$64,'4. Vegetation Data'!$A$5:$A$64,$A10),""))</f>
        <v>0.222</v>
      </c>
      <c r="I10" s="10" t="n">
        <f aca="false">IF($A10="","",IF(ISNUMBER($D10),$D10,0)+IF(ISNUMBER($G10),$G10,0)+IF(ISNUMBER($H10),$H10,0))</f>
        <v>12.8286499968313</v>
      </c>
      <c r="J10" s="10" t="n">
        <f aca="false">IF($A10="","",IF(ISNUMBER($E10),$E10,0)+IF(ISNUMBER($G10),$G10,0)+IF(ISNUMBER($H10),$H10,0))</f>
        <v>12.8286499968313</v>
      </c>
      <c r="K10" s="11" t="str">
        <f aca="false">IF($A10="","",IF($C10=0,"No soil increments for this plot — it contributes nothing. ","")&amp;IF(AND(ISNUMBER($F10),$F10&lt;SOIL_REPORTING_DEPTH_CM),"Cored shallower than the reporting depth, so the reporting-depth figure is an UNDERESTIMATE for this plot. ","")&amp;IF(AND(ISNUMBER($G10),$G10&gt;0,ISNUMBER($F10)),"Root total reaches only "&amp;$F10&amp;" cm — the bottom of the core, not the bottom of the roots. Report it as a MINIMUM. ","")&amp;IF(AND(ISNUMBER($G10),$G10&gt;0,ROOT_SOIL_REPORTING_BOUNDARY="Not agreed with the lab"),"Root carbon is being added to a soil stock whose root content was never agreed with the lab. The overlap is unknown, not zero — settle ROOT_SOIL_REPORTING_BOUNDARY before reporting a combined figure. ","")&amp;IF(AND(ISNUMBER($G10),$G10&gt;0,ROOT_SOIL_REPORTING_BOUNDARY="Operational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Root total reaches only 30 cm — the bottom of the core, not the bottom of the roots. Report it as a MINIMUM. </v>
      </c>
      <c r="L10" s="9" t="n">
        <f aca="false">IF(ISNUMBER($D10),$D10,"")</f>
        <v>11.539946</v>
      </c>
      <c r="M10" s="9" t="n">
        <f aca="false">IF(ISNUMBER($G10),$G10,"")</f>
        <v>1.06670399683127</v>
      </c>
      <c r="N10" s="9" t="n">
        <f aca="false">IF(AND(ISNUMBER($D10),$A10&lt;&gt;""),1,0)</f>
        <v>1</v>
      </c>
      <c r="O10" s="9" t="n">
        <f aca="false">IF($A10="","",SUMIFS('2. Soil Data'!$U$5:$U$604,'2. Soil Data'!$A$5:$A$604,$A10))</f>
        <v>1</v>
      </c>
      <c r="P10" s="9" t="n">
        <f aca="false">IF($A10="","",SUMIFS('3. Root Biomass'!$Q$5:$Q$904,'3. Root Biomass'!$A$5:$A$904,$A10))</f>
        <v>1</v>
      </c>
      <c r="Q10" s="9" t="n">
        <f aca="false">IF(ISNUMBER($D10),$D10^2,"")</f>
        <v>133.170353682916</v>
      </c>
      <c r="R10" s="9" t="n">
        <f aca="false">IF(ISNUMBER($G10),$G10^2,"")</f>
        <v>1.13785741685581</v>
      </c>
      <c r="S10" s="9" t="n">
        <f aca="false">IF($A10="","",IF(ISNUMBER($D10),$D10,0)+IF(ISNUMBER($G10),$G10,0))</f>
        <v>12.6066499968313</v>
      </c>
      <c r="T10" s="9" t="n">
        <f aca="false">IF(ISNUMBER($S10),$S10^2,"")</f>
        <v>158.927624142606</v>
      </c>
    </row>
    <row r="11" customFormat="false" ht="15" hidden="false" customHeight="false" outlineLevel="0" collapsed="false">
      <c r="A11" s="10" t="str">
        <f aca="false">IF(INDEX('1. Plot &amp; Site Log'!$A$5:$A$64,7)="","",INDEX('1. Plot &amp; Site Log'!$A$5:$A$64,7))</f>
        <v>BOS-01</v>
      </c>
      <c r="B11" s="10" t="str">
        <f aca="false">IF($A11="","",INDEX('1. Plot &amp; Site Log'!$B$5:$B$64,MATCH($A11,'1. Plot &amp; Site Log'!$A$5:$A$64,0)))</f>
        <v>S3</v>
      </c>
      <c r="C11" s="10" t="n">
        <f aca="false">IF($A11="","",COUNTIFS('2. Soil Data'!$A$5:$A$604,$A11))</f>
        <v>4</v>
      </c>
      <c r="D11" s="10" t="n">
        <f aca="false">IF(OR($A11="",$C11=0,$O11=0),"",SUMIFS('2. Soil Data'!$R$5:$R$604,'2. Soil Data'!$A$5:$A$604,$A11)/$O11)</f>
        <v>6.152508</v>
      </c>
      <c r="E11" s="10" t="n">
        <f aca="false">IF(OR($A11="",$C11=0,$O11=0),"",SUMIFS('2. Soil Data'!$P$5:$P$604,'2. Soil Data'!$A$5:$A$604,$A11)/$O11)</f>
        <v>8.704602</v>
      </c>
      <c r="F11" s="10" t="n">
        <f aca="false">IF($A11="","",SUMPRODUCT(MAX(('2. Soil Data'!$A$5:$A$604=$A11)*IF(ISNUMBER('2. Soil Data'!$E$5:$E$604),'2. Soil Data'!$E$5:$E$604,0))))</f>
        <v>60</v>
      </c>
      <c r="G11" s="10" t="n">
        <f aca="false">IF(OR($A11="",$P11=0),"",SUMIFS('3. Root Biomass'!$N$5:$N$904,'3. Root Biomass'!$A$5:$A$904,$A11)/$P11)</f>
        <v>0.588236695132436</v>
      </c>
      <c r="H11" s="10" t="n">
        <f aca="false">IF($A11="","",IFERROR(SUMIFS('4. Vegetation Data'!$O$5:$O$64,'4. Vegetation Data'!$A$5:$A$64,$A11),""))</f>
        <v>2.076</v>
      </c>
      <c r="I11" s="10" t="n">
        <f aca="false">IF($A11="","",IF(ISNUMBER($D11),$D11,0)+IF(ISNUMBER($G11),$G11,0)+IF(ISNUMBER($H11),$H11,0))</f>
        <v>8.81674469513244</v>
      </c>
      <c r="J11" s="10" t="n">
        <f aca="false">IF($A11="","",IF(ISNUMBER($E11),$E11,0)+IF(ISNUMBER($G11),$G11,0)+IF(ISNUMBER($H11),$H11,0))</f>
        <v>11.3688386951324</v>
      </c>
      <c r="K11" s="11" t="str">
        <f aca="false">IF($A11="","",IF($C11=0,"No soil increments for this plot — it contributes nothing. ","")&amp;IF(AND(ISNUMBER($F11),$F11&lt;SOIL_REPORTING_DEPTH_CM),"Cored shallower than the reporting depth, so the reporting-depth figure is an UNDERESTIMATE for this plot. ","")&amp;IF(AND(ISNUMBER($G11),$G11&gt;0,ISNUMBER($F11)),"Root total reaches only "&amp;$F11&amp;" cm — the bottom of the core, not the bottom of the roots. Report it as a MINIMUM. ","")&amp;IF(AND(ISNUMBER($G11),$G11&gt;0,ROOT_SOIL_REPORTING_BOUNDARY="Not agreed with the lab"),"Root carbon is being added to a soil stock whose root content was never agreed with the lab. The overlap is unknown, not zero — settle ROOT_SOIL_REPORTING_BOUNDARY before reporting a combined figure. ","")&amp;IF(AND(ISNUMBER($G11),$G11&gt;0,ROOT_SOIL_REPORTING_BOUNDARY="Operational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Root total reaches only 60 cm — the bottom of the core, not the bottom of the roots. Report it as a MINIMUM. </v>
      </c>
      <c r="L11" s="9" t="n">
        <f aca="false">IF(ISNUMBER($D11),$D11,"")</f>
        <v>6.152508</v>
      </c>
      <c r="M11" s="9" t="n">
        <f aca="false">IF(ISNUMBER($G11),$G11,"")</f>
        <v>0.588236695132436</v>
      </c>
      <c r="N11" s="9" t="n">
        <f aca="false">IF(AND(ISNUMBER($D11),$A11&lt;&gt;""),1,0)</f>
        <v>1</v>
      </c>
      <c r="O11" s="9" t="n">
        <f aca="false">IF($A11="","",SUMIFS('2. Soil Data'!$U$5:$U$604,'2. Soil Data'!$A$5:$A$604,$A11))</f>
        <v>1</v>
      </c>
      <c r="P11" s="9" t="n">
        <f aca="false">IF($A11="","",SUMIFS('3. Root Biomass'!$Q$5:$Q$904,'3. Root Biomass'!$A$5:$A$904,$A11))</f>
        <v>1</v>
      </c>
      <c r="Q11" s="9" t="n">
        <f aca="false">IF(ISNUMBER($D11),$D11^2,"")</f>
        <v>37.853354690064</v>
      </c>
      <c r="R11" s="9" t="n">
        <f aca="false">IF(ISNUMBER($G11),$G11^2,"")</f>
        <v>0.346022409500331</v>
      </c>
      <c r="S11" s="9" t="n">
        <f aca="false">IF($A11="","",IF(ISNUMBER($D11),$D11,0)+IF(ISNUMBER($G11),$G11,0))</f>
        <v>6.74074469513244</v>
      </c>
      <c r="T11" s="9" t="n">
        <f aca="false">IF(ISNUMBER($S11),$S11^2,"")</f>
        <v>45.4376390449561</v>
      </c>
    </row>
    <row r="12" customFormat="false" ht="15" hidden="false" customHeight="false" outlineLevel="0" collapsed="false">
      <c r="A12" s="10" t="str">
        <f aca="false">IF(INDEX('1. Plot &amp; Site Log'!$A$5:$A$64,8)="","",INDEX('1. Plot &amp; Site Log'!$A$5:$A$64,8))</f>
        <v>BOS-02</v>
      </c>
      <c r="B12" s="10" t="str">
        <f aca="false">IF($A12="","",INDEX('1. Plot &amp; Site Log'!$B$5:$B$64,MATCH($A12,'1. Plot &amp; Site Log'!$A$5:$A$64,0)))</f>
        <v>S3</v>
      </c>
      <c r="C12" s="10" t="n">
        <f aca="false">IF($A12="","",COUNTIFS('2. Soil Data'!$A$5:$A$604,$A12))</f>
        <v>4</v>
      </c>
      <c r="D12" s="10" t="n">
        <f aca="false">IF(OR($A12="",$C12=0,$O12=0),"",SUMIFS('2. Soil Data'!$R$5:$R$604,'2. Soil Data'!$A$5:$A$604,$A12)/$O12)</f>
        <v>4.489286</v>
      </c>
      <c r="E12" s="10" t="n">
        <f aca="false">IF(OR($A12="",$C12=0,$O12=0),"",SUMIFS('2. Soil Data'!$P$5:$P$604,'2. Soil Data'!$A$5:$A$604,$A12)/$O12)</f>
        <v>6.364679</v>
      </c>
      <c r="F12" s="10" t="n">
        <f aca="false">IF($A12="","",SUMPRODUCT(MAX(('2. Soil Data'!$A$5:$A$604=$A12)*IF(ISNUMBER('2. Soil Data'!$E$5:$E$604),'2. Soil Data'!$E$5:$E$604,0))))</f>
        <v>60</v>
      </c>
      <c r="G12" s="10" t="n">
        <f aca="false">IF(OR($A12="",$P12=0),"",SUMIFS('3. Root Biomass'!$N$5:$N$904,'3. Root Biomass'!$A$5:$A$904,$A12)/$P12)</f>
        <v>1.08323851474232</v>
      </c>
      <c r="H12" s="10" t="n">
        <f aca="false">IF($A12="","",IFERROR(SUMIFS('4. Vegetation Data'!$O$5:$O$64,'4. Vegetation Data'!$A$5:$A$64,$A12),""))</f>
        <v>2.4465</v>
      </c>
      <c r="I12" s="10" t="n">
        <f aca="false">IF($A12="","",IF(ISNUMBER($D12),$D12,0)+IF(ISNUMBER($G12),$G12,0)+IF(ISNUMBER($H12),$H12,0))</f>
        <v>8.01902451474232</v>
      </c>
      <c r="J12" s="10" t="n">
        <f aca="false">IF($A12="","",IF(ISNUMBER($E12),$E12,0)+IF(ISNUMBER($G12),$G12,0)+IF(ISNUMBER($H12),$H12,0))</f>
        <v>9.89441751474232</v>
      </c>
      <c r="K12" s="11" t="str">
        <f aca="false">IF($A12="","",IF($C12=0,"No soil increments for this plot — it contributes nothing. ","")&amp;IF(AND(ISNUMBER($F12),$F12&lt;SOIL_REPORTING_DEPTH_CM),"Cored shallower than the reporting depth, so the reporting-depth figure is an UNDERESTIMATE for this plot. ","")&amp;IF(AND(ISNUMBER($G12),$G12&gt;0,ISNUMBER($F12)),"Root total reaches only "&amp;$F12&amp;" cm — the bottom of the core, not the bottom of the roots. Report it as a MINIMUM. ","")&amp;IF(AND(ISNUMBER($G12),$G12&gt;0,ROOT_SOIL_REPORTING_BOUNDARY="Not agreed with the lab"),"Root carbon is being added to a soil stock whose root content was never agreed with the lab. The overlap is unknown, not zero — settle ROOT_SOIL_REPORTING_BOUNDARY before reporting a combined figure. ","")&amp;IF(AND(ISNUMBER($G12),$G12&gt;0,ROOT_SOIL_REPORTING_BOUNDARY="Operational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Root total reaches only 60 cm — the bottom of the core, not the bottom of the roots. Report it as a MINIMUM. </v>
      </c>
      <c r="L12" s="9" t="n">
        <f aca="false">IF(ISNUMBER($D12),$D12,"")</f>
        <v>4.489286</v>
      </c>
      <c r="M12" s="9" t="n">
        <f aca="false">IF(ISNUMBER($G12),$G12,"")</f>
        <v>1.08323851474232</v>
      </c>
      <c r="N12" s="9" t="n">
        <f aca="false">IF(AND(ISNUMBER($D12),$A12&lt;&gt;""),1,0)</f>
        <v>1</v>
      </c>
      <c r="O12" s="9" t="n">
        <f aca="false">IF($A12="","",SUMIFS('2. Soil Data'!$U$5:$U$604,'2. Soil Data'!$A$5:$A$604,$A12))</f>
        <v>1</v>
      </c>
      <c r="P12" s="9" t="n">
        <f aca="false">IF($A12="","",SUMIFS('3. Root Biomass'!$Q$5:$Q$904,'3. Root Biomass'!$A$5:$A$904,$A12))</f>
        <v>1</v>
      </c>
      <c r="Q12" s="9" t="n">
        <f aca="false">IF(ISNUMBER($D12),$D12^2,"")</f>
        <v>20.153688789796</v>
      </c>
      <c r="R12" s="9" t="n">
        <f aca="false">IF(ISNUMBER($G12),$G12^2,"")</f>
        <v>1.17340567982115</v>
      </c>
      <c r="S12" s="9" t="n">
        <f aca="false">IF($A12="","",IF(ISNUMBER($D12),$D12,0)+IF(ISNUMBER($G12),$G12,0))</f>
        <v>5.57252451474232</v>
      </c>
      <c r="T12" s="9" t="n">
        <f aca="false">IF(ISNUMBER($S12),$S12^2,"")</f>
        <v>31.0530294674042</v>
      </c>
    </row>
    <row r="13" customFormat="false" ht="15" hidden="false" customHeight="false" outlineLevel="0" collapsed="false">
      <c r="A13" s="10" t="str">
        <f aca="false">IF(INDEX('1. Plot &amp; Site Log'!$A$5:$A$64,9)="","",INDEX('1. Plot &amp; Site Log'!$A$5:$A$64,9))</f>
        <v>BOS-03</v>
      </c>
      <c r="B13" s="10" t="str">
        <f aca="false">IF($A13="","",INDEX('1. Plot &amp; Site Log'!$B$5:$B$64,MATCH($A13,'1. Plot &amp; Site Log'!$A$5:$A$64,0)))</f>
        <v>S3</v>
      </c>
      <c r="C13" s="10" t="n">
        <f aca="false">IF($A13="","",COUNTIFS('2. Soil Data'!$A$5:$A$604,$A13))</f>
        <v>3</v>
      </c>
      <c r="D13" s="10" t="n">
        <f aca="false">IF(OR($A13="",$C13=0,$O13=0),"",SUMIFS('2. Soil Data'!$R$5:$R$604,'2. Soil Data'!$A$5:$A$604,$A13)/$O13)</f>
        <v>5.1482364</v>
      </c>
      <c r="E13" s="10" t="n">
        <f aca="false">IF(OR($A13="",$C13=0,$O13=0),"",SUMIFS('2. Soil Data'!$P$5:$P$604,'2. Soil Data'!$A$5:$A$604,$A13)/$O13)</f>
        <v>5.1482364</v>
      </c>
      <c r="F13" s="10" t="n">
        <f aca="false">IF($A13="","",SUMPRODUCT(MAX(('2. Soil Data'!$A$5:$A$604=$A13)*IF(ISNUMBER('2. Soil Data'!$E$5:$E$604),'2. Soil Data'!$E$5:$E$604,0))))</f>
        <v>22</v>
      </c>
      <c r="G13" s="10" t="n">
        <f aca="false">IF(OR($A13="",$P13=0),"",SUMIFS('3. Root Biomass'!$N$5:$N$904,'3. Root Biomass'!$A$5:$A$904,$A13)/$P13)</f>
        <v>0.272550191706618</v>
      </c>
      <c r="H13" s="10" t="n">
        <f aca="false">IF($A13="","",IFERROR(SUMIFS('4. Vegetation Data'!$O$5:$O$64,'4. Vegetation Data'!$A$5:$A$64,$A13),""))</f>
        <v>1.555</v>
      </c>
      <c r="I13" s="10" t="n">
        <f aca="false">IF($A13="","",IF(ISNUMBER($D13),$D13,0)+IF(ISNUMBER($G13),$G13,0)+IF(ISNUMBER($H13),$H13,0))</f>
        <v>6.97578659170662</v>
      </c>
      <c r="J13" s="10" t="n">
        <f aca="false">IF($A13="","",IF(ISNUMBER($E13),$E13,0)+IF(ISNUMBER($G13),$G13,0)+IF(ISNUMBER($H13),$H13,0))</f>
        <v>6.97578659170662</v>
      </c>
      <c r="K13" s="11" t="str">
        <f aca="false">IF($A13="","",IF($C13=0,"No soil increments for this plot — it contributes nothing. ","")&amp;IF(AND(ISNUMBER($F13),$F13&lt;SOIL_REPORTING_DEPTH_CM),"Cored shallower than the reporting depth, so the reporting-depth figure is an UNDERESTIMATE for this plot. ","")&amp;IF(AND(ISNUMBER($G13),$G13&gt;0,ISNUMBER($F13)),"Root total reaches only "&amp;$F13&amp;" cm — the bottom of the core, not the bottom of the roots. Report it as a MINIMUM. ","")&amp;IF(AND(ISNUMBER($G13),$G13&gt;0,ROOT_SOIL_REPORTING_BOUNDARY="Not agreed with the lab"),"Root carbon is being added to a soil stock whose root content was never agreed with the lab. The overlap is unknown, not zero — settle ROOT_SOIL_REPORTING_BOUNDARY before reporting a combined figure. ","")&amp;IF(AND(ISNUMBER($G13),$G13&gt;0,ROOT_SOIL_REPORTING_BOUNDARY="Operational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Cored shallower than the reporting depth, so the reporting-depth figure is an UNDERESTIMATE for this plot. Root total reaches only 22 cm — the bottom of the core, not the bottom of the roots. Report it as a MINIMUM. </v>
      </c>
      <c r="L13" s="9" t="n">
        <f aca="false">IF(ISNUMBER($D13),$D13,"")</f>
        <v>5.1482364</v>
      </c>
      <c r="M13" s="9" t="n">
        <f aca="false">IF(ISNUMBER($G13),$G13,"")</f>
        <v>0.272550191706618</v>
      </c>
      <c r="N13" s="9" t="n">
        <f aca="false">IF(AND(ISNUMBER($D13),$A13&lt;&gt;""),1,0)</f>
        <v>1</v>
      </c>
      <c r="O13" s="9" t="n">
        <f aca="false">IF($A13="","",SUMIFS('2. Soil Data'!$U$5:$U$604,'2. Soil Data'!$A$5:$A$604,$A13))</f>
        <v>1</v>
      </c>
      <c r="P13" s="9" t="n">
        <f aca="false">IF($A13="","",SUMIFS('3. Root Biomass'!$Q$5:$Q$904,'3. Root Biomass'!$A$5:$A$904,$A13))</f>
        <v>1</v>
      </c>
      <c r="Q13" s="9" t="n">
        <f aca="false">IF(ISNUMBER($D13),$D13^2,"")</f>
        <v>26.504338030285</v>
      </c>
      <c r="R13" s="9" t="n">
        <f aca="false">IF(ISNUMBER($G13),$G13^2,"")</f>
        <v>0.0742836069993141</v>
      </c>
      <c r="S13" s="9" t="n">
        <f aca="false">IF($A13="","",IF(ISNUMBER($D13),$D13,0)+IF(ISNUMBER($G13),$G13,0))</f>
        <v>5.42078659170662</v>
      </c>
      <c r="T13" s="9" t="n">
        <f aca="false">IF(ISNUMBER($S13),$S13^2,"")</f>
        <v>29.3849272728262</v>
      </c>
    </row>
    <row r="14" customFormat="false" ht="15" hidden="false" customHeight="false" outlineLevel="0" collapsed="false">
      <c r="A14" s="10" t="str">
        <f aca="false">IF(INDEX('1. Plot &amp; Site Log'!$A$5:$A$64,10)="","",INDEX('1. Plot &amp; Site Log'!$A$5:$A$64,10))</f>
        <v/>
      </c>
      <c r="B14" s="10" t="str">
        <f aca="false">IF($A14="","",INDEX('1. Plot &amp; Site Log'!$B$5:$B$64,MATCH($A14,'1. Plot &amp; Site Log'!$A$5:$A$64,0)))</f>
        <v/>
      </c>
      <c r="C14" s="10" t="str">
        <f aca="false">IF($A14="","",COUNTIFS('2. Soil Data'!$A$5:$A$604,$A14))</f>
        <v/>
      </c>
      <c r="D14" s="10" t="str">
        <f aca="false">IF(OR($A14="",$C14=0,$O14=0),"",SUMIFS('2. Soil Data'!$R$5:$R$604,'2. Soil Data'!$A$5:$A$604,$A14)/$O14)</f>
        <v/>
      </c>
      <c r="E14" s="10" t="str">
        <f aca="false">IF(OR($A14="",$C14=0,$O14=0),"",SUMIFS('2. Soil Data'!$P$5:$P$604,'2. Soil Data'!$A$5:$A$604,$A14)/$O14)</f>
        <v/>
      </c>
      <c r="F14" s="10" t="str">
        <f aca="false">IF($A14="","",SUMPRODUCT(MAX(('2. Soil Data'!$A$5:$A$604=$A14)*IF(ISNUMBER('2. Soil Data'!$E$5:$E$604),'2. Soil Data'!$E$5:$E$604,0))))</f>
        <v/>
      </c>
      <c r="G14" s="10" t="str">
        <f aca="false">IF(OR($A14="",$P14=0),"",SUMIFS('3. Root Biomass'!$N$5:$N$904,'3. Root Biomass'!$A$5:$A$904,$A14)/$P14)</f>
        <v/>
      </c>
      <c r="H14" s="10" t="str">
        <f aca="false">IF($A14="","",IFERROR(SUMIFS('4. Vegetation Data'!$O$5:$O$64,'4. Vegetation Data'!$A$5:$A$64,$A14),""))</f>
        <v/>
      </c>
      <c r="I14" s="10" t="str">
        <f aca="false">IF($A14="","",IF(ISNUMBER($D14),$D14,0)+IF(ISNUMBER($G14),$G14,0)+IF(ISNUMBER($H14),$H14,0))</f>
        <v/>
      </c>
      <c r="J14" s="10" t="str">
        <f aca="false">IF($A14="","",IF(ISNUMBER($E14),$E14,0)+IF(ISNUMBER($G14),$G14,0)+IF(ISNUMBER($H14),$H14,0))</f>
        <v/>
      </c>
      <c r="K14" s="11" t="str">
        <f aca="false">IF($A14="","",IF($C14=0,"No soil increments for this plot — it contributes nothing. ","")&amp;IF(AND(ISNUMBER($F14),$F14&lt;SOIL_REPORTING_DEPTH_CM),"Cored shallower than the reporting depth, so the reporting-depth figure is an UNDERESTIMATE for this plot. ","")&amp;IF(AND(ISNUMBER($G14),$G14&gt;0,ISNUMBER($F14)),"Root total reaches only "&amp;$F14&amp;" cm — the bottom of the core, not the bottom of the roots. Report it as a MINIMUM. ","")&amp;IF(AND(ISNUMBER($G14),$G14&gt;0,ROOT_SOIL_REPORTING_BOUNDARY="Not agreed with the lab"),"Root carbon is being added to a soil stock whose root content was never agreed with the lab. The overlap is unknown, not zero — settle ROOT_SOIL_REPORTING_BOUNDARY before reporting a combined figure. ","")&amp;IF(AND(ISNUMBER($G14),$G14&gt;0,ROOT_SOIL_REPORTING_BOUNDARY="Operational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4" s="9" t="str">
        <f aca="false">IF(ISNUMBER($D14),$D14,"")</f>
        <v/>
      </c>
      <c r="M14" s="9" t="str">
        <f aca="false">IF(ISNUMBER($G14),$G14,"")</f>
        <v/>
      </c>
      <c r="N14" s="9" t="n">
        <f aca="false">IF(AND(ISNUMBER($D14),$A14&lt;&gt;""),1,0)</f>
        <v>0</v>
      </c>
      <c r="O14" s="9" t="str">
        <f aca="false">IF($A14="","",SUMIFS('2. Soil Data'!$U$5:$U$604,'2. Soil Data'!$A$5:$A$604,$A14))</f>
        <v/>
      </c>
      <c r="P14" s="9" t="str">
        <f aca="false">IF($A14="","",SUMIFS('3. Root Biomass'!$Q$5:$Q$904,'3. Root Biomass'!$A$5:$A$904,$A14))</f>
        <v/>
      </c>
      <c r="Q14" s="9" t="str">
        <f aca="false">IF(ISNUMBER($D14),$D14^2,"")</f>
        <v/>
      </c>
      <c r="R14" s="9" t="str">
        <f aca="false">IF(ISNUMBER($G14),$G14^2,"")</f>
        <v/>
      </c>
      <c r="S14" s="9" t="str">
        <f aca="false">IF($A14="","",IF(ISNUMBER($D14),$D14,0)+IF(ISNUMBER($G14),$G14,0))</f>
        <v/>
      </c>
      <c r="T14" s="9" t="str">
        <f aca="false">IF(ISNUMBER($S14),$S14^2,"")</f>
        <v/>
      </c>
    </row>
    <row r="15" customFormat="false" ht="15" hidden="false" customHeight="false" outlineLevel="0" collapsed="false">
      <c r="A15" s="10" t="str">
        <f aca="false">IF(INDEX('1. Plot &amp; Site Log'!$A$5:$A$64,11)="","",INDEX('1. Plot &amp; Site Log'!$A$5:$A$64,11))</f>
        <v/>
      </c>
      <c r="B15" s="10" t="str">
        <f aca="false">IF($A15="","",INDEX('1. Plot &amp; Site Log'!$B$5:$B$64,MATCH($A15,'1. Plot &amp; Site Log'!$A$5:$A$64,0)))</f>
        <v/>
      </c>
      <c r="C15" s="10" t="str">
        <f aca="false">IF($A15="","",COUNTIFS('2. Soil Data'!$A$5:$A$604,$A15))</f>
        <v/>
      </c>
      <c r="D15" s="10" t="str">
        <f aca="false">IF(OR($A15="",$C15=0,$O15=0),"",SUMIFS('2. Soil Data'!$R$5:$R$604,'2. Soil Data'!$A$5:$A$604,$A15)/$O15)</f>
        <v/>
      </c>
      <c r="E15" s="10" t="str">
        <f aca="false">IF(OR($A15="",$C15=0,$O15=0),"",SUMIFS('2. Soil Data'!$P$5:$P$604,'2. Soil Data'!$A$5:$A$604,$A15)/$O15)</f>
        <v/>
      </c>
      <c r="F15" s="10" t="str">
        <f aca="false">IF($A15="","",SUMPRODUCT(MAX(('2. Soil Data'!$A$5:$A$604=$A15)*IF(ISNUMBER('2. Soil Data'!$E$5:$E$604),'2. Soil Data'!$E$5:$E$604,0))))</f>
        <v/>
      </c>
      <c r="G15" s="10" t="str">
        <f aca="false">IF(OR($A15="",$P15=0),"",SUMIFS('3. Root Biomass'!$N$5:$N$904,'3. Root Biomass'!$A$5:$A$904,$A15)/$P15)</f>
        <v/>
      </c>
      <c r="H15" s="10" t="str">
        <f aca="false">IF($A15="","",IFERROR(SUMIFS('4. Vegetation Data'!$O$5:$O$64,'4. Vegetation Data'!$A$5:$A$64,$A15),""))</f>
        <v/>
      </c>
      <c r="I15" s="10" t="str">
        <f aca="false">IF($A15="","",IF(ISNUMBER($D15),$D15,0)+IF(ISNUMBER($G15),$G15,0)+IF(ISNUMBER($H15),$H15,0))</f>
        <v/>
      </c>
      <c r="J15" s="10" t="str">
        <f aca="false">IF($A15="","",IF(ISNUMBER($E15),$E15,0)+IF(ISNUMBER($G15),$G15,0)+IF(ISNUMBER($H15),$H15,0))</f>
        <v/>
      </c>
      <c r="K15" s="11" t="str">
        <f aca="false">IF($A15="","",IF($C15=0,"No soil increments for this plot — it contributes nothing. ","")&amp;IF(AND(ISNUMBER($F15),$F15&lt;SOIL_REPORTING_DEPTH_CM),"Cored shallower than the reporting depth, so the reporting-depth figure is an UNDERESTIMATE for this plot. ","")&amp;IF(AND(ISNUMBER($G15),$G15&gt;0,ISNUMBER($F15)),"Root total reaches only "&amp;$F15&amp;" cm — the bottom of the core, not the bottom of the roots. Report it as a MINIMUM. ","")&amp;IF(AND(ISNUMBER($G15),$G15&gt;0,ROOT_SOIL_REPORTING_BOUNDARY="Not agreed with the lab"),"Root carbon is being added to a soil stock whose root content was never agreed with the lab. The overlap is unknown, not zero — settle ROOT_SOIL_REPORTING_BOUNDARY before reporting a combined figure. ","")&amp;IF(AND(ISNUMBER($G15),$G15&gt;0,ROOT_SOIL_REPORTING_BOUNDARY="Operational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5" s="9" t="str">
        <f aca="false">IF(ISNUMBER($D15),$D15,"")</f>
        <v/>
      </c>
      <c r="M15" s="9" t="str">
        <f aca="false">IF(ISNUMBER($G15),$G15,"")</f>
        <v/>
      </c>
      <c r="N15" s="9" t="n">
        <f aca="false">IF(AND(ISNUMBER($D15),$A15&lt;&gt;""),1,0)</f>
        <v>0</v>
      </c>
      <c r="O15" s="9" t="str">
        <f aca="false">IF($A15="","",SUMIFS('2. Soil Data'!$U$5:$U$604,'2. Soil Data'!$A$5:$A$604,$A15))</f>
        <v/>
      </c>
      <c r="P15" s="9" t="str">
        <f aca="false">IF($A15="","",SUMIFS('3. Root Biomass'!$Q$5:$Q$904,'3. Root Biomass'!$A$5:$A$904,$A15))</f>
        <v/>
      </c>
      <c r="Q15" s="9" t="str">
        <f aca="false">IF(ISNUMBER($D15),$D15^2,"")</f>
        <v/>
      </c>
      <c r="R15" s="9" t="str">
        <f aca="false">IF(ISNUMBER($G15),$G15^2,"")</f>
        <v/>
      </c>
      <c r="S15" s="9" t="str">
        <f aca="false">IF($A15="","",IF(ISNUMBER($D15),$D15,0)+IF(ISNUMBER($G15),$G15,0))</f>
        <v/>
      </c>
      <c r="T15" s="9" t="str">
        <f aca="false">IF(ISNUMBER($S15),$S15^2,"")</f>
        <v/>
      </c>
    </row>
    <row r="16" customFormat="false" ht="15" hidden="false" customHeight="false" outlineLevel="0" collapsed="false">
      <c r="A16" s="10" t="str">
        <f aca="false">IF(INDEX('1. Plot &amp; Site Log'!$A$5:$A$64,12)="","",INDEX('1. Plot &amp; Site Log'!$A$5:$A$64,12))</f>
        <v/>
      </c>
      <c r="B16" s="10" t="str">
        <f aca="false">IF($A16="","",INDEX('1. Plot &amp; Site Log'!$B$5:$B$64,MATCH($A16,'1. Plot &amp; Site Log'!$A$5:$A$64,0)))</f>
        <v/>
      </c>
      <c r="C16" s="10" t="str">
        <f aca="false">IF($A16="","",COUNTIFS('2. Soil Data'!$A$5:$A$604,$A16))</f>
        <v/>
      </c>
      <c r="D16" s="10" t="str">
        <f aca="false">IF(OR($A16="",$C16=0,$O16=0),"",SUMIFS('2. Soil Data'!$R$5:$R$604,'2. Soil Data'!$A$5:$A$604,$A16)/$O16)</f>
        <v/>
      </c>
      <c r="E16" s="10" t="str">
        <f aca="false">IF(OR($A16="",$C16=0,$O16=0),"",SUMIFS('2. Soil Data'!$P$5:$P$604,'2. Soil Data'!$A$5:$A$604,$A16)/$O16)</f>
        <v/>
      </c>
      <c r="F16" s="10" t="str">
        <f aca="false">IF($A16="","",SUMPRODUCT(MAX(('2. Soil Data'!$A$5:$A$604=$A16)*IF(ISNUMBER('2. Soil Data'!$E$5:$E$604),'2. Soil Data'!$E$5:$E$604,0))))</f>
        <v/>
      </c>
      <c r="G16" s="10" t="str">
        <f aca="false">IF(OR($A16="",$P16=0),"",SUMIFS('3. Root Biomass'!$N$5:$N$904,'3. Root Biomass'!$A$5:$A$904,$A16)/$P16)</f>
        <v/>
      </c>
      <c r="H16" s="10" t="str">
        <f aca="false">IF($A16="","",IFERROR(SUMIFS('4. Vegetation Data'!$O$5:$O$64,'4. Vegetation Data'!$A$5:$A$64,$A16),""))</f>
        <v/>
      </c>
      <c r="I16" s="10" t="str">
        <f aca="false">IF($A16="","",IF(ISNUMBER($D16),$D16,0)+IF(ISNUMBER($G16),$G16,0)+IF(ISNUMBER($H16),$H16,0))</f>
        <v/>
      </c>
      <c r="J16" s="10" t="str">
        <f aca="false">IF($A16="","",IF(ISNUMBER($E16),$E16,0)+IF(ISNUMBER($G16),$G16,0)+IF(ISNUMBER($H16),$H16,0))</f>
        <v/>
      </c>
      <c r="K16" s="11" t="str">
        <f aca="false">IF($A16="","",IF($C16=0,"No soil increments for this plot — it contributes nothing. ","")&amp;IF(AND(ISNUMBER($F16),$F16&lt;SOIL_REPORTING_DEPTH_CM),"Cored shallower than the reporting depth, so the reporting-depth figure is an UNDERESTIMATE for this plot. ","")&amp;IF(AND(ISNUMBER($G16),$G16&gt;0,ISNUMBER($F16)),"Root total reaches only "&amp;$F16&amp;" cm — the bottom of the core, not the bottom of the roots. Report it as a MINIMUM. ","")&amp;IF(AND(ISNUMBER($G16),$G16&gt;0,ROOT_SOIL_REPORTING_BOUNDARY="Not agreed with the lab"),"Root carbon is being added to a soil stock whose root content was never agreed with the lab. The overlap is unknown, not zero — settle ROOT_SOIL_REPORTING_BOUNDARY before reporting a combined figure. ","")&amp;IF(AND(ISNUMBER($G16),$G16&gt;0,ROOT_SOIL_REPORTING_BOUNDARY="Operational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6" s="9" t="str">
        <f aca="false">IF(ISNUMBER($D16),$D16,"")</f>
        <v/>
      </c>
      <c r="M16" s="9" t="str">
        <f aca="false">IF(ISNUMBER($G16),$G16,"")</f>
        <v/>
      </c>
      <c r="N16" s="9" t="n">
        <f aca="false">IF(AND(ISNUMBER($D16),$A16&lt;&gt;""),1,0)</f>
        <v>0</v>
      </c>
      <c r="O16" s="9" t="str">
        <f aca="false">IF($A16="","",SUMIFS('2. Soil Data'!$U$5:$U$604,'2. Soil Data'!$A$5:$A$604,$A16))</f>
        <v/>
      </c>
      <c r="P16" s="9" t="str">
        <f aca="false">IF($A16="","",SUMIFS('3. Root Biomass'!$Q$5:$Q$904,'3. Root Biomass'!$A$5:$A$904,$A16))</f>
        <v/>
      </c>
      <c r="Q16" s="9" t="str">
        <f aca="false">IF(ISNUMBER($D16),$D16^2,"")</f>
        <v/>
      </c>
      <c r="R16" s="9" t="str">
        <f aca="false">IF(ISNUMBER($G16),$G16^2,"")</f>
        <v/>
      </c>
      <c r="S16" s="9" t="str">
        <f aca="false">IF($A16="","",IF(ISNUMBER($D16),$D16,0)+IF(ISNUMBER($G16),$G16,0))</f>
        <v/>
      </c>
      <c r="T16" s="9" t="str">
        <f aca="false">IF(ISNUMBER($S16),$S16^2,"")</f>
        <v/>
      </c>
    </row>
    <row r="17" customFormat="false" ht="15" hidden="false" customHeight="false" outlineLevel="0" collapsed="false">
      <c r="A17" s="10" t="str">
        <f aca="false">IF(INDEX('1. Plot &amp; Site Log'!$A$5:$A$64,13)="","",INDEX('1. Plot &amp; Site Log'!$A$5:$A$64,13))</f>
        <v/>
      </c>
      <c r="B17" s="10" t="str">
        <f aca="false">IF($A17="","",INDEX('1. Plot &amp; Site Log'!$B$5:$B$64,MATCH($A17,'1. Plot &amp; Site Log'!$A$5:$A$64,0)))</f>
        <v/>
      </c>
      <c r="C17" s="10" t="str">
        <f aca="false">IF($A17="","",COUNTIFS('2. Soil Data'!$A$5:$A$604,$A17))</f>
        <v/>
      </c>
      <c r="D17" s="10" t="str">
        <f aca="false">IF(OR($A17="",$C17=0,$O17=0),"",SUMIFS('2. Soil Data'!$R$5:$R$604,'2. Soil Data'!$A$5:$A$604,$A17)/$O17)</f>
        <v/>
      </c>
      <c r="E17" s="10" t="str">
        <f aca="false">IF(OR($A17="",$C17=0,$O17=0),"",SUMIFS('2. Soil Data'!$P$5:$P$604,'2. Soil Data'!$A$5:$A$604,$A17)/$O17)</f>
        <v/>
      </c>
      <c r="F17" s="10" t="str">
        <f aca="false">IF($A17="","",SUMPRODUCT(MAX(('2. Soil Data'!$A$5:$A$604=$A17)*IF(ISNUMBER('2. Soil Data'!$E$5:$E$604),'2. Soil Data'!$E$5:$E$604,0))))</f>
        <v/>
      </c>
      <c r="G17" s="10" t="str">
        <f aca="false">IF(OR($A17="",$P17=0),"",SUMIFS('3. Root Biomass'!$N$5:$N$904,'3. Root Biomass'!$A$5:$A$904,$A17)/$P17)</f>
        <v/>
      </c>
      <c r="H17" s="10" t="str">
        <f aca="false">IF($A17="","",IFERROR(SUMIFS('4. Vegetation Data'!$O$5:$O$64,'4. Vegetation Data'!$A$5:$A$64,$A17),""))</f>
        <v/>
      </c>
      <c r="I17" s="10" t="str">
        <f aca="false">IF($A17="","",IF(ISNUMBER($D17),$D17,0)+IF(ISNUMBER($G17),$G17,0)+IF(ISNUMBER($H17),$H17,0))</f>
        <v/>
      </c>
      <c r="J17" s="10" t="str">
        <f aca="false">IF($A17="","",IF(ISNUMBER($E17),$E17,0)+IF(ISNUMBER($G17),$G17,0)+IF(ISNUMBER($H17),$H17,0))</f>
        <v/>
      </c>
      <c r="K17" s="11" t="str">
        <f aca="false">IF($A17="","",IF($C17=0,"No soil increments for this plot — it contributes nothing. ","")&amp;IF(AND(ISNUMBER($F17),$F17&lt;SOIL_REPORTING_DEPTH_CM),"Cored shallower than the reporting depth, so the reporting-depth figure is an UNDERESTIMATE for this plot. ","")&amp;IF(AND(ISNUMBER($G17),$G17&gt;0,ISNUMBER($F17)),"Root total reaches only "&amp;$F17&amp;" cm — the bottom of the core, not the bottom of the roots. Report it as a MINIMUM. ","")&amp;IF(AND(ISNUMBER($G17),$G17&gt;0,ROOT_SOIL_REPORTING_BOUNDARY="Not agreed with the lab"),"Root carbon is being added to a soil stock whose root content was never agreed with the lab. The overlap is unknown, not zero — settle ROOT_SOIL_REPORTING_BOUNDARY before reporting a combined figure. ","")&amp;IF(AND(ISNUMBER($G17),$G17&gt;0,ROOT_SOIL_REPORTING_BOUNDARY="Operational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7" s="9" t="str">
        <f aca="false">IF(ISNUMBER($D17),$D17,"")</f>
        <v/>
      </c>
      <c r="M17" s="9" t="str">
        <f aca="false">IF(ISNUMBER($G17),$G17,"")</f>
        <v/>
      </c>
      <c r="N17" s="9" t="n">
        <f aca="false">IF(AND(ISNUMBER($D17),$A17&lt;&gt;""),1,0)</f>
        <v>0</v>
      </c>
      <c r="O17" s="9" t="str">
        <f aca="false">IF($A17="","",SUMIFS('2. Soil Data'!$U$5:$U$604,'2. Soil Data'!$A$5:$A$604,$A17))</f>
        <v/>
      </c>
      <c r="P17" s="9" t="str">
        <f aca="false">IF($A17="","",SUMIFS('3. Root Biomass'!$Q$5:$Q$904,'3. Root Biomass'!$A$5:$A$904,$A17))</f>
        <v/>
      </c>
      <c r="Q17" s="9" t="str">
        <f aca="false">IF(ISNUMBER($D17),$D17^2,"")</f>
        <v/>
      </c>
      <c r="R17" s="9" t="str">
        <f aca="false">IF(ISNUMBER($G17),$G17^2,"")</f>
        <v/>
      </c>
      <c r="S17" s="9" t="str">
        <f aca="false">IF($A17="","",IF(ISNUMBER($D17),$D17,0)+IF(ISNUMBER($G17),$G17,0))</f>
        <v/>
      </c>
      <c r="T17" s="9" t="str">
        <f aca="false">IF(ISNUMBER($S17),$S17^2,"")</f>
        <v/>
      </c>
    </row>
    <row r="18" customFormat="false" ht="15" hidden="false" customHeight="false" outlineLevel="0" collapsed="false">
      <c r="A18" s="10" t="str">
        <f aca="false">IF(INDEX('1. Plot &amp; Site Log'!$A$5:$A$64,14)="","",INDEX('1. Plot &amp; Site Log'!$A$5:$A$64,14))</f>
        <v/>
      </c>
      <c r="B18" s="10" t="str">
        <f aca="false">IF($A18="","",INDEX('1. Plot &amp; Site Log'!$B$5:$B$64,MATCH($A18,'1. Plot &amp; Site Log'!$A$5:$A$64,0)))</f>
        <v/>
      </c>
      <c r="C18" s="10" t="str">
        <f aca="false">IF($A18="","",COUNTIFS('2. Soil Data'!$A$5:$A$604,$A18))</f>
        <v/>
      </c>
      <c r="D18" s="10" t="str">
        <f aca="false">IF(OR($A18="",$C18=0,$O18=0),"",SUMIFS('2. Soil Data'!$R$5:$R$604,'2. Soil Data'!$A$5:$A$604,$A18)/$O18)</f>
        <v/>
      </c>
      <c r="E18" s="10" t="str">
        <f aca="false">IF(OR($A18="",$C18=0,$O18=0),"",SUMIFS('2. Soil Data'!$P$5:$P$604,'2. Soil Data'!$A$5:$A$604,$A18)/$O18)</f>
        <v/>
      </c>
      <c r="F18" s="10" t="str">
        <f aca="false">IF($A18="","",SUMPRODUCT(MAX(('2. Soil Data'!$A$5:$A$604=$A18)*IF(ISNUMBER('2. Soil Data'!$E$5:$E$604),'2. Soil Data'!$E$5:$E$604,0))))</f>
        <v/>
      </c>
      <c r="G18" s="10" t="str">
        <f aca="false">IF(OR($A18="",$P18=0),"",SUMIFS('3. Root Biomass'!$N$5:$N$904,'3. Root Biomass'!$A$5:$A$904,$A18)/$P18)</f>
        <v/>
      </c>
      <c r="H18" s="10" t="str">
        <f aca="false">IF($A18="","",IFERROR(SUMIFS('4. Vegetation Data'!$O$5:$O$64,'4. Vegetation Data'!$A$5:$A$64,$A18),""))</f>
        <v/>
      </c>
      <c r="I18" s="10" t="str">
        <f aca="false">IF($A18="","",IF(ISNUMBER($D18),$D18,0)+IF(ISNUMBER($G18),$G18,0)+IF(ISNUMBER($H18),$H18,0))</f>
        <v/>
      </c>
      <c r="J18" s="10" t="str">
        <f aca="false">IF($A18="","",IF(ISNUMBER($E18),$E18,0)+IF(ISNUMBER($G18),$G18,0)+IF(ISNUMBER($H18),$H18,0))</f>
        <v/>
      </c>
      <c r="K18" s="11" t="str">
        <f aca="false">IF($A18="","",IF($C18=0,"No soil increments for this plot — it contributes nothing. ","")&amp;IF(AND(ISNUMBER($F18),$F18&lt;SOIL_REPORTING_DEPTH_CM),"Cored shallower than the reporting depth, so the reporting-depth figure is an UNDERESTIMATE for this plot. ","")&amp;IF(AND(ISNUMBER($G18),$G18&gt;0,ISNUMBER($F18)),"Root total reaches only "&amp;$F18&amp;" cm — the bottom of the core, not the bottom of the roots. Report it as a MINIMUM. ","")&amp;IF(AND(ISNUMBER($G18),$G18&gt;0,ROOT_SOIL_REPORTING_BOUNDARY="Not agreed with the lab"),"Root carbon is being added to a soil stock whose root content was never agreed with the lab. The overlap is unknown, not zero — settle ROOT_SOIL_REPORTING_BOUNDARY before reporting a combined figure. ","")&amp;IF(AND(ISNUMBER($G18),$G18&gt;0,ROOT_SOIL_REPORTING_BOUNDARY="Operational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8" s="9" t="str">
        <f aca="false">IF(ISNUMBER($D18),$D18,"")</f>
        <v/>
      </c>
      <c r="M18" s="9" t="str">
        <f aca="false">IF(ISNUMBER($G18),$G18,"")</f>
        <v/>
      </c>
      <c r="N18" s="9" t="n">
        <f aca="false">IF(AND(ISNUMBER($D18),$A18&lt;&gt;""),1,0)</f>
        <v>0</v>
      </c>
      <c r="O18" s="9" t="str">
        <f aca="false">IF($A18="","",SUMIFS('2. Soil Data'!$U$5:$U$604,'2. Soil Data'!$A$5:$A$604,$A18))</f>
        <v/>
      </c>
      <c r="P18" s="9" t="str">
        <f aca="false">IF($A18="","",SUMIFS('3. Root Biomass'!$Q$5:$Q$904,'3. Root Biomass'!$A$5:$A$904,$A18))</f>
        <v/>
      </c>
      <c r="Q18" s="9" t="str">
        <f aca="false">IF(ISNUMBER($D18),$D18^2,"")</f>
        <v/>
      </c>
      <c r="R18" s="9" t="str">
        <f aca="false">IF(ISNUMBER($G18),$G18^2,"")</f>
        <v/>
      </c>
      <c r="S18" s="9" t="str">
        <f aca="false">IF($A18="","",IF(ISNUMBER($D18),$D18,0)+IF(ISNUMBER($G18),$G18,0))</f>
        <v/>
      </c>
      <c r="T18" s="9" t="str">
        <f aca="false">IF(ISNUMBER($S18),$S18^2,"")</f>
        <v/>
      </c>
    </row>
    <row r="19" customFormat="false" ht="15" hidden="false" customHeight="false" outlineLevel="0" collapsed="false">
      <c r="A19" s="10" t="str">
        <f aca="false">IF(INDEX('1. Plot &amp; Site Log'!$A$5:$A$64,15)="","",INDEX('1. Plot &amp; Site Log'!$A$5:$A$64,15))</f>
        <v/>
      </c>
      <c r="B19" s="10" t="str">
        <f aca="false">IF($A19="","",INDEX('1. Plot &amp; Site Log'!$B$5:$B$64,MATCH($A19,'1. Plot &amp; Site Log'!$A$5:$A$64,0)))</f>
        <v/>
      </c>
      <c r="C19" s="10" t="str">
        <f aca="false">IF($A19="","",COUNTIFS('2. Soil Data'!$A$5:$A$604,$A19))</f>
        <v/>
      </c>
      <c r="D19" s="10" t="str">
        <f aca="false">IF(OR($A19="",$C19=0,$O19=0),"",SUMIFS('2. Soil Data'!$R$5:$R$604,'2. Soil Data'!$A$5:$A$604,$A19)/$O19)</f>
        <v/>
      </c>
      <c r="E19" s="10" t="str">
        <f aca="false">IF(OR($A19="",$C19=0,$O19=0),"",SUMIFS('2. Soil Data'!$P$5:$P$604,'2. Soil Data'!$A$5:$A$604,$A19)/$O19)</f>
        <v/>
      </c>
      <c r="F19" s="10" t="str">
        <f aca="false">IF($A19="","",SUMPRODUCT(MAX(('2. Soil Data'!$A$5:$A$604=$A19)*IF(ISNUMBER('2. Soil Data'!$E$5:$E$604),'2. Soil Data'!$E$5:$E$604,0))))</f>
        <v/>
      </c>
      <c r="G19" s="10" t="str">
        <f aca="false">IF(OR($A19="",$P19=0),"",SUMIFS('3. Root Biomass'!$N$5:$N$904,'3. Root Biomass'!$A$5:$A$904,$A19)/$P19)</f>
        <v/>
      </c>
      <c r="H19" s="10" t="str">
        <f aca="false">IF($A19="","",IFERROR(SUMIFS('4. Vegetation Data'!$O$5:$O$64,'4. Vegetation Data'!$A$5:$A$64,$A19),""))</f>
        <v/>
      </c>
      <c r="I19" s="10" t="str">
        <f aca="false">IF($A19="","",IF(ISNUMBER($D19),$D19,0)+IF(ISNUMBER($G19),$G19,0)+IF(ISNUMBER($H19),$H19,0))</f>
        <v/>
      </c>
      <c r="J19" s="10" t="str">
        <f aca="false">IF($A19="","",IF(ISNUMBER($E19),$E19,0)+IF(ISNUMBER($G19),$G19,0)+IF(ISNUMBER($H19),$H19,0))</f>
        <v/>
      </c>
      <c r="K19" s="11" t="str">
        <f aca="false">IF($A19="","",IF($C19=0,"No soil increments for this plot — it contributes nothing. ","")&amp;IF(AND(ISNUMBER($F19),$F19&lt;SOIL_REPORTING_DEPTH_CM),"Cored shallower than the reporting depth, so the reporting-depth figure is an UNDERESTIMATE for this plot. ","")&amp;IF(AND(ISNUMBER($G19),$G19&gt;0,ISNUMBER($F19)),"Root total reaches only "&amp;$F19&amp;" cm — the bottom of the core, not the bottom of the roots. Report it as a MINIMUM. ","")&amp;IF(AND(ISNUMBER($G19),$G19&gt;0,ROOT_SOIL_REPORTING_BOUNDARY="Not agreed with the lab"),"Root carbon is being added to a soil stock whose root content was never agreed with the lab. The overlap is unknown, not zero — settle ROOT_SOIL_REPORTING_BOUNDARY before reporting a combined figure. ","")&amp;IF(AND(ISNUMBER($G19),$G19&gt;0,ROOT_SOIL_REPORTING_BOUNDARY="Operational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19" s="9" t="str">
        <f aca="false">IF(ISNUMBER($D19),$D19,"")</f>
        <v/>
      </c>
      <c r="M19" s="9" t="str">
        <f aca="false">IF(ISNUMBER($G19),$G19,"")</f>
        <v/>
      </c>
      <c r="N19" s="9" t="n">
        <f aca="false">IF(AND(ISNUMBER($D19),$A19&lt;&gt;""),1,0)</f>
        <v>0</v>
      </c>
      <c r="O19" s="9" t="str">
        <f aca="false">IF($A19="","",SUMIFS('2. Soil Data'!$U$5:$U$604,'2. Soil Data'!$A$5:$A$604,$A19))</f>
        <v/>
      </c>
      <c r="P19" s="9" t="str">
        <f aca="false">IF($A19="","",SUMIFS('3. Root Biomass'!$Q$5:$Q$904,'3. Root Biomass'!$A$5:$A$904,$A19))</f>
        <v/>
      </c>
      <c r="Q19" s="9" t="str">
        <f aca="false">IF(ISNUMBER($D19),$D19^2,"")</f>
        <v/>
      </c>
      <c r="R19" s="9" t="str">
        <f aca="false">IF(ISNUMBER($G19),$G19^2,"")</f>
        <v/>
      </c>
      <c r="S19" s="9" t="str">
        <f aca="false">IF($A19="","",IF(ISNUMBER($D19),$D19,0)+IF(ISNUMBER($G19),$G19,0))</f>
        <v/>
      </c>
      <c r="T19" s="9" t="str">
        <f aca="false">IF(ISNUMBER($S19),$S19^2,"")</f>
        <v/>
      </c>
    </row>
    <row r="20" customFormat="false" ht="15" hidden="false" customHeight="false" outlineLevel="0" collapsed="false">
      <c r="A20" s="10" t="str">
        <f aca="false">IF(INDEX('1. Plot &amp; Site Log'!$A$5:$A$64,16)="","",INDEX('1. Plot &amp; Site Log'!$A$5:$A$64,16))</f>
        <v/>
      </c>
      <c r="B20" s="10" t="str">
        <f aca="false">IF($A20="","",INDEX('1. Plot &amp; Site Log'!$B$5:$B$64,MATCH($A20,'1. Plot &amp; Site Log'!$A$5:$A$64,0)))</f>
        <v/>
      </c>
      <c r="C20" s="10" t="str">
        <f aca="false">IF($A20="","",COUNTIFS('2. Soil Data'!$A$5:$A$604,$A20))</f>
        <v/>
      </c>
      <c r="D20" s="10" t="str">
        <f aca="false">IF(OR($A20="",$C20=0,$O20=0),"",SUMIFS('2. Soil Data'!$R$5:$R$604,'2. Soil Data'!$A$5:$A$604,$A20)/$O20)</f>
        <v/>
      </c>
      <c r="E20" s="10" t="str">
        <f aca="false">IF(OR($A20="",$C20=0,$O20=0),"",SUMIFS('2. Soil Data'!$P$5:$P$604,'2. Soil Data'!$A$5:$A$604,$A20)/$O20)</f>
        <v/>
      </c>
      <c r="F20" s="10" t="str">
        <f aca="false">IF($A20="","",SUMPRODUCT(MAX(('2. Soil Data'!$A$5:$A$604=$A20)*IF(ISNUMBER('2. Soil Data'!$E$5:$E$604),'2. Soil Data'!$E$5:$E$604,0))))</f>
        <v/>
      </c>
      <c r="G20" s="10" t="str">
        <f aca="false">IF(OR($A20="",$P20=0),"",SUMIFS('3. Root Biomass'!$N$5:$N$904,'3. Root Biomass'!$A$5:$A$904,$A20)/$P20)</f>
        <v/>
      </c>
      <c r="H20" s="10" t="str">
        <f aca="false">IF($A20="","",IFERROR(SUMIFS('4. Vegetation Data'!$O$5:$O$64,'4. Vegetation Data'!$A$5:$A$64,$A20),""))</f>
        <v/>
      </c>
      <c r="I20" s="10" t="str">
        <f aca="false">IF($A20="","",IF(ISNUMBER($D20),$D20,0)+IF(ISNUMBER($G20),$G20,0)+IF(ISNUMBER($H20),$H20,0))</f>
        <v/>
      </c>
      <c r="J20" s="10" t="str">
        <f aca="false">IF($A20="","",IF(ISNUMBER($E20),$E20,0)+IF(ISNUMBER($G20),$G20,0)+IF(ISNUMBER($H20),$H20,0))</f>
        <v/>
      </c>
      <c r="K20" s="11" t="str">
        <f aca="false">IF($A20="","",IF($C20=0,"No soil increments for this plot — it contributes nothing. ","")&amp;IF(AND(ISNUMBER($F20),$F20&lt;SOIL_REPORTING_DEPTH_CM),"Cored shallower than the reporting depth, so the reporting-depth figure is an UNDERESTIMATE for this plot. ","")&amp;IF(AND(ISNUMBER($G20),$G20&gt;0,ISNUMBER($F20)),"Root total reaches only "&amp;$F20&amp;" cm — the bottom of the core, not the bottom of the roots. Report it as a MINIMUM. ","")&amp;IF(AND(ISNUMBER($G20),$G20&gt;0,ROOT_SOIL_REPORTING_BOUNDARY="Not agreed with the lab"),"Root carbon is being added to a soil stock whose root content was never agreed with the lab. The overlap is unknown, not zero — settle ROOT_SOIL_REPORTING_BOUNDARY before reporting a combined figure. ","")&amp;IF(AND(ISNUMBER($G20),$G20&gt;0,ROOT_SOIL_REPORTING_BOUNDARY="Operational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0" s="9" t="str">
        <f aca="false">IF(ISNUMBER($D20),$D20,"")</f>
        <v/>
      </c>
      <c r="M20" s="9" t="str">
        <f aca="false">IF(ISNUMBER($G20),$G20,"")</f>
        <v/>
      </c>
      <c r="N20" s="9" t="n">
        <f aca="false">IF(AND(ISNUMBER($D20),$A20&lt;&gt;""),1,0)</f>
        <v>0</v>
      </c>
      <c r="O20" s="9" t="str">
        <f aca="false">IF($A20="","",SUMIFS('2. Soil Data'!$U$5:$U$604,'2. Soil Data'!$A$5:$A$604,$A20))</f>
        <v/>
      </c>
      <c r="P20" s="9" t="str">
        <f aca="false">IF($A20="","",SUMIFS('3. Root Biomass'!$Q$5:$Q$904,'3. Root Biomass'!$A$5:$A$904,$A20))</f>
        <v/>
      </c>
      <c r="Q20" s="9" t="str">
        <f aca="false">IF(ISNUMBER($D20),$D20^2,"")</f>
        <v/>
      </c>
      <c r="R20" s="9" t="str">
        <f aca="false">IF(ISNUMBER($G20),$G20^2,"")</f>
        <v/>
      </c>
      <c r="S20" s="9" t="str">
        <f aca="false">IF($A20="","",IF(ISNUMBER($D20),$D20,0)+IF(ISNUMBER($G20),$G20,0))</f>
        <v/>
      </c>
      <c r="T20" s="9" t="str">
        <f aca="false">IF(ISNUMBER($S20),$S20^2,"")</f>
        <v/>
      </c>
    </row>
    <row r="21" customFormat="false" ht="15" hidden="false" customHeight="false" outlineLevel="0" collapsed="false">
      <c r="A21" s="10" t="str">
        <f aca="false">IF(INDEX('1. Plot &amp; Site Log'!$A$5:$A$64,17)="","",INDEX('1. Plot &amp; Site Log'!$A$5:$A$64,17))</f>
        <v/>
      </c>
      <c r="B21" s="10" t="str">
        <f aca="false">IF($A21="","",INDEX('1. Plot &amp; Site Log'!$B$5:$B$64,MATCH($A21,'1. Plot &amp; Site Log'!$A$5:$A$64,0)))</f>
        <v/>
      </c>
      <c r="C21" s="10" t="str">
        <f aca="false">IF($A21="","",COUNTIFS('2. Soil Data'!$A$5:$A$604,$A21))</f>
        <v/>
      </c>
      <c r="D21" s="10" t="str">
        <f aca="false">IF(OR($A21="",$C21=0,$O21=0),"",SUMIFS('2. Soil Data'!$R$5:$R$604,'2. Soil Data'!$A$5:$A$604,$A21)/$O21)</f>
        <v/>
      </c>
      <c r="E21" s="10" t="str">
        <f aca="false">IF(OR($A21="",$C21=0,$O21=0),"",SUMIFS('2. Soil Data'!$P$5:$P$604,'2. Soil Data'!$A$5:$A$604,$A21)/$O21)</f>
        <v/>
      </c>
      <c r="F21" s="10" t="str">
        <f aca="false">IF($A21="","",SUMPRODUCT(MAX(('2. Soil Data'!$A$5:$A$604=$A21)*IF(ISNUMBER('2. Soil Data'!$E$5:$E$604),'2. Soil Data'!$E$5:$E$604,0))))</f>
        <v/>
      </c>
      <c r="G21" s="10" t="str">
        <f aca="false">IF(OR($A21="",$P21=0),"",SUMIFS('3. Root Biomass'!$N$5:$N$904,'3. Root Biomass'!$A$5:$A$904,$A21)/$P21)</f>
        <v/>
      </c>
      <c r="H21" s="10" t="str">
        <f aca="false">IF($A21="","",IFERROR(SUMIFS('4. Vegetation Data'!$O$5:$O$64,'4. Vegetation Data'!$A$5:$A$64,$A21),""))</f>
        <v/>
      </c>
      <c r="I21" s="10" t="str">
        <f aca="false">IF($A21="","",IF(ISNUMBER($D21),$D21,0)+IF(ISNUMBER($G21),$G21,0)+IF(ISNUMBER($H21),$H21,0))</f>
        <v/>
      </c>
      <c r="J21" s="10" t="str">
        <f aca="false">IF($A21="","",IF(ISNUMBER($E21),$E21,0)+IF(ISNUMBER($G21),$G21,0)+IF(ISNUMBER($H21),$H21,0))</f>
        <v/>
      </c>
      <c r="K21" s="11" t="str">
        <f aca="false">IF($A21="","",IF($C21=0,"No soil increments for this plot — it contributes nothing. ","")&amp;IF(AND(ISNUMBER($F21),$F21&lt;SOIL_REPORTING_DEPTH_CM),"Cored shallower than the reporting depth, so the reporting-depth figure is an UNDERESTIMATE for this plot. ","")&amp;IF(AND(ISNUMBER($G21),$G21&gt;0,ISNUMBER($F21)),"Root total reaches only "&amp;$F21&amp;" cm — the bottom of the core, not the bottom of the roots. Report it as a MINIMUM. ","")&amp;IF(AND(ISNUMBER($G21),$G21&gt;0,ROOT_SOIL_REPORTING_BOUNDARY="Not agreed with the lab"),"Root carbon is being added to a soil stock whose root content was never agreed with the lab. The overlap is unknown, not zero — settle ROOT_SOIL_REPORTING_BOUNDARY before reporting a combined figure. ","")&amp;IF(AND(ISNUMBER($G21),$G21&gt;0,ROOT_SOIL_REPORTING_BOUNDARY="Operational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1" s="9" t="str">
        <f aca="false">IF(ISNUMBER($D21),$D21,"")</f>
        <v/>
      </c>
      <c r="M21" s="9" t="str">
        <f aca="false">IF(ISNUMBER($G21),$G21,"")</f>
        <v/>
      </c>
      <c r="N21" s="9" t="n">
        <f aca="false">IF(AND(ISNUMBER($D21),$A21&lt;&gt;""),1,0)</f>
        <v>0</v>
      </c>
      <c r="O21" s="9" t="str">
        <f aca="false">IF($A21="","",SUMIFS('2. Soil Data'!$U$5:$U$604,'2. Soil Data'!$A$5:$A$604,$A21))</f>
        <v/>
      </c>
      <c r="P21" s="9" t="str">
        <f aca="false">IF($A21="","",SUMIFS('3. Root Biomass'!$Q$5:$Q$904,'3. Root Biomass'!$A$5:$A$904,$A21))</f>
        <v/>
      </c>
      <c r="Q21" s="9" t="str">
        <f aca="false">IF(ISNUMBER($D21),$D21^2,"")</f>
        <v/>
      </c>
      <c r="R21" s="9" t="str">
        <f aca="false">IF(ISNUMBER($G21),$G21^2,"")</f>
        <v/>
      </c>
      <c r="S21" s="9" t="str">
        <f aca="false">IF($A21="","",IF(ISNUMBER($D21),$D21,0)+IF(ISNUMBER($G21),$G21,0))</f>
        <v/>
      </c>
      <c r="T21" s="9" t="str">
        <f aca="false">IF(ISNUMBER($S21),$S21^2,"")</f>
        <v/>
      </c>
    </row>
    <row r="22" customFormat="false" ht="15" hidden="false" customHeight="false" outlineLevel="0" collapsed="false">
      <c r="A22" s="10" t="str">
        <f aca="false">IF(INDEX('1. Plot &amp; Site Log'!$A$5:$A$64,18)="","",INDEX('1. Plot &amp; Site Log'!$A$5:$A$64,18))</f>
        <v/>
      </c>
      <c r="B22" s="10" t="str">
        <f aca="false">IF($A22="","",INDEX('1. Plot &amp; Site Log'!$B$5:$B$64,MATCH($A22,'1. Plot &amp; Site Log'!$A$5:$A$64,0)))</f>
        <v/>
      </c>
      <c r="C22" s="10" t="str">
        <f aca="false">IF($A22="","",COUNTIFS('2. Soil Data'!$A$5:$A$604,$A22))</f>
        <v/>
      </c>
      <c r="D22" s="10" t="str">
        <f aca="false">IF(OR($A22="",$C22=0,$O22=0),"",SUMIFS('2. Soil Data'!$R$5:$R$604,'2. Soil Data'!$A$5:$A$604,$A22)/$O22)</f>
        <v/>
      </c>
      <c r="E22" s="10" t="str">
        <f aca="false">IF(OR($A22="",$C22=0,$O22=0),"",SUMIFS('2. Soil Data'!$P$5:$P$604,'2. Soil Data'!$A$5:$A$604,$A22)/$O22)</f>
        <v/>
      </c>
      <c r="F22" s="10" t="str">
        <f aca="false">IF($A22="","",SUMPRODUCT(MAX(('2. Soil Data'!$A$5:$A$604=$A22)*IF(ISNUMBER('2. Soil Data'!$E$5:$E$604),'2. Soil Data'!$E$5:$E$604,0))))</f>
        <v/>
      </c>
      <c r="G22" s="10" t="str">
        <f aca="false">IF(OR($A22="",$P22=0),"",SUMIFS('3. Root Biomass'!$N$5:$N$904,'3. Root Biomass'!$A$5:$A$904,$A22)/$P22)</f>
        <v/>
      </c>
      <c r="H22" s="10" t="str">
        <f aca="false">IF($A22="","",IFERROR(SUMIFS('4. Vegetation Data'!$O$5:$O$64,'4. Vegetation Data'!$A$5:$A$64,$A22),""))</f>
        <v/>
      </c>
      <c r="I22" s="10" t="str">
        <f aca="false">IF($A22="","",IF(ISNUMBER($D22),$D22,0)+IF(ISNUMBER($G22),$G22,0)+IF(ISNUMBER($H22),$H22,0))</f>
        <v/>
      </c>
      <c r="J22" s="10" t="str">
        <f aca="false">IF($A22="","",IF(ISNUMBER($E22),$E22,0)+IF(ISNUMBER($G22),$G22,0)+IF(ISNUMBER($H22),$H22,0))</f>
        <v/>
      </c>
      <c r="K22" s="11" t="str">
        <f aca="false">IF($A22="","",IF($C22=0,"No soil increments for this plot — it contributes nothing. ","")&amp;IF(AND(ISNUMBER($F22),$F22&lt;SOIL_REPORTING_DEPTH_CM),"Cored shallower than the reporting depth, so the reporting-depth figure is an UNDERESTIMATE for this plot. ","")&amp;IF(AND(ISNUMBER($G22),$G22&gt;0,ISNUMBER($F22)),"Root total reaches only "&amp;$F22&amp;" cm — the bottom of the core, not the bottom of the roots. Report it as a MINIMUM. ","")&amp;IF(AND(ISNUMBER($G22),$G22&gt;0,ROOT_SOIL_REPORTING_BOUNDARY="Not agreed with the lab"),"Root carbon is being added to a soil stock whose root content was never agreed with the lab. The overlap is unknown, not zero — settle ROOT_SOIL_REPORTING_BOUNDARY before reporting a combined figure. ","")&amp;IF(AND(ISNUMBER($G22),$G22&gt;0,ROOT_SOIL_REPORTING_BOUNDARY="Operational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2" s="9" t="str">
        <f aca="false">IF(ISNUMBER($D22),$D22,"")</f>
        <v/>
      </c>
      <c r="M22" s="9" t="str">
        <f aca="false">IF(ISNUMBER($G22),$G22,"")</f>
        <v/>
      </c>
      <c r="N22" s="9" t="n">
        <f aca="false">IF(AND(ISNUMBER($D22),$A22&lt;&gt;""),1,0)</f>
        <v>0</v>
      </c>
      <c r="O22" s="9" t="str">
        <f aca="false">IF($A22="","",SUMIFS('2. Soil Data'!$U$5:$U$604,'2. Soil Data'!$A$5:$A$604,$A22))</f>
        <v/>
      </c>
      <c r="P22" s="9" t="str">
        <f aca="false">IF($A22="","",SUMIFS('3. Root Biomass'!$Q$5:$Q$904,'3. Root Biomass'!$A$5:$A$904,$A22))</f>
        <v/>
      </c>
      <c r="Q22" s="9" t="str">
        <f aca="false">IF(ISNUMBER($D22),$D22^2,"")</f>
        <v/>
      </c>
      <c r="R22" s="9" t="str">
        <f aca="false">IF(ISNUMBER($G22),$G22^2,"")</f>
        <v/>
      </c>
      <c r="S22" s="9" t="str">
        <f aca="false">IF($A22="","",IF(ISNUMBER($D22),$D22,0)+IF(ISNUMBER($G22),$G22,0))</f>
        <v/>
      </c>
      <c r="T22" s="9" t="str">
        <f aca="false">IF(ISNUMBER($S22),$S22^2,"")</f>
        <v/>
      </c>
    </row>
    <row r="23" customFormat="false" ht="15" hidden="false" customHeight="false" outlineLevel="0" collapsed="false">
      <c r="A23" s="10" t="str">
        <f aca="false">IF(INDEX('1. Plot &amp; Site Log'!$A$5:$A$64,19)="","",INDEX('1. Plot &amp; Site Log'!$A$5:$A$64,19))</f>
        <v/>
      </c>
      <c r="B23" s="10" t="str">
        <f aca="false">IF($A23="","",INDEX('1. Plot &amp; Site Log'!$B$5:$B$64,MATCH($A23,'1. Plot &amp; Site Log'!$A$5:$A$64,0)))</f>
        <v/>
      </c>
      <c r="C23" s="10" t="str">
        <f aca="false">IF($A23="","",COUNTIFS('2. Soil Data'!$A$5:$A$604,$A23))</f>
        <v/>
      </c>
      <c r="D23" s="10" t="str">
        <f aca="false">IF(OR($A23="",$C23=0,$O23=0),"",SUMIFS('2. Soil Data'!$R$5:$R$604,'2. Soil Data'!$A$5:$A$604,$A23)/$O23)</f>
        <v/>
      </c>
      <c r="E23" s="10" t="str">
        <f aca="false">IF(OR($A23="",$C23=0,$O23=0),"",SUMIFS('2. Soil Data'!$P$5:$P$604,'2. Soil Data'!$A$5:$A$604,$A23)/$O23)</f>
        <v/>
      </c>
      <c r="F23" s="10" t="str">
        <f aca="false">IF($A23="","",SUMPRODUCT(MAX(('2. Soil Data'!$A$5:$A$604=$A23)*IF(ISNUMBER('2. Soil Data'!$E$5:$E$604),'2. Soil Data'!$E$5:$E$604,0))))</f>
        <v/>
      </c>
      <c r="G23" s="10" t="str">
        <f aca="false">IF(OR($A23="",$P23=0),"",SUMIFS('3. Root Biomass'!$N$5:$N$904,'3. Root Biomass'!$A$5:$A$904,$A23)/$P23)</f>
        <v/>
      </c>
      <c r="H23" s="10" t="str">
        <f aca="false">IF($A23="","",IFERROR(SUMIFS('4. Vegetation Data'!$O$5:$O$64,'4. Vegetation Data'!$A$5:$A$64,$A23),""))</f>
        <v/>
      </c>
      <c r="I23" s="10" t="str">
        <f aca="false">IF($A23="","",IF(ISNUMBER($D23),$D23,0)+IF(ISNUMBER($G23),$G23,0)+IF(ISNUMBER($H23),$H23,0))</f>
        <v/>
      </c>
      <c r="J23" s="10" t="str">
        <f aca="false">IF($A23="","",IF(ISNUMBER($E23),$E23,0)+IF(ISNUMBER($G23),$G23,0)+IF(ISNUMBER($H23),$H23,0))</f>
        <v/>
      </c>
      <c r="K23" s="11" t="str">
        <f aca="false">IF($A23="","",IF($C23=0,"No soil increments for this plot — it contributes nothing. ","")&amp;IF(AND(ISNUMBER($F23),$F23&lt;SOIL_REPORTING_DEPTH_CM),"Cored shallower than the reporting depth, so the reporting-depth figure is an UNDERESTIMATE for this plot. ","")&amp;IF(AND(ISNUMBER($G23),$G23&gt;0,ISNUMBER($F23)),"Root total reaches only "&amp;$F23&amp;" cm — the bottom of the core, not the bottom of the roots. Report it as a MINIMUM. ","")&amp;IF(AND(ISNUMBER($G23),$G23&gt;0,ROOT_SOIL_REPORTING_BOUNDARY="Not agreed with the lab"),"Root carbon is being added to a soil stock whose root content was never agreed with the lab. The overlap is unknown, not zero — settle ROOT_SOIL_REPORTING_BOUNDARY before reporting a combined figure. ","")&amp;IF(AND(ISNUMBER($G23),$G23&gt;0,ROOT_SOIL_REPORTING_BOUNDARY="Operational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3" s="9" t="str">
        <f aca="false">IF(ISNUMBER($D23),$D23,"")</f>
        <v/>
      </c>
      <c r="M23" s="9" t="str">
        <f aca="false">IF(ISNUMBER($G23),$G23,"")</f>
        <v/>
      </c>
      <c r="N23" s="9" t="n">
        <f aca="false">IF(AND(ISNUMBER($D23),$A23&lt;&gt;""),1,0)</f>
        <v>0</v>
      </c>
      <c r="O23" s="9" t="str">
        <f aca="false">IF($A23="","",SUMIFS('2. Soil Data'!$U$5:$U$604,'2. Soil Data'!$A$5:$A$604,$A23))</f>
        <v/>
      </c>
      <c r="P23" s="9" t="str">
        <f aca="false">IF($A23="","",SUMIFS('3. Root Biomass'!$Q$5:$Q$904,'3. Root Biomass'!$A$5:$A$904,$A23))</f>
        <v/>
      </c>
      <c r="Q23" s="9" t="str">
        <f aca="false">IF(ISNUMBER($D23),$D23^2,"")</f>
        <v/>
      </c>
      <c r="R23" s="9" t="str">
        <f aca="false">IF(ISNUMBER($G23),$G23^2,"")</f>
        <v/>
      </c>
      <c r="S23" s="9" t="str">
        <f aca="false">IF($A23="","",IF(ISNUMBER($D23),$D23,0)+IF(ISNUMBER($G23),$G23,0))</f>
        <v/>
      </c>
      <c r="T23" s="9" t="str">
        <f aca="false">IF(ISNUMBER($S23),$S23^2,"")</f>
        <v/>
      </c>
    </row>
    <row r="24" customFormat="false" ht="15" hidden="false" customHeight="false" outlineLevel="0" collapsed="false">
      <c r="A24" s="10" t="str">
        <f aca="false">IF(INDEX('1. Plot &amp; Site Log'!$A$5:$A$64,20)="","",INDEX('1. Plot &amp; Site Log'!$A$5:$A$64,20))</f>
        <v/>
      </c>
      <c r="B24" s="10" t="str">
        <f aca="false">IF($A24="","",INDEX('1. Plot &amp; Site Log'!$B$5:$B$64,MATCH($A24,'1. Plot &amp; Site Log'!$A$5:$A$64,0)))</f>
        <v/>
      </c>
      <c r="C24" s="10" t="str">
        <f aca="false">IF($A24="","",COUNTIFS('2. Soil Data'!$A$5:$A$604,$A24))</f>
        <v/>
      </c>
      <c r="D24" s="10" t="str">
        <f aca="false">IF(OR($A24="",$C24=0,$O24=0),"",SUMIFS('2. Soil Data'!$R$5:$R$604,'2. Soil Data'!$A$5:$A$604,$A24)/$O24)</f>
        <v/>
      </c>
      <c r="E24" s="10" t="str">
        <f aca="false">IF(OR($A24="",$C24=0,$O24=0),"",SUMIFS('2. Soil Data'!$P$5:$P$604,'2. Soil Data'!$A$5:$A$604,$A24)/$O24)</f>
        <v/>
      </c>
      <c r="F24" s="10" t="str">
        <f aca="false">IF($A24="","",SUMPRODUCT(MAX(('2. Soil Data'!$A$5:$A$604=$A24)*IF(ISNUMBER('2. Soil Data'!$E$5:$E$604),'2. Soil Data'!$E$5:$E$604,0))))</f>
        <v/>
      </c>
      <c r="G24" s="10" t="str">
        <f aca="false">IF(OR($A24="",$P24=0),"",SUMIFS('3. Root Biomass'!$N$5:$N$904,'3. Root Biomass'!$A$5:$A$904,$A24)/$P24)</f>
        <v/>
      </c>
      <c r="H24" s="10" t="str">
        <f aca="false">IF($A24="","",IFERROR(SUMIFS('4. Vegetation Data'!$O$5:$O$64,'4. Vegetation Data'!$A$5:$A$64,$A24),""))</f>
        <v/>
      </c>
      <c r="I24" s="10" t="str">
        <f aca="false">IF($A24="","",IF(ISNUMBER($D24),$D24,0)+IF(ISNUMBER($G24),$G24,0)+IF(ISNUMBER($H24),$H24,0))</f>
        <v/>
      </c>
      <c r="J24" s="10" t="str">
        <f aca="false">IF($A24="","",IF(ISNUMBER($E24),$E24,0)+IF(ISNUMBER($G24),$G24,0)+IF(ISNUMBER($H24),$H24,0))</f>
        <v/>
      </c>
      <c r="K24" s="11" t="str">
        <f aca="false">IF($A24="","",IF($C24=0,"No soil increments for this plot — it contributes nothing. ","")&amp;IF(AND(ISNUMBER($F24),$F24&lt;SOIL_REPORTING_DEPTH_CM),"Cored shallower than the reporting depth, so the reporting-depth figure is an UNDERESTIMATE for this plot. ","")&amp;IF(AND(ISNUMBER($G24),$G24&gt;0,ISNUMBER($F24)),"Root total reaches only "&amp;$F24&amp;" cm — the bottom of the core, not the bottom of the roots. Report it as a MINIMUM. ","")&amp;IF(AND(ISNUMBER($G24),$G24&gt;0,ROOT_SOIL_REPORTING_BOUNDARY="Not agreed with the lab"),"Root carbon is being added to a soil stock whose root content was never agreed with the lab. The overlap is unknown, not zero — settle ROOT_SOIL_REPORTING_BOUNDARY before reporting a combined figure. ","")&amp;IF(AND(ISNUMBER($G24),$G24&gt;0,ROOT_SOIL_REPORTING_BOUNDARY="Operational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4" s="9" t="str">
        <f aca="false">IF(ISNUMBER($D24),$D24,"")</f>
        <v/>
      </c>
      <c r="M24" s="9" t="str">
        <f aca="false">IF(ISNUMBER($G24),$G24,"")</f>
        <v/>
      </c>
      <c r="N24" s="9" t="n">
        <f aca="false">IF(AND(ISNUMBER($D24),$A24&lt;&gt;""),1,0)</f>
        <v>0</v>
      </c>
      <c r="O24" s="9" t="str">
        <f aca="false">IF($A24="","",SUMIFS('2. Soil Data'!$U$5:$U$604,'2. Soil Data'!$A$5:$A$604,$A24))</f>
        <v/>
      </c>
      <c r="P24" s="9" t="str">
        <f aca="false">IF($A24="","",SUMIFS('3. Root Biomass'!$Q$5:$Q$904,'3. Root Biomass'!$A$5:$A$904,$A24))</f>
        <v/>
      </c>
      <c r="Q24" s="9" t="str">
        <f aca="false">IF(ISNUMBER($D24),$D24^2,"")</f>
        <v/>
      </c>
      <c r="R24" s="9" t="str">
        <f aca="false">IF(ISNUMBER($G24),$G24^2,"")</f>
        <v/>
      </c>
      <c r="S24" s="9" t="str">
        <f aca="false">IF($A24="","",IF(ISNUMBER($D24),$D24,0)+IF(ISNUMBER($G24),$G24,0))</f>
        <v/>
      </c>
      <c r="T24" s="9" t="str">
        <f aca="false">IF(ISNUMBER($S24),$S24^2,"")</f>
        <v/>
      </c>
    </row>
    <row r="25" customFormat="false" ht="15" hidden="false" customHeight="false" outlineLevel="0" collapsed="false">
      <c r="A25" s="10" t="str">
        <f aca="false">IF(INDEX('1. Plot &amp; Site Log'!$A$5:$A$64,21)="","",INDEX('1. Plot &amp; Site Log'!$A$5:$A$64,21))</f>
        <v/>
      </c>
      <c r="B25" s="10" t="str">
        <f aca="false">IF($A25="","",INDEX('1. Plot &amp; Site Log'!$B$5:$B$64,MATCH($A25,'1. Plot &amp; Site Log'!$A$5:$A$64,0)))</f>
        <v/>
      </c>
      <c r="C25" s="10" t="str">
        <f aca="false">IF($A25="","",COUNTIFS('2. Soil Data'!$A$5:$A$604,$A25))</f>
        <v/>
      </c>
      <c r="D25" s="10" t="str">
        <f aca="false">IF(OR($A25="",$C25=0,$O25=0),"",SUMIFS('2. Soil Data'!$R$5:$R$604,'2. Soil Data'!$A$5:$A$604,$A25)/$O25)</f>
        <v/>
      </c>
      <c r="E25" s="10" t="str">
        <f aca="false">IF(OR($A25="",$C25=0,$O25=0),"",SUMIFS('2. Soil Data'!$P$5:$P$604,'2. Soil Data'!$A$5:$A$604,$A25)/$O25)</f>
        <v/>
      </c>
      <c r="F25" s="10" t="str">
        <f aca="false">IF($A25="","",SUMPRODUCT(MAX(('2. Soil Data'!$A$5:$A$604=$A25)*IF(ISNUMBER('2. Soil Data'!$E$5:$E$604),'2. Soil Data'!$E$5:$E$604,0))))</f>
        <v/>
      </c>
      <c r="G25" s="10" t="str">
        <f aca="false">IF(OR($A25="",$P25=0),"",SUMIFS('3. Root Biomass'!$N$5:$N$904,'3. Root Biomass'!$A$5:$A$904,$A25)/$P25)</f>
        <v/>
      </c>
      <c r="H25" s="10" t="str">
        <f aca="false">IF($A25="","",IFERROR(SUMIFS('4. Vegetation Data'!$O$5:$O$64,'4. Vegetation Data'!$A$5:$A$64,$A25),""))</f>
        <v/>
      </c>
      <c r="I25" s="10" t="str">
        <f aca="false">IF($A25="","",IF(ISNUMBER($D25),$D25,0)+IF(ISNUMBER($G25),$G25,0)+IF(ISNUMBER($H25),$H25,0))</f>
        <v/>
      </c>
      <c r="J25" s="10" t="str">
        <f aca="false">IF($A25="","",IF(ISNUMBER($E25),$E25,0)+IF(ISNUMBER($G25),$G25,0)+IF(ISNUMBER($H25),$H25,0))</f>
        <v/>
      </c>
      <c r="K25" s="11" t="str">
        <f aca="false">IF($A25="","",IF($C25=0,"No soil increments for this plot — it contributes nothing. ","")&amp;IF(AND(ISNUMBER($F25),$F25&lt;SOIL_REPORTING_DEPTH_CM),"Cored shallower than the reporting depth, so the reporting-depth figure is an UNDERESTIMATE for this plot. ","")&amp;IF(AND(ISNUMBER($G25),$G25&gt;0,ISNUMBER($F25)),"Root total reaches only "&amp;$F25&amp;" cm — the bottom of the core, not the bottom of the roots. Report it as a MINIMUM. ","")&amp;IF(AND(ISNUMBER($G25),$G25&gt;0,ROOT_SOIL_REPORTING_BOUNDARY="Not agreed with the lab"),"Root carbon is being added to a soil stock whose root content was never agreed with the lab. The overlap is unknown, not zero — settle ROOT_SOIL_REPORTING_BOUNDARY before reporting a combined figure. ","")&amp;IF(AND(ISNUMBER($G25),$G25&gt;0,ROOT_SOIL_REPORTING_BOUNDARY="Operational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5" s="9" t="str">
        <f aca="false">IF(ISNUMBER($D25),$D25,"")</f>
        <v/>
      </c>
      <c r="M25" s="9" t="str">
        <f aca="false">IF(ISNUMBER($G25),$G25,"")</f>
        <v/>
      </c>
      <c r="N25" s="9" t="n">
        <f aca="false">IF(AND(ISNUMBER($D25),$A25&lt;&gt;""),1,0)</f>
        <v>0</v>
      </c>
      <c r="O25" s="9" t="str">
        <f aca="false">IF($A25="","",SUMIFS('2. Soil Data'!$U$5:$U$604,'2. Soil Data'!$A$5:$A$604,$A25))</f>
        <v/>
      </c>
      <c r="P25" s="9" t="str">
        <f aca="false">IF($A25="","",SUMIFS('3. Root Biomass'!$Q$5:$Q$904,'3. Root Biomass'!$A$5:$A$904,$A25))</f>
        <v/>
      </c>
      <c r="Q25" s="9" t="str">
        <f aca="false">IF(ISNUMBER($D25),$D25^2,"")</f>
        <v/>
      </c>
      <c r="R25" s="9" t="str">
        <f aca="false">IF(ISNUMBER($G25),$G25^2,"")</f>
        <v/>
      </c>
      <c r="S25" s="9" t="str">
        <f aca="false">IF($A25="","",IF(ISNUMBER($D25),$D25,0)+IF(ISNUMBER($G25),$G25,0))</f>
        <v/>
      </c>
      <c r="T25" s="9" t="str">
        <f aca="false">IF(ISNUMBER($S25),$S25^2,"")</f>
        <v/>
      </c>
    </row>
    <row r="26" customFormat="false" ht="15" hidden="false" customHeight="false" outlineLevel="0" collapsed="false">
      <c r="A26" s="10" t="str">
        <f aca="false">IF(INDEX('1. Plot &amp; Site Log'!$A$5:$A$64,22)="","",INDEX('1. Plot &amp; Site Log'!$A$5:$A$64,22))</f>
        <v/>
      </c>
      <c r="B26" s="10" t="str">
        <f aca="false">IF($A26="","",INDEX('1. Plot &amp; Site Log'!$B$5:$B$64,MATCH($A26,'1. Plot &amp; Site Log'!$A$5:$A$64,0)))</f>
        <v/>
      </c>
      <c r="C26" s="10" t="str">
        <f aca="false">IF($A26="","",COUNTIFS('2. Soil Data'!$A$5:$A$604,$A26))</f>
        <v/>
      </c>
      <c r="D26" s="10" t="str">
        <f aca="false">IF(OR($A26="",$C26=0,$O26=0),"",SUMIFS('2. Soil Data'!$R$5:$R$604,'2. Soil Data'!$A$5:$A$604,$A26)/$O26)</f>
        <v/>
      </c>
      <c r="E26" s="10" t="str">
        <f aca="false">IF(OR($A26="",$C26=0,$O26=0),"",SUMIFS('2. Soil Data'!$P$5:$P$604,'2. Soil Data'!$A$5:$A$604,$A26)/$O26)</f>
        <v/>
      </c>
      <c r="F26" s="10" t="str">
        <f aca="false">IF($A26="","",SUMPRODUCT(MAX(('2. Soil Data'!$A$5:$A$604=$A26)*IF(ISNUMBER('2. Soil Data'!$E$5:$E$604),'2. Soil Data'!$E$5:$E$604,0))))</f>
        <v/>
      </c>
      <c r="G26" s="10" t="str">
        <f aca="false">IF(OR($A26="",$P26=0),"",SUMIFS('3. Root Biomass'!$N$5:$N$904,'3. Root Biomass'!$A$5:$A$904,$A26)/$P26)</f>
        <v/>
      </c>
      <c r="H26" s="10" t="str">
        <f aca="false">IF($A26="","",IFERROR(SUMIFS('4. Vegetation Data'!$O$5:$O$64,'4. Vegetation Data'!$A$5:$A$64,$A26),""))</f>
        <v/>
      </c>
      <c r="I26" s="10" t="str">
        <f aca="false">IF($A26="","",IF(ISNUMBER($D26),$D26,0)+IF(ISNUMBER($G26),$G26,0)+IF(ISNUMBER($H26),$H26,0))</f>
        <v/>
      </c>
      <c r="J26" s="10" t="str">
        <f aca="false">IF($A26="","",IF(ISNUMBER($E26),$E26,0)+IF(ISNUMBER($G26),$G26,0)+IF(ISNUMBER($H26),$H26,0))</f>
        <v/>
      </c>
      <c r="K26" s="11" t="str">
        <f aca="false">IF($A26="","",IF($C26=0,"No soil increments for this plot — it contributes nothing. ","")&amp;IF(AND(ISNUMBER($F26),$F26&lt;SOIL_REPORTING_DEPTH_CM),"Cored shallower than the reporting depth, so the reporting-depth figure is an UNDERESTIMATE for this plot. ","")&amp;IF(AND(ISNUMBER($G26),$G26&gt;0,ISNUMBER($F26)),"Root total reaches only "&amp;$F26&amp;" cm — the bottom of the core, not the bottom of the roots. Report it as a MINIMUM. ","")&amp;IF(AND(ISNUMBER($G26),$G26&gt;0,ROOT_SOIL_REPORTING_BOUNDARY="Not agreed with the lab"),"Root carbon is being added to a soil stock whose root content was never agreed with the lab. The overlap is unknown, not zero — settle ROOT_SOIL_REPORTING_BOUNDARY before reporting a combined figure. ","")&amp;IF(AND(ISNUMBER($G26),$G26&gt;0,ROOT_SOIL_REPORTING_BOUNDARY="Operational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6" s="9" t="str">
        <f aca="false">IF(ISNUMBER($D26),$D26,"")</f>
        <v/>
      </c>
      <c r="M26" s="9" t="str">
        <f aca="false">IF(ISNUMBER($G26),$G26,"")</f>
        <v/>
      </c>
      <c r="N26" s="9" t="n">
        <f aca="false">IF(AND(ISNUMBER($D26),$A26&lt;&gt;""),1,0)</f>
        <v>0</v>
      </c>
      <c r="O26" s="9" t="str">
        <f aca="false">IF($A26="","",SUMIFS('2. Soil Data'!$U$5:$U$604,'2. Soil Data'!$A$5:$A$604,$A26))</f>
        <v/>
      </c>
      <c r="P26" s="9" t="str">
        <f aca="false">IF($A26="","",SUMIFS('3. Root Biomass'!$Q$5:$Q$904,'3. Root Biomass'!$A$5:$A$904,$A26))</f>
        <v/>
      </c>
      <c r="Q26" s="9" t="str">
        <f aca="false">IF(ISNUMBER($D26),$D26^2,"")</f>
        <v/>
      </c>
      <c r="R26" s="9" t="str">
        <f aca="false">IF(ISNUMBER($G26),$G26^2,"")</f>
        <v/>
      </c>
      <c r="S26" s="9" t="str">
        <f aca="false">IF($A26="","",IF(ISNUMBER($D26),$D26,0)+IF(ISNUMBER($G26),$G26,0))</f>
        <v/>
      </c>
      <c r="T26" s="9" t="str">
        <f aca="false">IF(ISNUMBER($S26),$S26^2,"")</f>
        <v/>
      </c>
    </row>
    <row r="27" customFormat="false" ht="15" hidden="false" customHeight="false" outlineLevel="0" collapsed="false">
      <c r="A27" s="10" t="str">
        <f aca="false">IF(INDEX('1. Plot &amp; Site Log'!$A$5:$A$64,23)="","",INDEX('1. Plot &amp; Site Log'!$A$5:$A$64,23))</f>
        <v/>
      </c>
      <c r="B27" s="10" t="str">
        <f aca="false">IF($A27="","",INDEX('1. Plot &amp; Site Log'!$B$5:$B$64,MATCH($A27,'1. Plot &amp; Site Log'!$A$5:$A$64,0)))</f>
        <v/>
      </c>
      <c r="C27" s="10" t="str">
        <f aca="false">IF($A27="","",COUNTIFS('2. Soil Data'!$A$5:$A$604,$A27))</f>
        <v/>
      </c>
      <c r="D27" s="10" t="str">
        <f aca="false">IF(OR($A27="",$C27=0,$O27=0),"",SUMIFS('2. Soil Data'!$R$5:$R$604,'2. Soil Data'!$A$5:$A$604,$A27)/$O27)</f>
        <v/>
      </c>
      <c r="E27" s="10" t="str">
        <f aca="false">IF(OR($A27="",$C27=0,$O27=0),"",SUMIFS('2. Soil Data'!$P$5:$P$604,'2. Soil Data'!$A$5:$A$604,$A27)/$O27)</f>
        <v/>
      </c>
      <c r="F27" s="10" t="str">
        <f aca="false">IF($A27="","",SUMPRODUCT(MAX(('2. Soil Data'!$A$5:$A$604=$A27)*IF(ISNUMBER('2. Soil Data'!$E$5:$E$604),'2. Soil Data'!$E$5:$E$604,0))))</f>
        <v/>
      </c>
      <c r="G27" s="10" t="str">
        <f aca="false">IF(OR($A27="",$P27=0),"",SUMIFS('3. Root Biomass'!$N$5:$N$904,'3. Root Biomass'!$A$5:$A$904,$A27)/$P27)</f>
        <v/>
      </c>
      <c r="H27" s="10" t="str">
        <f aca="false">IF($A27="","",IFERROR(SUMIFS('4. Vegetation Data'!$O$5:$O$64,'4. Vegetation Data'!$A$5:$A$64,$A27),""))</f>
        <v/>
      </c>
      <c r="I27" s="10" t="str">
        <f aca="false">IF($A27="","",IF(ISNUMBER($D27),$D27,0)+IF(ISNUMBER($G27),$G27,0)+IF(ISNUMBER($H27),$H27,0))</f>
        <v/>
      </c>
      <c r="J27" s="10" t="str">
        <f aca="false">IF($A27="","",IF(ISNUMBER($E27),$E27,0)+IF(ISNUMBER($G27),$G27,0)+IF(ISNUMBER($H27),$H27,0))</f>
        <v/>
      </c>
      <c r="K27" s="11" t="str">
        <f aca="false">IF($A27="","",IF($C27=0,"No soil increments for this plot — it contributes nothing. ","")&amp;IF(AND(ISNUMBER($F27),$F27&lt;SOIL_REPORTING_DEPTH_CM),"Cored shallower than the reporting depth, so the reporting-depth figure is an UNDERESTIMATE for this plot. ","")&amp;IF(AND(ISNUMBER($G27),$G27&gt;0,ISNUMBER($F27)),"Root total reaches only "&amp;$F27&amp;" cm — the bottom of the core, not the bottom of the roots. Report it as a MINIMUM. ","")&amp;IF(AND(ISNUMBER($G27),$G27&gt;0,ROOT_SOIL_REPORTING_BOUNDARY="Not agreed with the lab"),"Root carbon is being added to a soil stock whose root content was never agreed with the lab. The overlap is unknown, not zero — settle ROOT_SOIL_REPORTING_BOUNDARY before reporting a combined figure. ","")&amp;IF(AND(ISNUMBER($G27),$G27&gt;0,ROOT_SOIL_REPORTING_BOUNDARY="Operational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7" s="9" t="str">
        <f aca="false">IF(ISNUMBER($D27),$D27,"")</f>
        <v/>
      </c>
      <c r="M27" s="9" t="str">
        <f aca="false">IF(ISNUMBER($G27),$G27,"")</f>
        <v/>
      </c>
      <c r="N27" s="9" t="n">
        <f aca="false">IF(AND(ISNUMBER($D27),$A27&lt;&gt;""),1,0)</f>
        <v>0</v>
      </c>
      <c r="O27" s="9" t="str">
        <f aca="false">IF($A27="","",SUMIFS('2. Soil Data'!$U$5:$U$604,'2. Soil Data'!$A$5:$A$604,$A27))</f>
        <v/>
      </c>
      <c r="P27" s="9" t="str">
        <f aca="false">IF($A27="","",SUMIFS('3. Root Biomass'!$Q$5:$Q$904,'3. Root Biomass'!$A$5:$A$904,$A27))</f>
        <v/>
      </c>
      <c r="Q27" s="9" t="str">
        <f aca="false">IF(ISNUMBER($D27),$D27^2,"")</f>
        <v/>
      </c>
      <c r="R27" s="9" t="str">
        <f aca="false">IF(ISNUMBER($G27),$G27^2,"")</f>
        <v/>
      </c>
      <c r="S27" s="9" t="str">
        <f aca="false">IF($A27="","",IF(ISNUMBER($D27),$D27,0)+IF(ISNUMBER($G27),$G27,0))</f>
        <v/>
      </c>
      <c r="T27" s="9" t="str">
        <f aca="false">IF(ISNUMBER($S27),$S27^2,"")</f>
        <v/>
      </c>
    </row>
    <row r="28" customFormat="false" ht="15" hidden="false" customHeight="false" outlineLevel="0" collapsed="false">
      <c r="A28" s="10" t="str">
        <f aca="false">IF(INDEX('1. Plot &amp; Site Log'!$A$5:$A$64,24)="","",INDEX('1. Plot &amp; Site Log'!$A$5:$A$64,24))</f>
        <v/>
      </c>
      <c r="B28" s="10" t="str">
        <f aca="false">IF($A28="","",INDEX('1. Plot &amp; Site Log'!$B$5:$B$64,MATCH($A28,'1. Plot &amp; Site Log'!$A$5:$A$64,0)))</f>
        <v/>
      </c>
      <c r="C28" s="10" t="str">
        <f aca="false">IF($A28="","",COUNTIFS('2. Soil Data'!$A$5:$A$604,$A28))</f>
        <v/>
      </c>
      <c r="D28" s="10" t="str">
        <f aca="false">IF(OR($A28="",$C28=0,$O28=0),"",SUMIFS('2. Soil Data'!$R$5:$R$604,'2. Soil Data'!$A$5:$A$604,$A28)/$O28)</f>
        <v/>
      </c>
      <c r="E28" s="10" t="str">
        <f aca="false">IF(OR($A28="",$C28=0,$O28=0),"",SUMIFS('2. Soil Data'!$P$5:$P$604,'2. Soil Data'!$A$5:$A$604,$A28)/$O28)</f>
        <v/>
      </c>
      <c r="F28" s="10" t="str">
        <f aca="false">IF($A28="","",SUMPRODUCT(MAX(('2. Soil Data'!$A$5:$A$604=$A28)*IF(ISNUMBER('2. Soil Data'!$E$5:$E$604),'2. Soil Data'!$E$5:$E$604,0))))</f>
        <v/>
      </c>
      <c r="G28" s="10" t="str">
        <f aca="false">IF(OR($A28="",$P28=0),"",SUMIFS('3. Root Biomass'!$N$5:$N$904,'3. Root Biomass'!$A$5:$A$904,$A28)/$P28)</f>
        <v/>
      </c>
      <c r="H28" s="10" t="str">
        <f aca="false">IF($A28="","",IFERROR(SUMIFS('4. Vegetation Data'!$O$5:$O$64,'4. Vegetation Data'!$A$5:$A$64,$A28),""))</f>
        <v/>
      </c>
      <c r="I28" s="10" t="str">
        <f aca="false">IF($A28="","",IF(ISNUMBER($D28),$D28,0)+IF(ISNUMBER($G28),$G28,0)+IF(ISNUMBER($H28),$H28,0))</f>
        <v/>
      </c>
      <c r="J28" s="10" t="str">
        <f aca="false">IF($A28="","",IF(ISNUMBER($E28),$E28,0)+IF(ISNUMBER($G28),$G28,0)+IF(ISNUMBER($H28),$H28,0))</f>
        <v/>
      </c>
      <c r="K28" s="11" t="str">
        <f aca="false">IF($A28="","",IF($C28=0,"No soil increments for this plot — it contributes nothing. ","")&amp;IF(AND(ISNUMBER($F28),$F28&lt;SOIL_REPORTING_DEPTH_CM),"Cored shallower than the reporting depth, so the reporting-depth figure is an UNDERESTIMATE for this plot. ","")&amp;IF(AND(ISNUMBER($G28),$G28&gt;0,ISNUMBER($F28)),"Root total reaches only "&amp;$F28&amp;" cm — the bottom of the core, not the bottom of the roots. Report it as a MINIMUM. ","")&amp;IF(AND(ISNUMBER($G28),$G28&gt;0,ROOT_SOIL_REPORTING_BOUNDARY="Not agreed with the lab"),"Root carbon is being added to a soil stock whose root content was never agreed with the lab. The overlap is unknown, not zero — settle ROOT_SOIL_REPORTING_BOUNDARY before reporting a combined figure. ","")&amp;IF(AND(ISNUMBER($G28),$G28&gt;0,ROOT_SOIL_REPORTING_BOUNDARY="Operational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8" s="9" t="str">
        <f aca="false">IF(ISNUMBER($D28),$D28,"")</f>
        <v/>
      </c>
      <c r="M28" s="9" t="str">
        <f aca="false">IF(ISNUMBER($G28),$G28,"")</f>
        <v/>
      </c>
      <c r="N28" s="9" t="n">
        <f aca="false">IF(AND(ISNUMBER($D28),$A28&lt;&gt;""),1,0)</f>
        <v>0</v>
      </c>
      <c r="O28" s="9" t="str">
        <f aca="false">IF($A28="","",SUMIFS('2. Soil Data'!$U$5:$U$604,'2. Soil Data'!$A$5:$A$604,$A28))</f>
        <v/>
      </c>
      <c r="P28" s="9" t="str">
        <f aca="false">IF($A28="","",SUMIFS('3. Root Biomass'!$Q$5:$Q$904,'3. Root Biomass'!$A$5:$A$904,$A28))</f>
        <v/>
      </c>
      <c r="Q28" s="9" t="str">
        <f aca="false">IF(ISNUMBER($D28),$D28^2,"")</f>
        <v/>
      </c>
      <c r="R28" s="9" t="str">
        <f aca="false">IF(ISNUMBER($G28),$G28^2,"")</f>
        <v/>
      </c>
      <c r="S28" s="9" t="str">
        <f aca="false">IF($A28="","",IF(ISNUMBER($D28),$D28,0)+IF(ISNUMBER($G28),$G28,0))</f>
        <v/>
      </c>
      <c r="T28" s="9" t="str">
        <f aca="false">IF(ISNUMBER($S28),$S28^2,"")</f>
        <v/>
      </c>
    </row>
    <row r="29" customFormat="false" ht="15" hidden="false" customHeight="false" outlineLevel="0" collapsed="false">
      <c r="A29" s="10" t="str">
        <f aca="false">IF(INDEX('1. Plot &amp; Site Log'!$A$5:$A$64,25)="","",INDEX('1. Plot &amp; Site Log'!$A$5:$A$64,25))</f>
        <v/>
      </c>
      <c r="B29" s="10" t="str">
        <f aca="false">IF($A29="","",INDEX('1. Plot &amp; Site Log'!$B$5:$B$64,MATCH($A29,'1. Plot &amp; Site Log'!$A$5:$A$64,0)))</f>
        <v/>
      </c>
      <c r="C29" s="10" t="str">
        <f aca="false">IF($A29="","",COUNTIFS('2. Soil Data'!$A$5:$A$604,$A29))</f>
        <v/>
      </c>
      <c r="D29" s="10" t="str">
        <f aca="false">IF(OR($A29="",$C29=0,$O29=0),"",SUMIFS('2. Soil Data'!$R$5:$R$604,'2. Soil Data'!$A$5:$A$604,$A29)/$O29)</f>
        <v/>
      </c>
      <c r="E29" s="10" t="str">
        <f aca="false">IF(OR($A29="",$C29=0,$O29=0),"",SUMIFS('2. Soil Data'!$P$5:$P$604,'2. Soil Data'!$A$5:$A$604,$A29)/$O29)</f>
        <v/>
      </c>
      <c r="F29" s="10" t="str">
        <f aca="false">IF($A29="","",SUMPRODUCT(MAX(('2. Soil Data'!$A$5:$A$604=$A29)*IF(ISNUMBER('2. Soil Data'!$E$5:$E$604),'2. Soil Data'!$E$5:$E$604,0))))</f>
        <v/>
      </c>
      <c r="G29" s="10" t="str">
        <f aca="false">IF(OR($A29="",$P29=0),"",SUMIFS('3. Root Biomass'!$N$5:$N$904,'3. Root Biomass'!$A$5:$A$904,$A29)/$P29)</f>
        <v/>
      </c>
      <c r="H29" s="10" t="str">
        <f aca="false">IF($A29="","",IFERROR(SUMIFS('4. Vegetation Data'!$O$5:$O$64,'4. Vegetation Data'!$A$5:$A$64,$A29),""))</f>
        <v/>
      </c>
      <c r="I29" s="10" t="str">
        <f aca="false">IF($A29="","",IF(ISNUMBER($D29),$D29,0)+IF(ISNUMBER($G29),$G29,0)+IF(ISNUMBER($H29),$H29,0))</f>
        <v/>
      </c>
      <c r="J29" s="10" t="str">
        <f aca="false">IF($A29="","",IF(ISNUMBER($E29),$E29,0)+IF(ISNUMBER($G29),$G29,0)+IF(ISNUMBER($H29),$H29,0))</f>
        <v/>
      </c>
      <c r="K29" s="11" t="str">
        <f aca="false">IF($A29="","",IF($C29=0,"No soil increments for this plot — it contributes nothing. ","")&amp;IF(AND(ISNUMBER($F29),$F29&lt;SOIL_REPORTING_DEPTH_CM),"Cored shallower than the reporting depth, so the reporting-depth figure is an UNDERESTIMATE for this plot. ","")&amp;IF(AND(ISNUMBER($G29),$G29&gt;0,ISNUMBER($F29)),"Root total reaches only "&amp;$F29&amp;" cm — the bottom of the core, not the bottom of the roots. Report it as a MINIMUM. ","")&amp;IF(AND(ISNUMBER($G29),$G29&gt;0,ROOT_SOIL_REPORTING_BOUNDARY="Not agreed with the lab"),"Root carbon is being added to a soil stock whose root content was never agreed with the lab. The overlap is unknown, not zero — settle ROOT_SOIL_REPORTING_BOUNDARY before reporting a combined figure. ","")&amp;IF(AND(ISNUMBER($G29),$G29&gt;0,ROOT_SOIL_REPORTING_BOUNDARY="Operational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29" s="9" t="str">
        <f aca="false">IF(ISNUMBER($D29),$D29,"")</f>
        <v/>
      </c>
      <c r="M29" s="9" t="str">
        <f aca="false">IF(ISNUMBER($G29),$G29,"")</f>
        <v/>
      </c>
      <c r="N29" s="9" t="n">
        <f aca="false">IF(AND(ISNUMBER($D29),$A29&lt;&gt;""),1,0)</f>
        <v>0</v>
      </c>
      <c r="O29" s="9" t="str">
        <f aca="false">IF($A29="","",SUMIFS('2. Soil Data'!$U$5:$U$604,'2. Soil Data'!$A$5:$A$604,$A29))</f>
        <v/>
      </c>
      <c r="P29" s="9" t="str">
        <f aca="false">IF($A29="","",SUMIFS('3. Root Biomass'!$Q$5:$Q$904,'3. Root Biomass'!$A$5:$A$904,$A29))</f>
        <v/>
      </c>
      <c r="Q29" s="9" t="str">
        <f aca="false">IF(ISNUMBER($D29),$D29^2,"")</f>
        <v/>
      </c>
      <c r="R29" s="9" t="str">
        <f aca="false">IF(ISNUMBER($G29),$G29^2,"")</f>
        <v/>
      </c>
      <c r="S29" s="9" t="str">
        <f aca="false">IF($A29="","",IF(ISNUMBER($D29),$D29,0)+IF(ISNUMBER($G29),$G29,0))</f>
        <v/>
      </c>
      <c r="T29" s="9" t="str">
        <f aca="false">IF(ISNUMBER($S29),$S29^2,"")</f>
        <v/>
      </c>
    </row>
    <row r="30" customFormat="false" ht="15" hidden="false" customHeight="false" outlineLevel="0" collapsed="false">
      <c r="A30" s="10" t="str">
        <f aca="false">IF(INDEX('1. Plot &amp; Site Log'!$A$5:$A$64,26)="","",INDEX('1. Plot &amp; Site Log'!$A$5:$A$64,26))</f>
        <v/>
      </c>
      <c r="B30" s="10" t="str">
        <f aca="false">IF($A30="","",INDEX('1. Plot &amp; Site Log'!$B$5:$B$64,MATCH($A30,'1. Plot &amp; Site Log'!$A$5:$A$64,0)))</f>
        <v/>
      </c>
      <c r="C30" s="10" t="str">
        <f aca="false">IF($A30="","",COUNTIFS('2. Soil Data'!$A$5:$A$604,$A30))</f>
        <v/>
      </c>
      <c r="D30" s="10" t="str">
        <f aca="false">IF(OR($A30="",$C30=0,$O30=0),"",SUMIFS('2. Soil Data'!$R$5:$R$604,'2. Soil Data'!$A$5:$A$604,$A30)/$O30)</f>
        <v/>
      </c>
      <c r="E30" s="10" t="str">
        <f aca="false">IF(OR($A30="",$C30=0,$O30=0),"",SUMIFS('2. Soil Data'!$P$5:$P$604,'2. Soil Data'!$A$5:$A$604,$A30)/$O30)</f>
        <v/>
      </c>
      <c r="F30" s="10" t="str">
        <f aca="false">IF($A30="","",SUMPRODUCT(MAX(('2. Soil Data'!$A$5:$A$604=$A30)*IF(ISNUMBER('2. Soil Data'!$E$5:$E$604),'2. Soil Data'!$E$5:$E$604,0))))</f>
        <v/>
      </c>
      <c r="G30" s="10" t="str">
        <f aca="false">IF(OR($A30="",$P30=0),"",SUMIFS('3. Root Biomass'!$N$5:$N$904,'3. Root Biomass'!$A$5:$A$904,$A30)/$P30)</f>
        <v/>
      </c>
      <c r="H30" s="10" t="str">
        <f aca="false">IF($A30="","",IFERROR(SUMIFS('4. Vegetation Data'!$O$5:$O$64,'4. Vegetation Data'!$A$5:$A$64,$A30),""))</f>
        <v/>
      </c>
      <c r="I30" s="10" t="str">
        <f aca="false">IF($A30="","",IF(ISNUMBER($D30),$D30,0)+IF(ISNUMBER($G30),$G30,0)+IF(ISNUMBER($H30),$H30,0))</f>
        <v/>
      </c>
      <c r="J30" s="10" t="str">
        <f aca="false">IF($A30="","",IF(ISNUMBER($E30),$E30,0)+IF(ISNUMBER($G30),$G30,0)+IF(ISNUMBER($H30),$H30,0))</f>
        <v/>
      </c>
      <c r="K30" s="11" t="str">
        <f aca="false">IF($A30="","",IF($C30=0,"No soil increments for this plot — it contributes nothing. ","")&amp;IF(AND(ISNUMBER($F30),$F30&lt;SOIL_REPORTING_DEPTH_CM),"Cored shallower than the reporting depth, so the reporting-depth figure is an UNDERESTIMATE for this plot. ","")&amp;IF(AND(ISNUMBER($G30),$G30&gt;0,ISNUMBER($F30)),"Root total reaches only "&amp;$F30&amp;" cm — the bottom of the core, not the bottom of the roots. Report it as a MINIMUM. ","")&amp;IF(AND(ISNUMBER($G30),$G30&gt;0,ROOT_SOIL_REPORTING_BOUNDARY="Not agreed with the lab"),"Root carbon is being added to a soil stock whose root content was never agreed with the lab. The overlap is unknown, not zero — settle ROOT_SOIL_REPORTING_BOUNDARY before reporting a combined figure. ","")&amp;IF(AND(ISNUMBER($G30),$G30&gt;0,ROOT_SOIL_REPORTING_BOUNDARY="Operational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0" s="9" t="str">
        <f aca="false">IF(ISNUMBER($D30),$D30,"")</f>
        <v/>
      </c>
      <c r="M30" s="9" t="str">
        <f aca="false">IF(ISNUMBER($G30),$G30,"")</f>
        <v/>
      </c>
      <c r="N30" s="9" t="n">
        <f aca="false">IF(AND(ISNUMBER($D30),$A30&lt;&gt;""),1,0)</f>
        <v>0</v>
      </c>
      <c r="O30" s="9" t="str">
        <f aca="false">IF($A30="","",SUMIFS('2. Soil Data'!$U$5:$U$604,'2. Soil Data'!$A$5:$A$604,$A30))</f>
        <v/>
      </c>
      <c r="P30" s="9" t="str">
        <f aca="false">IF($A30="","",SUMIFS('3. Root Biomass'!$Q$5:$Q$904,'3. Root Biomass'!$A$5:$A$904,$A30))</f>
        <v/>
      </c>
      <c r="Q30" s="9" t="str">
        <f aca="false">IF(ISNUMBER($D30),$D30^2,"")</f>
        <v/>
      </c>
      <c r="R30" s="9" t="str">
        <f aca="false">IF(ISNUMBER($G30),$G30^2,"")</f>
        <v/>
      </c>
      <c r="S30" s="9" t="str">
        <f aca="false">IF($A30="","",IF(ISNUMBER($D30),$D30,0)+IF(ISNUMBER($G30),$G30,0))</f>
        <v/>
      </c>
      <c r="T30" s="9" t="str">
        <f aca="false">IF(ISNUMBER($S30),$S30^2,"")</f>
        <v/>
      </c>
    </row>
    <row r="31" customFormat="false" ht="15" hidden="false" customHeight="false" outlineLevel="0" collapsed="false">
      <c r="A31" s="10" t="str">
        <f aca="false">IF(INDEX('1. Plot &amp; Site Log'!$A$5:$A$64,27)="","",INDEX('1. Plot &amp; Site Log'!$A$5:$A$64,27))</f>
        <v/>
      </c>
      <c r="B31" s="10" t="str">
        <f aca="false">IF($A31="","",INDEX('1. Plot &amp; Site Log'!$B$5:$B$64,MATCH($A31,'1. Plot &amp; Site Log'!$A$5:$A$64,0)))</f>
        <v/>
      </c>
      <c r="C31" s="10" t="str">
        <f aca="false">IF($A31="","",COUNTIFS('2. Soil Data'!$A$5:$A$604,$A31))</f>
        <v/>
      </c>
      <c r="D31" s="10" t="str">
        <f aca="false">IF(OR($A31="",$C31=0,$O31=0),"",SUMIFS('2. Soil Data'!$R$5:$R$604,'2. Soil Data'!$A$5:$A$604,$A31)/$O31)</f>
        <v/>
      </c>
      <c r="E31" s="10" t="str">
        <f aca="false">IF(OR($A31="",$C31=0,$O31=0),"",SUMIFS('2. Soil Data'!$P$5:$P$604,'2. Soil Data'!$A$5:$A$604,$A31)/$O31)</f>
        <v/>
      </c>
      <c r="F31" s="10" t="str">
        <f aca="false">IF($A31="","",SUMPRODUCT(MAX(('2. Soil Data'!$A$5:$A$604=$A31)*IF(ISNUMBER('2. Soil Data'!$E$5:$E$604),'2. Soil Data'!$E$5:$E$604,0))))</f>
        <v/>
      </c>
      <c r="G31" s="10" t="str">
        <f aca="false">IF(OR($A31="",$P31=0),"",SUMIFS('3. Root Biomass'!$N$5:$N$904,'3. Root Biomass'!$A$5:$A$904,$A31)/$P31)</f>
        <v/>
      </c>
      <c r="H31" s="10" t="str">
        <f aca="false">IF($A31="","",IFERROR(SUMIFS('4. Vegetation Data'!$O$5:$O$64,'4. Vegetation Data'!$A$5:$A$64,$A31),""))</f>
        <v/>
      </c>
      <c r="I31" s="10" t="str">
        <f aca="false">IF($A31="","",IF(ISNUMBER($D31),$D31,0)+IF(ISNUMBER($G31),$G31,0)+IF(ISNUMBER($H31),$H31,0))</f>
        <v/>
      </c>
      <c r="J31" s="10" t="str">
        <f aca="false">IF($A31="","",IF(ISNUMBER($E31),$E31,0)+IF(ISNUMBER($G31),$G31,0)+IF(ISNUMBER($H31),$H31,0))</f>
        <v/>
      </c>
      <c r="K31" s="11" t="str">
        <f aca="false">IF($A31="","",IF($C31=0,"No soil increments for this plot — it contributes nothing. ","")&amp;IF(AND(ISNUMBER($F31),$F31&lt;SOIL_REPORTING_DEPTH_CM),"Cored shallower than the reporting depth, so the reporting-depth figure is an UNDERESTIMATE for this plot. ","")&amp;IF(AND(ISNUMBER($G31),$G31&gt;0,ISNUMBER($F31)),"Root total reaches only "&amp;$F31&amp;" cm — the bottom of the core, not the bottom of the roots. Report it as a MINIMUM. ","")&amp;IF(AND(ISNUMBER($G31),$G31&gt;0,ROOT_SOIL_REPORTING_BOUNDARY="Not agreed with the lab"),"Root carbon is being added to a soil stock whose root content was never agreed with the lab. The overlap is unknown, not zero — settle ROOT_SOIL_REPORTING_BOUNDARY before reporting a combined figure. ","")&amp;IF(AND(ISNUMBER($G31),$G31&gt;0,ROOT_SOIL_REPORTING_BOUNDARY="Operational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1" s="9" t="str">
        <f aca="false">IF(ISNUMBER($D31),$D31,"")</f>
        <v/>
      </c>
      <c r="M31" s="9" t="str">
        <f aca="false">IF(ISNUMBER($G31),$G31,"")</f>
        <v/>
      </c>
      <c r="N31" s="9" t="n">
        <f aca="false">IF(AND(ISNUMBER($D31),$A31&lt;&gt;""),1,0)</f>
        <v>0</v>
      </c>
      <c r="O31" s="9" t="str">
        <f aca="false">IF($A31="","",SUMIFS('2. Soil Data'!$U$5:$U$604,'2. Soil Data'!$A$5:$A$604,$A31))</f>
        <v/>
      </c>
      <c r="P31" s="9" t="str">
        <f aca="false">IF($A31="","",SUMIFS('3. Root Biomass'!$Q$5:$Q$904,'3. Root Biomass'!$A$5:$A$904,$A31))</f>
        <v/>
      </c>
      <c r="Q31" s="9" t="str">
        <f aca="false">IF(ISNUMBER($D31),$D31^2,"")</f>
        <v/>
      </c>
      <c r="R31" s="9" t="str">
        <f aca="false">IF(ISNUMBER($G31),$G31^2,"")</f>
        <v/>
      </c>
      <c r="S31" s="9" t="str">
        <f aca="false">IF($A31="","",IF(ISNUMBER($D31),$D31,0)+IF(ISNUMBER($G31),$G31,0))</f>
        <v/>
      </c>
      <c r="T31" s="9" t="str">
        <f aca="false">IF(ISNUMBER($S31),$S31^2,"")</f>
        <v/>
      </c>
    </row>
    <row r="32" customFormat="false" ht="15" hidden="false" customHeight="false" outlineLevel="0" collapsed="false">
      <c r="A32" s="10" t="str">
        <f aca="false">IF(INDEX('1. Plot &amp; Site Log'!$A$5:$A$64,28)="","",INDEX('1. Plot &amp; Site Log'!$A$5:$A$64,28))</f>
        <v/>
      </c>
      <c r="B32" s="10" t="str">
        <f aca="false">IF($A32="","",INDEX('1. Plot &amp; Site Log'!$B$5:$B$64,MATCH($A32,'1. Plot &amp; Site Log'!$A$5:$A$64,0)))</f>
        <v/>
      </c>
      <c r="C32" s="10" t="str">
        <f aca="false">IF($A32="","",COUNTIFS('2. Soil Data'!$A$5:$A$604,$A32))</f>
        <v/>
      </c>
      <c r="D32" s="10" t="str">
        <f aca="false">IF(OR($A32="",$C32=0,$O32=0),"",SUMIFS('2. Soil Data'!$R$5:$R$604,'2. Soil Data'!$A$5:$A$604,$A32)/$O32)</f>
        <v/>
      </c>
      <c r="E32" s="10" t="str">
        <f aca="false">IF(OR($A32="",$C32=0,$O32=0),"",SUMIFS('2. Soil Data'!$P$5:$P$604,'2. Soil Data'!$A$5:$A$604,$A32)/$O32)</f>
        <v/>
      </c>
      <c r="F32" s="10" t="str">
        <f aca="false">IF($A32="","",SUMPRODUCT(MAX(('2. Soil Data'!$A$5:$A$604=$A32)*IF(ISNUMBER('2. Soil Data'!$E$5:$E$604),'2. Soil Data'!$E$5:$E$604,0))))</f>
        <v/>
      </c>
      <c r="G32" s="10" t="str">
        <f aca="false">IF(OR($A32="",$P32=0),"",SUMIFS('3. Root Biomass'!$N$5:$N$904,'3. Root Biomass'!$A$5:$A$904,$A32)/$P32)</f>
        <v/>
      </c>
      <c r="H32" s="10" t="str">
        <f aca="false">IF($A32="","",IFERROR(SUMIFS('4. Vegetation Data'!$O$5:$O$64,'4. Vegetation Data'!$A$5:$A$64,$A32),""))</f>
        <v/>
      </c>
      <c r="I32" s="10" t="str">
        <f aca="false">IF($A32="","",IF(ISNUMBER($D32),$D32,0)+IF(ISNUMBER($G32),$G32,0)+IF(ISNUMBER($H32),$H32,0))</f>
        <v/>
      </c>
      <c r="J32" s="10" t="str">
        <f aca="false">IF($A32="","",IF(ISNUMBER($E32),$E32,0)+IF(ISNUMBER($G32),$G32,0)+IF(ISNUMBER($H32),$H32,0))</f>
        <v/>
      </c>
      <c r="K32" s="11" t="str">
        <f aca="false">IF($A32="","",IF($C32=0,"No soil increments for this plot — it contributes nothing. ","")&amp;IF(AND(ISNUMBER($F32),$F32&lt;SOIL_REPORTING_DEPTH_CM),"Cored shallower than the reporting depth, so the reporting-depth figure is an UNDERESTIMATE for this plot. ","")&amp;IF(AND(ISNUMBER($G32),$G32&gt;0,ISNUMBER($F32)),"Root total reaches only "&amp;$F32&amp;" cm — the bottom of the core, not the bottom of the roots. Report it as a MINIMUM. ","")&amp;IF(AND(ISNUMBER($G32),$G32&gt;0,ROOT_SOIL_REPORTING_BOUNDARY="Not agreed with the lab"),"Root carbon is being added to a soil stock whose root content was never agreed with the lab. The overlap is unknown, not zero — settle ROOT_SOIL_REPORTING_BOUNDARY before reporting a combined figure. ","")&amp;IF(AND(ISNUMBER($G32),$G32&gt;0,ROOT_SOIL_REPORTING_BOUNDARY="Operational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2" s="9" t="str">
        <f aca="false">IF(ISNUMBER($D32),$D32,"")</f>
        <v/>
      </c>
      <c r="M32" s="9" t="str">
        <f aca="false">IF(ISNUMBER($G32),$G32,"")</f>
        <v/>
      </c>
      <c r="N32" s="9" t="n">
        <f aca="false">IF(AND(ISNUMBER($D32),$A32&lt;&gt;""),1,0)</f>
        <v>0</v>
      </c>
      <c r="O32" s="9" t="str">
        <f aca="false">IF($A32="","",SUMIFS('2. Soil Data'!$U$5:$U$604,'2. Soil Data'!$A$5:$A$604,$A32))</f>
        <v/>
      </c>
      <c r="P32" s="9" t="str">
        <f aca="false">IF($A32="","",SUMIFS('3. Root Biomass'!$Q$5:$Q$904,'3. Root Biomass'!$A$5:$A$904,$A32))</f>
        <v/>
      </c>
      <c r="Q32" s="9" t="str">
        <f aca="false">IF(ISNUMBER($D32),$D32^2,"")</f>
        <v/>
      </c>
      <c r="R32" s="9" t="str">
        <f aca="false">IF(ISNUMBER($G32),$G32^2,"")</f>
        <v/>
      </c>
      <c r="S32" s="9" t="str">
        <f aca="false">IF($A32="","",IF(ISNUMBER($D32),$D32,0)+IF(ISNUMBER($G32),$G32,0))</f>
        <v/>
      </c>
      <c r="T32" s="9" t="str">
        <f aca="false">IF(ISNUMBER($S32),$S32^2,"")</f>
        <v/>
      </c>
    </row>
    <row r="33" customFormat="false" ht="15" hidden="false" customHeight="false" outlineLevel="0" collapsed="false">
      <c r="A33" s="10" t="str">
        <f aca="false">IF(INDEX('1. Plot &amp; Site Log'!$A$5:$A$64,29)="","",INDEX('1. Plot &amp; Site Log'!$A$5:$A$64,29))</f>
        <v/>
      </c>
      <c r="B33" s="10" t="str">
        <f aca="false">IF($A33="","",INDEX('1. Plot &amp; Site Log'!$B$5:$B$64,MATCH($A33,'1. Plot &amp; Site Log'!$A$5:$A$64,0)))</f>
        <v/>
      </c>
      <c r="C33" s="10" t="str">
        <f aca="false">IF($A33="","",COUNTIFS('2. Soil Data'!$A$5:$A$604,$A33))</f>
        <v/>
      </c>
      <c r="D33" s="10" t="str">
        <f aca="false">IF(OR($A33="",$C33=0,$O33=0),"",SUMIFS('2. Soil Data'!$R$5:$R$604,'2. Soil Data'!$A$5:$A$604,$A33)/$O33)</f>
        <v/>
      </c>
      <c r="E33" s="10" t="str">
        <f aca="false">IF(OR($A33="",$C33=0,$O33=0),"",SUMIFS('2. Soil Data'!$P$5:$P$604,'2. Soil Data'!$A$5:$A$604,$A33)/$O33)</f>
        <v/>
      </c>
      <c r="F33" s="10" t="str">
        <f aca="false">IF($A33="","",SUMPRODUCT(MAX(('2. Soil Data'!$A$5:$A$604=$A33)*IF(ISNUMBER('2. Soil Data'!$E$5:$E$604),'2. Soil Data'!$E$5:$E$604,0))))</f>
        <v/>
      </c>
      <c r="G33" s="10" t="str">
        <f aca="false">IF(OR($A33="",$P33=0),"",SUMIFS('3. Root Biomass'!$N$5:$N$904,'3. Root Biomass'!$A$5:$A$904,$A33)/$P33)</f>
        <v/>
      </c>
      <c r="H33" s="10" t="str">
        <f aca="false">IF($A33="","",IFERROR(SUMIFS('4. Vegetation Data'!$O$5:$O$64,'4. Vegetation Data'!$A$5:$A$64,$A33),""))</f>
        <v/>
      </c>
      <c r="I33" s="10" t="str">
        <f aca="false">IF($A33="","",IF(ISNUMBER($D33),$D33,0)+IF(ISNUMBER($G33),$G33,0)+IF(ISNUMBER($H33),$H33,0))</f>
        <v/>
      </c>
      <c r="J33" s="10" t="str">
        <f aca="false">IF($A33="","",IF(ISNUMBER($E33),$E33,0)+IF(ISNUMBER($G33),$G33,0)+IF(ISNUMBER($H33),$H33,0))</f>
        <v/>
      </c>
      <c r="K33" s="11" t="str">
        <f aca="false">IF($A33="","",IF($C33=0,"No soil increments for this plot — it contributes nothing. ","")&amp;IF(AND(ISNUMBER($F33),$F33&lt;SOIL_REPORTING_DEPTH_CM),"Cored shallower than the reporting depth, so the reporting-depth figure is an UNDERESTIMATE for this plot. ","")&amp;IF(AND(ISNUMBER($G33),$G33&gt;0,ISNUMBER($F33)),"Root total reaches only "&amp;$F33&amp;" cm — the bottom of the core, not the bottom of the roots. Report it as a MINIMUM. ","")&amp;IF(AND(ISNUMBER($G33),$G33&gt;0,ROOT_SOIL_REPORTING_BOUNDARY="Not agreed with the lab"),"Root carbon is being added to a soil stock whose root content was never agreed with the lab. The overlap is unknown, not zero — settle ROOT_SOIL_REPORTING_BOUNDARY before reporting a combined figure. ","")&amp;IF(AND(ISNUMBER($G33),$G33&gt;0,ROOT_SOIL_REPORTING_BOUNDARY="Operational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3" s="9" t="str">
        <f aca="false">IF(ISNUMBER($D33),$D33,"")</f>
        <v/>
      </c>
      <c r="M33" s="9" t="str">
        <f aca="false">IF(ISNUMBER($G33),$G33,"")</f>
        <v/>
      </c>
      <c r="N33" s="9" t="n">
        <f aca="false">IF(AND(ISNUMBER($D33),$A33&lt;&gt;""),1,0)</f>
        <v>0</v>
      </c>
      <c r="O33" s="9" t="str">
        <f aca="false">IF($A33="","",SUMIFS('2. Soil Data'!$U$5:$U$604,'2. Soil Data'!$A$5:$A$604,$A33))</f>
        <v/>
      </c>
      <c r="P33" s="9" t="str">
        <f aca="false">IF($A33="","",SUMIFS('3. Root Biomass'!$Q$5:$Q$904,'3. Root Biomass'!$A$5:$A$904,$A33))</f>
        <v/>
      </c>
      <c r="Q33" s="9" t="str">
        <f aca="false">IF(ISNUMBER($D33),$D33^2,"")</f>
        <v/>
      </c>
      <c r="R33" s="9" t="str">
        <f aca="false">IF(ISNUMBER($G33),$G33^2,"")</f>
        <v/>
      </c>
      <c r="S33" s="9" t="str">
        <f aca="false">IF($A33="","",IF(ISNUMBER($D33),$D33,0)+IF(ISNUMBER($G33),$G33,0))</f>
        <v/>
      </c>
      <c r="T33" s="9" t="str">
        <f aca="false">IF(ISNUMBER($S33),$S33^2,"")</f>
        <v/>
      </c>
    </row>
    <row r="34" customFormat="false" ht="15" hidden="false" customHeight="false" outlineLevel="0" collapsed="false">
      <c r="A34" s="10" t="str">
        <f aca="false">IF(INDEX('1. Plot &amp; Site Log'!$A$5:$A$64,30)="","",INDEX('1. Plot &amp; Site Log'!$A$5:$A$64,30))</f>
        <v/>
      </c>
      <c r="B34" s="10" t="str">
        <f aca="false">IF($A34="","",INDEX('1. Plot &amp; Site Log'!$B$5:$B$64,MATCH($A34,'1. Plot &amp; Site Log'!$A$5:$A$64,0)))</f>
        <v/>
      </c>
      <c r="C34" s="10" t="str">
        <f aca="false">IF($A34="","",COUNTIFS('2. Soil Data'!$A$5:$A$604,$A34))</f>
        <v/>
      </c>
      <c r="D34" s="10" t="str">
        <f aca="false">IF(OR($A34="",$C34=0,$O34=0),"",SUMIFS('2. Soil Data'!$R$5:$R$604,'2. Soil Data'!$A$5:$A$604,$A34)/$O34)</f>
        <v/>
      </c>
      <c r="E34" s="10" t="str">
        <f aca="false">IF(OR($A34="",$C34=0,$O34=0),"",SUMIFS('2. Soil Data'!$P$5:$P$604,'2. Soil Data'!$A$5:$A$604,$A34)/$O34)</f>
        <v/>
      </c>
      <c r="F34" s="10" t="str">
        <f aca="false">IF($A34="","",SUMPRODUCT(MAX(('2. Soil Data'!$A$5:$A$604=$A34)*IF(ISNUMBER('2. Soil Data'!$E$5:$E$604),'2. Soil Data'!$E$5:$E$604,0))))</f>
        <v/>
      </c>
      <c r="G34" s="10" t="str">
        <f aca="false">IF(OR($A34="",$P34=0),"",SUMIFS('3. Root Biomass'!$N$5:$N$904,'3. Root Biomass'!$A$5:$A$904,$A34)/$P34)</f>
        <v/>
      </c>
      <c r="H34" s="10" t="str">
        <f aca="false">IF($A34="","",IFERROR(SUMIFS('4. Vegetation Data'!$O$5:$O$64,'4. Vegetation Data'!$A$5:$A$64,$A34),""))</f>
        <v/>
      </c>
      <c r="I34" s="10" t="str">
        <f aca="false">IF($A34="","",IF(ISNUMBER($D34),$D34,0)+IF(ISNUMBER($G34),$G34,0)+IF(ISNUMBER($H34),$H34,0))</f>
        <v/>
      </c>
      <c r="J34" s="10" t="str">
        <f aca="false">IF($A34="","",IF(ISNUMBER($E34),$E34,0)+IF(ISNUMBER($G34),$G34,0)+IF(ISNUMBER($H34),$H34,0))</f>
        <v/>
      </c>
      <c r="K34" s="11" t="str">
        <f aca="false">IF($A34="","",IF($C34=0,"No soil increments for this plot — it contributes nothing. ","")&amp;IF(AND(ISNUMBER($F34),$F34&lt;SOIL_REPORTING_DEPTH_CM),"Cored shallower than the reporting depth, so the reporting-depth figure is an UNDERESTIMATE for this plot. ","")&amp;IF(AND(ISNUMBER($G34),$G34&gt;0,ISNUMBER($F34)),"Root total reaches only "&amp;$F34&amp;" cm — the bottom of the core, not the bottom of the roots. Report it as a MINIMUM. ","")&amp;IF(AND(ISNUMBER($G34),$G34&gt;0,ROOT_SOIL_REPORTING_BOUNDARY="Not agreed with the lab"),"Root carbon is being added to a soil stock whose root content was never agreed with the lab. The overlap is unknown, not zero — settle ROOT_SOIL_REPORTING_BOUNDARY before reporting a combined figure. ","")&amp;IF(AND(ISNUMBER($G34),$G34&gt;0,ROOT_SOIL_REPORTING_BOUNDARY="Operational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4" s="9" t="str">
        <f aca="false">IF(ISNUMBER($D34),$D34,"")</f>
        <v/>
      </c>
      <c r="M34" s="9" t="str">
        <f aca="false">IF(ISNUMBER($G34),$G34,"")</f>
        <v/>
      </c>
      <c r="N34" s="9" t="n">
        <f aca="false">IF(AND(ISNUMBER($D34),$A34&lt;&gt;""),1,0)</f>
        <v>0</v>
      </c>
      <c r="O34" s="9" t="str">
        <f aca="false">IF($A34="","",SUMIFS('2. Soil Data'!$U$5:$U$604,'2. Soil Data'!$A$5:$A$604,$A34))</f>
        <v/>
      </c>
      <c r="P34" s="9" t="str">
        <f aca="false">IF($A34="","",SUMIFS('3. Root Biomass'!$Q$5:$Q$904,'3. Root Biomass'!$A$5:$A$904,$A34))</f>
        <v/>
      </c>
      <c r="Q34" s="9" t="str">
        <f aca="false">IF(ISNUMBER($D34),$D34^2,"")</f>
        <v/>
      </c>
      <c r="R34" s="9" t="str">
        <f aca="false">IF(ISNUMBER($G34),$G34^2,"")</f>
        <v/>
      </c>
      <c r="S34" s="9" t="str">
        <f aca="false">IF($A34="","",IF(ISNUMBER($D34),$D34,0)+IF(ISNUMBER($G34),$G34,0))</f>
        <v/>
      </c>
      <c r="T34" s="9" t="str">
        <f aca="false">IF(ISNUMBER($S34),$S34^2,"")</f>
        <v/>
      </c>
    </row>
    <row r="35" customFormat="false" ht="15" hidden="false" customHeight="false" outlineLevel="0" collapsed="false">
      <c r="A35" s="10" t="str">
        <f aca="false">IF(INDEX('1. Plot &amp; Site Log'!$A$5:$A$64,31)="","",INDEX('1. Plot &amp; Site Log'!$A$5:$A$64,31))</f>
        <v/>
      </c>
      <c r="B35" s="10" t="str">
        <f aca="false">IF($A35="","",INDEX('1. Plot &amp; Site Log'!$B$5:$B$64,MATCH($A35,'1. Plot &amp; Site Log'!$A$5:$A$64,0)))</f>
        <v/>
      </c>
      <c r="C35" s="10" t="str">
        <f aca="false">IF($A35="","",COUNTIFS('2. Soil Data'!$A$5:$A$604,$A35))</f>
        <v/>
      </c>
      <c r="D35" s="10" t="str">
        <f aca="false">IF(OR($A35="",$C35=0,$O35=0),"",SUMIFS('2. Soil Data'!$R$5:$R$604,'2. Soil Data'!$A$5:$A$604,$A35)/$O35)</f>
        <v/>
      </c>
      <c r="E35" s="10" t="str">
        <f aca="false">IF(OR($A35="",$C35=0,$O35=0),"",SUMIFS('2. Soil Data'!$P$5:$P$604,'2. Soil Data'!$A$5:$A$604,$A35)/$O35)</f>
        <v/>
      </c>
      <c r="F35" s="10" t="str">
        <f aca="false">IF($A35="","",SUMPRODUCT(MAX(('2. Soil Data'!$A$5:$A$604=$A35)*IF(ISNUMBER('2. Soil Data'!$E$5:$E$604),'2. Soil Data'!$E$5:$E$604,0))))</f>
        <v/>
      </c>
      <c r="G35" s="10" t="str">
        <f aca="false">IF(OR($A35="",$P35=0),"",SUMIFS('3. Root Biomass'!$N$5:$N$904,'3. Root Biomass'!$A$5:$A$904,$A35)/$P35)</f>
        <v/>
      </c>
      <c r="H35" s="10" t="str">
        <f aca="false">IF($A35="","",IFERROR(SUMIFS('4. Vegetation Data'!$O$5:$O$64,'4. Vegetation Data'!$A$5:$A$64,$A35),""))</f>
        <v/>
      </c>
      <c r="I35" s="10" t="str">
        <f aca="false">IF($A35="","",IF(ISNUMBER($D35),$D35,0)+IF(ISNUMBER($G35),$G35,0)+IF(ISNUMBER($H35),$H35,0))</f>
        <v/>
      </c>
      <c r="J35" s="10" t="str">
        <f aca="false">IF($A35="","",IF(ISNUMBER($E35),$E35,0)+IF(ISNUMBER($G35),$G35,0)+IF(ISNUMBER($H35),$H35,0))</f>
        <v/>
      </c>
      <c r="K35" s="11" t="str">
        <f aca="false">IF($A35="","",IF($C35=0,"No soil increments for this plot — it contributes nothing. ","")&amp;IF(AND(ISNUMBER($F35),$F35&lt;SOIL_REPORTING_DEPTH_CM),"Cored shallower than the reporting depth, so the reporting-depth figure is an UNDERESTIMATE for this plot. ","")&amp;IF(AND(ISNUMBER($G35),$G35&gt;0,ISNUMBER($F35)),"Root total reaches only "&amp;$F35&amp;" cm — the bottom of the core, not the bottom of the roots. Report it as a MINIMUM. ","")&amp;IF(AND(ISNUMBER($G35),$G35&gt;0,ROOT_SOIL_REPORTING_BOUNDARY="Not agreed with the lab"),"Root carbon is being added to a soil stock whose root content was never agreed with the lab. The overlap is unknown, not zero — settle ROOT_SOIL_REPORTING_BOUNDARY before reporting a combined figure. ","")&amp;IF(AND(ISNUMBER($G35),$G35&gt;0,ROOT_SOIL_REPORTING_BOUNDARY="Operational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5" s="9" t="str">
        <f aca="false">IF(ISNUMBER($D35),$D35,"")</f>
        <v/>
      </c>
      <c r="M35" s="9" t="str">
        <f aca="false">IF(ISNUMBER($G35),$G35,"")</f>
        <v/>
      </c>
      <c r="N35" s="9" t="n">
        <f aca="false">IF(AND(ISNUMBER($D35),$A35&lt;&gt;""),1,0)</f>
        <v>0</v>
      </c>
      <c r="O35" s="9" t="str">
        <f aca="false">IF($A35="","",SUMIFS('2. Soil Data'!$U$5:$U$604,'2. Soil Data'!$A$5:$A$604,$A35))</f>
        <v/>
      </c>
      <c r="P35" s="9" t="str">
        <f aca="false">IF($A35="","",SUMIFS('3. Root Biomass'!$Q$5:$Q$904,'3. Root Biomass'!$A$5:$A$904,$A35))</f>
        <v/>
      </c>
      <c r="Q35" s="9" t="str">
        <f aca="false">IF(ISNUMBER($D35),$D35^2,"")</f>
        <v/>
      </c>
      <c r="R35" s="9" t="str">
        <f aca="false">IF(ISNUMBER($G35),$G35^2,"")</f>
        <v/>
      </c>
      <c r="S35" s="9" t="str">
        <f aca="false">IF($A35="","",IF(ISNUMBER($D35),$D35,0)+IF(ISNUMBER($G35),$G35,0))</f>
        <v/>
      </c>
      <c r="T35" s="9" t="str">
        <f aca="false">IF(ISNUMBER($S35),$S35^2,"")</f>
        <v/>
      </c>
    </row>
    <row r="36" customFormat="false" ht="15" hidden="false" customHeight="false" outlineLevel="0" collapsed="false">
      <c r="A36" s="10" t="str">
        <f aca="false">IF(INDEX('1. Plot &amp; Site Log'!$A$5:$A$64,32)="","",INDEX('1. Plot &amp; Site Log'!$A$5:$A$64,32))</f>
        <v/>
      </c>
      <c r="B36" s="10" t="str">
        <f aca="false">IF($A36="","",INDEX('1. Plot &amp; Site Log'!$B$5:$B$64,MATCH($A36,'1. Plot &amp; Site Log'!$A$5:$A$64,0)))</f>
        <v/>
      </c>
      <c r="C36" s="10" t="str">
        <f aca="false">IF($A36="","",COUNTIFS('2. Soil Data'!$A$5:$A$604,$A36))</f>
        <v/>
      </c>
      <c r="D36" s="10" t="str">
        <f aca="false">IF(OR($A36="",$C36=0,$O36=0),"",SUMIFS('2. Soil Data'!$R$5:$R$604,'2. Soil Data'!$A$5:$A$604,$A36)/$O36)</f>
        <v/>
      </c>
      <c r="E36" s="10" t="str">
        <f aca="false">IF(OR($A36="",$C36=0,$O36=0),"",SUMIFS('2. Soil Data'!$P$5:$P$604,'2. Soil Data'!$A$5:$A$604,$A36)/$O36)</f>
        <v/>
      </c>
      <c r="F36" s="10" t="str">
        <f aca="false">IF($A36="","",SUMPRODUCT(MAX(('2. Soil Data'!$A$5:$A$604=$A36)*IF(ISNUMBER('2. Soil Data'!$E$5:$E$604),'2. Soil Data'!$E$5:$E$604,0))))</f>
        <v/>
      </c>
      <c r="G36" s="10" t="str">
        <f aca="false">IF(OR($A36="",$P36=0),"",SUMIFS('3. Root Biomass'!$N$5:$N$904,'3. Root Biomass'!$A$5:$A$904,$A36)/$P36)</f>
        <v/>
      </c>
      <c r="H36" s="10" t="str">
        <f aca="false">IF($A36="","",IFERROR(SUMIFS('4. Vegetation Data'!$O$5:$O$64,'4. Vegetation Data'!$A$5:$A$64,$A36),""))</f>
        <v/>
      </c>
      <c r="I36" s="10" t="str">
        <f aca="false">IF($A36="","",IF(ISNUMBER($D36),$D36,0)+IF(ISNUMBER($G36),$G36,0)+IF(ISNUMBER($H36),$H36,0))</f>
        <v/>
      </c>
      <c r="J36" s="10" t="str">
        <f aca="false">IF($A36="","",IF(ISNUMBER($E36),$E36,0)+IF(ISNUMBER($G36),$G36,0)+IF(ISNUMBER($H36),$H36,0))</f>
        <v/>
      </c>
      <c r="K36" s="11" t="str">
        <f aca="false">IF($A36="","",IF($C36=0,"No soil increments for this plot — it contributes nothing. ","")&amp;IF(AND(ISNUMBER($F36),$F36&lt;SOIL_REPORTING_DEPTH_CM),"Cored shallower than the reporting depth, so the reporting-depth figure is an UNDERESTIMATE for this plot. ","")&amp;IF(AND(ISNUMBER($G36),$G36&gt;0,ISNUMBER($F36)),"Root total reaches only "&amp;$F36&amp;" cm — the bottom of the core, not the bottom of the roots. Report it as a MINIMUM. ","")&amp;IF(AND(ISNUMBER($G36),$G36&gt;0,ROOT_SOIL_REPORTING_BOUNDARY="Not agreed with the lab"),"Root carbon is being added to a soil stock whose root content was never agreed with the lab. The overlap is unknown, not zero — settle ROOT_SOIL_REPORTING_BOUNDARY before reporting a combined figure. ","")&amp;IF(AND(ISNUMBER($G36),$G36&gt;0,ROOT_SOIL_REPORTING_BOUNDARY="Operational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6" s="9" t="str">
        <f aca="false">IF(ISNUMBER($D36),$D36,"")</f>
        <v/>
      </c>
      <c r="M36" s="9" t="str">
        <f aca="false">IF(ISNUMBER($G36),$G36,"")</f>
        <v/>
      </c>
      <c r="N36" s="9" t="n">
        <f aca="false">IF(AND(ISNUMBER($D36),$A36&lt;&gt;""),1,0)</f>
        <v>0</v>
      </c>
      <c r="O36" s="9" t="str">
        <f aca="false">IF($A36="","",SUMIFS('2. Soil Data'!$U$5:$U$604,'2. Soil Data'!$A$5:$A$604,$A36))</f>
        <v/>
      </c>
      <c r="P36" s="9" t="str">
        <f aca="false">IF($A36="","",SUMIFS('3. Root Biomass'!$Q$5:$Q$904,'3. Root Biomass'!$A$5:$A$904,$A36))</f>
        <v/>
      </c>
      <c r="Q36" s="9" t="str">
        <f aca="false">IF(ISNUMBER($D36),$D36^2,"")</f>
        <v/>
      </c>
      <c r="R36" s="9" t="str">
        <f aca="false">IF(ISNUMBER($G36),$G36^2,"")</f>
        <v/>
      </c>
      <c r="S36" s="9" t="str">
        <f aca="false">IF($A36="","",IF(ISNUMBER($D36),$D36,0)+IF(ISNUMBER($G36),$G36,0))</f>
        <v/>
      </c>
      <c r="T36" s="9" t="str">
        <f aca="false">IF(ISNUMBER($S36),$S36^2,"")</f>
        <v/>
      </c>
    </row>
    <row r="37" customFormat="false" ht="15" hidden="false" customHeight="false" outlineLevel="0" collapsed="false">
      <c r="A37" s="10" t="str">
        <f aca="false">IF(INDEX('1. Plot &amp; Site Log'!$A$5:$A$64,33)="","",INDEX('1. Plot &amp; Site Log'!$A$5:$A$64,33))</f>
        <v/>
      </c>
      <c r="B37" s="10" t="str">
        <f aca="false">IF($A37="","",INDEX('1. Plot &amp; Site Log'!$B$5:$B$64,MATCH($A37,'1. Plot &amp; Site Log'!$A$5:$A$64,0)))</f>
        <v/>
      </c>
      <c r="C37" s="10" t="str">
        <f aca="false">IF($A37="","",COUNTIFS('2. Soil Data'!$A$5:$A$604,$A37))</f>
        <v/>
      </c>
      <c r="D37" s="10" t="str">
        <f aca="false">IF(OR($A37="",$C37=0,$O37=0),"",SUMIFS('2. Soil Data'!$R$5:$R$604,'2. Soil Data'!$A$5:$A$604,$A37)/$O37)</f>
        <v/>
      </c>
      <c r="E37" s="10" t="str">
        <f aca="false">IF(OR($A37="",$C37=0,$O37=0),"",SUMIFS('2. Soil Data'!$P$5:$P$604,'2. Soil Data'!$A$5:$A$604,$A37)/$O37)</f>
        <v/>
      </c>
      <c r="F37" s="10" t="str">
        <f aca="false">IF($A37="","",SUMPRODUCT(MAX(('2. Soil Data'!$A$5:$A$604=$A37)*IF(ISNUMBER('2. Soil Data'!$E$5:$E$604),'2. Soil Data'!$E$5:$E$604,0))))</f>
        <v/>
      </c>
      <c r="G37" s="10" t="str">
        <f aca="false">IF(OR($A37="",$P37=0),"",SUMIFS('3. Root Biomass'!$N$5:$N$904,'3. Root Biomass'!$A$5:$A$904,$A37)/$P37)</f>
        <v/>
      </c>
      <c r="H37" s="10" t="str">
        <f aca="false">IF($A37="","",IFERROR(SUMIFS('4. Vegetation Data'!$O$5:$O$64,'4. Vegetation Data'!$A$5:$A$64,$A37),""))</f>
        <v/>
      </c>
      <c r="I37" s="10" t="str">
        <f aca="false">IF($A37="","",IF(ISNUMBER($D37),$D37,0)+IF(ISNUMBER($G37),$G37,0)+IF(ISNUMBER($H37),$H37,0))</f>
        <v/>
      </c>
      <c r="J37" s="10" t="str">
        <f aca="false">IF($A37="","",IF(ISNUMBER($E37),$E37,0)+IF(ISNUMBER($G37),$G37,0)+IF(ISNUMBER($H37),$H37,0))</f>
        <v/>
      </c>
      <c r="K37" s="11" t="str">
        <f aca="false">IF($A37="","",IF($C37=0,"No soil increments for this plot — it contributes nothing. ","")&amp;IF(AND(ISNUMBER($F37),$F37&lt;SOIL_REPORTING_DEPTH_CM),"Cored shallower than the reporting depth, so the reporting-depth figure is an UNDERESTIMATE for this plot. ","")&amp;IF(AND(ISNUMBER($G37),$G37&gt;0,ISNUMBER($F37)),"Root total reaches only "&amp;$F37&amp;" cm — the bottom of the core, not the bottom of the roots. Report it as a MINIMUM. ","")&amp;IF(AND(ISNUMBER($G37),$G37&gt;0,ROOT_SOIL_REPORTING_BOUNDARY="Not agreed with the lab"),"Root carbon is being added to a soil stock whose root content was never agreed with the lab. The overlap is unknown, not zero — settle ROOT_SOIL_REPORTING_BOUNDARY before reporting a combined figure. ","")&amp;IF(AND(ISNUMBER($G37),$G37&gt;0,ROOT_SOIL_REPORTING_BOUNDARY="Operational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7" s="9" t="str">
        <f aca="false">IF(ISNUMBER($D37),$D37,"")</f>
        <v/>
      </c>
      <c r="M37" s="9" t="str">
        <f aca="false">IF(ISNUMBER($G37),$G37,"")</f>
        <v/>
      </c>
      <c r="N37" s="9" t="n">
        <f aca="false">IF(AND(ISNUMBER($D37),$A37&lt;&gt;""),1,0)</f>
        <v>0</v>
      </c>
      <c r="O37" s="9" t="str">
        <f aca="false">IF($A37="","",SUMIFS('2. Soil Data'!$U$5:$U$604,'2. Soil Data'!$A$5:$A$604,$A37))</f>
        <v/>
      </c>
      <c r="P37" s="9" t="str">
        <f aca="false">IF($A37="","",SUMIFS('3. Root Biomass'!$Q$5:$Q$904,'3. Root Biomass'!$A$5:$A$904,$A37))</f>
        <v/>
      </c>
      <c r="Q37" s="9" t="str">
        <f aca="false">IF(ISNUMBER($D37),$D37^2,"")</f>
        <v/>
      </c>
      <c r="R37" s="9" t="str">
        <f aca="false">IF(ISNUMBER($G37),$G37^2,"")</f>
        <v/>
      </c>
      <c r="S37" s="9" t="str">
        <f aca="false">IF($A37="","",IF(ISNUMBER($D37),$D37,0)+IF(ISNUMBER($G37),$G37,0))</f>
        <v/>
      </c>
      <c r="T37" s="9" t="str">
        <f aca="false">IF(ISNUMBER($S37),$S37^2,"")</f>
        <v/>
      </c>
    </row>
    <row r="38" customFormat="false" ht="15" hidden="false" customHeight="false" outlineLevel="0" collapsed="false">
      <c r="A38" s="10" t="str">
        <f aca="false">IF(INDEX('1. Plot &amp; Site Log'!$A$5:$A$64,34)="","",INDEX('1. Plot &amp; Site Log'!$A$5:$A$64,34))</f>
        <v/>
      </c>
      <c r="B38" s="10" t="str">
        <f aca="false">IF($A38="","",INDEX('1. Plot &amp; Site Log'!$B$5:$B$64,MATCH($A38,'1. Plot &amp; Site Log'!$A$5:$A$64,0)))</f>
        <v/>
      </c>
      <c r="C38" s="10" t="str">
        <f aca="false">IF($A38="","",COUNTIFS('2. Soil Data'!$A$5:$A$604,$A38))</f>
        <v/>
      </c>
      <c r="D38" s="10" t="str">
        <f aca="false">IF(OR($A38="",$C38=0,$O38=0),"",SUMIFS('2. Soil Data'!$R$5:$R$604,'2. Soil Data'!$A$5:$A$604,$A38)/$O38)</f>
        <v/>
      </c>
      <c r="E38" s="10" t="str">
        <f aca="false">IF(OR($A38="",$C38=0,$O38=0),"",SUMIFS('2. Soil Data'!$P$5:$P$604,'2. Soil Data'!$A$5:$A$604,$A38)/$O38)</f>
        <v/>
      </c>
      <c r="F38" s="10" t="str">
        <f aca="false">IF($A38="","",SUMPRODUCT(MAX(('2. Soil Data'!$A$5:$A$604=$A38)*IF(ISNUMBER('2. Soil Data'!$E$5:$E$604),'2. Soil Data'!$E$5:$E$604,0))))</f>
        <v/>
      </c>
      <c r="G38" s="10" t="str">
        <f aca="false">IF(OR($A38="",$P38=0),"",SUMIFS('3. Root Biomass'!$N$5:$N$904,'3. Root Biomass'!$A$5:$A$904,$A38)/$P38)</f>
        <v/>
      </c>
      <c r="H38" s="10" t="str">
        <f aca="false">IF($A38="","",IFERROR(SUMIFS('4. Vegetation Data'!$O$5:$O$64,'4. Vegetation Data'!$A$5:$A$64,$A38),""))</f>
        <v/>
      </c>
      <c r="I38" s="10" t="str">
        <f aca="false">IF($A38="","",IF(ISNUMBER($D38),$D38,0)+IF(ISNUMBER($G38),$G38,0)+IF(ISNUMBER($H38),$H38,0))</f>
        <v/>
      </c>
      <c r="J38" s="10" t="str">
        <f aca="false">IF($A38="","",IF(ISNUMBER($E38),$E38,0)+IF(ISNUMBER($G38),$G38,0)+IF(ISNUMBER($H38),$H38,0))</f>
        <v/>
      </c>
      <c r="K38" s="11" t="str">
        <f aca="false">IF($A38="","",IF($C38=0,"No soil increments for this plot — it contributes nothing. ","")&amp;IF(AND(ISNUMBER($F38),$F38&lt;SOIL_REPORTING_DEPTH_CM),"Cored shallower than the reporting depth, so the reporting-depth figure is an UNDERESTIMATE for this plot. ","")&amp;IF(AND(ISNUMBER($G38),$G38&gt;0,ISNUMBER($F38)),"Root total reaches only "&amp;$F38&amp;" cm — the bottom of the core, not the bottom of the roots. Report it as a MINIMUM. ","")&amp;IF(AND(ISNUMBER($G38),$G38&gt;0,ROOT_SOIL_REPORTING_BOUNDARY="Not agreed with the lab"),"Root carbon is being added to a soil stock whose root content was never agreed with the lab. The overlap is unknown, not zero — settle ROOT_SOIL_REPORTING_BOUNDARY before reporting a combined figure. ","")&amp;IF(AND(ISNUMBER($G38),$G38&gt;0,ROOT_SOIL_REPORTING_BOUNDARY="Operational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8" s="9" t="str">
        <f aca="false">IF(ISNUMBER($D38),$D38,"")</f>
        <v/>
      </c>
      <c r="M38" s="9" t="str">
        <f aca="false">IF(ISNUMBER($G38),$G38,"")</f>
        <v/>
      </c>
      <c r="N38" s="9" t="n">
        <f aca="false">IF(AND(ISNUMBER($D38),$A38&lt;&gt;""),1,0)</f>
        <v>0</v>
      </c>
      <c r="O38" s="9" t="str">
        <f aca="false">IF($A38="","",SUMIFS('2. Soil Data'!$U$5:$U$604,'2. Soil Data'!$A$5:$A$604,$A38))</f>
        <v/>
      </c>
      <c r="P38" s="9" t="str">
        <f aca="false">IF($A38="","",SUMIFS('3. Root Biomass'!$Q$5:$Q$904,'3. Root Biomass'!$A$5:$A$904,$A38))</f>
        <v/>
      </c>
      <c r="Q38" s="9" t="str">
        <f aca="false">IF(ISNUMBER($D38),$D38^2,"")</f>
        <v/>
      </c>
      <c r="R38" s="9" t="str">
        <f aca="false">IF(ISNUMBER($G38),$G38^2,"")</f>
        <v/>
      </c>
      <c r="S38" s="9" t="str">
        <f aca="false">IF($A38="","",IF(ISNUMBER($D38),$D38,0)+IF(ISNUMBER($G38),$G38,0))</f>
        <v/>
      </c>
      <c r="T38" s="9" t="str">
        <f aca="false">IF(ISNUMBER($S38),$S38^2,"")</f>
        <v/>
      </c>
    </row>
    <row r="39" customFormat="false" ht="15" hidden="false" customHeight="false" outlineLevel="0" collapsed="false">
      <c r="A39" s="10" t="str">
        <f aca="false">IF(INDEX('1. Plot &amp; Site Log'!$A$5:$A$64,35)="","",INDEX('1. Plot &amp; Site Log'!$A$5:$A$64,35))</f>
        <v/>
      </c>
      <c r="B39" s="10" t="str">
        <f aca="false">IF($A39="","",INDEX('1. Plot &amp; Site Log'!$B$5:$B$64,MATCH($A39,'1. Plot &amp; Site Log'!$A$5:$A$64,0)))</f>
        <v/>
      </c>
      <c r="C39" s="10" t="str">
        <f aca="false">IF($A39="","",COUNTIFS('2. Soil Data'!$A$5:$A$604,$A39))</f>
        <v/>
      </c>
      <c r="D39" s="10" t="str">
        <f aca="false">IF(OR($A39="",$C39=0,$O39=0),"",SUMIFS('2. Soil Data'!$R$5:$R$604,'2. Soil Data'!$A$5:$A$604,$A39)/$O39)</f>
        <v/>
      </c>
      <c r="E39" s="10" t="str">
        <f aca="false">IF(OR($A39="",$C39=0,$O39=0),"",SUMIFS('2. Soil Data'!$P$5:$P$604,'2. Soil Data'!$A$5:$A$604,$A39)/$O39)</f>
        <v/>
      </c>
      <c r="F39" s="10" t="str">
        <f aca="false">IF($A39="","",SUMPRODUCT(MAX(('2. Soil Data'!$A$5:$A$604=$A39)*IF(ISNUMBER('2. Soil Data'!$E$5:$E$604),'2. Soil Data'!$E$5:$E$604,0))))</f>
        <v/>
      </c>
      <c r="G39" s="10" t="str">
        <f aca="false">IF(OR($A39="",$P39=0),"",SUMIFS('3. Root Biomass'!$N$5:$N$904,'3. Root Biomass'!$A$5:$A$904,$A39)/$P39)</f>
        <v/>
      </c>
      <c r="H39" s="10" t="str">
        <f aca="false">IF($A39="","",IFERROR(SUMIFS('4. Vegetation Data'!$O$5:$O$64,'4. Vegetation Data'!$A$5:$A$64,$A39),""))</f>
        <v/>
      </c>
      <c r="I39" s="10" t="str">
        <f aca="false">IF($A39="","",IF(ISNUMBER($D39),$D39,0)+IF(ISNUMBER($G39),$G39,0)+IF(ISNUMBER($H39),$H39,0))</f>
        <v/>
      </c>
      <c r="J39" s="10" t="str">
        <f aca="false">IF($A39="","",IF(ISNUMBER($E39),$E39,0)+IF(ISNUMBER($G39),$G39,0)+IF(ISNUMBER($H39),$H39,0))</f>
        <v/>
      </c>
      <c r="K39" s="11" t="str">
        <f aca="false">IF($A39="","",IF($C39=0,"No soil increments for this plot — it contributes nothing. ","")&amp;IF(AND(ISNUMBER($F39),$F39&lt;SOIL_REPORTING_DEPTH_CM),"Cored shallower than the reporting depth, so the reporting-depth figure is an UNDERESTIMATE for this plot. ","")&amp;IF(AND(ISNUMBER($G39),$G39&gt;0,ISNUMBER($F39)),"Root total reaches only "&amp;$F39&amp;" cm — the bottom of the core, not the bottom of the roots. Report it as a MINIMUM. ","")&amp;IF(AND(ISNUMBER($G39),$G39&gt;0,ROOT_SOIL_REPORTING_BOUNDARY="Not agreed with the lab"),"Root carbon is being added to a soil stock whose root content was never agreed with the lab. The overlap is unknown, not zero — settle ROOT_SOIL_REPORTING_BOUNDARY before reporting a combined figure. ","")&amp;IF(AND(ISNUMBER($G39),$G39&gt;0,ROOT_SOIL_REPORTING_BOUNDARY="Operational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39" s="9" t="str">
        <f aca="false">IF(ISNUMBER($D39),$D39,"")</f>
        <v/>
      </c>
      <c r="M39" s="9" t="str">
        <f aca="false">IF(ISNUMBER($G39),$G39,"")</f>
        <v/>
      </c>
      <c r="N39" s="9" t="n">
        <f aca="false">IF(AND(ISNUMBER($D39),$A39&lt;&gt;""),1,0)</f>
        <v>0</v>
      </c>
      <c r="O39" s="9" t="str">
        <f aca="false">IF($A39="","",SUMIFS('2. Soil Data'!$U$5:$U$604,'2. Soil Data'!$A$5:$A$604,$A39))</f>
        <v/>
      </c>
      <c r="P39" s="9" t="str">
        <f aca="false">IF($A39="","",SUMIFS('3. Root Biomass'!$Q$5:$Q$904,'3. Root Biomass'!$A$5:$A$904,$A39))</f>
        <v/>
      </c>
      <c r="Q39" s="9" t="str">
        <f aca="false">IF(ISNUMBER($D39),$D39^2,"")</f>
        <v/>
      </c>
      <c r="R39" s="9" t="str">
        <f aca="false">IF(ISNUMBER($G39),$G39^2,"")</f>
        <v/>
      </c>
      <c r="S39" s="9" t="str">
        <f aca="false">IF($A39="","",IF(ISNUMBER($D39),$D39,0)+IF(ISNUMBER($G39),$G39,0))</f>
        <v/>
      </c>
      <c r="T39" s="9" t="str">
        <f aca="false">IF(ISNUMBER($S39),$S39^2,"")</f>
        <v/>
      </c>
    </row>
    <row r="40" customFormat="false" ht="15" hidden="false" customHeight="false" outlineLevel="0" collapsed="false">
      <c r="A40" s="10" t="str">
        <f aca="false">IF(INDEX('1. Plot &amp; Site Log'!$A$5:$A$64,36)="","",INDEX('1. Plot &amp; Site Log'!$A$5:$A$64,36))</f>
        <v/>
      </c>
      <c r="B40" s="10" t="str">
        <f aca="false">IF($A40="","",INDEX('1. Plot &amp; Site Log'!$B$5:$B$64,MATCH($A40,'1. Plot &amp; Site Log'!$A$5:$A$64,0)))</f>
        <v/>
      </c>
      <c r="C40" s="10" t="str">
        <f aca="false">IF($A40="","",COUNTIFS('2. Soil Data'!$A$5:$A$604,$A40))</f>
        <v/>
      </c>
      <c r="D40" s="10" t="str">
        <f aca="false">IF(OR($A40="",$C40=0,$O40=0),"",SUMIFS('2. Soil Data'!$R$5:$R$604,'2. Soil Data'!$A$5:$A$604,$A40)/$O40)</f>
        <v/>
      </c>
      <c r="E40" s="10" t="str">
        <f aca="false">IF(OR($A40="",$C40=0,$O40=0),"",SUMIFS('2. Soil Data'!$P$5:$P$604,'2. Soil Data'!$A$5:$A$604,$A40)/$O40)</f>
        <v/>
      </c>
      <c r="F40" s="10" t="str">
        <f aca="false">IF($A40="","",SUMPRODUCT(MAX(('2. Soil Data'!$A$5:$A$604=$A40)*IF(ISNUMBER('2. Soil Data'!$E$5:$E$604),'2. Soil Data'!$E$5:$E$604,0))))</f>
        <v/>
      </c>
      <c r="G40" s="10" t="str">
        <f aca="false">IF(OR($A40="",$P40=0),"",SUMIFS('3. Root Biomass'!$N$5:$N$904,'3. Root Biomass'!$A$5:$A$904,$A40)/$P40)</f>
        <v/>
      </c>
      <c r="H40" s="10" t="str">
        <f aca="false">IF($A40="","",IFERROR(SUMIFS('4. Vegetation Data'!$O$5:$O$64,'4. Vegetation Data'!$A$5:$A$64,$A40),""))</f>
        <v/>
      </c>
      <c r="I40" s="10" t="str">
        <f aca="false">IF($A40="","",IF(ISNUMBER($D40),$D40,0)+IF(ISNUMBER($G40),$G40,0)+IF(ISNUMBER($H40),$H40,0))</f>
        <v/>
      </c>
      <c r="J40" s="10" t="str">
        <f aca="false">IF($A40="","",IF(ISNUMBER($E40),$E40,0)+IF(ISNUMBER($G40),$G40,0)+IF(ISNUMBER($H40),$H40,0))</f>
        <v/>
      </c>
      <c r="K40" s="11" t="str">
        <f aca="false">IF($A40="","",IF($C40=0,"No soil increments for this plot — it contributes nothing. ","")&amp;IF(AND(ISNUMBER($F40),$F40&lt;SOIL_REPORTING_DEPTH_CM),"Cored shallower than the reporting depth, so the reporting-depth figure is an UNDERESTIMATE for this plot. ","")&amp;IF(AND(ISNUMBER($G40),$G40&gt;0,ISNUMBER($F40)),"Root total reaches only "&amp;$F40&amp;" cm — the bottom of the core, not the bottom of the roots. Report it as a MINIMUM. ","")&amp;IF(AND(ISNUMBER($G40),$G40&gt;0,ROOT_SOIL_REPORTING_BOUNDARY="Not agreed with the lab"),"Root carbon is being added to a soil stock whose root content was never agreed with the lab. The overlap is unknown, not zero — settle ROOT_SOIL_REPORTING_BOUNDARY before reporting a combined figure. ","")&amp;IF(AND(ISNUMBER($G40),$G40&gt;0,ROOT_SOIL_REPORTING_BOUNDARY="Operational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0" s="9" t="str">
        <f aca="false">IF(ISNUMBER($D40),$D40,"")</f>
        <v/>
      </c>
      <c r="M40" s="9" t="str">
        <f aca="false">IF(ISNUMBER($G40),$G40,"")</f>
        <v/>
      </c>
      <c r="N40" s="9" t="n">
        <f aca="false">IF(AND(ISNUMBER($D40),$A40&lt;&gt;""),1,0)</f>
        <v>0</v>
      </c>
      <c r="O40" s="9" t="str">
        <f aca="false">IF($A40="","",SUMIFS('2. Soil Data'!$U$5:$U$604,'2. Soil Data'!$A$5:$A$604,$A40))</f>
        <v/>
      </c>
      <c r="P40" s="9" t="str">
        <f aca="false">IF($A40="","",SUMIFS('3. Root Biomass'!$Q$5:$Q$904,'3. Root Biomass'!$A$5:$A$904,$A40))</f>
        <v/>
      </c>
      <c r="Q40" s="9" t="str">
        <f aca="false">IF(ISNUMBER($D40),$D40^2,"")</f>
        <v/>
      </c>
      <c r="R40" s="9" t="str">
        <f aca="false">IF(ISNUMBER($G40),$G40^2,"")</f>
        <v/>
      </c>
      <c r="S40" s="9" t="str">
        <f aca="false">IF($A40="","",IF(ISNUMBER($D40),$D40,0)+IF(ISNUMBER($G40),$G40,0))</f>
        <v/>
      </c>
      <c r="T40" s="9" t="str">
        <f aca="false">IF(ISNUMBER($S40),$S40^2,"")</f>
        <v/>
      </c>
    </row>
    <row r="41" customFormat="false" ht="15" hidden="false" customHeight="false" outlineLevel="0" collapsed="false">
      <c r="A41" s="10" t="str">
        <f aca="false">IF(INDEX('1. Plot &amp; Site Log'!$A$5:$A$64,37)="","",INDEX('1. Plot &amp; Site Log'!$A$5:$A$64,37))</f>
        <v/>
      </c>
      <c r="B41" s="10" t="str">
        <f aca="false">IF($A41="","",INDEX('1. Plot &amp; Site Log'!$B$5:$B$64,MATCH($A41,'1. Plot &amp; Site Log'!$A$5:$A$64,0)))</f>
        <v/>
      </c>
      <c r="C41" s="10" t="str">
        <f aca="false">IF($A41="","",COUNTIFS('2. Soil Data'!$A$5:$A$604,$A41))</f>
        <v/>
      </c>
      <c r="D41" s="10" t="str">
        <f aca="false">IF(OR($A41="",$C41=0,$O41=0),"",SUMIFS('2. Soil Data'!$R$5:$R$604,'2. Soil Data'!$A$5:$A$604,$A41)/$O41)</f>
        <v/>
      </c>
      <c r="E41" s="10" t="str">
        <f aca="false">IF(OR($A41="",$C41=0,$O41=0),"",SUMIFS('2. Soil Data'!$P$5:$P$604,'2. Soil Data'!$A$5:$A$604,$A41)/$O41)</f>
        <v/>
      </c>
      <c r="F41" s="10" t="str">
        <f aca="false">IF($A41="","",SUMPRODUCT(MAX(('2. Soil Data'!$A$5:$A$604=$A41)*IF(ISNUMBER('2. Soil Data'!$E$5:$E$604),'2. Soil Data'!$E$5:$E$604,0))))</f>
        <v/>
      </c>
      <c r="G41" s="10" t="str">
        <f aca="false">IF(OR($A41="",$P41=0),"",SUMIFS('3. Root Biomass'!$N$5:$N$904,'3. Root Biomass'!$A$5:$A$904,$A41)/$P41)</f>
        <v/>
      </c>
      <c r="H41" s="10" t="str">
        <f aca="false">IF($A41="","",IFERROR(SUMIFS('4. Vegetation Data'!$O$5:$O$64,'4. Vegetation Data'!$A$5:$A$64,$A41),""))</f>
        <v/>
      </c>
      <c r="I41" s="10" t="str">
        <f aca="false">IF($A41="","",IF(ISNUMBER($D41),$D41,0)+IF(ISNUMBER($G41),$G41,0)+IF(ISNUMBER($H41),$H41,0))</f>
        <v/>
      </c>
      <c r="J41" s="10" t="str">
        <f aca="false">IF($A41="","",IF(ISNUMBER($E41),$E41,0)+IF(ISNUMBER($G41),$G41,0)+IF(ISNUMBER($H41),$H41,0))</f>
        <v/>
      </c>
      <c r="K41" s="11" t="str">
        <f aca="false">IF($A41="","",IF($C41=0,"No soil increments for this plot — it contributes nothing. ","")&amp;IF(AND(ISNUMBER($F41),$F41&lt;SOIL_REPORTING_DEPTH_CM),"Cored shallower than the reporting depth, so the reporting-depth figure is an UNDERESTIMATE for this plot. ","")&amp;IF(AND(ISNUMBER($G41),$G41&gt;0,ISNUMBER($F41)),"Root total reaches only "&amp;$F41&amp;" cm — the bottom of the core, not the bottom of the roots. Report it as a MINIMUM. ","")&amp;IF(AND(ISNUMBER($G41),$G41&gt;0,ROOT_SOIL_REPORTING_BOUNDARY="Not agreed with the lab"),"Root carbon is being added to a soil stock whose root content was never agreed with the lab. The overlap is unknown, not zero — settle ROOT_SOIL_REPORTING_BOUNDARY before reporting a combined figure. ","")&amp;IF(AND(ISNUMBER($G41),$G41&gt;0,ROOT_SOIL_REPORTING_BOUNDARY="Operational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1" s="9" t="str">
        <f aca="false">IF(ISNUMBER($D41),$D41,"")</f>
        <v/>
      </c>
      <c r="M41" s="9" t="str">
        <f aca="false">IF(ISNUMBER($G41),$G41,"")</f>
        <v/>
      </c>
      <c r="N41" s="9" t="n">
        <f aca="false">IF(AND(ISNUMBER($D41),$A41&lt;&gt;""),1,0)</f>
        <v>0</v>
      </c>
      <c r="O41" s="9" t="str">
        <f aca="false">IF($A41="","",SUMIFS('2. Soil Data'!$U$5:$U$604,'2. Soil Data'!$A$5:$A$604,$A41))</f>
        <v/>
      </c>
      <c r="P41" s="9" t="str">
        <f aca="false">IF($A41="","",SUMIFS('3. Root Biomass'!$Q$5:$Q$904,'3. Root Biomass'!$A$5:$A$904,$A41))</f>
        <v/>
      </c>
      <c r="Q41" s="9" t="str">
        <f aca="false">IF(ISNUMBER($D41),$D41^2,"")</f>
        <v/>
      </c>
      <c r="R41" s="9" t="str">
        <f aca="false">IF(ISNUMBER($G41),$G41^2,"")</f>
        <v/>
      </c>
      <c r="S41" s="9" t="str">
        <f aca="false">IF($A41="","",IF(ISNUMBER($D41),$D41,0)+IF(ISNUMBER($G41),$G41,0))</f>
        <v/>
      </c>
      <c r="T41" s="9" t="str">
        <f aca="false">IF(ISNUMBER($S41),$S41^2,"")</f>
        <v/>
      </c>
    </row>
    <row r="42" customFormat="false" ht="15" hidden="false" customHeight="false" outlineLevel="0" collapsed="false">
      <c r="A42" s="10" t="str">
        <f aca="false">IF(INDEX('1. Plot &amp; Site Log'!$A$5:$A$64,38)="","",INDEX('1. Plot &amp; Site Log'!$A$5:$A$64,38))</f>
        <v/>
      </c>
      <c r="B42" s="10" t="str">
        <f aca="false">IF($A42="","",INDEX('1. Plot &amp; Site Log'!$B$5:$B$64,MATCH($A42,'1. Plot &amp; Site Log'!$A$5:$A$64,0)))</f>
        <v/>
      </c>
      <c r="C42" s="10" t="str">
        <f aca="false">IF($A42="","",COUNTIFS('2. Soil Data'!$A$5:$A$604,$A42))</f>
        <v/>
      </c>
      <c r="D42" s="10" t="str">
        <f aca="false">IF(OR($A42="",$C42=0,$O42=0),"",SUMIFS('2. Soil Data'!$R$5:$R$604,'2. Soil Data'!$A$5:$A$604,$A42)/$O42)</f>
        <v/>
      </c>
      <c r="E42" s="10" t="str">
        <f aca="false">IF(OR($A42="",$C42=0,$O42=0),"",SUMIFS('2. Soil Data'!$P$5:$P$604,'2. Soil Data'!$A$5:$A$604,$A42)/$O42)</f>
        <v/>
      </c>
      <c r="F42" s="10" t="str">
        <f aca="false">IF($A42="","",SUMPRODUCT(MAX(('2. Soil Data'!$A$5:$A$604=$A42)*IF(ISNUMBER('2. Soil Data'!$E$5:$E$604),'2. Soil Data'!$E$5:$E$604,0))))</f>
        <v/>
      </c>
      <c r="G42" s="10" t="str">
        <f aca="false">IF(OR($A42="",$P42=0),"",SUMIFS('3. Root Biomass'!$N$5:$N$904,'3. Root Biomass'!$A$5:$A$904,$A42)/$P42)</f>
        <v/>
      </c>
      <c r="H42" s="10" t="str">
        <f aca="false">IF($A42="","",IFERROR(SUMIFS('4. Vegetation Data'!$O$5:$O$64,'4. Vegetation Data'!$A$5:$A$64,$A42),""))</f>
        <v/>
      </c>
      <c r="I42" s="10" t="str">
        <f aca="false">IF($A42="","",IF(ISNUMBER($D42),$D42,0)+IF(ISNUMBER($G42),$G42,0)+IF(ISNUMBER($H42),$H42,0))</f>
        <v/>
      </c>
      <c r="J42" s="10" t="str">
        <f aca="false">IF($A42="","",IF(ISNUMBER($E42),$E42,0)+IF(ISNUMBER($G42),$G42,0)+IF(ISNUMBER($H42),$H42,0))</f>
        <v/>
      </c>
      <c r="K42" s="11" t="str">
        <f aca="false">IF($A42="","",IF($C42=0,"No soil increments for this plot — it contributes nothing. ","")&amp;IF(AND(ISNUMBER($F42),$F42&lt;SOIL_REPORTING_DEPTH_CM),"Cored shallower than the reporting depth, so the reporting-depth figure is an UNDERESTIMATE for this plot. ","")&amp;IF(AND(ISNUMBER($G42),$G42&gt;0,ISNUMBER($F42)),"Root total reaches only "&amp;$F42&amp;" cm — the bottom of the core, not the bottom of the roots. Report it as a MINIMUM. ","")&amp;IF(AND(ISNUMBER($G42),$G42&gt;0,ROOT_SOIL_REPORTING_BOUNDARY="Not agreed with the lab"),"Root carbon is being added to a soil stock whose root content was never agreed with the lab. The overlap is unknown, not zero — settle ROOT_SOIL_REPORTING_BOUNDARY before reporting a combined figure. ","")&amp;IF(AND(ISNUMBER($G42),$G42&gt;0,ROOT_SOIL_REPORTING_BOUNDARY="Operational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2" s="9" t="str">
        <f aca="false">IF(ISNUMBER($D42),$D42,"")</f>
        <v/>
      </c>
      <c r="M42" s="9" t="str">
        <f aca="false">IF(ISNUMBER($G42),$G42,"")</f>
        <v/>
      </c>
      <c r="N42" s="9" t="n">
        <f aca="false">IF(AND(ISNUMBER($D42),$A42&lt;&gt;""),1,0)</f>
        <v>0</v>
      </c>
      <c r="O42" s="9" t="str">
        <f aca="false">IF($A42="","",SUMIFS('2. Soil Data'!$U$5:$U$604,'2. Soil Data'!$A$5:$A$604,$A42))</f>
        <v/>
      </c>
      <c r="P42" s="9" t="str">
        <f aca="false">IF($A42="","",SUMIFS('3. Root Biomass'!$Q$5:$Q$904,'3. Root Biomass'!$A$5:$A$904,$A42))</f>
        <v/>
      </c>
      <c r="Q42" s="9" t="str">
        <f aca="false">IF(ISNUMBER($D42),$D42^2,"")</f>
        <v/>
      </c>
      <c r="R42" s="9" t="str">
        <f aca="false">IF(ISNUMBER($G42),$G42^2,"")</f>
        <v/>
      </c>
      <c r="S42" s="9" t="str">
        <f aca="false">IF($A42="","",IF(ISNUMBER($D42),$D42,0)+IF(ISNUMBER($G42),$G42,0))</f>
        <v/>
      </c>
      <c r="T42" s="9" t="str">
        <f aca="false">IF(ISNUMBER($S42),$S42^2,"")</f>
        <v/>
      </c>
    </row>
    <row r="43" customFormat="false" ht="15" hidden="false" customHeight="false" outlineLevel="0" collapsed="false">
      <c r="A43" s="10" t="str">
        <f aca="false">IF(INDEX('1. Plot &amp; Site Log'!$A$5:$A$64,39)="","",INDEX('1. Plot &amp; Site Log'!$A$5:$A$64,39))</f>
        <v/>
      </c>
      <c r="B43" s="10" t="str">
        <f aca="false">IF($A43="","",INDEX('1. Plot &amp; Site Log'!$B$5:$B$64,MATCH($A43,'1. Plot &amp; Site Log'!$A$5:$A$64,0)))</f>
        <v/>
      </c>
      <c r="C43" s="10" t="str">
        <f aca="false">IF($A43="","",COUNTIFS('2. Soil Data'!$A$5:$A$604,$A43))</f>
        <v/>
      </c>
      <c r="D43" s="10" t="str">
        <f aca="false">IF(OR($A43="",$C43=0,$O43=0),"",SUMIFS('2. Soil Data'!$R$5:$R$604,'2. Soil Data'!$A$5:$A$604,$A43)/$O43)</f>
        <v/>
      </c>
      <c r="E43" s="10" t="str">
        <f aca="false">IF(OR($A43="",$C43=0,$O43=0),"",SUMIFS('2. Soil Data'!$P$5:$P$604,'2. Soil Data'!$A$5:$A$604,$A43)/$O43)</f>
        <v/>
      </c>
      <c r="F43" s="10" t="str">
        <f aca="false">IF($A43="","",SUMPRODUCT(MAX(('2. Soil Data'!$A$5:$A$604=$A43)*IF(ISNUMBER('2. Soil Data'!$E$5:$E$604),'2. Soil Data'!$E$5:$E$604,0))))</f>
        <v/>
      </c>
      <c r="G43" s="10" t="str">
        <f aca="false">IF(OR($A43="",$P43=0),"",SUMIFS('3. Root Biomass'!$N$5:$N$904,'3. Root Biomass'!$A$5:$A$904,$A43)/$P43)</f>
        <v/>
      </c>
      <c r="H43" s="10" t="str">
        <f aca="false">IF($A43="","",IFERROR(SUMIFS('4. Vegetation Data'!$O$5:$O$64,'4. Vegetation Data'!$A$5:$A$64,$A43),""))</f>
        <v/>
      </c>
      <c r="I43" s="10" t="str">
        <f aca="false">IF($A43="","",IF(ISNUMBER($D43),$D43,0)+IF(ISNUMBER($G43),$G43,0)+IF(ISNUMBER($H43),$H43,0))</f>
        <v/>
      </c>
      <c r="J43" s="10" t="str">
        <f aca="false">IF($A43="","",IF(ISNUMBER($E43),$E43,0)+IF(ISNUMBER($G43),$G43,0)+IF(ISNUMBER($H43),$H43,0))</f>
        <v/>
      </c>
      <c r="K43" s="11" t="str">
        <f aca="false">IF($A43="","",IF($C43=0,"No soil increments for this plot — it contributes nothing. ","")&amp;IF(AND(ISNUMBER($F43),$F43&lt;SOIL_REPORTING_DEPTH_CM),"Cored shallower than the reporting depth, so the reporting-depth figure is an UNDERESTIMATE for this plot. ","")&amp;IF(AND(ISNUMBER($G43),$G43&gt;0,ISNUMBER($F43)),"Root total reaches only "&amp;$F43&amp;" cm — the bottom of the core, not the bottom of the roots. Report it as a MINIMUM. ","")&amp;IF(AND(ISNUMBER($G43),$G43&gt;0,ROOT_SOIL_REPORTING_BOUNDARY="Not agreed with the lab"),"Root carbon is being added to a soil stock whose root content was never agreed with the lab. The overlap is unknown, not zero — settle ROOT_SOIL_REPORTING_BOUNDARY before reporting a combined figure. ","")&amp;IF(AND(ISNUMBER($G43),$G43&gt;0,ROOT_SOIL_REPORTING_BOUNDARY="Operational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3" s="9" t="str">
        <f aca="false">IF(ISNUMBER($D43),$D43,"")</f>
        <v/>
      </c>
      <c r="M43" s="9" t="str">
        <f aca="false">IF(ISNUMBER($G43),$G43,"")</f>
        <v/>
      </c>
      <c r="N43" s="9" t="n">
        <f aca="false">IF(AND(ISNUMBER($D43),$A43&lt;&gt;""),1,0)</f>
        <v>0</v>
      </c>
      <c r="O43" s="9" t="str">
        <f aca="false">IF($A43="","",SUMIFS('2. Soil Data'!$U$5:$U$604,'2. Soil Data'!$A$5:$A$604,$A43))</f>
        <v/>
      </c>
      <c r="P43" s="9" t="str">
        <f aca="false">IF($A43="","",SUMIFS('3. Root Biomass'!$Q$5:$Q$904,'3. Root Biomass'!$A$5:$A$904,$A43))</f>
        <v/>
      </c>
      <c r="Q43" s="9" t="str">
        <f aca="false">IF(ISNUMBER($D43),$D43^2,"")</f>
        <v/>
      </c>
      <c r="R43" s="9" t="str">
        <f aca="false">IF(ISNUMBER($G43),$G43^2,"")</f>
        <v/>
      </c>
      <c r="S43" s="9" t="str">
        <f aca="false">IF($A43="","",IF(ISNUMBER($D43),$D43,0)+IF(ISNUMBER($G43),$G43,0))</f>
        <v/>
      </c>
      <c r="T43" s="9" t="str">
        <f aca="false">IF(ISNUMBER($S43),$S43^2,"")</f>
        <v/>
      </c>
    </row>
    <row r="44" customFormat="false" ht="15" hidden="false" customHeight="false" outlineLevel="0" collapsed="false">
      <c r="A44" s="10" t="str">
        <f aca="false">IF(INDEX('1. Plot &amp; Site Log'!$A$5:$A$64,40)="","",INDEX('1. Plot &amp; Site Log'!$A$5:$A$64,40))</f>
        <v/>
      </c>
      <c r="B44" s="10" t="str">
        <f aca="false">IF($A44="","",INDEX('1. Plot &amp; Site Log'!$B$5:$B$64,MATCH($A44,'1. Plot &amp; Site Log'!$A$5:$A$64,0)))</f>
        <v/>
      </c>
      <c r="C44" s="10" t="str">
        <f aca="false">IF($A44="","",COUNTIFS('2. Soil Data'!$A$5:$A$604,$A44))</f>
        <v/>
      </c>
      <c r="D44" s="10" t="str">
        <f aca="false">IF(OR($A44="",$C44=0,$O44=0),"",SUMIFS('2. Soil Data'!$R$5:$R$604,'2. Soil Data'!$A$5:$A$604,$A44)/$O44)</f>
        <v/>
      </c>
      <c r="E44" s="10" t="str">
        <f aca="false">IF(OR($A44="",$C44=0,$O44=0),"",SUMIFS('2. Soil Data'!$P$5:$P$604,'2. Soil Data'!$A$5:$A$604,$A44)/$O44)</f>
        <v/>
      </c>
      <c r="F44" s="10" t="str">
        <f aca="false">IF($A44="","",SUMPRODUCT(MAX(('2. Soil Data'!$A$5:$A$604=$A44)*IF(ISNUMBER('2. Soil Data'!$E$5:$E$604),'2. Soil Data'!$E$5:$E$604,0))))</f>
        <v/>
      </c>
      <c r="G44" s="10" t="str">
        <f aca="false">IF(OR($A44="",$P44=0),"",SUMIFS('3. Root Biomass'!$N$5:$N$904,'3. Root Biomass'!$A$5:$A$904,$A44)/$P44)</f>
        <v/>
      </c>
      <c r="H44" s="10" t="str">
        <f aca="false">IF($A44="","",IFERROR(SUMIFS('4. Vegetation Data'!$O$5:$O$64,'4. Vegetation Data'!$A$5:$A$64,$A44),""))</f>
        <v/>
      </c>
      <c r="I44" s="10" t="str">
        <f aca="false">IF($A44="","",IF(ISNUMBER($D44),$D44,0)+IF(ISNUMBER($G44),$G44,0)+IF(ISNUMBER($H44),$H44,0))</f>
        <v/>
      </c>
      <c r="J44" s="10" t="str">
        <f aca="false">IF($A44="","",IF(ISNUMBER($E44),$E44,0)+IF(ISNUMBER($G44),$G44,0)+IF(ISNUMBER($H44),$H44,0))</f>
        <v/>
      </c>
      <c r="K44" s="11" t="str">
        <f aca="false">IF($A44="","",IF($C44=0,"No soil increments for this plot — it contributes nothing. ","")&amp;IF(AND(ISNUMBER($F44),$F44&lt;SOIL_REPORTING_DEPTH_CM),"Cored shallower than the reporting depth, so the reporting-depth figure is an UNDERESTIMATE for this plot. ","")&amp;IF(AND(ISNUMBER($G44),$G44&gt;0,ISNUMBER($F44)),"Root total reaches only "&amp;$F44&amp;" cm — the bottom of the core, not the bottom of the roots. Report it as a MINIMUM. ","")&amp;IF(AND(ISNUMBER($G44),$G44&gt;0,ROOT_SOIL_REPORTING_BOUNDARY="Not agreed with the lab"),"Root carbon is being added to a soil stock whose root content was never agreed with the lab. The overlap is unknown, not zero — settle ROOT_SOIL_REPORTING_BOUNDARY before reporting a combined figure. ","")&amp;IF(AND(ISNUMBER($G44),$G44&gt;0,ROOT_SOIL_REPORTING_BOUNDARY="Operational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4" s="9" t="str">
        <f aca="false">IF(ISNUMBER($D44),$D44,"")</f>
        <v/>
      </c>
      <c r="M44" s="9" t="str">
        <f aca="false">IF(ISNUMBER($G44),$G44,"")</f>
        <v/>
      </c>
      <c r="N44" s="9" t="n">
        <f aca="false">IF(AND(ISNUMBER($D44),$A44&lt;&gt;""),1,0)</f>
        <v>0</v>
      </c>
      <c r="O44" s="9" t="str">
        <f aca="false">IF($A44="","",SUMIFS('2. Soil Data'!$U$5:$U$604,'2. Soil Data'!$A$5:$A$604,$A44))</f>
        <v/>
      </c>
      <c r="P44" s="9" t="str">
        <f aca="false">IF($A44="","",SUMIFS('3. Root Biomass'!$Q$5:$Q$904,'3. Root Biomass'!$A$5:$A$904,$A44))</f>
        <v/>
      </c>
      <c r="Q44" s="9" t="str">
        <f aca="false">IF(ISNUMBER($D44),$D44^2,"")</f>
        <v/>
      </c>
      <c r="R44" s="9" t="str">
        <f aca="false">IF(ISNUMBER($G44),$G44^2,"")</f>
        <v/>
      </c>
      <c r="S44" s="9" t="str">
        <f aca="false">IF($A44="","",IF(ISNUMBER($D44),$D44,0)+IF(ISNUMBER($G44),$G44,0))</f>
        <v/>
      </c>
      <c r="T44" s="9" t="str">
        <f aca="false">IF(ISNUMBER($S44),$S44^2,"")</f>
        <v/>
      </c>
    </row>
    <row r="45" customFormat="false" ht="15" hidden="false" customHeight="false" outlineLevel="0" collapsed="false">
      <c r="A45" s="10" t="str">
        <f aca="false">IF(INDEX('1. Plot &amp; Site Log'!$A$5:$A$64,41)="","",INDEX('1. Plot &amp; Site Log'!$A$5:$A$64,41))</f>
        <v/>
      </c>
      <c r="B45" s="10" t="str">
        <f aca="false">IF($A45="","",INDEX('1. Plot &amp; Site Log'!$B$5:$B$64,MATCH($A45,'1. Plot &amp; Site Log'!$A$5:$A$64,0)))</f>
        <v/>
      </c>
      <c r="C45" s="10" t="str">
        <f aca="false">IF($A45="","",COUNTIFS('2. Soil Data'!$A$5:$A$604,$A45))</f>
        <v/>
      </c>
      <c r="D45" s="10" t="str">
        <f aca="false">IF(OR($A45="",$C45=0,$O45=0),"",SUMIFS('2. Soil Data'!$R$5:$R$604,'2. Soil Data'!$A$5:$A$604,$A45)/$O45)</f>
        <v/>
      </c>
      <c r="E45" s="10" t="str">
        <f aca="false">IF(OR($A45="",$C45=0,$O45=0),"",SUMIFS('2. Soil Data'!$P$5:$P$604,'2. Soil Data'!$A$5:$A$604,$A45)/$O45)</f>
        <v/>
      </c>
      <c r="F45" s="10" t="str">
        <f aca="false">IF($A45="","",SUMPRODUCT(MAX(('2. Soil Data'!$A$5:$A$604=$A45)*IF(ISNUMBER('2. Soil Data'!$E$5:$E$604),'2. Soil Data'!$E$5:$E$604,0))))</f>
        <v/>
      </c>
      <c r="G45" s="10" t="str">
        <f aca="false">IF(OR($A45="",$P45=0),"",SUMIFS('3. Root Biomass'!$N$5:$N$904,'3. Root Biomass'!$A$5:$A$904,$A45)/$P45)</f>
        <v/>
      </c>
      <c r="H45" s="10" t="str">
        <f aca="false">IF($A45="","",IFERROR(SUMIFS('4. Vegetation Data'!$O$5:$O$64,'4. Vegetation Data'!$A$5:$A$64,$A45),""))</f>
        <v/>
      </c>
      <c r="I45" s="10" t="str">
        <f aca="false">IF($A45="","",IF(ISNUMBER($D45),$D45,0)+IF(ISNUMBER($G45),$G45,0)+IF(ISNUMBER($H45),$H45,0))</f>
        <v/>
      </c>
      <c r="J45" s="10" t="str">
        <f aca="false">IF($A45="","",IF(ISNUMBER($E45),$E45,0)+IF(ISNUMBER($G45),$G45,0)+IF(ISNUMBER($H45),$H45,0))</f>
        <v/>
      </c>
      <c r="K45" s="11" t="str">
        <f aca="false">IF($A45="","",IF($C45=0,"No soil increments for this plot — it contributes nothing. ","")&amp;IF(AND(ISNUMBER($F45),$F45&lt;SOIL_REPORTING_DEPTH_CM),"Cored shallower than the reporting depth, so the reporting-depth figure is an UNDERESTIMATE for this plot. ","")&amp;IF(AND(ISNUMBER($G45),$G45&gt;0,ISNUMBER($F45)),"Root total reaches only "&amp;$F45&amp;" cm — the bottom of the core, not the bottom of the roots. Report it as a MINIMUM. ","")&amp;IF(AND(ISNUMBER($G45),$G45&gt;0,ROOT_SOIL_REPORTING_BOUNDARY="Not agreed with the lab"),"Root carbon is being added to a soil stock whose root content was never agreed with the lab. The overlap is unknown, not zero — settle ROOT_SOIL_REPORTING_BOUNDARY before reporting a combined figure. ","")&amp;IF(AND(ISNUMBER($G45),$G45&gt;0,ROOT_SOIL_REPORTING_BOUNDARY="Operational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5" s="9" t="str">
        <f aca="false">IF(ISNUMBER($D45),$D45,"")</f>
        <v/>
      </c>
      <c r="M45" s="9" t="str">
        <f aca="false">IF(ISNUMBER($G45),$G45,"")</f>
        <v/>
      </c>
      <c r="N45" s="9" t="n">
        <f aca="false">IF(AND(ISNUMBER($D45),$A45&lt;&gt;""),1,0)</f>
        <v>0</v>
      </c>
      <c r="O45" s="9" t="str">
        <f aca="false">IF($A45="","",SUMIFS('2. Soil Data'!$U$5:$U$604,'2. Soil Data'!$A$5:$A$604,$A45))</f>
        <v/>
      </c>
      <c r="P45" s="9" t="str">
        <f aca="false">IF($A45="","",SUMIFS('3. Root Biomass'!$Q$5:$Q$904,'3. Root Biomass'!$A$5:$A$904,$A45))</f>
        <v/>
      </c>
      <c r="Q45" s="9" t="str">
        <f aca="false">IF(ISNUMBER($D45),$D45^2,"")</f>
        <v/>
      </c>
      <c r="R45" s="9" t="str">
        <f aca="false">IF(ISNUMBER($G45),$G45^2,"")</f>
        <v/>
      </c>
      <c r="S45" s="9" t="str">
        <f aca="false">IF($A45="","",IF(ISNUMBER($D45),$D45,0)+IF(ISNUMBER($G45),$G45,0))</f>
        <v/>
      </c>
      <c r="T45" s="9" t="str">
        <f aca="false">IF(ISNUMBER($S45),$S45^2,"")</f>
        <v/>
      </c>
    </row>
    <row r="46" customFormat="false" ht="15" hidden="false" customHeight="false" outlineLevel="0" collapsed="false">
      <c r="A46" s="10" t="str">
        <f aca="false">IF(INDEX('1. Plot &amp; Site Log'!$A$5:$A$64,42)="","",INDEX('1. Plot &amp; Site Log'!$A$5:$A$64,42))</f>
        <v/>
      </c>
      <c r="B46" s="10" t="str">
        <f aca="false">IF($A46="","",INDEX('1. Plot &amp; Site Log'!$B$5:$B$64,MATCH($A46,'1. Plot &amp; Site Log'!$A$5:$A$64,0)))</f>
        <v/>
      </c>
      <c r="C46" s="10" t="str">
        <f aca="false">IF($A46="","",COUNTIFS('2. Soil Data'!$A$5:$A$604,$A46))</f>
        <v/>
      </c>
      <c r="D46" s="10" t="str">
        <f aca="false">IF(OR($A46="",$C46=0,$O46=0),"",SUMIFS('2. Soil Data'!$R$5:$R$604,'2. Soil Data'!$A$5:$A$604,$A46)/$O46)</f>
        <v/>
      </c>
      <c r="E46" s="10" t="str">
        <f aca="false">IF(OR($A46="",$C46=0,$O46=0),"",SUMIFS('2. Soil Data'!$P$5:$P$604,'2. Soil Data'!$A$5:$A$604,$A46)/$O46)</f>
        <v/>
      </c>
      <c r="F46" s="10" t="str">
        <f aca="false">IF($A46="","",SUMPRODUCT(MAX(('2. Soil Data'!$A$5:$A$604=$A46)*IF(ISNUMBER('2. Soil Data'!$E$5:$E$604),'2. Soil Data'!$E$5:$E$604,0))))</f>
        <v/>
      </c>
      <c r="G46" s="10" t="str">
        <f aca="false">IF(OR($A46="",$P46=0),"",SUMIFS('3. Root Biomass'!$N$5:$N$904,'3. Root Biomass'!$A$5:$A$904,$A46)/$P46)</f>
        <v/>
      </c>
      <c r="H46" s="10" t="str">
        <f aca="false">IF($A46="","",IFERROR(SUMIFS('4. Vegetation Data'!$O$5:$O$64,'4. Vegetation Data'!$A$5:$A$64,$A46),""))</f>
        <v/>
      </c>
      <c r="I46" s="10" t="str">
        <f aca="false">IF($A46="","",IF(ISNUMBER($D46),$D46,0)+IF(ISNUMBER($G46),$G46,0)+IF(ISNUMBER($H46),$H46,0))</f>
        <v/>
      </c>
      <c r="J46" s="10" t="str">
        <f aca="false">IF($A46="","",IF(ISNUMBER($E46),$E46,0)+IF(ISNUMBER($G46),$G46,0)+IF(ISNUMBER($H46),$H46,0))</f>
        <v/>
      </c>
      <c r="K46" s="11" t="str">
        <f aca="false">IF($A46="","",IF($C46=0,"No soil increments for this plot — it contributes nothing. ","")&amp;IF(AND(ISNUMBER($F46),$F46&lt;SOIL_REPORTING_DEPTH_CM),"Cored shallower than the reporting depth, so the reporting-depth figure is an UNDERESTIMATE for this plot. ","")&amp;IF(AND(ISNUMBER($G46),$G46&gt;0,ISNUMBER($F46)),"Root total reaches only "&amp;$F46&amp;" cm — the bottom of the core, not the bottom of the roots. Report it as a MINIMUM. ","")&amp;IF(AND(ISNUMBER($G46),$G46&gt;0,ROOT_SOIL_REPORTING_BOUNDARY="Not agreed with the lab"),"Root carbon is being added to a soil stock whose root content was never agreed with the lab. The overlap is unknown, not zero — settle ROOT_SOIL_REPORTING_BOUNDARY before reporting a combined figure. ","")&amp;IF(AND(ISNUMBER($G46),$G46&gt;0,ROOT_SOIL_REPORTING_BOUNDARY="Operational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6" s="9" t="str">
        <f aca="false">IF(ISNUMBER($D46),$D46,"")</f>
        <v/>
      </c>
      <c r="M46" s="9" t="str">
        <f aca="false">IF(ISNUMBER($G46),$G46,"")</f>
        <v/>
      </c>
      <c r="N46" s="9" t="n">
        <f aca="false">IF(AND(ISNUMBER($D46),$A46&lt;&gt;""),1,0)</f>
        <v>0</v>
      </c>
      <c r="O46" s="9" t="str">
        <f aca="false">IF($A46="","",SUMIFS('2. Soil Data'!$U$5:$U$604,'2. Soil Data'!$A$5:$A$604,$A46))</f>
        <v/>
      </c>
      <c r="P46" s="9" t="str">
        <f aca="false">IF($A46="","",SUMIFS('3. Root Biomass'!$Q$5:$Q$904,'3. Root Biomass'!$A$5:$A$904,$A46))</f>
        <v/>
      </c>
      <c r="Q46" s="9" t="str">
        <f aca="false">IF(ISNUMBER($D46),$D46^2,"")</f>
        <v/>
      </c>
      <c r="R46" s="9" t="str">
        <f aca="false">IF(ISNUMBER($G46),$G46^2,"")</f>
        <v/>
      </c>
      <c r="S46" s="9" t="str">
        <f aca="false">IF($A46="","",IF(ISNUMBER($D46),$D46,0)+IF(ISNUMBER($G46),$G46,0))</f>
        <v/>
      </c>
      <c r="T46" s="9" t="str">
        <f aca="false">IF(ISNUMBER($S46),$S46^2,"")</f>
        <v/>
      </c>
    </row>
    <row r="47" customFormat="false" ht="15" hidden="false" customHeight="false" outlineLevel="0" collapsed="false">
      <c r="A47" s="10" t="str">
        <f aca="false">IF(INDEX('1. Plot &amp; Site Log'!$A$5:$A$64,43)="","",INDEX('1. Plot &amp; Site Log'!$A$5:$A$64,43))</f>
        <v/>
      </c>
      <c r="B47" s="10" t="str">
        <f aca="false">IF($A47="","",INDEX('1. Plot &amp; Site Log'!$B$5:$B$64,MATCH($A47,'1. Plot &amp; Site Log'!$A$5:$A$64,0)))</f>
        <v/>
      </c>
      <c r="C47" s="10" t="str">
        <f aca="false">IF($A47="","",COUNTIFS('2. Soil Data'!$A$5:$A$604,$A47))</f>
        <v/>
      </c>
      <c r="D47" s="10" t="str">
        <f aca="false">IF(OR($A47="",$C47=0,$O47=0),"",SUMIFS('2. Soil Data'!$R$5:$R$604,'2. Soil Data'!$A$5:$A$604,$A47)/$O47)</f>
        <v/>
      </c>
      <c r="E47" s="10" t="str">
        <f aca="false">IF(OR($A47="",$C47=0,$O47=0),"",SUMIFS('2. Soil Data'!$P$5:$P$604,'2. Soil Data'!$A$5:$A$604,$A47)/$O47)</f>
        <v/>
      </c>
      <c r="F47" s="10" t="str">
        <f aca="false">IF($A47="","",SUMPRODUCT(MAX(('2. Soil Data'!$A$5:$A$604=$A47)*IF(ISNUMBER('2. Soil Data'!$E$5:$E$604),'2. Soil Data'!$E$5:$E$604,0))))</f>
        <v/>
      </c>
      <c r="G47" s="10" t="str">
        <f aca="false">IF(OR($A47="",$P47=0),"",SUMIFS('3. Root Biomass'!$N$5:$N$904,'3. Root Biomass'!$A$5:$A$904,$A47)/$P47)</f>
        <v/>
      </c>
      <c r="H47" s="10" t="str">
        <f aca="false">IF($A47="","",IFERROR(SUMIFS('4. Vegetation Data'!$O$5:$O$64,'4. Vegetation Data'!$A$5:$A$64,$A47),""))</f>
        <v/>
      </c>
      <c r="I47" s="10" t="str">
        <f aca="false">IF($A47="","",IF(ISNUMBER($D47),$D47,0)+IF(ISNUMBER($G47),$G47,0)+IF(ISNUMBER($H47),$H47,0))</f>
        <v/>
      </c>
      <c r="J47" s="10" t="str">
        <f aca="false">IF($A47="","",IF(ISNUMBER($E47),$E47,0)+IF(ISNUMBER($G47),$G47,0)+IF(ISNUMBER($H47),$H47,0))</f>
        <v/>
      </c>
      <c r="K47" s="11" t="str">
        <f aca="false">IF($A47="","",IF($C47=0,"No soil increments for this plot — it contributes nothing. ","")&amp;IF(AND(ISNUMBER($F47),$F47&lt;SOIL_REPORTING_DEPTH_CM),"Cored shallower than the reporting depth, so the reporting-depth figure is an UNDERESTIMATE for this plot. ","")&amp;IF(AND(ISNUMBER($G47),$G47&gt;0,ISNUMBER($F47)),"Root total reaches only "&amp;$F47&amp;" cm — the bottom of the core, not the bottom of the roots. Report it as a MINIMUM. ","")&amp;IF(AND(ISNUMBER($G47),$G47&gt;0,ROOT_SOIL_REPORTING_BOUNDARY="Not agreed with the lab"),"Root carbon is being added to a soil stock whose root content was never agreed with the lab. The overlap is unknown, not zero — settle ROOT_SOIL_REPORTING_BOUNDARY before reporting a combined figure. ","")&amp;IF(AND(ISNUMBER($G47),$G47&gt;0,ROOT_SOIL_REPORTING_BOUNDARY="Operational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7" s="9" t="str">
        <f aca="false">IF(ISNUMBER($D47),$D47,"")</f>
        <v/>
      </c>
      <c r="M47" s="9" t="str">
        <f aca="false">IF(ISNUMBER($G47),$G47,"")</f>
        <v/>
      </c>
      <c r="N47" s="9" t="n">
        <f aca="false">IF(AND(ISNUMBER($D47),$A47&lt;&gt;""),1,0)</f>
        <v>0</v>
      </c>
      <c r="O47" s="9" t="str">
        <f aca="false">IF($A47="","",SUMIFS('2. Soil Data'!$U$5:$U$604,'2. Soil Data'!$A$5:$A$604,$A47))</f>
        <v/>
      </c>
      <c r="P47" s="9" t="str">
        <f aca="false">IF($A47="","",SUMIFS('3. Root Biomass'!$Q$5:$Q$904,'3. Root Biomass'!$A$5:$A$904,$A47))</f>
        <v/>
      </c>
      <c r="Q47" s="9" t="str">
        <f aca="false">IF(ISNUMBER($D47),$D47^2,"")</f>
        <v/>
      </c>
      <c r="R47" s="9" t="str">
        <f aca="false">IF(ISNUMBER($G47),$G47^2,"")</f>
        <v/>
      </c>
      <c r="S47" s="9" t="str">
        <f aca="false">IF($A47="","",IF(ISNUMBER($D47),$D47,0)+IF(ISNUMBER($G47),$G47,0))</f>
        <v/>
      </c>
      <c r="T47" s="9" t="str">
        <f aca="false">IF(ISNUMBER($S47),$S47^2,"")</f>
        <v/>
      </c>
    </row>
    <row r="48" customFormat="false" ht="15" hidden="false" customHeight="false" outlineLevel="0" collapsed="false">
      <c r="A48" s="10" t="str">
        <f aca="false">IF(INDEX('1. Plot &amp; Site Log'!$A$5:$A$64,44)="","",INDEX('1. Plot &amp; Site Log'!$A$5:$A$64,44))</f>
        <v/>
      </c>
      <c r="B48" s="10" t="str">
        <f aca="false">IF($A48="","",INDEX('1. Plot &amp; Site Log'!$B$5:$B$64,MATCH($A48,'1. Plot &amp; Site Log'!$A$5:$A$64,0)))</f>
        <v/>
      </c>
      <c r="C48" s="10" t="str">
        <f aca="false">IF($A48="","",COUNTIFS('2. Soil Data'!$A$5:$A$604,$A48))</f>
        <v/>
      </c>
      <c r="D48" s="10" t="str">
        <f aca="false">IF(OR($A48="",$C48=0,$O48=0),"",SUMIFS('2. Soil Data'!$R$5:$R$604,'2. Soil Data'!$A$5:$A$604,$A48)/$O48)</f>
        <v/>
      </c>
      <c r="E48" s="10" t="str">
        <f aca="false">IF(OR($A48="",$C48=0,$O48=0),"",SUMIFS('2. Soil Data'!$P$5:$P$604,'2. Soil Data'!$A$5:$A$604,$A48)/$O48)</f>
        <v/>
      </c>
      <c r="F48" s="10" t="str">
        <f aca="false">IF($A48="","",SUMPRODUCT(MAX(('2. Soil Data'!$A$5:$A$604=$A48)*IF(ISNUMBER('2. Soil Data'!$E$5:$E$604),'2. Soil Data'!$E$5:$E$604,0))))</f>
        <v/>
      </c>
      <c r="G48" s="10" t="str">
        <f aca="false">IF(OR($A48="",$P48=0),"",SUMIFS('3. Root Biomass'!$N$5:$N$904,'3. Root Biomass'!$A$5:$A$904,$A48)/$P48)</f>
        <v/>
      </c>
      <c r="H48" s="10" t="str">
        <f aca="false">IF($A48="","",IFERROR(SUMIFS('4. Vegetation Data'!$O$5:$O$64,'4. Vegetation Data'!$A$5:$A$64,$A48),""))</f>
        <v/>
      </c>
      <c r="I48" s="10" t="str">
        <f aca="false">IF($A48="","",IF(ISNUMBER($D48),$D48,0)+IF(ISNUMBER($G48),$G48,0)+IF(ISNUMBER($H48),$H48,0))</f>
        <v/>
      </c>
      <c r="J48" s="10" t="str">
        <f aca="false">IF($A48="","",IF(ISNUMBER($E48),$E48,0)+IF(ISNUMBER($G48),$G48,0)+IF(ISNUMBER($H48),$H48,0))</f>
        <v/>
      </c>
      <c r="K48" s="11" t="str">
        <f aca="false">IF($A48="","",IF($C48=0,"No soil increments for this plot — it contributes nothing. ","")&amp;IF(AND(ISNUMBER($F48),$F48&lt;SOIL_REPORTING_DEPTH_CM),"Cored shallower than the reporting depth, so the reporting-depth figure is an UNDERESTIMATE for this plot. ","")&amp;IF(AND(ISNUMBER($G48),$G48&gt;0,ISNUMBER($F48)),"Root total reaches only "&amp;$F48&amp;" cm — the bottom of the core, not the bottom of the roots. Report it as a MINIMUM. ","")&amp;IF(AND(ISNUMBER($G48),$G48&gt;0,ROOT_SOIL_REPORTING_BOUNDARY="Not agreed with the lab"),"Root carbon is being added to a soil stock whose root content was never agreed with the lab. The overlap is unknown, not zero — settle ROOT_SOIL_REPORTING_BOUNDARY before reporting a combined figure. ","")&amp;IF(AND(ISNUMBER($G48),$G48&gt;0,ROOT_SOIL_REPORTING_BOUNDARY="Operational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8" s="9" t="str">
        <f aca="false">IF(ISNUMBER($D48),$D48,"")</f>
        <v/>
      </c>
      <c r="M48" s="9" t="str">
        <f aca="false">IF(ISNUMBER($G48),$G48,"")</f>
        <v/>
      </c>
      <c r="N48" s="9" t="n">
        <f aca="false">IF(AND(ISNUMBER($D48),$A48&lt;&gt;""),1,0)</f>
        <v>0</v>
      </c>
      <c r="O48" s="9" t="str">
        <f aca="false">IF($A48="","",SUMIFS('2. Soil Data'!$U$5:$U$604,'2. Soil Data'!$A$5:$A$604,$A48))</f>
        <v/>
      </c>
      <c r="P48" s="9" t="str">
        <f aca="false">IF($A48="","",SUMIFS('3. Root Biomass'!$Q$5:$Q$904,'3. Root Biomass'!$A$5:$A$904,$A48))</f>
        <v/>
      </c>
      <c r="Q48" s="9" t="str">
        <f aca="false">IF(ISNUMBER($D48),$D48^2,"")</f>
        <v/>
      </c>
      <c r="R48" s="9" t="str">
        <f aca="false">IF(ISNUMBER($G48),$G48^2,"")</f>
        <v/>
      </c>
      <c r="S48" s="9" t="str">
        <f aca="false">IF($A48="","",IF(ISNUMBER($D48),$D48,0)+IF(ISNUMBER($G48),$G48,0))</f>
        <v/>
      </c>
      <c r="T48" s="9" t="str">
        <f aca="false">IF(ISNUMBER($S48),$S48^2,"")</f>
        <v/>
      </c>
    </row>
    <row r="49" customFormat="false" ht="15" hidden="false" customHeight="false" outlineLevel="0" collapsed="false">
      <c r="A49" s="10" t="str">
        <f aca="false">IF(INDEX('1. Plot &amp; Site Log'!$A$5:$A$64,45)="","",INDEX('1. Plot &amp; Site Log'!$A$5:$A$64,45))</f>
        <v/>
      </c>
      <c r="B49" s="10" t="str">
        <f aca="false">IF($A49="","",INDEX('1. Plot &amp; Site Log'!$B$5:$B$64,MATCH($A49,'1. Plot &amp; Site Log'!$A$5:$A$64,0)))</f>
        <v/>
      </c>
      <c r="C49" s="10" t="str">
        <f aca="false">IF($A49="","",COUNTIFS('2. Soil Data'!$A$5:$A$604,$A49))</f>
        <v/>
      </c>
      <c r="D49" s="10" t="str">
        <f aca="false">IF(OR($A49="",$C49=0,$O49=0),"",SUMIFS('2. Soil Data'!$R$5:$R$604,'2. Soil Data'!$A$5:$A$604,$A49)/$O49)</f>
        <v/>
      </c>
      <c r="E49" s="10" t="str">
        <f aca="false">IF(OR($A49="",$C49=0,$O49=0),"",SUMIFS('2. Soil Data'!$P$5:$P$604,'2. Soil Data'!$A$5:$A$604,$A49)/$O49)</f>
        <v/>
      </c>
      <c r="F49" s="10" t="str">
        <f aca="false">IF($A49="","",SUMPRODUCT(MAX(('2. Soil Data'!$A$5:$A$604=$A49)*IF(ISNUMBER('2. Soil Data'!$E$5:$E$604),'2. Soil Data'!$E$5:$E$604,0))))</f>
        <v/>
      </c>
      <c r="G49" s="10" t="str">
        <f aca="false">IF(OR($A49="",$P49=0),"",SUMIFS('3. Root Biomass'!$N$5:$N$904,'3. Root Biomass'!$A$5:$A$904,$A49)/$P49)</f>
        <v/>
      </c>
      <c r="H49" s="10" t="str">
        <f aca="false">IF($A49="","",IFERROR(SUMIFS('4. Vegetation Data'!$O$5:$O$64,'4. Vegetation Data'!$A$5:$A$64,$A49),""))</f>
        <v/>
      </c>
      <c r="I49" s="10" t="str">
        <f aca="false">IF($A49="","",IF(ISNUMBER($D49),$D49,0)+IF(ISNUMBER($G49),$G49,0)+IF(ISNUMBER($H49),$H49,0))</f>
        <v/>
      </c>
      <c r="J49" s="10" t="str">
        <f aca="false">IF($A49="","",IF(ISNUMBER($E49),$E49,0)+IF(ISNUMBER($G49),$G49,0)+IF(ISNUMBER($H49),$H49,0))</f>
        <v/>
      </c>
      <c r="K49" s="11" t="str">
        <f aca="false">IF($A49="","",IF($C49=0,"No soil increments for this plot — it contributes nothing. ","")&amp;IF(AND(ISNUMBER($F49),$F49&lt;SOIL_REPORTING_DEPTH_CM),"Cored shallower than the reporting depth, so the reporting-depth figure is an UNDERESTIMATE for this plot. ","")&amp;IF(AND(ISNUMBER($G49),$G49&gt;0,ISNUMBER($F49)),"Root total reaches only "&amp;$F49&amp;" cm — the bottom of the core, not the bottom of the roots. Report it as a MINIMUM. ","")&amp;IF(AND(ISNUMBER($G49),$G49&gt;0,ROOT_SOIL_REPORTING_BOUNDARY="Not agreed with the lab"),"Root carbon is being added to a soil stock whose root content was never agreed with the lab. The overlap is unknown, not zero — settle ROOT_SOIL_REPORTING_BOUNDARY before reporting a combined figure. ","")&amp;IF(AND(ISNUMBER($G49),$G49&gt;0,ROOT_SOIL_REPORTING_BOUNDARY="Operational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49" s="9" t="str">
        <f aca="false">IF(ISNUMBER($D49),$D49,"")</f>
        <v/>
      </c>
      <c r="M49" s="9" t="str">
        <f aca="false">IF(ISNUMBER($G49),$G49,"")</f>
        <v/>
      </c>
      <c r="N49" s="9" t="n">
        <f aca="false">IF(AND(ISNUMBER($D49),$A49&lt;&gt;""),1,0)</f>
        <v>0</v>
      </c>
      <c r="O49" s="9" t="str">
        <f aca="false">IF($A49="","",SUMIFS('2. Soil Data'!$U$5:$U$604,'2. Soil Data'!$A$5:$A$604,$A49))</f>
        <v/>
      </c>
      <c r="P49" s="9" t="str">
        <f aca="false">IF($A49="","",SUMIFS('3. Root Biomass'!$Q$5:$Q$904,'3. Root Biomass'!$A$5:$A$904,$A49))</f>
        <v/>
      </c>
      <c r="Q49" s="9" t="str">
        <f aca="false">IF(ISNUMBER($D49),$D49^2,"")</f>
        <v/>
      </c>
      <c r="R49" s="9" t="str">
        <f aca="false">IF(ISNUMBER($G49),$G49^2,"")</f>
        <v/>
      </c>
      <c r="S49" s="9" t="str">
        <f aca="false">IF($A49="","",IF(ISNUMBER($D49),$D49,0)+IF(ISNUMBER($G49),$G49,0))</f>
        <v/>
      </c>
      <c r="T49" s="9" t="str">
        <f aca="false">IF(ISNUMBER($S49),$S49^2,"")</f>
        <v/>
      </c>
    </row>
    <row r="50" customFormat="false" ht="15" hidden="false" customHeight="false" outlineLevel="0" collapsed="false">
      <c r="A50" s="10" t="str">
        <f aca="false">IF(INDEX('1. Plot &amp; Site Log'!$A$5:$A$64,46)="","",INDEX('1. Plot &amp; Site Log'!$A$5:$A$64,46))</f>
        <v/>
      </c>
      <c r="B50" s="10" t="str">
        <f aca="false">IF($A50="","",INDEX('1. Plot &amp; Site Log'!$B$5:$B$64,MATCH($A50,'1. Plot &amp; Site Log'!$A$5:$A$64,0)))</f>
        <v/>
      </c>
      <c r="C50" s="10" t="str">
        <f aca="false">IF($A50="","",COUNTIFS('2. Soil Data'!$A$5:$A$604,$A50))</f>
        <v/>
      </c>
      <c r="D50" s="10" t="str">
        <f aca="false">IF(OR($A50="",$C50=0,$O50=0),"",SUMIFS('2. Soil Data'!$R$5:$R$604,'2. Soil Data'!$A$5:$A$604,$A50)/$O50)</f>
        <v/>
      </c>
      <c r="E50" s="10" t="str">
        <f aca="false">IF(OR($A50="",$C50=0,$O50=0),"",SUMIFS('2. Soil Data'!$P$5:$P$604,'2. Soil Data'!$A$5:$A$604,$A50)/$O50)</f>
        <v/>
      </c>
      <c r="F50" s="10" t="str">
        <f aca="false">IF($A50="","",SUMPRODUCT(MAX(('2. Soil Data'!$A$5:$A$604=$A50)*IF(ISNUMBER('2. Soil Data'!$E$5:$E$604),'2. Soil Data'!$E$5:$E$604,0))))</f>
        <v/>
      </c>
      <c r="G50" s="10" t="str">
        <f aca="false">IF(OR($A50="",$P50=0),"",SUMIFS('3. Root Biomass'!$N$5:$N$904,'3. Root Biomass'!$A$5:$A$904,$A50)/$P50)</f>
        <v/>
      </c>
      <c r="H50" s="10" t="str">
        <f aca="false">IF($A50="","",IFERROR(SUMIFS('4. Vegetation Data'!$O$5:$O$64,'4. Vegetation Data'!$A$5:$A$64,$A50),""))</f>
        <v/>
      </c>
      <c r="I50" s="10" t="str">
        <f aca="false">IF($A50="","",IF(ISNUMBER($D50),$D50,0)+IF(ISNUMBER($G50),$G50,0)+IF(ISNUMBER($H50),$H50,0))</f>
        <v/>
      </c>
      <c r="J50" s="10" t="str">
        <f aca="false">IF($A50="","",IF(ISNUMBER($E50),$E50,0)+IF(ISNUMBER($G50),$G50,0)+IF(ISNUMBER($H50),$H50,0))</f>
        <v/>
      </c>
      <c r="K50" s="11" t="str">
        <f aca="false">IF($A50="","",IF($C50=0,"No soil increments for this plot — it contributes nothing. ","")&amp;IF(AND(ISNUMBER($F50),$F50&lt;SOIL_REPORTING_DEPTH_CM),"Cored shallower than the reporting depth, so the reporting-depth figure is an UNDERESTIMATE for this plot. ","")&amp;IF(AND(ISNUMBER($G50),$G50&gt;0,ISNUMBER($F50)),"Root total reaches only "&amp;$F50&amp;" cm — the bottom of the core, not the bottom of the roots. Report it as a MINIMUM. ","")&amp;IF(AND(ISNUMBER($G50),$G50&gt;0,ROOT_SOIL_REPORTING_BOUNDARY="Not agreed with the lab"),"Root carbon is being added to a soil stock whose root content was never agreed with the lab. The overlap is unknown, not zero — settle ROOT_SOIL_REPORTING_BOUNDARY before reporting a combined figure. ","")&amp;IF(AND(ISNUMBER($G50),$G50&gt;0,ROOT_SOIL_REPORTING_BOUNDARY="Operational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0" s="9" t="str">
        <f aca="false">IF(ISNUMBER($D50),$D50,"")</f>
        <v/>
      </c>
      <c r="M50" s="9" t="str">
        <f aca="false">IF(ISNUMBER($G50),$G50,"")</f>
        <v/>
      </c>
      <c r="N50" s="9" t="n">
        <f aca="false">IF(AND(ISNUMBER($D50),$A50&lt;&gt;""),1,0)</f>
        <v>0</v>
      </c>
      <c r="O50" s="9" t="str">
        <f aca="false">IF($A50="","",SUMIFS('2. Soil Data'!$U$5:$U$604,'2. Soil Data'!$A$5:$A$604,$A50))</f>
        <v/>
      </c>
      <c r="P50" s="9" t="str">
        <f aca="false">IF($A50="","",SUMIFS('3. Root Biomass'!$Q$5:$Q$904,'3. Root Biomass'!$A$5:$A$904,$A50))</f>
        <v/>
      </c>
      <c r="Q50" s="9" t="str">
        <f aca="false">IF(ISNUMBER($D50),$D50^2,"")</f>
        <v/>
      </c>
      <c r="R50" s="9" t="str">
        <f aca="false">IF(ISNUMBER($G50),$G50^2,"")</f>
        <v/>
      </c>
      <c r="S50" s="9" t="str">
        <f aca="false">IF($A50="","",IF(ISNUMBER($D50),$D50,0)+IF(ISNUMBER($G50),$G50,0))</f>
        <v/>
      </c>
      <c r="T50" s="9" t="str">
        <f aca="false">IF(ISNUMBER($S50),$S50^2,"")</f>
        <v/>
      </c>
    </row>
    <row r="51" customFormat="false" ht="15" hidden="false" customHeight="false" outlineLevel="0" collapsed="false">
      <c r="A51" s="10" t="str">
        <f aca="false">IF(INDEX('1. Plot &amp; Site Log'!$A$5:$A$64,47)="","",INDEX('1. Plot &amp; Site Log'!$A$5:$A$64,47))</f>
        <v/>
      </c>
      <c r="B51" s="10" t="str">
        <f aca="false">IF($A51="","",INDEX('1. Plot &amp; Site Log'!$B$5:$B$64,MATCH($A51,'1. Plot &amp; Site Log'!$A$5:$A$64,0)))</f>
        <v/>
      </c>
      <c r="C51" s="10" t="str">
        <f aca="false">IF($A51="","",COUNTIFS('2. Soil Data'!$A$5:$A$604,$A51))</f>
        <v/>
      </c>
      <c r="D51" s="10" t="str">
        <f aca="false">IF(OR($A51="",$C51=0,$O51=0),"",SUMIFS('2. Soil Data'!$R$5:$R$604,'2. Soil Data'!$A$5:$A$604,$A51)/$O51)</f>
        <v/>
      </c>
      <c r="E51" s="10" t="str">
        <f aca="false">IF(OR($A51="",$C51=0,$O51=0),"",SUMIFS('2. Soil Data'!$P$5:$P$604,'2. Soil Data'!$A$5:$A$604,$A51)/$O51)</f>
        <v/>
      </c>
      <c r="F51" s="10" t="str">
        <f aca="false">IF($A51="","",SUMPRODUCT(MAX(('2. Soil Data'!$A$5:$A$604=$A51)*IF(ISNUMBER('2. Soil Data'!$E$5:$E$604),'2. Soil Data'!$E$5:$E$604,0))))</f>
        <v/>
      </c>
      <c r="G51" s="10" t="str">
        <f aca="false">IF(OR($A51="",$P51=0),"",SUMIFS('3. Root Biomass'!$N$5:$N$904,'3. Root Biomass'!$A$5:$A$904,$A51)/$P51)</f>
        <v/>
      </c>
      <c r="H51" s="10" t="str">
        <f aca="false">IF($A51="","",IFERROR(SUMIFS('4. Vegetation Data'!$O$5:$O$64,'4. Vegetation Data'!$A$5:$A$64,$A51),""))</f>
        <v/>
      </c>
      <c r="I51" s="10" t="str">
        <f aca="false">IF($A51="","",IF(ISNUMBER($D51),$D51,0)+IF(ISNUMBER($G51),$G51,0)+IF(ISNUMBER($H51),$H51,0))</f>
        <v/>
      </c>
      <c r="J51" s="10" t="str">
        <f aca="false">IF($A51="","",IF(ISNUMBER($E51),$E51,0)+IF(ISNUMBER($G51),$G51,0)+IF(ISNUMBER($H51),$H51,0))</f>
        <v/>
      </c>
      <c r="K51" s="11" t="str">
        <f aca="false">IF($A51="","",IF($C51=0,"No soil increments for this plot — it contributes nothing. ","")&amp;IF(AND(ISNUMBER($F51),$F51&lt;SOIL_REPORTING_DEPTH_CM),"Cored shallower than the reporting depth, so the reporting-depth figure is an UNDERESTIMATE for this plot. ","")&amp;IF(AND(ISNUMBER($G51),$G51&gt;0,ISNUMBER($F51)),"Root total reaches only "&amp;$F51&amp;" cm — the bottom of the core, not the bottom of the roots. Report it as a MINIMUM. ","")&amp;IF(AND(ISNUMBER($G51),$G51&gt;0,ROOT_SOIL_REPORTING_BOUNDARY="Not agreed with the lab"),"Root carbon is being added to a soil stock whose root content was never agreed with the lab. The overlap is unknown, not zero — settle ROOT_SOIL_REPORTING_BOUNDARY before reporting a combined figure. ","")&amp;IF(AND(ISNUMBER($G51),$G51&gt;0,ROOT_SOIL_REPORTING_BOUNDARY="Operational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1" s="9" t="str">
        <f aca="false">IF(ISNUMBER($D51),$D51,"")</f>
        <v/>
      </c>
      <c r="M51" s="9" t="str">
        <f aca="false">IF(ISNUMBER($G51),$G51,"")</f>
        <v/>
      </c>
      <c r="N51" s="9" t="n">
        <f aca="false">IF(AND(ISNUMBER($D51),$A51&lt;&gt;""),1,0)</f>
        <v>0</v>
      </c>
      <c r="O51" s="9" t="str">
        <f aca="false">IF($A51="","",SUMIFS('2. Soil Data'!$U$5:$U$604,'2. Soil Data'!$A$5:$A$604,$A51))</f>
        <v/>
      </c>
      <c r="P51" s="9" t="str">
        <f aca="false">IF($A51="","",SUMIFS('3. Root Biomass'!$Q$5:$Q$904,'3. Root Biomass'!$A$5:$A$904,$A51))</f>
        <v/>
      </c>
      <c r="Q51" s="9" t="str">
        <f aca="false">IF(ISNUMBER($D51),$D51^2,"")</f>
        <v/>
      </c>
      <c r="R51" s="9" t="str">
        <f aca="false">IF(ISNUMBER($G51),$G51^2,"")</f>
        <v/>
      </c>
      <c r="S51" s="9" t="str">
        <f aca="false">IF($A51="","",IF(ISNUMBER($D51),$D51,0)+IF(ISNUMBER($G51),$G51,0))</f>
        <v/>
      </c>
      <c r="T51" s="9" t="str">
        <f aca="false">IF(ISNUMBER($S51),$S51^2,"")</f>
        <v/>
      </c>
    </row>
    <row r="52" customFormat="false" ht="15" hidden="false" customHeight="false" outlineLevel="0" collapsed="false">
      <c r="A52" s="10" t="str">
        <f aca="false">IF(INDEX('1. Plot &amp; Site Log'!$A$5:$A$64,48)="","",INDEX('1. Plot &amp; Site Log'!$A$5:$A$64,48))</f>
        <v/>
      </c>
      <c r="B52" s="10" t="str">
        <f aca="false">IF($A52="","",INDEX('1. Plot &amp; Site Log'!$B$5:$B$64,MATCH($A52,'1. Plot &amp; Site Log'!$A$5:$A$64,0)))</f>
        <v/>
      </c>
      <c r="C52" s="10" t="str">
        <f aca="false">IF($A52="","",COUNTIFS('2. Soil Data'!$A$5:$A$604,$A52))</f>
        <v/>
      </c>
      <c r="D52" s="10" t="str">
        <f aca="false">IF(OR($A52="",$C52=0,$O52=0),"",SUMIFS('2. Soil Data'!$R$5:$R$604,'2. Soil Data'!$A$5:$A$604,$A52)/$O52)</f>
        <v/>
      </c>
      <c r="E52" s="10" t="str">
        <f aca="false">IF(OR($A52="",$C52=0,$O52=0),"",SUMIFS('2. Soil Data'!$P$5:$P$604,'2. Soil Data'!$A$5:$A$604,$A52)/$O52)</f>
        <v/>
      </c>
      <c r="F52" s="10" t="str">
        <f aca="false">IF($A52="","",SUMPRODUCT(MAX(('2. Soil Data'!$A$5:$A$604=$A52)*IF(ISNUMBER('2. Soil Data'!$E$5:$E$604),'2. Soil Data'!$E$5:$E$604,0))))</f>
        <v/>
      </c>
      <c r="G52" s="10" t="str">
        <f aca="false">IF(OR($A52="",$P52=0),"",SUMIFS('3. Root Biomass'!$N$5:$N$904,'3. Root Biomass'!$A$5:$A$904,$A52)/$P52)</f>
        <v/>
      </c>
      <c r="H52" s="10" t="str">
        <f aca="false">IF($A52="","",IFERROR(SUMIFS('4. Vegetation Data'!$O$5:$O$64,'4. Vegetation Data'!$A$5:$A$64,$A52),""))</f>
        <v/>
      </c>
      <c r="I52" s="10" t="str">
        <f aca="false">IF($A52="","",IF(ISNUMBER($D52),$D52,0)+IF(ISNUMBER($G52),$G52,0)+IF(ISNUMBER($H52),$H52,0))</f>
        <v/>
      </c>
      <c r="J52" s="10" t="str">
        <f aca="false">IF($A52="","",IF(ISNUMBER($E52),$E52,0)+IF(ISNUMBER($G52),$G52,0)+IF(ISNUMBER($H52),$H52,0))</f>
        <v/>
      </c>
      <c r="K52" s="11" t="str">
        <f aca="false">IF($A52="","",IF($C52=0,"No soil increments for this plot — it contributes nothing. ","")&amp;IF(AND(ISNUMBER($F52),$F52&lt;SOIL_REPORTING_DEPTH_CM),"Cored shallower than the reporting depth, so the reporting-depth figure is an UNDERESTIMATE for this plot. ","")&amp;IF(AND(ISNUMBER($G52),$G52&gt;0,ISNUMBER($F52)),"Root total reaches only "&amp;$F52&amp;" cm — the bottom of the core, not the bottom of the roots. Report it as a MINIMUM. ","")&amp;IF(AND(ISNUMBER($G52),$G52&gt;0,ROOT_SOIL_REPORTING_BOUNDARY="Not agreed with the lab"),"Root carbon is being added to a soil stock whose root content was never agreed with the lab. The overlap is unknown, not zero — settle ROOT_SOIL_REPORTING_BOUNDARY before reporting a combined figure. ","")&amp;IF(AND(ISNUMBER($G52),$G52&gt;0,ROOT_SOIL_REPORTING_BOUNDARY="Operational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2" s="9" t="str">
        <f aca="false">IF(ISNUMBER($D52),$D52,"")</f>
        <v/>
      </c>
      <c r="M52" s="9" t="str">
        <f aca="false">IF(ISNUMBER($G52),$G52,"")</f>
        <v/>
      </c>
      <c r="N52" s="9" t="n">
        <f aca="false">IF(AND(ISNUMBER($D52),$A52&lt;&gt;""),1,0)</f>
        <v>0</v>
      </c>
      <c r="O52" s="9" t="str">
        <f aca="false">IF($A52="","",SUMIFS('2. Soil Data'!$U$5:$U$604,'2. Soil Data'!$A$5:$A$604,$A52))</f>
        <v/>
      </c>
      <c r="P52" s="9" t="str">
        <f aca="false">IF($A52="","",SUMIFS('3. Root Biomass'!$Q$5:$Q$904,'3. Root Biomass'!$A$5:$A$904,$A52))</f>
        <v/>
      </c>
      <c r="Q52" s="9" t="str">
        <f aca="false">IF(ISNUMBER($D52),$D52^2,"")</f>
        <v/>
      </c>
      <c r="R52" s="9" t="str">
        <f aca="false">IF(ISNUMBER($G52),$G52^2,"")</f>
        <v/>
      </c>
      <c r="S52" s="9" t="str">
        <f aca="false">IF($A52="","",IF(ISNUMBER($D52),$D52,0)+IF(ISNUMBER($G52),$G52,0))</f>
        <v/>
      </c>
      <c r="T52" s="9" t="str">
        <f aca="false">IF(ISNUMBER($S52),$S52^2,"")</f>
        <v/>
      </c>
    </row>
    <row r="53" customFormat="false" ht="15" hidden="false" customHeight="false" outlineLevel="0" collapsed="false">
      <c r="A53" s="10" t="str">
        <f aca="false">IF(INDEX('1. Plot &amp; Site Log'!$A$5:$A$64,49)="","",INDEX('1. Plot &amp; Site Log'!$A$5:$A$64,49))</f>
        <v/>
      </c>
      <c r="B53" s="10" t="str">
        <f aca="false">IF($A53="","",INDEX('1. Plot &amp; Site Log'!$B$5:$B$64,MATCH($A53,'1. Plot &amp; Site Log'!$A$5:$A$64,0)))</f>
        <v/>
      </c>
      <c r="C53" s="10" t="str">
        <f aca="false">IF($A53="","",COUNTIFS('2. Soil Data'!$A$5:$A$604,$A53))</f>
        <v/>
      </c>
      <c r="D53" s="10" t="str">
        <f aca="false">IF(OR($A53="",$C53=0,$O53=0),"",SUMIFS('2. Soil Data'!$R$5:$R$604,'2. Soil Data'!$A$5:$A$604,$A53)/$O53)</f>
        <v/>
      </c>
      <c r="E53" s="10" t="str">
        <f aca="false">IF(OR($A53="",$C53=0,$O53=0),"",SUMIFS('2. Soil Data'!$P$5:$P$604,'2. Soil Data'!$A$5:$A$604,$A53)/$O53)</f>
        <v/>
      </c>
      <c r="F53" s="10" t="str">
        <f aca="false">IF($A53="","",SUMPRODUCT(MAX(('2. Soil Data'!$A$5:$A$604=$A53)*IF(ISNUMBER('2. Soil Data'!$E$5:$E$604),'2. Soil Data'!$E$5:$E$604,0))))</f>
        <v/>
      </c>
      <c r="G53" s="10" t="str">
        <f aca="false">IF(OR($A53="",$P53=0),"",SUMIFS('3. Root Biomass'!$N$5:$N$904,'3. Root Biomass'!$A$5:$A$904,$A53)/$P53)</f>
        <v/>
      </c>
      <c r="H53" s="10" t="str">
        <f aca="false">IF($A53="","",IFERROR(SUMIFS('4. Vegetation Data'!$O$5:$O$64,'4. Vegetation Data'!$A$5:$A$64,$A53),""))</f>
        <v/>
      </c>
      <c r="I53" s="10" t="str">
        <f aca="false">IF($A53="","",IF(ISNUMBER($D53),$D53,0)+IF(ISNUMBER($G53),$G53,0)+IF(ISNUMBER($H53),$H53,0))</f>
        <v/>
      </c>
      <c r="J53" s="10" t="str">
        <f aca="false">IF($A53="","",IF(ISNUMBER($E53),$E53,0)+IF(ISNUMBER($G53),$G53,0)+IF(ISNUMBER($H53),$H53,0))</f>
        <v/>
      </c>
      <c r="K53" s="11" t="str">
        <f aca="false">IF($A53="","",IF($C53=0,"No soil increments for this plot — it contributes nothing. ","")&amp;IF(AND(ISNUMBER($F53),$F53&lt;SOIL_REPORTING_DEPTH_CM),"Cored shallower than the reporting depth, so the reporting-depth figure is an UNDERESTIMATE for this plot. ","")&amp;IF(AND(ISNUMBER($G53),$G53&gt;0,ISNUMBER($F53)),"Root total reaches only "&amp;$F53&amp;" cm — the bottom of the core, not the bottom of the roots. Report it as a MINIMUM. ","")&amp;IF(AND(ISNUMBER($G53),$G53&gt;0,ROOT_SOIL_REPORTING_BOUNDARY="Not agreed with the lab"),"Root carbon is being added to a soil stock whose root content was never agreed with the lab. The overlap is unknown, not zero — settle ROOT_SOIL_REPORTING_BOUNDARY before reporting a combined figure. ","")&amp;IF(AND(ISNUMBER($G53),$G53&gt;0,ROOT_SOIL_REPORTING_BOUNDARY="Operational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3" s="9" t="str">
        <f aca="false">IF(ISNUMBER($D53),$D53,"")</f>
        <v/>
      </c>
      <c r="M53" s="9" t="str">
        <f aca="false">IF(ISNUMBER($G53),$G53,"")</f>
        <v/>
      </c>
      <c r="N53" s="9" t="n">
        <f aca="false">IF(AND(ISNUMBER($D53),$A53&lt;&gt;""),1,0)</f>
        <v>0</v>
      </c>
      <c r="O53" s="9" t="str">
        <f aca="false">IF($A53="","",SUMIFS('2. Soil Data'!$U$5:$U$604,'2. Soil Data'!$A$5:$A$604,$A53))</f>
        <v/>
      </c>
      <c r="P53" s="9" t="str">
        <f aca="false">IF($A53="","",SUMIFS('3. Root Biomass'!$Q$5:$Q$904,'3. Root Biomass'!$A$5:$A$904,$A53))</f>
        <v/>
      </c>
      <c r="Q53" s="9" t="str">
        <f aca="false">IF(ISNUMBER($D53),$D53^2,"")</f>
        <v/>
      </c>
      <c r="R53" s="9" t="str">
        <f aca="false">IF(ISNUMBER($G53),$G53^2,"")</f>
        <v/>
      </c>
      <c r="S53" s="9" t="str">
        <f aca="false">IF($A53="","",IF(ISNUMBER($D53),$D53,0)+IF(ISNUMBER($G53),$G53,0))</f>
        <v/>
      </c>
      <c r="T53" s="9" t="str">
        <f aca="false">IF(ISNUMBER($S53),$S53^2,"")</f>
        <v/>
      </c>
    </row>
    <row r="54" customFormat="false" ht="15" hidden="false" customHeight="false" outlineLevel="0" collapsed="false">
      <c r="A54" s="10" t="str">
        <f aca="false">IF(INDEX('1. Plot &amp; Site Log'!$A$5:$A$64,50)="","",INDEX('1. Plot &amp; Site Log'!$A$5:$A$64,50))</f>
        <v/>
      </c>
      <c r="B54" s="10" t="str">
        <f aca="false">IF($A54="","",INDEX('1. Plot &amp; Site Log'!$B$5:$B$64,MATCH($A54,'1. Plot &amp; Site Log'!$A$5:$A$64,0)))</f>
        <v/>
      </c>
      <c r="C54" s="10" t="str">
        <f aca="false">IF($A54="","",COUNTIFS('2. Soil Data'!$A$5:$A$604,$A54))</f>
        <v/>
      </c>
      <c r="D54" s="10" t="str">
        <f aca="false">IF(OR($A54="",$C54=0,$O54=0),"",SUMIFS('2. Soil Data'!$R$5:$R$604,'2. Soil Data'!$A$5:$A$604,$A54)/$O54)</f>
        <v/>
      </c>
      <c r="E54" s="10" t="str">
        <f aca="false">IF(OR($A54="",$C54=0,$O54=0),"",SUMIFS('2. Soil Data'!$P$5:$P$604,'2. Soil Data'!$A$5:$A$604,$A54)/$O54)</f>
        <v/>
      </c>
      <c r="F54" s="10" t="str">
        <f aca="false">IF($A54="","",SUMPRODUCT(MAX(('2. Soil Data'!$A$5:$A$604=$A54)*IF(ISNUMBER('2. Soil Data'!$E$5:$E$604),'2. Soil Data'!$E$5:$E$604,0))))</f>
        <v/>
      </c>
      <c r="G54" s="10" t="str">
        <f aca="false">IF(OR($A54="",$P54=0),"",SUMIFS('3. Root Biomass'!$N$5:$N$904,'3. Root Biomass'!$A$5:$A$904,$A54)/$P54)</f>
        <v/>
      </c>
      <c r="H54" s="10" t="str">
        <f aca="false">IF($A54="","",IFERROR(SUMIFS('4. Vegetation Data'!$O$5:$O$64,'4. Vegetation Data'!$A$5:$A$64,$A54),""))</f>
        <v/>
      </c>
      <c r="I54" s="10" t="str">
        <f aca="false">IF($A54="","",IF(ISNUMBER($D54),$D54,0)+IF(ISNUMBER($G54),$G54,0)+IF(ISNUMBER($H54),$H54,0))</f>
        <v/>
      </c>
      <c r="J54" s="10" t="str">
        <f aca="false">IF($A54="","",IF(ISNUMBER($E54),$E54,0)+IF(ISNUMBER($G54),$G54,0)+IF(ISNUMBER($H54),$H54,0))</f>
        <v/>
      </c>
      <c r="K54" s="11" t="str">
        <f aca="false">IF($A54="","",IF($C54=0,"No soil increments for this plot — it contributes nothing. ","")&amp;IF(AND(ISNUMBER($F54),$F54&lt;SOIL_REPORTING_DEPTH_CM),"Cored shallower than the reporting depth, so the reporting-depth figure is an UNDERESTIMATE for this plot. ","")&amp;IF(AND(ISNUMBER($G54),$G54&gt;0,ISNUMBER($F54)),"Root total reaches only "&amp;$F54&amp;" cm — the bottom of the core, not the bottom of the roots. Report it as a MINIMUM. ","")&amp;IF(AND(ISNUMBER($G54),$G54&gt;0,ROOT_SOIL_REPORTING_BOUNDARY="Not agreed with the lab"),"Root carbon is being added to a soil stock whose root content was never agreed with the lab. The overlap is unknown, not zero — settle ROOT_SOIL_REPORTING_BOUNDARY before reporting a combined figure. ","")&amp;IF(AND(ISNUMBER($G54),$G54&gt;0,ROOT_SOIL_REPORTING_BOUNDARY="Operational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4" s="9" t="str">
        <f aca="false">IF(ISNUMBER($D54),$D54,"")</f>
        <v/>
      </c>
      <c r="M54" s="9" t="str">
        <f aca="false">IF(ISNUMBER($G54),$G54,"")</f>
        <v/>
      </c>
      <c r="N54" s="9" t="n">
        <f aca="false">IF(AND(ISNUMBER($D54),$A54&lt;&gt;""),1,0)</f>
        <v>0</v>
      </c>
      <c r="O54" s="9" t="str">
        <f aca="false">IF($A54="","",SUMIFS('2. Soil Data'!$U$5:$U$604,'2. Soil Data'!$A$5:$A$604,$A54))</f>
        <v/>
      </c>
      <c r="P54" s="9" t="str">
        <f aca="false">IF($A54="","",SUMIFS('3. Root Biomass'!$Q$5:$Q$904,'3. Root Biomass'!$A$5:$A$904,$A54))</f>
        <v/>
      </c>
      <c r="Q54" s="9" t="str">
        <f aca="false">IF(ISNUMBER($D54),$D54^2,"")</f>
        <v/>
      </c>
      <c r="R54" s="9" t="str">
        <f aca="false">IF(ISNUMBER($G54),$G54^2,"")</f>
        <v/>
      </c>
      <c r="S54" s="9" t="str">
        <f aca="false">IF($A54="","",IF(ISNUMBER($D54),$D54,0)+IF(ISNUMBER($G54),$G54,0))</f>
        <v/>
      </c>
      <c r="T54" s="9" t="str">
        <f aca="false">IF(ISNUMBER($S54),$S54^2,"")</f>
        <v/>
      </c>
    </row>
    <row r="55" customFormat="false" ht="15" hidden="false" customHeight="false" outlineLevel="0" collapsed="false">
      <c r="A55" s="10" t="str">
        <f aca="false">IF(INDEX('1. Plot &amp; Site Log'!$A$5:$A$64,51)="","",INDEX('1. Plot &amp; Site Log'!$A$5:$A$64,51))</f>
        <v/>
      </c>
      <c r="B55" s="10" t="str">
        <f aca="false">IF($A55="","",INDEX('1. Plot &amp; Site Log'!$B$5:$B$64,MATCH($A55,'1. Plot &amp; Site Log'!$A$5:$A$64,0)))</f>
        <v/>
      </c>
      <c r="C55" s="10" t="str">
        <f aca="false">IF($A55="","",COUNTIFS('2. Soil Data'!$A$5:$A$604,$A55))</f>
        <v/>
      </c>
      <c r="D55" s="10" t="str">
        <f aca="false">IF(OR($A55="",$C55=0,$O55=0),"",SUMIFS('2. Soil Data'!$R$5:$R$604,'2. Soil Data'!$A$5:$A$604,$A55)/$O55)</f>
        <v/>
      </c>
      <c r="E55" s="10" t="str">
        <f aca="false">IF(OR($A55="",$C55=0,$O55=0),"",SUMIFS('2. Soil Data'!$P$5:$P$604,'2. Soil Data'!$A$5:$A$604,$A55)/$O55)</f>
        <v/>
      </c>
      <c r="F55" s="10" t="str">
        <f aca="false">IF($A55="","",SUMPRODUCT(MAX(('2. Soil Data'!$A$5:$A$604=$A55)*IF(ISNUMBER('2. Soil Data'!$E$5:$E$604),'2. Soil Data'!$E$5:$E$604,0))))</f>
        <v/>
      </c>
      <c r="G55" s="10" t="str">
        <f aca="false">IF(OR($A55="",$P55=0),"",SUMIFS('3. Root Biomass'!$N$5:$N$904,'3. Root Biomass'!$A$5:$A$904,$A55)/$P55)</f>
        <v/>
      </c>
      <c r="H55" s="10" t="str">
        <f aca="false">IF($A55="","",IFERROR(SUMIFS('4. Vegetation Data'!$O$5:$O$64,'4. Vegetation Data'!$A$5:$A$64,$A55),""))</f>
        <v/>
      </c>
      <c r="I55" s="10" t="str">
        <f aca="false">IF($A55="","",IF(ISNUMBER($D55),$D55,0)+IF(ISNUMBER($G55),$G55,0)+IF(ISNUMBER($H55),$H55,0))</f>
        <v/>
      </c>
      <c r="J55" s="10" t="str">
        <f aca="false">IF($A55="","",IF(ISNUMBER($E55),$E55,0)+IF(ISNUMBER($G55),$G55,0)+IF(ISNUMBER($H55),$H55,0))</f>
        <v/>
      </c>
      <c r="K55" s="11" t="str">
        <f aca="false">IF($A55="","",IF($C55=0,"No soil increments for this plot — it contributes nothing. ","")&amp;IF(AND(ISNUMBER($F55),$F55&lt;SOIL_REPORTING_DEPTH_CM),"Cored shallower than the reporting depth, so the reporting-depth figure is an UNDERESTIMATE for this plot. ","")&amp;IF(AND(ISNUMBER($G55),$G55&gt;0,ISNUMBER($F55)),"Root total reaches only "&amp;$F55&amp;" cm — the bottom of the core, not the bottom of the roots. Report it as a MINIMUM. ","")&amp;IF(AND(ISNUMBER($G55),$G55&gt;0,ROOT_SOIL_REPORTING_BOUNDARY="Not agreed with the lab"),"Root carbon is being added to a soil stock whose root content was never agreed with the lab. The overlap is unknown, not zero — settle ROOT_SOIL_REPORTING_BOUNDARY before reporting a combined figure. ","")&amp;IF(AND(ISNUMBER($G55),$G55&gt;0,ROOT_SOIL_REPORTING_BOUNDARY="Operational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5" s="9" t="str">
        <f aca="false">IF(ISNUMBER($D55),$D55,"")</f>
        <v/>
      </c>
      <c r="M55" s="9" t="str">
        <f aca="false">IF(ISNUMBER($G55),$G55,"")</f>
        <v/>
      </c>
      <c r="N55" s="9" t="n">
        <f aca="false">IF(AND(ISNUMBER($D55),$A55&lt;&gt;""),1,0)</f>
        <v>0</v>
      </c>
      <c r="O55" s="9" t="str">
        <f aca="false">IF($A55="","",SUMIFS('2. Soil Data'!$U$5:$U$604,'2. Soil Data'!$A$5:$A$604,$A55))</f>
        <v/>
      </c>
      <c r="P55" s="9" t="str">
        <f aca="false">IF($A55="","",SUMIFS('3. Root Biomass'!$Q$5:$Q$904,'3. Root Biomass'!$A$5:$A$904,$A55))</f>
        <v/>
      </c>
      <c r="Q55" s="9" t="str">
        <f aca="false">IF(ISNUMBER($D55),$D55^2,"")</f>
        <v/>
      </c>
      <c r="R55" s="9" t="str">
        <f aca="false">IF(ISNUMBER($G55),$G55^2,"")</f>
        <v/>
      </c>
      <c r="S55" s="9" t="str">
        <f aca="false">IF($A55="","",IF(ISNUMBER($D55),$D55,0)+IF(ISNUMBER($G55),$G55,0))</f>
        <v/>
      </c>
      <c r="T55" s="9" t="str">
        <f aca="false">IF(ISNUMBER($S55),$S55^2,"")</f>
        <v/>
      </c>
    </row>
    <row r="56" customFormat="false" ht="15" hidden="false" customHeight="false" outlineLevel="0" collapsed="false">
      <c r="A56" s="10" t="str">
        <f aca="false">IF(INDEX('1. Plot &amp; Site Log'!$A$5:$A$64,52)="","",INDEX('1. Plot &amp; Site Log'!$A$5:$A$64,52))</f>
        <v/>
      </c>
      <c r="B56" s="10" t="str">
        <f aca="false">IF($A56="","",INDEX('1. Plot &amp; Site Log'!$B$5:$B$64,MATCH($A56,'1. Plot &amp; Site Log'!$A$5:$A$64,0)))</f>
        <v/>
      </c>
      <c r="C56" s="10" t="str">
        <f aca="false">IF($A56="","",COUNTIFS('2. Soil Data'!$A$5:$A$604,$A56))</f>
        <v/>
      </c>
      <c r="D56" s="10" t="str">
        <f aca="false">IF(OR($A56="",$C56=0,$O56=0),"",SUMIFS('2. Soil Data'!$R$5:$R$604,'2. Soil Data'!$A$5:$A$604,$A56)/$O56)</f>
        <v/>
      </c>
      <c r="E56" s="10" t="str">
        <f aca="false">IF(OR($A56="",$C56=0,$O56=0),"",SUMIFS('2. Soil Data'!$P$5:$P$604,'2. Soil Data'!$A$5:$A$604,$A56)/$O56)</f>
        <v/>
      </c>
      <c r="F56" s="10" t="str">
        <f aca="false">IF($A56="","",SUMPRODUCT(MAX(('2. Soil Data'!$A$5:$A$604=$A56)*IF(ISNUMBER('2. Soil Data'!$E$5:$E$604),'2. Soil Data'!$E$5:$E$604,0))))</f>
        <v/>
      </c>
      <c r="G56" s="10" t="str">
        <f aca="false">IF(OR($A56="",$P56=0),"",SUMIFS('3. Root Biomass'!$N$5:$N$904,'3. Root Biomass'!$A$5:$A$904,$A56)/$P56)</f>
        <v/>
      </c>
      <c r="H56" s="10" t="str">
        <f aca="false">IF($A56="","",IFERROR(SUMIFS('4. Vegetation Data'!$O$5:$O$64,'4. Vegetation Data'!$A$5:$A$64,$A56),""))</f>
        <v/>
      </c>
      <c r="I56" s="10" t="str">
        <f aca="false">IF($A56="","",IF(ISNUMBER($D56),$D56,0)+IF(ISNUMBER($G56),$G56,0)+IF(ISNUMBER($H56),$H56,0))</f>
        <v/>
      </c>
      <c r="J56" s="10" t="str">
        <f aca="false">IF($A56="","",IF(ISNUMBER($E56),$E56,0)+IF(ISNUMBER($G56),$G56,0)+IF(ISNUMBER($H56),$H56,0))</f>
        <v/>
      </c>
      <c r="K56" s="11" t="str">
        <f aca="false">IF($A56="","",IF($C56=0,"No soil increments for this plot — it contributes nothing. ","")&amp;IF(AND(ISNUMBER($F56),$F56&lt;SOIL_REPORTING_DEPTH_CM),"Cored shallower than the reporting depth, so the reporting-depth figure is an UNDERESTIMATE for this plot. ","")&amp;IF(AND(ISNUMBER($G56),$G56&gt;0,ISNUMBER($F56)),"Root total reaches only "&amp;$F56&amp;" cm — the bottom of the core, not the bottom of the roots. Report it as a MINIMUM. ","")&amp;IF(AND(ISNUMBER($G56),$G56&gt;0,ROOT_SOIL_REPORTING_BOUNDARY="Not agreed with the lab"),"Root carbon is being added to a soil stock whose root content was never agreed with the lab. The overlap is unknown, not zero — settle ROOT_SOIL_REPORTING_BOUNDARY before reporting a combined figure. ","")&amp;IF(AND(ISNUMBER($G56),$G56&gt;0,ROOT_SOIL_REPORTING_BOUNDARY="Operational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6" s="9" t="str">
        <f aca="false">IF(ISNUMBER($D56),$D56,"")</f>
        <v/>
      </c>
      <c r="M56" s="9" t="str">
        <f aca="false">IF(ISNUMBER($G56),$G56,"")</f>
        <v/>
      </c>
      <c r="N56" s="9" t="n">
        <f aca="false">IF(AND(ISNUMBER($D56),$A56&lt;&gt;""),1,0)</f>
        <v>0</v>
      </c>
      <c r="O56" s="9" t="str">
        <f aca="false">IF($A56="","",SUMIFS('2. Soil Data'!$U$5:$U$604,'2. Soil Data'!$A$5:$A$604,$A56))</f>
        <v/>
      </c>
      <c r="P56" s="9" t="str">
        <f aca="false">IF($A56="","",SUMIFS('3. Root Biomass'!$Q$5:$Q$904,'3. Root Biomass'!$A$5:$A$904,$A56))</f>
        <v/>
      </c>
      <c r="Q56" s="9" t="str">
        <f aca="false">IF(ISNUMBER($D56),$D56^2,"")</f>
        <v/>
      </c>
      <c r="R56" s="9" t="str">
        <f aca="false">IF(ISNUMBER($G56),$G56^2,"")</f>
        <v/>
      </c>
      <c r="S56" s="9" t="str">
        <f aca="false">IF($A56="","",IF(ISNUMBER($D56),$D56,0)+IF(ISNUMBER($G56),$G56,0))</f>
        <v/>
      </c>
      <c r="T56" s="9" t="str">
        <f aca="false">IF(ISNUMBER($S56),$S56^2,"")</f>
        <v/>
      </c>
    </row>
    <row r="57" customFormat="false" ht="15" hidden="false" customHeight="false" outlineLevel="0" collapsed="false">
      <c r="A57" s="10" t="str">
        <f aca="false">IF(INDEX('1. Plot &amp; Site Log'!$A$5:$A$64,53)="","",INDEX('1. Plot &amp; Site Log'!$A$5:$A$64,53))</f>
        <v/>
      </c>
      <c r="B57" s="10" t="str">
        <f aca="false">IF($A57="","",INDEX('1. Plot &amp; Site Log'!$B$5:$B$64,MATCH($A57,'1. Plot &amp; Site Log'!$A$5:$A$64,0)))</f>
        <v/>
      </c>
      <c r="C57" s="10" t="str">
        <f aca="false">IF($A57="","",COUNTIFS('2. Soil Data'!$A$5:$A$604,$A57))</f>
        <v/>
      </c>
      <c r="D57" s="10" t="str">
        <f aca="false">IF(OR($A57="",$C57=0,$O57=0),"",SUMIFS('2. Soil Data'!$R$5:$R$604,'2. Soil Data'!$A$5:$A$604,$A57)/$O57)</f>
        <v/>
      </c>
      <c r="E57" s="10" t="str">
        <f aca="false">IF(OR($A57="",$C57=0,$O57=0),"",SUMIFS('2. Soil Data'!$P$5:$P$604,'2. Soil Data'!$A$5:$A$604,$A57)/$O57)</f>
        <v/>
      </c>
      <c r="F57" s="10" t="str">
        <f aca="false">IF($A57="","",SUMPRODUCT(MAX(('2. Soil Data'!$A$5:$A$604=$A57)*IF(ISNUMBER('2. Soil Data'!$E$5:$E$604),'2. Soil Data'!$E$5:$E$604,0))))</f>
        <v/>
      </c>
      <c r="G57" s="10" t="str">
        <f aca="false">IF(OR($A57="",$P57=0),"",SUMIFS('3. Root Biomass'!$N$5:$N$904,'3. Root Biomass'!$A$5:$A$904,$A57)/$P57)</f>
        <v/>
      </c>
      <c r="H57" s="10" t="str">
        <f aca="false">IF($A57="","",IFERROR(SUMIFS('4. Vegetation Data'!$O$5:$O$64,'4. Vegetation Data'!$A$5:$A$64,$A57),""))</f>
        <v/>
      </c>
      <c r="I57" s="10" t="str">
        <f aca="false">IF($A57="","",IF(ISNUMBER($D57),$D57,0)+IF(ISNUMBER($G57),$G57,0)+IF(ISNUMBER($H57),$H57,0))</f>
        <v/>
      </c>
      <c r="J57" s="10" t="str">
        <f aca="false">IF($A57="","",IF(ISNUMBER($E57),$E57,0)+IF(ISNUMBER($G57),$G57,0)+IF(ISNUMBER($H57),$H57,0))</f>
        <v/>
      </c>
      <c r="K57" s="11" t="str">
        <f aca="false">IF($A57="","",IF($C57=0,"No soil increments for this plot — it contributes nothing. ","")&amp;IF(AND(ISNUMBER($F57),$F57&lt;SOIL_REPORTING_DEPTH_CM),"Cored shallower than the reporting depth, so the reporting-depth figure is an UNDERESTIMATE for this plot. ","")&amp;IF(AND(ISNUMBER($G57),$G57&gt;0,ISNUMBER($F57)),"Root total reaches only "&amp;$F57&amp;" cm — the bottom of the core, not the bottom of the roots. Report it as a MINIMUM. ","")&amp;IF(AND(ISNUMBER($G57),$G57&gt;0,ROOT_SOIL_REPORTING_BOUNDARY="Not agreed with the lab"),"Root carbon is being added to a soil stock whose root content was never agreed with the lab. The overlap is unknown, not zero — settle ROOT_SOIL_REPORTING_BOUNDARY before reporting a combined figure. ","")&amp;IF(AND(ISNUMBER($G57),$G57&gt;0,ROOT_SOIL_REPORTING_BOUNDARY="Operational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7" s="9" t="str">
        <f aca="false">IF(ISNUMBER($D57),$D57,"")</f>
        <v/>
      </c>
      <c r="M57" s="9" t="str">
        <f aca="false">IF(ISNUMBER($G57),$G57,"")</f>
        <v/>
      </c>
      <c r="N57" s="9" t="n">
        <f aca="false">IF(AND(ISNUMBER($D57),$A57&lt;&gt;""),1,0)</f>
        <v>0</v>
      </c>
      <c r="O57" s="9" t="str">
        <f aca="false">IF($A57="","",SUMIFS('2. Soil Data'!$U$5:$U$604,'2. Soil Data'!$A$5:$A$604,$A57))</f>
        <v/>
      </c>
      <c r="P57" s="9" t="str">
        <f aca="false">IF($A57="","",SUMIFS('3. Root Biomass'!$Q$5:$Q$904,'3. Root Biomass'!$A$5:$A$904,$A57))</f>
        <v/>
      </c>
      <c r="Q57" s="9" t="str">
        <f aca="false">IF(ISNUMBER($D57),$D57^2,"")</f>
        <v/>
      </c>
      <c r="R57" s="9" t="str">
        <f aca="false">IF(ISNUMBER($G57),$G57^2,"")</f>
        <v/>
      </c>
      <c r="S57" s="9" t="str">
        <f aca="false">IF($A57="","",IF(ISNUMBER($D57),$D57,0)+IF(ISNUMBER($G57),$G57,0))</f>
        <v/>
      </c>
      <c r="T57" s="9" t="str">
        <f aca="false">IF(ISNUMBER($S57),$S57^2,"")</f>
        <v/>
      </c>
    </row>
    <row r="58" customFormat="false" ht="15" hidden="false" customHeight="false" outlineLevel="0" collapsed="false">
      <c r="A58" s="10" t="str">
        <f aca="false">IF(INDEX('1. Plot &amp; Site Log'!$A$5:$A$64,54)="","",INDEX('1. Plot &amp; Site Log'!$A$5:$A$64,54))</f>
        <v/>
      </c>
      <c r="B58" s="10" t="str">
        <f aca="false">IF($A58="","",INDEX('1. Plot &amp; Site Log'!$B$5:$B$64,MATCH($A58,'1. Plot &amp; Site Log'!$A$5:$A$64,0)))</f>
        <v/>
      </c>
      <c r="C58" s="10" t="str">
        <f aca="false">IF($A58="","",COUNTIFS('2. Soil Data'!$A$5:$A$604,$A58))</f>
        <v/>
      </c>
      <c r="D58" s="10" t="str">
        <f aca="false">IF(OR($A58="",$C58=0,$O58=0),"",SUMIFS('2. Soil Data'!$R$5:$R$604,'2. Soil Data'!$A$5:$A$604,$A58)/$O58)</f>
        <v/>
      </c>
      <c r="E58" s="10" t="str">
        <f aca="false">IF(OR($A58="",$C58=0,$O58=0),"",SUMIFS('2. Soil Data'!$P$5:$P$604,'2. Soil Data'!$A$5:$A$604,$A58)/$O58)</f>
        <v/>
      </c>
      <c r="F58" s="10" t="str">
        <f aca="false">IF($A58="","",SUMPRODUCT(MAX(('2. Soil Data'!$A$5:$A$604=$A58)*IF(ISNUMBER('2. Soil Data'!$E$5:$E$604),'2. Soil Data'!$E$5:$E$604,0))))</f>
        <v/>
      </c>
      <c r="G58" s="10" t="str">
        <f aca="false">IF(OR($A58="",$P58=0),"",SUMIFS('3. Root Biomass'!$N$5:$N$904,'3. Root Biomass'!$A$5:$A$904,$A58)/$P58)</f>
        <v/>
      </c>
      <c r="H58" s="10" t="str">
        <f aca="false">IF($A58="","",IFERROR(SUMIFS('4. Vegetation Data'!$O$5:$O$64,'4. Vegetation Data'!$A$5:$A$64,$A58),""))</f>
        <v/>
      </c>
      <c r="I58" s="10" t="str">
        <f aca="false">IF($A58="","",IF(ISNUMBER($D58),$D58,0)+IF(ISNUMBER($G58),$G58,0)+IF(ISNUMBER($H58),$H58,0))</f>
        <v/>
      </c>
      <c r="J58" s="10" t="str">
        <f aca="false">IF($A58="","",IF(ISNUMBER($E58),$E58,0)+IF(ISNUMBER($G58),$G58,0)+IF(ISNUMBER($H58),$H58,0))</f>
        <v/>
      </c>
      <c r="K58" s="11" t="str">
        <f aca="false">IF($A58="","",IF($C58=0,"No soil increments for this plot — it contributes nothing. ","")&amp;IF(AND(ISNUMBER($F58),$F58&lt;SOIL_REPORTING_DEPTH_CM),"Cored shallower than the reporting depth, so the reporting-depth figure is an UNDERESTIMATE for this plot. ","")&amp;IF(AND(ISNUMBER($G58),$G58&gt;0,ISNUMBER($F58)),"Root total reaches only "&amp;$F58&amp;" cm — the bottom of the core, not the bottom of the roots. Report it as a MINIMUM. ","")&amp;IF(AND(ISNUMBER($G58),$G58&gt;0,ROOT_SOIL_REPORTING_BOUNDARY="Not agreed with the lab"),"Root carbon is being added to a soil stock whose root content was never agreed with the lab. The overlap is unknown, not zero — settle ROOT_SOIL_REPORTING_BOUNDARY before reporting a combined figure. ","")&amp;IF(AND(ISNUMBER($G58),$G58&gt;0,ROOT_SOIL_REPORTING_BOUNDARY="Operational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8" s="9" t="str">
        <f aca="false">IF(ISNUMBER($D58),$D58,"")</f>
        <v/>
      </c>
      <c r="M58" s="9" t="str">
        <f aca="false">IF(ISNUMBER($G58),$G58,"")</f>
        <v/>
      </c>
      <c r="N58" s="9" t="n">
        <f aca="false">IF(AND(ISNUMBER($D58),$A58&lt;&gt;""),1,0)</f>
        <v>0</v>
      </c>
      <c r="O58" s="9" t="str">
        <f aca="false">IF($A58="","",SUMIFS('2. Soil Data'!$U$5:$U$604,'2. Soil Data'!$A$5:$A$604,$A58))</f>
        <v/>
      </c>
      <c r="P58" s="9" t="str">
        <f aca="false">IF($A58="","",SUMIFS('3. Root Biomass'!$Q$5:$Q$904,'3. Root Biomass'!$A$5:$A$904,$A58))</f>
        <v/>
      </c>
      <c r="Q58" s="9" t="str">
        <f aca="false">IF(ISNUMBER($D58),$D58^2,"")</f>
        <v/>
      </c>
      <c r="R58" s="9" t="str">
        <f aca="false">IF(ISNUMBER($G58),$G58^2,"")</f>
        <v/>
      </c>
      <c r="S58" s="9" t="str">
        <f aca="false">IF($A58="","",IF(ISNUMBER($D58),$D58,0)+IF(ISNUMBER($G58),$G58,0))</f>
        <v/>
      </c>
      <c r="T58" s="9" t="str">
        <f aca="false">IF(ISNUMBER($S58),$S58^2,"")</f>
        <v/>
      </c>
    </row>
    <row r="59" customFormat="false" ht="15" hidden="false" customHeight="false" outlineLevel="0" collapsed="false">
      <c r="A59" s="10" t="str">
        <f aca="false">IF(INDEX('1. Plot &amp; Site Log'!$A$5:$A$64,55)="","",INDEX('1. Plot &amp; Site Log'!$A$5:$A$64,55))</f>
        <v/>
      </c>
      <c r="B59" s="10" t="str">
        <f aca="false">IF($A59="","",INDEX('1. Plot &amp; Site Log'!$B$5:$B$64,MATCH($A59,'1. Plot &amp; Site Log'!$A$5:$A$64,0)))</f>
        <v/>
      </c>
      <c r="C59" s="10" t="str">
        <f aca="false">IF($A59="","",COUNTIFS('2. Soil Data'!$A$5:$A$604,$A59))</f>
        <v/>
      </c>
      <c r="D59" s="10" t="str">
        <f aca="false">IF(OR($A59="",$C59=0,$O59=0),"",SUMIFS('2. Soil Data'!$R$5:$R$604,'2. Soil Data'!$A$5:$A$604,$A59)/$O59)</f>
        <v/>
      </c>
      <c r="E59" s="10" t="str">
        <f aca="false">IF(OR($A59="",$C59=0,$O59=0),"",SUMIFS('2. Soil Data'!$P$5:$P$604,'2. Soil Data'!$A$5:$A$604,$A59)/$O59)</f>
        <v/>
      </c>
      <c r="F59" s="10" t="str">
        <f aca="false">IF($A59="","",SUMPRODUCT(MAX(('2. Soil Data'!$A$5:$A$604=$A59)*IF(ISNUMBER('2. Soil Data'!$E$5:$E$604),'2. Soil Data'!$E$5:$E$604,0))))</f>
        <v/>
      </c>
      <c r="G59" s="10" t="str">
        <f aca="false">IF(OR($A59="",$P59=0),"",SUMIFS('3. Root Biomass'!$N$5:$N$904,'3. Root Biomass'!$A$5:$A$904,$A59)/$P59)</f>
        <v/>
      </c>
      <c r="H59" s="10" t="str">
        <f aca="false">IF($A59="","",IFERROR(SUMIFS('4. Vegetation Data'!$O$5:$O$64,'4. Vegetation Data'!$A$5:$A$64,$A59),""))</f>
        <v/>
      </c>
      <c r="I59" s="10" t="str">
        <f aca="false">IF($A59="","",IF(ISNUMBER($D59),$D59,0)+IF(ISNUMBER($G59),$G59,0)+IF(ISNUMBER($H59),$H59,0))</f>
        <v/>
      </c>
      <c r="J59" s="10" t="str">
        <f aca="false">IF($A59="","",IF(ISNUMBER($E59),$E59,0)+IF(ISNUMBER($G59),$G59,0)+IF(ISNUMBER($H59),$H59,0))</f>
        <v/>
      </c>
      <c r="K59" s="11" t="str">
        <f aca="false">IF($A59="","",IF($C59=0,"No soil increments for this plot — it contributes nothing. ","")&amp;IF(AND(ISNUMBER($F59),$F59&lt;SOIL_REPORTING_DEPTH_CM),"Cored shallower than the reporting depth, so the reporting-depth figure is an UNDERESTIMATE for this plot. ","")&amp;IF(AND(ISNUMBER($G59),$G59&gt;0,ISNUMBER($F59)),"Root total reaches only "&amp;$F59&amp;" cm — the bottom of the core, not the bottom of the roots. Report it as a MINIMUM. ","")&amp;IF(AND(ISNUMBER($G59),$G59&gt;0,ROOT_SOIL_REPORTING_BOUNDARY="Not agreed with the lab"),"Root carbon is being added to a soil stock whose root content was never agreed with the lab. The overlap is unknown, not zero — settle ROOT_SOIL_REPORTING_BOUNDARY before reporting a combined figure. ","")&amp;IF(AND(ISNUMBER($G59),$G59&gt;0,ROOT_SOIL_REPORTING_BOUNDARY="Operational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59" s="9" t="str">
        <f aca="false">IF(ISNUMBER($D59),$D59,"")</f>
        <v/>
      </c>
      <c r="M59" s="9" t="str">
        <f aca="false">IF(ISNUMBER($G59),$G59,"")</f>
        <v/>
      </c>
      <c r="N59" s="9" t="n">
        <f aca="false">IF(AND(ISNUMBER($D59),$A59&lt;&gt;""),1,0)</f>
        <v>0</v>
      </c>
      <c r="O59" s="9" t="str">
        <f aca="false">IF($A59="","",SUMIFS('2. Soil Data'!$U$5:$U$604,'2. Soil Data'!$A$5:$A$604,$A59))</f>
        <v/>
      </c>
      <c r="P59" s="9" t="str">
        <f aca="false">IF($A59="","",SUMIFS('3. Root Biomass'!$Q$5:$Q$904,'3. Root Biomass'!$A$5:$A$904,$A59))</f>
        <v/>
      </c>
      <c r="Q59" s="9" t="str">
        <f aca="false">IF(ISNUMBER($D59),$D59^2,"")</f>
        <v/>
      </c>
      <c r="R59" s="9" t="str">
        <f aca="false">IF(ISNUMBER($G59),$G59^2,"")</f>
        <v/>
      </c>
      <c r="S59" s="9" t="str">
        <f aca="false">IF($A59="","",IF(ISNUMBER($D59),$D59,0)+IF(ISNUMBER($G59),$G59,0))</f>
        <v/>
      </c>
      <c r="T59" s="9" t="str">
        <f aca="false">IF(ISNUMBER($S59),$S59^2,"")</f>
        <v/>
      </c>
    </row>
    <row r="60" customFormat="false" ht="15" hidden="false" customHeight="false" outlineLevel="0" collapsed="false">
      <c r="A60" s="10" t="str">
        <f aca="false">IF(INDEX('1. Plot &amp; Site Log'!$A$5:$A$64,56)="","",INDEX('1. Plot &amp; Site Log'!$A$5:$A$64,56))</f>
        <v/>
      </c>
      <c r="B60" s="10" t="str">
        <f aca="false">IF($A60="","",INDEX('1. Plot &amp; Site Log'!$B$5:$B$64,MATCH($A60,'1. Plot &amp; Site Log'!$A$5:$A$64,0)))</f>
        <v/>
      </c>
      <c r="C60" s="10" t="str">
        <f aca="false">IF($A60="","",COUNTIFS('2. Soil Data'!$A$5:$A$604,$A60))</f>
        <v/>
      </c>
      <c r="D60" s="10" t="str">
        <f aca="false">IF(OR($A60="",$C60=0,$O60=0),"",SUMIFS('2. Soil Data'!$R$5:$R$604,'2. Soil Data'!$A$5:$A$604,$A60)/$O60)</f>
        <v/>
      </c>
      <c r="E60" s="10" t="str">
        <f aca="false">IF(OR($A60="",$C60=0,$O60=0),"",SUMIFS('2. Soil Data'!$P$5:$P$604,'2. Soil Data'!$A$5:$A$604,$A60)/$O60)</f>
        <v/>
      </c>
      <c r="F60" s="10" t="str">
        <f aca="false">IF($A60="","",SUMPRODUCT(MAX(('2. Soil Data'!$A$5:$A$604=$A60)*IF(ISNUMBER('2. Soil Data'!$E$5:$E$604),'2. Soil Data'!$E$5:$E$604,0))))</f>
        <v/>
      </c>
      <c r="G60" s="10" t="str">
        <f aca="false">IF(OR($A60="",$P60=0),"",SUMIFS('3. Root Biomass'!$N$5:$N$904,'3. Root Biomass'!$A$5:$A$904,$A60)/$P60)</f>
        <v/>
      </c>
      <c r="H60" s="10" t="str">
        <f aca="false">IF($A60="","",IFERROR(SUMIFS('4. Vegetation Data'!$O$5:$O$64,'4. Vegetation Data'!$A$5:$A$64,$A60),""))</f>
        <v/>
      </c>
      <c r="I60" s="10" t="str">
        <f aca="false">IF($A60="","",IF(ISNUMBER($D60),$D60,0)+IF(ISNUMBER($G60),$G60,0)+IF(ISNUMBER($H60),$H60,0))</f>
        <v/>
      </c>
      <c r="J60" s="10" t="str">
        <f aca="false">IF($A60="","",IF(ISNUMBER($E60),$E60,0)+IF(ISNUMBER($G60),$G60,0)+IF(ISNUMBER($H60),$H60,0))</f>
        <v/>
      </c>
      <c r="K60" s="11" t="str">
        <f aca="false">IF($A60="","",IF($C60=0,"No soil increments for this plot — it contributes nothing. ","")&amp;IF(AND(ISNUMBER($F60),$F60&lt;SOIL_REPORTING_DEPTH_CM),"Cored shallower than the reporting depth, so the reporting-depth figure is an UNDERESTIMATE for this plot. ","")&amp;IF(AND(ISNUMBER($G60),$G60&gt;0,ISNUMBER($F60)),"Root total reaches only "&amp;$F60&amp;" cm — the bottom of the core, not the bottom of the roots. Report it as a MINIMUM. ","")&amp;IF(AND(ISNUMBER($G60),$G60&gt;0,ROOT_SOIL_REPORTING_BOUNDARY="Not agreed with the lab"),"Root carbon is being added to a soil stock whose root content was never agreed with the lab. The overlap is unknown, not zero — settle ROOT_SOIL_REPORTING_BOUNDARY before reporting a combined figure. ","")&amp;IF(AND(ISNUMBER($G60),$G60&gt;0,ROOT_SOIL_REPORTING_BOUNDARY="Operational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60" s="9" t="str">
        <f aca="false">IF(ISNUMBER($D60),$D60,"")</f>
        <v/>
      </c>
      <c r="M60" s="9" t="str">
        <f aca="false">IF(ISNUMBER($G60),$G60,"")</f>
        <v/>
      </c>
      <c r="N60" s="9" t="n">
        <f aca="false">IF(AND(ISNUMBER($D60),$A60&lt;&gt;""),1,0)</f>
        <v>0</v>
      </c>
      <c r="O60" s="9" t="str">
        <f aca="false">IF($A60="","",SUMIFS('2. Soil Data'!$U$5:$U$604,'2. Soil Data'!$A$5:$A$604,$A60))</f>
        <v/>
      </c>
      <c r="P60" s="9" t="str">
        <f aca="false">IF($A60="","",SUMIFS('3. Root Biomass'!$Q$5:$Q$904,'3. Root Biomass'!$A$5:$A$904,$A60))</f>
        <v/>
      </c>
      <c r="Q60" s="9" t="str">
        <f aca="false">IF(ISNUMBER($D60),$D60^2,"")</f>
        <v/>
      </c>
      <c r="R60" s="9" t="str">
        <f aca="false">IF(ISNUMBER($G60),$G60^2,"")</f>
        <v/>
      </c>
      <c r="S60" s="9" t="str">
        <f aca="false">IF($A60="","",IF(ISNUMBER($D60),$D60,0)+IF(ISNUMBER($G60),$G60,0))</f>
        <v/>
      </c>
      <c r="T60" s="9" t="str">
        <f aca="false">IF(ISNUMBER($S60),$S60^2,"")</f>
        <v/>
      </c>
    </row>
    <row r="61" customFormat="false" ht="15" hidden="false" customHeight="false" outlineLevel="0" collapsed="false">
      <c r="A61" s="10" t="str">
        <f aca="false">IF(INDEX('1. Plot &amp; Site Log'!$A$5:$A$64,57)="","",INDEX('1. Plot &amp; Site Log'!$A$5:$A$64,57))</f>
        <v/>
      </c>
      <c r="B61" s="10" t="str">
        <f aca="false">IF($A61="","",INDEX('1. Plot &amp; Site Log'!$B$5:$B$64,MATCH($A61,'1. Plot &amp; Site Log'!$A$5:$A$64,0)))</f>
        <v/>
      </c>
      <c r="C61" s="10" t="str">
        <f aca="false">IF($A61="","",COUNTIFS('2. Soil Data'!$A$5:$A$604,$A61))</f>
        <v/>
      </c>
      <c r="D61" s="10" t="str">
        <f aca="false">IF(OR($A61="",$C61=0,$O61=0),"",SUMIFS('2. Soil Data'!$R$5:$R$604,'2. Soil Data'!$A$5:$A$604,$A61)/$O61)</f>
        <v/>
      </c>
      <c r="E61" s="10" t="str">
        <f aca="false">IF(OR($A61="",$C61=0,$O61=0),"",SUMIFS('2. Soil Data'!$P$5:$P$604,'2. Soil Data'!$A$5:$A$604,$A61)/$O61)</f>
        <v/>
      </c>
      <c r="F61" s="10" t="str">
        <f aca="false">IF($A61="","",SUMPRODUCT(MAX(('2. Soil Data'!$A$5:$A$604=$A61)*IF(ISNUMBER('2. Soil Data'!$E$5:$E$604),'2. Soil Data'!$E$5:$E$604,0))))</f>
        <v/>
      </c>
      <c r="G61" s="10" t="str">
        <f aca="false">IF(OR($A61="",$P61=0),"",SUMIFS('3. Root Biomass'!$N$5:$N$904,'3. Root Biomass'!$A$5:$A$904,$A61)/$P61)</f>
        <v/>
      </c>
      <c r="H61" s="10" t="str">
        <f aca="false">IF($A61="","",IFERROR(SUMIFS('4. Vegetation Data'!$O$5:$O$64,'4. Vegetation Data'!$A$5:$A$64,$A61),""))</f>
        <v/>
      </c>
      <c r="I61" s="10" t="str">
        <f aca="false">IF($A61="","",IF(ISNUMBER($D61),$D61,0)+IF(ISNUMBER($G61),$G61,0)+IF(ISNUMBER($H61),$H61,0))</f>
        <v/>
      </c>
      <c r="J61" s="10" t="str">
        <f aca="false">IF($A61="","",IF(ISNUMBER($E61),$E61,0)+IF(ISNUMBER($G61),$G61,0)+IF(ISNUMBER($H61),$H61,0))</f>
        <v/>
      </c>
      <c r="K61" s="11" t="str">
        <f aca="false">IF($A61="","",IF($C61=0,"No soil increments for this plot — it contributes nothing. ","")&amp;IF(AND(ISNUMBER($F61),$F61&lt;SOIL_REPORTING_DEPTH_CM),"Cored shallower than the reporting depth, so the reporting-depth figure is an UNDERESTIMATE for this plot. ","")&amp;IF(AND(ISNUMBER($G61),$G61&gt;0,ISNUMBER($F61)),"Root total reaches only "&amp;$F61&amp;" cm — the bottom of the core, not the bottom of the roots. Report it as a MINIMUM. ","")&amp;IF(AND(ISNUMBER($G61),$G61&gt;0,ROOT_SOIL_REPORTING_BOUNDARY="Not agreed with the lab"),"Root carbon is being added to a soil stock whose root content was never agreed with the lab. The overlap is unknown, not zero — settle ROOT_SOIL_REPORTING_BOUNDARY before reporting a combined figure. ","")&amp;IF(AND(ISNUMBER($G61),$G61&gt;0,ROOT_SOIL_REPORTING_BOUNDARY="Operational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61" s="9" t="str">
        <f aca="false">IF(ISNUMBER($D61),$D61,"")</f>
        <v/>
      </c>
      <c r="M61" s="9" t="str">
        <f aca="false">IF(ISNUMBER($G61),$G61,"")</f>
        <v/>
      </c>
      <c r="N61" s="9" t="n">
        <f aca="false">IF(AND(ISNUMBER($D61),$A61&lt;&gt;""),1,0)</f>
        <v>0</v>
      </c>
      <c r="O61" s="9" t="str">
        <f aca="false">IF($A61="","",SUMIFS('2. Soil Data'!$U$5:$U$604,'2. Soil Data'!$A$5:$A$604,$A61))</f>
        <v/>
      </c>
      <c r="P61" s="9" t="str">
        <f aca="false">IF($A61="","",SUMIFS('3. Root Biomass'!$Q$5:$Q$904,'3. Root Biomass'!$A$5:$A$904,$A61))</f>
        <v/>
      </c>
      <c r="Q61" s="9" t="str">
        <f aca="false">IF(ISNUMBER($D61),$D61^2,"")</f>
        <v/>
      </c>
      <c r="R61" s="9" t="str">
        <f aca="false">IF(ISNUMBER($G61),$G61^2,"")</f>
        <v/>
      </c>
      <c r="S61" s="9" t="str">
        <f aca="false">IF($A61="","",IF(ISNUMBER($D61),$D61,0)+IF(ISNUMBER($G61),$G61,0))</f>
        <v/>
      </c>
      <c r="T61" s="9" t="str">
        <f aca="false">IF(ISNUMBER($S61),$S61^2,"")</f>
        <v/>
      </c>
    </row>
    <row r="62" customFormat="false" ht="15" hidden="false" customHeight="false" outlineLevel="0" collapsed="false">
      <c r="A62" s="10" t="str">
        <f aca="false">IF(INDEX('1. Plot &amp; Site Log'!$A$5:$A$64,58)="","",INDEX('1. Plot &amp; Site Log'!$A$5:$A$64,58))</f>
        <v/>
      </c>
      <c r="B62" s="10" t="str">
        <f aca="false">IF($A62="","",INDEX('1. Plot &amp; Site Log'!$B$5:$B$64,MATCH($A62,'1. Plot &amp; Site Log'!$A$5:$A$64,0)))</f>
        <v/>
      </c>
      <c r="C62" s="10" t="str">
        <f aca="false">IF($A62="","",COUNTIFS('2. Soil Data'!$A$5:$A$604,$A62))</f>
        <v/>
      </c>
      <c r="D62" s="10" t="str">
        <f aca="false">IF(OR($A62="",$C62=0,$O62=0),"",SUMIFS('2. Soil Data'!$R$5:$R$604,'2. Soil Data'!$A$5:$A$604,$A62)/$O62)</f>
        <v/>
      </c>
      <c r="E62" s="10" t="str">
        <f aca="false">IF(OR($A62="",$C62=0,$O62=0),"",SUMIFS('2. Soil Data'!$P$5:$P$604,'2. Soil Data'!$A$5:$A$604,$A62)/$O62)</f>
        <v/>
      </c>
      <c r="F62" s="10" t="str">
        <f aca="false">IF($A62="","",SUMPRODUCT(MAX(('2. Soil Data'!$A$5:$A$604=$A62)*IF(ISNUMBER('2. Soil Data'!$E$5:$E$604),'2. Soil Data'!$E$5:$E$604,0))))</f>
        <v/>
      </c>
      <c r="G62" s="10" t="str">
        <f aca="false">IF(OR($A62="",$P62=0),"",SUMIFS('3. Root Biomass'!$N$5:$N$904,'3. Root Biomass'!$A$5:$A$904,$A62)/$P62)</f>
        <v/>
      </c>
      <c r="H62" s="10" t="str">
        <f aca="false">IF($A62="","",IFERROR(SUMIFS('4. Vegetation Data'!$O$5:$O$64,'4. Vegetation Data'!$A$5:$A$64,$A62),""))</f>
        <v/>
      </c>
      <c r="I62" s="10" t="str">
        <f aca="false">IF($A62="","",IF(ISNUMBER($D62),$D62,0)+IF(ISNUMBER($G62),$G62,0)+IF(ISNUMBER($H62),$H62,0))</f>
        <v/>
      </c>
      <c r="J62" s="10" t="str">
        <f aca="false">IF($A62="","",IF(ISNUMBER($E62),$E62,0)+IF(ISNUMBER($G62),$G62,0)+IF(ISNUMBER($H62),$H62,0))</f>
        <v/>
      </c>
      <c r="K62" s="11" t="str">
        <f aca="false">IF($A62="","",IF($C62=0,"No soil increments for this plot — it contributes nothing. ","")&amp;IF(AND(ISNUMBER($F62),$F62&lt;SOIL_REPORTING_DEPTH_CM),"Cored shallower than the reporting depth, so the reporting-depth figure is an UNDERESTIMATE for this plot. ","")&amp;IF(AND(ISNUMBER($G62),$G62&gt;0,ISNUMBER($F62)),"Root total reaches only "&amp;$F62&amp;" cm — the bottom of the core, not the bottom of the roots. Report it as a MINIMUM. ","")&amp;IF(AND(ISNUMBER($G62),$G62&gt;0,ROOT_SOIL_REPORTING_BOUNDARY="Not agreed with the lab"),"Root carbon is being added to a soil stock whose root content was never agreed with the lab. The overlap is unknown, not zero — settle ROOT_SOIL_REPORTING_BOUNDARY before reporting a combined figure. ","")&amp;IF(AND(ISNUMBER($G62),$G62&gt;0,ROOT_SOIL_REPORTING_BOUNDARY="Operational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62" s="9" t="str">
        <f aca="false">IF(ISNUMBER($D62),$D62,"")</f>
        <v/>
      </c>
      <c r="M62" s="9" t="str">
        <f aca="false">IF(ISNUMBER($G62),$G62,"")</f>
        <v/>
      </c>
      <c r="N62" s="9" t="n">
        <f aca="false">IF(AND(ISNUMBER($D62),$A62&lt;&gt;""),1,0)</f>
        <v>0</v>
      </c>
      <c r="O62" s="9" t="str">
        <f aca="false">IF($A62="","",SUMIFS('2. Soil Data'!$U$5:$U$604,'2. Soil Data'!$A$5:$A$604,$A62))</f>
        <v/>
      </c>
      <c r="P62" s="9" t="str">
        <f aca="false">IF($A62="","",SUMIFS('3. Root Biomass'!$Q$5:$Q$904,'3. Root Biomass'!$A$5:$A$904,$A62))</f>
        <v/>
      </c>
      <c r="Q62" s="9" t="str">
        <f aca="false">IF(ISNUMBER($D62),$D62^2,"")</f>
        <v/>
      </c>
      <c r="R62" s="9" t="str">
        <f aca="false">IF(ISNUMBER($G62),$G62^2,"")</f>
        <v/>
      </c>
      <c r="S62" s="9" t="str">
        <f aca="false">IF($A62="","",IF(ISNUMBER($D62),$D62,0)+IF(ISNUMBER($G62),$G62,0))</f>
        <v/>
      </c>
      <c r="T62" s="9" t="str">
        <f aca="false">IF(ISNUMBER($S62),$S62^2,"")</f>
        <v/>
      </c>
    </row>
    <row r="63" customFormat="false" ht="15" hidden="false" customHeight="false" outlineLevel="0" collapsed="false">
      <c r="A63" s="10" t="str">
        <f aca="false">IF(INDEX('1. Plot &amp; Site Log'!$A$5:$A$64,59)="","",INDEX('1. Plot &amp; Site Log'!$A$5:$A$64,59))</f>
        <v/>
      </c>
      <c r="B63" s="10" t="str">
        <f aca="false">IF($A63="","",INDEX('1. Plot &amp; Site Log'!$B$5:$B$64,MATCH($A63,'1. Plot &amp; Site Log'!$A$5:$A$64,0)))</f>
        <v/>
      </c>
      <c r="C63" s="10" t="str">
        <f aca="false">IF($A63="","",COUNTIFS('2. Soil Data'!$A$5:$A$604,$A63))</f>
        <v/>
      </c>
      <c r="D63" s="10" t="str">
        <f aca="false">IF(OR($A63="",$C63=0,$O63=0),"",SUMIFS('2. Soil Data'!$R$5:$R$604,'2. Soil Data'!$A$5:$A$604,$A63)/$O63)</f>
        <v/>
      </c>
      <c r="E63" s="10" t="str">
        <f aca="false">IF(OR($A63="",$C63=0,$O63=0),"",SUMIFS('2. Soil Data'!$P$5:$P$604,'2. Soil Data'!$A$5:$A$604,$A63)/$O63)</f>
        <v/>
      </c>
      <c r="F63" s="10" t="str">
        <f aca="false">IF($A63="","",SUMPRODUCT(MAX(('2. Soil Data'!$A$5:$A$604=$A63)*IF(ISNUMBER('2. Soil Data'!$E$5:$E$604),'2. Soil Data'!$E$5:$E$604,0))))</f>
        <v/>
      </c>
      <c r="G63" s="10" t="str">
        <f aca="false">IF(OR($A63="",$P63=0),"",SUMIFS('3. Root Biomass'!$N$5:$N$904,'3. Root Biomass'!$A$5:$A$904,$A63)/$P63)</f>
        <v/>
      </c>
      <c r="H63" s="10" t="str">
        <f aca="false">IF($A63="","",IFERROR(SUMIFS('4. Vegetation Data'!$O$5:$O$64,'4. Vegetation Data'!$A$5:$A$64,$A63),""))</f>
        <v/>
      </c>
      <c r="I63" s="10" t="str">
        <f aca="false">IF($A63="","",IF(ISNUMBER($D63),$D63,0)+IF(ISNUMBER($G63),$G63,0)+IF(ISNUMBER($H63),$H63,0))</f>
        <v/>
      </c>
      <c r="J63" s="10" t="str">
        <f aca="false">IF($A63="","",IF(ISNUMBER($E63),$E63,0)+IF(ISNUMBER($G63),$G63,0)+IF(ISNUMBER($H63),$H63,0))</f>
        <v/>
      </c>
      <c r="K63" s="11" t="str">
        <f aca="false">IF($A63="","",IF($C63=0,"No soil increments for this plot — it contributes nothing. ","")&amp;IF(AND(ISNUMBER($F63),$F63&lt;SOIL_REPORTING_DEPTH_CM),"Cored shallower than the reporting depth, so the reporting-depth figure is an UNDERESTIMATE for this plot. ","")&amp;IF(AND(ISNUMBER($G63),$G63&gt;0,ISNUMBER($F63)),"Root total reaches only "&amp;$F63&amp;" cm — the bottom of the core, not the bottom of the roots. Report it as a MINIMUM. ","")&amp;IF(AND(ISNUMBER($G63),$G63&gt;0,ROOT_SOIL_REPORTING_BOUNDARY="Not agreed with the lab"),"Root carbon is being added to a soil stock whose root content was never agreed with the lab. The overlap is unknown, not zero — settle ROOT_SOIL_REPORTING_BOUNDARY before reporting a combined figure. ","")&amp;IF(AND(ISNUMBER($G63),$G63&gt;0,ROOT_SOIL_REPORTING_BOUNDARY="Operational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63" s="9" t="str">
        <f aca="false">IF(ISNUMBER($D63),$D63,"")</f>
        <v/>
      </c>
      <c r="M63" s="9" t="str">
        <f aca="false">IF(ISNUMBER($G63),$G63,"")</f>
        <v/>
      </c>
      <c r="N63" s="9" t="n">
        <f aca="false">IF(AND(ISNUMBER($D63),$A63&lt;&gt;""),1,0)</f>
        <v>0</v>
      </c>
      <c r="O63" s="9" t="str">
        <f aca="false">IF($A63="","",SUMIFS('2. Soil Data'!$U$5:$U$604,'2. Soil Data'!$A$5:$A$604,$A63))</f>
        <v/>
      </c>
      <c r="P63" s="9" t="str">
        <f aca="false">IF($A63="","",SUMIFS('3. Root Biomass'!$Q$5:$Q$904,'3. Root Biomass'!$A$5:$A$904,$A63))</f>
        <v/>
      </c>
      <c r="Q63" s="9" t="str">
        <f aca="false">IF(ISNUMBER($D63),$D63^2,"")</f>
        <v/>
      </c>
      <c r="R63" s="9" t="str">
        <f aca="false">IF(ISNUMBER($G63),$G63^2,"")</f>
        <v/>
      </c>
      <c r="S63" s="9" t="str">
        <f aca="false">IF($A63="","",IF(ISNUMBER($D63),$D63,0)+IF(ISNUMBER($G63),$G63,0))</f>
        <v/>
      </c>
      <c r="T63" s="9" t="str">
        <f aca="false">IF(ISNUMBER($S63),$S63^2,"")</f>
        <v/>
      </c>
    </row>
    <row r="64" customFormat="false" ht="15" hidden="false" customHeight="false" outlineLevel="0" collapsed="false">
      <c r="A64" s="10" t="str">
        <f aca="false">IF(INDEX('1. Plot &amp; Site Log'!$A$5:$A$64,60)="","",INDEX('1. Plot &amp; Site Log'!$A$5:$A$64,60))</f>
        <v/>
      </c>
      <c r="B64" s="10" t="str">
        <f aca="false">IF($A64="","",INDEX('1. Plot &amp; Site Log'!$B$5:$B$64,MATCH($A64,'1. Plot &amp; Site Log'!$A$5:$A$64,0)))</f>
        <v/>
      </c>
      <c r="C64" s="10" t="str">
        <f aca="false">IF($A64="","",COUNTIFS('2. Soil Data'!$A$5:$A$604,$A64))</f>
        <v/>
      </c>
      <c r="D64" s="10" t="str">
        <f aca="false">IF(OR($A64="",$C64=0,$O64=0),"",SUMIFS('2. Soil Data'!$R$5:$R$604,'2. Soil Data'!$A$5:$A$604,$A64)/$O64)</f>
        <v/>
      </c>
      <c r="E64" s="10" t="str">
        <f aca="false">IF(OR($A64="",$C64=0,$O64=0),"",SUMIFS('2. Soil Data'!$P$5:$P$604,'2. Soil Data'!$A$5:$A$604,$A64)/$O64)</f>
        <v/>
      </c>
      <c r="F64" s="10" t="str">
        <f aca="false">IF($A64="","",SUMPRODUCT(MAX(('2. Soil Data'!$A$5:$A$604=$A64)*IF(ISNUMBER('2. Soil Data'!$E$5:$E$604),'2. Soil Data'!$E$5:$E$604,0))))</f>
        <v/>
      </c>
      <c r="G64" s="10" t="str">
        <f aca="false">IF(OR($A64="",$P64=0),"",SUMIFS('3. Root Biomass'!$N$5:$N$904,'3. Root Biomass'!$A$5:$A$904,$A64)/$P64)</f>
        <v/>
      </c>
      <c r="H64" s="10" t="str">
        <f aca="false">IF($A64="","",IFERROR(SUMIFS('4. Vegetation Data'!$O$5:$O$64,'4. Vegetation Data'!$A$5:$A$64,$A64),""))</f>
        <v/>
      </c>
      <c r="I64" s="10" t="str">
        <f aca="false">IF($A64="","",IF(ISNUMBER($D64),$D64,0)+IF(ISNUMBER($G64),$G64,0)+IF(ISNUMBER($H64),$H64,0))</f>
        <v/>
      </c>
      <c r="J64" s="10" t="str">
        <f aca="false">IF($A64="","",IF(ISNUMBER($E64),$E64,0)+IF(ISNUMBER($G64),$G64,0)+IF(ISNUMBER($H64),$H64,0))</f>
        <v/>
      </c>
      <c r="K64" s="11" t="str">
        <f aca="false">IF($A64="","",IF($C64=0,"No soil increments for this plot — it contributes nothing. ","")&amp;IF(AND(ISNUMBER($F64),$F64&lt;SOIL_REPORTING_DEPTH_CM),"Cored shallower than the reporting depth, so the reporting-depth figure is an UNDERESTIMATE for this plot. ","")&amp;IF(AND(ISNUMBER($G64),$G64&gt;0,ISNUMBER($F64)),"Root total reaches only "&amp;$F64&amp;" cm — the bottom of the core, not the bottom of the roots. Report it as a MINIMUM. ","")&amp;IF(AND(ISNUMBER($G64),$G64&gt;0,ROOT_SOIL_REPORTING_BOUNDARY="Not agreed with the lab"),"Root carbon is being added to a soil stock whose root content was never agreed with the lab. The overlap is unknown, not zero — settle ROOT_SOIL_REPORTING_BOUNDARY before reporting a combined figure. ","")&amp;IF(AND(ISNUMBER($G64),$G64&gt;0,ROOT_SOIL_REPORTING_BOUNDARY="Operational soil fraction"),"The soil sample keeps every root the lab's standard preparation did not pick out, so soil and root pools OVERLAP. Report them separately; do not add them. ","")&amp;IF(ROOT_SOIL_BOUNDARY_SOURCE="","No source recorded for the root/soil boundary. ",""))</f>
        <v/>
      </c>
      <c r="L64" s="9" t="str">
        <f aca="false">IF(ISNUMBER($D64),$D64,"")</f>
        <v/>
      </c>
      <c r="M64" s="9" t="str">
        <f aca="false">IF(ISNUMBER($G64),$G64,"")</f>
        <v/>
      </c>
      <c r="N64" s="9" t="n">
        <f aca="false">IF(AND(ISNUMBER($D64),$A64&lt;&gt;""),1,0)</f>
        <v>0</v>
      </c>
      <c r="O64" s="9" t="str">
        <f aca="false">IF($A64="","",SUMIFS('2. Soil Data'!$U$5:$U$604,'2. Soil Data'!$A$5:$A$604,$A64))</f>
        <v/>
      </c>
      <c r="P64" s="9" t="str">
        <f aca="false">IF($A64="","",SUMIFS('3. Root Biomass'!$Q$5:$Q$904,'3. Root Biomass'!$A$5:$A$904,$A64))</f>
        <v/>
      </c>
      <c r="Q64" s="9" t="str">
        <f aca="false">IF(ISNUMBER($D64),$D64^2,"")</f>
        <v/>
      </c>
      <c r="R64" s="9" t="str">
        <f aca="false">IF(ISNUMBER($G64),$G64^2,"")</f>
        <v/>
      </c>
      <c r="S64" s="9" t="str">
        <f aca="false">IF($A64="","",IF(ISNUMBER($D64),$D64,0)+IF(ISNUMBER($G64),$G64,0))</f>
        <v/>
      </c>
      <c r="T64" s="9" t="str">
        <f aca="false">IF(ISNUMBER($S64),$S64^2,"")</f>
        <v/>
      </c>
    </row>
  </sheetData>
  <mergeCells count="2">
    <mergeCell ref="A1:T1"/>
    <mergeCell ref="A2:T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8"/>
    <col collapsed="false" customWidth="true" hidden="false" outlineLevel="0" max="4" min="4" style="0" width="14"/>
    <col collapsed="false" customWidth="true" hidden="false" outlineLevel="0" max="5" min="5" style="0" width="11"/>
    <col collapsed="false" customWidth="true" hidden="false" outlineLevel="0" max="6" min="6" style="0" width="14"/>
    <col collapsed="false" customWidth="true" hidden="false" outlineLevel="0" max="7" min="7" style="0" width="12"/>
    <col collapsed="false" customWidth="true" hidden="false" outlineLevel="0" max="8" min="8" style="0" width="11"/>
    <col collapsed="false" customWidth="true" hidden="false" outlineLevel="0" max="9" min="9" style="0" width="30"/>
    <col collapsed="false" customWidth="true" hidden="false" outlineLevel="0" max="10" min="10" style="0" width="14"/>
    <col collapsed="false" customWidth="true" hidden="false" outlineLevel="0" max="11" min="11" style="0" width="11"/>
    <col collapsed="false" customWidth="true" hidden="false" outlineLevel="0" max="12" min="12" style="0" width="14"/>
    <col collapsed="false" customWidth="true" hidden="false" outlineLevel="0" max="13" min="13" style="0" width="12"/>
    <col collapsed="false" customWidth="true" hidden="false" outlineLevel="0" max="14" min="14" style="0" width="11"/>
    <col collapsed="false" customWidth="true" hidden="false" outlineLevel="0" max="15" min="15" style="0" width="30"/>
    <col collapsed="false" customWidth="true" hidden="false" outlineLevel="0" max="16" min="16" style="0" width="15"/>
    <col collapsed="false" customWidth="true" hidden="false" outlineLevel="0" max="17" min="17" style="0" width="14"/>
    <col collapsed="false" customWidth="true" hidden="false" outlineLevel="0" max="18" min="18" style="0" width="48"/>
    <col collapsed="false" customWidth="true" hidden="true" outlineLevel="0" max="22" min="19" style="0" width="9"/>
  </cols>
  <sheetData>
    <row r="1" customFormat="false" ht="17.35" hidden="false" customHeight="false" outlineLevel="0" collapsed="false">
      <c r="A1" s="1" t="s">
        <v>173</v>
      </c>
      <c r="B1" s="1"/>
      <c r="C1" s="1"/>
      <c r="D1" s="1"/>
      <c r="E1" s="1"/>
      <c r="F1" s="1"/>
      <c r="G1" s="1"/>
      <c r="H1" s="1"/>
      <c r="I1" s="1"/>
      <c r="J1" s="1"/>
      <c r="K1" s="1"/>
      <c r="L1" s="1"/>
      <c r="M1" s="1"/>
      <c r="N1" s="1"/>
      <c r="O1" s="1"/>
      <c r="P1" s="1"/>
      <c r="Q1" s="1"/>
      <c r="R1" s="1"/>
      <c r="S1" s="1"/>
      <c r="T1" s="1"/>
      <c r="U1" s="1"/>
      <c r="V1" s="1"/>
    </row>
    <row r="2" customFormat="false" ht="31.5" hidden="false" customHeight="true" outlineLevel="0" collapsed="false">
      <c r="A2" s="2" t="s">
        <v>174</v>
      </c>
      <c r="B2" s="2"/>
      <c r="C2" s="2"/>
      <c r="D2" s="2"/>
      <c r="E2" s="2"/>
      <c r="F2" s="2"/>
      <c r="G2" s="2"/>
      <c r="H2" s="2"/>
      <c r="I2" s="2"/>
      <c r="J2" s="2"/>
      <c r="K2" s="2"/>
      <c r="L2" s="2"/>
      <c r="M2" s="2"/>
      <c r="N2" s="2"/>
      <c r="O2" s="2"/>
      <c r="P2" s="2"/>
      <c r="Q2" s="2"/>
      <c r="R2" s="2"/>
      <c r="S2" s="2"/>
      <c r="T2" s="2"/>
      <c r="U2" s="2"/>
      <c r="V2" s="2"/>
    </row>
    <row r="4" customFormat="false" ht="45.75" hidden="false" customHeight="true" outlineLevel="0" collapsed="false">
      <c r="A4" s="14" t="s">
        <v>46</v>
      </c>
      <c r="B4" s="14" t="s">
        <v>175</v>
      </c>
      <c r="C4" s="14" t="s">
        <v>176</v>
      </c>
      <c r="D4" s="14" t="s">
        <v>177</v>
      </c>
      <c r="E4" s="14" t="s">
        <v>178</v>
      </c>
      <c r="F4" s="14" t="s">
        <v>179</v>
      </c>
      <c r="G4" s="14" t="s">
        <v>180</v>
      </c>
      <c r="H4" s="14" t="s">
        <v>181</v>
      </c>
      <c r="I4" s="14" t="s">
        <v>182</v>
      </c>
      <c r="J4" s="14" t="s">
        <v>183</v>
      </c>
      <c r="K4" s="14" t="s">
        <v>184</v>
      </c>
      <c r="L4" s="14" t="s">
        <v>185</v>
      </c>
      <c r="M4" s="14" t="s">
        <v>186</v>
      </c>
      <c r="N4" s="14" t="s">
        <v>187</v>
      </c>
      <c r="O4" s="14" t="s">
        <v>188</v>
      </c>
      <c r="P4" s="14" t="s">
        <v>189</v>
      </c>
      <c r="Q4" s="14" t="s">
        <v>190</v>
      </c>
      <c r="R4" s="14" t="s">
        <v>108</v>
      </c>
      <c r="S4" s="14" t="s">
        <v>191</v>
      </c>
      <c r="T4" s="14" t="s">
        <v>192</v>
      </c>
      <c r="U4" s="14" t="s">
        <v>193</v>
      </c>
      <c r="V4" s="14" t="s">
        <v>194</v>
      </c>
    </row>
    <row r="5" customFormat="false" ht="15" hidden="false" customHeight="false" outlineLevel="0" collapsed="false">
      <c r="A5" s="6" t="s">
        <v>66</v>
      </c>
      <c r="B5" s="6" t="n">
        <v>640000</v>
      </c>
      <c r="C5" s="10" t="n">
        <f aca="false">IF($A5="","",COUNTIFS('5. Plot Summary'!$B$5:$B$64,$A5,'5. Plot Summary'!$N$5:$N$64,1))</f>
        <v>3</v>
      </c>
      <c r="D5" s="10" t="n">
        <f aca="false">IF(OR($A5="",$C5=0),"",AVERAGEIFS('5. Plot Summary'!$L$5:$L$64,'5. Plot Summary'!$B$5:$B$64,$A5))</f>
        <v>10.5656463333333</v>
      </c>
      <c r="E5" s="10" t="n">
        <f aca="false">IF(OR($A5="",NOT(ISNUMBER($C5)),$C5&lt;2),"",SQRT(MAX(0,(SUMIFS('5. Plot Summary'!$Q$5:$Q$64,'5. Plot Summary'!$B$5:$B$64,$A5)-$C5*$D5^2)/($C5-1))))</f>
        <v>0.545723480134724</v>
      </c>
      <c r="F5" s="10" t="n">
        <f aca="false">IF(OR($A5="",NOT(ISNUMBER($C5)),$C5&lt;2,NOT(ISNUMBER($E5))),"",TINV(1-TARGET_CONFIDENCE,$C5-1)*$E5/SQRT($C5))</f>
        <v>0.9200103633741</v>
      </c>
      <c r="G5" s="10" t="n">
        <f aca="false">IF(OR(NOT(ISNUMBER($F5)),NOT(ISNUMBER($D5)),$D5=0),"",$F5/$D5)</f>
        <v>0.0870756349729007</v>
      </c>
      <c r="H5" s="10" t="n">
        <f aca="false">TARGET_MARGIN_SOIL</f>
        <v>0.2</v>
      </c>
      <c r="I5" s="10" t="str">
        <f aca="false">IF($A5="","",IF(OR(NOT(ISNUMBER($C5)),$C5&lt;2),"Cannot be assessed — at least 2 plots are needed for an interval.",IF(NOT(ISNUMBER($G5)),"",IF($G5&lt;=$H5,"MET: ±"&amp;TEXT($G5,"0%")&amp;" at "&amp;TEXT(TARGET_CONFIDENCE,"0%")&amp;" confidence","NOT MET: ±"&amp;TEXT($G5,"0%")&amp;" against a ±"&amp;TEXT($H5,"0%")&amp;" target"))))</f>
        <v>MET: ±9% at 90% confidence</v>
      </c>
      <c r="J5" s="10" t="n">
        <f aca="false">IF(OR($A5="",$C5=0),"",IFERROR(AVERAGEIFS('5. Plot Summary'!$M$5:$M$64,'5. Plot Summary'!$B$5:$B$64,$A5),""))</f>
        <v>0.969412249076917</v>
      </c>
      <c r="K5" s="10" t="n">
        <f aca="false">IF(OR($A5="",NOT(ISNUMBER($C5)),$C5&lt;2,NOT(ISNUMBER($J5))),"",SQRT(MAX(0,(SUMIFS('5. Plot Summary'!$R$5:$R$64,'5. Plot Summary'!$B$5:$B$64,$A5)-$C5*$J5^2)/($C5-1))))</f>
        <v>0.33211193945116</v>
      </c>
      <c r="L5" s="10" t="n">
        <f aca="false">IF(OR($A5="",NOT(ISNUMBER($C5)),$C5&lt;2,NOT(ISNUMBER($K5))),"",TINV(1-TARGET_CONFIDENCE,$C5-1)*$K5/SQRT($C5))</f>
        <v>0.559892394624304</v>
      </c>
      <c r="M5" s="10" t="n">
        <f aca="false">IF(OR(NOT(ISNUMBER($L5)),NOT(ISNUMBER($J5)),$J5=0),"",$L5/$J5)</f>
        <v>0.577558613641862</v>
      </c>
      <c r="N5" s="10" t="n">
        <f aca="false">TARGET_MARGIN_ROOT</f>
        <v>0.4</v>
      </c>
      <c r="O5" s="10" t="str">
        <f aca="false">IF($A5="","",IF(OR(NOT(ISNUMBER($C5)),$C5&lt;2),"Cannot be assessed — at least 2 plots are needed for an interval.",IF(NOT(ISNUMBER($M5)),"No root data for this site.",IF($M5&lt;=$N5,"MET: ±"&amp;TEXT($M5,"0%")&amp;" at "&amp;TEXT(TARGET_CONFIDENCE,"0%")&amp;" confidence","NOT MET: ±"&amp;TEXT($M5,"0%")&amp;" against a ±"&amp;TEXT($N5,"0%")&amp;" target"))))</f>
        <v>NOT MET: ±58% against a ±40% target</v>
      </c>
      <c r="P5" s="10" t="n">
        <f aca="false">IF(OR($A5="",NOT(ISNUMBER($B5))),"",(IF(ISNUMBER($D5),$D5,0)+IF(ISNUMBER($J5),$J5,0))*$B5)</f>
        <v>7382437.49274256</v>
      </c>
      <c r="Q5" s="10" t="n">
        <f aca="false">IF(NOT(ISNUMBER($P5)),"",$P5*CO2E_FACTOR/1000)</f>
        <v>27093.5455983652</v>
      </c>
      <c r="R5" s="11" t="str">
        <f aca="false">IF($A5="","",IF($C5=0,"No plots carry this Site ID — check it matches the Plot &amp; Site Log. ","")&amp;IF(AND(ISNUMBER($C5),$C5=1),"Only one plot: a mean can be reported but never an uncertainty. ","")&amp;IF($B5="","No site area, so no total carbon. ","")&amp;IF(AND(ISNUMBER($G5),ISNUMBER($H5),$G5&gt;$H5),"Soil precision target missed — scrutinise the data, then post-stratify on management before adding cores. ","")&amp;IF(AND(ISNUMBER($M5),ISNUMBER($N5),$M5&gt;$N5),"Root precision target missed. Roots are genuinely patchy; a wider honest interval is better than a tight unearned one. ",""))</f>
        <v>Root precision target missed. Roots are genuinely patchy; a wider honest interval is better than a tight unearned one. </v>
      </c>
      <c r="S5" s="9" t="n">
        <f aca="false">IF(OR($A5="",$C5=0),"",AVERAGEIFS('5. Plot Summary'!$S$5:$S$64,'5. Plot Summary'!$B$5:$B$64,$A5))</f>
        <v>11.5350585824103</v>
      </c>
      <c r="T5" s="9" t="n">
        <f aca="false">IF(OR($A5="",NOT(ISNUMBER($C5)),$C5&lt;2,NOT(ISNUMBER($S5))),"",SQRT(MAX(0,(SUMIFS('5. Plot Summary'!$T$5:$T$64,'5. Plot Summary'!$B$5:$B$64,$A5)-$C5*$S5^2)/($C5-1))))</f>
        <v>0.877091992352915</v>
      </c>
      <c r="U5" s="9" t="n">
        <f aca="false">IF(OR(NOT(ISNUMBER($T5)),NOT(ISNUMBER($B5)),SUM($B$5:$B$24)=0,NOT(ISNUMBER($C5)),$C5&lt;2),0,($B5/SUM($B$5:$B$24))^2*$T5^2/$C5)</f>
        <v>0.117615719121383</v>
      </c>
      <c r="V5" s="9" t="n">
        <f aca="false">IF(OR(NOT(ISNUMBER($C5)),$C5&lt;2),0,$C5-1)</f>
        <v>2</v>
      </c>
    </row>
    <row r="6" customFormat="false" ht="15" hidden="false" customHeight="false" outlineLevel="0" collapsed="false">
      <c r="A6" s="6" t="s">
        <v>79</v>
      </c>
      <c r="B6" s="6" t="n">
        <v>95000</v>
      </c>
      <c r="C6" s="10" t="n">
        <f aca="false">IF($A6="","",COUNTIFS('5. Plot Summary'!$B$5:$B$64,$A6,'5. Plot Summary'!$N$5:$N$64,1))</f>
        <v>3</v>
      </c>
      <c r="D6" s="10" t="n">
        <f aca="false">IF(OR($A6="",$C6=0),"",AVERAGEIFS('5. Plot Summary'!$L$5:$L$64,'5. Plot Summary'!$B$5:$B$64,$A6))</f>
        <v>11.3748886666667</v>
      </c>
      <c r="E6" s="10" t="n">
        <f aca="false">IF(OR($A6="",NOT(ISNUMBER($C6)),$C6&lt;2),"",SQRT(MAX(0,(SUMIFS('5. Plot Summary'!$Q$5:$Q$64,'5. Plot Summary'!$B$5:$B$64,$A6)-$C6*$D6^2)/($C6-1))))</f>
        <v>1.65040294197092</v>
      </c>
      <c r="F6" s="10" t="n">
        <f aca="false">IF(OR($A6="",NOT(ISNUMBER($C6)),$C6&lt;2,NOT(ISNUMBER($E6))),"",TINV(1-TARGET_CONFIDENCE,$C6-1)*$E6/SQRT($C6))</f>
        <v>2.78233916191677</v>
      </c>
      <c r="G6" s="10" t="n">
        <f aca="false">IF(OR(NOT(ISNUMBER($F6)),NOT(ISNUMBER($D6)),$D6=0),"",$F6/$D6)</f>
        <v>0.244603639072989</v>
      </c>
      <c r="H6" s="10" t="n">
        <f aca="false">TARGET_MARGIN_SOIL</f>
        <v>0.2</v>
      </c>
      <c r="I6" s="10" t="str">
        <f aca="false">IF($A6="","",IF(OR(NOT(ISNUMBER($C6)),$C6&lt;2),"Cannot be assessed — at least 2 plots are needed for an interval.",IF(NOT(ISNUMBER($G6)),"",IF($G6&lt;=$H6,"MET: ±"&amp;TEXT($G6,"0%")&amp;" at "&amp;TEXT(TARGET_CONFIDENCE,"0%")&amp;" confidence","NOT MET: ±"&amp;TEXT($G6,"0%")&amp;" against a ±"&amp;TEXT($H6,"0%")&amp;" target"))))</f>
        <v>NOT MET: ±24% against a ±20% target</v>
      </c>
      <c r="J6" s="10" t="n">
        <f aca="false">IF(OR($A6="",$C6=0),"",IFERROR(AVERAGEIFS('5. Plot Summary'!$M$5:$M$64,'5. Plot Summary'!$B$5:$B$64,$A6),""))</f>
        <v>1.15940521521931</v>
      </c>
      <c r="K6" s="10" t="n">
        <f aca="false">IF(OR($A6="",NOT(ISNUMBER($C6)),$C6&lt;2,NOT(ISNUMBER($J6))),"",SQRT(MAX(0,(SUMIFS('5. Plot Summary'!$R$5:$R$64,'5. Plot Summary'!$B$5:$B$64,$A6)-$C6*$J6^2)/($C6-1))))</f>
        <v>0.396045417043182</v>
      </c>
      <c r="L6" s="10" t="n">
        <f aca="false">IF(OR($A6="",NOT(ISNUMBER($C6)),$C6&lt;2,NOT(ISNUMBER($K6))),"",TINV(1-TARGET_CONFIDENCE,$C6-1)*$K6/SQRT($C6))</f>
        <v>0.667674933020278</v>
      </c>
      <c r="M6" s="10" t="n">
        <f aca="false">IF(OR(NOT(ISNUMBER($L6)),NOT(ISNUMBER($J6)),$J6=0),"",$L6/$J6)</f>
        <v>0.575877117211332</v>
      </c>
      <c r="N6" s="10" t="n">
        <f aca="false">TARGET_MARGIN_ROOT</f>
        <v>0.4</v>
      </c>
      <c r="O6" s="10" t="str">
        <f aca="false">IF($A6="","",IF(OR(NOT(ISNUMBER($C6)),$C6&lt;2),"Cannot be assessed — at least 2 plots are needed for an interval.",IF(NOT(ISNUMBER($M6)),"No root data for this site.",IF($M6&lt;=$N6,"MET: ±"&amp;TEXT($M6,"0%")&amp;" at "&amp;TEXT(TARGET_CONFIDENCE,"0%")&amp;" confidence","NOT MET: ±"&amp;TEXT($M6,"0%")&amp;" against a ±"&amp;TEXT($N6,"0%")&amp;" target"))))</f>
        <v>NOT MET: ±58% against a ±40% target</v>
      </c>
      <c r="P6" s="10" t="n">
        <f aca="false">IF(OR($A6="",NOT(ISNUMBER($B6))),"",(IF(ISNUMBER($D6),$D6,0)+IF(ISNUMBER($J6),$J6,0))*$B6)</f>
        <v>1190757.91877917</v>
      </c>
      <c r="Q6" s="10" t="n">
        <f aca="false">IF(NOT(ISNUMBER($P6)),"",$P6*CO2E_FACTOR/1000)</f>
        <v>4370.08156191955</v>
      </c>
      <c r="R6" s="11" t="str">
        <f aca="false">IF($A6="","",IF($C6=0,"No plots carry this Site ID — check it matches the Plot &amp; Site Log. ","")&amp;IF(AND(ISNUMBER($C6),$C6=1),"Only one plot: a mean can be reported but never an uncertainty. ","")&amp;IF($B6="","No site area, so no total carbon. ","")&amp;IF(AND(ISNUMBER($G6),ISNUMBER($H6),$G6&gt;$H6),"Soil precision target missed — scrutinise the data, then post-stratify on management before adding cores. ","")&amp;IF(AND(ISNUMBER($M6),ISNUMBER($N6),$M6&gt;$N6),"Root precision target missed. Roots are genuinely patchy; a wider honest interval is better than a tight unearned one. ",""))</f>
        <v>Soil precision target missed — scrutinise the data, then post-stratify on management before adding cores. Root precision target missed. Roots are genuinely patchy; a wider honest interval is better than a tight unearned one. </v>
      </c>
      <c r="S6" s="9" t="n">
        <f aca="false">IF(OR($A6="",$C6=0),"",AVERAGEIFS('5. Plot Summary'!$S$5:$S$64,'5. Plot Summary'!$B$5:$B$64,$A6))</f>
        <v>12.534293881886</v>
      </c>
      <c r="T6" s="9" t="n">
        <f aca="false">IF(OR($A6="",NOT(ISNUMBER($C6)),$C6&lt;2,NOT(ISNUMBER($S6))),"",SQRT(MAX(0,(SUMIFS('5. Plot Summary'!$T$5:$T$64,'5. Plot Summary'!$B$5:$B$64,$A6)-$C6*$S6^2)/($C6-1))))</f>
        <v>2.03299014018084</v>
      </c>
      <c r="U6" s="9" t="n">
        <f aca="false">IF(OR(NOT(ISNUMBER($T6)),NOT(ISNUMBER($B6)),SUM($B$5:$B$24)=0,NOT(ISNUMBER($C6)),$C6&lt;2),0,($B6/SUM($B$5:$B$24))^2*$T6^2/$C6)</f>
        <v>0.0139230019366402</v>
      </c>
      <c r="V6" s="9" t="n">
        <f aca="false">IF(OR(NOT(ISNUMBER($C6)),$C6&lt;2),0,$C6-1)</f>
        <v>2</v>
      </c>
    </row>
    <row r="7" customFormat="false" ht="15" hidden="false" customHeight="false" outlineLevel="0" collapsed="false">
      <c r="A7" s="6" t="s">
        <v>84</v>
      </c>
      <c r="B7" s="6" t="n">
        <v>210000</v>
      </c>
      <c r="C7" s="10" t="n">
        <f aca="false">IF($A7="","",COUNTIFS('5. Plot Summary'!$B$5:$B$64,$A7,'5. Plot Summary'!$N$5:$N$64,1))</f>
        <v>3</v>
      </c>
      <c r="D7" s="10" t="n">
        <f aca="false">IF(OR($A7="",$C7=0),"",AVERAGEIFS('5. Plot Summary'!$L$5:$L$64,'5. Plot Summary'!$B$5:$B$64,$A7))</f>
        <v>5.26334346666667</v>
      </c>
      <c r="E7" s="10" t="n">
        <f aca="false">IF(OR($A7="",NOT(ISNUMBER($C7)),$C7&lt;2),"",SQRT(MAX(0,(SUMIFS('5. Plot Summary'!$Q$5:$Q$64,'5. Plot Summary'!$B$5:$B$64,$A7)-$C7*$D7^2)/($C7-1))))</f>
        <v>0.837564375387618</v>
      </c>
      <c r="F7" s="10" t="n">
        <f aca="false">IF(OR($A7="",NOT(ISNUMBER($C7)),$C7&lt;2,NOT(ISNUMBER($E7))),"",TINV(1-TARGET_CONFIDENCE,$C7-1)*$E7/SQRT($C7))</f>
        <v>1.41201163849379</v>
      </c>
      <c r="G7" s="10" t="n">
        <f aca="false">IF(OR(NOT(ISNUMBER($F7)),NOT(ISNUMBER($D7)),$D7=0),"",$F7/$D7)</f>
        <v>0.268272752374268</v>
      </c>
      <c r="H7" s="10" t="n">
        <f aca="false">TARGET_MARGIN_SOIL</f>
        <v>0.2</v>
      </c>
      <c r="I7" s="10" t="str">
        <f aca="false">IF($A7="","",IF(OR(NOT(ISNUMBER($C7)),$C7&lt;2),"Cannot be assessed — at least 2 plots are needed for an interval.",IF(NOT(ISNUMBER($G7)),"",IF($G7&lt;=$H7,"MET: ±"&amp;TEXT($G7,"0%")&amp;" at "&amp;TEXT(TARGET_CONFIDENCE,"0%")&amp;" confidence","NOT MET: ±"&amp;TEXT($G7,"0%")&amp;" against a ±"&amp;TEXT($H7,"0%")&amp;" target"))))</f>
        <v>NOT MET: ±27% against a ±20% target</v>
      </c>
      <c r="J7" s="10" t="n">
        <f aca="false">IF(OR($A7="",$C7=0),"",IFERROR(AVERAGEIFS('5. Plot Summary'!$M$5:$M$64,'5. Plot Summary'!$B$5:$B$64,$A7),""))</f>
        <v>0.648008467193792</v>
      </c>
      <c r="K7" s="10" t="n">
        <f aca="false">IF(OR($A7="",NOT(ISNUMBER($C7)),$C7&lt;2,NOT(ISNUMBER($J7))),"",SQRT(MAX(0,(SUMIFS('5. Plot Summary'!$R$5:$R$64,'5. Plot Summary'!$B$5:$B$64,$A7)-$C7*$J7^2)/($C7-1))))</f>
        <v>0.408636008971465</v>
      </c>
      <c r="L7" s="10" t="n">
        <f aca="false">IF(OR($A7="",NOT(ISNUMBER($C7)),$C7&lt;2,NOT(ISNUMBER($K7))),"",TINV(1-TARGET_CONFIDENCE,$C7-1)*$K7/SQRT($C7))</f>
        <v>0.688900838587279</v>
      </c>
      <c r="M7" s="10" t="n">
        <f aca="false">IF(OR(NOT(ISNUMBER($L7)),NOT(ISNUMBER($J7)),$J7=0),"",$L7/$J7)</f>
        <v>1.0631046868424</v>
      </c>
      <c r="N7" s="10" t="n">
        <f aca="false">TARGET_MARGIN_ROOT</f>
        <v>0.4</v>
      </c>
      <c r="O7" s="10" t="str">
        <f aca="false">IF($A7="","",IF(OR(NOT(ISNUMBER($C7)),$C7&lt;2),"Cannot be assessed — at least 2 plots are needed for an interval.",IF(NOT(ISNUMBER($M7)),"No root data for this site.",IF($M7&lt;=$N7,"MET: ±"&amp;TEXT($M7,"0%")&amp;" at "&amp;TEXT(TARGET_CONFIDENCE,"0%")&amp;" confidence","NOT MET: ±"&amp;TEXT($M7,"0%")&amp;" against a ±"&amp;TEXT($N7,"0%")&amp;" target"))))</f>
        <v>NOT MET: ±106% against a ±40% target</v>
      </c>
      <c r="P7" s="10" t="n">
        <f aca="false">IF(OR($A7="",NOT(ISNUMBER($B7))),"",(IF(ISNUMBER($D7),$D7,0)+IF(ISNUMBER($J7),$J7,0))*$B7)</f>
        <v>1241383.9061107</v>
      </c>
      <c r="Q7" s="10" t="n">
        <f aca="false">IF(NOT(ISNUMBER($P7)),"",$P7*CO2E_FACTOR/1000)</f>
        <v>4555.87893542625</v>
      </c>
      <c r="R7" s="11" t="str">
        <f aca="false">IF($A7="","",IF($C7=0,"No plots carry this Site ID — check it matches the Plot &amp; Site Log. ","")&amp;IF(AND(ISNUMBER($C7),$C7=1),"Only one plot: a mean can be reported but never an uncertainty. ","")&amp;IF($B7="","No site area, so no total carbon. ","")&amp;IF(AND(ISNUMBER($G7),ISNUMBER($H7),$G7&gt;$H7),"Soil precision target missed — scrutinise the data, then post-stratify on management before adding cores. ","")&amp;IF(AND(ISNUMBER($M7),ISNUMBER($N7),$M7&gt;$N7),"Root precision target missed. Roots are genuinely patchy; a wider honest interval is better than a tight unearned one. ",""))</f>
        <v>Soil precision target missed — scrutinise the data, then post-stratify on management before adding cores. Root precision target missed. Roots are genuinely patchy; a wider honest interval is better than a tight unearned one. </v>
      </c>
      <c r="S7" s="9" t="n">
        <f aca="false">IF(OR($A7="",$C7=0),"",AVERAGEIFS('5. Plot Summary'!$S$5:$S$64,'5. Plot Summary'!$B$5:$B$64,$A7))</f>
        <v>5.91135193386046</v>
      </c>
      <c r="T7" s="9" t="n">
        <f aca="false">IF(OR($A7="",NOT(ISNUMBER($C7)),$C7&lt;2,NOT(ISNUMBER($S7))),"",SQRT(MAX(0,(SUMIFS('5. Plot Summary'!$T$5:$T$64,'5. Plot Summary'!$B$5:$B$64,$A7)-$C7*$S7^2)/($C7-1))))</f>
        <v>0.722270976614424</v>
      </c>
      <c r="U7" s="9" t="n">
        <f aca="false">IF(OR(NOT(ISNUMBER($T7)),NOT(ISNUMBER($B7)),SUM($B$5:$B$24)=0,NOT(ISNUMBER($C7)),$C7&lt;2),0,($B7/SUM($B$5:$B$24))^2*$T7^2/$C7)</f>
        <v>0.00858724878451941</v>
      </c>
      <c r="V7" s="9" t="n">
        <f aca="false">IF(OR(NOT(ISNUMBER($C7)),$C7&lt;2),0,$C7-1)</f>
        <v>2</v>
      </c>
    </row>
    <row r="8" customFormat="false" ht="15" hidden="false" customHeight="false" outlineLevel="0" collapsed="false">
      <c r="A8" s="6"/>
      <c r="B8" s="6"/>
      <c r="C8" s="10" t="str">
        <f aca="false">IF($A8="","",COUNTIFS('5. Plot Summary'!$B$5:$B$64,$A8,'5. Plot Summary'!$N$5:$N$64,1))</f>
        <v/>
      </c>
      <c r="D8" s="10" t="str">
        <f aca="false">IF(OR($A8="",$C8=0),"",AVERAGEIFS('5. Plot Summary'!$L$5:$L$64,'5. Plot Summary'!$B$5:$B$64,$A8))</f>
        <v/>
      </c>
      <c r="E8" s="10" t="str">
        <f aca="false">IF(OR($A8="",NOT(ISNUMBER($C8)),$C8&lt;2),"",SQRT(MAX(0,(SUMIFS('5. Plot Summary'!$Q$5:$Q$64,'5. Plot Summary'!$B$5:$B$64,$A8)-$C8*$D8^2)/($C8-1))))</f>
        <v/>
      </c>
      <c r="F8" s="10" t="str">
        <f aca="false">IF(OR($A8="",NOT(ISNUMBER($C8)),$C8&lt;2,NOT(ISNUMBER($E8))),"",TINV(1-TARGET_CONFIDENCE,$C8-1)*$E8/SQRT($C8))</f>
        <v/>
      </c>
      <c r="G8" s="10" t="str">
        <f aca="false">IF(OR(NOT(ISNUMBER($F8)),NOT(ISNUMBER($D8)),$D8=0),"",$F8/$D8)</f>
        <v/>
      </c>
      <c r="H8" s="10" t="n">
        <f aca="false">TARGET_MARGIN_SOIL</f>
        <v>0.2</v>
      </c>
      <c r="I8" s="10" t="str">
        <f aca="false">IF($A8="","",IF(OR(NOT(ISNUMBER($C8)),$C8&lt;2),"Cannot be assessed — at least 2 plots are needed for an interval.",IF(NOT(ISNUMBER($G8)),"",IF($G8&lt;=$H8,"MET: ±"&amp;TEXT($G8,"0%")&amp;" at "&amp;TEXT(TARGET_CONFIDENCE,"0%")&amp;" confidence","NOT MET: ±"&amp;TEXT($G8,"0%")&amp;" against a ±"&amp;TEXT($H8,"0%")&amp;" target"))))</f>
        <v/>
      </c>
      <c r="J8" s="10" t="str">
        <f aca="false">IF(OR($A8="",$C8=0),"",IFERROR(AVERAGEIFS('5. Plot Summary'!$M$5:$M$64,'5. Plot Summary'!$B$5:$B$64,$A8),""))</f>
        <v/>
      </c>
      <c r="K8" s="10" t="str">
        <f aca="false">IF(OR($A8="",NOT(ISNUMBER($C8)),$C8&lt;2,NOT(ISNUMBER($J8))),"",SQRT(MAX(0,(SUMIFS('5. Plot Summary'!$R$5:$R$64,'5. Plot Summary'!$B$5:$B$64,$A8)-$C8*$J8^2)/($C8-1))))</f>
        <v/>
      </c>
      <c r="L8" s="10" t="str">
        <f aca="false">IF(OR($A8="",NOT(ISNUMBER($C8)),$C8&lt;2,NOT(ISNUMBER($K8))),"",TINV(1-TARGET_CONFIDENCE,$C8-1)*$K8/SQRT($C8))</f>
        <v/>
      </c>
      <c r="M8" s="10" t="str">
        <f aca="false">IF(OR(NOT(ISNUMBER($L8)),NOT(ISNUMBER($J8)),$J8=0),"",$L8/$J8)</f>
        <v/>
      </c>
      <c r="N8" s="10" t="n">
        <f aca="false">TARGET_MARGIN_ROOT</f>
        <v>0.4</v>
      </c>
      <c r="O8" s="10" t="str">
        <f aca="false">IF($A8="","",IF(OR(NOT(ISNUMBER($C8)),$C8&lt;2),"Cannot be assessed — at least 2 plots are needed for an interval.",IF(NOT(ISNUMBER($M8)),"No root data for this site.",IF($M8&lt;=$N8,"MET: ±"&amp;TEXT($M8,"0%")&amp;" at "&amp;TEXT(TARGET_CONFIDENCE,"0%")&amp;" confidence","NOT MET: ±"&amp;TEXT($M8,"0%")&amp;" against a ±"&amp;TEXT($N8,"0%")&amp;" target"))))</f>
        <v/>
      </c>
      <c r="P8" s="10" t="str">
        <f aca="false">IF(OR($A8="",NOT(ISNUMBER($B8))),"",(IF(ISNUMBER($D8),$D8,0)+IF(ISNUMBER($J8),$J8,0))*$B8)</f>
        <v/>
      </c>
      <c r="Q8" s="10" t="str">
        <f aca="false">IF(NOT(ISNUMBER($P8)),"",$P8*CO2E_FACTOR/1000)</f>
        <v/>
      </c>
      <c r="R8" s="11" t="str">
        <f aca="false">IF($A8="","",IF($C8=0,"No plots carry this Site ID — check it matches the Plot &amp; Site Log. ","")&amp;IF(AND(ISNUMBER($C8),$C8=1),"Only one plot: a mean can be reported but never an uncertainty. ","")&amp;IF($B8="","No site area, so no total carbon. ","")&amp;IF(AND(ISNUMBER($G8),ISNUMBER($H8),$G8&gt;$H8),"Soil precision target missed — scrutinise the data, then post-stratify on management before adding cores. ","")&amp;IF(AND(ISNUMBER($M8),ISNUMBER($N8),$M8&gt;$N8),"Root precision target missed. Roots are genuinely patchy; a wider honest interval is better than a tight unearned one. ",""))</f>
        <v/>
      </c>
      <c r="S8" s="9" t="str">
        <f aca="false">IF(OR($A8="",$C8=0),"",AVERAGEIFS('5. Plot Summary'!$S$5:$S$64,'5. Plot Summary'!$B$5:$B$64,$A8))</f>
        <v/>
      </c>
      <c r="T8" s="9" t="str">
        <f aca="false">IF(OR($A8="",NOT(ISNUMBER($C8)),$C8&lt;2,NOT(ISNUMBER($S8))),"",SQRT(MAX(0,(SUMIFS('5. Plot Summary'!$T$5:$T$64,'5. Plot Summary'!$B$5:$B$64,$A8)-$C8*$S8^2)/($C8-1))))</f>
        <v/>
      </c>
      <c r="U8" s="9" t="n">
        <f aca="false">IF(OR(NOT(ISNUMBER($T8)),NOT(ISNUMBER($B8)),SUM($B$5:$B$24)=0,NOT(ISNUMBER($C8)),$C8&lt;2),0,($B8/SUM($B$5:$B$24))^2*$T8^2/$C8)</f>
        <v>0</v>
      </c>
      <c r="V8" s="9" t="n">
        <f aca="false">IF(OR(NOT(ISNUMBER($C8)),$C8&lt;2),0,$C8-1)</f>
        <v>0</v>
      </c>
    </row>
    <row r="9" customFormat="false" ht="15" hidden="false" customHeight="false" outlineLevel="0" collapsed="false">
      <c r="A9" s="6"/>
      <c r="B9" s="6"/>
      <c r="C9" s="10" t="str">
        <f aca="false">IF($A9="","",COUNTIFS('5. Plot Summary'!$B$5:$B$64,$A9,'5. Plot Summary'!$N$5:$N$64,1))</f>
        <v/>
      </c>
      <c r="D9" s="10" t="str">
        <f aca="false">IF(OR($A9="",$C9=0),"",AVERAGEIFS('5. Plot Summary'!$L$5:$L$64,'5. Plot Summary'!$B$5:$B$64,$A9))</f>
        <v/>
      </c>
      <c r="E9" s="10" t="str">
        <f aca="false">IF(OR($A9="",NOT(ISNUMBER($C9)),$C9&lt;2),"",SQRT(MAX(0,(SUMIFS('5. Plot Summary'!$Q$5:$Q$64,'5. Plot Summary'!$B$5:$B$64,$A9)-$C9*$D9^2)/($C9-1))))</f>
        <v/>
      </c>
      <c r="F9" s="10" t="str">
        <f aca="false">IF(OR($A9="",NOT(ISNUMBER($C9)),$C9&lt;2,NOT(ISNUMBER($E9))),"",TINV(1-TARGET_CONFIDENCE,$C9-1)*$E9/SQRT($C9))</f>
        <v/>
      </c>
      <c r="G9" s="10" t="str">
        <f aca="false">IF(OR(NOT(ISNUMBER($F9)),NOT(ISNUMBER($D9)),$D9=0),"",$F9/$D9)</f>
        <v/>
      </c>
      <c r="H9" s="10" t="n">
        <f aca="false">TARGET_MARGIN_SOIL</f>
        <v>0.2</v>
      </c>
      <c r="I9" s="10" t="str">
        <f aca="false">IF($A9="","",IF(OR(NOT(ISNUMBER($C9)),$C9&lt;2),"Cannot be assessed — at least 2 plots are needed for an interval.",IF(NOT(ISNUMBER($G9)),"",IF($G9&lt;=$H9,"MET: ±"&amp;TEXT($G9,"0%")&amp;" at "&amp;TEXT(TARGET_CONFIDENCE,"0%")&amp;" confidence","NOT MET: ±"&amp;TEXT($G9,"0%")&amp;" against a ±"&amp;TEXT($H9,"0%")&amp;" target"))))</f>
        <v/>
      </c>
      <c r="J9" s="10" t="str">
        <f aca="false">IF(OR($A9="",$C9=0),"",IFERROR(AVERAGEIFS('5. Plot Summary'!$M$5:$M$64,'5. Plot Summary'!$B$5:$B$64,$A9),""))</f>
        <v/>
      </c>
      <c r="K9" s="10" t="str">
        <f aca="false">IF(OR($A9="",NOT(ISNUMBER($C9)),$C9&lt;2,NOT(ISNUMBER($J9))),"",SQRT(MAX(0,(SUMIFS('5. Plot Summary'!$R$5:$R$64,'5. Plot Summary'!$B$5:$B$64,$A9)-$C9*$J9^2)/($C9-1))))</f>
        <v/>
      </c>
      <c r="L9" s="10" t="str">
        <f aca="false">IF(OR($A9="",NOT(ISNUMBER($C9)),$C9&lt;2,NOT(ISNUMBER($K9))),"",TINV(1-TARGET_CONFIDENCE,$C9-1)*$K9/SQRT($C9))</f>
        <v/>
      </c>
      <c r="M9" s="10" t="str">
        <f aca="false">IF(OR(NOT(ISNUMBER($L9)),NOT(ISNUMBER($J9)),$J9=0),"",$L9/$J9)</f>
        <v/>
      </c>
      <c r="N9" s="10" t="n">
        <f aca="false">TARGET_MARGIN_ROOT</f>
        <v>0.4</v>
      </c>
      <c r="O9" s="10" t="str">
        <f aca="false">IF($A9="","",IF(OR(NOT(ISNUMBER($C9)),$C9&lt;2),"Cannot be assessed — at least 2 plots are needed for an interval.",IF(NOT(ISNUMBER($M9)),"No root data for this site.",IF($M9&lt;=$N9,"MET: ±"&amp;TEXT($M9,"0%")&amp;" at "&amp;TEXT(TARGET_CONFIDENCE,"0%")&amp;" confidence","NOT MET: ±"&amp;TEXT($M9,"0%")&amp;" against a ±"&amp;TEXT($N9,"0%")&amp;" target"))))</f>
        <v/>
      </c>
      <c r="P9" s="10" t="str">
        <f aca="false">IF(OR($A9="",NOT(ISNUMBER($B9))),"",(IF(ISNUMBER($D9),$D9,0)+IF(ISNUMBER($J9),$J9,0))*$B9)</f>
        <v/>
      </c>
      <c r="Q9" s="10" t="str">
        <f aca="false">IF(NOT(ISNUMBER($P9)),"",$P9*CO2E_FACTOR/1000)</f>
        <v/>
      </c>
      <c r="R9" s="11" t="str">
        <f aca="false">IF($A9="","",IF($C9=0,"No plots carry this Site ID — check it matches the Plot &amp; Site Log. ","")&amp;IF(AND(ISNUMBER($C9),$C9=1),"Only one plot: a mean can be reported but never an uncertainty. ","")&amp;IF($B9="","No site area, so no total carbon. ","")&amp;IF(AND(ISNUMBER($G9),ISNUMBER($H9),$G9&gt;$H9),"Soil precision target missed — scrutinise the data, then post-stratify on management before adding cores. ","")&amp;IF(AND(ISNUMBER($M9),ISNUMBER($N9),$M9&gt;$N9),"Root precision target missed. Roots are genuinely patchy; a wider honest interval is better than a tight unearned one. ",""))</f>
        <v/>
      </c>
      <c r="S9" s="9" t="str">
        <f aca="false">IF(OR($A9="",$C9=0),"",AVERAGEIFS('5. Plot Summary'!$S$5:$S$64,'5. Plot Summary'!$B$5:$B$64,$A9))</f>
        <v/>
      </c>
      <c r="T9" s="9" t="str">
        <f aca="false">IF(OR($A9="",NOT(ISNUMBER($C9)),$C9&lt;2,NOT(ISNUMBER($S9))),"",SQRT(MAX(0,(SUMIFS('5. Plot Summary'!$T$5:$T$64,'5. Plot Summary'!$B$5:$B$64,$A9)-$C9*$S9^2)/($C9-1))))</f>
        <v/>
      </c>
      <c r="U9" s="9" t="n">
        <f aca="false">IF(OR(NOT(ISNUMBER($T9)),NOT(ISNUMBER($B9)),SUM($B$5:$B$24)=0,NOT(ISNUMBER($C9)),$C9&lt;2),0,($B9/SUM($B$5:$B$24))^2*$T9^2/$C9)</f>
        <v>0</v>
      </c>
      <c r="V9" s="9" t="n">
        <f aca="false">IF(OR(NOT(ISNUMBER($C9)),$C9&lt;2),0,$C9-1)</f>
        <v>0</v>
      </c>
    </row>
    <row r="10" customFormat="false" ht="15" hidden="false" customHeight="false" outlineLevel="0" collapsed="false">
      <c r="A10" s="6"/>
      <c r="B10" s="6"/>
      <c r="C10" s="10" t="str">
        <f aca="false">IF($A10="","",COUNTIFS('5. Plot Summary'!$B$5:$B$64,$A10,'5. Plot Summary'!$N$5:$N$64,1))</f>
        <v/>
      </c>
      <c r="D10" s="10" t="str">
        <f aca="false">IF(OR($A10="",$C10=0),"",AVERAGEIFS('5. Plot Summary'!$L$5:$L$64,'5. Plot Summary'!$B$5:$B$64,$A10))</f>
        <v/>
      </c>
      <c r="E10" s="10" t="str">
        <f aca="false">IF(OR($A10="",NOT(ISNUMBER($C10)),$C10&lt;2),"",SQRT(MAX(0,(SUMIFS('5. Plot Summary'!$Q$5:$Q$64,'5. Plot Summary'!$B$5:$B$64,$A10)-$C10*$D10^2)/($C10-1))))</f>
        <v/>
      </c>
      <c r="F10" s="10" t="str">
        <f aca="false">IF(OR($A10="",NOT(ISNUMBER($C10)),$C10&lt;2,NOT(ISNUMBER($E10))),"",TINV(1-TARGET_CONFIDENCE,$C10-1)*$E10/SQRT($C10))</f>
        <v/>
      </c>
      <c r="G10" s="10" t="str">
        <f aca="false">IF(OR(NOT(ISNUMBER($F10)),NOT(ISNUMBER($D10)),$D10=0),"",$F10/$D10)</f>
        <v/>
      </c>
      <c r="H10" s="10" t="n">
        <f aca="false">TARGET_MARGIN_SOIL</f>
        <v>0.2</v>
      </c>
      <c r="I10" s="10" t="str">
        <f aca="false">IF($A10="","",IF(OR(NOT(ISNUMBER($C10)),$C10&lt;2),"Cannot be assessed — at least 2 plots are needed for an interval.",IF(NOT(ISNUMBER($G10)),"",IF($G10&lt;=$H10,"MET: ±"&amp;TEXT($G10,"0%")&amp;" at "&amp;TEXT(TARGET_CONFIDENCE,"0%")&amp;" confidence","NOT MET: ±"&amp;TEXT($G10,"0%")&amp;" against a ±"&amp;TEXT($H10,"0%")&amp;" target"))))</f>
        <v/>
      </c>
      <c r="J10" s="10" t="str">
        <f aca="false">IF(OR($A10="",$C10=0),"",IFERROR(AVERAGEIFS('5. Plot Summary'!$M$5:$M$64,'5. Plot Summary'!$B$5:$B$64,$A10),""))</f>
        <v/>
      </c>
      <c r="K10" s="10" t="str">
        <f aca="false">IF(OR($A10="",NOT(ISNUMBER($C10)),$C10&lt;2,NOT(ISNUMBER($J10))),"",SQRT(MAX(0,(SUMIFS('5. Plot Summary'!$R$5:$R$64,'5. Plot Summary'!$B$5:$B$64,$A10)-$C10*$J10^2)/($C10-1))))</f>
        <v/>
      </c>
      <c r="L10" s="10" t="str">
        <f aca="false">IF(OR($A10="",NOT(ISNUMBER($C10)),$C10&lt;2,NOT(ISNUMBER($K10))),"",TINV(1-TARGET_CONFIDENCE,$C10-1)*$K10/SQRT($C10))</f>
        <v/>
      </c>
      <c r="M10" s="10" t="str">
        <f aca="false">IF(OR(NOT(ISNUMBER($L10)),NOT(ISNUMBER($J10)),$J10=0),"",$L10/$J10)</f>
        <v/>
      </c>
      <c r="N10" s="10" t="n">
        <f aca="false">TARGET_MARGIN_ROOT</f>
        <v>0.4</v>
      </c>
      <c r="O10" s="10" t="str">
        <f aca="false">IF($A10="","",IF(OR(NOT(ISNUMBER($C10)),$C10&lt;2),"Cannot be assessed — at least 2 plots are needed for an interval.",IF(NOT(ISNUMBER($M10)),"No root data for this site.",IF($M10&lt;=$N10,"MET: ±"&amp;TEXT($M10,"0%")&amp;" at "&amp;TEXT(TARGET_CONFIDENCE,"0%")&amp;" confidence","NOT MET: ±"&amp;TEXT($M10,"0%")&amp;" against a ±"&amp;TEXT($N10,"0%")&amp;" target"))))</f>
        <v/>
      </c>
      <c r="P10" s="10" t="str">
        <f aca="false">IF(OR($A10="",NOT(ISNUMBER($B10))),"",(IF(ISNUMBER($D10),$D10,0)+IF(ISNUMBER($J10),$J10,0))*$B10)</f>
        <v/>
      </c>
      <c r="Q10" s="10" t="str">
        <f aca="false">IF(NOT(ISNUMBER($P10)),"",$P10*CO2E_FACTOR/1000)</f>
        <v/>
      </c>
      <c r="R10" s="11" t="str">
        <f aca="false">IF($A10="","",IF($C10=0,"No plots carry this Site ID — check it matches the Plot &amp; Site Log. ","")&amp;IF(AND(ISNUMBER($C10),$C10=1),"Only one plot: a mean can be reported but never an uncertainty. ","")&amp;IF($B10="","No site area, so no total carbon. ","")&amp;IF(AND(ISNUMBER($G10),ISNUMBER($H10),$G10&gt;$H10),"Soil precision target missed — scrutinise the data, then post-stratify on management before adding cores. ","")&amp;IF(AND(ISNUMBER($M10),ISNUMBER($N10),$M10&gt;$N10),"Root precision target missed. Roots are genuinely patchy; a wider honest interval is better than a tight unearned one. ",""))</f>
        <v/>
      </c>
      <c r="S10" s="9" t="str">
        <f aca="false">IF(OR($A10="",$C10=0),"",AVERAGEIFS('5. Plot Summary'!$S$5:$S$64,'5. Plot Summary'!$B$5:$B$64,$A10))</f>
        <v/>
      </c>
      <c r="T10" s="9" t="str">
        <f aca="false">IF(OR($A10="",NOT(ISNUMBER($C10)),$C10&lt;2,NOT(ISNUMBER($S10))),"",SQRT(MAX(0,(SUMIFS('5. Plot Summary'!$T$5:$T$64,'5. Plot Summary'!$B$5:$B$64,$A10)-$C10*$S10^2)/($C10-1))))</f>
        <v/>
      </c>
      <c r="U10" s="9" t="n">
        <f aca="false">IF(OR(NOT(ISNUMBER($T10)),NOT(ISNUMBER($B10)),SUM($B$5:$B$24)=0,NOT(ISNUMBER($C10)),$C10&lt;2),0,($B10/SUM($B$5:$B$24))^2*$T10^2/$C10)</f>
        <v>0</v>
      </c>
      <c r="V10" s="9" t="n">
        <f aca="false">IF(OR(NOT(ISNUMBER($C10)),$C10&lt;2),0,$C10-1)</f>
        <v>0</v>
      </c>
    </row>
    <row r="11" customFormat="false" ht="15" hidden="false" customHeight="false" outlineLevel="0" collapsed="false">
      <c r="A11" s="6"/>
      <c r="B11" s="6"/>
      <c r="C11" s="10" t="str">
        <f aca="false">IF($A11="","",COUNTIFS('5. Plot Summary'!$B$5:$B$64,$A11,'5. Plot Summary'!$N$5:$N$64,1))</f>
        <v/>
      </c>
      <c r="D11" s="10" t="str">
        <f aca="false">IF(OR($A11="",$C11=0),"",AVERAGEIFS('5. Plot Summary'!$L$5:$L$64,'5. Plot Summary'!$B$5:$B$64,$A11))</f>
        <v/>
      </c>
      <c r="E11" s="10" t="str">
        <f aca="false">IF(OR($A11="",NOT(ISNUMBER($C11)),$C11&lt;2),"",SQRT(MAX(0,(SUMIFS('5. Plot Summary'!$Q$5:$Q$64,'5. Plot Summary'!$B$5:$B$64,$A11)-$C11*$D11^2)/($C11-1))))</f>
        <v/>
      </c>
      <c r="F11" s="10" t="str">
        <f aca="false">IF(OR($A11="",NOT(ISNUMBER($C11)),$C11&lt;2,NOT(ISNUMBER($E11))),"",TINV(1-TARGET_CONFIDENCE,$C11-1)*$E11/SQRT($C11))</f>
        <v/>
      </c>
      <c r="G11" s="10" t="str">
        <f aca="false">IF(OR(NOT(ISNUMBER($F11)),NOT(ISNUMBER($D11)),$D11=0),"",$F11/$D11)</f>
        <v/>
      </c>
      <c r="H11" s="10" t="n">
        <f aca="false">TARGET_MARGIN_SOIL</f>
        <v>0.2</v>
      </c>
      <c r="I11" s="10" t="str">
        <f aca="false">IF($A11="","",IF(OR(NOT(ISNUMBER($C11)),$C11&lt;2),"Cannot be assessed — at least 2 plots are needed for an interval.",IF(NOT(ISNUMBER($G11)),"",IF($G11&lt;=$H11,"MET: ±"&amp;TEXT($G11,"0%")&amp;" at "&amp;TEXT(TARGET_CONFIDENCE,"0%")&amp;" confidence","NOT MET: ±"&amp;TEXT($G11,"0%")&amp;" against a ±"&amp;TEXT($H11,"0%")&amp;" target"))))</f>
        <v/>
      </c>
      <c r="J11" s="10" t="str">
        <f aca="false">IF(OR($A11="",$C11=0),"",IFERROR(AVERAGEIFS('5. Plot Summary'!$M$5:$M$64,'5. Plot Summary'!$B$5:$B$64,$A11),""))</f>
        <v/>
      </c>
      <c r="K11" s="10" t="str">
        <f aca="false">IF(OR($A11="",NOT(ISNUMBER($C11)),$C11&lt;2,NOT(ISNUMBER($J11))),"",SQRT(MAX(0,(SUMIFS('5. Plot Summary'!$R$5:$R$64,'5. Plot Summary'!$B$5:$B$64,$A11)-$C11*$J11^2)/($C11-1))))</f>
        <v/>
      </c>
      <c r="L11" s="10" t="str">
        <f aca="false">IF(OR($A11="",NOT(ISNUMBER($C11)),$C11&lt;2,NOT(ISNUMBER($K11))),"",TINV(1-TARGET_CONFIDENCE,$C11-1)*$K11/SQRT($C11))</f>
        <v/>
      </c>
      <c r="M11" s="10" t="str">
        <f aca="false">IF(OR(NOT(ISNUMBER($L11)),NOT(ISNUMBER($J11)),$J11=0),"",$L11/$J11)</f>
        <v/>
      </c>
      <c r="N11" s="10" t="n">
        <f aca="false">TARGET_MARGIN_ROOT</f>
        <v>0.4</v>
      </c>
      <c r="O11" s="10" t="str">
        <f aca="false">IF($A11="","",IF(OR(NOT(ISNUMBER($C11)),$C11&lt;2),"Cannot be assessed — at least 2 plots are needed for an interval.",IF(NOT(ISNUMBER($M11)),"No root data for this site.",IF($M11&lt;=$N11,"MET: ±"&amp;TEXT($M11,"0%")&amp;" at "&amp;TEXT(TARGET_CONFIDENCE,"0%")&amp;" confidence","NOT MET: ±"&amp;TEXT($M11,"0%")&amp;" against a ±"&amp;TEXT($N11,"0%")&amp;" target"))))</f>
        <v/>
      </c>
      <c r="P11" s="10" t="str">
        <f aca="false">IF(OR($A11="",NOT(ISNUMBER($B11))),"",(IF(ISNUMBER($D11),$D11,0)+IF(ISNUMBER($J11),$J11,0))*$B11)</f>
        <v/>
      </c>
      <c r="Q11" s="10" t="str">
        <f aca="false">IF(NOT(ISNUMBER($P11)),"",$P11*CO2E_FACTOR/1000)</f>
        <v/>
      </c>
      <c r="R11" s="11" t="str">
        <f aca="false">IF($A11="","",IF($C11=0,"No plots carry this Site ID — check it matches the Plot &amp; Site Log. ","")&amp;IF(AND(ISNUMBER($C11),$C11=1),"Only one plot: a mean can be reported but never an uncertainty. ","")&amp;IF($B11="","No site area, so no total carbon. ","")&amp;IF(AND(ISNUMBER($G11),ISNUMBER($H11),$G11&gt;$H11),"Soil precision target missed — scrutinise the data, then post-stratify on management before adding cores. ","")&amp;IF(AND(ISNUMBER($M11),ISNUMBER($N11),$M11&gt;$N11),"Root precision target missed. Roots are genuinely patchy; a wider honest interval is better than a tight unearned one. ",""))</f>
        <v/>
      </c>
      <c r="S11" s="9" t="str">
        <f aca="false">IF(OR($A11="",$C11=0),"",AVERAGEIFS('5. Plot Summary'!$S$5:$S$64,'5. Plot Summary'!$B$5:$B$64,$A11))</f>
        <v/>
      </c>
      <c r="T11" s="9" t="str">
        <f aca="false">IF(OR($A11="",NOT(ISNUMBER($C11)),$C11&lt;2,NOT(ISNUMBER($S11))),"",SQRT(MAX(0,(SUMIFS('5. Plot Summary'!$T$5:$T$64,'5. Plot Summary'!$B$5:$B$64,$A11)-$C11*$S11^2)/($C11-1))))</f>
        <v/>
      </c>
      <c r="U11" s="9" t="n">
        <f aca="false">IF(OR(NOT(ISNUMBER($T11)),NOT(ISNUMBER($B11)),SUM($B$5:$B$24)=0,NOT(ISNUMBER($C11)),$C11&lt;2),0,($B11/SUM($B$5:$B$24))^2*$T11^2/$C11)</f>
        <v>0</v>
      </c>
      <c r="V11" s="9" t="n">
        <f aca="false">IF(OR(NOT(ISNUMBER($C11)),$C11&lt;2),0,$C11-1)</f>
        <v>0</v>
      </c>
    </row>
    <row r="12" customFormat="false" ht="15" hidden="false" customHeight="false" outlineLevel="0" collapsed="false">
      <c r="A12" s="6"/>
      <c r="B12" s="6"/>
      <c r="C12" s="10" t="str">
        <f aca="false">IF($A12="","",COUNTIFS('5. Plot Summary'!$B$5:$B$64,$A12,'5. Plot Summary'!$N$5:$N$64,1))</f>
        <v/>
      </c>
      <c r="D12" s="10" t="str">
        <f aca="false">IF(OR($A12="",$C12=0),"",AVERAGEIFS('5. Plot Summary'!$L$5:$L$64,'5. Plot Summary'!$B$5:$B$64,$A12))</f>
        <v/>
      </c>
      <c r="E12" s="10" t="str">
        <f aca="false">IF(OR($A12="",NOT(ISNUMBER($C12)),$C12&lt;2),"",SQRT(MAX(0,(SUMIFS('5. Plot Summary'!$Q$5:$Q$64,'5. Plot Summary'!$B$5:$B$64,$A12)-$C12*$D12^2)/($C12-1))))</f>
        <v/>
      </c>
      <c r="F12" s="10" t="str">
        <f aca="false">IF(OR($A12="",NOT(ISNUMBER($C12)),$C12&lt;2,NOT(ISNUMBER($E12))),"",TINV(1-TARGET_CONFIDENCE,$C12-1)*$E12/SQRT($C12))</f>
        <v/>
      </c>
      <c r="G12" s="10" t="str">
        <f aca="false">IF(OR(NOT(ISNUMBER($F12)),NOT(ISNUMBER($D12)),$D12=0),"",$F12/$D12)</f>
        <v/>
      </c>
      <c r="H12" s="10" t="n">
        <f aca="false">TARGET_MARGIN_SOIL</f>
        <v>0.2</v>
      </c>
      <c r="I12" s="10" t="str">
        <f aca="false">IF($A12="","",IF(OR(NOT(ISNUMBER($C12)),$C12&lt;2),"Cannot be assessed — at least 2 plots are needed for an interval.",IF(NOT(ISNUMBER($G12)),"",IF($G12&lt;=$H12,"MET: ±"&amp;TEXT($G12,"0%")&amp;" at "&amp;TEXT(TARGET_CONFIDENCE,"0%")&amp;" confidence","NOT MET: ±"&amp;TEXT($G12,"0%")&amp;" against a ±"&amp;TEXT($H12,"0%")&amp;" target"))))</f>
        <v/>
      </c>
      <c r="J12" s="10" t="str">
        <f aca="false">IF(OR($A12="",$C12=0),"",IFERROR(AVERAGEIFS('5. Plot Summary'!$M$5:$M$64,'5. Plot Summary'!$B$5:$B$64,$A12),""))</f>
        <v/>
      </c>
      <c r="K12" s="10" t="str">
        <f aca="false">IF(OR($A12="",NOT(ISNUMBER($C12)),$C12&lt;2,NOT(ISNUMBER($J12))),"",SQRT(MAX(0,(SUMIFS('5. Plot Summary'!$R$5:$R$64,'5. Plot Summary'!$B$5:$B$64,$A12)-$C12*$J12^2)/($C12-1))))</f>
        <v/>
      </c>
      <c r="L12" s="10" t="str">
        <f aca="false">IF(OR($A12="",NOT(ISNUMBER($C12)),$C12&lt;2,NOT(ISNUMBER($K12))),"",TINV(1-TARGET_CONFIDENCE,$C12-1)*$K12/SQRT($C12))</f>
        <v/>
      </c>
      <c r="M12" s="10" t="str">
        <f aca="false">IF(OR(NOT(ISNUMBER($L12)),NOT(ISNUMBER($J12)),$J12=0),"",$L12/$J12)</f>
        <v/>
      </c>
      <c r="N12" s="10" t="n">
        <f aca="false">TARGET_MARGIN_ROOT</f>
        <v>0.4</v>
      </c>
      <c r="O12" s="10" t="str">
        <f aca="false">IF($A12="","",IF(OR(NOT(ISNUMBER($C12)),$C12&lt;2),"Cannot be assessed — at least 2 plots are needed for an interval.",IF(NOT(ISNUMBER($M12)),"No root data for this site.",IF($M12&lt;=$N12,"MET: ±"&amp;TEXT($M12,"0%")&amp;" at "&amp;TEXT(TARGET_CONFIDENCE,"0%")&amp;" confidence","NOT MET: ±"&amp;TEXT($M12,"0%")&amp;" against a ±"&amp;TEXT($N12,"0%")&amp;" target"))))</f>
        <v/>
      </c>
      <c r="P12" s="10" t="str">
        <f aca="false">IF(OR($A12="",NOT(ISNUMBER($B12))),"",(IF(ISNUMBER($D12),$D12,0)+IF(ISNUMBER($J12),$J12,0))*$B12)</f>
        <v/>
      </c>
      <c r="Q12" s="10" t="str">
        <f aca="false">IF(NOT(ISNUMBER($P12)),"",$P12*CO2E_FACTOR/1000)</f>
        <v/>
      </c>
      <c r="R12" s="11" t="str">
        <f aca="false">IF($A12="","",IF($C12=0,"No plots carry this Site ID — check it matches the Plot &amp; Site Log. ","")&amp;IF(AND(ISNUMBER($C12),$C12=1),"Only one plot: a mean can be reported but never an uncertainty. ","")&amp;IF($B12="","No site area, so no total carbon. ","")&amp;IF(AND(ISNUMBER($G12),ISNUMBER($H12),$G12&gt;$H12),"Soil precision target missed — scrutinise the data, then post-stratify on management before adding cores. ","")&amp;IF(AND(ISNUMBER($M12),ISNUMBER($N12),$M12&gt;$N12),"Root precision target missed. Roots are genuinely patchy; a wider honest interval is better than a tight unearned one. ",""))</f>
        <v/>
      </c>
      <c r="S12" s="9" t="str">
        <f aca="false">IF(OR($A12="",$C12=0),"",AVERAGEIFS('5. Plot Summary'!$S$5:$S$64,'5. Plot Summary'!$B$5:$B$64,$A12))</f>
        <v/>
      </c>
      <c r="T12" s="9" t="str">
        <f aca="false">IF(OR($A12="",NOT(ISNUMBER($C12)),$C12&lt;2,NOT(ISNUMBER($S12))),"",SQRT(MAX(0,(SUMIFS('5. Plot Summary'!$T$5:$T$64,'5. Plot Summary'!$B$5:$B$64,$A12)-$C12*$S12^2)/($C12-1))))</f>
        <v/>
      </c>
      <c r="U12" s="9" t="n">
        <f aca="false">IF(OR(NOT(ISNUMBER($T12)),NOT(ISNUMBER($B12)),SUM($B$5:$B$24)=0,NOT(ISNUMBER($C12)),$C12&lt;2),0,($B12/SUM($B$5:$B$24))^2*$T12^2/$C12)</f>
        <v>0</v>
      </c>
      <c r="V12" s="9" t="n">
        <f aca="false">IF(OR(NOT(ISNUMBER($C12)),$C12&lt;2),0,$C12-1)</f>
        <v>0</v>
      </c>
    </row>
    <row r="13" customFormat="false" ht="15" hidden="false" customHeight="false" outlineLevel="0" collapsed="false">
      <c r="A13" s="6"/>
      <c r="B13" s="6"/>
      <c r="C13" s="10" t="str">
        <f aca="false">IF($A13="","",COUNTIFS('5. Plot Summary'!$B$5:$B$64,$A13,'5. Plot Summary'!$N$5:$N$64,1))</f>
        <v/>
      </c>
      <c r="D13" s="10" t="str">
        <f aca="false">IF(OR($A13="",$C13=0),"",AVERAGEIFS('5. Plot Summary'!$L$5:$L$64,'5. Plot Summary'!$B$5:$B$64,$A13))</f>
        <v/>
      </c>
      <c r="E13" s="10" t="str">
        <f aca="false">IF(OR($A13="",NOT(ISNUMBER($C13)),$C13&lt;2),"",SQRT(MAX(0,(SUMIFS('5. Plot Summary'!$Q$5:$Q$64,'5. Plot Summary'!$B$5:$B$64,$A13)-$C13*$D13^2)/($C13-1))))</f>
        <v/>
      </c>
      <c r="F13" s="10" t="str">
        <f aca="false">IF(OR($A13="",NOT(ISNUMBER($C13)),$C13&lt;2,NOT(ISNUMBER($E13))),"",TINV(1-TARGET_CONFIDENCE,$C13-1)*$E13/SQRT($C13))</f>
        <v/>
      </c>
      <c r="G13" s="10" t="str">
        <f aca="false">IF(OR(NOT(ISNUMBER($F13)),NOT(ISNUMBER($D13)),$D13=0),"",$F13/$D13)</f>
        <v/>
      </c>
      <c r="H13" s="10" t="n">
        <f aca="false">TARGET_MARGIN_SOIL</f>
        <v>0.2</v>
      </c>
      <c r="I13" s="10" t="str">
        <f aca="false">IF($A13="","",IF(OR(NOT(ISNUMBER($C13)),$C13&lt;2),"Cannot be assessed — at least 2 plots are needed for an interval.",IF(NOT(ISNUMBER($G13)),"",IF($G13&lt;=$H13,"MET: ±"&amp;TEXT($G13,"0%")&amp;" at "&amp;TEXT(TARGET_CONFIDENCE,"0%")&amp;" confidence","NOT MET: ±"&amp;TEXT($G13,"0%")&amp;" against a ±"&amp;TEXT($H13,"0%")&amp;" target"))))</f>
        <v/>
      </c>
      <c r="J13" s="10" t="str">
        <f aca="false">IF(OR($A13="",$C13=0),"",IFERROR(AVERAGEIFS('5. Plot Summary'!$M$5:$M$64,'5. Plot Summary'!$B$5:$B$64,$A13),""))</f>
        <v/>
      </c>
      <c r="K13" s="10" t="str">
        <f aca="false">IF(OR($A13="",NOT(ISNUMBER($C13)),$C13&lt;2,NOT(ISNUMBER($J13))),"",SQRT(MAX(0,(SUMIFS('5. Plot Summary'!$R$5:$R$64,'5. Plot Summary'!$B$5:$B$64,$A13)-$C13*$J13^2)/($C13-1))))</f>
        <v/>
      </c>
      <c r="L13" s="10" t="str">
        <f aca="false">IF(OR($A13="",NOT(ISNUMBER($C13)),$C13&lt;2,NOT(ISNUMBER($K13))),"",TINV(1-TARGET_CONFIDENCE,$C13-1)*$K13/SQRT($C13))</f>
        <v/>
      </c>
      <c r="M13" s="10" t="str">
        <f aca="false">IF(OR(NOT(ISNUMBER($L13)),NOT(ISNUMBER($J13)),$J13=0),"",$L13/$J13)</f>
        <v/>
      </c>
      <c r="N13" s="10" t="n">
        <f aca="false">TARGET_MARGIN_ROOT</f>
        <v>0.4</v>
      </c>
      <c r="O13" s="10" t="str">
        <f aca="false">IF($A13="","",IF(OR(NOT(ISNUMBER($C13)),$C13&lt;2),"Cannot be assessed — at least 2 plots are needed for an interval.",IF(NOT(ISNUMBER($M13)),"No root data for this site.",IF($M13&lt;=$N13,"MET: ±"&amp;TEXT($M13,"0%")&amp;" at "&amp;TEXT(TARGET_CONFIDENCE,"0%")&amp;" confidence","NOT MET: ±"&amp;TEXT($M13,"0%")&amp;" against a ±"&amp;TEXT($N13,"0%")&amp;" target"))))</f>
        <v/>
      </c>
      <c r="P13" s="10" t="str">
        <f aca="false">IF(OR($A13="",NOT(ISNUMBER($B13))),"",(IF(ISNUMBER($D13),$D13,0)+IF(ISNUMBER($J13),$J13,0))*$B13)</f>
        <v/>
      </c>
      <c r="Q13" s="10" t="str">
        <f aca="false">IF(NOT(ISNUMBER($P13)),"",$P13*CO2E_FACTOR/1000)</f>
        <v/>
      </c>
      <c r="R13" s="11" t="str">
        <f aca="false">IF($A13="","",IF($C13=0,"No plots carry this Site ID — check it matches the Plot &amp; Site Log. ","")&amp;IF(AND(ISNUMBER($C13),$C13=1),"Only one plot: a mean can be reported but never an uncertainty. ","")&amp;IF($B13="","No site area, so no total carbon. ","")&amp;IF(AND(ISNUMBER($G13),ISNUMBER($H13),$G13&gt;$H13),"Soil precision target missed — scrutinise the data, then post-stratify on management before adding cores. ","")&amp;IF(AND(ISNUMBER($M13),ISNUMBER($N13),$M13&gt;$N13),"Root precision target missed. Roots are genuinely patchy; a wider honest interval is better than a tight unearned one. ",""))</f>
        <v/>
      </c>
      <c r="S13" s="9" t="str">
        <f aca="false">IF(OR($A13="",$C13=0),"",AVERAGEIFS('5. Plot Summary'!$S$5:$S$64,'5. Plot Summary'!$B$5:$B$64,$A13))</f>
        <v/>
      </c>
      <c r="T13" s="9" t="str">
        <f aca="false">IF(OR($A13="",NOT(ISNUMBER($C13)),$C13&lt;2,NOT(ISNUMBER($S13))),"",SQRT(MAX(0,(SUMIFS('5. Plot Summary'!$T$5:$T$64,'5. Plot Summary'!$B$5:$B$64,$A13)-$C13*$S13^2)/($C13-1))))</f>
        <v/>
      </c>
      <c r="U13" s="9" t="n">
        <f aca="false">IF(OR(NOT(ISNUMBER($T13)),NOT(ISNUMBER($B13)),SUM($B$5:$B$24)=0,NOT(ISNUMBER($C13)),$C13&lt;2),0,($B13/SUM($B$5:$B$24))^2*$T13^2/$C13)</f>
        <v>0</v>
      </c>
      <c r="V13" s="9" t="n">
        <f aca="false">IF(OR(NOT(ISNUMBER($C13)),$C13&lt;2),0,$C13-1)</f>
        <v>0</v>
      </c>
    </row>
    <row r="14" customFormat="false" ht="15" hidden="false" customHeight="false" outlineLevel="0" collapsed="false">
      <c r="A14" s="6"/>
      <c r="B14" s="6"/>
      <c r="C14" s="10" t="str">
        <f aca="false">IF($A14="","",COUNTIFS('5. Plot Summary'!$B$5:$B$64,$A14,'5. Plot Summary'!$N$5:$N$64,1))</f>
        <v/>
      </c>
      <c r="D14" s="10" t="str">
        <f aca="false">IF(OR($A14="",$C14=0),"",AVERAGEIFS('5. Plot Summary'!$L$5:$L$64,'5. Plot Summary'!$B$5:$B$64,$A14))</f>
        <v/>
      </c>
      <c r="E14" s="10" t="str">
        <f aca="false">IF(OR($A14="",NOT(ISNUMBER($C14)),$C14&lt;2),"",SQRT(MAX(0,(SUMIFS('5. Plot Summary'!$Q$5:$Q$64,'5. Plot Summary'!$B$5:$B$64,$A14)-$C14*$D14^2)/($C14-1))))</f>
        <v/>
      </c>
      <c r="F14" s="10" t="str">
        <f aca="false">IF(OR($A14="",NOT(ISNUMBER($C14)),$C14&lt;2,NOT(ISNUMBER($E14))),"",TINV(1-TARGET_CONFIDENCE,$C14-1)*$E14/SQRT($C14))</f>
        <v/>
      </c>
      <c r="G14" s="10" t="str">
        <f aca="false">IF(OR(NOT(ISNUMBER($F14)),NOT(ISNUMBER($D14)),$D14=0),"",$F14/$D14)</f>
        <v/>
      </c>
      <c r="H14" s="10" t="n">
        <f aca="false">TARGET_MARGIN_SOIL</f>
        <v>0.2</v>
      </c>
      <c r="I14" s="10" t="str">
        <f aca="false">IF($A14="","",IF(OR(NOT(ISNUMBER($C14)),$C14&lt;2),"Cannot be assessed — at least 2 plots are needed for an interval.",IF(NOT(ISNUMBER($G14)),"",IF($G14&lt;=$H14,"MET: ±"&amp;TEXT($G14,"0%")&amp;" at "&amp;TEXT(TARGET_CONFIDENCE,"0%")&amp;" confidence","NOT MET: ±"&amp;TEXT($G14,"0%")&amp;" against a ±"&amp;TEXT($H14,"0%")&amp;" target"))))</f>
        <v/>
      </c>
      <c r="J14" s="10" t="str">
        <f aca="false">IF(OR($A14="",$C14=0),"",IFERROR(AVERAGEIFS('5. Plot Summary'!$M$5:$M$64,'5. Plot Summary'!$B$5:$B$64,$A14),""))</f>
        <v/>
      </c>
      <c r="K14" s="10" t="str">
        <f aca="false">IF(OR($A14="",NOT(ISNUMBER($C14)),$C14&lt;2,NOT(ISNUMBER($J14))),"",SQRT(MAX(0,(SUMIFS('5. Plot Summary'!$R$5:$R$64,'5. Plot Summary'!$B$5:$B$64,$A14)-$C14*$J14^2)/($C14-1))))</f>
        <v/>
      </c>
      <c r="L14" s="10" t="str">
        <f aca="false">IF(OR($A14="",NOT(ISNUMBER($C14)),$C14&lt;2,NOT(ISNUMBER($K14))),"",TINV(1-TARGET_CONFIDENCE,$C14-1)*$K14/SQRT($C14))</f>
        <v/>
      </c>
      <c r="M14" s="10" t="str">
        <f aca="false">IF(OR(NOT(ISNUMBER($L14)),NOT(ISNUMBER($J14)),$J14=0),"",$L14/$J14)</f>
        <v/>
      </c>
      <c r="N14" s="10" t="n">
        <f aca="false">TARGET_MARGIN_ROOT</f>
        <v>0.4</v>
      </c>
      <c r="O14" s="10" t="str">
        <f aca="false">IF($A14="","",IF(OR(NOT(ISNUMBER($C14)),$C14&lt;2),"Cannot be assessed — at least 2 plots are needed for an interval.",IF(NOT(ISNUMBER($M14)),"No root data for this site.",IF($M14&lt;=$N14,"MET: ±"&amp;TEXT($M14,"0%")&amp;" at "&amp;TEXT(TARGET_CONFIDENCE,"0%")&amp;" confidence","NOT MET: ±"&amp;TEXT($M14,"0%")&amp;" against a ±"&amp;TEXT($N14,"0%")&amp;" target"))))</f>
        <v/>
      </c>
      <c r="P14" s="10" t="str">
        <f aca="false">IF(OR($A14="",NOT(ISNUMBER($B14))),"",(IF(ISNUMBER($D14),$D14,0)+IF(ISNUMBER($J14),$J14,0))*$B14)</f>
        <v/>
      </c>
      <c r="Q14" s="10" t="str">
        <f aca="false">IF(NOT(ISNUMBER($P14)),"",$P14*CO2E_FACTOR/1000)</f>
        <v/>
      </c>
      <c r="R14" s="11" t="str">
        <f aca="false">IF($A14="","",IF($C14=0,"No plots carry this Site ID — check it matches the Plot &amp; Site Log. ","")&amp;IF(AND(ISNUMBER($C14),$C14=1),"Only one plot: a mean can be reported but never an uncertainty. ","")&amp;IF($B14="","No site area, so no total carbon. ","")&amp;IF(AND(ISNUMBER($G14),ISNUMBER($H14),$G14&gt;$H14),"Soil precision target missed — scrutinise the data, then post-stratify on management before adding cores. ","")&amp;IF(AND(ISNUMBER($M14),ISNUMBER($N14),$M14&gt;$N14),"Root precision target missed. Roots are genuinely patchy; a wider honest interval is better than a tight unearned one. ",""))</f>
        <v/>
      </c>
      <c r="S14" s="9" t="str">
        <f aca="false">IF(OR($A14="",$C14=0),"",AVERAGEIFS('5. Plot Summary'!$S$5:$S$64,'5. Plot Summary'!$B$5:$B$64,$A14))</f>
        <v/>
      </c>
      <c r="T14" s="9" t="str">
        <f aca="false">IF(OR($A14="",NOT(ISNUMBER($C14)),$C14&lt;2,NOT(ISNUMBER($S14))),"",SQRT(MAX(0,(SUMIFS('5. Plot Summary'!$T$5:$T$64,'5. Plot Summary'!$B$5:$B$64,$A14)-$C14*$S14^2)/($C14-1))))</f>
        <v/>
      </c>
      <c r="U14" s="9" t="n">
        <f aca="false">IF(OR(NOT(ISNUMBER($T14)),NOT(ISNUMBER($B14)),SUM($B$5:$B$24)=0,NOT(ISNUMBER($C14)),$C14&lt;2),0,($B14/SUM($B$5:$B$24))^2*$T14^2/$C14)</f>
        <v>0</v>
      </c>
      <c r="V14" s="9" t="n">
        <f aca="false">IF(OR(NOT(ISNUMBER($C14)),$C14&lt;2),0,$C14-1)</f>
        <v>0</v>
      </c>
    </row>
    <row r="15" customFormat="false" ht="15" hidden="false" customHeight="false" outlineLevel="0" collapsed="false">
      <c r="A15" s="6"/>
      <c r="B15" s="6"/>
      <c r="C15" s="10" t="str">
        <f aca="false">IF($A15="","",COUNTIFS('5. Plot Summary'!$B$5:$B$64,$A15,'5. Plot Summary'!$N$5:$N$64,1))</f>
        <v/>
      </c>
      <c r="D15" s="10" t="str">
        <f aca="false">IF(OR($A15="",$C15=0),"",AVERAGEIFS('5. Plot Summary'!$L$5:$L$64,'5. Plot Summary'!$B$5:$B$64,$A15))</f>
        <v/>
      </c>
      <c r="E15" s="10" t="str">
        <f aca="false">IF(OR($A15="",NOT(ISNUMBER($C15)),$C15&lt;2),"",SQRT(MAX(0,(SUMIFS('5. Plot Summary'!$Q$5:$Q$64,'5. Plot Summary'!$B$5:$B$64,$A15)-$C15*$D15^2)/($C15-1))))</f>
        <v/>
      </c>
      <c r="F15" s="10" t="str">
        <f aca="false">IF(OR($A15="",NOT(ISNUMBER($C15)),$C15&lt;2,NOT(ISNUMBER($E15))),"",TINV(1-TARGET_CONFIDENCE,$C15-1)*$E15/SQRT($C15))</f>
        <v/>
      </c>
      <c r="G15" s="10" t="str">
        <f aca="false">IF(OR(NOT(ISNUMBER($F15)),NOT(ISNUMBER($D15)),$D15=0),"",$F15/$D15)</f>
        <v/>
      </c>
      <c r="H15" s="10" t="n">
        <f aca="false">TARGET_MARGIN_SOIL</f>
        <v>0.2</v>
      </c>
      <c r="I15" s="10" t="str">
        <f aca="false">IF($A15="","",IF(OR(NOT(ISNUMBER($C15)),$C15&lt;2),"Cannot be assessed — at least 2 plots are needed for an interval.",IF(NOT(ISNUMBER($G15)),"",IF($G15&lt;=$H15,"MET: ±"&amp;TEXT($G15,"0%")&amp;" at "&amp;TEXT(TARGET_CONFIDENCE,"0%")&amp;" confidence","NOT MET: ±"&amp;TEXT($G15,"0%")&amp;" against a ±"&amp;TEXT($H15,"0%")&amp;" target"))))</f>
        <v/>
      </c>
      <c r="J15" s="10" t="str">
        <f aca="false">IF(OR($A15="",$C15=0),"",IFERROR(AVERAGEIFS('5. Plot Summary'!$M$5:$M$64,'5. Plot Summary'!$B$5:$B$64,$A15),""))</f>
        <v/>
      </c>
      <c r="K15" s="10" t="str">
        <f aca="false">IF(OR($A15="",NOT(ISNUMBER($C15)),$C15&lt;2,NOT(ISNUMBER($J15))),"",SQRT(MAX(0,(SUMIFS('5. Plot Summary'!$R$5:$R$64,'5. Plot Summary'!$B$5:$B$64,$A15)-$C15*$J15^2)/($C15-1))))</f>
        <v/>
      </c>
      <c r="L15" s="10" t="str">
        <f aca="false">IF(OR($A15="",NOT(ISNUMBER($C15)),$C15&lt;2,NOT(ISNUMBER($K15))),"",TINV(1-TARGET_CONFIDENCE,$C15-1)*$K15/SQRT($C15))</f>
        <v/>
      </c>
      <c r="M15" s="10" t="str">
        <f aca="false">IF(OR(NOT(ISNUMBER($L15)),NOT(ISNUMBER($J15)),$J15=0),"",$L15/$J15)</f>
        <v/>
      </c>
      <c r="N15" s="10" t="n">
        <f aca="false">TARGET_MARGIN_ROOT</f>
        <v>0.4</v>
      </c>
      <c r="O15" s="10" t="str">
        <f aca="false">IF($A15="","",IF(OR(NOT(ISNUMBER($C15)),$C15&lt;2),"Cannot be assessed — at least 2 plots are needed for an interval.",IF(NOT(ISNUMBER($M15)),"No root data for this site.",IF($M15&lt;=$N15,"MET: ±"&amp;TEXT($M15,"0%")&amp;" at "&amp;TEXT(TARGET_CONFIDENCE,"0%")&amp;" confidence","NOT MET: ±"&amp;TEXT($M15,"0%")&amp;" against a ±"&amp;TEXT($N15,"0%")&amp;" target"))))</f>
        <v/>
      </c>
      <c r="P15" s="10" t="str">
        <f aca="false">IF(OR($A15="",NOT(ISNUMBER($B15))),"",(IF(ISNUMBER($D15),$D15,0)+IF(ISNUMBER($J15),$J15,0))*$B15)</f>
        <v/>
      </c>
      <c r="Q15" s="10" t="str">
        <f aca="false">IF(NOT(ISNUMBER($P15)),"",$P15*CO2E_FACTOR/1000)</f>
        <v/>
      </c>
      <c r="R15" s="11" t="str">
        <f aca="false">IF($A15="","",IF($C15=0,"No plots carry this Site ID — check it matches the Plot &amp; Site Log. ","")&amp;IF(AND(ISNUMBER($C15),$C15=1),"Only one plot: a mean can be reported but never an uncertainty. ","")&amp;IF($B15="","No site area, so no total carbon. ","")&amp;IF(AND(ISNUMBER($G15),ISNUMBER($H15),$G15&gt;$H15),"Soil precision target missed — scrutinise the data, then post-stratify on management before adding cores. ","")&amp;IF(AND(ISNUMBER($M15),ISNUMBER($N15),$M15&gt;$N15),"Root precision target missed. Roots are genuinely patchy; a wider honest interval is better than a tight unearned one. ",""))</f>
        <v/>
      </c>
      <c r="S15" s="9" t="str">
        <f aca="false">IF(OR($A15="",$C15=0),"",AVERAGEIFS('5. Plot Summary'!$S$5:$S$64,'5. Plot Summary'!$B$5:$B$64,$A15))</f>
        <v/>
      </c>
      <c r="T15" s="9" t="str">
        <f aca="false">IF(OR($A15="",NOT(ISNUMBER($C15)),$C15&lt;2,NOT(ISNUMBER($S15))),"",SQRT(MAX(0,(SUMIFS('5. Plot Summary'!$T$5:$T$64,'5. Plot Summary'!$B$5:$B$64,$A15)-$C15*$S15^2)/($C15-1))))</f>
        <v/>
      </c>
      <c r="U15" s="9" t="n">
        <f aca="false">IF(OR(NOT(ISNUMBER($T15)),NOT(ISNUMBER($B15)),SUM($B$5:$B$24)=0,NOT(ISNUMBER($C15)),$C15&lt;2),0,($B15/SUM($B$5:$B$24))^2*$T15^2/$C15)</f>
        <v>0</v>
      </c>
      <c r="V15" s="9" t="n">
        <f aca="false">IF(OR(NOT(ISNUMBER($C15)),$C15&lt;2),0,$C15-1)</f>
        <v>0</v>
      </c>
    </row>
    <row r="16" customFormat="false" ht="15" hidden="false" customHeight="false" outlineLevel="0" collapsed="false">
      <c r="A16" s="6"/>
      <c r="B16" s="6"/>
      <c r="C16" s="10" t="str">
        <f aca="false">IF($A16="","",COUNTIFS('5. Plot Summary'!$B$5:$B$64,$A16,'5. Plot Summary'!$N$5:$N$64,1))</f>
        <v/>
      </c>
      <c r="D16" s="10" t="str">
        <f aca="false">IF(OR($A16="",$C16=0),"",AVERAGEIFS('5. Plot Summary'!$L$5:$L$64,'5. Plot Summary'!$B$5:$B$64,$A16))</f>
        <v/>
      </c>
      <c r="E16" s="10" t="str">
        <f aca="false">IF(OR($A16="",NOT(ISNUMBER($C16)),$C16&lt;2),"",SQRT(MAX(0,(SUMIFS('5. Plot Summary'!$Q$5:$Q$64,'5. Plot Summary'!$B$5:$B$64,$A16)-$C16*$D16^2)/($C16-1))))</f>
        <v/>
      </c>
      <c r="F16" s="10" t="str">
        <f aca="false">IF(OR($A16="",NOT(ISNUMBER($C16)),$C16&lt;2,NOT(ISNUMBER($E16))),"",TINV(1-TARGET_CONFIDENCE,$C16-1)*$E16/SQRT($C16))</f>
        <v/>
      </c>
      <c r="G16" s="10" t="str">
        <f aca="false">IF(OR(NOT(ISNUMBER($F16)),NOT(ISNUMBER($D16)),$D16=0),"",$F16/$D16)</f>
        <v/>
      </c>
      <c r="H16" s="10" t="n">
        <f aca="false">TARGET_MARGIN_SOIL</f>
        <v>0.2</v>
      </c>
      <c r="I16" s="10" t="str">
        <f aca="false">IF($A16="","",IF(OR(NOT(ISNUMBER($C16)),$C16&lt;2),"Cannot be assessed — at least 2 plots are needed for an interval.",IF(NOT(ISNUMBER($G16)),"",IF($G16&lt;=$H16,"MET: ±"&amp;TEXT($G16,"0%")&amp;" at "&amp;TEXT(TARGET_CONFIDENCE,"0%")&amp;" confidence","NOT MET: ±"&amp;TEXT($G16,"0%")&amp;" against a ±"&amp;TEXT($H16,"0%")&amp;" target"))))</f>
        <v/>
      </c>
      <c r="J16" s="10" t="str">
        <f aca="false">IF(OR($A16="",$C16=0),"",IFERROR(AVERAGEIFS('5. Plot Summary'!$M$5:$M$64,'5. Plot Summary'!$B$5:$B$64,$A16),""))</f>
        <v/>
      </c>
      <c r="K16" s="10" t="str">
        <f aca="false">IF(OR($A16="",NOT(ISNUMBER($C16)),$C16&lt;2,NOT(ISNUMBER($J16))),"",SQRT(MAX(0,(SUMIFS('5. Plot Summary'!$R$5:$R$64,'5. Plot Summary'!$B$5:$B$64,$A16)-$C16*$J16^2)/($C16-1))))</f>
        <v/>
      </c>
      <c r="L16" s="10" t="str">
        <f aca="false">IF(OR($A16="",NOT(ISNUMBER($C16)),$C16&lt;2,NOT(ISNUMBER($K16))),"",TINV(1-TARGET_CONFIDENCE,$C16-1)*$K16/SQRT($C16))</f>
        <v/>
      </c>
      <c r="M16" s="10" t="str">
        <f aca="false">IF(OR(NOT(ISNUMBER($L16)),NOT(ISNUMBER($J16)),$J16=0),"",$L16/$J16)</f>
        <v/>
      </c>
      <c r="N16" s="10" t="n">
        <f aca="false">TARGET_MARGIN_ROOT</f>
        <v>0.4</v>
      </c>
      <c r="O16" s="10" t="str">
        <f aca="false">IF($A16="","",IF(OR(NOT(ISNUMBER($C16)),$C16&lt;2),"Cannot be assessed — at least 2 plots are needed for an interval.",IF(NOT(ISNUMBER($M16)),"No root data for this site.",IF($M16&lt;=$N16,"MET: ±"&amp;TEXT($M16,"0%")&amp;" at "&amp;TEXT(TARGET_CONFIDENCE,"0%")&amp;" confidence","NOT MET: ±"&amp;TEXT($M16,"0%")&amp;" against a ±"&amp;TEXT($N16,"0%")&amp;" target"))))</f>
        <v/>
      </c>
      <c r="P16" s="10" t="str">
        <f aca="false">IF(OR($A16="",NOT(ISNUMBER($B16))),"",(IF(ISNUMBER($D16),$D16,0)+IF(ISNUMBER($J16),$J16,0))*$B16)</f>
        <v/>
      </c>
      <c r="Q16" s="10" t="str">
        <f aca="false">IF(NOT(ISNUMBER($P16)),"",$P16*CO2E_FACTOR/1000)</f>
        <v/>
      </c>
      <c r="R16" s="11" t="str">
        <f aca="false">IF($A16="","",IF($C16=0,"No plots carry this Site ID — check it matches the Plot &amp; Site Log. ","")&amp;IF(AND(ISNUMBER($C16),$C16=1),"Only one plot: a mean can be reported but never an uncertainty. ","")&amp;IF($B16="","No site area, so no total carbon. ","")&amp;IF(AND(ISNUMBER($G16),ISNUMBER($H16),$G16&gt;$H16),"Soil precision target missed — scrutinise the data, then post-stratify on management before adding cores. ","")&amp;IF(AND(ISNUMBER($M16),ISNUMBER($N16),$M16&gt;$N16),"Root precision target missed. Roots are genuinely patchy; a wider honest interval is better than a tight unearned one. ",""))</f>
        <v/>
      </c>
      <c r="S16" s="9" t="str">
        <f aca="false">IF(OR($A16="",$C16=0),"",AVERAGEIFS('5. Plot Summary'!$S$5:$S$64,'5. Plot Summary'!$B$5:$B$64,$A16))</f>
        <v/>
      </c>
      <c r="T16" s="9" t="str">
        <f aca="false">IF(OR($A16="",NOT(ISNUMBER($C16)),$C16&lt;2,NOT(ISNUMBER($S16))),"",SQRT(MAX(0,(SUMIFS('5. Plot Summary'!$T$5:$T$64,'5. Plot Summary'!$B$5:$B$64,$A16)-$C16*$S16^2)/($C16-1))))</f>
        <v/>
      </c>
      <c r="U16" s="9" t="n">
        <f aca="false">IF(OR(NOT(ISNUMBER($T16)),NOT(ISNUMBER($B16)),SUM($B$5:$B$24)=0,NOT(ISNUMBER($C16)),$C16&lt;2),0,($B16/SUM($B$5:$B$24))^2*$T16^2/$C16)</f>
        <v>0</v>
      </c>
      <c r="V16" s="9" t="n">
        <f aca="false">IF(OR(NOT(ISNUMBER($C16)),$C16&lt;2),0,$C16-1)</f>
        <v>0</v>
      </c>
    </row>
    <row r="17" customFormat="false" ht="15" hidden="false" customHeight="false" outlineLevel="0" collapsed="false">
      <c r="A17" s="6"/>
      <c r="B17" s="6"/>
      <c r="C17" s="10" t="str">
        <f aca="false">IF($A17="","",COUNTIFS('5. Plot Summary'!$B$5:$B$64,$A17,'5. Plot Summary'!$N$5:$N$64,1))</f>
        <v/>
      </c>
      <c r="D17" s="10" t="str">
        <f aca="false">IF(OR($A17="",$C17=0),"",AVERAGEIFS('5. Plot Summary'!$L$5:$L$64,'5. Plot Summary'!$B$5:$B$64,$A17))</f>
        <v/>
      </c>
      <c r="E17" s="10" t="str">
        <f aca="false">IF(OR($A17="",NOT(ISNUMBER($C17)),$C17&lt;2),"",SQRT(MAX(0,(SUMIFS('5. Plot Summary'!$Q$5:$Q$64,'5. Plot Summary'!$B$5:$B$64,$A17)-$C17*$D17^2)/($C17-1))))</f>
        <v/>
      </c>
      <c r="F17" s="10" t="str">
        <f aca="false">IF(OR($A17="",NOT(ISNUMBER($C17)),$C17&lt;2,NOT(ISNUMBER($E17))),"",TINV(1-TARGET_CONFIDENCE,$C17-1)*$E17/SQRT($C17))</f>
        <v/>
      </c>
      <c r="G17" s="10" t="str">
        <f aca="false">IF(OR(NOT(ISNUMBER($F17)),NOT(ISNUMBER($D17)),$D17=0),"",$F17/$D17)</f>
        <v/>
      </c>
      <c r="H17" s="10" t="n">
        <f aca="false">TARGET_MARGIN_SOIL</f>
        <v>0.2</v>
      </c>
      <c r="I17" s="10" t="str">
        <f aca="false">IF($A17="","",IF(OR(NOT(ISNUMBER($C17)),$C17&lt;2),"Cannot be assessed — at least 2 plots are needed for an interval.",IF(NOT(ISNUMBER($G17)),"",IF($G17&lt;=$H17,"MET: ±"&amp;TEXT($G17,"0%")&amp;" at "&amp;TEXT(TARGET_CONFIDENCE,"0%")&amp;" confidence","NOT MET: ±"&amp;TEXT($G17,"0%")&amp;" against a ±"&amp;TEXT($H17,"0%")&amp;" target"))))</f>
        <v/>
      </c>
      <c r="J17" s="10" t="str">
        <f aca="false">IF(OR($A17="",$C17=0),"",IFERROR(AVERAGEIFS('5. Plot Summary'!$M$5:$M$64,'5. Plot Summary'!$B$5:$B$64,$A17),""))</f>
        <v/>
      </c>
      <c r="K17" s="10" t="str">
        <f aca="false">IF(OR($A17="",NOT(ISNUMBER($C17)),$C17&lt;2,NOT(ISNUMBER($J17))),"",SQRT(MAX(0,(SUMIFS('5. Plot Summary'!$R$5:$R$64,'5. Plot Summary'!$B$5:$B$64,$A17)-$C17*$J17^2)/($C17-1))))</f>
        <v/>
      </c>
      <c r="L17" s="10" t="str">
        <f aca="false">IF(OR($A17="",NOT(ISNUMBER($C17)),$C17&lt;2,NOT(ISNUMBER($K17))),"",TINV(1-TARGET_CONFIDENCE,$C17-1)*$K17/SQRT($C17))</f>
        <v/>
      </c>
      <c r="M17" s="10" t="str">
        <f aca="false">IF(OR(NOT(ISNUMBER($L17)),NOT(ISNUMBER($J17)),$J17=0),"",$L17/$J17)</f>
        <v/>
      </c>
      <c r="N17" s="10" t="n">
        <f aca="false">TARGET_MARGIN_ROOT</f>
        <v>0.4</v>
      </c>
      <c r="O17" s="10" t="str">
        <f aca="false">IF($A17="","",IF(OR(NOT(ISNUMBER($C17)),$C17&lt;2),"Cannot be assessed — at least 2 plots are needed for an interval.",IF(NOT(ISNUMBER($M17)),"No root data for this site.",IF($M17&lt;=$N17,"MET: ±"&amp;TEXT($M17,"0%")&amp;" at "&amp;TEXT(TARGET_CONFIDENCE,"0%")&amp;" confidence","NOT MET: ±"&amp;TEXT($M17,"0%")&amp;" against a ±"&amp;TEXT($N17,"0%")&amp;" target"))))</f>
        <v/>
      </c>
      <c r="P17" s="10" t="str">
        <f aca="false">IF(OR($A17="",NOT(ISNUMBER($B17))),"",(IF(ISNUMBER($D17),$D17,0)+IF(ISNUMBER($J17),$J17,0))*$B17)</f>
        <v/>
      </c>
      <c r="Q17" s="10" t="str">
        <f aca="false">IF(NOT(ISNUMBER($P17)),"",$P17*CO2E_FACTOR/1000)</f>
        <v/>
      </c>
      <c r="R17" s="11" t="str">
        <f aca="false">IF($A17="","",IF($C17=0,"No plots carry this Site ID — check it matches the Plot &amp; Site Log. ","")&amp;IF(AND(ISNUMBER($C17),$C17=1),"Only one plot: a mean can be reported but never an uncertainty. ","")&amp;IF($B17="","No site area, so no total carbon. ","")&amp;IF(AND(ISNUMBER($G17),ISNUMBER($H17),$G17&gt;$H17),"Soil precision target missed — scrutinise the data, then post-stratify on management before adding cores. ","")&amp;IF(AND(ISNUMBER($M17),ISNUMBER($N17),$M17&gt;$N17),"Root precision target missed. Roots are genuinely patchy; a wider honest interval is better than a tight unearned one. ",""))</f>
        <v/>
      </c>
      <c r="S17" s="9" t="str">
        <f aca="false">IF(OR($A17="",$C17=0),"",AVERAGEIFS('5. Plot Summary'!$S$5:$S$64,'5. Plot Summary'!$B$5:$B$64,$A17))</f>
        <v/>
      </c>
      <c r="T17" s="9" t="str">
        <f aca="false">IF(OR($A17="",NOT(ISNUMBER($C17)),$C17&lt;2,NOT(ISNUMBER($S17))),"",SQRT(MAX(0,(SUMIFS('5. Plot Summary'!$T$5:$T$64,'5. Plot Summary'!$B$5:$B$64,$A17)-$C17*$S17^2)/($C17-1))))</f>
        <v/>
      </c>
      <c r="U17" s="9" t="n">
        <f aca="false">IF(OR(NOT(ISNUMBER($T17)),NOT(ISNUMBER($B17)),SUM($B$5:$B$24)=0,NOT(ISNUMBER($C17)),$C17&lt;2),0,($B17/SUM($B$5:$B$24))^2*$T17^2/$C17)</f>
        <v>0</v>
      </c>
      <c r="V17" s="9" t="n">
        <f aca="false">IF(OR(NOT(ISNUMBER($C17)),$C17&lt;2),0,$C17-1)</f>
        <v>0</v>
      </c>
    </row>
    <row r="18" customFormat="false" ht="15" hidden="false" customHeight="false" outlineLevel="0" collapsed="false">
      <c r="A18" s="6"/>
      <c r="B18" s="6"/>
      <c r="C18" s="10" t="str">
        <f aca="false">IF($A18="","",COUNTIFS('5. Plot Summary'!$B$5:$B$64,$A18,'5. Plot Summary'!$N$5:$N$64,1))</f>
        <v/>
      </c>
      <c r="D18" s="10" t="str">
        <f aca="false">IF(OR($A18="",$C18=0),"",AVERAGEIFS('5. Plot Summary'!$L$5:$L$64,'5. Plot Summary'!$B$5:$B$64,$A18))</f>
        <v/>
      </c>
      <c r="E18" s="10" t="str">
        <f aca="false">IF(OR($A18="",NOT(ISNUMBER($C18)),$C18&lt;2),"",SQRT(MAX(0,(SUMIFS('5. Plot Summary'!$Q$5:$Q$64,'5. Plot Summary'!$B$5:$B$64,$A18)-$C18*$D18^2)/($C18-1))))</f>
        <v/>
      </c>
      <c r="F18" s="10" t="str">
        <f aca="false">IF(OR($A18="",NOT(ISNUMBER($C18)),$C18&lt;2,NOT(ISNUMBER($E18))),"",TINV(1-TARGET_CONFIDENCE,$C18-1)*$E18/SQRT($C18))</f>
        <v/>
      </c>
      <c r="G18" s="10" t="str">
        <f aca="false">IF(OR(NOT(ISNUMBER($F18)),NOT(ISNUMBER($D18)),$D18=0),"",$F18/$D18)</f>
        <v/>
      </c>
      <c r="H18" s="10" t="n">
        <f aca="false">TARGET_MARGIN_SOIL</f>
        <v>0.2</v>
      </c>
      <c r="I18" s="10" t="str">
        <f aca="false">IF($A18="","",IF(OR(NOT(ISNUMBER($C18)),$C18&lt;2),"Cannot be assessed — at least 2 plots are needed for an interval.",IF(NOT(ISNUMBER($G18)),"",IF($G18&lt;=$H18,"MET: ±"&amp;TEXT($G18,"0%")&amp;" at "&amp;TEXT(TARGET_CONFIDENCE,"0%")&amp;" confidence","NOT MET: ±"&amp;TEXT($G18,"0%")&amp;" against a ±"&amp;TEXT($H18,"0%")&amp;" target"))))</f>
        <v/>
      </c>
      <c r="J18" s="10" t="str">
        <f aca="false">IF(OR($A18="",$C18=0),"",IFERROR(AVERAGEIFS('5. Plot Summary'!$M$5:$M$64,'5. Plot Summary'!$B$5:$B$64,$A18),""))</f>
        <v/>
      </c>
      <c r="K18" s="10" t="str">
        <f aca="false">IF(OR($A18="",NOT(ISNUMBER($C18)),$C18&lt;2,NOT(ISNUMBER($J18))),"",SQRT(MAX(0,(SUMIFS('5. Plot Summary'!$R$5:$R$64,'5. Plot Summary'!$B$5:$B$64,$A18)-$C18*$J18^2)/($C18-1))))</f>
        <v/>
      </c>
      <c r="L18" s="10" t="str">
        <f aca="false">IF(OR($A18="",NOT(ISNUMBER($C18)),$C18&lt;2,NOT(ISNUMBER($K18))),"",TINV(1-TARGET_CONFIDENCE,$C18-1)*$K18/SQRT($C18))</f>
        <v/>
      </c>
      <c r="M18" s="10" t="str">
        <f aca="false">IF(OR(NOT(ISNUMBER($L18)),NOT(ISNUMBER($J18)),$J18=0),"",$L18/$J18)</f>
        <v/>
      </c>
      <c r="N18" s="10" t="n">
        <f aca="false">TARGET_MARGIN_ROOT</f>
        <v>0.4</v>
      </c>
      <c r="O18" s="10" t="str">
        <f aca="false">IF($A18="","",IF(OR(NOT(ISNUMBER($C18)),$C18&lt;2),"Cannot be assessed — at least 2 plots are needed for an interval.",IF(NOT(ISNUMBER($M18)),"No root data for this site.",IF($M18&lt;=$N18,"MET: ±"&amp;TEXT($M18,"0%")&amp;" at "&amp;TEXT(TARGET_CONFIDENCE,"0%")&amp;" confidence","NOT MET: ±"&amp;TEXT($M18,"0%")&amp;" against a ±"&amp;TEXT($N18,"0%")&amp;" target"))))</f>
        <v/>
      </c>
      <c r="P18" s="10" t="str">
        <f aca="false">IF(OR($A18="",NOT(ISNUMBER($B18))),"",(IF(ISNUMBER($D18),$D18,0)+IF(ISNUMBER($J18),$J18,0))*$B18)</f>
        <v/>
      </c>
      <c r="Q18" s="10" t="str">
        <f aca="false">IF(NOT(ISNUMBER($P18)),"",$P18*CO2E_FACTOR/1000)</f>
        <v/>
      </c>
      <c r="R18" s="11" t="str">
        <f aca="false">IF($A18="","",IF($C18=0,"No plots carry this Site ID — check it matches the Plot &amp; Site Log. ","")&amp;IF(AND(ISNUMBER($C18),$C18=1),"Only one plot: a mean can be reported but never an uncertainty. ","")&amp;IF($B18="","No site area, so no total carbon. ","")&amp;IF(AND(ISNUMBER($G18),ISNUMBER($H18),$G18&gt;$H18),"Soil precision target missed — scrutinise the data, then post-stratify on management before adding cores. ","")&amp;IF(AND(ISNUMBER($M18),ISNUMBER($N18),$M18&gt;$N18),"Root precision target missed. Roots are genuinely patchy; a wider honest interval is better than a tight unearned one. ",""))</f>
        <v/>
      </c>
      <c r="S18" s="9" t="str">
        <f aca="false">IF(OR($A18="",$C18=0),"",AVERAGEIFS('5. Plot Summary'!$S$5:$S$64,'5. Plot Summary'!$B$5:$B$64,$A18))</f>
        <v/>
      </c>
      <c r="T18" s="9" t="str">
        <f aca="false">IF(OR($A18="",NOT(ISNUMBER($C18)),$C18&lt;2,NOT(ISNUMBER($S18))),"",SQRT(MAX(0,(SUMIFS('5. Plot Summary'!$T$5:$T$64,'5. Plot Summary'!$B$5:$B$64,$A18)-$C18*$S18^2)/($C18-1))))</f>
        <v/>
      </c>
      <c r="U18" s="9" t="n">
        <f aca="false">IF(OR(NOT(ISNUMBER($T18)),NOT(ISNUMBER($B18)),SUM($B$5:$B$24)=0,NOT(ISNUMBER($C18)),$C18&lt;2),0,($B18/SUM($B$5:$B$24))^2*$T18^2/$C18)</f>
        <v>0</v>
      </c>
      <c r="V18" s="9" t="n">
        <f aca="false">IF(OR(NOT(ISNUMBER($C18)),$C18&lt;2),0,$C18-1)</f>
        <v>0</v>
      </c>
    </row>
    <row r="19" customFormat="false" ht="15" hidden="false" customHeight="false" outlineLevel="0" collapsed="false">
      <c r="A19" s="6"/>
      <c r="B19" s="6"/>
      <c r="C19" s="10" t="str">
        <f aca="false">IF($A19="","",COUNTIFS('5. Plot Summary'!$B$5:$B$64,$A19,'5. Plot Summary'!$N$5:$N$64,1))</f>
        <v/>
      </c>
      <c r="D19" s="10" t="str">
        <f aca="false">IF(OR($A19="",$C19=0),"",AVERAGEIFS('5. Plot Summary'!$L$5:$L$64,'5. Plot Summary'!$B$5:$B$64,$A19))</f>
        <v/>
      </c>
      <c r="E19" s="10" t="str">
        <f aca="false">IF(OR($A19="",NOT(ISNUMBER($C19)),$C19&lt;2),"",SQRT(MAX(0,(SUMIFS('5. Plot Summary'!$Q$5:$Q$64,'5. Plot Summary'!$B$5:$B$64,$A19)-$C19*$D19^2)/($C19-1))))</f>
        <v/>
      </c>
      <c r="F19" s="10" t="str">
        <f aca="false">IF(OR($A19="",NOT(ISNUMBER($C19)),$C19&lt;2,NOT(ISNUMBER($E19))),"",TINV(1-TARGET_CONFIDENCE,$C19-1)*$E19/SQRT($C19))</f>
        <v/>
      </c>
      <c r="G19" s="10" t="str">
        <f aca="false">IF(OR(NOT(ISNUMBER($F19)),NOT(ISNUMBER($D19)),$D19=0),"",$F19/$D19)</f>
        <v/>
      </c>
      <c r="H19" s="10" t="n">
        <f aca="false">TARGET_MARGIN_SOIL</f>
        <v>0.2</v>
      </c>
      <c r="I19" s="10" t="str">
        <f aca="false">IF($A19="","",IF(OR(NOT(ISNUMBER($C19)),$C19&lt;2),"Cannot be assessed — at least 2 plots are needed for an interval.",IF(NOT(ISNUMBER($G19)),"",IF($G19&lt;=$H19,"MET: ±"&amp;TEXT($G19,"0%")&amp;" at "&amp;TEXT(TARGET_CONFIDENCE,"0%")&amp;" confidence","NOT MET: ±"&amp;TEXT($G19,"0%")&amp;" against a ±"&amp;TEXT($H19,"0%")&amp;" target"))))</f>
        <v/>
      </c>
      <c r="J19" s="10" t="str">
        <f aca="false">IF(OR($A19="",$C19=0),"",IFERROR(AVERAGEIFS('5. Plot Summary'!$M$5:$M$64,'5. Plot Summary'!$B$5:$B$64,$A19),""))</f>
        <v/>
      </c>
      <c r="K19" s="10" t="str">
        <f aca="false">IF(OR($A19="",NOT(ISNUMBER($C19)),$C19&lt;2,NOT(ISNUMBER($J19))),"",SQRT(MAX(0,(SUMIFS('5. Plot Summary'!$R$5:$R$64,'5. Plot Summary'!$B$5:$B$64,$A19)-$C19*$J19^2)/($C19-1))))</f>
        <v/>
      </c>
      <c r="L19" s="10" t="str">
        <f aca="false">IF(OR($A19="",NOT(ISNUMBER($C19)),$C19&lt;2,NOT(ISNUMBER($K19))),"",TINV(1-TARGET_CONFIDENCE,$C19-1)*$K19/SQRT($C19))</f>
        <v/>
      </c>
      <c r="M19" s="10" t="str">
        <f aca="false">IF(OR(NOT(ISNUMBER($L19)),NOT(ISNUMBER($J19)),$J19=0),"",$L19/$J19)</f>
        <v/>
      </c>
      <c r="N19" s="10" t="n">
        <f aca="false">TARGET_MARGIN_ROOT</f>
        <v>0.4</v>
      </c>
      <c r="O19" s="10" t="str">
        <f aca="false">IF($A19="","",IF(OR(NOT(ISNUMBER($C19)),$C19&lt;2),"Cannot be assessed — at least 2 plots are needed for an interval.",IF(NOT(ISNUMBER($M19)),"No root data for this site.",IF($M19&lt;=$N19,"MET: ±"&amp;TEXT($M19,"0%")&amp;" at "&amp;TEXT(TARGET_CONFIDENCE,"0%")&amp;" confidence","NOT MET: ±"&amp;TEXT($M19,"0%")&amp;" against a ±"&amp;TEXT($N19,"0%")&amp;" target"))))</f>
        <v/>
      </c>
      <c r="P19" s="10" t="str">
        <f aca="false">IF(OR($A19="",NOT(ISNUMBER($B19))),"",(IF(ISNUMBER($D19),$D19,0)+IF(ISNUMBER($J19),$J19,0))*$B19)</f>
        <v/>
      </c>
      <c r="Q19" s="10" t="str">
        <f aca="false">IF(NOT(ISNUMBER($P19)),"",$P19*CO2E_FACTOR/1000)</f>
        <v/>
      </c>
      <c r="R19" s="11" t="str">
        <f aca="false">IF($A19="","",IF($C19=0,"No plots carry this Site ID — check it matches the Plot &amp; Site Log. ","")&amp;IF(AND(ISNUMBER($C19),$C19=1),"Only one plot: a mean can be reported but never an uncertainty. ","")&amp;IF($B19="","No site area, so no total carbon. ","")&amp;IF(AND(ISNUMBER($G19),ISNUMBER($H19),$G19&gt;$H19),"Soil precision target missed — scrutinise the data, then post-stratify on management before adding cores. ","")&amp;IF(AND(ISNUMBER($M19),ISNUMBER($N19),$M19&gt;$N19),"Root precision target missed. Roots are genuinely patchy; a wider honest interval is better than a tight unearned one. ",""))</f>
        <v/>
      </c>
      <c r="S19" s="9" t="str">
        <f aca="false">IF(OR($A19="",$C19=0),"",AVERAGEIFS('5. Plot Summary'!$S$5:$S$64,'5. Plot Summary'!$B$5:$B$64,$A19))</f>
        <v/>
      </c>
      <c r="T19" s="9" t="str">
        <f aca="false">IF(OR($A19="",NOT(ISNUMBER($C19)),$C19&lt;2,NOT(ISNUMBER($S19))),"",SQRT(MAX(0,(SUMIFS('5. Plot Summary'!$T$5:$T$64,'5. Plot Summary'!$B$5:$B$64,$A19)-$C19*$S19^2)/($C19-1))))</f>
        <v/>
      </c>
      <c r="U19" s="9" t="n">
        <f aca="false">IF(OR(NOT(ISNUMBER($T19)),NOT(ISNUMBER($B19)),SUM($B$5:$B$24)=0,NOT(ISNUMBER($C19)),$C19&lt;2),0,($B19/SUM($B$5:$B$24))^2*$T19^2/$C19)</f>
        <v>0</v>
      </c>
      <c r="V19" s="9" t="n">
        <f aca="false">IF(OR(NOT(ISNUMBER($C19)),$C19&lt;2),0,$C19-1)</f>
        <v>0</v>
      </c>
    </row>
    <row r="20" customFormat="false" ht="15" hidden="false" customHeight="false" outlineLevel="0" collapsed="false">
      <c r="A20" s="6"/>
      <c r="B20" s="6"/>
      <c r="C20" s="10" t="str">
        <f aca="false">IF($A20="","",COUNTIFS('5. Plot Summary'!$B$5:$B$64,$A20,'5. Plot Summary'!$N$5:$N$64,1))</f>
        <v/>
      </c>
      <c r="D20" s="10" t="str">
        <f aca="false">IF(OR($A20="",$C20=0),"",AVERAGEIFS('5. Plot Summary'!$L$5:$L$64,'5. Plot Summary'!$B$5:$B$64,$A20))</f>
        <v/>
      </c>
      <c r="E20" s="10" t="str">
        <f aca="false">IF(OR($A20="",NOT(ISNUMBER($C20)),$C20&lt;2),"",SQRT(MAX(0,(SUMIFS('5. Plot Summary'!$Q$5:$Q$64,'5. Plot Summary'!$B$5:$B$64,$A20)-$C20*$D20^2)/($C20-1))))</f>
        <v/>
      </c>
      <c r="F20" s="10" t="str">
        <f aca="false">IF(OR($A20="",NOT(ISNUMBER($C20)),$C20&lt;2,NOT(ISNUMBER($E20))),"",TINV(1-TARGET_CONFIDENCE,$C20-1)*$E20/SQRT($C20))</f>
        <v/>
      </c>
      <c r="G20" s="10" t="str">
        <f aca="false">IF(OR(NOT(ISNUMBER($F20)),NOT(ISNUMBER($D20)),$D20=0),"",$F20/$D20)</f>
        <v/>
      </c>
      <c r="H20" s="10" t="n">
        <f aca="false">TARGET_MARGIN_SOIL</f>
        <v>0.2</v>
      </c>
      <c r="I20" s="10" t="str">
        <f aca="false">IF($A20="","",IF(OR(NOT(ISNUMBER($C20)),$C20&lt;2),"Cannot be assessed — at least 2 plots are needed for an interval.",IF(NOT(ISNUMBER($G20)),"",IF($G20&lt;=$H20,"MET: ±"&amp;TEXT($G20,"0%")&amp;" at "&amp;TEXT(TARGET_CONFIDENCE,"0%")&amp;" confidence","NOT MET: ±"&amp;TEXT($G20,"0%")&amp;" against a ±"&amp;TEXT($H20,"0%")&amp;" target"))))</f>
        <v/>
      </c>
      <c r="J20" s="10" t="str">
        <f aca="false">IF(OR($A20="",$C20=0),"",IFERROR(AVERAGEIFS('5. Plot Summary'!$M$5:$M$64,'5. Plot Summary'!$B$5:$B$64,$A20),""))</f>
        <v/>
      </c>
      <c r="K20" s="10" t="str">
        <f aca="false">IF(OR($A20="",NOT(ISNUMBER($C20)),$C20&lt;2,NOT(ISNUMBER($J20))),"",SQRT(MAX(0,(SUMIFS('5. Plot Summary'!$R$5:$R$64,'5. Plot Summary'!$B$5:$B$64,$A20)-$C20*$J20^2)/($C20-1))))</f>
        <v/>
      </c>
      <c r="L20" s="10" t="str">
        <f aca="false">IF(OR($A20="",NOT(ISNUMBER($C20)),$C20&lt;2,NOT(ISNUMBER($K20))),"",TINV(1-TARGET_CONFIDENCE,$C20-1)*$K20/SQRT($C20))</f>
        <v/>
      </c>
      <c r="M20" s="10" t="str">
        <f aca="false">IF(OR(NOT(ISNUMBER($L20)),NOT(ISNUMBER($J20)),$J20=0),"",$L20/$J20)</f>
        <v/>
      </c>
      <c r="N20" s="10" t="n">
        <f aca="false">TARGET_MARGIN_ROOT</f>
        <v>0.4</v>
      </c>
      <c r="O20" s="10" t="str">
        <f aca="false">IF($A20="","",IF(OR(NOT(ISNUMBER($C20)),$C20&lt;2),"Cannot be assessed — at least 2 plots are needed for an interval.",IF(NOT(ISNUMBER($M20)),"No root data for this site.",IF($M20&lt;=$N20,"MET: ±"&amp;TEXT($M20,"0%")&amp;" at "&amp;TEXT(TARGET_CONFIDENCE,"0%")&amp;" confidence","NOT MET: ±"&amp;TEXT($M20,"0%")&amp;" against a ±"&amp;TEXT($N20,"0%")&amp;" target"))))</f>
        <v/>
      </c>
      <c r="P20" s="10" t="str">
        <f aca="false">IF(OR($A20="",NOT(ISNUMBER($B20))),"",(IF(ISNUMBER($D20),$D20,0)+IF(ISNUMBER($J20),$J20,0))*$B20)</f>
        <v/>
      </c>
      <c r="Q20" s="10" t="str">
        <f aca="false">IF(NOT(ISNUMBER($P20)),"",$P20*CO2E_FACTOR/1000)</f>
        <v/>
      </c>
      <c r="R20" s="11" t="str">
        <f aca="false">IF($A20="","",IF($C20=0,"No plots carry this Site ID — check it matches the Plot &amp; Site Log. ","")&amp;IF(AND(ISNUMBER($C20),$C20=1),"Only one plot: a mean can be reported but never an uncertainty. ","")&amp;IF($B20="","No site area, so no total carbon. ","")&amp;IF(AND(ISNUMBER($G20),ISNUMBER($H20),$G20&gt;$H20),"Soil precision target missed — scrutinise the data, then post-stratify on management before adding cores. ","")&amp;IF(AND(ISNUMBER($M20),ISNUMBER($N20),$M20&gt;$N20),"Root precision target missed. Roots are genuinely patchy; a wider honest interval is better than a tight unearned one. ",""))</f>
        <v/>
      </c>
      <c r="S20" s="9" t="str">
        <f aca="false">IF(OR($A20="",$C20=0),"",AVERAGEIFS('5. Plot Summary'!$S$5:$S$64,'5. Plot Summary'!$B$5:$B$64,$A20))</f>
        <v/>
      </c>
      <c r="T20" s="9" t="str">
        <f aca="false">IF(OR($A20="",NOT(ISNUMBER($C20)),$C20&lt;2,NOT(ISNUMBER($S20))),"",SQRT(MAX(0,(SUMIFS('5. Plot Summary'!$T$5:$T$64,'5. Plot Summary'!$B$5:$B$64,$A20)-$C20*$S20^2)/($C20-1))))</f>
        <v/>
      </c>
      <c r="U20" s="9" t="n">
        <f aca="false">IF(OR(NOT(ISNUMBER($T20)),NOT(ISNUMBER($B20)),SUM($B$5:$B$24)=0,NOT(ISNUMBER($C20)),$C20&lt;2),0,($B20/SUM($B$5:$B$24))^2*$T20^2/$C20)</f>
        <v>0</v>
      </c>
      <c r="V20" s="9" t="n">
        <f aca="false">IF(OR(NOT(ISNUMBER($C20)),$C20&lt;2),0,$C20-1)</f>
        <v>0</v>
      </c>
    </row>
    <row r="21" customFormat="false" ht="15" hidden="false" customHeight="false" outlineLevel="0" collapsed="false">
      <c r="A21" s="6"/>
      <c r="B21" s="6"/>
      <c r="C21" s="10" t="str">
        <f aca="false">IF($A21="","",COUNTIFS('5. Plot Summary'!$B$5:$B$64,$A21,'5. Plot Summary'!$N$5:$N$64,1))</f>
        <v/>
      </c>
      <c r="D21" s="10" t="str">
        <f aca="false">IF(OR($A21="",$C21=0),"",AVERAGEIFS('5. Plot Summary'!$L$5:$L$64,'5. Plot Summary'!$B$5:$B$64,$A21))</f>
        <v/>
      </c>
      <c r="E21" s="10" t="str">
        <f aca="false">IF(OR($A21="",NOT(ISNUMBER($C21)),$C21&lt;2),"",SQRT(MAX(0,(SUMIFS('5. Plot Summary'!$Q$5:$Q$64,'5. Plot Summary'!$B$5:$B$64,$A21)-$C21*$D21^2)/($C21-1))))</f>
        <v/>
      </c>
      <c r="F21" s="10" t="str">
        <f aca="false">IF(OR($A21="",NOT(ISNUMBER($C21)),$C21&lt;2,NOT(ISNUMBER($E21))),"",TINV(1-TARGET_CONFIDENCE,$C21-1)*$E21/SQRT($C21))</f>
        <v/>
      </c>
      <c r="G21" s="10" t="str">
        <f aca="false">IF(OR(NOT(ISNUMBER($F21)),NOT(ISNUMBER($D21)),$D21=0),"",$F21/$D21)</f>
        <v/>
      </c>
      <c r="H21" s="10" t="n">
        <f aca="false">TARGET_MARGIN_SOIL</f>
        <v>0.2</v>
      </c>
      <c r="I21" s="10" t="str">
        <f aca="false">IF($A21="","",IF(OR(NOT(ISNUMBER($C21)),$C21&lt;2),"Cannot be assessed — at least 2 plots are needed for an interval.",IF(NOT(ISNUMBER($G21)),"",IF($G21&lt;=$H21,"MET: ±"&amp;TEXT($G21,"0%")&amp;" at "&amp;TEXT(TARGET_CONFIDENCE,"0%")&amp;" confidence","NOT MET: ±"&amp;TEXT($G21,"0%")&amp;" against a ±"&amp;TEXT($H21,"0%")&amp;" target"))))</f>
        <v/>
      </c>
      <c r="J21" s="10" t="str">
        <f aca="false">IF(OR($A21="",$C21=0),"",IFERROR(AVERAGEIFS('5. Plot Summary'!$M$5:$M$64,'5. Plot Summary'!$B$5:$B$64,$A21),""))</f>
        <v/>
      </c>
      <c r="K21" s="10" t="str">
        <f aca="false">IF(OR($A21="",NOT(ISNUMBER($C21)),$C21&lt;2,NOT(ISNUMBER($J21))),"",SQRT(MAX(0,(SUMIFS('5. Plot Summary'!$R$5:$R$64,'5. Plot Summary'!$B$5:$B$64,$A21)-$C21*$J21^2)/($C21-1))))</f>
        <v/>
      </c>
      <c r="L21" s="10" t="str">
        <f aca="false">IF(OR($A21="",NOT(ISNUMBER($C21)),$C21&lt;2,NOT(ISNUMBER($K21))),"",TINV(1-TARGET_CONFIDENCE,$C21-1)*$K21/SQRT($C21))</f>
        <v/>
      </c>
      <c r="M21" s="10" t="str">
        <f aca="false">IF(OR(NOT(ISNUMBER($L21)),NOT(ISNUMBER($J21)),$J21=0),"",$L21/$J21)</f>
        <v/>
      </c>
      <c r="N21" s="10" t="n">
        <f aca="false">TARGET_MARGIN_ROOT</f>
        <v>0.4</v>
      </c>
      <c r="O21" s="10" t="str">
        <f aca="false">IF($A21="","",IF(OR(NOT(ISNUMBER($C21)),$C21&lt;2),"Cannot be assessed — at least 2 plots are needed for an interval.",IF(NOT(ISNUMBER($M21)),"No root data for this site.",IF($M21&lt;=$N21,"MET: ±"&amp;TEXT($M21,"0%")&amp;" at "&amp;TEXT(TARGET_CONFIDENCE,"0%")&amp;" confidence","NOT MET: ±"&amp;TEXT($M21,"0%")&amp;" against a ±"&amp;TEXT($N21,"0%")&amp;" target"))))</f>
        <v/>
      </c>
      <c r="P21" s="10" t="str">
        <f aca="false">IF(OR($A21="",NOT(ISNUMBER($B21))),"",(IF(ISNUMBER($D21),$D21,0)+IF(ISNUMBER($J21),$J21,0))*$B21)</f>
        <v/>
      </c>
      <c r="Q21" s="10" t="str">
        <f aca="false">IF(NOT(ISNUMBER($P21)),"",$P21*CO2E_FACTOR/1000)</f>
        <v/>
      </c>
      <c r="R21" s="11" t="str">
        <f aca="false">IF($A21="","",IF($C21=0,"No plots carry this Site ID — check it matches the Plot &amp; Site Log. ","")&amp;IF(AND(ISNUMBER($C21),$C21=1),"Only one plot: a mean can be reported but never an uncertainty. ","")&amp;IF($B21="","No site area, so no total carbon. ","")&amp;IF(AND(ISNUMBER($G21),ISNUMBER($H21),$G21&gt;$H21),"Soil precision target missed — scrutinise the data, then post-stratify on management before adding cores. ","")&amp;IF(AND(ISNUMBER($M21),ISNUMBER($N21),$M21&gt;$N21),"Root precision target missed. Roots are genuinely patchy; a wider honest interval is better than a tight unearned one. ",""))</f>
        <v/>
      </c>
      <c r="S21" s="9" t="str">
        <f aca="false">IF(OR($A21="",$C21=0),"",AVERAGEIFS('5. Plot Summary'!$S$5:$S$64,'5. Plot Summary'!$B$5:$B$64,$A21))</f>
        <v/>
      </c>
      <c r="T21" s="9" t="str">
        <f aca="false">IF(OR($A21="",NOT(ISNUMBER($C21)),$C21&lt;2,NOT(ISNUMBER($S21))),"",SQRT(MAX(0,(SUMIFS('5. Plot Summary'!$T$5:$T$64,'5. Plot Summary'!$B$5:$B$64,$A21)-$C21*$S21^2)/($C21-1))))</f>
        <v/>
      </c>
      <c r="U21" s="9" t="n">
        <f aca="false">IF(OR(NOT(ISNUMBER($T21)),NOT(ISNUMBER($B21)),SUM($B$5:$B$24)=0,NOT(ISNUMBER($C21)),$C21&lt;2),0,($B21/SUM($B$5:$B$24))^2*$T21^2/$C21)</f>
        <v>0</v>
      </c>
      <c r="V21" s="9" t="n">
        <f aca="false">IF(OR(NOT(ISNUMBER($C21)),$C21&lt;2),0,$C21-1)</f>
        <v>0</v>
      </c>
    </row>
    <row r="22" customFormat="false" ht="15" hidden="false" customHeight="false" outlineLevel="0" collapsed="false">
      <c r="A22" s="6"/>
      <c r="B22" s="6"/>
      <c r="C22" s="10" t="str">
        <f aca="false">IF($A22="","",COUNTIFS('5. Plot Summary'!$B$5:$B$64,$A22,'5. Plot Summary'!$N$5:$N$64,1))</f>
        <v/>
      </c>
      <c r="D22" s="10" t="str">
        <f aca="false">IF(OR($A22="",$C22=0),"",AVERAGEIFS('5. Plot Summary'!$L$5:$L$64,'5. Plot Summary'!$B$5:$B$64,$A22))</f>
        <v/>
      </c>
      <c r="E22" s="10" t="str">
        <f aca="false">IF(OR($A22="",NOT(ISNUMBER($C22)),$C22&lt;2),"",SQRT(MAX(0,(SUMIFS('5. Plot Summary'!$Q$5:$Q$64,'5. Plot Summary'!$B$5:$B$64,$A22)-$C22*$D22^2)/($C22-1))))</f>
        <v/>
      </c>
      <c r="F22" s="10" t="str">
        <f aca="false">IF(OR($A22="",NOT(ISNUMBER($C22)),$C22&lt;2,NOT(ISNUMBER($E22))),"",TINV(1-TARGET_CONFIDENCE,$C22-1)*$E22/SQRT($C22))</f>
        <v/>
      </c>
      <c r="G22" s="10" t="str">
        <f aca="false">IF(OR(NOT(ISNUMBER($F22)),NOT(ISNUMBER($D22)),$D22=0),"",$F22/$D22)</f>
        <v/>
      </c>
      <c r="H22" s="10" t="n">
        <f aca="false">TARGET_MARGIN_SOIL</f>
        <v>0.2</v>
      </c>
      <c r="I22" s="10" t="str">
        <f aca="false">IF($A22="","",IF(OR(NOT(ISNUMBER($C22)),$C22&lt;2),"Cannot be assessed — at least 2 plots are needed for an interval.",IF(NOT(ISNUMBER($G22)),"",IF($G22&lt;=$H22,"MET: ±"&amp;TEXT($G22,"0%")&amp;" at "&amp;TEXT(TARGET_CONFIDENCE,"0%")&amp;" confidence","NOT MET: ±"&amp;TEXT($G22,"0%")&amp;" against a ±"&amp;TEXT($H22,"0%")&amp;" target"))))</f>
        <v/>
      </c>
      <c r="J22" s="10" t="str">
        <f aca="false">IF(OR($A22="",$C22=0),"",IFERROR(AVERAGEIFS('5. Plot Summary'!$M$5:$M$64,'5. Plot Summary'!$B$5:$B$64,$A22),""))</f>
        <v/>
      </c>
      <c r="K22" s="10" t="str">
        <f aca="false">IF(OR($A22="",NOT(ISNUMBER($C22)),$C22&lt;2,NOT(ISNUMBER($J22))),"",SQRT(MAX(0,(SUMIFS('5. Plot Summary'!$R$5:$R$64,'5. Plot Summary'!$B$5:$B$64,$A22)-$C22*$J22^2)/($C22-1))))</f>
        <v/>
      </c>
      <c r="L22" s="10" t="str">
        <f aca="false">IF(OR($A22="",NOT(ISNUMBER($C22)),$C22&lt;2,NOT(ISNUMBER($K22))),"",TINV(1-TARGET_CONFIDENCE,$C22-1)*$K22/SQRT($C22))</f>
        <v/>
      </c>
      <c r="M22" s="10" t="str">
        <f aca="false">IF(OR(NOT(ISNUMBER($L22)),NOT(ISNUMBER($J22)),$J22=0),"",$L22/$J22)</f>
        <v/>
      </c>
      <c r="N22" s="10" t="n">
        <f aca="false">TARGET_MARGIN_ROOT</f>
        <v>0.4</v>
      </c>
      <c r="O22" s="10" t="str">
        <f aca="false">IF($A22="","",IF(OR(NOT(ISNUMBER($C22)),$C22&lt;2),"Cannot be assessed — at least 2 plots are needed for an interval.",IF(NOT(ISNUMBER($M22)),"No root data for this site.",IF($M22&lt;=$N22,"MET: ±"&amp;TEXT($M22,"0%")&amp;" at "&amp;TEXT(TARGET_CONFIDENCE,"0%")&amp;" confidence","NOT MET: ±"&amp;TEXT($M22,"0%")&amp;" against a ±"&amp;TEXT($N22,"0%")&amp;" target"))))</f>
        <v/>
      </c>
      <c r="P22" s="10" t="str">
        <f aca="false">IF(OR($A22="",NOT(ISNUMBER($B22))),"",(IF(ISNUMBER($D22),$D22,0)+IF(ISNUMBER($J22),$J22,0))*$B22)</f>
        <v/>
      </c>
      <c r="Q22" s="10" t="str">
        <f aca="false">IF(NOT(ISNUMBER($P22)),"",$P22*CO2E_FACTOR/1000)</f>
        <v/>
      </c>
      <c r="R22" s="11" t="str">
        <f aca="false">IF($A22="","",IF($C22=0,"No plots carry this Site ID — check it matches the Plot &amp; Site Log. ","")&amp;IF(AND(ISNUMBER($C22),$C22=1),"Only one plot: a mean can be reported but never an uncertainty. ","")&amp;IF($B22="","No site area, so no total carbon. ","")&amp;IF(AND(ISNUMBER($G22),ISNUMBER($H22),$G22&gt;$H22),"Soil precision target missed — scrutinise the data, then post-stratify on management before adding cores. ","")&amp;IF(AND(ISNUMBER($M22),ISNUMBER($N22),$M22&gt;$N22),"Root precision target missed. Roots are genuinely patchy; a wider honest interval is better than a tight unearned one. ",""))</f>
        <v/>
      </c>
      <c r="S22" s="9" t="str">
        <f aca="false">IF(OR($A22="",$C22=0),"",AVERAGEIFS('5. Plot Summary'!$S$5:$S$64,'5. Plot Summary'!$B$5:$B$64,$A22))</f>
        <v/>
      </c>
      <c r="T22" s="9" t="str">
        <f aca="false">IF(OR($A22="",NOT(ISNUMBER($C22)),$C22&lt;2,NOT(ISNUMBER($S22))),"",SQRT(MAX(0,(SUMIFS('5. Plot Summary'!$T$5:$T$64,'5. Plot Summary'!$B$5:$B$64,$A22)-$C22*$S22^2)/($C22-1))))</f>
        <v/>
      </c>
      <c r="U22" s="9" t="n">
        <f aca="false">IF(OR(NOT(ISNUMBER($T22)),NOT(ISNUMBER($B22)),SUM($B$5:$B$24)=0,NOT(ISNUMBER($C22)),$C22&lt;2),0,($B22/SUM($B$5:$B$24))^2*$T22^2/$C22)</f>
        <v>0</v>
      </c>
      <c r="V22" s="9" t="n">
        <f aca="false">IF(OR(NOT(ISNUMBER($C22)),$C22&lt;2),0,$C22-1)</f>
        <v>0</v>
      </c>
    </row>
    <row r="23" customFormat="false" ht="15" hidden="false" customHeight="false" outlineLevel="0" collapsed="false">
      <c r="A23" s="6"/>
      <c r="B23" s="6"/>
      <c r="C23" s="10" t="str">
        <f aca="false">IF($A23="","",COUNTIFS('5. Plot Summary'!$B$5:$B$64,$A23,'5. Plot Summary'!$N$5:$N$64,1))</f>
        <v/>
      </c>
      <c r="D23" s="10" t="str">
        <f aca="false">IF(OR($A23="",$C23=0),"",AVERAGEIFS('5. Plot Summary'!$L$5:$L$64,'5. Plot Summary'!$B$5:$B$64,$A23))</f>
        <v/>
      </c>
      <c r="E23" s="10" t="str">
        <f aca="false">IF(OR($A23="",NOT(ISNUMBER($C23)),$C23&lt;2),"",SQRT(MAX(0,(SUMIFS('5. Plot Summary'!$Q$5:$Q$64,'5. Plot Summary'!$B$5:$B$64,$A23)-$C23*$D23^2)/($C23-1))))</f>
        <v/>
      </c>
      <c r="F23" s="10" t="str">
        <f aca="false">IF(OR($A23="",NOT(ISNUMBER($C23)),$C23&lt;2,NOT(ISNUMBER($E23))),"",TINV(1-TARGET_CONFIDENCE,$C23-1)*$E23/SQRT($C23))</f>
        <v/>
      </c>
      <c r="G23" s="10" t="str">
        <f aca="false">IF(OR(NOT(ISNUMBER($F23)),NOT(ISNUMBER($D23)),$D23=0),"",$F23/$D23)</f>
        <v/>
      </c>
      <c r="H23" s="10" t="n">
        <f aca="false">TARGET_MARGIN_SOIL</f>
        <v>0.2</v>
      </c>
      <c r="I23" s="10" t="str">
        <f aca="false">IF($A23="","",IF(OR(NOT(ISNUMBER($C23)),$C23&lt;2),"Cannot be assessed — at least 2 plots are needed for an interval.",IF(NOT(ISNUMBER($G23)),"",IF($G23&lt;=$H23,"MET: ±"&amp;TEXT($G23,"0%")&amp;" at "&amp;TEXT(TARGET_CONFIDENCE,"0%")&amp;" confidence","NOT MET: ±"&amp;TEXT($G23,"0%")&amp;" against a ±"&amp;TEXT($H23,"0%")&amp;" target"))))</f>
        <v/>
      </c>
      <c r="J23" s="10" t="str">
        <f aca="false">IF(OR($A23="",$C23=0),"",IFERROR(AVERAGEIFS('5. Plot Summary'!$M$5:$M$64,'5. Plot Summary'!$B$5:$B$64,$A23),""))</f>
        <v/>
      </c>
      <c r="K23" s="10" t="str">
        <f aca="false">IF(OR($A23="",NOT(ISNUMBER($C23)),$C23&lt;2,NOT(ISNUMBER($J23))),"",SQRT(MAX(0,(SUMIFS('5. Plot Summary'!$R$5:$R$64,'5. Plot Summary'!$B$5:$B$64,$A23)-$C23*$J23^2)/($C23-1))))</f>
        <v/>
      </c>
      <c r="L23" s="10" t="str">
        <f aca="false">IF(OR($A23="",NOT(ISNUMBER($C23)),$C23&lt;2,NOT(ISNUMBER($K23))),"",TINV(1-TARGET_CONFIDENCE,$C23-1)*$K23/SQRT($C23))</f>
        <v/>
      </c>
      <c r="M23" s="10" t="str">
        <f aca="false">IF(OR(NOT(ISNUMBER($L23)),NOT(ISNUMBER($J23)),$J23=0),"",$L23/$J23)</f>
        <v/>
      </c>
      <c r="N23" s="10" t="n">
        <f aca="false">TARGET_MARGIN_ROOT</f>
        <v>0.4</v>
      </c>
      <c r="O23" s="10" t="str">
        <f aca="false">IF($A23="","",IF(OR(NOT(ISNUMBER($C23)),$C23&lt;2),"Cannot be assessed — at least 2 plots are needed for an interval.",IF(NOT(ISNUMBER($M23)),"No root data for this site.",IF($M23&lt;=$N23,"MET: ±"&amp;TEXT($M23,"0%")&amp;" at "&amp;TEXT(TARGET_CONFIDENCE,"0%")&amp;" confidence","NOT MET: ±"&amp;TEXT($M23,"0%")&amp;" against a ±"&amp;TEXT($N23,"0%")&amp;" target"))))</f>
        <v/>
      </c>
      <c r="P23" s="10" t="str">
        <f aca="false">IF(OR($A23="",NOT(ISNUMBER($B23))),"",(IF(ISNUMBER($D23),$D23,0)+IF(ISNUMBER($J23),$J23,0))*$B23)</f>
        <v/>
      </c>
      <c r="Q23" s="10" t="str">
        <f aca="false">IF(NOT(ISNUMBER($P23)),"",$P23*CO2E_FACTOR/1000)</f>
        <v/>
      </c>
      <c r="R23" s="11" t="str">
        <f aca="false">IF($A23="","",IF($C23=0,"No plots carry this Site ID — check it matches the Plot &amp; Site Log. ","")&amp;IF(AND(ISNUMBER($C23),$C23=1),"Only one plot: a mean can be reported but never an uncertainty. ","")&amp;IF($B23="","No site area, so no total carbon. ","")&amp;IF(AND(ISNUMBER($G23),ISNUMBER($H23),$G23&gt;$H23),"Soil precision target missed — scrutinise the data, then post-stratify on management before adding cores. ","")&amp;IF(AND(ISNUMBER($M23),ISNUMBER($N23),$M23&gt;$N23),"Root precision target missed. Roots are genuinely patchy; a wider honest interval is better than a tight unearned one. ",""))</f>
        <v/>
      </c>
      <c r="S23" s="9" t="str">
        <f aca="false">IF(OR($A23="",$C23=0),"",AVERAGEIFS('5. Plot Summary'!$S$5:$S$64,'5. Plot Summary'!$B$5:$B$64,$A23))</f>
        <v/>
      </c>
      <c r="T23" s="9" t="str">
        <f aca="false">IF(OR($A23="",NOT(ISNUMBER($C23)),$C23&lt;2,NOT(ISNUMBER($S23))),"",SQRT(MAX(0,(SUMIFS('5. Plot Summary'!$T$5:$T$64,'5. Plot Summary'!$B$5:$B$64,$A23)-$C23*$S23^2)/($C23-1))))</f>
        <v/>
      </c>
      <c r="U23" s="9" t="n">
        <f aca="false">IF(OR(NOT(ISNUMBER($T23)),NOT(ISNUMBER($B23)),SUM($B$5:$B$24)=0,NOT(ISNUMBER($C23)),$C23&lt;2),0,($B23/SUM($B$5:$B$24))^2*$T23^2/$C23)</f>
        <v>0</v>
      </c>
      <c r="V23" s="9" t="n">
        <f aca="false">IF(OR(NOT(ISNUMBER($C23)),$C23&lt;2),0,$C23-1)</f>
        <v>0</v>
      </c>
    </row>
    <row r="24" customFormat="false" ht="15" hidden="false" customHeight="false" outlineLevel="0" collapsed="false">
      <c r="A24" s="6"/>
      <c r="B24" s="6"/>
      <c r="C24" s="10" t="str">
        <f aca="false">IF($A24="","",COUNTIFS('5. Plot Summary'!$B$5:$B$64,$A24,'5. Plot Summary'!$N$5:$N$64,1))</f>
        <v/>
      </c>
      <c r="D24" s="10" t="str">
        <f aca="false">IF(OR($A24="",$C24=0),"",AVERAGEIFS('5. Plot Summary'!$L$5:$L$64,'5. Plot Summary'!$B$5:$B$64,$A24))</f>
        <v/>
      </c>
      <c r="E24" s="10" t="str">
        <f aca="false">IF(OR($A24="",NOT(ISNUMBER($C24)),$C24&lt;2),"",SQRT(MAX(0,(SUMIFS('5. Plot Summary'!$Q$5:$Q$64,'5. Plot Summary'!$B$5:$B$64,$A24)-$C24*$D24^2)/($C24-1))))</f>
        <v/>
      </c>
      <c r="F24" s="10" t="str">
        <f aca="false">IF(OR($A24="",NOT(ISNUMBER($C24)),$C24&lt;2,NOT(ISNUMBER($E24))),"",TINV(1-TARGET_CONFIDENCE,$C24-1)*$E24/SQRT($C24))</f>
        <v/>
      </c>
      <c r="G24" s="10" t="str">
        <f aca="false">IF(OR(NOT(ISNUMBER($F24)),NOT(ISNUMBER($D24)),$D24=0),"",$F24/$D24)</f>
        <v/>
      </c>
      <c r="H24" s="10" t="n">
        <f aca="false">TARGET_MARGIN_SOIL</f>
        <v>0.2</v>
      </c>
      <c r="I24" s="10" t="str">
        <f aca="false">IF($A24="","",IF(OR(NOT(ISNUMBER($C24)),$C24&lt;2),"Cannot be assessed — at least 2 plots are needed for an interval.",IF(NOT(ISNUMBER($G24)),"",IF($G24&lt;=$H24,"MET: ±"&amp;TEXT($G24,"0%")&amp;" at "&amp;TEXT(TARGET_CONFIDENCE,"0%")&amp;" confidence","NOT MET: ±"&amp;TEXT($G24,"0%")&amp;" against a ±"&amp;TEXT($H24,"0%")&amp;" target"))))</f>
        <v/>
      </c>
      <c r="J24" s="10" t="str">
        <f aca="false">IF(OR($A24="",$C24=0),"",IFERROR(AVERAGEIFS('5. Plot Summary'!$M$5:$M$64,'5. Plot Summary'!$B$5:$B$64,$A24),""))</f>
        <v/>
      </c>
      <c r="K24" s="10" t="str">
        <f aca="false">IF(OR($A24="",NOT(ISNUMBER($C24)),$C24&lt;2,NOT(ISNUMBER($J24))),"",SQRT(MAX(0,(SUMIFS('5. Plot Summary'!$R$5:$R$64,'5. Plot Summary'!$B$5:$B$64,$A24)-$C24*$J24^2)/($C24-1))))</f>
        <v/>
      </c>
      <c r="L24" s="10" t="str">
        <f aca="false">IF(OR($A24="",NOT(ISNUMBER($C24)),$C24&lt;2,NOT(ISNUMBER($K24))),"",TINV(1-TARGET_CONFIDENCE,$C24-1)*$K24/SQRT($C24))</f>
        <v/>
      </c>
      <c r="M24" s="10" t="str">
        <f aca="false">IF(OR(NOT(ISNUMBER($L24)),NOT(ISNUMBER($J24)),$J24=0),"",$L24/$J24)</f>
        <v/>
      </c>
      <c r="N24" s="10" t="n">
        <f aca="false">TARGET_MARGIN_ROOT</f>
        <v>0.4</v>
      </c>
      <c r="O24" s="10" t="str">
        <f aca="false">IF($A24="","",IF(OR(NOT(ISNUMBER($C24)),$C24&lt;2),"Cannot be assessed — at least 2 plots are needed for an interval.",IF(NOT(ISNUMBER($M24)),"No root data for this site.",IF($M24&lt;=$N24,"MET: ±"&amp;TEXT($M24,"0%")&amp;" at "&amp;TEXT(TARGET_CONFIDENCE,"0%")&amp;" confidence","NOT MET: ±"&amp;TEXT($M24,"0%")&amp;" against a ±"&amp;TEXT($N24,"0%")&amp;" target"))))</f>
        <v/>
      </c>
      <c r="P24" s="10" t="str">
        <f aca="false">IF(OR($A24="",NOT(ISNUMBER($B24))),"",(IF(ISNUMBER($D24),$D24,0)+IF(ISNUMBER($J24),$J24,0))*$B24)</f>
        <v/>
      </c>
      <c r="Q24" s="10" t="str">
        <f aca="false">IF(NOT(ISNUMBER($P24)),"",$P24*CO2E_FACTOR/1000)</f>
        <v/>
      </c>
      <c r="R24" s="11" t="str">
        <f aca="false">IF($A24="","",IF($C24=0,"No plots carry this Site ID — check it matches the Plot &amp; Site Log. ","")&amp;IF(AND(ISNUMBER($C24),$C24=1),"Only one plot: a mean can be reported but never an uncertainty. ","")&amp;IF($B24="","No site area, so no total carbon. ","")&amp;IF(AND(ISNUMBER($G24),ISNUMBER($H24),$G24&gt;$H24),"Soil precision target missed — scrutinise the data, then post-stratify on management before adding cores. ","")&amp;IF(AND(ISNUMBER($M24),ISNUMBER($N24),$M24&gt;$N24),"Root precision target missed. Roots are genuinely patchy; a wider honest interval is better than a tight unearned one. ",""))</f>
        <v/>
      </c>
      <c r="S24" s="9" t="str">
        <f aca="false">IF(OR($A24="",$C24=0),"",AVERAGEIFS('5. Plot Summary'!$S$5:$S$64,'5. Plot Summary'!$B$5:$B$64,$A24))</f>
        <v/>
      </c>
      <c r="T24" s="9" t="str">
        <f aca="false">IF(OR($A24="",NOT(ISNUMBER($C24)),$C24&lt;2,NOT(ISNUMBER($S24))),"",SQRT(MAX(0,(SUMIFS('5. Plot Summary'!$T$5:$T$64,'5. Plot Summary'!$B$5:$B$64,$A24)-$C24*$S24^2)/($C24-1))))</f>
        <v/>
      </c>
      <c r="U24" s="9" t="n">
        <f aca="false">IF(OR(NOT(ISNUMBER($T24)),NOT(ISNUMBER($B24)),SUM($B$5:$B$24)=0,NOT(ISNUMBER($C24)),$C24&lt;2),0,($B24/SUM($B$5:$B$24))^2*$T24^2/$C24)</f>
        <v>0</v>
      </c>
      <c r="V24" s="9" t="n">
        <f aca="false">IF(OR(NOT(ISNUMBER($C24)),$C24&lt;2),0,$C24-1)</f>
        <v>0</v>
      </c>
    </row>
    <row r="27" customFormat="false" ht="19.5" hidden="false" customHeight="true" outlineLevel="0" collapsed="false">
      <c r="A27" s="5" t="s">
        <v>195</v>
      </c>
      <c r="B27" s="5"/>
      <c r="C27" s="5"/>
      <c r="D27" s="5"/>
      <c r="E27" s="5"/>
      <c r="F27" s="5"/>
      <c r="G27" s="5"/>
      <c r="H27" s="5"/>
      <c r="I27" s="5"/>
      <c r="J27" s="5"/>
      <c r="K27" s="5"/>
      <c r="L27" s="5"/>
      <c r="M27" s="5"/>
      <c r="N27" s="5"/>
      <c r="O27" s="5"/>
      <c r="P27" s="5"/>
      <c r="Q27" s="5"/>
      <c r="R27" s="5"/>
      <c r="S27" s="5"/>
      <c r="T27" s="5"/>
      <c r="U27" s="5"/>
      <c r="V27" s="5"/>
    </row>
    <row r="28" customFormat="false" ht="15" hidden="false" customHeight="false" outlineLevel="0" collapsed="false">
      <c r="A28" s="3" t="s">
        <v>196</v>
      </c>
      <c r="B28" s="15" t="n">
        <f aca="false">IF(SUM($B$5:$B$24)=0,"",SUM($B$5:$B$24))</f>
        <v>945000</v>
      </c>
    </row>
    <row r="29" customFormat="false" ht="15" hidden="false" customHeight="false" outlineLevel="0" collapsed="false">
      <c r="A29" s="3" t="s">
        <v>189</v>
      </c>
      <c r="B29" s="15" t="n">
        <f aca="false">IF(SUM($P$5:$P$24)=0,"",SUM($P$5:$P$24))</f>
        <v>9814579.31763243</v>
      </c>
    </row>
    <row r="30" customFormat="false" ht="15" hidden="false" customHeight="false" outlineLevel="0" collapsed="false">
      <c r="A30" s="3" t="s">
        <v>197</v>
      </c>
      <c r="B30" s="15" t="n">
        <f aca="false">IF(OR(NOT(ISNUMBER($B$29)),NOT(ISNUMBER($B$28)),$B$28=0),"",$B$29/$B$28)</f>
        <v>10.3857982197169</v>
      </c>
    </row>
    <row r="31" customFormat="false" ht="15" hidden="false" customHeight="false" outlineLevel="0" collapsed="false">
      <c r="A31" s="3" t="s">
        <v>190</v>
      </c>
      <c r="B31" s="15" t="n">
        <f aca="false">IF(NOT(ISNUMBER($B$29)),"",$B$29*CO2E_FACTOR/1000)</f>
        <v>36019.506095711</v>
      </c>
    </row>
    <row r="33" customFormat="false" ht="19.5" hidden="false" customHeight="true" outlineLevel="0" collapsed="false">
      <c r="A33" s="5" t="s">
        <v>198</v>
      </c>
      <c r="B33" s="5"/>
      <c r="C33" s="5"/>
      <c r="D33" s="5"/>
      <c r="E33" s="5"/>
      <c r="F33" s="5"/>
      <c r="G33" s="5"/>
      <c r="H33" s="5"/>
      <c r="I33" s="5"/>
      <c r="J33" s="5"/>
      <c r="K33" s="5"/>
      <c r="L33" s="5"/>
      <c r="M33" s="5"/>
      <c r="N33" s="5"/>
      <c r="O33" s="5"/>
      <c r="P33" s="5"/>
      <c r="Q33" s="5"/>
      <c r="R33" s="5"/>
      <c r="S33" s="5"/>
      <c r="T33" s="5"/>
      <c r="U33" s="5"/>
      <c r="V33" s="5"/>
    </row>
    <row r="34" customFormat="false" ht="15" hidden="false" customHeight="false" outlineLevel="0" collapsed="false">
      <c r="A34" s="3" t="s">
        <v>199</v>
      </c>
      <c r="B34" s="15" t="n">
        <f aca="false">IF(SUM($U$5:$U$24)=0,"",SQRT(SUM($U$5:$U$24)))</f>
        <v>0.374334035111079</v>
      </c>
    </row>
    <row r="35" customFormat="false" ht="15" hidden="false" customHeight="false" outlineLevel="0" collapsed="false">
      <c r="A35" s="3" t="s">
        <v>200</v>
      </c>
      <c r="B35" s="15" t="n">
        <f aca="false">IF(SUM($V$5:$V$24)=0,"",SUM($V$5:$V$24))</f>
        <v>6</v>
      </c>
    </row>
    <row r="36" customFormat="false" ht="15" hidden="false" customHeight="false" outlineLevel="0" collapsed="false">
      <c r="A36" s="3" t="s">
        <v>201</v>
      </c>
      <c r="B36" s="15" t="n">
        <f aca="false">IF(OR(NOT(ISNUMBER($B$34)),NOT(ISNUMBER($B$35)),$B$35&lt;1),"",TINV(1-TARGET_CONFIDENCE,$B$35)*$B$34)</f>
        <v>0.727398515353572</v>
      </c>
    </row>
    <row r="37" customFormat="false" ht="15" hidden="false" customHeight="false" outlineLevel="0" collapsed="false">
      <c r="A37" s="3" t="s">
        <v>202</v>
      </c>
      <c r="B37" s="15" t="n">
        <f aca="false">IF(OR(NOT(ISNUMBER($B$36)),NOT(ISNUMBER($B$30)),$B$30=0),"",$B$36/$B$30)</f>
        <v>0.0700378054690728</v>
      </c>
    </row>
    <row r="38" customFormat="false" ht="15" hidden="false" customHeight="false" outlineLevel="0" collapsed="false">
      <c r="A38" s="3" t="s">
        <v>203</v>
      </c>
      <c r="B38" s="0" t="str">
        <f aca="false">IF(NOT(ISNUMBER($B$37)),"",IF(COUNTIFS($A$5:$A$24,"&lt;&gt;",$C$5:$C$24,"&lt;2")&gt;0,"INCOMPLETE — a site with fewer than 2 plots contributes no variance. ","")&amp;IF($B$37&lt;=TARGET_MARGIN_SOIL,"MET: ±"&amp;TEXT($B$37,"0%")&amp;" at "&amp;TEXT(TARGET_CONFIDENCE,"0%")&amp;" confidence","NOT MET: ±"&amp;TEXT($B$37,"0%")&amp;" against a ±"&amp;TEXT(TARGET_MARGIN_SOIL,"0%")&amp;" target"))</f>
        <v>MET: ±7% at 90% confidence</v>
      </c>
    </row>
    <row r="39" customFormat="false" ht="15" hidden="false" customHeight="false" outlineLevel="0" collapsed="false">
      <c r="A39" s="3" t="s">
        <v>204</v>
      </c>
      <c r="B39" s="15" t="n">
        <f aca="false">IF(OR(NOT(ISNUMBER($B$36)),NOT(ISNUMBER($B$28))),"",$B$36*$B$28)</f>
        <v>687391.597009125</v>
      </c>
    </row>
    <row r="41" customFormat="false" ht="30" hidden="false" customHeight="true" outlineLevel="0" collapsed="false">
      <c r="A41" s="2" t="s">
        <v>205</v>
      </c>
      <c r="B41" s="2"/>
      <c r="C41" s="2"/>
      <c r="D41" s="2"/>
      <c r="E41" s="2"/>
      <c r="F41" s="2"/>
      <c r="G41" s="2"/>
      <c r="H41" s="2"/>
      <c r="I41" s="2"/>
      <c r="J41" s="2"/>
      <c r="K41" s="2"/>
      <c r="L41" s="2"/>
      <c r="M41" s="2"/>
      <c r="N41" s="2"/>
      <c r="O41" s="2"/>
      <c r="P41" s="2"/>
      <c r="Q41" s="2"/>
      <c r="R41" s="2"/>
      <c r="S41" s="2"/>
      <c r="T41" s="2"/>
      <c r="U41" s="2"/>
      <c r="V41" s="2"/>
    </row>
  </sheetData>
  <mergeCells count="5">
    <mergeCell ref="A1:V1"/>
    <mergeCell ref="A2:V2"/>
    <mergeCell ref="A27:V27"/>
    <mergeCell ref="A33:V33"/>
    <mergeCell ref="A41:V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96"/>
  </cols>
  <sheetData>
    <row r="1" customFormat="false" ht="17.35" hidden="false" customHeight="false" outlineLevel="0" collapsed="false">
      <c r="A1" s="1" t="s">
        <v>206</v>
      </c>
      <c r="B1" s="1"/>
      <c r="C1" s="1"/>
    </row>
    <row r="2" customFormat="false" ht="31.5" hidden="false" customHeight="true" outlineLevel="0" collapsed="false">
      <c r="A2" s="2" t="s">
        <v>207</v>
      </c>
      <c r="B2" s="2"/>
      <c r="C2" s="2"/>
    </row>
    <row r="4" customFormat="false" ht="45.75" hidden="false" customHeight="true" outlineLevel="0" collapsed="false">
      <c r="A4" s="14" t="s">
        <v>208</v>
      </c>
      <c r="B4" s="14" t="s">
        <v>209</v>
      </c>
      <c r="C4" s="14" t="s">
        <v>210</v>
      </c>
    </row>
    <row r="5" customFormat="false" ht="33.75" hidden="false" customHeight="true" outlineLevel="0" collapsed="false">
      <c r="A5" s="3" t="s">
        <v>211</v>
      </c>
      <c r="B5" s="8" t="n">
        <v>0.5</v>
      </c>
      <c r="C5" s="4" t="s">
        <v>212</v>
      </c>
    </row>
    <row r="6" customFormat="false" ht="33.75" hidden="false" customHeight="true" outlineLevel="0" collapsed="false">
      <c r="A6" s="3" t="s">
        <v>213</v>
      </c>
      <c r="B6" s="8" t="n">
        <v>0.5</v>
      </c>
      <c r="C6" s="4" t="s">
        <v>214</v>
      </c>
    </row>
    <row r="7" customFormat="false" ht="33.75" hidden="false" customHeight="true" outlineLevel="0" collapsed="false">
      <c r="A7" s="3" t="s">
        <v>215</v>
      </c>
      <c r="B7" s="9" t="n">
        <v>3.67</v>
      </c>
      <c r="C7" s="4" t="s">
        <v>216</v>
      </c>
    </row>
    <row r="8" customFormat="false" ht="33.75" hidden="false" customHeight="true" outlineLevel="0" collapsed="false">
      <c r="A8" s="3" t="s">
        <v>217</v>
      </c>
      <c r="B8" s="8" t="n">
        <v>30</v>
      </c>
      <c r="C8" s="4" t="s">
        <v>218</v>
      </c>
    </row>
    <row r="9" customFormat="false" ht="33.75" hidden="false" customHeight="true" outlineLevel="0" collapsed="false">
      <c r="A9" s="3" t="s">
        <v>219</v>
      </c>
      <c r="B9" s="8" t="s">
        <v>220</v>
      </c>
      <c r="C9" s="4" t="s">
        <v>221</v>
      </c>
    </row>
    <row r="10" customFormat="false" ht="33.75" hidden="false" customHeight="true" outlineLevel="0" collapsed="false">
      <c r="A10" s="3" t="s">
        <v>222</v>
      </c>
      <c r="B10" s="8" t="s">
        <v>223</v>
      </c>
      <c r="C10" s="4" t="s">
        <v>224</v>
      </c>
    </row>
    <row r="11" customFormat="false" ht="33.75" hidden="false" customHeight="true" outlineLevel="0" collapsed="false">
      <c r="A11" s="3" t="s">
        <v>225</v>
      </c>
      <c r="B11" s="8" t="n">
        <v>0.5</v>
      </c>
      <c r="C11" s="4" t="s">
        <v>226</v>
      </c>
    </row>
    <row r="12" customFormat="false" ht="33.75" hidden="false" customHeight="true" outlineLevel="0" collapsed="false">
      <c r="A12" s="3" t="s">
        <v>227</v>
      </c>
      <c r="B12" s="8" t="s">
        <v>153</v>
      </c>
      <c r="C12" s="4" t="s">
        <v>228</v>
      </c>
    </row>
    <row r="13" customFormat="false" ht="33.75" hidden="false" customHeight="true" outlineLevel="0" collapsed="false">
      <c r="A13" s="3" t="s">
        <v>229</v>
      </c>
      <c r="B13" s="8" t="n">
        <v>65</v>
      </c>
      <c r="C13" s="4" t="s">
        <v>230</v>
      </c>
    </row>
    <row r="14" customFormat="false" ht="33.75" hidden="false" customHeight="true" outlineLevel="0" collapsed="false">
      <c r="A14" s="3" t="s">
        <v>231</v>
      </c>
      <c r="B14" s="8" t="s">
        <v>232</v>
      </c>
      <c r="C14" s="4" t="s">
        <v>233</v>
      </c>
    </row>
    <row r="15" customFormat="false" ht="33.75" hidden="false" customHeight="true" outlineLevel="0" collapsed="false">
      <c r="A15" s="3" t="s">
        <v>234</v>
      </c>
      <c r="B15" s="8" t="s">
        <v>111</v>
      </c>
      <c r="C15" s="4" t="s">
        <v>235</v>
      </c>
    </row>
    <row r="16" customFormat="false" ht="33.75" hidden="false" customHeight="true" outlineLevel="0" collapsed="false">
      <c r="A16" s="3" t="s">
        <v>236</v>
      </c>
      <c r="B16" s="8" t="s">
        <v>237</v>
      </c>
      <c r="C16" s="4" t="s">
        <v>238</v>
      </c>
    </row>
    <row r="17" customFormat="false" ht="33.75" hidden="false" customHeight="true" outlineLevel="0" collapsed="false">
      <c r="A17" s="3" t="s">
        <v>239</v>
      </c>
      <c r="B17" s="9" t="n">
        <v>0.25</v>
      </c>
      <c r="C17" s="4" t="s">
        <v>240</v>
      </c>
    </row>
    <row r="18" customFormat="false" ht="33.75" hidden="false" customHeight="true" outlineLevel="0" collapsed="false">
      <c r="A18" s="3" t="s">
        <v>241</v>
      </c>
      <c r="B18" s="9" t="n">
        <v>100</v>
      </c>
      <c r="C18" s="4" t="s">
        <v>242</v>
      </c>
    </row>
    <row r="19" customFormat="false" ht="33.75" hidden="false" customHeight="true" outlineLevel="0" collapsed="false">
      <c r="A19" s="3" t="s">
        <v>243</v>
      </c>
      <c r="B19" s="9" t="n">
        <v>400</v>
      </c>
      <c r="C19" s="4" t="s">
        <v>244</v>
      </c>
    </row>
    <row r="20" customFormat="false" ht="33.75" hidden="false" customHeight="true" outlineLevel="0" collapsed="false">
      <c r="A20" s="3" t="s">
        <v>245</v>
      </c>
      <c r="B20" s="8" t="n">
        <v>0.2</v>
      </c>
      <c r="C20" s="4" t="s">
        <v>246</v>
      </c>
    </row>
    <row r="21" customFormat="false" ht="33.75" hidden="false" customHeight="true" outlineLevel="0" collapsed="false">
      <c r="A21" s="3" t="s">
        <v>247</v>
      </c>
      <c r="B21" s="8" t="n">
        <v>0.4</v>
      </c>
      <c r="C21" s="4" t="s">
        <v>248</v>
      </c>
    </row>
    <row r="22" customFormat="false" ht="33.75" hidden="false" customHeight="true" outlineLevel="0" collapsed="false">
      <c r="A22" s="3" t="s">
        <v>249</v>
      </c>
      <c r="B22" s="9" t="n">
        <v>0.9</v>
      </c>
      <c r="C22" s="4" t="s">
        <v>250</v>
      </c>
    </row>
    <row r="23" customFormat="false" ht="33.75" hidden="false" customHeight="true" outlineLevel="0" collapsed="false">
      <c r="A23" s="3" t="s">
        <v>251</v>
      </c>
      <c r="B23" s="9" t="n">
        <v>0.6</v>
      </c>
      <c r="C23" s="4" t="s">
        <v>252</v>
      </c>
    </row>
    <row r="24" customFormat="false" ht="33.75" hidden="false" customHeight="true" outlineLevel="0" collapsed="false">
      <c r="A24" s="3" t="s">
        <v>253</v>
      </c>
      <c r="B24" s="9" t="n">
        <v>1.8</v>
      </c>
      <c r="C24" s="4" t="s">
        <v>254</v>
      </c>
    </row>
    <row r="25" customFormat="false" ht="33.75" hidden="false" customHeight="true" outlineLevel="0" collapsed="false">
      <c r="A25" s="3" t="s">
        <v>255</v>
      </c>
      <c r="B25" s="9" t="n">
        <v>20</v>
      </c>
      <c r="C25" s="4" t="s">
        <v>256</v>
      </c>
    </row>
    <row r="26" customFormat="false" ht="33.75" hidden="false" customHeight="true" outlineLevel="0" collapsed="false">
      <c r="A26" s="3" t="s">
        <v>257</v>
      </c>
      <c r="B26" s="9" t="n">
        <v>0.9</v>
      </c>
      <c r="C26" s="4" t="s">
        <v>258</v>
      </c>
    </row>
  </sheetData>
  <mergeCells count="2">
    <mergeCell ref="A1:C1"/>
    <mergeCell ref="A2:C2"/>
  </mergeCells>
  <dataValidations count="3">
    <dataValidation allowBlank="true" errorStyle="stop" operator="between" showDropDown="false" showErrorMessage="false" showInputMessage="false" sqref="B9" type="list">
      <formula1>"Not agreed with the lab,Root-separated soil,Operational soil fraction"</formula1>
      <formula2>0</formula2>
    </dataValidation>
    <dataValidation allowBlank="true" errorStyle="stop" operator="between" showDropDown="false" showErrorMessage="false" showInputMessage="false" sqref="B12" type="list">
      <formula1>"Yes,No"</formula1>
      <formula2>0</formula2>
    </dataValidation>
    <dataValidation allowBlank="true" errorStyle="stop" operator="between" showDropDown="false" showErrorMessage="false" showInputMessage="false" sqref="B15" type="list">
      <formula1>"Fine earth / total volume,Fine earth / fine-earth volume,Not confirmed"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54"/>
    <col collapsed="false" customWidth="true" hidden="false" outlineLevel="0" max="4" min="4" style="0" width="14"/>
    <col collapsed="false" customWidth="true" hidden="false" outlineLevel="0" max="5" min="5" style="0" width="62"/>
  </cols>
  <sheetData>
    <row r="1" customFormat="false" ht="17.35" hidden="false" customHeight="false" outlineLevel="0" collapsed="false">
      <c r="A1" s="1" t="s">
        <v>259</v>
      </c>
      <c r="B1" s="1"/>
      <c r="C1" s="1"/>
      <c r="D1" s="1"/>
      <c r="E1" s="1"/>
    </row>
    <row r="2" customFormat="false" ht="31.5" hidden="false" customHeight="true" outlineLevel="0" collapsed="false">
      <c r="A2" s="2" t="s">
        <v>260</v>
      </c>
      <c r="B2" s="2"/>
      <c r="C2" s="2"/>
      <c r="D2" s="2"/>
      <c r="E2" s="2"/>
    </row>
    <row r="4" customFormat="false" ht="45.75" hidden="false" customHeight="true" outlineLevel="0" collapsed="false">
      <c r="A4" s="14" t="s">
        <v>261</v>
      </c>
      <c r="B4" s="14" t="s">
        <v>262</v>
      </c>
      <c r="C4" s="14" t="s">
        <v>263</v>
      </c>
      <c r="D4" s="14" t="s">
        <v>264</v>
      </c>
      <c r="E4" s="14" t="s">
        <v>265</v>
      </c>
    </row>
    <row r="5" customFormat="false" ht="42" hidden="false" customHeight="true" outlineLevel="0" collapsed="false">
      <c r="A5" s="3" t="s">
        <v>211</v>
      </c>
      <c r="B5" s="16" t="s">
        <v>30</v>
      </c>
      <c r="C5" s="4" t="s">
        <v>266</v>
      </c>
      <c r="D5" s="8" t="s">
        <v>267</v>
      </c>
      <c r="E5" s="4" t="s">
        <v>268</v>
      </c>
    </row>
    <row r="6" customFormat="false" ht="42" hidden="false" customHeight="true" outlineLevel="0" collapsed="false">
      <c r="A6" s="3" t="s">
        <v>213</v>
      </c>
      <c r="B6" s="16" t="s">
        <v>30</v>
      </c>
      <c r="C6" s="4" t="s">
        <v>269</v>
      </c>
      <c r="D6" s="8" t="s">
        <v>267</v>
      </c>
      <c r="E6" s="4" t="s">
        <v>270</v>
      </c>
    </row>
    <row r="7" customFormat="false" ht="42" hidden="false" customHeight="true" outlineLevel="0" collapsed="false">
      <c r="A7" s="3" t="s">
        <v>219</v>
      </c>
      <c r="B7" s="16" t="s">
        <v>30</v>
      </c>
      <c r="C7" s="4" t="s">
        <v>271</v>
      </c>
      <c r="D7" s="8" t="s">
        <v>272</v>
      </c>
      <c r="E7" s="4" t="s">
        <v>273</v>
      </c>
    </row>
    <row r="8" customFormat="false" ht="42" hidden="false" customHeight="true" outlineLevel="0" collapsed="false">
      <c r="A8" s="3" t="s">
        <v>222</v>
      </c>
      <c r="B8" s="16" t="s">
        <v>30</v>
      </c>
      <c r="C8" s="4" t="s">
        <v>274</v>
      </c>
      <c r="D8" s="8" t="s">
        <v>275</v>
      </c>
      <c r="E8" s="4" t="s">
        <v>276</v>
      </c>
    </row>
    <row r="9" customFormat="false" ht="42" hidden="false" customHeight="true" outlineLevel="0" collapsed="false">
      <c r="A9" s="3" t="s">
        <v>225</v>
      </c>
      <c r="B9" s="16" t="s">
        <v>30</v>
      </c>
      <c r="C9" s="4" t="s">
        <v>277</v>
      </c>
      <c r="D9" s="8" t="s">
        <v>267</v>
      </c>
      <c r="E9" s="4" t="s">
        <v>278</v>
      </c>
    </row>
    <row r="10" customFormat="false" ht="42" hidden="false" customHeight="true" outlineLevel="0" collapsed="false">
      <c r="A10" s="3" t="s">
        <v>227</v>
      </c>
      <c r="B10" s="16" t="s">
        <v>30</v>
      </c>
      <c r="C10" s="4" t="s">
        <v>279</v>
      </c>
      <c r="D10" s="8" t="s">
        <v>280</v>
      </c>
      <c r="E10" s="4" t="s">
        <v>281</v>
      </c>
    </row>
    <row r="11" customFormat="false" ht="42" hidden="false" customHeight="true" outlineLevel="0" collapsed="false">
      <c r="A11" s="3" t="s">
        <v>229</v>
      </c>
      <c r="B11" s="16" t="s">
        <v>30</v>
      </c>
      <c r="C11" s="4" t="s">
        <v>282</v>
      </c>
      <c r="D11" s="8" t="s">
        <v>283</v>
      </c>
      <c r="E11" s="4" t="s">
        <v>284</v>
      </c>
    </row>
    <row r="12" customFormat="false" ht="42" hidden="false" customHeight="true" outlineLevel="0" collapsed="false">
      <c r="A12" s="3" t="s">
        <v>231</v>
      </c>
      <c r="B12" s="16" t="s">
        <v>30</v>
      </c>
      <c r="C12" s="4" t="s">
        <v>285</v>
      </c>
      <c r="D12" s="8" t="s">
        <v>275</v>
      </c>
      <c r="E12" s="4" t="s">
        <v>286</v>
      </c>
    </row>
    <row r="13" customFormat="false" ht="42" hidden="false" customHeight="true" outlineLevel="0" collapsed="false">
      <c r="A13" s="3" t="s">
        <v>234</v>
      </c>
      <c r="B13" s="16" t="s">
        <v>30</v>
      </c>
      <c r="C13" s="4" t="s">
        <v>287</v>
      </c>
      <c r="D13" s="8" t="s">
        <v>113</v>
      </c>
      <c r="E13" s="4" t="s">
        <v>288</v>
      </c>
    </row>
    <row r="14" customFormat="false" ht="42" hidden="false" customHeight="true" outlineLevel="0" collapsed="false">
      <c r="A14" s="3" t="s">
        <v>236</v>
      </c>
      <c r="B14" s="16" t="s">
        <v>30</v>
      </c>
      <c r="C14" s="4" t="s">
        <v>289</v>
      </c>
      <c r="D14" s="8" t="s">
        <v>275</v>
      </c>
      <c r="E14" s="4" t="s">
        <v>290</v>
      </c>
    </row>
    <row r="15" customFormat="false" ht="42" hidden="false" customHeight="true" outlineLevel="0" collapsed="false">
      <c r="A15" s="3" t="s">
        <v>217</v>
      </c>
      <c r="B15" s="16" t="s">
        <v>30</v>
      </c>
      <c r="C15" s="4" t="s">
        <v>291</v>
      </c>
      <c r="D15" s="8" t="s">
        <v>292</v>
      </c>
      <c r="E15" s="4" t="s">
        <v>293</v>
      </c>
    </row>
    <row r="16" customFormat="false" ht="42" hidden="false" customHeight="true" outlineLevel="0" collapsed="false">
      <c r="A16" s="3" t="s">
        <v>245</v>
      </c>
      <c r="B16" s="16" t="s">
        <v>30</v>
      </c>
      <c r="C16" s="4" t="s">
        <v>294</v>
      </c>
      <c r="D16" s="8" t="s">
        <v>295</v>
      </c>
      <c r="E16" s="4" t="s">
        <v>296</v>
      </c>
    </row>
    <row r="17" customFormat="false" ht="42" hidden="false" customHeight="true" outlineLevel="0" collapsed="false">
      <c r="A17" s="3" t="s">
        <v>247</v>
      </c>
      <c r="B17" s="16" t="s">
        <v>30</v>
      </c>
      <c r="C17" s="4" t="s">
        <v>297</v>
      </c>
      <c r="D17" s="8" t="s">
        <v>298</v>
      </c>
      <c r="E17" s="4" t="s">
        <v>299</v>
      </c>
    </row>
    <row r="18" customFormat="false" ht="42" hidden="false" customHeight="true" outlineLevel="0" collapsed="false">
      <c r="A18" s="3" t="s">
        <v>300</v>
      </c>
      <c r="B18" s="16" t="s">
        <v>32</v>
      </c>
      <c r="C18" s="4" t="s">
        <v>301</v>
      </c>
      <c r="D18" s="8" t="s">
        <v>302</v>
      </c>
      <c r="E18" s="4" t="s">
        <v>303</v>
      </c>
    </row>
    <row r="19" customFormat="false" ht="42" hidden="false" customHeight="true" outlineLevel="0" collapsed="false">
      <c r="A19" s="3" t="s">
        <v>304</v>
      </c>
      <c r="B19" s="16" t="s">
        <v>32</v>
      </c>
      <c r="C19" s="4" t="s">
        <v>305</v>
      </c>
      <c r="D19" s="8" t="s">
        <v>302</v>
      </c>
      <c r="E19" s="4" t="s">
        <v>306</v>
      </c>
    </row>
    <row r="20" customFormat="false" ht="42" hidden="false" customHeight="true" outlineLevel="0" collapsed="false">
      <c r="A20" s="3" t="s">
        <v>307</v>
      </c>
      <c r="B20" s="16" t="s">
        <v>32</v>
      </c>
      <c r="C20" s="4" t="s">
        <v>308</v>
      </c>
      <c r="D20" s="8" t="s">
        <v>302</v>
      </c>
      <c r="E20" s="4" t="s">
        <v>309</v>
      </c>
    </row>
    <row r="21" customFormat="false" ht="42" hidden="false" customHeight="true" outlineLevel="0" collapsed="false">
      <c r="A21" s="3" t="s">
        <v>310</v>
      </c>
      <c r="B21" s="16" t="s">
        <v>20</v>
      </c>
      <c r="C21" s="4" t="s">
        <v>311</v>
      </c>
      <c r="D21" s="8" t="s">
        <v>113</v>
      </c>
      <c r="E21" s="4" t="s">
        <v>312</v>
      </c>
    </row>
    <row r="23" customFormat="false" ht="19.5" hidden="false" customHeight="true" outlineLevel="0" collapsed="false">
      <c r="A23" s="12" t="s">
        <v>313</v>
      </c>
      <c r="B23" s="12"/>
      <c r="C23" s="12"/>
      <c r="D23" s="12"/>
      <c r="E23" s="12"/>
    </row>
    <row r="24" customFormat="false" ht="15" hidden="false" customHeight="false" outlineLevel="0" collapsed="false">
      <c r="A24" s="3" t="s">
        <v>314</v>
      </c>
      <c r="D24" s="8"/>
    </row>
    <row r="25" customFormat="false" ht="15" hidden="false" customHeight="false" outlineLevel="0" collapsed="false">
      <c r="A25" s="3" t="s">
        <v>315</v>
      </c>
      <c r="D25" s="8"/>
    </row>
    <row r="26" customFormat="false" ht="15" hidden="false" customHeight="false" outlineLevel="0" collapsed="false">
      <c r="A26" s="3" t="s">
        <v>307</v>
      </c>
      <c r="D26" s="8"/>
    </row>
    <row r="27" customFormat="false" ht="15" hidden="false" customHeight="false" outlineLevel="0" collapsed="false">
      <c r="A27" s="3" t="s">
        <v>316</v>
      </c>
      <c r="D27" s="8"/>
    </row>
    <row r="28" customFormat="false" ht="30" hidden="false" customHeight="true" outlineLevel="0" collapsed="false">
      <c r="A28" s="2" t="s">
        <v>317</v>
      </c>
      <c r="B28" s="2"/>
      <c r="C28" s="2"/>
      <c r="D28" s="2"/>
      <c r="E28" s="2"/>
    </row>
  </sheetData>
  <mergeCells count="4">
    <mergeCell ref="A1:E1"/>
    <mergeCell ref="A2:E2"/>
    <mergeCell ref="A23:E23"/>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6" topLeftCell="A2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74"/>
    <col collapsed="false" customWidth="true" hidden="false" outlineLevel="0" max="4" min="4" style="0" width="18"/>
  </cols>
  <sheetData>
    <row r="1" customFormat="false" ht="17.35" hidden="false" customHeight="false" outlineLevel="0" collapsed="false">
      <c r="A1" s="1" t="s">
        <v>318</v>
      </c>
      <c r="B1" s="1"/>
      <c r="C1" s="1"/>
      <c r="D1" s="1"/>
    </row>
    <row r="2" customFormat="false" ht="31.5" hidden="false" customHeight="true" outlineLevel="0" collapsed="false">
      <c r="A2" s="2" t="s">
        <v>319</v>
      </c>
      <c r="B2" s="2"/>
      <c r="C2" s="2"/>
      <c r="D2" s="2"/>
    </row>
    <row r="4" customFormat="false" ht="19.5" hidden="false" customHeight="true" outlineLevel="0" collapsed="false">
      <c r="A4" s="5" t="s">
        <v>320</v>
      </c>
      <c r="B4" s="5"/>
      <c r="C4" s="5"/>
      <c r="D4" s="5"/>
    </row>
    <row r="5" customFormat="false" ht="30" hidden="false" customHeight="true" outlineLevel="0" collapsed="false">
      <c r="A5" s="2" t="s">
        <v>321</v>
      </c>
      <c r="B5" s="2"/>
      <c r="C5" s="2"/>
      <c r="D5" s="2"/>
    </row>
    <row r="6" customFormat="false" ht="45.75" hidden="false" customHeight="true" outlineLevel="0" collapsed="false">
      <c r="A6" s="14" t="s">
        <v>322</v>
      </c>
      <c r="B6" s="14" t="s">
        <v>323</v>
      </c>
      <c r="C6" s="14" t="s">
        <v>324</v>
      </c>
      <c r="D6" s="14"/>
    </row>
    <row r="7" customFormat="false" ht="25.5" hidden="false" customHeight="true" outlineLevel="0" collapsed="false">
      <c r="A7" s="3" t="s">
        <v>325</v>
      </c>
      <c r="B7" s="16" t="s">
        <v>326</v>
      </c>
      <c r="C7" s="4" t="s">
        <v>327</v>
      </c>
    </row>
    <row r="8" customFormat="false" ht="25.5" hidden="false" customHeight="true" outlineLevel="0" collapsed="false">
      <c r="A8" s="3" t="s">
        <v>328</v>
      </c>
      <c r="B8" s="16" t="s">
        <v>329</v>
      </c>
      <c r="C8" s="4" t="s">
        <v>330</v>
      </c>
    </row>
    <row r="9" customFormat="false" ht="25.5" hidden="false" customHeight="true" outlineLevel="0" collapsed="false">
      <c r="A9" s="3" t="s">
        <v>331</v>
      </c>
      <c r="B9" s="16" t="s">
        <v>332</v>
      </c>
      <c r="C9" s="4" t="s">
        <v>333</v>
      </c>
    </row>
    <row r="10" customFormat="false" ht="25.5" hidden="false" customHeight="true" outlineLevel="0" collapsed="false">
      <c r="A10" s="3" t="s">
        <v>334</v>
      </c>
      <c r="B10" s="16" t="s">
        <v>335</v>
      </c>
      <c r="C10" s="4" t="s">
        <v>336</v>
      </c>
    </row>
    <row r="12" customFormat="false" ht="19.5" hidden="false" customHeight="true" outlineLevel="0" collapsed="false">
      <c r="A12" s="5" t="s">
        <v>337</v>
      </c>
      <c r="B12" s="5"/>
      <c r="C12" s="5"/>
      <c r="D12" s="5"/>
    </row>
    <row r="13" customFormat="false" ht="30" hidden="false" customHeight="true" outlineLevel="0" collapsed="false">
      <c r="A13" s="2" t="s">
        <v>338</v>
      </c>
      <c r="B13" s="2"/>
      <c r="C13" s="2"/>
      <c r="D13" s="2"/>
    </row>
    <row r="14" customFormat="false" ht="45.75" hidden="false" customHeight="true" outlineLevel="0" collapsed="false">
      <c r="A14" s="14" t="s">
        <v>339</v>
      </c>
      <c r="B14" s="14" t="s">
        <v>340</v>
      </c>
      <c r="C14" s="14" t="s">
        <v>341</v>
      </c>
      <c r="D14" s="14"/>
    </row>
    <row r="15" customFormat="false" ht="31.5" hidden="false" customHeight="true" outlineLevel="0" collapsed="false">
      <c r="A15" s="3" t="s">
        <v>111</v>
      </c>
      <c r="B15" s="4" t="s">
        <v>342</v>
      </c>
      <c r="C15" s="4" t="s">
        <v>343</v>
      </c>
    </row>
    <row r="16" customFormat="false" ht="31.5" hidden="false" customHeight="true" outlineLevel="0" collapsed="false">
      <c r="A16" s="3" t="s">
        <v>344</v>
      </c>
      <c r="B16" s="4" t="s">
        <v>345</v>
      </c>
      <c r="C16" s="4" t="s">
        <v>346</v>
      </c>
    </row>
    <row r="17" customFormat="false" ht="31.5" hidden="false" customHeight="true" outlineLevel="0" collapsed="false">
      <c r="A17" s="3" t="s">
        <v>113</v>
      </c>
      <c r="B17" s="4" t="s">
        <v>347</v>
      </c>
      <c r="C17" s="4" t="s">
        <v>348</v>
      </c>
    </row>
    <row r="19" customFormat="false" ht="19.5" hidden="false" customHeight="true" outlineLevel="0" collapsed="false">
      <c r="A19" s="5" t="s">
        <v>349</v>
      </c>
      <c r="B19" s="5"/>
      <c r="C19" s="5"/>
      <c r="D19" s="5"/>
    </row>
    <row r="20" customFormat="false" ht="30" hidden="false" customHeight="true" outlineLevel="0" collapsed="false">
      <c r="A20" s="2" t="s">
        <v>350</v>
      </c>
      <c r="B20" s="2"/>
      <c r="C20" s="2"/>
      <c r="D20" s="2"/>
    </row>
    <row r="21" customFormat="false" ht="45.75" hidden="false" customHeight="true" outlineLevel="0" collapsed="false">
      <c r="A21" s="14" t="s">
        <v>351</v>
      </c>
      <c r="B21" s="14" t="s">
        <v>352</v>
      </c>
      <c r="C21" s="14" t="s">
        <v>353</v>
      </c>
      <c r="D21" s="14" t="s">
        <v>354</v>
      </c>
    </row>
    <row r="22" customFormat="false" ht="30" hidden="false" customHeight="true" outlineLevel="0" collapsed="false">
      <c r="A22" s="3" t="s">
        <v>355</v>
      </c>
      <c r="B22" s="4" t="s">
        <v>356</v>
      </c>
      <c r="C22" s="4" t="s">
        <v>357</v>
      </c>
      <c r="D22" s="4" t="s">
        <v>358</v>
      </c>
    </row>
    <row r="23" customFormat="false" ht="30" hidden="false" customHeight="true" outlineLevel="0" collapsed="false">
      <c r="A23" s="3" t="s">
        <v>359</v>
      </c>
      <c r="B23" s="4" t="s">
        <v>360</v>
      </c>
      <c r="C23" s="4" t="s">
        <v>361</v>
      </c>
      <c r="D23" s="4" t="s">
        <v>362</v>
      </c>
    </row>
    <row r="25" customFormat="false" ht="19.5" hidden="false" customHeight="true" outlineLevel="0" collapsed="false">
      <c r="A25" s="5" t="s">
        <v>363</v>
      </c>
      <c r="B25" s="5"/>
      <c r="C25" s="5"/>
      <c r="D25" s="5"/>
    </row>
    <row r="26" customFormat="false" ht="45.75" hidden="false" customHeight="true" outlineLevel="0" collapsed="false">
      <c r="A26" s="14" t="s">
        <v>364</v>
      </c>
      <c r="B26" s="14" t="s">
        <v>365</v>
      </c>
      <c r="C26" s="14" t="s">
        <v>366</v>
      </c>
      <c r="D26" s="14"/>
    </row>
    <row r="27" customFormat="false" ht="30" hidden="false" customHeight="true" outlineLevel="0" collapsed="false">
      <c r="A27" s="3" t="s">
        <v>71</v>
      </c>
      <c r="B27" s="4" t="s">
        <v>367</v>
      </c>
      <c r="C27" s="4" t="s">
        <v>368</v>
      </c>
    </row>
    <row r="28" customFormat="false" ht="30" hidden="false" customHeight="true" outlineLevel="0" collapsed="false">
      <c r="A28" s="3" t="s">
        <v>369</v>
      </c>
      <c r="B28" s="4" t="s">
        <v>370</v>
      </c>
      <c r="C28" s="4" t="s">
        <v>371</v>
      </c>
    </row>
    <row r="29" customFormat="false" ht="30" hidden="false" customHeight="true" outlineLevel="0" collapsed="false">
      <c r="A29" s="3" t="s">
        <v>86</v>
      </c>
      <c r="B29" s="4" t="s">
        <v>372</v>
      </c>
      <c r="C29" s="4" t="s">
        <v>373</v>
      </c>
    </row>
    <row r="30" customFormat="false" ht="30" hidden="false" customHeight="true" outlineLevel="0" collapsed="false">
      <c r="A30" s="3" t="s">
        <v>374</v>
      </c>
      <c r="B30" s="4" t="s">
        <v>375</v>
      </c>
      <c r="C30" s="4" t="s">
        <v>376</v>
      </c>
    </row>
  </sheetData>
  <mergeCells count="9">
    <mergeCell ref="A1:D1"/>
    <mergeCell ref="A2:D2"/>
    <mergeCell ref="A4:D4"/>
    <mergeCell ref="A5:D5"/>
    <mergeCell ref="A12:D12"/>
    <mergeCell ref="A13:D13"/>
    <mergeCell ref="A19:D19"/>
    <mergeCell ref="A20:D20"/>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2026-09-23T18:43:30Z</dcterms:created>
  <dc:creator>openpyxl</dc:creator>
  <dc:description/>
  <dc:language>en-US</dc:language>
  <cp:lastModifiedBy/>
  <dcterms:modified xsi:type="dcterms:W3CDTF">2026-09-23T18:43:43Z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