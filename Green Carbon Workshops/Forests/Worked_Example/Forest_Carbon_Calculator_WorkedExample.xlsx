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. Instructions" sheetId="1" state="visible" r:id="rId3"/>
    <sheet name="1. Plot &amp; Site Log" sheetId="2" state="visible" r:id="rId4"/>
    <sheet name="2. Core Log" sheetId="3" state="visible" r:id="rId5"/>
    <sheet name="3. Tree Data" sheetId="4" state="visible" r:id="rId6"/>
    <sheet name="4. Understory Data" sheetId="5" state="visible" r:id="rId7"/>
    <sheet name="5. Soil Data" sheetId="6" state="visible" r:id="rId8"/>
    <sheet name="6. Plot Summary" sheetId="7" state="visible" r:id="rId9"/>
    <sheet name="7. Site Summary" sheetId="8" state="visible" r:id="rId10"/>
    <sheet name="8. Settings" sheetId="9" state="visible" r:id="rId11"/>
    <sheet name="R1. Tree Coefficients" sheetId="10" state="visible" r:id="rId12"/>
    <sheet name="R2. Understory Coefficients" sheetId="11" state="visible" r:id="rId13"/>
  </sheets>
  <definedNames>
    <definedName function="false" hidden="false" name="BGB_FRACTION_MAX" vbProcedure="false">'8. Settings'!$B$18</definedName>
    <definedName function="false" hidden="false" name="BGB_FRACTION_MIN" vbProcedure="false">'8. Settings'!$B$17</definedName>
    <definedName function="false" hidden="false" name="BGB_RS_CONIFER" vbProcedure="false">'8. Settings'!$B$16</definedName>
    <definedName function="false" hidden="false" name="BGB_RS_DECIDUOUS_a" vbProcedure="false">'8. Settings'!$B$14</definedName>
    <definedName function="false" hidden="false" name="BGB_RS_DECIDUOUS_b" vbProcedure="false">'8. Settings'!$B$15</definedName>
    <definedName function="false" hidden="false" name="CARBON_FRACTION_BIOMASS" vbProcedure="false">'8. Settings'!$B$5</definedName>
    <definedName function="false" hidden="false" name="CARBON_FRACTION_OM" vbProcedure="false">'8. Settings'!$B$6</definedName>
    <definedName function="false" hidden="false" name="CO2E_FACTOR" vbProcedure="false">'8. Settings'!$B$7</definedName>
    <definedName function="false" hidden="false" name="LARGE_PLOT_AREA_M2" vbProcedure="false">'8. Settings'!$B$9</definedName>
    <definedName function="false" hidden="false" name="MEDIUM_PLOT_AREA_M2" vbProcedure="false">'8. Settings'!$B$10</definedName>
    <definedName function="false" hidden="false" name="QC_BD_MAX" vbProcedure="false">'8. Settings'!$B$21</definedName>
    <definedName function="false" hidden="false" name="QC_BD_MIN" vbProcedure="false">'8. Settings'!$B$20</definedName>
    <definedName function="false" hidden="false" name="QC_CARBON_PCT_MAX" vbProcedure="false">'8. Settings'!$B$22</definedName>
    <definedName function="false" hidden="false" name="QC_DBH_MAX_CM" vbProcedure="false">'8. Settings'!$B$19</definedName>
    <definedName function="false" hidden="false" name="REPORTING_DEPTH_CM" vbProcedure="false">'8. Settings'!$B$8</definedName>
    <definedName function="false" hidden="false" name="SMALL_PLOT_AREA_M2" vbProcedure="false">'8. Settings'!$B$11</definedName>
    <definedName function="false" hidden="false" name="TARGET_CONFIDENCE" vbProcedure="false">'8. Settings'!$B$13</definedName>
    <definedName function="false" hidden="false" name="TARGET_MARGIN" vbProcedure="false">'8. Settings'!$B$12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<sst xmlns="http://schemas.openxmlformats.org/spreadsheetml/2006/main" count="1852" uniqueCount="384">
  <si>
    <t xml:space="preserve">FOREST CARBON CALCULATOR</t>
  </si>
  <si>
    <t xml:space="preserve">WWF-Canada Carbon Measurement · Forest Carbon Workshop</t>
  </si>
  <si>
    <t xml:space="preserve">What this workbook does</t>
  </si>
  <si>
    <t xml:space="preserve">Turns field measurements of trees, understory and soil into a carbon stock in kg C/m², then scales plots to sites and to your whole study area. It follows 'Measuring Carbon in Trees' and 'Measuring Carbon in Non-Peat Soils' (WWF-Canada, 2026).</t>
  </si>
  <si>
    <t xml:space="preserve">COLOUR KEY</t>
  </si>
  <si>
    <t xml:space="preserve">Yellow</t>
  </si>
  <si>
    <t xml:space="preserve">TYPE HERE — field measurements you record.</t>
  </si>
  <si>
    <t xml:space="preserve">Blue</t>
  </si>
  <si>
    <t xml:space="preserve">TYPE HERE — lab results, once they come back.</t>
  </si>
  <si>
    <t xml:space="preserve">Grey</t>
  </si>
  <si>
    <t xml:space="preserve">Calculated for you. Do not type in grey cells.</t>
  </si>
  <si>
    <t xml:space="preserve">Green</t>
  </si>
  <si>
    <t xml:space="preserve">Summary output.</t>
  </si>
  <si>
    <t xml:space="preserve">Red</t>
  </si>
  <si>
    <t xml:space="preserve">A quality-control flag. Read it before trusting the row.</t>
  </si>
  <si>
    <t xml:space="preserve">ORDER OF WORK</t>
  </si>
  <si>
    <t xml:space="preserve">1</t>
  </si>
  <si>
    <t xml:space="preserve">Fill '1. Plot &amp; Site Log' FIRST — one row per plot. Everything else joins to it on Plot ID.</t>
  </si>
  <si>
    <t xml:space="preserve">2</t>
  </si>
  <si>
    <t xml:space="preserve">Fill '2. Tree Data', '3. Understory Data' and '4. Soil Data' as the field data comes in.</t>
  </si>
  <si>
    <t xml:space="preserve">3</t>
  </si>
  <si>
    <t xml:space="preserve">Add lab results (blue columns) to '3. Understory Data' and '4. Soil Data' when they return.</t>
  </si>
  <si>
    <t xml:space="preserve">4</t>
  </si>
  <si>
    <t xml:space="preserve">Read '5. Plot Summary' and '6. Site Summary'. Both calculate themselves.</t>
  </si>
  <si>
    <t xml:space="preserve">⚠ PLOT IDs MUST MATCH</t>
  </si>
  <si>
    <t xml:space="preserve">Plot ID is the key that joins every sheet. If a Plot ID on the Tree, Understory or Soil sheet does not appear in the Plot &amp; Site Log, that row's plot area cannot be looked up and its carbon will not reach the summary. The QC flag column will tell you.</t>
  </si>
  <si>
    <t xml:space="preserve">UNITS</t>
  </si>
  <si>
    <t xml:space="preserve">DBH</t>
  </si>
  <si>
    <t xml:space="preserve">centimetres (cm), measured at 1.3 m above ground</t>
  </si>
  <si>
    <t xml:space="preserve">Tree height</t>
  </si>
  <si>
    <t xml:space="preserve">metres (m)</t>
  </si>
  <si>
    <t xml:space="preserve">Shrub L / W / H</t>
  </si>
  <si>
    <t xml:space="preserve">Depths</t>
  </si>
  <si>
    <t xml:space="preserve">centimetres (cm), measured down from the soil surface</t>
  </si>
  <si>
    <t xml:space="preserve">Bulk density</t>
  </si>
  <si>
    <t xml:space="preserve">g/cm³ — oven-dry fine earth (&lt;2 mm) ÷ total sample volume (see '4. Soil Data')</t>
  </si>
  <si>
    <t xml:space="preserve">Carbon content</t>
  </si>
  <si>
    <t xml:space="preserve">per cent of dry mass (%)</t>
  </si>
  <si>
    <t xml:space="preserve">Carbon stock</t>
  </si>
  <si>
    <t xml:space="preserve">kg C/m² at plot and site level; kg C for totals</t>
  </si>
  <si>
    <t xml:space="preserve">WHERE THE NUMBERS COME FROM</t>
  </si>
  <si>
    <t xml:space="preserve">Tree biomass</t>
  </si>
  <si>
    <t xml:space="preserve">Lambert, Ung &amp; Raulier (2005) and Ung, Bernier &amp; Guo (2008) — Canadian national biomass equations. See 'R1. Tree Coefficients'.</t>
  </si>
  <si>
    <t xml:space="preserve">Tree roots</t>
  </si>
  <si>
    <t xml:space="preserve">Root:shoot relationships, 'Measuring Carbon in Trees' p.17. See the note on 'R1. Tree Coefficients'.</t>
  </si>
  <si>
    <t xml:space="preserve">Shrub biomass</t>
  </si>
  <si>
    <t xml:space="preserve">Flade et al. (2020). See 'R2. Understory Coefficients'.</t>
  </si>
  <si>
    <t xml:space="preserve">Soil carbon</t>
  </si>
  <si>
    <t xml:space="preserve">'Measuring Carbon in Non-Peat Soils' pp.23–24, Eq 1–4.</t>
  </si>
  <si>
    <t xml:space="preserve">Carbon fraction</t>
  </si>
  <si>
    <t xml:space="preserve">0.5 of dry biomass, and 0.5 of soil organic matter. Set on '8. Settings'.</t>
  </si>
  <si>
    <t xml:space="preserve">BEFORE YOU START</t>
  </si>
  <si>
    <t xml:space="preserve">Open '8. Settings' and confirm the reporting depth, the plot sizes your crew actually used, and your precision target from Part 2 of the workshop.</t>
  </si>
  <si>
    <t xml:space="preserve">PLOT &amp; SITE LOG</t>
  </si>
  <si>
    <t xml:space="preserve">ONE ROW PER PLOT. This is the key every other sheet joins to. Fill this in first. Leave the plot-area columns at your standard sizes unless a plot was laid out differently. 'Slope allowance applied in field?' — answer Yes if you lengthened the tape on the slope (Trees guide, Appendix); answer No if you laid out the nominal distance along the ground, and the effective area will be corrected for you.</t>
  </si>
  <si>
    <t xml:space="preserve">Plot ID</t>
  </si>
  <si>
    <t xml:space="preserve">Site ID</t>
  </si>
  <si>
    <t xml:space="preserve">Study area</t>
  </si>
  <si>
    <t xml:space="preserve">Date</t>
  </si>
  <si>
    <t xml:space="preserve">Location</t>
  </si>
  <si>
    <t xml:space="preserve">Latitude</t>
  </si>
  <si>
    <t xml:space="preserve">Longitude</t>
  </si>
  <si>
    <t xml:space="preserve">GNSS accuracy (m)</t>
  </si>
  <si>
    <t xml:space="preserve">Datum</t>
  </si>
  <si>
    <t xml:space="preserve">Elevation (m)</t>
  </si>
  <si>
    <t xml:space="preserve">Plot shape</t>
  </si>
  <si>
    <t xml:space="preserve">Large plot area (m²)</t>
  </si>
  <si>
    <t xml:space="preserve">Medium plot area (m²)</t>
  </si>
  <si>
    <t xml:space="preserve">Small plot area (m²)</t>
  </si>
  <si>
    <t xml:space="preserve">Slope S–N (°)</t>
  </si>
  <si>
    <t xml:space="preserve">Slope E–W (°)</t>
  </si>
  <si>
    <t xml:space="preserve">Slope allowance applied in field?</t>
  </si>
  <si>
    <t xml:space="preserve">Effective large plot area (m²)</t>
  </si>
  <si>
    <t xml:space="preserve">Notes</t>
  </si>
  <si>
    <t xml:space="preserve">MR-01</t>
  </si>
  <si>
    <t xml:space="preserve">S1</t>
  </si>
  <si>
    <t xml:space="preserve">MR</t>
  </si>
  <si>
    <t xml:space="preserve">2026-07-14</t>
  </si>
  <si>
    <t xml:space="preserve">Moose Ridge upland</t>
  </si>
  <si>
    <t xml:space="preserve">WGS84</t>
  </si>
  <si>
    <t xml:space="preserve">circular</t>
  </si>
  <si>
    <t xml:space="preserve">Yes</t>
  </si>
  <si>
    <t xml:space="preserve">MR-02</t>
  </si>
  <si>
    <t xml:space="preserve">MR-03</t>
  </si>
  <si>
    <t xml:space="preserve">2026-07-15</t>
  </si>
  <si>
    <t xml:space="preserve">No</t>
  </si>
  <si>
    <t xml:space="preserve">BC-01</t>
  </si>
  <si>
    <t xml:space="preserve">S2</t>
  </si>
  <si>
    <t xml:space="preserve">2026-07-16</t>
  </si>
  <si>
    <t xml:space="preserve">Beaver Creek lowland</t>
  </si>
  <si>
    <t xml:space="preserve">square</t>
  </si>
  <si>
    <t xml:space="preserve">BC-02</t>
  </si>
  <si>
    <t xml:space="preserve">BC-03</t>
  </si>
  <si>
    <t xml:space="preserve">2026-07-17</t>
  </si>
  <si>
    <t xml:space="preserve">CORE LOG</t>
  </si>
  <si>
    <t xml:space="preserve">ONE ROW PER CORE OR PIT. Matches the 'Core Notes' block on the paper Soil Carbon Data Sheet. Hole depth is the true depth of the ground you sampled; core length is what you recovered — the difference is compaction (Non-peat guide, Sampling).</t>
  </si>
  <si>
    <t xml:space="preserve">Core ID</t>
  </si>
  <si>
    <t xml:space="preserve">Sampling method</t>
  </si>
  <si>
    <t xml:space="preserve">Hole depth (cm)</t>
  </si>
  <si>
    <t xml:space="preserve">Core length recovered (cm)</t>
  </si>
  <si>
    <t xml:space="preserve">Compaction factor</t>
  </si>
  <si>
    <t xml:space="preserve">Depth to substratum (cm)</t>
  </si>
  <si>
    <t xml:space="preserve">Photo series taken?</t>
  </si>
  <si>
    <t xml:space="preserve">Deepest slice logged (cm)</t>
  </si>
  <si>
    <t xml:space="preserve">Stock to reporting depth (kg C/m²)</t>
  </si>
  <si>
    <t xml:space="preserve">Stock, full core (kg C/m²)</t>
  </si>
  <si>
    <t xml:space="preserve">Reaches reporting depth?</t>
  </si>
  <si>
    <t xml:space="preserve">QC flags</t>
  </si>
  <si>
    <t xml:space="preserve">MR-01-C1</t>
  </si>
  <si>
    <t xml:space="preserve">Soil core</t>
  </si>
  <si>
    <t xml:space="preserve">MR-01-C2</t>
  </si>
  <si>
    <t xml:space="preserve">MR-02-C1</t>
  </si>
  <si>
    <t xml:space="preserve">MR-03-C1</t>
  </si>
  <si>
    <t xml:space="preserve">BC-01-C1</t>
  </si>
  <si>
    <t xml:space="preserve">BC-01-C2</t>
  </si>
  <si>
    <t xml:space="preserve">BC-02-C1</t>
  </si>
  <si>
    <t xml:space="preserve">BC-03-C1</t>
  </si>
  <si>
    <t xml:space="preserve">TREE DATA</t>
  </si>
  <si>
    <t xml:space="preserve">ONE ROW PER TREE over 2 m tall, inside the large plot. Type Plot ID, Tree ID, species and DBH. Height is optional — leave it blank and the DBH-only equation is used; fill it in and the more precise DBH+height equation is used instead. Column G tells you which one ran.</t>
  </si>
  <si>
    <t xml:space="preserve">Tree ID</t>
  </si>
  <si>
    <t xml:space="preserve">Species</t>
  </si>
  <si>
    <t xml:space="preserve">DBH (cm)</t>
  </si>
  <si>
    <t xml:space="preserve">Height (m)</t>
  </si>
  <si>
    <t xml:space="preserve">Coefficient block</t>
  </si>
  <si>
    <t xml:space="preserve">Equation used</t>
  </si>
  <si>
    <t xml:space="preserve">Wood (kg)</t>
  </si>
  <si>
    <t xml:space="preserve">Bark (kg)</t>
  </si>
  <si>
    <t xml:space="preserve">Branches (kg)</t>
  </si>
  <si>
    <t xml:space="preserve">Foliage (kg)</t>
  </si>
  <si>
    <t xml:space="preserve">Above-ground biomass (kg)</t>
  </si>
  <si>
    <t xml:space="preserve">Tree type</t>
  </si>
  <si>
    <t xml:space="preserve">Below-ground biomass (kg)</t>
  </si>
  <si>
    <t xml:space="preserve">Total biomass (kg)</t>
  </si>
  <si>
    <t xml:space="preserve">Carbon (kg C)</t>
  </si>
  <si>
    <t xml:space="preserve">White birch</t>
  </si>
  <si>
    <t xml:space="preserve">Black spruce</t>
  </si>
  <si>
    <t xml:space="preserve">Balsam fir</t>
  </si>
  <si>
    <t xml:space="preserve">White spruce</t>
  </si>
  <si>
    <t xml:space="preserve">Trembling aspen</t>
  </si>
  <si>
    <t xml:space="preserve">Jack pine</t>
  </si>
  <si>
    <t xml:space="preserve">Tamarack larch</t>
  </si>
  <si>
    <t xml:space="preserve">UNDERSTORY DATA</t>
  </si>
  <si>
    <t xml:space="preserve">TWO ROUTES, chosen by 'Plot type'. MEDIUM plots (0.5–2 m plants) use the allometric route: a short-statured tree needs its stem diameter at 0.3 m; a shrub needs crown length × width × height. SMALL plots (under 0.5 m) use clip-and-weigh: enter the oven-dry mass and nothing else.</t>
  </si>
  <si>
    <t xml:space="preserve">Sample ID</t>
  </si>
  <si>
    <t xml:space="preserve">Plot type</t>
  </si>
  <si>
    <t xml:space="preserve">Plant type</t>
  </si>
  <si>
    <t xml:space="preserve">Species / group</t>
  </si>
  <si>
    <t xml:space="preserve">Diameter at 0.3 m (cm)</t>
  </si>
  <si>
    <t xml:space="preserve">Length (m)</t>
  </si>
  <si>
    <t xml:space="preserve">Width (m)</t>
  </si>
  <si>
    <t xml:space="preserve">Oven-dry clipped mass (g)</t>
  </si>
  <si>
    <t xml:space="preserve">Model parameter x</t>
  </si>
  <si>
    <t xml:space="preserve">Coefficient b</t>
  </si>
  <si>
    <t xml:space="preserve">Coefficient a</t>
  </si>
  <si>
    <t xml:space="preserve">Biomass (kg)</t>
  </si>
  <si>
    <t xml:space="preserve">M1</t>
  </si>
  <si>
    <t xml:space="preserve">Medium</t>
  </si>
  <si>
    <t xml:space="preserve">shrub</t>
  </si>
  <si>
    <t xml:space="preserve">Soap berry</t>
  </si>
  <si>
    <t xml:space="preserve">M2</t>
  </si>
  <si>
    <t xml:space="preserve">Alder</t>
  </si>
  <si>
    <t xml:space="preserve">M3</t>
  </si>
  <si>
    <t xml:space="preserve">M4</t>
  </si>
  <si>
    <t xml:space="preserve">M5</t>
  </si>
  <si>
    <t xml:space="preserve">M6</t>
  </si>
  <si>
    <t xml:space="preserve">M9</t>
  </si>
  <si>
    <t xml:space="preserve">tree</t>
  </si>
  <si>
    <t xml:space="preserve">Short statured tree</t>
  </si>
  <si>
    <t xml:space="preserve">G1</t>
  </si>
  <si>
    <t xml:space="preserve">Small</t>
  </si>
  <si>
    <t xml:space="preserve">ground</t>
  </si>
  <si>
    <t xml:space="preserve">all shrubs</t>
  </si>
  <si>
    <t xml:space="preserve">G2</t>
  </si>
  <si>
    <t xml:space="preserve">Shrubby cinquefoil</t>
  </si>
  <si>
    <t xml:space="preserve">Willow</t>
  </si>
  <si>
    <t xml:space="preserve">Bog birch</t>
  </si>
  <si>
    <t xml:space="preserve">SOIL DATA</t>
  </si>
  <si>
    <t xml:space="preserve">ONE ROW PER SLICE or soil layer. Depths run continuously down the core, so the bottom of one slice is the top of the next. Enter either LOI₅₅₀ or a measured organic carbon % — if you have both, the measured value wins. READ THE BULK DENSITY BASIS NOTE on the Instructions sheet before filling column H: picking the wrong one double-corrects for stones.</t>
  </si>
  <si>
    <t xml:space="preserve">Top depth (cm)</t>
  </si>
  <si>
    <t xml:space="preserve">Bottom depth (cm)</t>
  </si>
  <si>
    <t xml:space="preserve">Thickness (cm)</t>
  </si>
  <si>
    <t xml:space="preserve">Coarse fragments (% vol)</t>
  </si>
  <si>
    <t xml:space="preserve">Bulk density basis</t>
  </si>
  <si>
    <t xml:space="preserve">Bulk density (g/cm³)</t>
  </si>
  <si>
    <t xml:space="preserve">LOI₅₅₀ (%)</t>
  </si>
  <si>
    <t xml:space="preserve">Organic carbon (%)</t>
  </si>
  <si>
    <t xml:space="preserve">Carbon % used</t>
  </si>
  <si>
    <t xml:space="preserve">Coarse-fragment factor</t>
  </si>
  <si>
    <t xml:space="preserve">Thickness within reporting depth (cm)</t>
  </si>
  <si>
    <t xml:space="preserve">Stock, full thickness (kg C/m²)</t>
  </si>
  <si>
    <t xml:space="preserve">Fine earth / total volume</t>
  </si>
  <si>
    <t xml:space="preserve">PLOT SUMMARY</t>
  </si>
  <si>
    <t xml:space="preserve">One row per plot, calculated for you. Each pool is divided by ITS OWN plot area — trees by the large plot, shrubs by the medium plot, ground vegetation by the small plot — which is why they can be added together as kg C/m². Soil is the mean of the cores taken in that plot.</t>
  </si>
  <si>
    <t xml:space="preserve">Tree carbon (kg C)</t>
  </si>
  <si>
    <t xml:space="preserve">Trees (kg C/m²)</t>
  </si>
  <si>
    <t xml:space="preserve">Shrub carbon (kg C)</t>
  </si>
  <si>
    <t xml:space="preserve">Shrubs (kg C/m²)</t>
  </si>
  <si>
    <t xml:space="preserve">Ground carbon (kg C)</t>
  </si>
  <si>
    <t xml:space="preserve">Ground veg (kg C/m²)</t>
  </si>
  <si>
    <t xml:space="preserve">Understory total (kg C/m²)</t>
  </si>
  <si>
    <t xml:space="preserve">Cores in plot</t>
  </si>
  <si>
    <t xml:space="preserve">Soil to reporting depth (kg C/m²)</t>
  </si>
  <si>
    <t xml:space="preserve">Soil, full cores (kg C/m²)</t>
  </si>
  <si>
    <t xml:space="preserve">TOTAL (kg C/m²)</t>
  </si>
  <si>
    <t xml:space="preserve">_num</t>
  </si>
  <si>
    <t xml:space="preserve">_inc</t>
  </si>
  <si>
    <t xml:space="preserve">SITE SUMMARY</t>
  </si>
  <si>
    <t xml:space="preserve">Type a Site ID and its area; everything else calculates. This is where the loop from Part 2 closes: the precision you asked for when you sized the campaign is checked against the precision you actually achieved. A point estimate with no interval cannot be checked, so the interval is not optional.</t>
  </si>
  <si>
    <t xml:space="preserve">Site area (m²)</t>
  </si>
  <si>
    <t xml:space="preserve">Plots</t>
  </si>
  <si>
    <t xml:space="preserve">Mean (kg C/m²)</t>
  </si>
  <si>
    <t xml:space="preserve">SD</t>
  </si>
  <si>
    <t xml:space="preserve">Standard error</t>
  </si>
  <si>
    <t xml:space="preserve">t (two-sided)</t>
  </si>
  <si>
    <t xml:space="preserve">± half-width (kg C/m²)</t>
  </si>
  <si>
    <t xml:space="preserve">Achieved margin</t>
  </si>
  <si>
    <t xml:space="preserve">Target margin</t>
  </si>
  <si>
    <t xml:space="preserve">Precision</t>
  </si>
  <si>
    <t xml:space="preserve">Total carbon (kg C)</t>
  </si>
  <si>
    <t xml:space="preserve">Total (t CO₂e)</t>
  </si>
  <si>
    <t xml:space="preserve">  STUDY AREA — all sites combined, weighted by area</t>
  </si>
  <si>
    <t xml:space="preserve">Total area (m²)</t>
  </si>
  <si>
    <t xml:space="preserve">Area-weighted mean (kg C/m²)</t>
  </si>
  <si>
    <t xml:space="preserve">Reported to a soil depth of:</t>
  </si>
  <si>
    <t xml:space="preserve">Note: the study-area mean above weights each site by its area, which is the right thing to do when sites differ in size. It does NOT propagate the per-site uncertainties into a study-area interval — that needs the stratified estimator described in Part 4.</t>
  </si>
  <si>
    <t xml:space="preserve">SETTINGS</t>
  </si>
  <si>
    <t xml:space="preserve">Everything the calculator assumes lives here. Change it once, and every sheet follows.</t>
  </si>
  <si>
    <t xml:space="preserve">Parameter</t>
  </si>
  <si>
    <t xml:space="preserve">Value</t>
  </si>
  <si>
    <t xml:space="preserve">What it does</t>
  </si>
  <si>
    <t xml:space="preserve">CARBON_FRACTION_BIOMASS</t>
  </si>
  <si>
    <t xml:space="preserve">Fraction of dry plant biomass that is carbon. 0.5 is the IPCC default and the value both protocol guides use.</t>
  </si>
  <si>
    <t xml:space="preserve">CARBON_FRACTION_OM</t>
  </si>
  <si>
    <t xml:space="preserve">Fraction of soil organic matter that is carbon, used to convert LOI550 to %C. Non-peat guide, p.22.</t>
  </si>
  <si>
    <t xml:space="preserve">CO2E_FACTOR</t>
  </si>
  <si>
    <t xml:space="preserve">Multiply kg C by this to report CO₂ equivalents.</t>
  </si>
  <si>
    <t xml:space="preserve">REPORTING_DEPTH_CM</t>
  </si>
  <si>
    <t xml:space="preserve">The soil depth every core is reported to. Cores are integrated to this depth so that cores of different lengths are comparable. Anything deeper is reported separately. Common choices: 30, 50, 100.</t>
  </si>
  <si>
    <t xml:space="preserve">LARGE_PLOT_AREA_M2</t>
  </si>
  <si>
    <t xml:space="preserve">Default large (tree) plot area. Circular r = 11.28 m, or 20 × 20 m, or 10 × 40 m. Can be overridden per plot on sheet 1.</t>
  </si>
  <si>
    <t xml:space="preserve">MEDIUM_PLOT_AREA_M2</t>
  </si>
  <si>
    <t xml:space="preserve">Default medium (shrub) plot area. 4 × 4 m = 16 m², or 10 × 10 m = 100 m². Override per plot on sheet 1.</t>
  </si>
  <si>
    <t xml:space="preserve">SMALL_PLOT_AREA_M2</t>
  </si>
  <si>
    <t xml:space="preserve">Default small (ground vegetation) plot area. 1 × 1 m = 1 m², or 0.5 × 0.5 m = 0.25 m². Override per plot on sheet 1.</t>
  </si>
  <si>
    <t xml:space="preserve">TARGET_MARGIN</t>
  </si>
  <si>
    <t xml:space="preserve">Precision target set in Part 2, Step 4. ±20% of the mean by default.</t>
  </si>
  <si>
    <t xml:space="preserve">TARGET_CONFIDENCE</t>
  </si>
  <si>
    <t xml:space="preserve">Confidence level for the target and for all reported intervals.</t>
  </si>
  <si>
    <t xml:space="preserve">BGB_RS_DECIDUOUS_a</t>
  </si>
  <si>
    <t xml:space="preserve">Deciduous root biomass: BGB = a × AGB^b. Trees guide p.17.</t>
  </si>
  <si>
    <t xml:space="preserve">BGB_RS_DECIDUOUS_b</t>
  </si>
  <si>
    <t xml:space="preserve">Exponent for the deciduous relationship.</t>
  </si>
  <si>
    <t xml:space="preserve">BGB_RS_CONIFER</t>
  </si>
  <si>
    <t xml:space="preserve">Conifer root:shoot ratio: BGB = ratio × AGB. Trees guide p.17.</t>
  </si>
  <si>
    <t xml:space="preserve">BGB_FRACTION_MIN</t>
  </si>
  <si>
    <t xml:space="preserve">QC bound. The Trees guide states roots are 18–30% of total tree biomass; anything outside 10–40% is flagged.</t>
  </si>
  <si>
    <t xml:space="preserve">BGB_FRACTION_MAX</t>
  </si>
  <si>
    <t xml:space="preserve">Upper QC bound for the belowground fraction.</t>
  </si>
  <si>
    <t xml:space="preserve">QC_DBH_MAX_CM</t>
  </si>
  <si>
    <t xml:space="preserve">Flag any DBH above this as a likely transcription error.</t>
  </si>
  <si>
    <t xml:space="preserve">QC_BD_MIN</t>
  </si>
  <si>
    <t xml:space="preserve">Minimum plausible bulk density, g/cm³.</t>
  </si>
  <si>
    <t xml:space="preserve">QC_BD_MAX</t>
  </si>
  <si>
    <t xml:space="preserve">Maximum plausible bulk density, g/cm³.</t>
  </si>
  <si>
    <t xml:space="preserve">QC_CARBON_PCT_MAX</t>
  </si>
  <si>
    <t xml:space="preserve">Flag any soil carbon above this per cent — organic horizons reach ~50%, mineral soil far less.</t>
  </si>
  <si>
    <t xml:space="preserve">TREE ALLOMETRIC COEFFICIENTS</t>
  </si>
  <si>
    <t xml:space="preserve">Lambert, M.-C., Ung, C.-H. &amp; Raulier, F. (2005). Canadian national tree aboveground biomass equations. Can. J. For. Res. 35:1996–2018.</t>
  </si>
  <si>
    <t xml:space="preserve">Ung, C.-H., Bernier, P. &amp; Guo, X.-J. (2008). Canadian national biomass equations: new parameter estimates that include British Columbia data. Can. J. For. Res. 38:1123–1232.</t>
  </si>
  <si>
    <t xml:space="preserve">Biomass (kg) of one component = a × DBH^b            when only DBH was measured</t>
  </si>
  <si>
    <t xml:space="preserve">Biomass (kg) of one component = a × DBH^b × height^c  when height was also measured</t>
  </si>
  <si>
    <t xml:space="preserve">Every species has exactly four components, always in this order: wood, bark, branches, foliage. '2. Tree Data' relies on that order — do not re-sort or insert rows.</t>
  </si>
  <si>
    <t xml:space="preserve">TREE_TYPE drives the belowground equation. 'All' is deliberately left generic: see the note below.</t>
  </si>
  <si>
    <t xml:space="preserve">⚠ On the generic 'All' row: the Trees guide gives one root equation for hardwoods and another for softwoods, and nothing for a mixed or unknown species. Choosing 'All' therefore has no defensible root:shoot value. The calculator averages the two relationships and raises a flag. Pick a species, or 'Deciduous'/'Conifers', wherever you can.</t>
  </si>
  <si>
    <t xml:space="preserve">Species (EN)</t>
  </si>
  <si>
    <t xml:space="preserve">Essence (FR)</t>
  </si>
  <si>
    <t xml:space="preserve">Component</t>
  </si>
  <si>
    <t xml:space="preserve">a (DBH only)</t>
  </si>
  <si>
    <t xml:space="preserve">b (DBH only)</t>
  </si>
  <si>
    <t xml:space="preserve">a (DBH+H)</t>
  </si>
  <si>
    <t xml:space="preserve">b (DBH+H)</t>
  </si>
  <si>
    <t xml:space="preserve">c (DBH+H)</t>
  </si>
  <si>
    <t xml:space="preserve">Reference</t>
  </si>
  <si>
    <t xml:space="preserve">SPECIES LIST (dropdown source)</t>
  </si>
  <si>
    <t xml:space="preserve">Deciduous</t>
  </si>
  <si>
    <t xml:space="preserve">Feuillus</t>
  </si>
  <si>
    <t xml:space="preserve">wood</t>
  </si>
  <si>
    <t xml:space="preserve">Ung 2008</t>
  </si>
  <si>
    <t xml:space="preserve">bark</t>
  </si>
  <si>
    <t xml:space="preserve">Conifers</t>
  </si>
  <si>
    <t xml:space="preserve">branches</t>
  </si>
  <si>
    <t xml:space="preserve">All</t>
  </si>
  <si>
    <t xml:space="preserve">foliage</t>
  </si>
  <si>
    <t xml:space="preserve">Conifères</t>
  </si>
  <si>
    <t xml:space="preserve">Balsam poplar</t>
  </si>
  <si>
    <t xml:space="preserve">Basswood</t>
  </si>
  <si>
    <t xml:space="preserve">American beech</t>
  </si>
  <si>
    <t xml:space="preserve">Black ash</t>
  </si>
  <si>
    <t xml:space="preserve">Tous</t>
  </si>
  <si>
    <t xml:space="preserve">Black cherry</t>
  </si>
  <si>
    <t xml:space="preserve">Douglas fir</t>
  </si>
  <si>
    <t xml:space="preserve">Eastern hemlock</t>
  </si>
  <si>
    <t xml:space="preserve">Sapin baumier</t>
  </si>
  <si>
    <t xml:space="preserve">Lambert 2005</t>
  </si>
  <si>
    <t xml:space="preserve">Eastern white cedar</t>
  </si>
  <si>
    <t xml:space="preserve">Eastern white pine</t>
  </si>
  <si>
    <t xml:space="preserve">Engelmann spruce</t>
  </si>
  <si>
    <t xml:space="preserve">Grey birch</t>
  </si>
  <si>
    <t xml:space="preserve">Peuplier baumier</t>
  </si>
  <si>
    <t xml:space="preserve">Hickory</t>
  </si>
  <si>
    <t xml:space="preserve">Hop-Hornbeam</t>
  </si>
  <si>
    <t xml:space="preserve">Largetooth aspen</t>
  </si>
  <si>
    <t xml:space="preserve">Tilleul d'Amérique</t>
  </si>
  <si>
    <t xml:space="preserve">Lodgepole pine</t>
  </si>
  <si>
    <t xml:space="preserve">Pacific silver fir</t>
  </si>
  <si>
    <t xml:space="preserve">Red alder and Black cottonwood</t>
  </si>
  <si>
    <t xml:space="preserve">Red ash</t>
  </si>
  <si>
    <t xml:space="preserve">Hêtre à grandes feuilles</t>
  </si>
  <si>
    <t xml:space="preserve">Red Maple</t>
  </si>
  <si>
    <t xml:space="preserve">Red oak</t>
  </si>
  <si>
    <t xml:space="preserve">Red pine</t>
  </si>
  <si>
    <t xml:space="preserve">Red spruce</t>
  </si>
  <si>
    <t xml:space="preserve">Frêne noir</t>
  </si>
  <si>
    <t xml:space="preserve">Silver maple</t>
  </si>
  <si>
    <t xml:space="preserve">Sitka spruce</t>
  </si>
  <si>
    <t xml:space="preserve">Subalpine fir</t>
  </si>
  <si>
    <t xml:space="preserve">Sugar maple</t>
  </si>
  <si>
    <t xml:space="preserve">Cerisier noir</t>
  </si>
  <si>
    <t xml:space="preserve">Western hemlock</t>
  </si>
  <si>
    <t xml:space="preserve">Western red cedar</t>
  </si>
  <si>
    <t xml:space="preserve">Épinette noire</t>
  </si>
  <si>
    <t xml:space="preserve">White ash</t>
  </si>
  <si>
    <t xml:space="preserve">White elm</t>
  </si>
  <si>
    <t xml:space="preserve">White oak</t>
  </si>
  <si>
    <t xml:space="preserve">Douglas</t>
  </si>
  <si>
    <t xml:space="preserve">Yellow birch</t>
  </si>
  <si>
    <t xml:space="preserve">Pruche du Canada</t>
  </si>
  <si>
    <t xml:space="preserve">Thuya occidental</t>
  </si>
  <si>
    <t xml:space="preserve">Pin blanc</t>
  </si>
  <si>
    <t xml:space="preserve">Épinette d'Engelmann</t>
  </si>
  <si>
    <t xml:space="preserve">Bouleau gris</t>
  </si>
  <si>
    <t xml:space="preserve">Caryer</t>
  </si>
  <si>
    <t xml:space="preserve">Ostryer de Virginie</t>
  </si>
  <si>
    <t xml:space="preserve">Pin gris</t>
  </si>
  <si>
    <t xml:space="preserve">Peuplier à grandes dents</t>
  </si>
  <si>
    <t xml:space="preserve">Pin tordu latifolié</t>
  </si>
  <si>
    <t xml:space="preserve">Sapin gracieux</t>
  </si>
  <si>
    <t xml:space="preserve">Aulne rouge et Peuplier de l'Ouest</t>
  </si>
  <si>
    <t xml:space="preserve">Frêne rouge</t>
  </si>
  <si>
    <t xml:space="preserve">Érable rouge</t>
  </si>
  <si>
    <t xml:space="preserve">Chêne rouge</t>
  </si>
  <si>
    <t xml:space="preserve">Pin rouge</t>
  </si>
  <si>
    <t xml:space="preserve">Épinette rouge</t>
  </si>
  <si>
    <t xml:space="preserve">Érable à grandes feuilles</t>
  </si>
  <si>
    <t xml:space="preserve">Épinette de Sitka</t>
  </si>
  <si>
    <t xml:space="preserve">Sapin subalpin</t>
  </si>
  <si>
    <t xml:space="preserve">Érable à sucre</t>
  </si>
  <si>
    <t xml:space="preserve">Mélèze laricin</t>
  </si>
  <si>
    <t xml:space="preserve">Peuplier faux-tremble</t>
  </si>
  <si>
    <t xml:space="preserve">Pruche de l'Ouest</t>
  </si>
  <si>
    <t xml:space="preserve">Thuya géant</t>
  </si>
  <si>
    <t xml:space="preserve">Frêne blanc</t>
  </si>
  <si>
    <t xml:space="preserve">Bouleau blanc</t>
  </si>
  <si>
    <t xml:space="preserve">Orme blanc</t>
  </si>
  <si>
    <t xml:space="preserve">Chêne blanc</t>
  </si>
  <si>
    <t xml:space="preserve">Épinette blanche</t>
  </si>
  <si>
    <t xml:space="preserve">Bouleau jaune</t>
  </si>
  <si>
    <t xml:space="preserve">UNDERSTORY ALLOMETRIC COEFFICIENTS</t>
  </si>
  <si>
    <t xml:space="preserve">Flade, L. et al. (2020). Allometric equations for shrub and short-stature tree aboveground biomass.</t>
  </si>
  <si>
    <t xml:space="preserve">Biomass (g) = b × x^a, then divided by 1000 to give kg. Coefficients were derived in grams.</t>
  </si>
  <si>
    <t xml:space="preserve">x is the MODEL PARAMETER: for a short-statured tree it is the stem diameter at 0.30 m (cm); for a shrub it is crown volume L × W × H (m³). The two are different quantities — the sheet picks the right one from 'Plant type'.</t>
  </si>
  <si>
    <t xml:space="preserve">⚠ These are ABOVE-ground equations only. No belowground component is included for understory. See '3. Understory Data'.</t>
  </si>
  <si>
    <t xml:space="preserve">Common name</t>
  </si>
  <si>
    <t xml:space="preserve">Scientific name</t>
  </si>
  <si>
    <t xml:space="preserve">b</t>
  </si>
  <si>
    <t xml:space="preserve">a</t>
  </si>
  <si>
    <t xml:space="preserve">NAME LIST (dropdown source)</t>
  </si>
  <si>
    <t xml:space="preserve">all</t>
  </si>
  <si>
    <t xml:space="preserve">Flade et al. (2020)</t>
  </si>
  <si>
    <t xml:space="preserve">Alnus spp</t>
  </si>
  <si>
    <t xml:space="preserve">Betula spp</t>
  </si>
  <si>
    <t xml:space="preserve">Dasiphora fruticosa</t>
  </si>
  <si>
    <t xml:space="preserve">Salix spp</t>
  </si>
  <si>
    <t xml:space="preserve">Shepherdia canadensis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</si>
</sst>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332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1B4332"/>
      <name val="Cambria"/>
      <family val="0"/>
      <charset val="1"/>
    </font>
    <font>
      <b val="true"/>
      <sz val="14"/>
      <color rgb="FF1B4332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name val="Consolas"/>
      <family val="0"/>
      <charset val="1"/>
    </font>
    <font>
      <i val="true"/>
      <sz val="9"/>
      <color rgb="FFAA3333"/>
      <name val="Cambria"/>
      <family val="0"/>
      <charset val="1"/>
    </font>
    <font>
      <sz val="10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CE4E4"/>
        <bgColor rgb="FFEDEDED"/>
      </patternFill>
    </fill>
    <fill>
      <patternFill patternType="solid">
        <fgColor rgb="FF1B43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A3333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 t="s">
        <v>1</v>
      </c>
    </row>
    <row r="3" customFormat="false" ht="15" hidden="false" customHeight="false" outlineLevel="0" collapsed="false">
      <c r="A3" s="3"/>
      <c r="B3" s="2"/>
    </row>
    <row r="4" customFormat="false" ht="23.85" hidden="false" customHeight="false" outlineLevel="0" collapsed="false">
      <c r="A4" s="4" t="s">
        <v>2</v>
      </c>
      <c r="B4" s="2" t="s">
        <v>3</v>
      </c>
    </row>
    <row r="5" customFormat="false" ht="15" hidden="false" customHeight="false" outlineLevel="0" collapsed="false">
      <c r="A5" s="3"/>
      <c r="B5" s="2"/>
    </row>
    <row r="6" customFormat="false" ht="15" hidden="false" customHeight="false" outlineLevel="0" collapsed="false">
      <c r="A6" s="4" t="s">
        <v>4</v>
      </c>
      <c r="B6" s="2"/>
    </row>
    <row r="7" customFormat="false" ht="15" hidden="false" customHeight="false" outlineLevel="0" collapsed="false">
      <c r="A7" s="5" t="s">
        <v>5</v>
      </c>
      <c r="B7" s="2" t="s">
        <v>6</v>
      </c>
    </row>
    <row r="8" customFormat="false" ht="15" hidden="false" customHeight="false" outlineLevel="0" collapsed="false">
      <c r="A8" s="6" t="s">
        <v>7</v>
      </c>
      <c r="B8" s="2" t="s">
        <v>8</v>
      </c>
    </row>
    <row r="9" customFormat="false" ht="15" hidden="false" customHeight="false" outlineLevel="0" collapsed="false">
      <c r="A9" s="7" t="s">
        <v>9</v>
      </c>
      <c r="B9" s="2" t="s">
        <v>10</v>
      </c>
    </row>
    <row r="10" customFormat="false" ht="15" hidden="false" customHeight="false" outlineLevel="0" collapsed="false">
      <c r="A10" s="8" t="s">
        <v>11</v>
      </c>
      <c r="B10" s="2" t="s">
        <v>12</v>
      </c>
    </row>
    <row r="11" customFormat="false" ht="15" hidden="false" customHeight="false" outlineLevel="0" collapsed="false">
      <c r="A11" s="9" t="s">
        <v>13</v>
      </c>
      <c r="B11" s="2" t="s">
        <v>14</v>
      </c>
    </row>
    <row r="12" customFormat="false" ht="15" hidden="false" customHeight="false" outlineLevel="0" collapsed="false">
      <c r="A12" s="3"/>
      <c r="B12" s="2"/>
    </row>
    <row r="13" customFormat="false" ht="15" hidden="false" customHeight="false" outlineLevel="0" collapsed="false">
      <c r="A13" s="4" t="s">
        <v>15</v>
      </c>
      <c r="B13" s="2"/>
    </row>
    <row r="14" customFormat="false" ht="15" hidden="false" customHeight="false" outlineLevel="0" collapsed="false">
      <c r="A14" s="3" t="s">
        <v>16</v>
      </c>
      <c r="B14" s="2" t="s">
        <v>17</v>
      </c>
    </row>
    <row r="15" customFormat="false" ht="15" hidden="false" customHeight="false" outlineLevel="0" collapsed="false">
      <c r="A15" s="3" t="s">
        <v>18</v>
      </c>
      <c r="B15" s="2" t="s">
        <v>19</v>
      </c>
    </row>
    <row r="16" customFormat="false" ht="15" hidden="false" customHeight="false" outlineLevel="0" collapsed="false">
      <c r="A16" s="3" t="s">
        <v>20</v>
      </c>
      <c r="B16" s="2" t="s">
        <v>21</v>
      </c>
    </row>
    <row r="17" customFormat="false" ht="15" hidden="false" customHeight="false" outlineLevel="0" collapsed="false">
      <c r="A17" s="3" t="s">
        <v>22</v>
      </c>
      <c r="B17" s="2" t="s">
        <v>23</v>
      </c>
    </row>
    <row r="18" customFormat="false" ht="15" hidden="false" customHeight="false" outlineLevel="0" collapsed="false">
      <c r="A18" s="3"/>
      <c r="B18" s="2"/>
    </row>
    <row r="19" customFormat="false" ht="23.85" hidden="false" customHeight="false" outlineLevel="0" collapsed="false">
      <c r="A19" s="9" t="s">
        <v>24</v>
      </c>
      <c r="B19" s="2" t="s">
        <v>25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26</v>
      </c>
      <c r="B21" s="2"/>
    </row>
    <row r="22" customFormat="false" ht="15" hidden="false" customHeight="false" outlineLevel="0" collapsed="false">
      <c r="A22" s="4" t="s">
        <v>27</v>
      </c>
      <c r="B22" s="2" t="s">
        <v>28</v>
      </c>
    </row>
    <row r="23" customFormat="false" ht="15" hidden="false" customHeight="false" outlineLevel="0" collapsed="false">
      <c r="A23" s="4" t="s">
        <v>29</v>
      </c>
      <c r="B23" s="2" t="s">
        <v>30</v>
      </c>
    </row>
    <row r="24" customFormat="false" ht="15" hidden="false" customHeight="false" outlineLevel="0" collapsed="false">
      <c r="A24" s="4" t="s">
        <v>31</v>
      </c>
      <c r="B24" s="2" t="s">
        <v>30</v>
      </c>
    </row>
    <row r="25" customFormat="false" ht="15" hidden="false" customHeight="false" outlineLevel="0" collapsed="false">
      <c r="A25" s="4" t="s">
        <v>32</v>
      </c>
      <c r="B25" s="2" t="s">
        <v>33</v>
      </c>
    </row>
    <row r="26" customFormat="false" ht="15" hidden="false" customHeight="false" outlineLevel="0" collapsed="false">
      <c r="A26" s="4" t="s">
        <v>34</v>
      </c>
      <c r="B26" s="2" t="s">
        <v>35</v>
      </c>
    </row>
    <row r="27" customFormat="false" ht="15" hidden="false" customHeight="false" outlineLevel="0" collapsed="false">
      <c r="A27" s="4" t="s">
        <v>36</v>
      </c>
      <c r="B27" s="2" t="s">
        <v>37</v>
      </c>
    </row>
    <row r="28" customFormat="false" ht="15" hidden="false" customHeight="false" outlineLevel="0" collapsed="false">
      <c r="A28" s="4" t="s">
        <v>38</v>
      </c>
      <c r="B28" s="2" t="s">
        <v>39</v>
      </c>
    </row>
    <row r="29" customFormat="false" ht="15" hidden="false" customHeight="false" outlineLevel="0" collapsed="false">
      <c r="A29" s="3"/>
      <c r="B29" s="2"/>
    </row>
    <row r="30" customFormat="false" ht="15" hidden="false" customHeight="false" outlineLevel="0" collapsed="false">
      <c r="A30" s="4" t="s">
        <v>40</v>
      </c>
      <c r="B30" s="2"/>
    </row>
    <row r="31" customFormat="false" ht="15" hidden="false" customHeight="false" outlineLevel="0" collapsed="false">
      <c r="A31" s="4" t="s">
        <v>41</v>
      </c>
      <c r="B31" s="2" t="s">
        <v>42</v>
      </c>
    </row>
    <row r="32" customFormat="false" ht="15" hidden="false" customHeight="false" outlineLevel="0" collapsed="false">
      <c r="A32" s="4" t="s">
        <v>43</v>
      </c>
      <c r="B32" s="2" t="s">
        <v>44</v>
      </c>
    </row>
    <row r="33" customFormat="false" ht="15" hidden="false" customHeight="false" outlineLevel="0" collapsed="false">
      <c r="A33" s="4" t="s">
        <v>45</v>
      </c>
      <c r="B33" s="2" t="s">
        <v>46</v>
      </c>
    </row>
    <row r="34" customFormat="false" ht="15" hidden="false" customHeight="false" outlineLevel="0" collapsed="false">
      <c r="A34" s="4" t="s">
        <v>47</v>
      </c>
      <c r="B34" s="2" t="s">
        <v>48</v>
      </c>
    </row>
    <row r="35" customFormat="false" ht="15" hidden="false" customHeight="false" outlineLevel="0" collapsed="false">
      <c r="A35" s="4" t="s">
        <v>49</v>
      </c>
      <c r="B35" s="2" t="s">
        <v>50</v>
      </c>
    </row>
    <row r="36" customFormat="false" ht="15" hidden="false" customHeight="false" outlineLevel="0" collapsed="false">
      <c r="A36" s="3"/>
      <c r="B36" s="2"/>
    </row>
    <row r="37" customFormat="false" ht="23.85" hidden="false" customHeight="false" outlineLevel="0" collapsed="false">
      <c r="A37" s="4" t="s">
        <v>51</v>
      </c>
      <c r="B37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4" min="12" style="0" width="13"/>
    <col collapsed="false" customWidth="true" hidden="false" outlineLevel="0" max="16" min="15" style="0" width="11"/>
    <col collapsed="false" customWidth="true" hidden="false" outlineLevel="0" max="18" min="17" style="0" width="15"/>
    <col collapsed="false" customWidth="true" hidden="false" outlineLevel="0" max="19" min="19" style="0" width="30"/>
  </cols>
  <sheetData>
    <row r="1" customFormat="false" ht="17.35" hidden="false" customHeight="false" outlineLevel="0" collapsed="false">
      <c r="A1" s="10" t="s">
        <v>53</v>
      </c>
    </row>
    <row r="2" customFormat="false" ht="30" hidden="false" customHeight="true" outlineLevel="0" collapsed="false">
      <c r="A2" s="11" t="s">
        <v>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customFormat="false" ht="42" hidden="false" customHeight="true" outlineLevel="0" collapsed="false">
      <c r="A4" s="12" t="s">
        <v>55</v>
      </c>
      <c r="B4" s="12" t="s">
        <v>56</v>
      </c>
      <c r="C4" s="12" t="s">
        <v>57</v>
      </c>
      <c r="D4" s="12" t="s">
        <v>58</v>
      </c>
      <c r="E4" s="12" t="s">
        <v>59</v>
      </c>
      <c r="F4" s="12" t="s">
        <v>60</v>
      </c>
      <c r="G4" s="12" t="s">
        <v>61</v>
      </c>
      <c r="H4" s="12" t="s">
        <v>62</v>
      </c>
      <c r="I4" s="12" t="s">
        <v>63</v>
      </c>
      <c r="J4" s="12" t="s">
        <v>64</v>
      </c>
      <c r="K4" s="12" t="s">
        <v>65</v>
      </c>
      <c r="L4" s="12" t="s">
        <v>66</v>
      </c>
      <c r="M4" s="12" t="s">
        <v>67</v>
      </c>
      <c r="N4" s="12" t="s">
        <v>68</v>
      </c>
      <c r="O4" s="12" t="s">
        <v>69</v>
      </c>
      <c r="P4" s="12" t="s">
        <v>70</v>
      </c>
      <c r="Q4" s="12" t="s">
        <v>71</v>
      </c>
      <c r="R4" s="12" t="s">
        <v>72</v>
      </c>
      <c r="S4" s="12" t="s">
        <v>73</v>
      </c>
    </row>
    <row r="5" customFormat="false" ht="15" hidden="false" customHeight="false" outlineLevel="0" collapsed="false">
      <c r="A5" s="13" t="s">
        <v>74</v>
      </c>
      <c r="B5" s="13" t="s">
        <v>75</v>
      </c>
      <c r="C5" s="13" t="s">
        <v>76</v>
      </c>
      <c r="D5" s="13" t="s">
        <v>77</v>
      </c>
      <c r="E5" s="13" t="s">
        <v>78</v>
      </c>
      <c r="F5" s="13" t="n">
        <v>51.4412</v>
      </c>
      <c r="G5" s="13" t="n">
        <v>-84.2018</v>
      </c>
      <c r="H5" s="13" t="n">
        <v>0.4</v>
      </c>
      <c r="I5" s="13" t="s">
        <v>79</v>
      </c>
      <c r="J5" s="13" t="n">
        <v>214</v>
      </c>
      <c r="K5" s="13" t="s">
        <v>80</v>
      </c>
      <c r="L5" s="13" t="n">
        <v>400</v>
      </c>
      <c r="M5" s="13" t="n">
        <v>100</v>
      </c>
      <c r="N5" s="13" t="n">
        <v>1</v>
      </c>
      <c r="O5" s="13" t="n">
        <v>3.2</v>
      </c>
      <c r="P5" s="13" t="n">
        <v>-1.8</v>
      </c>
      <c r="Q5" s="13" t="s">
        <v>81</v>
      </c>
      <c r="R5" s="14" t="n">
        <f aca="false">IF($L5="","",IF($Q5="Yes",$L5,IF(OR($O5="",$P5=""),$L5,$L5*COS(RADIANS(ABS($O5)))*COS(RADIANS(ABS($P5))))))</f>
        <v>400</v>
      </c>
      <c r="S5" s="13"/>
    </row>
    <row r="6" customFormat="false" ht="15" hidden="false" customHeight="false" outlineLevel="0" collapsed="false">
      <c r="A6" s="13" t="s">
        <v>82</v>
      </c>
      <c r="B6" s="13" t="s">
        <v>75</v>
      </c>
      <c r="C6" s="13" t="s">
        <v>76</v>
      </c>
      <c r="D6" s="13" t="s">
        <v>77</v>
      </c>
      <c r="E6" s="13" t="s">
        <v>78</v>
      </c>
      <c r="F6" s="13" t="n">
        <v>51.4438</v>
      </c>
      <c r="G6" s="13" t="n">
        <v>-84.1975</v>
      </c>
      <c r="H6" s="13" t="n">
        <v>0.5</v>
      </c>
      <c r="I6" s="13" t="s">
        <v>79</v>
      </c>
      <c r="J6" s="13" t="n">
        <v>219</v>
      </c>
      <c r="K6" s="13" t="s">
        <v>80</v>
      </c>
      <c r="L6" s="13" t="n">
        <v>400</v>
      </c>
      <c r="M6" s="13" t="n">
        <v>100</v>
      </c>
      <c r="N6" s="13" t="n">
        <v>1</v>
      </c>
      <c r="O6" s="13" t="n">
        <v>6.1</v>
      </c>
      <c r="P6" s="13" t="n">
        <v>2.4</v>
      </c>
      <c r="Q6" s="13" t="s">
        <v>81</v>
      </c>
      <c r="R6" s="14" t="n">
        <f aca="false">IF($L6="","",IF($Q6="Yes",$L6,IF(OR($O6="",$P6=""),$L6,$L6*COS(RADIANS(ABS($O6)))*COS(RADIANS(ABS($P6))))))</f>
        <v>400</v>
      </c>
      <c r="S6" s="13"/>
    </row>
    <row r="7" customFormat="false" ht="15" hidden="false" customHeight="false" outlineLevel="0" collapsed="false">
      <c r="A7" s="13" t="s">
        <v>83</v>
      </c>
      <c r="B7" s="13" t="s">
        <v>75</v>
      </c>
      <c r="C7" s="13" t="s">
        <v>76</v>
      </c>
      <c r="D7" s="13" t="s">
        <v>84</v>
      </c>
      <c r="E7" s="13" t="s">
        <v>78</v>
      </c>
      <c r="F7" s="13" t="n">
        <v>51.4401</v>
      </c>
      <c r="G7" s="13" t="n">
        <v>-84.1932</v>
      </c>
      <c r="H7" s="13" t="n">
        <v>0.4</v>
      </c>
      <c r="I7" s="13" t="s">
        <v>79</v>
      </c>
      <c r="J7" s="13" t="n">
        <v>208</v>
      </c>
      <c r="K7" s="13" t="s">
        <v>80</v>
      </c>
      <c r="L7" s="13" t="n">
        <v>400</v>
      </c>
      <c r="M7" s="13" t="n">
        <v>100</v>
      </c>
      <c r="N7" s="13" t="n">
        <v>1</v>
      </c>
      <c r="O7" s="13" t="n">
        <v>11.5</v>
      </c>
      <c r="P7" s="13" t="n">
        <v>4</v>
      </c>
      <c r="Q7" s="13" t="s">
        <v>85</v>
      </c>
      <c r="R7" s="14" t="n">
        <f aca="false">IF($L7="","",IF($Q7="Yes",$L7,IF(OR($O7="",$P7=""),$L7,$L7*COS(RADIANS(ABS($O7)))*COS(RADIANS(ABS($P7))))))</f>
        <v>391.015062916487</v>
      </c>
      <c r="S7" s="13"/>
    </row>
    <row r="8" customFormat="false" ht="15" hidden="false" customHeight="false" outlineLevel="0" collapsed="false">
      <c r="A8" s="13" t="s">
        <v>86</v>
      </c>
      <c r="B8" s="13" t="s">
        <v>87</v>
      </c>
      <c r="C8" s="13" t="s">
        <v>76</v>
      </c>
      <c r="D8" s="13" t="s">
        <v>88</v>
      </c>
      <c r="E8" s="13" t="s">
        <v>89</v>
      </c>
      <c r="F8" s="13" t="n">
        <v>51.4288</v>
      </c>
      <c r="G8" s="13" t="n">
        <v>-84.2211</v>
      </c>
      <c r="H8" s="13" t="n">
        <v>0.6</v>
      </c>
      <c r="I8" s="13" t="s">
        <v>79</v>
      </c>
      <c r="J8" s="13" t="n">
        <v>186</v>
      </c>
      <c r="K8" s="13" t="s">
        <v>90</v>
      </c>
      <c r="L8" s="13" t="n">
        <v>400</v>
      </c>
      <c r="M8" s="13" t="n">
        <v>100</v>
      </c>
      <c r="N8" s="13" t="n">
        <v>1</v>
      </c>
      <c r="O8" s="13" t="n">
        <v>1.1</v>
      </c>
      <c r="P8" s="13" t="n">
        <v>-0.7</v>
      </c>
      <c r="Q8" s="13" t="s">
        <v>81</v>
      </c>
      <c r="R8" s="14" t="n">
        <f aca="false">IF($L8="","",IF($Q8="Yes",$L8,IF(OR($O8="",$P8=""),$L8,$L8*COS(RADIANS(ABS($O8)))*COS(RADIANS(ABS($P8))))))</f>
        <v>400</v>
      </c>
      <c r="S8" s="13"/>
    </row>
    <row r="9" customFormat="false" ht="15" hidden="false" customHeight="false" outlineLevel="0" collapsed="false">
      <c r="A9" s="13" t="s">
        <v>91</v>
      </c>
      <c r="B9" s="13" t="s">
        <v>87</v>
      </c>
      <c r="C9" s="13" t="s">
        <v>76</v>
      </c>
      <c r="D9" s="13" t="s">
        <v>88</v>
      </c>
      <c r="E9" s="13" t="s">
        <v>89</v>
      </c>
      <c r="F9" s="13" t="n">
        <v>51.4265</v>
      </c>
      <c r="G9" s="13" t="n">
        <v>-84.2168</v>
      </c>
      <c r="H9" s="13" t="n">
        <v>0.5</v>
      </c>
      <c r="I9" s="13" t="s">
        <v>79</v>
      </c>
      <c r="J9" s="13" t="n">
        <v>184</v>
      </c>
      <c r="K9" s="13" t="s">
        <v>90</v>
      </c>
      <c r="L9" s="13" t="n">
        <v>400</v>
      </c>
      <c r="M9" s="13" t="n">
        <v>100</v>
      </c>
      <c r="N9" s="13" t="n">
        <v>1</v>
      </c>
      <c r="O9" s="13" t="n">
        <v>2</v>
      </c>
      <c r="P9" s="13" t="n">
        <v>1.2</v>
      </c>
      <c r="Q9" s="13" t="s">
        <v>81</v>
      </c>
      <c r="R9" s="14" t="n">
        <f aca="false">IF($L9="","",IF($Q9="Yes",$L9,IF(OR($O9="",$P9=""),$L9,$L9*COS(RADIANS(ABS($O9)))*COS(RADIANS(ABS($P9))))))</f>
        <v>400</v>
      </c>
      <c r="S9" s="13"/>
    </row>
    <row r="10" customFormat="false" ht="15" hidden="false" customHeight="false" outlineLevel="0" collapsed="false">
      <c r="A10" s="13" t="s">
        <v>92</v>
      </c>
      <c r="B10" s="13" t="s">
        <v>87</v>
      </c>
      <c r="C10" s="13" t="s">
        <v>76</v>
      </c>
      <c r="D10" s="13" t="s">
        <v>93</v>
      </c>
      <c r="E10" s="13" t="s">
        <v>89</v>
      </c>
      <c r="F10" s="13" t="n">
        <v>51.4301</v>
      </c>
      <c r="G10" s="13" t="n">
        <v>-84.2245</v>
      </c>
      <c r="H10" s="13" t="n">
        <v>0.7</v>
      </c>
      <c r="I10" s="13" t="s">
        <v>79</v>
      </c>
      <c r="J10" s="13" t="n">
        <v>188</v>
      </c>
      <c r="K10" s="13" t="s">
        <v>90</v>
      </c>
      <c r="L10" s="13" t="n">
        <v>400</v>
      </c>
      <c r="M10" s="13" t="n">
        <v>100</v>
      </c>
      <c r="N10" s="13" t="n">
        <v>1</v>
      </c>
      <c r="O10" s="13" t="n">
        <v>0.8</v>
      </c>
      <c r="P10" s="13" t="n">
        <v>-0.4</v>
      </c>
      <c r="Q10" s="13" t="s">
        <v>81</v>
      </c>
      <c r="R10" s="14" t="n">
        <f aca="false">IF($L10="","",IF($Q10="Yes",$L10,IF(OR($O10="",$P10=""),$L10,$L10*COS(RADIANS(ABS($O10)))*COS(RADIANS(ABS($P10))))))</f>
        <v>400</v>
      </c>
      <c r="S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4" t="str">
        <f aca="false">IF($L11="","",IF($Q11="Yes",$L11,IF(OR($O11="",$P11=""),$L11,$L11*COS(RADIANS(ABS($O11)))*COS(RADIANS(ABS($P11))))))</f>
        <v/>
      </c>
      <c r="S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4" t="str">
        <f aca="false">IF($L12="","",IF($Q12="Yes",$L12,IF(OR($O12="",$P12=""),$L12,$L12*COS(RADIANS(ABS($O12)))*COS(RADIANS(ABS($P12))))))</f>
        <v/>
      </c>
      <c r="S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4" t="str">
        <f aca="false">IF($L13="","",IF($Q13="Yes",$L13,IF(OR($O13="",$P13=""),$L13,$L13*COS(RADIANS(ABS($O13)))*COS(RADIANS(ABS($P13))))))</f>
        <v/>
      </c>
      <c r="S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4" t="str">
        <f aca="false">IF($L14="","",IF($Q14="Yes",$L14,IF(OR($O14="",$P14=""),$L14,$L14*COS(RADIANS(ABS($O14)))*COS(RADIANS(ABS($P14))))))</f>
        <v/>
      </c>
      <c r="S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4" t="str">
        <f aca="false">IF($L15="","",IF($Q15="Yes",$L15,IF(OR($O15="",$P15=""),$L15,$L15*COS(RADIANS(ABS($O15)))*COS(RADIANS(ABS($P15))))))</f>
        <v/>
      </c>
      <c r="S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4" t="str">
        <f aca="false">IF($L16="","",IF($Q16="Yes",$L16,IF(OR($O16="",$P16=""),$L16,$L16*COS(RADIANS(ABS($O16)))*COS(RADIANS(ABS($P16))))))</f>
        <v/>
      </c>
      <c r="S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4" t="str">
        <f aca="false">IF($L17="","",IF($Q17="Yes",$L17,IF(OR($O17="",$P17=""),$L17,$L17*COS(RADIANS(ABS($O17)))*COS(RADIANS(ABS($P17))))))</f>
        <v/>
      </c>
      <c r="S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" t="str">
        <f aca="false">IF($L18="","",IF($Q18="Yes",$L18,IF(OR($O18="",$P18=""),$L18,$L18*COS(RADIANS(ABS($O18)))*COS(RADIANS(ABS($P18))))))</f>
        <v/>
      </c>
      <c r="S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 t="str">
        <f aca="false">IF($L19="","",IF($Q19="Yes",$L19,IF(OR($O19="",$P19=""),$L19,$L19*COS(RADIANS(ABS($O19)))*COS(RADIANS(ABS($P19))))))</f>
        <v/>
      </c>
      <c r="S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4" t="str">
        <f aca="false">IF($L20="","",IF($Q20="Yes",$L20,IF(OR($O20="",$P20=""),$L20,$L20*COS(RADIANS(ABS($O20)))*COS(RADIANS(ABS($P20))))))</f>
        <v/>
      </c>
      <c r="S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4" t="str">
        <f aca="false">IF($L21="","",IF($Q21="Yes",$L21,IF(OR($O21="",$P21=""),$L21,$L21*COS(RADIANS(ABS($O21)))*COS(RADIANS(ABS($P21))))))</f>
        <v/>
      </c>
      <c r="S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 t="str">
        <f aca="false">IF($L22="","",IF($Q22="Yes",$L22,IF(OR($O22="",$P22=""),$L22,$L22*COS(RADIANS(ABS($O22)))*COS(RADIANS(ABS($P22))))))</f>
        <v/>
      </c>
      <c r="S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 t="str">
        <f aca="false">IF($L23="","",IF($Q23="Yes",$L23,IF(OR($O23="",$P23=""),$L23,$L23*COS(RADIANS(ABS($O23)))*COS(RADIANS(ABS($P23))))))</f>
        <v/>
      </c>
      <c r="S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 t="str">
        <f aca="false">IF($L24="","",IF($Q24="Yes",$L24,IF(OR($O24="",$P24=""),$L24,$L24*COS(RADIANS(ABS($O24)))*COS(RADIANS(ABS($P24))))))</f>
        <v/>
      </c>
      <c r="S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 t="str">
        <f aca="false">IF($L25="","",IF($Q25="Yes",$L25,IF(OR($O25="",$P25=""),$L25,$L25*COS(RADIANS(ABS($O25)))*COS(RADIANS(ABS($P25))))))</f>
        <v/>
      </c>
      <c r="S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 t="str">
        <f aca="false">IF($L26="","",IF($Q26="Yes",$L26,IF(OR($O26="",$P26=""),$L26,$L26*COS(RADIANS(ABS($O26)))*COS(RADIANS(ABS($P26))))))</f>
        <v/>
      </c>
      <c r="S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" t="str">
        <f aca="false">IF($L27="","",IF($Q27="Yes",$L27,IF(OR($O27="",$P27=""),$L27,$L27*COS(RADIANS(ABS($O27)))*COS(RADIANS(ABS($P27))))))</f>
        <v/>
      </c>
      <c r="S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4" t="str">
        <f aca="false">IF($L28="","",IF($Q28="Yes",$L28,IF(OR($O28="",$P28=""),$L28,$L28*COS(RADIANS(ABS($O28)))*COS(RADIANS(ABS($P28))))))</f>
        <v/>
      </c>
      <c r="S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 t="str">
        <f aca="false">IF($L29="","",IF($Q29="Yes",$L29,IF(OR($O29="",$P29=""),$L29,$L29*COS(RADIANS(ABS($O29)))*COS(RADIANS(ABS($P29))))))</f>
        <v/>
      </c>
      <c r="S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 t="str">
        <f aca="false">IF($L30="","",IF($Q30="Yes",$L30,IF(OR($O30="",$P30=""),$L30,$L30*COS(RADIANS(ABS($O30)))*COS(RADIANS(ABS($P30))))))</f>
        <v/>
      </c>
      <c r="S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 t="str">
        <f aca="false">IF($L31="","",IF($Q31="Yes",$L31,IF(OR($O31="",$P31=""),$L31,$L31*COS(RADIANS(ABS($O31)))*COS(RADIANS(ABS($P31))))))</f>
        <v/>
      </c>
      <c r="S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4" t="str">
        <f aca="false">IF($L32="","",IF($Q32="Yes",$L32,IF(OR($O32="",$P32=""),$L32,$L32*COS(RADIANS(ABS($O32)))*COS(RADIANS(ABS($P32))))))</f>
        <v/>
      </c>
      <c r="S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4" t="str">
        <f aca="false">IF($L33="","",IF($Q33="Yes",$L33,IF(OR($O33="",$P33=""),$L33,$L33*COS(RADIANS(ABS($O33)))*COS(RADIANS(ABS($P33))))))</f>
        <v/>
      </c>
      <c r="S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4" t="str">
        <f aca="false">IF($L34="","",IF($Q34="Yes",$L34,IF(OR($O34="",$P34=""),$L34,$L34*COS(RADIANS(ABS($O34)))*COS(RADIANS(ABS($P34))))))</f>
        <v/>
      </c>
      <c r="S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4" t="str">
        <f aca="false">IF($L35="","",IF($Q35="Yes",$L35,IF(OR($O35="",$P35=""),$L35,$L35*COS(RADIANS(ABS($O35)))*COS(RADIANS(ABS($P35))))))</f>
        <v/>
      </c>
      <c r="S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 t="str">
        <f aca="false">IF($L36="","",IF($Q36="Yes",$L36,IF(OR($O36="",$P36=""),$L36,$L36*COS(RADIANS(ABS($O36)))*COS(RADIANS(ABS($P36))))))</f>
        <v/>
      </c>
      <c r="S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 t="str">
        <f aca="false">IF($L37="","",IF($Q37="Yes",$L37,IF(OR($O37="",$P37=""),$L37,$L37*COS(RADIANS(ABS($O37)))*COS(RADIANS(ABS($P37))))))</f>
        <v/>
      </c>
      <c r="S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 t="str">
        <f aca="false">IF($L38="","",IF($Q38="Yes",$L38,IF(OR($O38="",$P38=""),$L38,$L38*COS(RADIANS(ABS($O38)))*COS(RADIANS(ABS($P38))))))</f>
        <v/>
      </c>
      <c r="S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" t="str">
        <f aca="false">IF($L39="","",IF($Q39="Yes",$L39,IF(OR($O39="",$P39=""),$L39,$L39*COS(RADIANS(ABS($O39)))*COS(RADIANS(ABS($P39))))))</f>
        <v/>
      </c>
      <c r="S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" t="str">
        <f aca="false">IF($L40="","",IF($Q40="Yes",$L40,IF(OR($O40="",$P40=""),$L40,$L40*COS(RADIANS(ABS($O40)))*COS(RADIANS(ABS($P40))))))</f>
        <v/>
      </c>
      <c r="S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 t="str">
        <f aca="false">IF($L41="","",IF($Q41="Yes",$L41,IF(OR($O41="",$P41=""),$L41,$L41*COS(RADIANS(ABS($O41)))*COS(RADIANS(ABS($P41))))))</f>
        <v/>
      </c>
      <c r="S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" t="str">
        <f aca="false">IF($L42="","",IF($Q42="Yes",$L42,IF(OR($O42="",$P42=""),$L42,$L42*COS(RADIANS(ABS($O42)))*COS(RADIANS(ABS($P42))))))</f>
        <v/>
      </c>
      <c r="S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" t="str">
        <f aca="false">IF($L43="","",IF($Q43="Yes",$L43,IF(OR($O43="",$P43=""),$L43,$L43*COS(RADIANS(ABS($O43)))*COS(RADIANS(ABS($P43))))))</f>
        <v/>
      </c>
      <c r="S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4" t="str">
        <f aca="false">IF($L44="","",IF($Q44="Yes",$L44,IF(OR($O44="",$P44=""),$L44,$L44*COS(RADIANS(ABS($O44)))*COS(RADIANS(ABS($P44))))))</f>
        <v/>
      </c>
      <c r="S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" t="str">
        <f aca="false">IF($L45="","",IF($Q45="Yes",$L45,IF(OR($O45="",$P45=""),$L45,$L45*COS(RADIANS(ABS($O45)))*COS(RADIANS(ABS($P45))))))</f>
        <v/>
      </c>
      <c r="S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 t="str">
        <f aca="false">IF($L46="","",IF($Q46="Yes",$L46,IF(OR($O46="",$P46=""),$L46,$L46*COS(RADIANS(ABS($O46)))*COS(RADIANS(ABS($P46))))))</f>
        <v/>
      </c>
      <c r="S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" t="str">
        <f aca="false">IF($L47="","",IF($Q47="Yes",$L47,IF(OR($O47="",$P47=""),$L47,$L47*COS(RADIANS(ABS($O47)))*COS(RADIANS(ABS($P47))))))</f>
        <v/>
      </c>
      <c r="S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4" t="str">
        <f aca="false">IF($L48="","",IF($Q48="Yes",$L48,IF(OR($O48="",$P48=""),$L48,$L48*COS(RADIANS(ABS($O48)))*COS(RADIANS(ABS($P48))))))</f>
        <v/>
      </c>
      <c r="S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4" t="str">
        <f aca="false">IF($L49="","",IF($Q49="Yes",$L49,IF(OR($O49="",$P49=""),$L49,$L49*COS(RADIANS(ABS($O49)))*COS(RADIANS(ABS($P49))))))</f>
        <v/>
      </c>
      <c r="S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 t="str">
        <f aca="false">IF($L50="","",IF($Q50="Yes",$L50,IF(OR($O50="",$P50=""),$L50,$L50*COS(RADIANS(ABS($O50)))*COS(RADIANS(ABS($P50))))))</f>
        <v/>
      </c>
      <c r="S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4" t="str">
        <f aca="false">IF($L51="","",IF($Q51="Yes",$L51,IF(OR($O51="",$P51=""),$L51,$L51*COS(RADIANS(ABS($O51)))*COS(RADIANS(ABS($P51))))))</f>
        <v/>
      </c>
      <c r="S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4" t="str">
        <f aca="false">IF($L52="","",IF($Q52="Yes",$L52,IF(OR($O52="",$P52=""),$L52,$L52*COS(RADIANS(ABS($O52)))*COS(RADIANS(ABS($P52))))))</f>
        <v/>
      </c>
      <c r="S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4" t="str">
        <f aca="false">IF($L53="","",IF($Q53="Yes",$L53,IF(OR($O53="",$P53=""),$L53,$L53*COS(RADIANS(ABS($O53)))*COS(RADIANS(ABS($P53))))))</f>
        <v/>
      </c>
      <c r="S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4" t="str">
        <f aca="false">IF($L54="","",IF($Q54="Yes",$L54,IF(OR($O54="",$P54=""),$L54,$L54*COS(RADIANS(ABS($O54)))*COS(RADIANS(ABS($P54))))))</f>
        <v/>
      </c>
      <c r="S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4" t="str">
        <f aca="false">IF($L55="","",IF($Q55="Yes",$L55,IF(OR($O55="",$P55=""),$L55,$L55*COS(RADIANS(ABS($O55)))*COS(RADIANS(ABS($P55))))))</f>
        <v/>
      </c>
      <c r="S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" t="str">
        <f aca="false">IF($L56="","",IF($Q56="Yes",$L56,IF(OR($O56="",$P56=""),$L56,$L56*COS(RADIANS(ABS($O56)))*COS(RADIANS(ABS($P56))))))</f>
        <v/>
      </c>
      <c r="S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4" t="str">
        <f aca="false">IF($L57="","",IF($Q57="Yes",$L57,IF(OR($O57="",$P57=""),$L57,$L57*COS(RADIANS(ABS($O57)))*COS(RADIANS(ABS($P57))))))</f>
        <v/>
      </c>
      <c r="S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" t="str">
        <f aca="false">IF($L58="","",IF($Q58="Yes",$L58,IF(OR($O58="",$P58=""),$L58,$L58*COS(RADIANS(ABS($O58)))*COS(RADIANS(ABS($P58))))))</f>
        <v/>
      </c>
      <c r="S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" t="str">
        <f aca="false">IF($L59="","",IF($Q59="Yes",$L59,IF(OR($O59="",$P59=""),$L59,$L59*COS(RADIANS(ABS($O59)))*COS(RADIANS(ABS($P59))))))</f>
        <v/>
      </c>
      <c r="S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 t="str">
        <f aca="false">IF($L60="","",IF($Q60="Yes",$L60,IF(OR($O60="",$P60=""),$L60,$L60*COS(RADIANS(ABS($O60)))*COS(RADIANS(ABS($P60))))))</f>
        <v/>
      </c>
      <c r="S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4" t="str">
        <f aca="false">IF($L61="","",IF($Q61="Yes",$L61,IF(OR($O61="",$P61=""),$L61,$L61*COS(RADIANS(ABS($O61)))*COS(RADIANS(ABS($P61))))))</f>
        <v/>
      </c>
      <c r="S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4" t="str">
        <f aca="false">IF($L62="","",IF($Q62="Yes",$L62,IF(OR($O62="",$P62=""),$L62,$L62*COS(RADIANS(ABS($O62)))*COS(RADIANS(ABS($P62))))))</f>
        <v/>
      </c>
      <c r="S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" t="str">
        <f aca="false">IF($L63="","",IF($Q63="Yes",$L63,IF(OR($O63="",$P63=""),$L63,$L63*COS(RADIANS(ABS($O63)))*COS(RADIANS(ABS($P63))))))</f>
        <v/>
      </c>
      <c r="S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4" t="str">
        <f aca="false">IF($L64="","",IF($Q64="Yes",$L64,IF(OR($O64="",$P64=""),$L64,$L64*COS(RADIANS(ABS($O64)))*COS(RADIANS(ABS($P64))))))</f>
        <v/>
      </c>
      <c r="S64" s="13"/>
    </row>
  </sheetData>
  <mergeCells count="1">
    <mergeCell ref="A2:S2"/>
  </mergeCells>
  <dataValidations count="2">
    <dataValidation allowBlank="true" errorStyle="stop" operator="between" showDropDown="false" showErrorMessage="false" showInputMessage="false" sqref="K5:K64" type="list">
      <formula1>"circular,square,rectangular"</formula1>
      <formula2>0</formula2>
    </dataValidation>
    <dataValidation allowBlank="true" errorStyle="stop" operator="between" showDropDown="false" showErrorMessage="false" showInputMessage="false" sqref="Q5:Q6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3" min="12" style="0" width="15"/>
    <col collapsed="false" customWidth="true" hidden="false" outlineLevel="0" max="14" min="14" style="0" width="14"/>
    <col collapsed="false" customWidth="true" hidden="false" outlineLevel="0" max="15" min="15" style="0" width="40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10" t="s">
        <v>94</v>
      </c>
    </row>
    <row r="2" customFormat="false" ht="30" hidden="false" customHeight="true" outlineLevel="0" collapsed="false">
      <c r="A2" s="11" t="s">
        <v>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customFormat="false" ht="42" hidden="false" customHeight="true" outlineLevel="0" collapsed="false">
      <c r="A4" s="12" t="s">
        <v>96</v>
      </c>
      <c r="B4" s="12" t="s">
        <v>55</v>
      </c>
      <c r="C4" s="12" t="s">
        <v>60</v>
      </c>
      <c r="D4" s="12" t="s">
        <v>61</v>
      </c>
      <c r="E4" s="12" t="s">
        <v>97</v>
      </c>
      <c r="F4" s="12" t="s">
        <v>98</v>
      </c>
      <c r="G4" s="12" t="s">
        <v>99</v>
      </c>
      <c r="H4" s="12" t="s">
        <v>100</v>
      </c>
      <c r="I4" s="12" t="s">
        <v>101</v>
      </c>
      <c r="J4" s="12" t="s">
        <v>102</v>
      </c>
      <c r="K4" s="12" t="s">
        <v>103</v>
      </c>
      <c r="L4" s="12" t="s">
        <v>104</v>
      </c>
      <c r="M4" s="12" t="s">
        <v>105</v>
      </c>
      <c r="N4" s="12" t="s">
        <v>106</v>
      </c>
      <c r="O4" s="12" t="s">
        <v>107</v>
      </c>
      <c r="P4" s="12" t="s">
        <v>73</v>
      </c>
    </row>
    <row r="5" customFormat="false" ht="15" hidden="false" customHeight="false" outlineLevel="0" collapsed="false">
      <c r="A5" s="13" t="s">
        <v>108</v>
      </c>
      <c r="B5" s="13" t="s">
        <v>74</v>
      </c>
      <c r="C5" s="13" t="n">
        <v>51.4225</v>
      </c>
      <c r="D5" s="13" t="n">
        <v>-84.20415</v>
      </c>
      <c r="E5" s="13" t="s">
        <v>109</v>
      </c>
      <c r="F5" s="13" t="n">
        <v>50</v>
      </c>
      <c r="G5" s="13" t="n">
        <v>49</v>
      </c>
      <c r="H5" s="14" t="n">
        <f aca="false">IF(OR($F5="",$G5="",$G5=0),"",$F5/$G5)</f>
        <v>1.02040816326531</v>
      </c>
      <c r="I5" s="13" t="n">
        <v>50</v>
      </c>
      <c r="J5" s="13" t="s">
        <v>81</v>
      </c>
      <c r="K5" s="14" t="n">
        <f aca="false">IF($A5="","",IF(SUMPRODUCT(MAX(('5. Soil Data'!$B$5:$B$504=$A5)*'5. Soil Data'!$E$5:$E$504))=0,"",SUMPRODUCT(MAX(('5. Soil Data'!$B$5:$B$504=$A5)*'5. Soil Data'!$E$5:$E$504))))</f>
        <v>50</v>
      </c>
      <c r="L5" s="14" t="n">
        <f aca="false">IF($A5="","",IFERROR(SUMIFS('5. Soil Data'!$O$5:$O$504,'5. Soil Data'!$B$5:$B$504,$A5),""))</f>
        <v>10.470085</v>
      </c>
      <c r="M5" s="14" t="n">
        <f aca="false">IF($A5="","",IFERROR(SUMIFS('5. Soil Data'!$P$5:$P$504,'5. Soil Data'!$B$5:$B$504,$A5),""))</f>
        <v>12.303385</v>
      </c>
      <c r="N5" s="14" t="str">
        <f aca="false">IF($K5="","",IF($K5&gt;=REPORTING_DEPTH_CM,"Yes","No"))</f>
        <v>Yes</v>
      </c>
      <c r="O5" s="14" t="str">
        <f aca="false">IF($A5="","",IF(AND($B5&lt;&gt;"",COUNTIF('1. Plot &amp; Site Log'!$A$5:$A$64,$B5)=0),"Plot ID not in Plot &amp; Site Log. ","")&amp;IF($K5="","No soil slices logged for this core. ","")&amp;IF($N5="No","Core stops short of the reporting depth — its depth-limited stock is an underestimate. ","")&amp;IF(AND($H5&lt;&gt;"",$H5&gt;1.05),"Core compacted by "&amp;TEXT(($H5-1)*100,"0")&amp;"%: slice depths in the tube sit shallower than in the ground, so the depth-limited stock is biased. Full-core stock is unaffected. ","")&amp;IF(AND($H5&lt;&gt;"",$H5&lt;0.98),"Core length exceeds hole depth — check the two measurements. ",""))</f>
        <v/>
      </c>
      <c r="P5" s="13"/>
    </row>
    <row r="6" customFormat="false" ht="15" hidden="false" customHeight="false" outlineLevel="0" collapsed="false">
      <c r="A6" s="13" t="s">
        <v>110</v>
      </c>
      <c r="B6" s="13" t="s">
        <v>74</v>
      </c>
      <c r="C6" s="13" t="n">
        <v>51.43711</v>
      </c>
      <c r="D6" s="13" t="n">
        <v>-84.20424</v>
      </c>
      <c r="E6" s="13" t="s">
        <v>109</v>
      </c>
      <c r="F6" s="13" t="n">
        <v>30</v>
      </c>
      <c r="G6" s="13" t="n">
        <v>27.5</v>
      </c>
      <c r="H6" s="14" t="n">
        <f aca="false">IF(OR($F6="",$G6="",$G6=0),"",$F6/$G6)</f>
        <v>1.09090909090909</v>
      </c>
      <c r="I6" s="13" t="n">
        <v>30</v>
      </c>
      <c r="J6" s="13" t="s">
        <v>81</v>
      </c>
      <c r="K6" s="14" t="n">
        <f aca="false">IF($A6="","",IF(SUMPRODUCT(MAX(('5. Soil Data'!$B$5:$B$504=$A6)*'5. Soil Data'!$E$5:$E$504))=0,"",SUMPRODUCT(MAX(('5. Soil Data'!$B$5:$B$504=$A6)*'5. Soil Data'!$E$5:$E$504))))</f>
        <v>30</v>
      </c>
      <c r="L6" s="14" t="n">
        <f aca="false">IF($A6="","",IFERROR(SUMIFS('5. Soil Data'!$O$5:$O$504,'5. Soil Data'!$B$5:$B$504,$A6),""))</f>
        <v>10.621455</v>
      </c>
      <c r="M6" s="14" t="n">
        <f aca="false">IF($A6="","",IFERROR(SUMIFS('5. Soil Data'!$P$5:$P$504,'5. Soil Data'!$B$5:$B$504,$A6),""))</f>
        <v>10.621455</v>
      </c>
      <c r="N6" s="14" t="str">
        <f aca="false">IF($K6="","",IF($K6&gt;=REPORTING_DEPTH_CM,"Yes","No"))</f>
        <v>Yes</v>
      </c>
      <c r="O6" s="14" t="str">
        <f aca="false">IF($A6="","",IF(AND($B6&lt;&gt;"",COUNTIF('1. Plot &amp; Site Log'!$A$5:$A$64,$B6)=0),"Plot ID not in Plot &amp; Site Log. ","")&amp;IF($K6="","No soil slices logged for this core. ","")&amp;IF($N6="No","Core stops short of the reporting depth — its depth-limited stock is an underestimate. ","")&amp;IF(AND($H6&lt;&gt;"",$H6&gt;1.05),"Core compacted by "&amp;TEXT(($H6-1)*100,"0")&amp;"%: slice depths in the tube sit shallower than in the ground, so the depth-limited stock is biased. Full-core stock is unaffected. ","")&amp;IF(AND($H6&lt;&gt;"",$H6&lt;0.98),"Core length exceeds hole depth — check the two measurements. ",""))</f>
        <v>Core compacted by 9%: slice depths in the tube sit shallower than in the ground, so the depth-limited stock is biased. Full-core stock is unaffected. </v>
      </c>
      <c r="P6" s="13"/>
    </row>
    <row r="7" customFormat="false" ht="15" hidden="false" customHeight="false" outlineLevel="0" collapsed="false">
      <c r="A7" s="13" t="s">
        <v>111</v>
      </c>
      <c r="B7" s="13" t="s">
        <v>82</v>
      </c>
      <c r="C7" s="13" t="n">
        <v>51.4357</v>
      </c>
      <c r="D7" s="13" t="n">
        <v>-84.20137</v>
      </c>
      <c r="E7" s="13" t="s">
        <v>109</v>
      </c>
      <c r="F7" s="13" t="n">
        <v>40</v>
      </c>
      <c r="G7" s="13" t="n">
        <v>36.8</v>
      </c>
      <c r="H7" s="14" t="n">
        <f aca="false">IF(OR($F7="",$G7="",$G7=0),"",$F7/$G7)</f>
        <v>1.08695652173913</v>
      </c>
      <c r="I7" s="13" t="n">
        <v>40</v>
      </c>
      <c r="J7" s="13" t="s">
        <v>81</v>
      </c>
      <c r="K7" s="14" t="n">
        <f aca="false">IF($A7="","",IF(SUMPRODUCT(MAX(('5. Soil Data'!$B$5:$B$504=$A7)*'5. Soil Data'!$E$5:$E$504))=0,"",SUMPRODUCT(MAX(('5. Soil Data'!$B$5:$B$504=$A7)*'5. Soil Data'!$E$5:$E$504))))</f>
        <v>40</v>
      </c>
      <c r="L7" s="14" t="n">
        <f aca="false">IF($A7="","",IFERROR(SUMIFS('5. Soil Data'!$O$5:$O$504,'5. Soil Data'!$B$5:$B$504,$A7),""))</f>
        <v>10.50648</v>
      </c>
      <c r="M7" s="14" t="n">
        <f aca="false">IF($A7="","",IFERROR(SUMIFS('5. Soil Data'!$P$5:$P$504,'5. Soil Data'!$B$5:$B$504,$A7),""))</f>
        <v>11.32278</v>
      </c>
      <c r="N7" s="14" t="str">
        <f aca="false">IF($K7="","",IF($K7&gt;=REPORTING_DEPTH_CM,"Yes","No"))</f>
        <v>Yes</v>
      </c>
      <c r="O7" s="14" t="str">
        <f aca="false">IF($A7="","",IF(AND($B7&lt;&gt;"",COUNTIF('1. Plot &amp; Site Log'!$A$5:$A$64,$B7)=0),"Plot ID not in Plot &amp; Site Log. ","")&amp;IF($K7="","No soil slices logged for this core. ","")&amp;IF($N7="No","Core stops short of the reporting depth — its depth-limited stock is an underestimate. ","")&amp;IF(AND($H7&lt;&gt;"",$H7&gt;1.05),"Core compacted by "&amp;TEXT(($H7-1)*100,"0")&amp;"%: slice depths in the tube sit shallower than in the ground, so the depth-limited stock is biased. Full-core stock is unaffected. ","")&amp;IF(AND($H7&lt;&gt;"",$H7&lt;0.98),"Core length exceeds hole depth — check the two measurements. ",""))</f>
        <v>Core compacted by 9%: slice depths in the tube sit shallower than in the ground, so the depth-limited stock is biased. Full-core stock is unaffected. </v>
      </c>
      <c r="P7" s="13"/>
    </row>
    <row r="8" customFormat="false" ht="15" hidden="false" customHeight="false" outlineLevel="0" collapsed="false">
      <c r="A8" s="13" t="s">
        <v>112</v>
      </c>
      <c r="B8" s="13" t="s">
        <v>83</v>
      </c>
      <c r="C8" s="13" t="n">
        <v>51.42047</v>
      </c>
      <c r="D8" s="13" t="n">
        <v>-84.20285</v>
      </c>
      <c r="E8" s="13" t="s">
        <v>109</v>
      </c>
      <c r="F8" s="13" t="n">
        <v>22</v>
      </c>
      <c r="G8" s="13" t="n">
        <v>20.9</v>
      </c>
      <c r="H8" s="14" t="n">
        <f aca="false">IF(OR($F8="",$G8="",$G8=0),"",$F8/$G8)</f>
        <v>1.05263157894737</v>
      </c>
      <c r="I8" s="13" t="n">
        <v>22</v>
      </c>
      <c r="J8" s="13" t="s">
        <v>81</v>
      </c>
      <c r="K8" s="14" t="n">
        <f aca="false">IF($A8="","",IF(SUMPRODUCT(MAX(('5. Soil Data'!$B$5:$B$504=$A8)*'5. Soil Data'!$E$5:$E$504))=0,"",SUMPRODUCT(MAX(('5. Soil Data'!$B$5:$B$504=$A8)*'5. Soil Data'!$E$5:$E$504))))</f>
        <v>22</v>
      </c>
      <c r="L8" s="14" t="n">
        <f aca="false">IF($A8="","",IFERROR(SUMIFS('5. Soil Data'!$O$5:$O$504,'5. Soil Data'!$B$5:$B$504,$A8),""))</f>
        <v>9.756524</v>
      </c>
      <c r="M8" s="14" t="n">
        <f aca="false">IF($A8="","",IFERROR(SUMIFS('5. Soil Data'!$P$5:$P$504,'5. Soil Data'!$B$5:$B$504,$A8),""))</f>
        <v>9.756524</v>
      </c>
      <c r="N8" s="14" t="str">
        <f aca="false">IF($K8="","",IF($K8&gt;=REPORTING_DEPTH_CM,"Yes","No"))</f>
        <v>No</v>
      </c>
      <c r="O8" s="14" t="str">
        <f aca="false">IF($A8="","",IF(AND($B8&lt;&gt;"",COUNTIF('1. Plot &amp; Site Log'!$A$5:$A$64,$B8)=0),"Plot ID not in Plot &amp; Site Log. ","")&amp;IF($K8="","No soil slices logged for this core. ","")&amp;IF($N8="No","Core stops short of the reporting depth — its depth-limited stock is an underestimate. ","")&amp;IF(AND($H8&lt;&gt;"",$H8&gt;1.05),"Core compacted by "&amp;TEXT(($H8-1)*100,"0")&amp;"%: slice depths in the tube sit shallower than in the ground, so the depth-limited stock is biased. Full-core stock is unaffected. ","")&amp;IF(AND($H8&lt;&gt;"",$H8&lt;0.98),"Core length exceeds hole depth — check the two measurements. ",""))</f>
        <v>Core stops short of the reporting depth — its depth-limited stock is an underestimate. Core compacted by 5%: slice depths in the tube sit shallower than in the ground, so the depth-limited stock is biased. Full-core stock is unaffected. </v>
      </c>
      <c r="P8" s="13"/>
    </row>
    <row r="9" customFormat="false" ht="15" hidden="false" customHeight="false" outlineLevel="0" collapsed="false">
      <c r="A9" s="13" t="s">
        <v>113</v>
      </c>
      <c r="B9" s="13" t="s">
        <v>86</v>
      </c>
      <c r="C9" s="13" t="n">
        <v>51.4275</v>
      </c>
      <c r="D9" s="13" t="n">
        <v>-84.21008</v>
      </c>
      <c r="E9" s="13" t="s">
        <v>109</v>
      </c>
      <c r="F9" s="13" t="n">
        <v>50</v>
      </c>
      <c r="G9" s="13" t="n">
        <v>47.3</v>
      </c>
      <c r="H9" s="14" t="n">
        <f aca="false">IF(OR($F9="",$G9="",$G9=0),"",$F9/$G9)</f>
        <v>1.05708245243129</v>
      </c>
      <c r="I9" s="13" t="n">
        <v>50</v>
      </c>
      <c r="J9" s="13" t="s">
        <v>81</v>
      </c>
      <c r="K9" s="14" t="n">
        <f aca="false">IF($A9="","",IF(SUMPRODUCT(MAX(('5. Soil Data'!$B$5:$B$504=$A9)*'5. Soil Data'!$E$5:$E$504))=0,"",SUMPRODUCT(MAX(('5. Soil Data'!$B$5:$B$504=$A9)*'5. Soil Data'!$E$5:$E$504))))</f>
        <v>50</v>
      </c>
      <c r="L9" s="14" t="n">
        <f aca="false">IF($A9="","",IFERROR(SUMIFS('5. Soil Data'!$O$5:$O$504,'5. Soil Data'!$B$5:$B$504,$A9),""))</f>
        <v>11.889705</v>
      </c>
      <c r="M9" s="14" t="n">
        <f aca="false">IF($A9="","",IFERROR(SUMIFS('5. Soil Data'!$P$5:$P$504,'5. Soil Data'!$B$5:$B$504,$A9),""))</f>
        <v>13.761845</v>
      </c>
      <c r="N9" s="14" t="str">
        <f aca="false">IF($K9="","",IF($K9&gt;=REPORTING_DEPTH_CM,"Yes","No"))</f>
        <v>Yes</v>
      </c>
      <c r="O9" s="14" t="str">
        <f aca="false">IF($A9="","",IF(AND($B9&lt;&gt;"",COUNTIF('1. Plot &amp; Site Log'!$A$5:$A$64,$B9)=0),"Plot ID not in Plot &amp; Site Log. ","")&amp;IF($K9="","No soil slices logged for this core. ","")&amp;IF($N9="No","Core stops short of the reporting depth — its depth-limited stock is an underestimate. ","")&amp;IF(AND($H9&lt;&gt;"",$H9&gt;1.05),"Core compacted by "&amp;TEXT(($H9-1)*100,"0")&amp;"%: slice depths in the tube sit shallower than in the ground, so the depth-limited stock is biased. Full-core stock is unaffected. ","")&amp;IF(AND($H9&lt;&gt;"",$H9&lt;0.98),"Core length exceeds hole depth — check the two measurements. ",""))</f>
        <v>Core compacted by 6%: slice depths in the tube sit shallower than in the ground, so the depth-limited stock is biased. Full-core stock is unaffected. </v>
      </c>
      <c r="P9" s="13"/>
    </row>
    <row r="10" customFormat="false" ht="15" hidden="false" customHeight="false" outlineLevel="0" collapsed="false">
      <c r="A10" s="13" t="s">
        <v>114</v>
      </c>
      <c r="B10" s="13" t="s">
        <v>86</v>
      </c>
      <c r="C10" s="13" t="n">
        <v>51.42675</v>
      </c>
      <c r="D10" s="13" t="n">
        <v>-84.20708</v>
      </c>
      <c r="E10" s="13" t="s">
        <v>109</v>
      </c>
      <c r="F10" s="13" t="n">
        <v>50</v>
      </c>
      <c r="G10" s="13" t="n">
        <v>49.8</v>
      </c>
      <c r="H10" s="14" t="n">
        <f aca="false">IF(OR($F10="",$G10="",$G10=0),"",$F10/$G10)</f>
        <v>1.00401606425703</v>
      </c>
      <c r="I10" s="13" t="n">
        <v>50</v>
      </c>
      <c r="J10" s="13" t="s">
        <v>81</v>
      </c>
      <c r="K10" s="14" t="n">
        <f aca="false">IF($A10="","",IF(SUMPRODUCT(MAX(('5. Soil Data'!$B$5:$B$504=$A10)*'5. Soil Data'!$E$5:$E$504))=0,"",SUMPRODUCT(MAX(('5. Soil Data'!$B$5:$B$504=$A10)*'5. Soil Data'!$E$5:$E$504))))</f>
        <v>50</v>
      </c>
      <c r="L10" s="14" t="n">
        <f aca="false">IF($A10="","",IFERROR(SUMIFS('5. Soil Data'!$O$5:$O$504,'5. Soil Data'!$B$5:$B$504,$A10),""))</f>
        <v>11.3162</v>
      </c>
      <c r="M10" s="14" t="n">
        <f aca="false">IF($A10="","",IFERROR(SUMIFS('5. Soil Data'!$P$5:$P$504,'5. Soil Data'!$B$5:$B$504,$A10),""))</f>
        <v>13.1242</v>
      </c>
      <c r="N10" s="14" t="str">
        <f aca="false">IF($K10="","",IF($K10&gt;=REPORTING_DEPTH_CM,"Yes","No"))</f>
        <v>Yes</v>
      </c>
      <c r="O10" s="14" t="str">
        <f aca="false">IF($A10="","",IF(AND($B10&lt;&gt;"",COUNTIF('1. Plot &amp; Site Log'!$A$5:$A$64,$B10)=0),"Plot ID not in Plot &amp; Site Log. ","")&amp;IF($K10="","No soil slices logged for this core. ","")&amp;IF($N10="No","Core stops short of the reporting depth — its depth-limited stock is an underestimate. ","")&amp;IF(AND($H10&lt;&gt;"",$H10&gt;1.05),"Core compacted by "&amp;TEXT(($H10-1)*100,"0")&amp;"%: slice depths in the tube sit shallower than in the ground, so the depth-limited stock is biased. Full-core stock is unaffected. ","")&amp;IF(AND($H10&lt;&gt;"",$H10&lt;0.98),"Core length exceeds hole depth — check the two measurements. ",""))</f>
        <v/>
      </c>
      <c r="P10" s="13"/>
    </row>
    <row r="11" customFormat="false" ht="15" hidden="false" customHeight="false" outlineLevel="0" collapsed="false">
      <c r="A11" s="13" t="s">
        <v>115</v>
      </c>
      <c r="B11" s="13" t="s">
        <v>91</v>
      </c>
      <c r="C11" s="13" t="n">
        <v>51.44</v>
      </c>
      <c r="D11" s="13" t="n">
        <v>-84.20575</v>
      </c>
      <c r="E11" s="13" t="s">
        <v>109</v>
      </c>
      <c r="F11" s="13" t="n">
        <v>40</v>
      </c>
      <c r="G11" s="13" t="n">
        <v>35.8</v>
      </c>
      <c r="H11" s="14" t="n">
        <f aca="false">IF(OR($F11="",$G11="",$G11=0),"",$F11/$G11)</f>
        <v>1.11731843575419</v>
      </c>
      <c r="I11" s="13" t="n">
        <v>40</v>
      </c>
      <c r="J11" s="13" t="s">
        <v>81</v>
      </c>
      <c r="K11" s="14" t="n">
        <f aca="false">IF($A11="","",IF(SUMPRODUCT(MAX(('5. Soil Data'!$B$5:$B$504=$A11)*'5. Soil Data'!$E$5:$E$504))=0,"",SUMPRODUCT(MAX(('5. Soil Data'!$B$5:$B$504=$A11)*'5. Soil Data'!$E$5:$E$504))))</f>
        <v>40</v>
      </c>
      <c r="L11" s="14" t="n">
        <f aca="false">IF($A11="","",IFERROR(SUMIFS('5. Soil Data'!$O$5:$O$504,'5. Soil Data'!$B$5:$B$504,$A11),""))</f>
        <v>10.794935</v>
      </c>
      <c r="M11" s="14" t="n">
        <f aca="false">IF($A11="","",IFERROR(SUMIFS('5. Soil Data'!$P$5:$P$504,'5. Soil Data'!$B$5:$B$504,$A11),""))</f>
        <v>11.600435</v>
      </c>
      <c r="N11" s="14" t="str">
        <f aca="false">IF($K11="","",IF($K11&gt;=REPORTING_DEPTH_CM,"Yes","No"))</f>
        <v>Yes</v>
      </c>
      <c r="O11" s="14" t="str">
        <f aca="false">IF($A11="","",IF(AND($B11&lt;&gt;"",COUNTIF('1. Plot &amp; Site Log'!$A$5:$A$64,$B11)=0),"Plot ID not in Plot &amp; Site Log. ","")&amp;IF($K11="","No soil slices logged for this core. ","")&amp;IF($N11="No","Core stops short of the reporting depth — its depth-limited stock is an underestimate. ","")&amp;IF(AND($H11&lt;&gt;"",$H11&gt;1.05),"Core compacted by "&amp;TEXT(($H11-1)*100,"0")&amp;"%: slice depths in the tube sit shallower than in the ground, so the depth-limited stock is biased. Full-core stock is unaffected. ","")&amp;IF(AND($H11&lt;&gt;"",$H11&lt;0.98),"Core length exceeds hole depth — check the two measurements. ",""))</f>
        <v>Core compacted by 12%: slice depths in the tube sit shallower than in the ground, so the depth-limited stock is biased. Full-core stock is unaffected. </v>
      </c>
      <c r="P11" s="13"/>
    </row>
    <row r="12" customFormat="false" ht="15" hidden="false" customHeight="false" outlineLevel="0" collapsed="false">
      <c r="A12" s="13" t="s">
        <v>116</v>
      </c>
      <c r="B12" s="13" t="s">
        <v>92</v>
      </c>
      <c r="C12" s="13" t="n">
        <v>51.43526</v>
      </c>
      <c r="D12" s="13" t="n">
        <v>-84.21274</v>
      </c>
      <c r="E12" s="13" t="s">
        <v>109</v>
      </c>
      <c r="F12" s="13" t="n">
        <v>30</v>
      </c>
      <c r="G12" s="13" t="n">
        <v>26.4</v>
      </c>
      <c r="H12" s="14" t="n">
        <f aca="false">IF(OR($F12="",$G12="",$G12=0),"",$F12/$G12)</f>
        <v>1.13636363636364</v>
      </c>
      <c r="I12" s="13" t="n">
        <v>30</v>
      </c>
      <c r="J12" s="13" t="s">
        <v>81</v>
      </c>
      <c r="K12" s="14" t="n">
        <f aca="false">IF($A12="","",IF(SUMPRODUCT(MAX(('5. Soil Data'!$B$5:$B$504=$A12)*'5. Soil Data'!$E$5:$E$504))=0,"",SUMPRODUCT(MAX(('5. Soil Data'!$B$5:$B$504=$A12)*'5. Soil Data'!$E$5:$E$504))))</f>
        <v>30</v>
      </c>
      <c r="L12" s="14" t="n">
        <f aca="false">IF($A12="","",IFERROR(SUMIFS('5. Soil Data'!$O$5:$O$504,'5. Soil Data'!$B$5:$B$504,$A12),""))</f>
        <v>10.58331</v>
      </c>
      <c r="M12" s="14" t="n">
        <f aca="false">IF($A12="","",IFERROR(SUMIFS('5. Soil Data'!$P$5:$P$504,'5. Soil Data'!$B$5:$B$504,$A12),""))</f>
        <v>10.58331</v>
      </c>
      <c r="N12" s="14" t="str">
        <f aca="false">IF($K12="","",IF($K12&gt;=REPORTING_DEPTH_CM,"Yes","No"))</f>
        <v>Yes</v>
      </c>
      <c r="O12" s="14" t="str">
        <f aca="false">IF($A12="","",IF(AND($B12&lt;&gt;"",COUNTIF('1. Plot &amp; Site Log'!$A$5:$A$64,$B12)=0),"Plot ID not in Plot &amp; Site Log. ","")&amp;IF($K12="","No soil slices logged for this core. ","")&amp;IF($N12="No","Core stops short of the reporting depth — its depth-limited stock is an underestimate. ","")&amp;IF(AND($H12&lt;&gt;"",$H12&gt;1.05),"Core compacted by "&amp;TEXT(($H12-1)*100,"0")&amp;"%: slice depths in the tube sit shallower than in the ground, so the depth-limited stock is biased. Full-core stock is unaffected. ","")&amp;IF(AND($H12&lt;&gt;"",$H12&lt;0.98),"Core length exceeds hole depth — check the two measurements. ",""))</f>
        <v>Core compacted by 14%: slice depths in the tube sit shallower than in the ground, so the depth-limited stock is biased. Full-core stock is unaffected. </v>
      </c>
      <c r="P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4" t="str">
        <f aca="false">IF(OR($F13="",$G13="",$G13=0),"",$F13/$G13)</f>
        <v/>
      </c>
      <c r="I13" s="13"/>
      <c r="J13" s="13"/>
      <c r="K13" s="14" t="str">
        <f aca="false">IF($A13="","",IF(SUMPRODUCT(MAX(('5. Soil Data'!$B$5:$B$504=$A13)*'5. Soil Data'!$E$5:$E$504))=0,"",SUMPRODUCT(MAX(('5. Soil Data'!$B$5:$B$504=$A13)*'5. Soil Data'!$E$5:$E$504))))</f>
        <v/>
      </c>
      <c r="L13" s="14" t="str">
        <f aca="false">IF($A13="","",IFERROR(SUMIFS('5. Soil Data'!$O$5:$O$504,'5. Soil Data'!$B$5:$B$504,$A13),""))</f>
        <v/>
      </c>
      <c r="M13" s="14" t="str">
        <f aca="false">IF($A13="","",IFERROR(SUMIFS('5. Soil Data'!$P$5:$P$504,'5. Soil Data'!$B$5:$B$504,$A13),""))</f>
        <v/>
      </c>
      <c r="N13" s="14" t="str">
        <f aca="false">IF($K13="","",IF($K13&gt;=REPORTING_DEPTH_CM,"Yes","No"))</f>
        <v/>
      </c>
      <c r="O13" s="14" t="str">
        <f aca="false">IF($A13="","",IF(AND($B13&lt;&gt;"",COUNTIF('1. Plot &amp; Site Log'!$A$5:$A$64,$B13)=0),"Plot ID not in Plot &amp; Site Log. ","")&amp;IF($K13="","No soil slices logged for this core. ","")&amp;IF($N13="No","Core stops short of the reporting depth — its depth-limited stock is an underestimate. ","")&amp;IF(AND($H13&lt;&gt;"",$H13&gt;1.05),"Core compacted by "&amp;TEXT(($H13-1)*100,"0")&amp;"%: slice depths in the tube sit shallower than in the ground, so the depth-limited stock is biased. Full-core stock is unaffected. ","")&amp;IF(AND($H13&lt;&gt;"",$H13&lt;0.98),"Core length exceeds hole depth — check the two measurements. ",""))</f>
        <v/>
      </c>
      <c r="P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4" t="str">
        <f aca="false">IF(OR($F14="",$G14="",$G14=0),"",$F14/$G14)</f>
        <v/>
      </c>
      <c r="I14" s="13"/>
      <c r="J14" s="13"/>
      <c r="K14" s="14" t="str">
        <f aca="false">IF($A14="","",IF(SUMPRODUCT(MAX(('5. Soil Data'!$B$5:$B$504=$A14)*'5. Soil Data'!$E$5:$E$504))=0,"",SUMPRODUCT(MAX(('5. Soil Data'!$B$5:$B$504=$A14)*'5. Soil Data'!$E$5:$E$504))))</f>
        <v/>
      </c>
      <c r="L14" s="14" t="str">
        <f aca="false">IF($A14="","",IFERROR(SUMIFS('5. Soil Data'!$O$5:$O$504,'5. Soil Data'!$B$5:$B$504,$A14),""))</f>
        <v/>
      </c>
      <c r="M14" s="14" t="str">
        <f aca="false">IF($A14="","",IFERROR(SUMIFS('5. Soil Data'!$P$5:$P$504,'5. Soil Data'!$B$5:$B$504,$A14),""))</f>
        <v/>
      </c>
      <c r="N14" s="14" t="str">
        <f aca="false">IF($K14="","",IF($K14&gt;=REPORTING_DEPTH_CM,"Yes","No"))</f>
        <v/>
      </c>
      <c r="O14" s="14" t="str">
        <f aca="false">IF($A14="","",IF(AND($B14&lt;&gt;"",COUNTIF('1. Plot &amp; Site Log'!$A$5:$A$64,$B14)=0),"Plot ID not in Plot &amp; Site Log. ","")&amp;IF($K14="","No soil slices logged for this core. ","")&amp;IF($N14="No","Core stops short of the reporting depth — its depth-limited stock is an underestimate. ","")&amp;IF(AND($H14&lt;&gt;"",$H14&gt;1.05),"Core compacted by "&amp;TEXT(($H14-1)*100,"0")&amp;"%: slice depths in the tube sit shallower than in the ground, so the depth-limited stock is biased. Full-core stock is unaffected. ","")&amp;IF(AND($H14&lt;&gt;"",$H14&lt;0.98),"Core length exceeds hole depth — check the two measurements. ",""))</f>
        <v/>
      </c>
      <c r="P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4" t="str">
        <f aca="false">IF(OR($F15="",$G15="",$G15=0),"",$F15/$G15)</f>
        <v/>
      </c>
      <c r="I15" s="13"/>
      <c r="J15" s="13"/>
      <c r="K15" s="14" t="str">
        <f aca="false">IF($A15="","",IF(SUMPRODUCT(MAX(('5. Soil Data'!$B$5:$B$504=$A15)*'5. Soil Data'!$E$5:$E$504))=0,"",SUMPRODUCT(MAX(('5. Soil Data'!$B$5:$B$504=$A15)*'5. Soil Data'!$E$5:$E$504))))</f>
        <v/>
      </c>
      <c r="L15" s="14" t="str">
        <f aca="false">IF($A15="","",IFERROR(SUMIFS('5. Soil Data'!$O$5:$O$504,'5. Soil Data'!$B$5:$B$504,$A15),""))</f>
        <v/>
      </c>
      <c r="M15" s="14" t="str">
        <f aca="false">IF($A15="","",IFERROR(SUMIFS('5. Soil Data'!$P$5:$P$504,'5. Soil Data'!$B$5:$B$504,$A15),""))</f>
        <v/>
      </c>
      <c r="N15" s="14" t="str">
        <f aca="false">IF($K15="","",IF($K15&gt;=REPORTING_DEPTH_CM,"Yes","No"))</f>
        <v/>
      </c>
      <c r="O15" s="14" t="str">
        <f aca="false">IF($A15="","",IF(AND($B15&lt;&gt;"",COUNTIF('1. Plot &amp; Site Log'!$A$5:$A$64,$B15)=0),"Plot ID not in Plot &amp; Site Log. ","")&amp;IF($K15="","No soil slices logged for this core. ","")&amp;IF($N15="No","Core stops short of the reporting depth — its depth-limited stock is an underestimate. ","")&amp;IF(AND($H15&lt;&gt;"",$H15&gt;1.05),"Core compacted by "&amp;TEXT(($H15-1)*100,"0")&amp;"%: slice depths in the tube sit shallower than in the ground, so the depth-limited stock is biased. Full-core stock is unaffected. ","")&amp;IF(AND($H15&lt;&gt;"",$H15&lt;0.98),"Core length exceeds hole depth — check the two measurements. ",""))</f>
        <v/>
      </c>
      <c r="P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4" t="str">
        <f aca="false">IF(OR($F16="",$G16="",$G16=0),"",$F16/$G16)</f>
        <v/>
      </c>
      <c r="I16" s="13"/>
      <c r="J16" s="13"/>
      <c r="K16" s="14" t="str">
        <f aca="false">IF($A16="","",IF(SUMPRODUCT(MAX(('5. Soil Data'!$B$5:$B$504=$A16)*'5. Soil Data'!$E$5:$E$504))=0,"",SUMPRODUCT(MAX(('5. Soil Data'!$B$5:$B$504=$A16)*'5. Soil Data'!$E$5:$E$504))))</f>
        <v/>
      </c>
      <c r="L16" s="14" t="str">
        <f aca="false">IF($A16="","",IFERROR(SUMIFS('5. Soil Data'!$O$5:$O$504,'5. Soil Data'!$B$5:$B$504,$A16),""))</f>
        <v/>
      </c>
      <c r="M16" s="14" t="str">
        <f aca="false">IF($A16="","",IFERROR(SUMIFS('5. Soil Data'!$P$5:$P$504,'5. Soil Data'!$B$5:$B$504,$A16),""))</f>
        <v/>
      </c>
      <c r="N16" s="14" t="str">
        <f aca="false">IF($K16="","",IF($K16&gt;=REPORTING_DEPTH_CM,"Yes","No"))</f>
        <v/>
      </c>
      <c r="O16" s="14" t="str">
        <f aca="false">IF($A16="","",IF(AND($B16&lt;&gt;"",COUNTIF('1. Plot &amp; Site Log'!$A$5:$A$64,$B16)=0),"Plot ID not in Plot &amp; Site Log. ","")&amp;IF($K16="","No soil slices logged for this core. ","")&amp;IF($N16="No","Core stops short of the reporting depth — its depth-limited stock is an underestimate. ","")&amp;IF(AND($H16&lt;&gt;"",$H16&gt;1.05),"Core compacted by "&amp;TEXT(($H16-1)*100,"0")&amp;"%: slice depths in the tube sit shallower than in the ground, so the depth-limited stock is biased. Full-core stock is unaffected. ","")&amp;IF(AND($H16&lt;&gt;"",$H16&lt;0.98),"Core length exceeds hole depth — check the two measurements. ",""))</f>
        <v/>
      </c>
      <c r="P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4" t="str">
        <f aca="false">IF(OR($F17="",$G17="",$G17=0),"",$F17/$G17)</f>
        <v/>
      </c>
      <c r="I17" s="13"/>
      <c r="J17" s="13"/>
      <c r="K17" s="14" t="str">
        <f aca="false">IF($A17="","",IF(SUMPRODUCT(MAX(('5. Soil Data'!$B$5:$B$504=$A17)*'5. Soil Data'!$E$5:$E$504))=0,"",SUMPRODUCT(MAX(('5. Soil Data'!$B$5:$B$504=$A17)*'5. Soil Data'!$E$5:$E$504))))</f>
        <v/>
      </c>
      <c r="L17" s="14" t="str">
        <f aca="false">IF($A17="","",IFERROR(SUMIFS('5. Soil Data'!$O$5:$O$504,'5. Soil Data'!$B$5:$B$504,$A17),""))</f>
        <v/>
      </c>
      <c r="M17" s="14" t="str">
        <f aca="false">IF($A17="","",IFERROR(SUMIFS('5. Soil Data'!$P$5:$P$504,'5. Soil Data'!$B$5:$B$504,$A17),""))</f>
        <v/>
      </c>
      <c r="N17" s="14" t="str">
        <f aca="false">IF($K17="","",IF($K17&gt;=REPORTING_DEPTH_CM,"Yes","No"))</f>
        <v/>
      </c>
      <c r="O17" s="14" t="str">
        <f aca="false">IF($A17="","",IF(AND($B17&lt;&gt;"",COUNTIF('1. Plot &amp; Site Log'!$A$5:$A$64,$B17)=0),"Plot ID not in Plot &amp; Site Log. ","")&amp;IF($K17="","No soil slices logged for this core. ","")&amp;IF($N17="No","Core stops short of the reporting depth — its depth-limited stock is an underestimate. ","")&amp;IF(AND($H17&lt;&gt;"",$H17&gt;1.05),"Core compacted by "&amp;TEXT(($H17-1)*100,"0")&amp;"%: slice depths in the tube sit shallower than in the ground, so the depth-limited stock is biased. Full-core stock is unaffected. ","")&amp;IF(AND($H17&lt;&gt;"",$H17&lt;0.98),"Core length exceeds hole depth — check the two measurements. ",""))</f>
        <v/>
      </c>
      <c r="P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4" t="str">
        <f aca="false">IF(OR($F18="",$G18="",$G18=0),"",$F18/$G18)</f>
        <v/>
      </c>
      <c r="I18" s="13"/>
      <c r="J18" s="13"/>
      <c r="K18" s="14" t="str">
        <f aca="false">IF($A18="","",IF(SUMPRODUCT(MAX(('5. Soil Data'!$B$5:$B$504=$A18)*'5. Soil Data'!$E$5:$E$504))=0,"",SUMPRODUCT(MAX(('5. Soil Data'!$B$5:$B$504=$A18)*'5. Soil Data'!$E$5:$E$504))))</f>
        <v/>
      </c>
      <c r="L18" s="14" t="str">
        <f aca="false">IF($A18="","",IFERROR(SUMIFS('5. Soil Data'!$O$5:$O$504,'5. Soil Data'!$B$5:$B$504,$A18),""))</f>
        <v/>
      </c>
      <c r="M18" s="14" t="str">
        <f aca="false">IF($A18="","",IFERROR(SUMIFS('5. Soil Data'!$P$5:$P$504,'5. Soil Data'!$B$5:$B$504,$A18),""))</f>
        <v/>
      </c>
      <c r="N18" s="14" t="str">
        <f aca="false">IF($K18="","",IF($K18&gt;=REPORTING_DEPTH_CM,"Yes","No"))</f>
        <v/>
      </c>
      <c r="O18" s="14" t="str">
        <f aca="false">IF($A18="","",IF(AND($B18&lt;&gt;"",COUNTIF('1. Plot &amp; Site Log'!$A$5:$A$64,$B18)=0),"Plot ID not in Plot &amp; Site Log. ","")&amp;IF($K18="","No soil slices logged for this core. ","")&amp;IF($N18="No","Core stops short of the reporting depth — its depth-limited stock is an underestimate. ","")&amp;IF(AND($H18&lt;&gt;"",$H18&gt;1.05),"Core compacted by "&amp;TEXT(($H18-1)*100,"0")&amp;"%: slice depths in the tube sit shallower than in the ground, so the depth-limited stock is biased. Full-core stock is unaffected. ","")&amp;IF(AND($H18&lt;&gt;"",$H18&lt;0.98),"Core length exceeds hole depth — check the two measurements. ",""))</f>
        <v/>
      </c>
      <c r="P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4" t="str">
        <f aca="false">IF(OR($F19="",$G19="",$G19=0),"",$F19/$G19)</f>
        <v/>
      </c>
      <c r="I19" s="13"/>
      <c r="J19" s="13"/>
      <c r="K19" s="14" t="str">
        <f aca="false">IF($A19="","",IF(SUMPRODUCT(MAX(('5. Soil Data'!$B$5:$B$504=$A19)*'5. Soil Data'!$E$5:$E$504))=0,"",SUMPRODUCT(MAX(('5. Soil Data'!$B$5:$B$504=$A19)*'5. Soil Data'!$E$5:$E$504))))</f>
        <v/>
      </c>
      <c r="L19" s="14" t="str">
        <f aca="false">IF($A19="","",IFERROR(SUMIFS('5. Soil Data'!$O$5:$O$504,'5. Soil Data'!$B$5:$B$504,$A19),""))</f>
        <v/>
      </c>
      <c r="M19" s="14" t="str">
        <f aca="false">IF($A19="","",IFERROR(SUMIFS('5. Soil Data'!$P$5:$P$504,'5. Soil Data'!$B$5:$B$504,$A19),""))</f>
        <v/>
      </c>
      <c r="N19" s="14" t="str">
        <f aca="false">IF($K19="","",IF($K19&gt;=REPORTING_DEPTH_CM,"Yes","No"))</f>
        <v/>
      </c>
      <c r="O19" s="14" t="str">
        <f aca="false">IF($A19="","",IF(AND($B19&lt;&gt;"",COUNTIF('1. Plot &amp; Site Log'!$A$5:$A$64,$B19)=0),"Plot ID not in Plot &amp; Site Log. ","")&amp;IF($K19="","No soil slices logged for this core. ","")&amp;IF($N19="No","Core stops short of the reporting depth — its depth-limited stock is an underestimate. ","")&amp;IF(AND($H19&lt;&gt;"",$H19&gt;1.05),"Core compacted by "&amp;TEXT(($H19-1)*100,"0")&amp;"%: slice depths in the tube sit shallower than in the ground, so the depth-limited stock is biased. Full-core stock is unaffected. ","")&amp;IF(AND($H19&lt;&gt;"",$H19&lt;0.98),"Core length exceeds hole depth — check the two measurements. ",""))</f>
        <v/>
      </c>
      <c r="P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4" t="str">
        <f aca="false">IF(OR($F20="",$G20="",$G20=0),"",$F20/$G20)</f>
        <v/>
      </c>
      <c r="I20" s="13"/>
      <c r="J20" s="13"/>
      <c r="K20" s="14" t="str">
        <f aca="false">IF($A20="","",IF(SUMPRODUCT(MAX(('5. Soil Data'!$B$5:$B$504=$A20)*'5. Soil Data'!$E$5:$E$504))=0,"",SUMPRODUCT(MAX(('5. Soil Data'!$B$5:$B$504=$A20)*'5. Soil Data'!$E$5:$E$504))))</f>
        <v/>
      </c>
      <c r="L20" s="14" t="str">
        <f aca="false">IF($A20="","",IFERROR(SUMIFS('5. Soil Data'!$O$5:$O$504,'5. Soil Data'!$B$5:$B$504,$A20),""))</f>
        <v/>
      </c>
      <c r="M20" s="14" t="str">
        <f aca="false">IF($A20="","",IFERROR(SUMIFS('5. Soil Data'!$P$5:$P$504,'5. Soil Data'!$B$5:$B$504,$A20),""))</f>
        <v/>
      </c>
      <c r="N20" s="14" t="str">
        <f aca="false">IF($K20="","",IF($K20&gt;=REPORTING_DEPTH_CM,"Yes","No"))</f>
        <v/>
      </c>
      <c r="O20" s="14" t="str">
        <f aca="false">IF($A20="","",IF(AND($B20&lt;&gt;"",COUNTIF('1. Plot &amp; Site Log'!$A$5:$A$64,$B20)=0),"Plot ID not in Plot &amp; Site Log. ","")&amp;IF($K20="","No soil slices logged for this core. ","")&amp;IF($N20="No","Core stops short of the reporting depth — its depth-limited stock is an underestimate. ","")&amp;IF(AND($H20&lt;&gt;"",$H20&gt;1.05),"Core compacted by "&amp;TEXT(($H20-1)*100,"0")&amp;"%: slice depths in the tube sit shallower than in the ground, so the depth-limited stock is biased. Full-core stock is unaffected. ","")&amp;IF(AND($H20&lt;&gt;"",$H20&lt;0.98),"Core length exceeds hole depth — check the two measurements. ",""))</f>
        <v/>
      </c>
      <c r="P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4" t="str">
        <f aca="false">IF(OR($F21="",$G21="",$G21=0),"",$F21/$G21)</f>
        <v/>
      </c>
      <c r="I21" s="13"/>
      <c r="J21" s="13"/>
      <c r="K21" s="14" t="str">
        <f aca="false">IF($A21="","",IF(SUMPRODUCT(MAX(('5. Soil Data'!$B$5:$B$504=$A21)*'5. Soil Data'!$E$5:$E$504))=0,"",SUMPRODUCT(MAX(('5. Soil Data'!$B$5:$B$504=$A21)*'5. Soil Data'!$E$5:$E$504))))</f>
        <v/>
      </c>
      <c r="L21" s="14" t="str">
        <f aca="false">IF($A21="","",IFERROR(SUMIFS('5. Soil Data'!$O$5:$O$504,'5. Soil Data'!$B$5:$B$504,$A21),""))</f>
        <v/>
      </c>
      <c r="M21" s="14" t="str">
        <f aca="false">IF($A21="","",IFERROR(SUMIFS('5. Soil Data'!$P$5:$P$504,'5. Soil Data'!$B$5:$B$504,$A21),""))</f>
        <v/>
      </c>
      <c r="N21" s="14" t="str">
        <f aca="false">IF($K21="","",IF($K21&gt;=REPORTING_DEPTH_CM,"Yes","No"))</f>
        <v/>
      </c>
      <c r="O21" s="14" t="str">
        <f aca="false">IF($A21="","",IF(AND($B21&lt;&gt;"",COUNTIF('1. Plot &amp; Site Log'!$A$5:$A$64,$B21)=0),"Plot ID not in Plot &amp; Site Log. ","")&amp;IF($K21="","No soil slices logged for this core. ","")&amp;IF($N21="No","Core stops short of the reporting depth — its depth-limited stock is an underestimate. ","")&amp;IF(AND($H21&lt;&gt;"",$H21&gt;1.05),"Core compacted by "&amp;TEXT(($H21-1)*100,"0")&amp;"%: slice depths in the tube sit shallower than in the ground, so the depth-limited stock is biased. Full-core stock is unaffected. ","")&amp;IF(AND($H21&lt;&gt;"",$H21&lt;0.98),"Core length exceeds hole depth — check the two measurements. ",""))</f>
        <v/>
      </c>
      <c r="P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4" t="str">
        <f aca="false">IF(OR($F22="",$G22="",$G22=0),"",$F22/$G22)</f>
        <v/>
      </c>
      <c r="I22" s="13"/>
      <c r="J22" s="13"/>
      <c r="K22" s="14" t="str">
        <f aca="false">IF($A22="","",IF(SUMPRODUCT(MAX(('5. Soil Data'!$B$5:$B$504=$A22)*'5. Soil Data'!$E$5:$E$504))=0,"",SUMPRODUCT(MAX(('5. Soil Data'!$B$5:$B$504=$A22)*'5. Soil Data'!$E$5:$E$504))))</f>
        <v/>
      </c>
      <c r="L22" s="14" t="str">
        <f aca="false">IF($A22="","",IFERROR(SUMIFS('5. Soil Data'!$O$5:$O$504,'5. Soil Data'!$B$5:$B$504,$A22),""))</f>
        <v/>
      </c>
      <c r="M22" s="14" t="str">
        <f aca="false">IF($A22="","",IFERROR(SUMIFS('5. Soil Data'!$P$5:$P$504,'5. Soil Data'!$B$5:$B$504,$A22),""))</f>
        <v/>
      </c>
      <c r="N22" s="14" t="str">
        <f aca="false">IF($K22="","",IF($K22&gt;=REPORTING_DEPTH_CM,"Yes","No"))</f>
        <v/>
      </c>
      <c r="O22" s="14" t="str">
        <f aca="false">IF($A22="","",IF(AND($B22&lt;&gt;"",COUNTIF('1. Plot &amp; Site Log'!$A$5:$A$64,$B22)=0),"Plot ID not in Plot &amp; Site Log. ","")&amp;IF($K22="","No soil slices logged for this core. ","")&amp;IF($N22="No","Core stops short of the reporting depth — its depth-limited stock is an underestimate. ","")&amp;IF(AND($H22&lt;&gt;"",$H22&gt;1.05),"Core compacted by "&amp;TEXT(($H22-1)*100,"0")&amp;"%: slice depths in the tube sit shallower than in the ground, so the depth-limited stock is biased. Full-core stock is unaffected. ","")&amp;IF(AND($H22&lt;&gt;"",$H22&lt;0.98),"Core length exceeds hole depth — check the two measurements. ",""))</f>
        <v/>
      </c>
      <c r="P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4" t="str">
        <f aca="false">IF(OR($F23="",$G23="",$G23=0),"",$F23/$G23)</f>
        <v/>
      </c>
      <c r="I23" s="13"/>
      <c r="J23" s="13"/>
      <c r="K23" s="14" t="str">
        <f aca="false">IF($A23="","",IF(SUMPRODUCT(MAX(('5. Soil Data'!$B$5:$B$504=$A23)*'5. Soil Data'!$E$5:$E$504))=0,"",SUMPRODUCT(MAX(('5. Soil Data'!$B$5:$B$504=$A23)*'5. Soil Data'!$E$5:$E$504))))</f>
        <v/>
      </c>
      <c r="L23" s="14" t="str">
        <f aca="false">IF($A23="","",IFERROR(SUMIFS('5. Soil Data'!$O$5:$O$504,'5. Soil Data'!$B$5:$B$504,$A23),""))</f>
        <v/>
      </c>
      <c r="M23" s="14" t="str">
        <f aca="false">IF($A23="","",IFERROR(SUMIFS('5. Soil Data'!$P$5:$P$504,'5. Soil Data'!$B$5:$B$504,$A23),""))</f>
        <v/>
      </c>
      <c r="N23" s="14" t="str">
        <f aca="false">IF($K23="","",IF($K23&gt;=REPORTING_DEPTH_CM,"Yes","No"))</f>
        <v/>
      </c>
      <c r="O23" s="14" t="str">
        <f aca="false">IF($A23="","",IF(AND($B23&lt;&gt;"",COUNTIF('1. Plot &amp; Site Log'!$A$5:$A$64,$B23)=0),"Plot ID not in Plot &amp; Site Log. ","")&amp;IF($K23="","No soil slices logged for this core. ","")&amp;IF($N23="No","Core stops short of the reporting depth — its depth-limited stock is an underestimate. ","")&amp;IF(AND($H23&lt;&gt;"",$H23&gt;1.05),"Core compacted by "&amp;TEXT(($H23-1)*100,"0")&amp;"%: slice depths in the tube sit shallower than in the ground, so the depth-limited stock is biased. Full-core stock is unaffected. ","")&amp;IF(AND($H23&lt;&gt;"",$H23&lt;0.98),"Core length exceeds hole depth — check the two measurements. ",""))</f>
        <v/>
      </c>
      <c r="P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4" t="str">
        <f aca="false">IF(OR($F24="",$G24="",$G24=0),"",$F24/$G24)</f>
        <v/>
      </c>
      <c r="I24" s="13"/>
      <c r="J24" s="13"/>
      <c r="K24" s="14" t="str">
        <f aca="false">IF($A24="","",IF(SUMPRODUCT(MAX(('5. Soil Data'!$B$5:$B$504=$A24)*'5. Soil Data'!$E$5:$E$504))=0,"",SUMPRODUCT(MAX(('5. Soil Data'!$B$5:$B$504=$A24)*'5. Soil Data'!$E$5:$E$504))))</f>
        <v/>
      </c>
      <c r="L24" s="14" t="str">
        <f aca="false">IF($A24="","",IFERROR(SUMIFS('5. Soil Data'!$O$5:$O$504,'5. Soil Data'!$B$5:$B$504,$A24),""))</f>
        <v/>
      </c>
      <c r="M24" s="14" t="str">
        <f aca="false">IF($A24="","",IFERROR(SUMIFS('5. Soil Data'!$P$5:$P$504,'5. Soil Data'!$B$5:$B$504,$A24),""))</f>
        <v/>
      </c>
      <c r="N24" s="14" t="str">
        <f aca="false">IF($K24="","",IF($K24&gt;=REPORTING_DEPTH_CM,"Yes","No"))</f>
        <v/>
      </c>
      <c r="O24" s="14" t="str">
        <f aca="false">IF($A24="","",IF(AND($B24&lt;&gt;"",COUNTIF('1. Plot &amp; Site Log'!$A$5:$A$64,$B24)=0),"Plot ID not in Plot &amp; Site Log. ","")&amp;IF($K24="","No soil slices logged for this core. ","")&amp;IF($N24="No","Core stops short of the reporting depth — its depth-limited stock is an underestimate. ","")&amp;IF(AND($H24&lt;&gt;"",$H24&gt;1.05),"Core compacted by "&amp;TEXT(($H24-1)*100,"0")&amp;"%: slice depths in the tube sit shallower than in the ground, so the depth-limited stock is biased. Full-core stock is unaffected. ","")&amp;IF(AND($H24&lt;&gt;"",$H24&lt;0.98),"Core length exceeds hole depth — check the two measurements. ",""))</f>
        <v/>
      </c>
      <c r="P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4" t="str">
        <f aca="false">IF(OR($F25="",$G25="",$G25=0),"",$F25/$G25)</f>
        <v/>
      </c>
      <c r="I25" s="13"/>
      <c r="J25" s="13"/>
      <c r="K25" s="14" t="str">
        <f aca="false">IF($A25="","",IF(SUMPRODUCT(MAX(('5. Soil Data'!$B$5:$B$504=$A25)*'5. Soil Data'!$E$5:$E$504))=0,"",SUMPRODUCT(MAX(('5. Soil Data'!$B$5:$B$504=$A25)*'5. Soil Data'!$E$5:$E$504))))</f>
        <v/>
      </c>
      <c r="L25" s="14" t="str">
        <f aca="false">IF($A25="","",IFERROR(SUMIFS('5. Soil Data'!$O$5:$O$504,'5. Soil Data'!$B$5:$B$504,$A25),""))</f>
        <v/>
      </c>
      <c r="M25" s="14" t="str">
        <f aca="false">IF($A25="","",IFERROR(SUMIFS('5. Soil Data'!$P$5:$P$504,'5. Soil Data'!$B$5:$B$504,$A25),""))</f>
        <v/>
      </c>
      <c r="N25" s="14" t="str">
        <f aca="false">IF($K25="","",IF($K25&gt;=REPORTING_DEPTH_CM,"Yes","No"))</f>
        <v/>
      </c>
      <c r="O25" s="14" t="str">
        <f aca="false">IF($A25="","",IF(AND($B25&lt;&gt;"",COUNTIF('1. Plot &amp; Site Log'!$A$5:$A$64,$B25)=0),"Plot ID not in Plot &amp; Site Log. ","")&amp;IF($K25="","No soil slices logged for this core. ","")&amp;IF($N25="No","Core stops short of the reporting depth — its depth-limited stock is an underestimate. ","")&amp;IF(AND($H25&lt;&gt;"",$H25&gt;1.05),"Core compacted by "&amp;TEXT(($H25-1)*100,"0")&amp;"%: slice depths in the tube sit shallower than in the ground, so the depth-limited stock is biased. Full-core stock is unaffected. ","")&amp;IF(AND($H25&lt;&gt;"",$H25&lt;0.98),"Core length exceeds hole depth — check the two measurements. ",""))</f>
        <v/>
      </c>
      <c r="P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4" t="str">
        <f aca="false">IF(OR($F26="",$G26="",$G26=0),"",$F26/$G26)</f>
        <v/>
      </c>
      <c r="I26" s="13"/>
      <c r="J26" s="13"/>
      <c r="K26" s="14" t="str">
        <f aca="false">IF($A26="","",IF(SUMPRODUCT(MAX(('5. Soil Data'!$B$5:$B$504=$A26)*'5. Soil Data'!$E$5:$E$504))=0,"",SUMPRODUCT(MAX(('5. Soil Data'!$B$5:$B$504=$A26)*'5. Soil Data'!$E$5:$E$504))))</f>
        <v/>
      </c>
      <c r="L26" s="14" t="str">
        <f aca="false">IF($A26="","",IFERROR(SUMIFS('5. Soil Data'!$O$5:$O$504,'5. Soil Data'!$B$5:$B$504,$A26),""))</f>
        <v/>
      </c>
      <c r="M26" s="14" t="str">
        <f aca="false">IF($A26="","",IFERROR(SUMIFS('5. Soil Data'!$P$5:$P$504,'5. Soil Data'!$B$5:$B$504,$A26),""))</f>
        <v/>
      </c>
      <c r="N26" s="14" t="str">
        <f aca="false">IF($K26="","",IF($K26&gt;=REPORTING_DEPTH_CM,"Yes","No"))</f>
        <v/>
      </c>
      <c r="O26" s="14" t="str">
        <f aca="false">IF($A26="","",IF(AND($B26&lt;&gt;"",COUNTIF('1. Plot &amp; Site Log'!$A$5:$A$64,$B26)=0),"Plot ID not in Plot &amp; Site Log. ","")&amp;IF($K26="","No soil slices logged for this core. ","")&amp;IF($N26="No","Core stops short of the reporting depth — its depth-limited stock is an underestimate. ","")&amp;IF(AND($H26&lt;&gt;"",$H26&gt;1.05),"Core compacted by "&amp;TEXT(($H26-1)*100,"0")&amp;"%: slice depths in the tube sit shallower than in the ground, so the depth-limited stock is biased. Full-core stock is unaffected. ","")&amp;IF(AND($H26&lt;&gt;"",$H26&lt;0.98),"Core length exceeds hole depth — check the two measurements. ",""))</f>
        <v/>
      </c>
      <c r="P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4" t="str">
        <f aca="false">IF(OR($F27="",$G27="",$G27=0),"",$F27/$G27)</f>
        <v/>
      </c>
      <c r="I27" s="13"/>
      <c r="J27" s="13"/>
      <c r="K27" s="14" t="str">
        <f aca="false">IF($A27="","",IF(SUMPRODUCT(MAX(('5. Soil Data'!$B$5:$B$504=$A27)*'5. Soil Data'!$E$5:$E$504))=0,"",SUMPRODUCT(MAX(('5. Soil Data'!$B$5:$B$504=$A27)*'5. Soil Data'!$E$5:$E$504))))</f>
        <v/>
      </c>
      <c r="L27" s="14" t="str">
        <f aca="false">IF($A27="","",IFERROR(SUMIFS('5. Soil Data'!$O$5:$O$504,'5. Soil Data'!$B$5:$B$504,$A27),""))</f>
        <v/>
      </c>
      <c r="M27" s="14" t="str">
        <f aca="false">IF($A27="","",IFERROR(SUMIFS('5. Soil Data'!$P$5:$P$504,'5. Soil Data'!$B$5:$B$504,$A27),""))</f>
        <v/>
      </c>
      <c r="N27" s="14" t="str">
        <f aca="false">IF($K27="","",IF($K27&gt;=REPORTING_DEPTH_CM,"Yes","No"))</f>
        <v/>
      </c>
      <c r="O27" s="14" t="str">
        <f aca="false">IF($A27="","",IF(AND($B27&lt;&gt;"",COUNTIF('1. Plot &amp; Site Log'!$A$5:$A$64,$B27)=0),"Plot ID not in Plot &amp; Site Log. ","")&amp;IF($K27="","No soil slices logged for this core. ","")&amp;IF($N27="No","Core stops short of the reporting depth — its depth-limited stock is an underestimate. ","")&amp;IF(AND($H27&lt;&gt;"",$H27&gt;1.05),"Core compacted by "&amp;TEXT(($H27-1)*100,"0")&amp;"%: slice depths in the tube sit shallower than in the ground, so the depth-limited stock is biased. Full-core stock is unaffected. ","")&amp;IF(AND($H27&lt;&gt;"",$H27&lt;0.98),"Core length exceeds hole depth — check the two measurements. ",""))</f>
        <v/>
      </c>
      <c r="P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4" t="str">
        <f aca="false">IF(OR($F28="",$G28="",$G28=0),"",$F28/$G28)</f>
        <v/>
      </c>
      <c r="I28" s="13"/>
      <c r="J28" s="13"/>
      <c r="K28" s="14" t="str">
        <f aca="false">IF($A28="","",IF(SUMPRODUCT(MAX(('5. Soil Data'!$B$5:$B$504=$A28)*'5. Soil Data'!$E$5:$E$504))=0,"",SUMPRODUCT(MAX(('5. Soil Data'!$B$5:$B$504=$A28)*'5. Soil Data'!$E$5:$E$504))))</f>
        <v/>
      </c>
      <c r="L28" s="14" t="str">
        <f aca="false">IF($A28="","",IFERROR(SUMIFS('5. Soil Data'!$O$5:$O$504,'5. Soil Data'!$B$5:$B$504,$A28),""))</f>
        <v/>
      </c>
      <c r="M28" s="14" t="str">
        <f aca="false">IF($A28="","",IFERROR(SUMIFS('5. Soil Data'!$P$5:$P$504,'5. Soil Data'!$B$5:$B$504,$A28),""))</f>
        <v/>
      </c>
      <c r="N28" s="14" t="str">
        <f aca="false">IF($K28="","",IF($K28&gt;=REPORTING_DEPTH_CM,"Yes","No"))</f>
        <v/>
      </c>
      <c r="O28" s="14" t="str">
        <f aca="false">IF($A28="","",IF(AND($B28&lt;&gt;"",COUNTIF('1. Plot &amp; Site Log'!$A$5:$A$64,$B28)=0),"Plot ID not in Plot &amp; Site Log. ","")&amp;IF($K28="","No soil slices logged for this core. ","")&amp;IF($N28="No","Core stops short of the reporting depth — its depth-limited stock is an underestimate. ","")&amp;IF(AND($H28&lt;&gt;"",$H28&gt;1.05),"Core compacted by "&amp;TEXT(($H28-1)*100,"0")&amp;"%: slice depths in the tube sit shallower than in the ground, so the depth-limited stock is biased. Full-core stock is unaffected. ","")&amp;IF(AND($H28&lt;&gt;"",$H28&lt;0.98),"Core length exceeds hole depth — check the two measurements. ",""))</f>
        <v/>
      </c>
      <c r="P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4" t="str">
        <f aca="false">IF(OR($F29="",$G29="",$G29=0),"",$F29/$G29)</f>
        <v/>
      </c>
      <c r="I29" s="13"/>
      <c r="J29" s="13"/>
      <c r="K29" s="14" t="str">
        <f aca="false">IF($A29="","",IF(SUMPRODUCT(MAX(('5. Soil Data'!$B$5:$B$504=$A29)*'5. Soil Data'!$E$5:$E$504))=0,"",SUMPRODUCT(MAX(('5. Soil Data'!$B$5:$B$504=$A29)*'5. Soil Data'!$E$5:$E$504))))</f>
        <v/>
      </c>
      <c r="L29" s="14" t="str">
        <f aca="false">IF($A29="","",IFERROR(SUMIFS('5. Soil Data'!$O$5:$O$504,'5. Soil Data'!$B$5:$B$504,$A29),""))</f>
        <v/>
      </c>
      <c r="M29" s="14" t="str">
        <f aca="false">IF($A29="","",IFERROR(SUMIFS('5. Soil Data'!$P$5:$P$504,'5. Soil Data'!$B$5:$B$504,$A29),""))</f>
        <v/>
      </c>
      <c r="N29" s="14" t="str">
        <f aca="false">IF($K29="","",IF($K29&gt;=REPORTING_DEPTH_CM,"Yes","No"))</f>
        <v/>
      </c>
      <c r="O29" s="14" t="str">
        <f aca="false">IF($A29="","",IF(AND($B29&lt;&gt;"",COUNTIF('1. Plot &amp; Site Log'!$A$5:$A$64,$B29)=0),"Plot ID not in Plot &amp; Site Log. ","")&amp;IF($K29="","No soil slices logged for this core. ","")&amp;IF($N29="No","Core stops short of the reporting depth — its depth-limited stock is an underestimate. ","")&amp;IF(AND($H29&lt;&gt;"",$H29&gt;1.05),"Core compacted by "&amp;TEXT(($H29-1)*100,"0")&amp;"%: slice depths in the tube sit shallower than in the ground, so the depth-limited stock is biased. Full-core stock is unaffected. ","")&amp;IF(AND($H29&lt;&gt;"",$H29&lt;0.98),"Core length exceeds hole depth — check the two measurements. ",""))</f>
        <v/>
      </c>
      <c r="P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4" t="str">
        <f aca="false">IF(OR($F30="",$G30="",$G30=0),"",$F30/$G30)</f>
        <v/>
      </c>
      <c r="I30" s="13"/>
      <c r="J30" s="13"/>
      <c r="K30" s="14" t="str">
        <f aca="false">IF($A30="","",IF(SUMPRODUCT(MAX(('5. Soil Data'!$B$5:$B$504=$A30)*'5. Soil Data'!$E$5:$E$504))=0,"",SUMPRODUCT(MAX(('5. Soil Data'!$B$5:$B$504=$A30)*'5. Soil Data'!$E$5:$E$504))))</f>
        <v/>
      </c>
      <c r="L30" s="14" t="str">
        <f aca="false">IF($A30="","",IFERROR(SUMIFS('5. Soil Data'!$O$5:$O$504,'5. Soil Data'!$B$5:$B$504,$A30),""))</f>
        <v/>
      </c>
      <c r="M30" s="14" t="str">
        <f aca="false">IF($A30="","",IFERROR(SUMIFS('5. Soil Data'!$P$5:$P$504,'5. Soil Data'!$B$5:$B$504,$A30),""))</f>
        <v/>
      </c>
      <c r="N30" s="14" t="str">
        <f aca="false">IF($K30="","",IF($K30&gt;=REPORTING_DEPTH_CM,"Yes","No"))</f>
        <v/>
      </c>
      <c r="O30" s="14" t="str">
        <f aca="false">IF($A30="","",IF(AND($B30&lt;&gt;"",COUNTIF('1. Plot &amp; Site Log'!$A$5:$A$64,$B30)=0),"Plot ID not in Plot &amp; Site Log. ","")&amp;IF($K30="","No soil slices logged for this core. ","")&amp;IF($N30="No","Core stops short of the reporting depth — its depth-limited stock is an underestimate. ","")&amp;IF(AND($H30&lt;&gt;"",$H30&gt;1.05),"Core compacted by "&amp;TEXT(($H30-1)*100,"0")&amp;"%: slice depths in the tube sit shallower than in the ground, so the depth-limited stock is biased. Full-core stock is unaffected. ","")&amp;IF(AND($H30&lt;&gt;"",$H30&lt;0.98),"Core length exceeds hole depth — check the two measurements. ",""))</f>
        <v/>
      </c>
      <c r="P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4" t="str">
        <f aca="false">IF(OR($F31="",$G31="",$G31=0),"",$F31/$G31)</f>
        <v/>
      </c>
      <c r="I31" s="13"/>
      <c r="J31" s="13"/>
      <c r="K31" s="14" t="str">
        <f aca="false">IF($A31="","",IF(SUMPRODUCT(MAX(('5. Soil Data'!$B$5:$B$504=$A31)*'5. Soil Data'!$E$5:$E$504))=0,"",SUMPRODUCT(MAX(('5. Soil Data'!$B$5:$B$504=$A31)*'5. Soil Data'!$E$5:$E$504))))</f>
        <v/>
      </c>
      <c r="L31" s="14" t="str">
        <f aca="false">IF($A31="","",IFERROR(SUMIFS('5. Soil Data'!$O$5:$O$504,'5. Soil Data'!$B$5:$B$504,$A31),""))</f>
        <v/>
      </c>
      <c r="M31" s="14" t="str">
        <f aca="false">IF($A31="","",IFERROR(SUMIFS('5. Soil Data'!$P$5:$P$504,'5. Soil Data'!$B$5:$B$504,$A31),""))</f>
        <v/>
      </c>
      <c r="N31" s="14" t="str">
        <f aca="false">IF($K31="","",IF($K31&gt;=REPORTING_DEPTH_CM,"Yes","No"))</f>
        <v/>
      </c>
      <c r="O31" s="14" t="str">
        <f aca="false">IF($A31="","",IF(AND($B31&lt;&gt;"",COUNTIF('1. Plot &amp; Site Log'!$A$5:$A$64,$B31)=0),"Plot ID not in Plot &amp; Site Log. ","")&amp;IF($K31="","No soil slices logged for this core. ","")&amp;IF($N31="No","Core stops short of the reporting depth — its depth-limited stock is an underestimate. ","")&amp;IF(AND($H31&lt;&gt;"",$H31&gt;1.05),"Core compacted by "&amp;TEXT(($H31-1)*100,"0")&amp;"%: slice depths in the tube sit shallower than in the ground, so the depth-limited stock is biased. Full-core stock is unaffected. ","")&amp;IF(AND($H31&lt;&gt;"",$H31&lt;0.98),"Core length exceeds hole depth — check the two measurements. ",""))</f>
        <v/>
      </c>
      <c r="P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4" t="str">
        <f aca="false">IF(OR($F32="",$G32="",$G32=0),"",$F32/$G32)</f>
        <v/>
      </c>
      <c r="I32" s="13"/>
      <c r="J32" s="13"/>
      <c r="K32" s="14" t="str">
        <f aca="false">IF($A32="","",IF(SUMPRODUCT(MAX(('5. Soil Data'!$B$5:$B$504=$A32)*'5. Soil Data'!$E$5:$E$504))=0,"",SUMPRODUCT(MAX(('5. Soil Data'!$B$5:$B$504=$A32)*'5. Soil Data'!$E$5:$E$504))))</f>
        <v/>
      </c>
      <c r="L32" s="14" t="str">
        <f aca="false">IF($A32="","",IFERROR(SUMIFS('5. Soil Data'!$O$5:$O$504,'5. Soil Data'!$B$5:$B$504,$A32),""))</f>
        <v/>
      </c>
      <c r="M32" s="14" t="str">
        <f aca="false">IF($A32="","",IFERROR(SUMIFS('5. Soil Data'!$P$5:$P$504,'5. Soil Data'!$B$5:$B$504,$A32),""))</f>
        <v/>
      </c>
      <c r="N32" s="14" t="str">
        <f aca="false">IF($K32="","",IF($K32&gt;=REPORTING_DEPTH_CM,"Yes","No"))</f>
        <v/>
      </c>
      <c r="O32" s="14" t="str">
        <f aca="false">IF($A32="","",IF(AND($B32&lt;&gt;"",COUNTIF('1. Plot &amp; Site Log'!$A$5:$A$64,$B32)=0),"Plot ID not in Plot &amp; Site Log. ","")&amp;IF($K32="","No soil slices logged for this core. ","")&amp;IF($N32="No","Core stops short of the reporting depth — its depth-limited stock is an underestimate. ","")&amp;IF(AND($H32&lt;&gt;"",$H32&gt;1.05),"Core compacted by "&amp;TEXT(($H32-1)*100,"0")&amp;"%: slice depths in the tube sit shallower than in the ground, so the depth-limited stock is biased. Full-core stock is unaffected. ","")&amp;IF(AND($H32&lt;&gt;"",$H32&lt;0.98),"Core length exceeds hole depth — check the two measurements. ",""))</f>
        <v/>
      </c>
      <c r="P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4" t="str">
        <f aca="false">IF(OR($F33="",$G33="",$G33=0),"",$F33/$G33)</f>
        <v/>
      </c>
      <c r="I33" s="13"/>
      <c r="J33" s="13"/>
      <c r="K33" s="14" t="str">
        <f aca="false">IF($A33="","",IF(SUMPRODUCT(MAX(('5. Soil Data'!$B$5:$B$504=$A33)*'5. Soil Data'!$E$5:$E$504))=0,"",SUMPRODUCT(MAX(('5. Soil Data'!$B$5:$B$504=$A33)*'5. Soil Data'!$E$5:$E$504))))</f>
        <v/>
      </c>
      <c r="L33" s="14" t="str">
        <f aca="false">IF($A33="","",IFERROR(SUMIFS('5. Soil Data'!$O$5:$O$504,'5. Soil Data'!$B$5:$B$504,$A33),""))</f>
        <v/>
      </c>
      <c r="M33" s="14" t="str">
        <f aca="false">IF($A33="","",IFERROR(SUMIFS('5. Soil Data'!$P$5:$P$504,'5. Soil Data'!$B$5:$B$504,$A33),""))</f>
        <v/>
      </c>
      <c r="N33" s="14" t="str">
        <f aca="false">IF($K33="","",IF($K33&gt;=REPORTING_DEPTH_CM,"Yes","No"))</f>
        <v/>
      </c>
      <c r="O33" s="14" t="str">
        <f aca="false">IF($A33="","",IF(AND($B33&lt;&gt;"",COUNTIF('1. Plot &amp; Site Log'!$A$5:$A$64,$B33)=0),"Plot ID not in Plot &amp; Site Log. ","")&amp;IF($K33="","No soil slices logged for this core. ","")&amp;IF($N33="No","Core stops short of the reporting depth — its depth-limited stock is an underestimate. ","")&amp;IF(AND($H33&lt;&gt;"",$H33&gt;1.05),"Core compacted by "&amp;TEXT(($H33-1)*100,"0")&amp;"%: slice depths in the tube sit shallower than in the ground, so the depth-limited stock is biased. Full-core stock is unaffected. ","")&amp;IF(AND($H33&lt;&gt;"",$H33&lt;0.98),"Core length exceeds hole depth — check the two measurements. ",""))</f>
        <v/>
      </c>
      <c r="P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4" t="str">
        <f aca="false">IF(OR($F34="",$G34="",$G34=0),"",$F34/$G34)</f>
        <v/>
      </c>
      <c r="I34" s="13"/>
      <c r="J34" s="13"/>
      <c r="K34" s="14" t="str">
        <f aca="false">IF($A34="","",IF(SUMPRODUCT(MAX(('5. Soil Data'!$B$5:$B$504=$A34)*'5. Soil Data'!$E$5:$E$504))=0,"",SUMPRODUCT(MAX(('5. Soil Data'!$B$5:$B$504=$A34)*'5. Soil Data'!$E$5:$E$504))))</f>
        <v/>
      </c>
      <c r="L34" s="14" t="str">
        <f aca="false">IF($A34="","",IFERROR(SUMIFS('5. Soil Data'!$O$5:$O$504,'5. Soil Data'!$B$5:$B$504,$A34),""))</f>
        <v/>
      </c>
      <c r="M34" s="14" t="str">
        <f aca="false">IF($A34="","",IFERROR(SUMIFS('5. Soil Data'!$P$5:$P$504,'5. Soil Data'!$B$5:$B$504,$A34),""))</f>
        <v/>
      </c>
      <c r="N34" s="14" t="str">
        <f aca="false">IF($K34="","",IF($K34&gt;=REPORTING_DEPTH_CM,"Yes","No"))</f>
        <v/>
      </c>
      <c r="O34" s="14" t="str">
        <f aca="false">IF($A34="","",IF(AND($B34&lt;&gt;"",COUNTIF('1. Plot &amp; Site Log'!$A$5:$A$64,$B34)=0),"Plot ID not in Plot &amp; Site Log. ","")&amp;IF($K34="","No soil slices logged for this core. ","")&amp;IF($N34="No","Core stops short of the reporting depth — its depth-limited stock is an underestimate. ","")&amp;IF(AND($H34&lt;&gt;"",$H34&gt;1.05),"Core compacted by "&amp;TEXT(($H34-1)*100,"0")&amp;"%: slice depths in the tube sit shallower than in the ground, so the depth-limited stock is biased. Full-core stock is unaffected. ","")&amp;IF(AND($H34&lt;&gt;"",$H34&lt;0.98),"Core length exceeds hole depth — check the two measurements. ",""))</f>
        <v/>
      </c>
      <c r="P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4" t="str">
        <f aca="false">IF(OR($F35="",$G35="",$G35=0),"",$F35/$G35)</f>
        <v/>
      </c>
      <c r="I35" s="13"/>
      <c r="J35" s="13"/>
      <c r="K35" s="14" t="str">
        <f aca="false">IF($A35="","",IF(SUMPRODUCT(MAX(('5. Soil Data'!$B$5:$B$504=$A35)*'5. Soil Data'!$E$5:$E$504))=0,"",SUMPRODUCT(MAX(('5. Soil Data'!$B$5:$B$504=$A35)*'5. Soil Data'!$E$5:$E$504))))</f>
        <v/>
      </c>
      <c r="L35" s="14" t="str">
        <f aca="false">IF($A35="","",IFERROR(SUMIFS('5. Soil Data'!$O$5:$O$504,'5. Soil Data'!$B$5:$B$504,$A35),""))</f>
        <v/>
      </c>
      <c r="M35" s="14" t="str">
        <f aca="false">IF($A35="","",IFERROR(SUMIFS('5. Soil Data'!$P$5:$P$504,'5. Soil Data'!$B$5:$B$504,$A35),""))</f>
        <v/>
      </c>
      <c r="N35" s="14" t="str">
        <f aca="false">IF($K35="","",IF($K35&gt;=REPORTING_DEPTH_CM,"Yes","No"))</f>
        <v/>
      </c>
      <c r="O35" s="14" t="str">
        <f aca="false">IF($A35="","",IF(AND($B35&lt;&gt;"",COUNTIF('1. Plot &amp; Site Log'!$A$5:$A$64,$B35)=0),"Plot ID not in Plot &amp; Site Log. ","")&amp;IF($K35="","No soil slices logged for this core. ","")&amp;IF($N35="No","Core stops short of the reporting depth — its depth-limited stock is an underestimate. ","")&amp;IF(AND($H35&lt;&gt;"",$H35&gt;1.05),"Core compacted by "&amp;TEXT(($H35-1)*100,"0")&amp;"%: slice depths in the tube sit shallower than in the ground, so the depth-limited stock is biased. Full-core stock is unaffected. ","")&amp;IF(AND($H35&lt;&gt;"",$H35&lt;0.98),"Core length exceeds hole depth — check the two measurements. ",""))</f>
        <v/>
      </c>
      <c r="P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4" t="str">
        <f aca="false">IF(OR($F36="",$G36="",$G36=0),"",$F36/$G36)</f>
        <v/>
      </c>
      <c r="I36" s="13"/>
      <c r="J36" s="13"/>
      <c r="K36" s="14" t="str">
        <f aca="false">IF($A36="","",IF(SUMPRODUCT(MAX(('5. Soil Data'!$B$5:$B$504=$A36)*'5. Soil Data'!$E$5:$E$504))=0,"",SUMPRODUCT(MAX(('5. Soil Data'!$B$5:$B$504=$A36)*'5. Soil Data'!$E$5:$E$504))))</f>
        <v/>
      </c>
      <c r="L36" s="14" t="str">
        <f aca="false">IF($A36="","",IFERROR(SUMIFS('5. Soil Data'!$O$5:$O$504,'5. Soil Data'!$B$5:$B$504,$A36),""))</f>
        <v/>
      </c>
      <c r="M36" s="14" t="str">
        <f aca="false">IF($A36="","",IFERROR(SUMIFS('5. Soil Data'!$P$5:$P$504,'5. Soil Data'!$B$5:$B$504,$A36),""))</f>
        <v/>
      </c>
      <c r="N36" s="14" t="str">
        <f aca="false">IF($K36="","",IF($K36&gt;=REPORTING_DEPTH_CM,"Yes","No"))</f>
        <v/>
      </c>
      <c r="O36" s="14" t="str">
        <f aca="false">IF($A36="","",IF(AND($B36&lt;&gt;"",COUNTIF('1. Plot &amp; Site Log'!$A$5:$A$64,$B36)=0),"Plot ID not in Plot &amp; Site Log. ","")&amp;IF($K36="","No soil slices logged for this core. ","")&amp;IF($N36="No","Core stops short of the reporting depth — its depth-limited stock is an underestimate. ","")&amp;IF(AND($H36&lt;&gt;"",$H36&gt;1.05),"Core compacted by "&amp;TEXT(($H36-1)*100,"0")&amp;"%: slice depths in the tube sit shallower than in the ground, so the depth-limited stock is biased. Full-core stock is unaffected. ","")&amp;IF(AND($H36&lt;&gt;"",$H36&lt;0.98),"Core length exceeds hole depth — check the two measurements. ",""))</f>
        <v/>
      </c>
      <c r="P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4" t="str">
        <f aca="false">IF(OR($F37="",$G37="",$G37=0),"",$F37/$G37)</f>
        <v/>
      </c>
      <c r="I37" s="13"/>
      <c r="J37" s="13"/>
      <c r="K37" s="14" t="str">
        <f aca="false">IF($A37="","",IF(SUMPRODUCT(MAX(('5. Soil Data'!$B$5:$B$504=$A37)*'5. Soil Data'!$E$5:$E$504))=0,"",SUMPRODUCT(MAX(('5. Soil Data'!$B$5:$B$504=$A37)*'5. Soil Data'!$E$5:$E$504))))</f>
        <v/>
      </c>
      <c r="L37" s="14" t="str">
        <f aca="false">IF($A37="","",IFERROR(SUMIFS('5. Soil Data'!$O$5:$O$504,'5. Soil Data'!$B$5:$B$504,$A37),""))</f>
        <v/>
      </c>
      <c r="M37" s="14" t="str">
        <f aca="false">IF($A37="","",IFERROR(SUMIFS('5. Soil Data'!$P$5:$P$504,'5. Soil Data'!$B$5:$B$504,$A37),""))</f>
        <v/>
      </c>
      <c r="N37" s="14" t="str">
        <f aca="false">IF($K37="","",IF($K37&gt;=REPORTING_DEPTH_CM,"Yes","No"))</f>
        <v/>
      </c>
      <c r="O37" s="14" t="str">
        <f aca="false">IF($A37="","",IF(AND($B37&lt;&gt;"",COUNTIF('1. Plot &amp; Site Log'!$A$5:$A$64,$B37)=0),"Plot ID not in Plot &amp; Site Log. ","")&amp;IF($K37="","No soil slices logged for this core. ","")&amp;IF($N37="No","Core stops short of the reporting depth — its depth-limited stock is an underestimate. ","")&amp;IF(AND($H37&lt;&gt;"",$H37&gt;1.05),"Core compacted by "&amp;TEXT(($H37-1)*100,"0")&amp;"%: slice depths in the tube sit shallower than in the ground, so the depth-limited stock is biased. Full-core stock is unaffected. ","")&amp;IF(AND($H37&lt;&gt;"",$H37&lt;0.98),"Core length exceeds hole depth — check the two measurements. ",""))</f>
        <v/>
      </c>
      <c r="P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4" t="str">
        <f aca="false">IF(OR($F38="",$G38="",$G38=0),"",$F38/$G38)</f>
        <v/>
      </c>
      <c r="I38" s="13"/>
      <c r="J38" s="13"/>
      <c r="K38" s="14" t="str">
        <f aca="false">IF($A38="","",IF(SUMPRODUCT(MAX(('5. Soil Data'!$B$5:$B$504=$A38)*'5. Soil Data'!$E$5:$E$504))=0,"",SUMPRODUCT(MAX(('5. Soil Data'!$B$5:$B$504=$A38)*'5. Soil Data'!$E$5:$E$504))))</f>
        <v/>
      </c>
      <c r="L38" s="14" t="str">
        <f aca="false">IF($A38="","",IFERROR(SUMIFS('5. Soil Data'!$O$5:$O$504,'5. Soil Data'!$B$5:$B$504,$A38),""))</f>
        <v/>
      </c>
      <c r="M38" s="14" t="str">
        <f aca="false">IF($A38="","",IFERROR(SUMIFS('5. Soil Data'!$P$5:$P$504,'5. Soil Data'!$B$5:$B$504,$A38),""))</f>
        <v/>
      </c>
      <c r="N38" s="14" t="str">
        <f aca="false">IF($K38="","",IF($K38&gt;=REPORTING_DEPTH_CM,"Yes","No"))</f>
        <v/>
      </c>
      <c r="O38" s="14" t="str">
        <f aca="false">IF($A38="","",IF(AND($B38&lt;&gt;"",COUNTIF('1. Plot &amp; Site Log'!$A$5:$A$64,$B38)=0),"Plot ID not in Plot &amp; Site Log. ","")&amp;IF($K38="","No soil slices logged for this core. ","")&amp;IF($N38="No","Core stops short of the reporting depth — its depth-limited stock is an underestimate. ","")&amp;IF(AND($H38&lt;&gt;"",$H38&gt;1.05),"Core compacted by "&amp;TEXT(($H38-1)*100,"0")&amp;"%: slice depths in the tube sit shallower than in the ground, so the depth-limited stock is biased. Full-core stock is unaffected. ","")&amp;IF(AND($H38&lt;&gt;"",$H38&lt;0.98),"Core length exceeds hole depth — check the two measurements. ",""))</f>
        <v/>
      </c>
      <c r="P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4" t="str">
        <f aca="false">IF(OR($F39="",$G39="",$G39=0),"",$F39/$G39)</f>
        <v/>
      </c>
      <c r="I39" s="13"/>
      <c r="J39" s="13"/>
      <c r="K39" s="14" t="str">
        <f aca="false">IF($A39="","",IF(SUMPRODUCT(MAX(('5. Soil Data'!$B$5:$B$504=$A39)*'5. Soil Data'!$E$5:$E$504))=0,"",SUMPRODUCT(MAX(('5. Soil Data'!$B$5:$B$504=$A39)*'5. Soil Data'!$E$5:$E$504))))</f>
        <v/>
      </c>
      <c r="L39" s="14" t="str">
        <f aca="false">IF($A39="","",IFERROR(SUMIFS('5. Soil Data'!$O$5:$O$504,'5. Soil Data'!$B$5:$B$504,$A39),""))</f>
        <v/>
      </c>
      <c r="M39" s="14" t="str">
        <f aca="false">IF($A39="","",IFERROR(SUMIFS('5. Soil Data'!$P$5:$P$504,'5. Soil Data'!$B$5:$B$504,$A39),""))</f>
        <v/>
      </c>
      <c r="N39" s="14" t="str">
        <f aca="false">IF($K39="","",IF($K39&gt;=REPORTING_DEPTH_CM,"Yes","No"))</f>
        <v/>
      </c>
      <c r="O39" s="14" t="str">
        <f aca="false">IF($A39="","",IF(AND($B39&lt;&gt;"",COUNTIF('1. Plot &amp; Site Log'!$A$5:$A$64,$B39)=0),"Plot ID not in Plot &amp; Site Log. ","")&amp;IF($K39="","No soil slices logged for this core. ","")&amp;IF($N39="No","Core stops short of the reporting depth — its depth-limited stock is an underestimate. ","")&amp;IF(AND($H39&lt;&gt;"",$H39&gt;1.05),"Core compacted by "&amp;TEXT(($H39-1)*100,"0")&amp;"%: slice depths in the tube sit shallower than in the ground, so the depth-limited stock is biased. Full-core stock is unaffected. ","")&amp;IF(AND($H39&lt;&gt;"",$H39&lt;0.98),"Core length exceeds hole depth — check the two measurements. ",""))</f>
        <v/>
      </c>
      <c r="P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4" t="str">
        <f aca="false">IF(OR($F40="",$G40="",$G40=0),"",$F40/$G40)</f>
        <v/>
      </c>
      <c r="I40" s="13"/>
      <c r="J40" s="13"/>
      <c r="K40" s="14" t="str">
        <f aca="false">IF($A40="","",IF(SUMPRODUCT(MAX(('5. Soil Data'!$B$5:$B$504=$A40)*'5. Soil Data'!$E$5:$E$504))=0,"",SUMPRODUCT(MAX(('5. Soil Data'!$B$5:$B$504=$A40)*'5. Soil Data'!$E$5:$E$504))))</f>
        <v/>
      </c>
      <c r="L40" s="14" t="str">
        <f aca="false">IF($A40="","",IFERROR(SUMIFS('5. Soil Data'!$O$5:$O$504,'5. Soil Data'!$B$5:$B$504,$A40),""))</f>
        <v/>
      </c>
      <c r="M40" s="14" t="str">
        <f aca="false">IF($A40="","",IFERROR(SUMIFS('5. Soil Data'!$P$5:$P$504,'5. Soil Data'!$B$5:$B$504,$A40),""))</f>
        <v/>
      </c>
      <c r="N40" s="14" t="str">
        <f aca="false">IF($K40="","",IF($K40&gt;=REPORTING_DEPTH_CM,"Yes","No"))</f>
        <v/>
      </c>
      <c r="O40" s="14" t="str">
        <f aca="false">IF($A40="","",IF(AND($B40&lt;&gt;"",COUNTIF('1. Plot &amp; Site Log'!$A$5:$A$64,$B40)=0),"Plot ID not in Plot &amp; Site Log. ","")&amp;IF($K40="","No soil slices logged for this core. ","")&amp;IF($N40="No","Core stops short of the reporting depth — its depth-limited stock is an underestimate. ","")&amp;IF(AND($H40&lt;&gt;"",$H40&gt;1.05),"Core compacted by "&amp;TEXT(($H40-1)*100,"0")&amp;"%: slice depths in the tube sit shallower than in the ground, so the depth-limited stock is biased. Full-core stock is unaffected. ","")&amp;IF(AND($H40&lt;&gt;"",$H40&lt;0.98),"Core length exceeds hole depth — check the two measurements. ",""))</f>
        <v/>
      </c>
      <c r="P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4" t="str">
        <f aca="false">IF(OR($F41="",$G41="",$G41=0),"",$F41/$G41)</f>
        <v/>
      </c>
      <c r="I41" s="13"/>
      <c r="J41" s="13"/>
      <c r="K41" s="14" t="str">
        <f aca="false">IF($A41="","",IF(SUMPRODUCT(MAX(('5. Soil Data'!$B$5:$B$504=$A41)*'5. Soil Data'!$E$5:$E$504))=0,"",SUMPRODUCT(MAX(('5. Soil Data'!$B$5:$B$504=$A41)*'5. Soil Data'!$E$5:$E$504))))</f>
        <v/>
      </c>
      <c r="L41" s="14" t="str">
        <f aca="false">IF($A41="","",IFERROR(SUMIFS('5. Soil Data'!$O$5:$O$504,'5. Soil Data'!$B$5:$B$504,$A41),""))</f>
        <v/>
      </c>
      <c r="M41" s="14" t="str">
        <f aca="false">IF($A41="","",IFERROR(SUMIFS('5. Soil Data'!$P$5:$P$504,'5. Soil Data'!$B$5:$B$504,$A41),""))</f>
        <v/>
      </c>
      <c r="N41" s="14" t="str">
        <f aca="false">IF($K41="","",IF($K41&gt;=REPORTING_DEPTH_CM,"Yes","No"))</f>
        <v/>
      </c>
      <c r="O41" s="14" t="str">
        <f aca="false">IF($A41="","",IF(AND($B41&lt;&gt;"",COUNTIF('1. Plot &amp; Site Log'!$A$5:$A$64,$B41)=0),"Plot ID not in Plot &amp; Site Log. ","")&amp;IF($K41="","No soil slices logged for this core. ","")&amp;IF($N41="No","Core stops short of the reporting depth — its depth-limited stock is an underestimate. ","")&amp;IF(AND($H41&lt;&gt;"",$H41&gt;1.05),"Core compacted by "&amp;TEXT(($H41-1)*100,"0")&amp;"%: slice depths in the tube sit shallower than in the ground, so the depth-limited stock is biased. Full-core stock is unaffected. ","")&amp;IF(AND($H41&lt;&gt;"",$H41&lt;0.98),"Core length exceeds hole depth — check the two measurements. ",""))</f>
        <v/>
      </c>
      <c r="P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4" t="str">
        <f aca="false">IF(OR($F42="",$G42="",$G42=0),"",$F42/$G42)</f>
        <v/>
      </c>
      <c r="I42" s="13"/>
      <c r="J42" s="13"/>
      <c r="K42" s="14" t="str">
        <f aca="false">IF($A42="","",IF(SUMPRODUCT(MAX(('5. Soil Data'!$B$5:$B$504=$A42)*'5. Soil Data'!$E$5:$E$504))=0,"",SUMPRODUCT(MAX(('5. Soil Data'!$B$5:$B$504=$A42)*'5. Soil Data'!$E$5:$E$504))))</f>
        <v/>
      </c>
      <c r="L42" s="14" t="str">
        <f aca="false">IF($A42="","",IFERROR(SUMIFS('5. Soil Data'!$O$5:$O$504,'5. Soil Data'!$B$5:$B$504,$A42),""))</f>
        <v/>
      </c>
      <c r="M42" s="14" t="str">
        <f aca="false">IF($A42="","",IFERROR(SUMIFS('5. Soil Data'!$P$5:$P$504,'5. Soil Data'!$B$5:$B$504,$A42),""))</f>
        <v/>
      </c>
      <c r="N42" s="14" t="str">
        <f aca="false">IF($K42="","",IF($K42&gt;=REPORTING_DEPTH_CM,"Yes","No"))</f>
        <v/>
      </c>
      <c r="O42" s="14" t="str">
        <f aca="false">IF($A42="","",IF(AND($B42&lt;&gt;"",COUNTIF('1. Plot &amp; Site Log'!$A$5:$A$64,$B42)=0),"Plot ID not in Plot &amp; Site Log. ","")&amp;IF($K42="","No soil slices logged for this core. ","")&amp;IF($N42="No","Core stops short of the reporting depth — its depth-limited stock is an underestimate. ","")&amp;IF(AND($H42&lt;&gt;"",$H42&gt;1.05),"Core compacted by "&amp;TEXT(($H42-1)*100,"0")&amp;"%: slice depths in the tube sit shallower than in the ground, so the depth-limited stock is biased. Full-core stock is unaffected. ","")&amp;IF(AND($H42&lt;&gt;"",$H42&lt;0.98),"Core length exceeds hole depth — check the two measurements. ",""))</f>
        <v/>
      </c>
      <c r="P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4" t="str">
        <f aca="false">IF(OR($F43="",$G43="",$G43=0),"",$F43/$G43)</f>
        <v/>
      </c>
      <c r="I43" s="13"/>
      <c r="J43" s="13"/>
      <c r="K43" s="14" t="str">
        <f aca="false">IF($A43="","",IF(SUMPRODUCT(MAX(('5. Soil Data'!$B$5:$B$504=$A43)*'5. Soil Data'!$E$5:$E$504))=0,"",SUMPRODUCT(MAX(('5. Soil Data'!$B$5:$B$504=$A43)*'5. Soil Data'!$E$5:$E$504))))</f>
        <v/>
      </c>
      <c r="L43" s="14" t="str">
        <f aca="false">IF($A43="","",IFERROR(SUMIFS('5. Soil Data'!$O$5:$O$504,'5. Soil Data'!$B$5:$B$504,$A43),""))</f>
        <v/>
      </c>
      <c r="M43" s="14" t="str">
        <f aca="false">IF($A43="","",IFERROR(SUMIFS('5. Soil Data'!$P$5:$P$504,'5. Soil Data'!$B$5:$B$504,$A43),""))</f>
        <v/>
      </c>
      <c r="N43" s="14" t="str">
        <f aca="false">IF($K43="","",IF($K43&gt;=REPORTING_DEPTH_CM,"Yes","No"))</f>
        <v/>
      </c>
      <c r="O43" s="14" t="str">
        <f aca="false">IF($A43="","",IF(AND($B43&lt;&gt;"",COUNTIF('1. Plot &amp; Site Log'!$A$5:$A$64,$B43)=0),"Plot ID not in Plot &amp; Site Log. ","")&amp;IF($K43="","No soil slices logged for this core. ","")&amp;IF($N43="No","Core stops short of the reporting depth — its depth-limited stock is an underestimate. ","")&amp;IF(AND($H43&lt;&gt;"",$H43&gt;1.05),"Core compacted by "&amp;TEXT(($H43-1)*100,"0")&amp;"%: slice depths in the tube sit shallower than in the ground, so the depth-limited stock is biased. Full-core stock is unaffected. ","")&amp;IF(AND($H43&lt;&gt;"",$H43&lt;0.98),"Core length exceeds hole depth — check the two measurements. ",""))</f>
        <v/>
      </c>
      <c r="P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4" t="str">
        <f aca="false">IF(OR($F44="",$G44="",$G44=0),"",$F44/$G44)</f>
        <v/>
      </c>
      <c r="I44" s="13"/>
      <c r="J44" s="13"/>
      <c r="K44" s="14" t="str">
        <f aca="false">IF($A44="","",IF(SUMPRODUCT(MAX(('5. Soil Data'!$B$5:$B$504=$A44)*'5. Soil Data'!$E$5:$E$504))=0,"",SUMPRODUCT(MAX(('5. Soil Data'!$B$5:$B$504=$A44)*'5. Soil Data'!$E$5:$E$504))))</f>
        <v/>
      </c>
      <c r="L44" s="14" t="str">
        <f aca="false">IF($A44="","",IFERROR(SUMIFS('5. Soil Data'!$O$5:$O$504,'5. Soil Data'!$B$5:$B$504,$A44),""))</f>
        <v/>
      </c>
      <c r="M44" s="14" t="str">
        <f aca="false">IF($A44="","",IFERROR(SUMIFS('5. Soil Data'!$P$5:$P$504,'5. Soil Data'!$B$5:$B$504,$A44),""))</f>
        <v/>
      </c>
      <c r="N44" s="14" t="str">
        <f aca="false">IF($K44="","",IF($K44&gt;=REPORTING_DEPTH_CM,"Yes","No"))</f>
        <v/>
      </c>
      <c r="O44" s="14" t="str">
        <f aca="false">IF($A44="","",IF(AND($B44&lt;&gt;"",COUNTIF('1. Plot &amp; Site Log'!$A$5:$A$64,$B44)=0),"Plot ID not in Plot &amp; Site Log. ","")&amp;IF($K44="","No soil slices logged for this core. ","")&amp;IF($N44="No","Core stops short of the reporting depth — its depth-limited stock is an underestimate. ","")&amp;IF(AND($H44&lt;&gt;"",$H44&gt;1.05),"Core compacted by "&amp;TEXT(($H44-1)*100,"0")&amp;"%: slice depths in the tube sit shallower than in the ground, so the depth-limited stock is biased. Full-core stock is unaffected. ","")&amp;IF(AND($H44&lt;&gt;"",$H44&lt;0.98),"Core length exceeds hole depth — check the two measurements. ",""))</f>
        <v/>
      </c>
      <c r="P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4" t="str">
        <f aca="false">IF(OR($F45="",$G45="",$G45=0),"",$F45/$G45)</f>
        <v/>
      </c>
      <c r="I45" s="13"/>
      <c r="J45" s="13"/>
      <c r="K45" s="14" t="str">
        <f aca="false">IF($A45="","",IF(SUMPRODUCT(MAX(('5. Soil Data'!$B$5:$B$504=$A45)*'5. Soil Data'!$E$5:$E$504))=0,"",SUMPRODUCT(MAX(('5. Soil Data'!$B$5:$B$504=$A45)*'5. Soil Data'!$E$5:$E$504))))</f>
        <v/>
      </c>
      <c r="L45" s="14" t="str">
        <f aca="false">IF($A45="","",IFERROR(SUMIFS('5. Soil Data'!$O$5:$O$504,'5. Soil Data'!$B$5:$B$504,$A45),""))</f>
        <v/>
      </c>
      <c r="M45" s="14" t="str">
        <f aca="false">IF($A45="","",IFERROR(SUMIFS('5. Soil Data'!$P$5:$P$504,'5. Soil Data'!$B$5:$B$504,$A45),""))</f>
        <v/>
      </c>
      <c r="N45" s="14" t="str">
        <f aca="false">IF($K45="","",IF($K45&gt;=REPORTING_DEPTH_CM,"Yes","No"))</f>
        <v/>
      </c>
      <c r="O45" s="14" t="str">
        <f aca="false">IF($A45="","",IF(AND($B45&lt;&gt;"",COUNTIF('1. Plot &amp; Site Log'!$A$5:$A$64,$B45)=0),"Plot ID not in Plot &amp; Site Log. ","")&amp;IF($K45="","No soil slices logged for this core. ","")&amp;IF($N45="No","Core stops short of the reporting depth — its depth-limited stock is an underestimate. ","")&amp;IF(AND($H45&lt;&gt;"",$H45&gt;1.05),"Core compacted by "&amp;TEXT(($H45-1)*100,"0")&amp;"%: slice depths in the tube sit shallower than in the ground, so the depth-limited stock is biased. Full-core stock is unaffected. ","")&amp;IF(AND($H45&lt;&gt;"",$H45&lt;0.98),"Core length exceeds hole depth — check the two measurements. ",""))</f>
        <v/>
      </c>
      <c r="P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4" t="str">
        <f aca="false">IF(OR($F46="",$G46="",$G46=0),"",$F46/$G46)</f>
        <v/>
      </c>
      <c r="I46" s="13"/>
      <c r="J46" s="13"/>
      <c r="K46" s="14" t="str">
        <f aca="false">IF($A46="","",IF(SUMPRODUCT(MAX(('5. Soil Data'!$B$5:$B$504=$A46)*'5. Soil Data'!$E$5:$E$504))=0,"",SUMPRODUCT(MAX(('5. Soil Data'!$B$5:$B$504=$A46)*'5. Soil Data'!$E$5:$E$504))))</f>
        <v/>
      </c>
      <c r="L46" s="14" t="str">
        <f aca="false">IF($A46="","",IFERROR(SUMIFS('5. Soil Data'!$O$5:$O$504,'5. Soil Data'!$B$5:$B$504,$A46),""))</f>
        <v/>
      </c>
      <c r="M46" s="14" t="str">
        <f aca="false">IF($A46="","",IFERROR(SUMIFS('5. Soil Data'!$P$5:$P$504,'5. Soil Data'!$B$5:$B$504,$A46),""))</f>
        <v/>
      </c>
      <c r="N46" s="14" t="str">
        <f aca="false">IF($K46="","",IF($K46&gt;=REPORTING_DEPTH_CM,"Yes","No"))</f>
        <v/>
      </c>
      <c r="O46" s="14" t="str">
        <f aca="false">IF($A46="","",IF(AND($B46&lt;&gt;"",COUNTIF('1. Plot &amp; Site Log'!$A$5:$A$64,$B46)=0),"Plot ID not in Plot &amp; Site Log. ","")&amp;IF($K46="","No soil slices logged for this core. ","")&amp;IF($N46="No","Core stops short of the reporting depth — its depth-limited stock is an underestimate. ","")&amp;IF(AND($H46&lt;&gt;"",$H46&gt;1.05),"Core compacted by "&amp;TEXT(($H46-1)*100,"0")&amp;"%: slice depths in the tube sit shallower than in the ground, so the depth-limited stock is biased. Full-core stock is unaffected. ","")&amp;IF(AND($H46&lt;&gt;"",$H46&lt;0.98),"Core length exceeds hole depth — check the two measurements. ",""))</f>
        <v/>
      </c>
      <c r="P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4" t="str">
        <f aca="false">IF(OR($F47="",$G47="",$G47=0),"",$F47/$G47)</f>
        <v/>
      </c>
      <c r="I47" s="13"/>
      <c r="J47" s="13"/>
      <c r="K47" s="14" t="str">
        <f aca="false">IF($A47="","",IF(SUMPRODUCT(MAX(('5. Soil Data'!$B$5:$B$504=$A47)*'5. Soil Data'!$E$5:$E$504))=0,"",SUMPRODUCT(MAX(('5. Soil Data'!$B$5:$B$504=$A47)*'5. Soil Data'!$E$5:$E$504))))</f>
        <v/>
      </c>
      <c r="L47" s="14" t="str">
        <f aca="false">IF($A47="","",IFERROR(SUMIFS('5. Soil Data'!$O$5:$O$504,'5. Soil Data'!$B$5:$B$504,$A47),""))</f>
        <v/>
      </c>
      <c r="M47" s="14" t="str">
        <f aca="false">IF($A47="","",IFERROR(SUMIFS('5. Soil Data'!$P$5:$P$504,'5. Soil Data'!$B$5:$B$504,$A47),""))</f>
        <v/>
      </c>
      <c r="N47" s="14" t="str">
        <f aca="false">IF($K47="","",IF($K47&gt;=REPORTING_DEPTH_CM,"Yes","No"))</f>
        <v/>
      </c>
      <c r="O47" s="14" t="str">
        <f aca="false">IF($A47="","",IF(AND($B47&lt;&gt;"",COUNTIF('1. Plot &amp; Site Log'!$A$5:$A$64,$B47)=0),"Plot ID not in Plot &amp; Site Log. ","")&amp;IF($K47="","No soil slices logged for this core. ","")&amp;IF($N47="No","Core stops short of the reporting depth — its depth-limited stock is an underestimate. ","")&amp;IF(AND($H47&lt;&gt;"",$H47&gt;1.05),"Core compacted by "&amp;TEXT(($H47-1)*100,"0")&amp;"%: slice depths in the tube sit shallower than in the ground, so the depth-limited stock is biased. Full-core stock is unaffected. ","")&amp;IF(AND($H47&lt;&gt;"",$H47&lt;0.98),"Core length exceeds hole depth — check the two measurements. ",""))</f>
        <v/>
      </c>
      <c r="P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4" t="str">
        <f aca="false">IF(OR($F48="",$G48="",$G48=0),"",$F48/$G48)</f>
        <v/>
      </c>
      <c r="I48" s="13"/>
      <c r="J48" s="13"/>
      <c r="K48" s="14" t="str">
        <f aca="false">IF($A48="","",IF(SUMPRODUCT(MAX(('5. Soil Data'!$B$5:$B$504=$A48)*'5. Soil Data'!$E$5:$E$504))=0,"",SUMPRODUCT(MAX(('5. Soil Data'!$B$5:$B$504=$A48)*'5. Soil Data'!$E$5:$E$504))))</f>
        <v/>
      </c>
      <c r="L48" s="14" t="str">
        <f aca="false">IF($A48="","",IFERROR(SUMIFS('5. Soil Data'!$O$5:$O$504,'5. Soil Data'!$B$5:$B$504,$A48),""))</f>
        <v/>
      </c>
      <c r="M48" s="14" t="str">
        <f aca="false">IF($A48="","",IFERROR(SUMIFS('5. Soil Data'!$P$5:$P$504,'5. Soil Data'!$B$5:$B$504,$A48),""))</f>
        <v/>
      </c>
      <c r="N48" s="14" t="str">
        <f aca="false">IF($K48="","",IF($K48&gt;=REPORTING_DEPTH_CM,"Yes","No"))</f>
        <v/>
      </c>
      <c r="O48" s="14" t="str">
        <f aca="false">IF($A48="","",IF(AND($B48&lt;&gt;"",COUNTIF('1. Plot &amp; Site Log'!$A$5:$A$64,$B48)=0),"Plot ID not in Plot &amp; Site Log. ","")&amp;IF($K48="","No soil slices logged for this core. ","")&amp;IF($N48="No","Core stops short of the reporting depth — its depth-limited stock is an underestimate. ","")&amp;IF(AND($H48&lt;&gt;"",$H48&gt;1.05),"Core compacted by "&amp;TEXT(($H48-1)*100,"0")&amp;"%: slice depths in the tube sit shallower than in the ground, so the depth-limited stock is biased. Full-core stock is unaffected. ","")&amp;IF(AND($H48&lt;&gt;"",$H48&lt;0.98),"Core length exceeds hole depth — check the two measurements. ",""))</f>
        <v/>
      </c>
      <c r="P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4" t="str">
        <f aca="false">IF(OR($F49="",$G49="",$G49=0),"",$F49/$G49)</f>
        <v/>
      </c>
      <c r="I49" s="13"/>
      <c r="J49" s="13"/>
      <c r="K49" s="14" t="str">
        <f aca="false">IF($A49="","",IF(SUMPRODUCT(MAX(('5. Soil Data'!$B$5:$B$504=$A49)*'5. Soil Data'!$E$5:$E$504))=0,"",SUMPRODUCT(MAX(('5. Soil Data'!$B$5:$B$504=$A49)*'5. Soil Data'!$E$5:$E$504))))</f>
        <v/>
      </c>
      <c r="L49" s="14" t="str">
        <f aca="false">IF($A49="","",IFERROR(SUMIFS('5. Soil Data'!$O$5:$O$504,'5. Soil Data'!$B$5:$B$504,$A49),""))</f>
        <v/>
      </c>
      <c r="M49" s="14" t="str">
        <f aca="false">IF($A49="","",IFERROR(SUMIFS('5. Soil Data'!$P$5:$P$504,'5. Soil Data'!$B$5:$B$504,$A49),""))</f>
        <v/>
      </c>
      <c r="N49" s="14" t="str">
        <f aca="false">IF($K49="","",IF($K49&gt;=REPORTING_DEPTH_CM,"Yes","No"))</f>
        <v/>
      </c>
      <c r="O49" s="14" t="str">
        <f aca="false">IF($A49="","",IF(AND($B49&lt;&gt;"",COUNTIF('1. Plot &amp; Site Log'!$A$5:$A$64,$B49)=0),"Plot ID not in Plot &amp; Site Log. ","")&amp;IF($K49="","No soil slices logged for this core. ","")&amp;IF($N49="No","Core stops short of the reporting depth — its depth-limited stock is an underestimate. ","")&amp;IF(AND($H49&lt;&gt;"",$H49&gt;1.05),"Core compacted by "&amp;TEXT(($H49-1)*100,"0")&amp;"%: slice depths in the tube sit shallower than in the ground, so the depth-limited stock is biased. Full-core stock is unaffected. ","")&amp;IF(AND($H49&lt;&gt;"",$H49&lt;0.98),"Core length exceeds hole depth — check the two measurements. ",""))</f>
        <v/>
      </c>
      <c r="P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4" t="str">
        <f aca="false">IF(OR($F50="",$G50="",$G50=0),"",$F50/$G50)</f>
        <v/>
      </c>
      <c r="I50" s="13"/>
      <c r="J50" s="13"/>
      <c r="K50" s="14" t="str">
        <f aca="false">IF($A50="","",IF(SUMPRODUCT(MAX(('5. Soil Data'!$B$5:$B$504=$A50)*'5. Soil Data'!$E$5:$E$504))=0,"",SUMPRODUCT(MAX(('5. Soil Data'!$B$5:$B$504=$A50)*'5. Soil Data'!$E$5:$E$504))))</f>
        <v/>
      </c>
      <c r="L50" s="14" t="str">
        <f aca="false">IF($A50="","",IFERROR(SUMIFS('5. Soil Data'!$O$5:$O$504,'5. Soil Data'!$B$5:$B$504,$A50),""))</f>
        <v/>
      </c>
      <c r="M50" s="14" t="str">
        <f aca="false">IF($A50="","",IFERROR(SUMIFS('5. Soil Data'!$P$5:$P$504,'5. Soil Data'!$B$5:$B$504,$A50),""))</f>
        <v/>
      </c>
      <c r="N50" s="14" t="str">
        <f aca="false">IF($K50="","",IF($K50&gt;=REPORTING_DEPTH_CM,"Yes","No"))</f>
        <v/>
      </c>
      <c r="O50" s="14" t="str">
        <f aca="false">IF($A50="","",IF(AND($B50&lt;&gt;"",COUNTIF('1. Plot &amp; Site Log'!$A$5:$A$64,$B50)=0),"Plot ID not in Plot &amp; Site Log. ","")&amp;IF($K50="","No soil slices logged for this core. ","")&amp;IF($N50="No","Core stops short of the reporting depth — its depth-limited stock is an underestimate. ","")&amp;IF(AND($H50&lt;&gt;"",$H50&gt;1.05),"Core compacted by "&amp;TEXT(($H50-1)*100,"0")&amp;"%: slice depths in the tube sit shallower than in the ground, so the depth-limited stock is biased. Full-core stock is unaffected. ","")&amp;IF(AND($H50&lt;&gt;"",$H50&lt;0.98),"Core length exceeds hole depth — check the two measurements. ",""))</f>
        <v/>
      </c>
      <c r="P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4" t="str">
        <f aca="false">IF(OR($F51="",$G51="",$G51=0),"",$F51/$G51)</f>
        <v/>
      </c>
      <c r="I51" s="13"/>
      <c r="J51" s="13"/>
      <c r="K51" s="14" t="str">
        <f aca="false">IF($A51="","",IF(SUMPRODUCT(MAX(('5. Soil Data'!$B$5:$B$504=$A51)*'5. Soil Data'!$E$5:$E$504))=0,"",SUMPRODUCT(MAX(('5. Soil Data'!$B$5:$B$504=$A51)*'5. Soil Data'!$E$5:$E$504))))</f>
        <v/>
      </c>
      <c r="L51" s="14" t="str">
        <f aca="false">IF($A51="","",IFERROR(SUMIFS('5. Soil Data'!$O$5:$O$504,'5. Soil Data'!$B$5:$B$504,$A51),""))</f>
        <v/>
      </c>
      <c r="M51" s="14" t="str">
        <f aca="false">IF($A51="","",IFERROR(SUMIFS('5. Soil Data'!$P$5:$P$504,'5. Soil Data'!$B$5:$B$504,$A51),""))</f>
        <v/>
      </c>
      <c r="N51" s="14" t="str">
        <f aca="false">IF($K51="","",IF($K51&gt;=REPORTING_DEPTH_CM,"Yes","No"))</f>
        <v/>
      </c>
      <c r="O51" s="14" t="str">
        <f aca="false">IF($A51="","",IF(AND($B51&lt;&gt;"",COUNTIF('1. Plot &amp; Site Log'!$A$5:$A$64,$B51)=0),"Plot ID not in Plot &amp; Site Log. ","")&amp;IF($K51="","No soil slices logged for this core. ","")&amp;IF($N51="No","Core stops short of the reporting depth — its depth-limited stock is an underestimate. ","")&amp;IF(AND($H51&lt;&gt;"",$H51&gt;1.05),"Core compacted by "&amp;TEXT(($H51-1)*100,"0")&amp;"%: slice depths in the tube sit shallower than in the ground, so the depth-limited stock is biased. Full-core stock is unaffected. ","")&amp;IF(AND($H51&lt;&gt;"",$H51&lt;0.98),"Core length exceeds hole depth — check the two measurements. ",""))</f>
        <v/>
      </c>
      <c r="P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4" t="str">
        <f aca="false">IF(OR($F52="",$G52="",$G52=0),"",$F52/$G52)</f>
        <v/>
      </c>
      <c r="I52" s="13"/>
      <c r="J52" s="13"/>
      <c r="K52" s="14" t="str">
        <f aca="false">IF($A52="","",IF(SUMPRODUCT(MAX(('5. Soil Data'!$B$5:$B$504=$A52)*'5. Soil Data'!$E$5:$E$504))=0,"",SUMPRODUCT(MAX(('5. Soil Data'!$B$5:$B$504=$A52)*'5. Soil Data'!$E$5:$E$504))))</f>
        <v/>
      </c>
      <c r="L52" s="14" t="str">
        <f aca="false">IF($A52="","",IFERROR(SUMIFS('5. Soil Data'!$O$5:$O$504,'5. Soil Data'!$B$5:$B$504,$A52),""))</f>
        <v/>
      </c>
      <c r="M52" s="14" t="str">
        <f aca="false">IF($A52="","",IFERROR(SUMIFS('5. Soil Data'!$P$5:$P$504,'5. Soil Data'!$B$5:$B$504,$A52),""))</f>
        <v/>
      </c>
      <c r="N52" s="14" t="str">
        <f aca="false">IF($K52="","",IF($K52&gt;=REPORTING_DEPTH_CM,"Yes","No"))</f>
        <v/>
      </c>
      <c r="O52" s="14" t="str">
        <f aca="false">IF($A52="","",IF(AND($B52&lt;&gt;"",COUNTIF('1. Plot &amp; Site Log'!$A$5:$A$64,$B52)=0),"Plot ID not in Plot &amp; Site Log. ","")&amp;IF($K52="","No soil slices logged for this core. ","")&amp;IF($N52="No","Core stops short of the reporting depth — its depth-limited stock is an underestimate. ","")&amp;IF(AND($H52&lt;&gt;"",$H52&gt;1.05),"Core compacted by "&amp;TEXT(($H52-1)*100,"0")&amp;"%: slice depths in the tube sit shallower than in the ground, so the depth-limited stock is biased. Full-core stock is unaffected. ","")&amp;IF(AND($H52&lt;&gt;"",$H52&lt;0.98),"Core length exceeds hole depth — check the two measurements. ",""))</f>
        <v/>
      </c>
      <c r="P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4" t="str">
        <f aca="false">IF(OR($F53="",$G53="",$G53=0),"",$F53/$G53)</f>
        <v/>
      </c>
      <c r="I53" s="13"/>
      <c r="J53" s="13"/>
      <c r="K53" s="14" t="str">
        <f aca="false">IF($A53="","",IF(SUMPRODUCT(MAX(('5. Soil Data'!$B$5:$B$504=$A53)*'5. Soil Data'!$E$5:$E$504))=0,"",SUMPRODUCT(MAX(('5. Soil Data'!$B$5:$B$504=$A53)*'5. Soil Data'!$E$5:$E$504))))</f>
        <v/>
      </c>
      <c r="L53" s="14" t="str">
        <f aca="false">IF($A53="","",IFERROR(SUMIFS('5. Soil Data'!$O$5:$O$504,'5. Soil Data'!$B$5:$B$504,$A53),""))</f>
        <v/>
      </c>
      <c r="M53" s="14" t="str">
        <f aca="false">IF($A53="","",IFERROR(SUMIFS('5. Soil Data'!$P$5:$P$504,'5. Soil Data'!$B$5:$B$504,$A53),""))</f>
        <v/>
      </c>
      <c r="N53" s="14" t="str">
        <f aca="false">IF($K53="","",IF($K53&gt;=REPORTING_DEPTH_CM,"Yes","No"))</f>
        <v/>
      </c>
      <c r="O53" s="14" t="str">
        <f aca="false">IF($A53="","",IF(AND($B53&lt;&gt;"",COUNTIF('1. Plot &amp; Site Log'!$A$5:$A$64,$B53)=0),"Plot ID not in Plot &amp; Site Log. ","")&amp;IF($K53="","No soil slices logged for this core. ","")&amp;IF($N53="No","Core stops short of the reporting depth — its depth-limited stock is an underestimate. ","")&amp;IF(AND($H53&lt;&gt;"",$H53&gt;1.05),"Core compacted by "&amp;TEXT(($H53-1)*100,"0")&amp;"%: slice depths in the tube sit shallower than in the ground, so the depth-limited stock is biased. Full-core stock is unaffected. ","")&amp;IF(AND($H53&lt;&gt;"",$H53&lt;0.98),"Core length exceeds hole depth — check the two measurements. ",""))</f>
        <v/>
      </c>
      <c r="P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4" t="str">
        <f aca="false">IF(OR($F54="",$G54="",$G54=0),"",$F54/$G54)</f>
        <v/>
      </c>
      <c r="I54" s="13"/>
      <c r="J54" s="13"/>
      <c r="K54" s="14" t="str">
        <f aca="false">IF($A54="","",IF(SUMPRODUCT(MAX(('5. Soil Data'!$B$5:$B$504=$A54)*'5. Soil Data'!$E$5:$E$504))=0,"",SUMPRODUCT(MAX(('5. Soil Data'!$B$5:$B$504=$A54)*'5. Soil Data'!$E$5:$E$504))))</f>
        <v/>
      </c>
      <c r="L54" s="14" t="str">
        <f aca="false">IF($A54="","",IFERROR(SUMIFS('5. Soil Data'!$O$5:$O$504,'5. Soil Data'!$B$5:$B$504,$A54),""))</f>
        <v/>
      </c>
      <c r="M54" s="14" t="str">
        <f aca="false">IF($A54="","",IFERROR(SUMIFS('5. Soil Data'!$P$5:$P$504,'5. Soil Data'!$B$5:$B$504,$A54),""))</f>
        <v/>
      </c>
      <c r="N54" s="14" t="str">
        <f aca="false">IF($K54="","",IF($K54&gt;=REPORTING_DEPTH_CM,"Yes","No"))</f>
        <v/>
      </c>
      <c r="O54" s="14" t="str">
        <f aca="false">IF($A54="","",IF(AND($B54&lt;&gt;"",COUNTIF('1. Plot &amp; Site Log'!$A$5:$A$64,$B54)=0),"Plot ID not in Plot &amp; Site Log. ","")&amp;IF($K54="","No soil slices logged for this core. ","")&amp;IF($N54="No","Core stops short of the reporting depth — its depth-limited stock is an underestimate. ","")&amp;IF(AND($H54&lt;&gt;"",$H54&gt;1.05),"Core compacted by "&amp;TEXT(($H54-1)*100,"0")&amp;"%: slice depths in the tube sit shallower than in the ground, so the depth-limited stock is biased. Full-core stock is unaffected. ","")&amp;IF(AND($H54&lt;&gt;"",$H54&lt;0.98),"Core length exceeds hole depth — check the two measurements. ",""))</f>
        <v/>
      </c>
      <c r="P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4" t="str">
        <f aca="false">IF(OR($F55="",$G55="",$G55=0),"",$F55/$G55)</f>
        <v/>
      </c>
      <c r="I55" s="13"/>
      <c r="J55" s="13"/>
      <c r="K55" s="14" t="str">
        <f aca="false">IF($A55="","",IF(SUMPRODUCT(MAX(('5. Soil Data'!$B$5:$B$504=$A55)*'5. Soil Data'!$E$5:$E$504))=0,"",SUMPRODUCT(MAX(('5. Soil Data'!$B$5:$B$504=$A55)*'5. Soil Data'!$E$5:$E$504))))</f>
        <v/>
      </c>
      <c r="L55" s="14" t="str">
        <f aca="false">IF($A55="","",IFERROR(SUMIFS('5. Soil Data'!$O$5:$O$504,'5. Soil Data'!$B$5:$B$504,$A55),""))</f>
        <v/>
      </c>
      <c r="M55" s="14" t="str">
        <f aca="false">IF($A55="","",IFERROR(SUMIFS('5. Soil Data'!$P$5:$P$504,'5. Soil Data'!$B$5:$B$504,$A55),""))</f>
        <v/>
      </c>
      <c r="N55" s="14" t="str">
        <f aca="false">IF($K55="","",IF($K55&gt;=REPORTING_DEPTH_CM,"Yes","No"))</f>
        <v/>
      </c>
      <c r="O55" s="14" t="str">
        <f aca="false">IF($A55="","",IF(AND($B55&lt;&gt;"",COUNTIF('1. Plot &amp; Site Log'!$A$5:$A$64,$B55)=0),"Plot ID not in Plot &amp; Site Log. ","")&amp;IF($K55="","No soil slices logged for this core. ","")&amp;IF($N55="No","Core stops short of the reporting depth — its depth-limited stock is an underestimate. ","")&amp;IF(AND($H55&lt;&gt;"",$H55&gt;1.05),"Core compacted by "&amp;TEXT(($H55-1)*100,"0")&amp;"%: slice depths in the tube sit shallower than in the ground, so the depth-limited stock is biased. Full-core stock is unaffected. ","")&amp;IF(AND($H55&lt;&gt;"",$H55&lt;0.98),"Core length exceeds hole depth — check the two measurements. ",""))</f>
        <v/>
      </c>
      <c r="P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4" t="str">
        <f aca="false">IF(OR($F56="",$G56="",$G56=0),"",$F56/$G56)</f>
        <v/>
      </c>
      <c r="I56" s="13"/>
      <c r="J56" s="13"/>
      <c r="K56" s="14" t="str">
        <f aca="false">IF($A56="","",IF(SUMPRODUCT(MAX(('5. Soil Data'!$B$5:$B$504=$A56)*'5. Soil Data'!$E$5:$E$504))=0,"",SUMPRODUCT(MAX(('5. Soil Data'!$B$5:$B$504=$A56)*'5. Soil Data'!$E$5:$E$504))))</f>
        <v/>
      </c>
      <c r="L56" s="14" t="str">
        <f aca="false">IF($A56="","",IFERROR(SUMIFS('5. Soil Data'!$O$5:$O$504,'5. Soil Data'!$B$5:$B$504,$A56),""))</f>
        <v/>
      </c>
      <c r="M56" s="14" t="str">
        <f aca="false">IF($A56="","",IFERROR(SUMIFS('5. Soil Data'!$P$5:$P$504,'5. Soil Data'!$B$5:$B$504,$A56),""))</f>
        <v/>
      </c>
      <c r="N56" s="14" t="str">
        <f aca="false">IF($K56="","",IF($K56&gt;=REPORTING_DEPTH_CM,"Yes","No"))</f>
        <v/>
      </c>
      <c r="O56" s="14" t="str">
        <f aca="false">IF($A56="","",IF(AND($B56&lt;&gt;"",COUNTIF('1. Plot &amp; Site Log'!$A$5:$A$64,$B56)=0),"Plot ID not in Plot &amp; Site Log. ","")&amp;IF($K56="","No soil slices logged for this core. ","")&amp;IF($N56="No","Core stops short of the reporting depth — its depth-limited stock is an underestimate. ","")&amp;IF(AND($H56&lt;&gt;"",$H56&gt;1.05),"Core compacted by "&amp;TEXT(($H56-1)*100,"0")&amp;"%: slice depths in the tube sit shallower than in the ground, so the depth-limited stock is biased. Full-core stock is unaffected. ","")&amp;IF(AND($H56&lt;&gt;"",$H56&lt;0.98),"Core length exceeds hole depth — check the two measurements. ",""))</f>
        <v/>
      </c>
      <c r="P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4" t="str">
        <f aca="false">IF(OR($F57="",$G57="",$G57=0),"",$F57/$G57)</f>
        <v/>
      </c>
      <c r="I57" s="13"/>
      <c r="J57" s="13"/>
      <c r="K57" s="14" t="str">
        <f aca="false">IF($A57="","",IF(SUMPRODUCT(MAX(('5. Soil Data'!$B$5:$B$504=$A57)*'5. Soil Data'!$E$5:$E$504))=0,"",SUMPRODUCT(MAX(('5. Soil Data'!$B$5:$B$504=$A57)*'5. Soil Data'!$E$5:$E$504))))</f>
        <v/>
      </c>
      <c r="L57" s="14" t="str">
        <f aca="false">IF($A57="","",IFERROR(SUMIFS('5. Soil Data'!$O$5:$O$504,'5. Soil Data'!$B$5:$B$504,$A57),""))</f>
        <v/>
      </c>
      <c r="M57" s="14" t="str">
        <f aca="false">IF($A57="","",IFERROR(SUMIFS('5. Soil Data'!$P$5:$P$504,'5. Soil Data'!$B$5:$B$504,$A57),""))</f>
        <v/>
      </c>
      <c r="N57" s="14" t="str">
        <f aca="false">IF($K57="","",IF($K57&gt;=REPORTING_DEPTH_CM,"Yes","No"))</f>
        <v/>
      </c>
      <c r="O57" s="14" t="str">
        <f aca="false">IF($A57="","",IF(AND($B57&lt;&gt;"",COUNTIF('1. Plot &amp; Site Log'!$A$5:$A$64,$B57)=0),"Plot ID not in Plot &amp; Site Log. ","")&amp;IF($K57="","No soil slices logged for this core. ","")&amp;IF($N57="No","Core stops short of the reporting depth — its depth-limited stock is an underestimate. ","")&amp;IF(AND($H57&lt;&gt;"",$H57&gt;1.05),"Core compacted by "&amp;TEXT(($H57-1)*100,"0")&amp;"%: slice depths in the tube sit shallower than in the ground, so the depth-limited stock is biased. Full-core stock is unaffected. ","")&amp;IF(AND($H57&lt;&gt;"",$H57&lt;0.98),"Core length exceeds hole depth — check the two measurements. ",""))</f>
        <v/>
      </c>
      <c r="P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4" t="str">
        <f aca="false">IF(OR($F58="",$G58="",$G58=0),"",$F58/$G58)</f>
        <v/>
      </c>
      <c r="I58" s="13"/>
      <c r="J58" s="13"/>
      <c r="K58" s="14" t="str">
        <f aca="false">IF($A58="","",IF(SUMPRODUCT(MAX(('5. Soil Data'!$B$5:$B$504=$A58)*'5. Soil Data'!$E$5:$E$504))=0,"",SUMPRODUCT(MAX(('5. Soil Data'!$B$5:$B$504=$A58)*'5. Soil Data'!$E$5:$E$504))))</f>
        <v/>
      </c>
      <c r="L58" s="14" t="str">
        <f aca="false">IF($A58="","",IFERROR(SUMIFS('5. Soil Data'!$O$5:$O$504,'5. Soil Data'!$B$5:$B$504,$A58),""))</f>
        <v/>
      </c>
      <c r="M58" s="14" t="str">
        <f aca="false">IF($A58="","",IFERROR(SUMIFS('5. Soil Data'!$P$5:$P$504,'5. Soil Data'!$B$5:$B$504,$A58),""))</f>
        <v/>
      </c>
      <c r="N58" s="14" t="str">
        <f aca="false">IF($K58="","",IF($K58&gt;=REPORTING_DEPTH_CM,"Yes","No"))</f>
        <v/>
      </c>
      <c r="O58" s="14" t="str">
        <f aca="false">IF($A58="","",IF(AND($B58&lt;&gt;"",COUNTIF('1. Plot &amp; Site Log'!$A$5:$A$64,$B58)=0),"Plot ID not in Plot &amp; Site Log. ","")&amp;IF($K58="","No soil slices logged for this core. ","")&amp;IF($N58="No","Core stops short of the reporting depth — its depth-limited stock is an underestimate. ","")&amp;IF(AND($H58&lt;&gt;"",$H58&gt;1.05),"Core compacted by "&amp;TEXT(($H58-1)*100,"0")&amp;"%: slice depths in the tube sit shallower than in the ground, so the depth-limited stock is biased. Full-core stock is unaffected. ","")&amp;IF(AND($H58&lt;&gt;"",$H58&lt;0.98),"Core length exceeds hole depth — check the two measurements. ",""))</f>
        <v/>
      </c>
      <c r="P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4" t="str">
        <f aca="false">IF(OR($F59="",$G59="",$G59=0),"",$F59/$G59)</f>
        <v/>
      </c>
      <c r="I59" s="13"/>
      <c r="J59" s="13"/>
      <c r="K59" s="14" t="str">
        <f aca="false">IF($A59="","",IF(SUMPRODUCT(MAX(('5. Soil Data'!$B$5:$B$504=$A59)*'5. Soil Data'!$E$5:$E$504))=0,"",SUMPRODUCT(MAX(('5. Soil Data'!$B$5:$B$504=$A59)*'5. Soil Data'!$E$5:$E$504))))</f>
        <v/>
      </c>
      <c r="L59" s="14" t="str">
        <f aca="false">IF($A59="","",IFERROR(SUMIFS('5. Soil Data'!$O$5:$O$504,'5. Soil Data'!$B$5:$B$504,$A59),""))</f>
        <v/>
      </c>
      <c r="M59" s="14" t="str">
        <f aca="false">IF($A59="","",IFERROR(SUMIFS('5. Soil Data'!$P$5:$P$504,'5. Soil Data'!$B$5:$B$504,$A59),""))</f>
        <v/>
      </c>
      <c r="N59" s="14" t="str">
        <f aca="false">IF($K59="","",IF($K59&gt;=REPORTING_DEPTH_CM,"Yes","No"))</f>
        <v/>
      </c>
      <c r="O59" s="14" t="str">
        <f aca="false">IF($A59="","",IF(AND($B59&lt;&gt;"",COUNTIF('1. Plot &amp; Site Log'!$A$5:$A$64,$B59)=0),"Plot ID not in Plot &amp; Site Log. ","")&amp;IF($K59="","No soil slices logged for this core. ","")&amp;IF($N59="No","Core stops short of the reporting depth — its depth-limited stock is an underestimate. ","")&amp;IF(AND($H59&lt;&gt;"",$H59&gt;1.05),"Core compacted by "&amp;TEXT(($H59-1)*100,"0")&amp;"%: slice depths in the tube sit shallower than in the ground, so the depth-limited stock is biased. Full-core stock is unaffected. ","")&amp;IF(AND($H59&lt;&gt;"",$H59&lt;0.98),"Core length exceeds hole depth — check the two measurements. ",""))</f>
        <v/>
      </c>
      <c r="P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4" t="str">
        <f aca="false">IF(OR($F60="",$G60="",$G60=0),"",$F60/$G60)</f>
        <v/>
      </c>
      <c r="I60" s="13"/>
      <c r="J60" s="13"/>
      <c r="K60" s="14" t="str">
        <f aca="false">IF($A60="","",IF(SUMPRODUCT(MAX(('5. Soil Data'!$B$5:$B$504=$A60)*'5. Soil Data'!$E$5:$E$504))=0,"",SUMPRODUCT(MAX(('5. Soil Data'!$B$5:$B$504=$A60)*'5. Soil Data'!$E$5:$E$504))))</f>
        <v/>
      </c>
      <c r="L60" s="14" t="str">
        <f aca="false">IF($A60="","",IFERROR(SUMIFS('5. Soil Data'!$O$5:$O$504,'5. Soil Data'!$B$5:$B$504,$A60),""))</f>
        <v/>
      </c>
      <c r="M60" s="14" t="str">
        <f aca="false">IF($A60="","",IFERROR(SUMIFS('5. Soil Data'!$P$5:$P$504,'5. Soil Data'!$B$5:$B$504,$A60),""))</f>
        <v/>
      </c>
      <c r="N60" s="14" t="str">
        <f aca="false">IF($K60="","",IF($K60&gt;=REPORTING_DEPTH_CM,"Yes","No"))</f>
        <v/>
      </c>
      <c r="O60" s="14" t="str">
        <f aca="false">IF($A60="","",IF(AND($B60&lt;&gt;"",COUNTIF('1. Plot &amp; Site Log'!$A$5:$A$64,$B60)=0),"Plot ID not in Plot &amp; Site Log. ","")&amp;IF($K60="","No soil slices logged for this core. ","")&amp;IF($N60="No","Core stops short of the reporting depth — its depth-limited stock is an underestimate. ","")&amp;IF(AND($H60&lt;&gt;"",$H60&gt;1.05),"Core compacted by "&amp;TEXT(($H60-1)*100,"0")&amp;"%: slice depths in the tube sit shallower than in the ground, so the depth-limited stock is biased. Full-core stock is unaffected. ","")&amp;IF(AND($H60&lt;&gt;"",$H60&lt;0.98),"Core length exceeds hole depth — check the two measurements. ",""))</f>
        <v/>
      </c>
      <c r="P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4" t="str">
        <f aca="false">IF(OR($F61="",$G61="",$G61=0),"",$F61/$G61)</f>
        <v/>
      </c>
      <c r="I61" s="13"/>
      <c r="J61" s="13"/>
      <c r="K61" s="14" t="str">
        <f aca="false">IF($A61="","",IF(SUMPRODUCT(MAX(('5. Soil Data'!$B$5:$B$504=$A61)*'5. Soil Data'!$E$5:$E$504))=0,"",SUMPRODUCT(MAX(('5. Soil Data'!$B$5:$B$504=$A61)*'5. Soil Data'!$E$5:$E$504))))</f>
        <v/>
      </c>
      <c r="L61" s="14" t="str">
        <f aca="false">IF($A61="","",IFERROR(SUMIFS('5. Soil Data'!$O$5:$O$504,'5. Soil Data'!$B$5:$B$504,$A61),""))</f>
        <v/>
      </c>
      <c r="M61" s="14" t="str">
        <f aca="false">IF($A61="","",IFERROR(SUMIFS('5. Soil Data'!$P$5:$P$504,'5. Soil Data'!$B$5:$B$504,$A61),""))</f>
        <v/>
      </c>
      <c r="N61" s="14" t="str">
        <f aca="false">IF($K61="","",IF($K61&gt;=REPORTING_DEPTH_CM,"Yes","No"))</f>
        <v/>
      </c>
      <c r="O61" s="14" t="str">
        <f aca="false">IF($A61="","",IF(AND($B61&lt;&gt;"",COUNTIF('1. Plot &amp; Site Log'!$A$5:$A$64,$B61)=0),"Plot ID not in Plot &amp; Site Log. ","")&amp;IF($K61="","No soil slices logged for this core. ","")&amp;IF($N61="No","Core stops short of the reporting depth — its depth-limited stock is an underestimate. ","")&amp;IF(AND($H61&lt;&gt;"",$H61&gt;1.05),"Core compacted by "&amp;TEXT(($H61-1)*100,"0")&amp;"%: slice depths in the tube sit shallower than in the ground, so the depth-limited stock is biased. Full-core stock is unaffected. ","")&amp;IF(AND($H61&lt;&gt;"",$H61&lt;0.98),"Core length exceeds hole depth — check the two measurements. ",""))</f>
        <v/>
      </c>
      <c r="P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4" t="str">
        <f aca="false">IF(OR($F62="",$G62="",$G62=0),"",$F62/$G62)</f>
        <v/>
      </c>
      <c r="I62" s="13"/>
      <c r="J62" s="13"/>
      <c r="K62" s="14" t="str">
        <f aca="false">IF($A62="","",IF(SUMPRODUCT(MAX(('5. Soil Data'!$B$5:$B$504=$A62)*'5. Soil Data'!$E$5:$E$504))=0,"",SUMPRODUCT(MAX(('5. Soil Data'!$B$5:$B$504=$A62)*'5. Soil Data'!$E$5:$E$504))))</f>
        <v/>
      </c>
      <c r="L62" s="14" t="str">
        <f aca="false">IF($A62="","",IFERROR(SUMIFS('5. Soil Data'!$O$5:$O$504,'5. Soil Data'!$B$5:$B$504,$A62),""))</f>
        <v/>
      </c>
      <c r="M62" s="14" t="str">
        <f aca="false">IF($A62="","",IFERROR(SUMIFS('5. Soil Data'!$P$5:$P$504,'5. Soil Data'!$B$5:$B$504,$A62),""))</f>
        <v/>
      </c>
      <c r="N62" s="14" t="str">
        <f aca="false">IF($K62="","",IF($K62&gt;=REPORTING_DEPTH_CM,"Yes","No"))</f>
        <v/>
      </c>
      <c r="O62" s="14" t="str">
        <f aca="false">IF($A62="","",IF(AND($B62&lt;&gt;"",COUNTIF('1. Plot &amp; Site Log'!$A$5:$A$64,$B62)=0),"Plot ID not in Plot &amp; Site Log. ","")&amp;IF($K62="","No soil slices logged for this core. ","")&amp;IF($N62="No","Core stops short of the reporting depth — its depth-limited stock is an underestimate. ","")&amp;IF(AND($H62&lt;&gt;"",$H62&gt;1.05),"Core compacted by "&amp;TEXT(($H62-1)*100,"0")&amp;"%: slice depths in the tube sit shallower than in the ground, so the depth-limited stock is biased. Full-core stock is unaffected. ","")&amp;IF(AND($H62&lt;&gt;"",$H62&lt;0.98),"Core length exceeds hole depth — check the two measurements. ",""))</f>
        <v/>
      </c>
      <c r="P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4" t="str">
        <f aca="false">IF(OR($F63="",$G63="",$G63=0),"",$F63/$G63)</f>
        <v/>
      </c>
      <c r="I63" s="13"/>
      <c r="J63" s="13"/>
      <c r="K63" s="14" t="str">
        <f aca="false">IF($A63="","",IF(SUMPRODUCT(MAX(('5. Soil Data'!$B$5:$B$504=$A63)*'5. Soil Data'!$E$5:$E$504))=0,"",SUMPRODUCT(MAX(('5. Soil Data'!$B$5:$B$504=$A63)*'5. Soil Data'!$E$5:$E$504))))</f>
        <v/>
      </c>
      <c r="L63" s="14" t="str">
        <f aca="false">IF($A63="","",IFERROR(SUMIFS('5. Soil Data'!$O$5:$O$504,'5. Soil Data'!$B$5:$B$504,$A63),""))</f>
        <v/>
      </c>
      <c r="M63" s="14" t="str">
        <f aca="false">IF($A63="","",IFERROR(SUMIFS('5. Soil Data'!$P$5:$P$504,'5. Soil Data'!$B$5:$B$504,$A63),""))</f>
        <v/>
      </c>
      <c r="N63" s="14" t="str">
        <f aca="false">IF($K63="","",IF($K63&gt;=REPORTING_DEPTH_CM,"Yes","No"))</f>
        <v/>
      </c>
      <c r="O63" s="14" t="str">
        <f aca="false">IF($A63="","",IF(AND($B63&lt;&gt;"",COUNTIF('1. Plot &amp; Site Log'!$A$5:$A$64,$B63)=0),"Plot ID not in Plot &amp; Site Log. ","")&amp;IF($K63="","No soil slices logged for this core. ","")&amp;IF($N63="No","Core stops short of the reporting depth — its depth-limited stock is an underestimate. ","")&amp;IF(AND($H63&lt;&gt;"",$H63&gt;1.05),"Core compacted by "&amp;TEXT(($H63-1)*100,"0")&amp;"%: slice depths in the tube sit shallower than in the ground, so the depth-limited stock is biased. Full-core stock is unaffected. ","")&amp;IF(AND($H63&lt;&gt;"",$H63&lt;0.98),"Core length exceeds hole depth — check the two measurements. ",""))</f>
        <v/>
      </c>
      <c r="P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4" t="str">
        <f aca="false">IF(OR($F64="",$G64="",$G64=0),"",$F64/$G64)</f>
        <v/>
      </c>
      <c r="I64" s="13"/>
      <c r="J64" s="13"/>
      <c r="K64" s="14" t="str">
        <f aca="false">IF($A64="","",IF(SUMPRODUCT(MAX(('5. Soil Data'!$B$5:$B$504=$A64)*'5. Soil Data'!$E$5:$E$504))=0,"",SUMPRODUCT(MAX(('5. Soil Data'!$B$5:$B$504=$A64)*'5. Soil Data'!$E$5:$E$504))))</f>
        <v/>
      </c>
      <c r="L64" s="14" t="str">
        <f aca="false">IF($A64="","",IFERROR(SUMIFS('5. Soil Data'!$O$5:$O$504,'5. Soil Data'!$B$5:$B$504,$A64),""))</f>
        <v/>
      </c>
      <c r="M64" s="14" t="str">
        <f aca="false">IF($A64="","",IFERROR(SUMIFS('5. Soil Data'!$P$5:$P$504,'5. Soil Data'!$B$5:$B$504,$A64),""))</f>
        <v/>
      </c>
      <c r="N64" s="14" t="str">
        <f aca="false">IF($K64="","",IF($K64&gt;=REPORTING_DEPTH_CM,"Yes","No"))</f>
        <v/>
      </c>
      <c r="O64" s="14" t="str">
        <f aca="false">IF($A64="","",IF(AND($B64&lt;&gt;"",COUNTIF('1. Plot &amp; Site Log'!$A$5:$A$64,$B64)=0),"Plot ID not in Plot &amp; Site Log. ","")&amp;IF($K64="","No soil slices logged for this core. ","")&amp;IF($N64="No","Core stops short of the reporting depth — its depth-limited stock is an underestimate. ","")&amp;IF(AND($H64&lt;&gt;"",$H64&gt;1.05),"Core compacted by "&amp;TEXT(($H64-1)*100,"0")&amp;"%: slice depths in the tube sit shallower than in the ground, so the depth-limited stock is biased. Full-core stock is unaffected. ","")&amp;IF(AND($H64&lt;&gt;"",$H64&lt;0.98),"Core length exceeds hole depth — check the two measurements. ",""))</f>
        <v/>
      </c>
      <c r="P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4" t="str">
        <f aca="false">IF(OR($F65="",$G65="",$G65=0),"",$F65/$G65)</f>
        <v/>
      </c>
      <c r="I65" s="13"/>
      <c r="J65" s="13"/>
      <c r="K65" s="14" t="str">
        <f aca="false">IF($A65="","",IF(SUMPRODUCT(MAX(('5. Soil Data'!$B$5:$B$504=$A65)*'5. Soil Data'!$E$5:$E$504))=0,"",SUMPRODUCT(MAX(('5. Soil Data'!$B$5:$B$504=$A65)*'5. Soil Data'!$E$5:$E$504))))</f>
        <v/>
      </c>
      <c r="L65" s="14" t="str">
        <f aca="false">IF($A65="","",IFERROR(SUMIFS('5. Soil Data'!$O$5:$O$504,'5. Soil Data'!$B$5:$B$504,$A65),""))</f>
        <v/>
      </c>
      <c r="M65" s="14" t="str">
        <f aca="false">IF($A65="","",IFERROR(SUMIFS('5. Soil Data'!$P$5:$P$504,'5. Soil Data'!$B$5:$B$504,$A65),""))</f>
        <v/>
      </c>
      <c r="N65" s="14" t="str">
        <f aca="false">IF($K65="","",IF($K65&gt;=REPORTING_DEPTH_CM,"Yes","No"))</f>
        <v/>
      </c>
      <c r="O65" s="14" t="str">
        <f aca="false">IF($A65="","",IF(AND($B65&lt;&gt;"",COUNTIF('1. Plot &amp; Site Log'!$A$5:$A$64,$B65)=0),"Plot ID not in Plot &amp; Site Log. ","")&amp;IF($K65="","No soil slices logged for this core. ","")&amp;IF($N65="No","Core stops short of the reporting depth — its depth-limited stock is an underestimate. ","")&amp;IF(AND($H65&lt;&gt;"",$H65&gt;1.05),"Core compacted by "&amp;TEXT(($H65-1)*100,"0")&amp;"%: slice depths in the tube sit shallower than in the ground, so the depth-limited stock is biased. Full-core stock is unaffected. ","")&amp;IF(AND($H65&lt;&gt;"",$H65&lt;0.98),"Core length exceeds hole depth — check the two measurements. ",""))</f>
        <v/>
      </c>
      <c r="P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4" t="str">
        <f aca="false">IF(OR($F66="",$G66="",$G66=0),"",$F66/$G66)</f>
        <v/>
      </c>
      <c r="I66" s="13"/>
      <c r="J66" s="13"/>
      <c r="K66" s="14" t="str">
        <f aca="false">IF($A66="","",IF(SUMPRODUCT(MAX(('5. Soil Data'!$B$5:$B$504=$A66)*'5. Soil Data'!$E$5:$E$504))=0,"",SUMPRODUCT(MAX(('5. Soil Data'!$B$5:$B$504=$A66)*'5. Soil Data'!$E$5:$E$504))))</f>
        <v/>
      </c>
      <c r="L66" s="14" t="str">
        <f aca="false">IF($A66="","",IFERROR(SUMIFS('5. Soil Data'!$O$5:$O$504,'5. Soil Data'!$B$5:$B$504,$A66),""))</f>
        <v/>
      </c>
      <c r="M66" s="14" t="str">
        <f aca="false">IF($A66="","",IFERROR(SUMIFS('5. Soil Data'!$P$5:$P$504,'5. Soil Data'!$B$5:$B$504,$A66),""))</f>
        <v/>
      </c>
      <c r="N66" s="14" t="str">
        <f aca="false">IF($K66="","",IF($K66&gt;=REPORTING_DEPTH_CM,"Yes","No"))</f>
        <v/>
      </c>
      <c r="O66" s="14" t="str">
        <f aca="false">IF($A66="","",IF(AND($B66&lt;&gt;"",COUNTIF('1. Plot &amp; Site Log'!$A$5:$A$64,$B66)=0),"Plot ID not in Plot &amp; Site Log. ","")&amp;IF($K66="","No soil slices logged for this core. ","")&amp;IF($N66="No","Core stops short of the reporting depth — its depth-limited stock is an underestimate. ","")&amp;IF(AND($H66&lt;&gt;"",$H66&gt;1.05),"Core compacted by "&amp;TEXT(($H66-1)*100,"0")&amp;"%: slice depths in the tube sit shallower than in the ground, so the depth-limited stock is biased. Full-core stock is unaffected. ","")&amp;IF(AND($H66&lt;&gt;"",$H66&lt;0.98),"Core length exceeds hole depth — check the two measurements. ",""))</f>
        <v/>
      </c>
      <c r="P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4" t="str">
        <f aca="false">IF(OR($F67="",$G67="",$G67=0),"",$F67/$G67)</f>
        <v/>
      </c>
      <c r="I67" s="13"/>
      <c r="J67" s="13"/>
      <c r="K67" s="14" t="str">
        <f aca="false">IF($A67="","",IF(SUMPRODUCT(MAX(('5. Soil Data'!$B$5:$B$504=$A67)*'5. Soil Data'!$E$5:$E$504))=0,"",SUMPRODUCT(MAX(('5. Soil Data'!$B$5:$B$504=$A67)*'5. Soil Data'!$E$5:$E$504))))</f>
        <v/>
      </c>
      <c r="L67" s="14" t="str">
        <f aca="false">IF($A67="","",IFERROR(SUMIFS('5. Soil Data'!$O$5:$O$504,'5. Soil Data'!$B$5:$B$504,$A67),""))</f>
        <v/>
      </c>
      <c r="M67" s="14" t="str">
        <f aca="false">IF($A67="","",IFERROR(SUMIFS('5. Soil Data'!$P$5:$P$504,'5. Soil Data'!$B$5:$B$504,$A67),""))</f>
        <v/>
      </c>
      <c r="N67" s="14" t="str">
        <f aca="false">IF($K67="","",IF($K67&gt;=REPORTING_DEPTH_CM,"Yes","No"))</f>
        <v/>
      </c>
      <c r="O67" s="14" t="str">
        <f aca="false">IF($A67="","",IF(AND($B67&lt;&gt;"",COUNTIF('1. Plot &amp; Site Log'!$A$5:$A$64,$B67)=0),"Plot ID not in Plot &amp; Site Log. ","")&amp;IF($K67="","No soil slices logged for this core. ","")&amp;IF($N67="No","Core stops short of the reporting depth — its depth-limited stock is an underestimate. ","")&amp;IF(AND($H67&lt;&gt;"",$H67&gt;1.05),"Core compacted by "&amp;TEXT(($H67-1)*100,"0")&amp;"%: slice depths in the tube sit shallower than in the ground, so the depth-limited stock is biased. Full-core stock is unaffected. ","")&amp;IF(AND($H67&lt;&gt;"",$H67&lt;0.98),"Core length exceeds hole depth — check the two measurements. ",""))</f>
        <v/>
      </c>
      <c r="P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4" t="str">
        <f aca="false">IF(OR($F68="",$G68="",$G68=0),"",$F68/$G68)</f>
        <v/>
      </c>
      <c r="I68" s="13"/>
      <c r="J68" s="13"/>
      <c r="K68" s="14" t="str">
        <f aca="false">IF($A68="","",IF(SUMPRODUCT(MAX(('5. Soil Data'!$B$5:$B$504=$A68)*'5. Soil Data'!$E$5:$E$504))=0,"",SUMPRODUCT(MAX(('5. Soil Data'!$B$5:$B$504=$A68)*'5. Soil Data'!$E$5:$E$504))))</f>
        <v/>
      </c>
      <c r="L68" s="14" t="str">
        <f aca="false">IF($A68="","",IFERROR(SUMIFS('5. Soil Data'!$O$5:$O$504,'5. Soil Data'!$B$5:$B$504,$A68),""))</f>
        <v/>
      </c>
      <c r="M68" s="14" t="str">
        <f aca="false">IF($A68="","",IFERROR(SUMIFS('5. Soil Data'!$P$5:$P$504,'5. Soil Data'!$B$5:$B$504,$A68),""))</f>
        <v/>
      </c>
      <c r="N68" s="14" t="str">
        <f aca="false">IF($K68="","",IF($K68&gt;=REPORTING_DEPTH_CM,"Yes","No"))</f>
        <v/>
      </c>
      <c r="O68" s="14" t="str">
        <f aca="false">IF($A68="","",IF(AND($B68&lt;&gt;"",COUNTIF('1. Plot &amp; Site Log'!$A$5:$A$64,$B68)=0),"Plot ID not in Plot &amp; Site Log. ","")&amp;IF($K68="","No soil slices logged for this core. ","")&amp;IF($N68="No","Core stops short of the reporting depth — its depth-limited stock is an underestimate. ","")&amp;IF(AND($H68&lt;&gt;"",$H68&gt;1.05),"Core compacted by "&amp;TEXT(($H68-1)*100,"0")&amp;"%: slice depths in the tube sit shallower than in the ground, so the depth-limited stock is biased. Full-core stock is unaffected. ","")&amp;IF(AND($H68&lt;&gt;"",$H68&lt;0.98),"Core length exceeds hole depth — check the two measurements. ",""))</f>
        <v/>
      </c>
      <c r="P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4" t="str">
        <f aca="false">IF(OR($F69="",$G69="",$G69=0),"",$F69/$G69)</f>
        <v/>
      </c>
      <c r="I69" s="13"/>
      <c r="J69" s="13"/>
      <c r="K69" s="14" t="str">
        <f aca="false">IF($A69="","",IF(SUMPRODUCT(MAX(('5. Soil Data'!$B$5:$B$504=$A69)*'5. Soil Data'!$E$5:$E$504))=0,"",SUMPRODUCT(MAX(('5. Soil Data'!$B$5:$B$504=$A69)*'5. Soil Data'!$E$5:$E$504))))</f>
        <v/>
      </c>
      <c r="L69" s="14" t="str">
        <f aca="false">IF($A69="","",IFERROR(SUMIFS('5. Soil Data'!$O$5:$O$504,'5. Soil Data'!$B$5:$B$504,$A69),""))</f>
        <v/>
      </c>
      <c r="M69" s="14" t="str">
        <f aca="false">IF($A69="","",IFERROR(SUMIFS('5. Soil Data'!$P$5:$P$504,'5. Soil Data'!$B$5:$B$504,$A69),""))</f>
        <v/>
      </c>
      <c r="N69" s="14" t="str">
        <f aca="false">IF($K69="","",IF($K69&gt;=REPORTING_DEPTH_CM,"Yes","No"))</f>
        <v/>
      </c>
      <c r="O69" s="14" t="str">
        <f aca="false">IF($A69="","",IF(AND($B69&lt;&gt;"",COUNTIF('1. Plot &amp; Site Log'!$A$5:$A$64,$B69)=0),"Plot ID not in Plot &amp; Site Log. ","")&amp;IF($K69="","No soil slices logged for this core. ","")&amp;IF($N69="No","Core stops short of the reporting depth — its depth-limited stock is an underestimate. ","")&amp;IF(AND($H69&lt;&gt;"",$H69&gt;1.05),"Core compacted by "&amp;TEXT(($H69-1)*100,"0")&amp;"%: slice depths in the tube sit shallower than in the ground, so the depth-limited stock is biased. Full-core stock is unaffected. ","")&amp;IF(AND($H69&lt;&gt;"",$H69&lt;0.98),"Core length exceeds hole depth — check the two measurements. ",""))</f>
        <v/>
      </c>
      <c r="P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4" t="str">
        <f aca="false">IF(OR($F70="",$G70="",$G70=0),"",$F70/$G70)</f>
        <v/>
      </c>
      <c r="I70" s="13"/>
      <c r="J70" s="13"/>
      <c r="K70" s="14" t="str">
        <f aca="false">IF($A70="","",IF(SUMPRODUCT(MAX(('5. Soil Data'!$B$5:$B$504=$A70)*'5. Soil Data'!$E$5:$E$504))=0,"",SUMPRODUCT(MAX(('5. Soil Data'!$B$5:$B$504=$A70)*'5. Soil Data'!$E$5:$E$504))))</f>
        <v/>
      </c>
      <c r="L70" s="14" t="str">
        <f aca="false">IF($A70="","",IFERROR(SUMIFS('5. Soil Data'!$O$5:$O$504,'5. Soil Data'!$B$5:$B$504,$A70),""))</f>
        <v/>
      </c>
      <c r="M70" s="14" t="str">
        <f aca="false">IF($A70="","",IFERROR(SUMIFS('5. Soil Data'!$P$5:$P$504,'5. Soil Data'!$B$5:$B$504,$A70),""))</f>
        <v/>
      </c>
      <c r="N70" s="14" t="str">
        <f aca="false">IF($K70="","",IF($K70&gt;=REPORTING_DEPTH_CM,"Yes","No"))</f>
        <v/>
      </c>
      <c r="O70" s="14" t="str">
        <f aca="false">IF($A70="","",IF(AND($B70&lt;&gt;"",COUNTIF('1. Plot &amp; Site Log'!$A$5:$A$64,$B70)=0),"Plot ID not in Plot &amp; Site Log. ","")&amp;IF($K70="","No soil slices logged for this core. ","")&amp;IF($N70="No","Core stops short of the reporting depth — its depth-limited stock is an underestimate. ","")&amp;IF(AND($H70&lt;&gt;"",$H70&gt;1.05),"Core compacted by "&amp;TEXT(($H70-1)*100,"0")&amp;"%: slice depths in the tube sit shallower than in the ground, so the depth-limited stock is biased. Full-core stock is unaffected. ","")&amp;IF(AND($H70&lt;&gt;"",$H70&lt;0.98),"Core length exceeds hole depth — check the two measurements. ",""))</f>
        <v/>
      </c>
      <c r="P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4" t="str">
        <f aca="false">IF(OR($F71="",$G71="",$G71=0),"",$F71/$G71)</f>
        <v/>
      </c>
      <c r="I71" s="13"/>
      <c r="J71" s="13"/>
      <c r="K71" s="14" t="str">
        <f aca="false">IF($A71="","",IF(SUMPRODUCT(MAX(('5. Soil Data'!$B$5:$B$504=$A71)*'5. Soil Data'!$E$5:$E$504))=0,"",SUMPRODUCT(MAX(('5. Soil Data'!$B$5:$B$504=$A71)*'5. Soil Data'!$E$5:$E$504))))</f>
        <v/>
      </c>
      <c r="L71" s="14" t="str">
        <f aca="false">IF($A71="","",IFERROR(SUMIFS('5. Soil Data'!$O$5:$O$504,'5. Soil Data'!$B$5:$B$504,$A71),""))</f>
        <v/>
      </c>
      <c r="M71" s="14" t="str">
        <f aca="false">IF($A71="","",IFERROR(SUMIFS('5. Soil Data'!$P$5:$P$504,'5. Soil Data'!$B$5:$B$504,$A71),""))</f>
        <v/>
      </c>
      <c r="N71" s="14" t="str">
        <f aca="false">IF($K71="","",IF($K71&gt;=REPORTING_DEPTH_CM,"Yes","No"))</f>
        <v/>
      </c>
      <c r="O71" s="14" t="str">
        <f aca="false">IF($A71="","",IF(AND($B71&lt;&gt;"",COUNTIF('1. Plot &amp; Site Log'!$A$5:$A$64,$B71)=0),"Plot ID not in Plot &amp; Site Log. ","")&amp;IF($K71="","No soil slices logged for this core. ","")&amp;IF($N71="No","Core stops short of the reporting depth — its depth-limited stock is an underestimate. ","")&amp;IF(AND($H71&lt;&gt;"",$H71&gt;1.05),"Core compacted by "&amp;TEXT(($H71-1)*100,"0")&amp;"%: slice depths in the tube sit shallower than in the ground, so the depth-limited stock is biased. Full-core stock is unaffected. ","")&amp;IF(AND($H71&lt;&gt;"",$H71&lt;0.98),"Core length exceeds hole depth — check the two measurements. ",""))</f>
        <v/>
      </c>
      <c r="P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4" t="str">
        <f aca="false">IF(OR($F72="",$G72="",$G72=0),"",$F72/$G72)</f>
        <v/>
      </c>
      <c r="I72" s="13"/>
      <c r="J72" s="13"/>
      <c r="K72" s="14" t="str">
        <f aca="false">IF($A72="","",IF(SUMPRODUCT(MAX(('5. Soil Data'!$B$5:$B$504=$A72)*'5. Soil Data'!$E$5:$E$504))=0,"",SUMPRODUCT(MAX(('5. Soil Data'!$B$5:$B$504=$A72)*'5. Soil Data'!$E$5:$E$504))))</f>
        <v/>
      </c>
      <c r="L72" s="14" t="str">
        <f aca="false">IF($A72="","",IFERROR(SUMIFS('5. Soil Data'!$O$5:$O$504,'5. Soil Data'!$B$5:$B$504,$A72),""))</f>
        <v/>
      </c>
      <c r="M72" s="14" t="str">
        <f aca="false">IF($A72="","",IFERROR(SUMIFS('5. Soil Data'!$P$5:$P$504,'5. Soil Data'!$B$5:$B$504,$A72),""))</f>
        <v/>
      </c>
      <c r="N72" s="14" t="str">
        <f aca="false">IF($K72="","",IF($K72&gt;=REPORTING_DEPTH_CM,"Yes","No"))</f>
        <v/>
      </c>
      <c r="O72" s="14" t="str">
        <f aca="false">IF($A72="","",IF(AND($B72&lt;&gt;"",COUNTIF('1. Plot &amp; Site Log'!$A$5:$A$64,$B72)=0),"Plot ID not in Plot &amp; Site Log. ","")&amp;IF($K72="","No soil slices logged for this core. ","")&amp;IF($N72="No","Core stops short of the reporting depth — its depth-limited stock is an underestimate. ","")&amp;IF(AND($H72&lt;&gt;"",$H72&gt;1.05),"Core compacted by "&amp;TEXT(($H72-1)*100,"0")&amp;"%: slice depths in the tube sit shallower than in the ground, so the depth-limited stock is biased. Full-core stock is unaffected. ","")&amp;IF(AND($H72&lt;&gt;"",$H72&lt;0.98),"Core length exceeds hole depth — check the two measurements. ",""))</f>
        <v/>
      </c>
      <c r="P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4" t="str">
        <f aca="false">IF(OR($F73="",$G73="",$G73=0),"",$F73/$G73)</f>
        <v/>
      </c>
      <c r="I73" s="13"/>
      <c r="J73" s="13"/>
      <c r="K73" s="14" t="str">
        <f aca="false">IF($A73="","",IF(SUMPRODUCT(MAX(('5. Soil Data'!$B$5:$B$504=$A73)*'5. Soil Data'!$E$5:$E$504))=0,"",SUMPRODUCT(MAX(('5. Soil Data'!$B$5:$B$504=$A73)*'5. Soil Data'!$E$5:$E$504))))</f>
        <v/>
      </c>
      <c r="L73" s="14" t="str">
        <f aca="false">IF($A73="","",IFERROR(SUMIFS('5. Soil Data'!$O$5:$O$504,'5. Soil Data'!$B$5:$B$504,$A73),""))</f>
        <v/>
      </c>
      <c r="M73" s="14" t="str">
        <f aca="false">IF($A73="","",IFERROR(SUMIFS('5. Soil Data'!$P$5:$P$504,'5. Soil Data'!$B$5:$B$504,$A73),""))</f>
        <v/>
      </c>
      <c r="N73" s="14" t="str">
        <f aca="false">IF($K73="","",IF($K73&gt;=REPORTING_DEPTH_CM,"Yes","No"))</f>
        <v/>
      </c>
      <c r="O73" s="14" t="str">
        <f aca="false">IF($A73="","",IF(AND($B73&lt;&gt;"",COUNTIF('1. Plot &amp; Site Log'!$A$5:$A$64,$B73)=0),"Plot ID not in Plot &amp; Site Log. ","")&amp;IF($K73="","No soil slices logged for this core. ","")&amp;IF($N73="No","Core stops short of the reporting depth — its depth-limited stock is an underestimate. ","")&amp;IF(AND($H73&lt;&gt;"",$H73&gt;1.05),"Core compacted by "&amp;TEXT(($H73-1)*100,"0")&amp;"%: slice depths in the tube sit shallower than in the ground, so the depth-limited stock is biased. Full-core stock is unaffected. ","")&amp;IF(AND($H73&lt;&gt;"",$H73&lt;0.98),"Core length exceeds hole depth — check the two measurements. ",""))</f>
        <v/>
      </c>
      <c r="P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4" t="str">
        <f aca="false">IF(OR($F74="",$G74="",$G74=0),"",$F74/$G74)</f>
        <v/>
      </c>
      <c r="I74" s="13"/>
      <c r="J74" s="13"/>
      <c r="K74" s="14" t="str">
        <f aca="false">IF($A74="","",IF(SUMPRODUCT(MAX(('5. Soil Data'!$B$5:$B$504=$A74)*'5. Soil Data'!$E$5:$E$504))=0,"",SUMPRODUCT(MAX(('5. Soil Data'!$B$5:$B$504=$A74)*'5. Soil Data'!$E$5:$E$504))))</f>
        <v/>
      </c>
      <c r="L74" s="14" t="str">
        <f aca="false">IF($A74="","",IFERROR(SUMIFS('5. Soil Data'!$O$5:$O$504,'5. Soil Data'!$B$5:$B$504,$A74),""))</f>
        <v/>
      </c>
      <c r="M74" s="14" t="str">
        <f aca="false">IF($A74="","",IFERROR(SUMIFS('5. Soil Data'!$P$5:$P$504,'5. Soil Data'!$B$5:$B$504,$A74),""))</f>
        <v/>
      </c>
      <c r="N74" s="14" t="str">
        <f aca="false">IF($K74="","",IF($K74&gt;=REPORTING_DEPTH_CM,"Yes","No"))</f>
        <v/>
      </c>
      <c r="O74" s="14" t="str">
        <f aca="false">IF($A74="","",IF(AND($B74&lt;&gt;"",COUNTIF('1. Plot &amp; Site Log'!$A$5:$A$64,$B74)=0),"Plot ID not in Plot &amp; Site Log. ","")&amp;IF($K74="","No soil slices logged for this core. ","")&amp;IF($N74="No","Core stops short of the reporting depth — its depth-limited stock is an underestimate. ","")&amp;IF(AND($H74&lt;&gt;"",$H74&gt;1.05),"Core compacted by "&amp;TEXT(($H74-1)*100,"0")&amp;"%: slice depths in the tube sit shallower than in the ground, so the depth-limited stock is biased. Full-core stock is unaffected. ","")&amp;IF(AND($H74&lt;&gt;"",$H74&lt;0.98),"Core length exceeds hole depth — check the two measurements. ",""))</f>
        <v/>
      </c>
      <c r="P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4" t="str">
        <f aca="false">IF(OR($F75="",$G75="",$G75=0),"",$F75/$G75)</f>
        <v/>
      </c>
      <c r="I75" s="13"/>
      <c r="J75" s="13"/>
      <c r="K75" s="14" t="str">
        <f aca="false">IF($A75="","",IF(SUMPRODUCT(MAX(('5. Soil Data'!$B$5:$B$504=$A75)*'5. Soil Data'!$E$5:$E$504))=0,"",SUMPRODUCT(MAX(('5. Soil Data'!$B$5:$B$504=$A75)*'5. Soil Data'!$E$5:$E$504))))</f>
        <v/>
      </c>
      <c r="L75" s="14" t="str">
        <f aca="false">IF($A75="","",IFERROR(SUMIFS('5. Soil Data'!$O$5:$O$504,'5. Soil Data'!$B$5:$B$504,$A75),""))</f>
        <v/>
      </c>
      <c r="M75" s="14" t="str">
        <f aca="false">IF($A75="","",IFERROR(SUMIFS('5. Soil Data'!$P$5:$P$504,'5. Soil Data'!$B$5:$B$504,$A75),""))</f>
        <v/>
      </c>
      <c r="N75" s="14" t="str">
        <f aca="false">IF($K75="","",IF($K75&gt;=REPORTING_DEPTH_CM,"Yes","No"))</f>
        <v/>
      </c>
      <c r="O75" s="14" t="str">
        <f aca="false">IF($A75="","",IF(AND($B75&lt;&gt;"",COUNTIF('1. Plot &amp; Site Log'!$A$5:$A$64,$B75)=0),"Plot ID not in Plot &amp; Site Log. ","")&amp;IF($K75="","No soil slices logged for this core. ","")&amp;IF($N75="No","Core stops short of the reporting depth — its depth-limited stock is an underestimate. ","")&amp;IF(AND($H75&lt;&gt;"",$H75&gt;1.05),"Core compacted by "&amp;TEXT(($H75-1)*100,"0")&amp;"%: slice depths in the tube sit shallower than in the ground, so the depth-limited stock is biased. Full-core stock is unaffected. ","")&amp;IF(AND($H75&lt;&gt;"",$H75&lt;0.98),"Core length exceeds hole depth — check the two measurements. ",""))</f>
        <v/>
      </c>
      <c r="P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4" t="str">
        <f aca="false">IF(OR($F76="",$G76="",$G76=0),"",$F76/$G76)</f>
        <v/>
      </c>
      <c r="I76" s="13"/>
      <c r="J76" s="13"/>
      <c r="K76" s="14" t="str">
        <f aca="false">IF($A76="","",IF(SUMPRODUCT(MAX(('5. Soil Data'!$B$5:$B$504=$A76)*'5. Soil Data'!$E$5:$E$504))=0,"",SUMPRODUCT(MAX(('5. Soil Data'!$B$5:$B$504=$A76)*'5. Soil Data'!$E$5:$E$504))))</f>
        <v/>
      </c>
      <c r="L76" s="14" t="str">
        <f aca="false">IF($A76="","",IFERROR(SUMIFS('5. Soil Data'!$O$5:$O$504,'5. Soil Data'!$B$5:$B$504,$A76),""))</f>
        <v/>
      </c>
      <c r="M76" s="14" t="str">
        <f aca="false">IF($A76="","",IFERROR(SUMIFS('5. Soil Data'!$P$5:$P$504,'5. Soil Data'!$B$5:$B$504,$A76),""))</f>
        <v/>
      </c>
      <c r="N76" s="14" t="str">
        <f aca="false">IF($K76="","",IF($K76&gt;=REPORTING_DEPTH_CM,"Yes","No"))</f>
        <v/>
      </c>
      <c r="O76" s="14" t="str">
        <f aca="false">IF($A76="","",IF(AND($B76&lt;&gt;"",COUNTIF('1. Plot &amp; Site Log'!$A$5:$A$64,$B76)=0),"Plot ID not in Plot &amp; Site Log. ","")&amp;IF($K76="","No soil slices logged for this core. ","")&amp;IF($N76="No","Core stops short of the reporting depth — its depth-limited stock is an underestimate. ","")&amp;IF(AND($H76&lt;&gt;"",$H76&gt;1.05),"Core compacted by "&amp;TEXT(($H76-1)*100,"0")&amp;"%: slice depths in the tube sit shallower than in the ground, so the depth-limited stock is biased. Full-core stock is unaffected. ","")&amp;IF(AND($H76&lt;&gt;"",$H76&lt;0.98),"Core length exceeds hole depth — check the two measurements. ",""))</f>
        <v/>
      </c>
      <c r="P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4" t="str">
        <f aca="false">IF(OR($F77="",$G77="",$G77=0),"",$F77/$G77)</f>
        <v/>
      </c>
      <c r="I77" s="13"/>
      <c r="J77" s="13"/>
      <c r="K77" s="14" t="str">
        <f aca="false">IF($A77="","",IF(SUMPRODUCT(MAX(('5. Soil Data'!$B$5:$B$504=$A77)*'5. Soil Data'!$E$5:$E$504))=0,"",SUMPRODUCT(MAX(('5. Soil Data'!$B$5:$B$504=$A77)*'5. Soil Data'!$E$5:$E$504))))</f>
        <v/>
      </c>
      <c r="L77" s="14" t="str">
        <f aca="false">IF($A77="","",IFERROR(SUMIFS('5. Soil Data'!$O$5:$O$504,'5. Soil Data'!$B$5:$B$504,$A77),""))</f>
        <v/>
      </c>
      <c r="M77" s="14" t="str">
        <f aca="false">IF($A77="","",IFERROR(SUMIFS('5. Soil Data'!$P$5:$P$504,'5. Soil Data'!$B$5:$B$504,$A77),""))</f>
        <v/>
      </c>
      <c r="N77" s="14" t="str">
        <f aca="false">IF($K77="","",IF($K77&gt;=REPORTING_DEPTH_CM,"Yes","No"))</f>
        <v/>
      </c>
      <c r="O77" s="14" t="str">
        <f aca="false">IF($A77="","",IF(AND($B77&lt;&gt;"",COUNTIF('1. Plot &amp; Site Log'!$A$5:$A$64,$B77)=0),"Plot ID not in Plot &amp; Site Log. ","")&amp;IF($K77="","No soil slices logged for this core. ","")&amp;IF($N77="No","Core stops short of the reporting depth — its depth-limited stock is an underestimate. ","")&amp;IF(AND($H77&lt;&gt;"",$H77&gt;1.05),"Core compacted by "&amp;TEXT(($H77-1)*100,"0")&amp;"%: slice depths in the tube sit shallower than in the ground, so the depth-limited stock is biased. Full-core stock is unaffected. ","")&amp;IF(AND($H77&lt;&gt;"",$H77&lt;0.98),"Core length exceeds hole depth — check the two measurements. ",""))</f>
        <v/>
      </c>
      <c r="P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4" t="str">
        <f aca="false">IF(OR($F78="",$G78="",$G78=0),"",$F78/$G78)</f>
        <v/>
      </c>
      <c r="I78" s="13"/>
      <c r="J78" s="13"/>
      <c r="K78" s="14" t="str">
        <f aca="false">IF($A78="","",IF(SUMPRODUCT(MAX(('5. Soil Data'!$B$5:$B$504=$A78)*'5. Soil Data'!$E$5:$E$504))=0,"",SUMPRODUCT(MAX(('5. Soil Data'!$B$5:$B$504=$A78)*'5. Soil Data'!$E$5:$E$504))))</f>
        <v/>
      </c>
      <c r="L78" s="14" t="str">
        <f aca="false">IF($A78="","",IFERROR(SUMIFS('5. Soil Data'!$O$5:$O$504,'5. Soil Data'!$B$5:$B$504,$A78),""))</f>
        <v/>
      </c>
      <c r="M78" s="14" t="str">
        <f aca="false">IF($A78="","",IFERROR(SUMIFS('5. Soil Data'!$P$5:$P$504,'5. Soil Data'!$B$5:$B$504,$A78),""))</f>
        <v/>
      </c>
      <c r="N78" s="14" t="str">
        <f aca="false">IF($K78="","",IF($K78&gt;=REPORTING_DEPTH_CM,"Yes","No"))</f>
        <v/>
      </c>
      <c r="O78" s="14" t="str">
        <f aca="false">IF($A78="","",IF(AND($B78&lt;&gt;"",COUNTIF('1. Plot &amp; Site Log'!$A$5:$A$64,$B78)=0),"Plot ID not in Plot &amp; Site Log. ","")&amp;IF($K78="","No soil slices logged for this core. ","")&amp;IF($N78="No","Core stops short of the reporting depth — its depth-limited stock is an underestimate. ","")&amp;IF(AND($H78&lt;&gt;"",$H78&gt;1.05),"Core compacted by "&amp;TEXT(($H78-1)*100,"0")&amp;"%: slice depths in the tube sit shallower than in the ground, so the depth-limited stock is biased. Full-core stock is unaffected. ","")&amp;IF(AND($H78&lt;&gt;"",$H78&lt;0.98),"Core length exceeds hole depth — check the two measurements. ",""))</f>
        <v/>
      </c>
      <c r="P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4" t="str">
        <f aca="false">IF(OR($F79="",$G79="",$G79=0),"",$F79/$G79)</f>
        <v/>
      </c>
      <c r="I79" s="13"/>
      <c r="J79" s="13"/>
      <c r="K79" s="14" t="str">
        <f aca="false">IF($A79="","",IF(SUMPRODUCT(MAX(('5. Soil Data'!$B$5:$B$504=$A79)*'5. Soil Data'!$E$5:$E$504))=0,"",SUMPRODUCT(MAX(('5. Soil Data'!$B$5:$B$504=$A79)*'5. Soil Data'!$E$5:$E$504))))</f>
        <v/>
      </c>
      <c r="L79" s="14" t="str">
        <f aca="false">IF($A79="","",IFERROR(SUMIFS('5. Soil Data'!$O$5:$O$504,'5. Soil Data'!$B$5:$B$504,$A79),""))</f>
        <v/>
      </c>
      <c r="M79" s="14" t="str">
        <f aca="false">IF($A79="","",IFERROR(SUMIFS('5. Soil Data'!$P$5:$P$504,'5. Soil Data'!$B$5:$B$504,$A79),""))</f>
        <v/>
      </c>
      <c r="N79" s="14" t="str">
        <f aca="false">IF($K79="","",IF($K79&gt;=REPORTING_DEPTH_CM,"Yes","No"))</f>
        <v/>
      </c>
      <c r="O79" s="14" t="str">
        <f aca="false">IF($A79="","",IF(AND($B79&lt;&gt;"",COUNTIF('1. Plot &amp; Site Log'!$A$5:$A$64,$B79)=0),"Plot ID not in Plot &amp; Site Log. ","")&amp;IF($K79="","No soil slices logged for this core. ","")&amp;IF($N79="No","Core stops short of the reporting depth — its depth-limited stock is an underestimate. ","")&amp;IF(AND($H79&lt;&gt;"",$H79&gt;1.05),"Core compacted by "&amp;TEXT(($H79-1)*100,"0")&amp;"%: slice depths in the tube sit shallower than in the ground, so the depth-limited stock is biased. Full-core stock is unaffected. ","")&amp;IF(AND($H79&lt;&gt;"",$H79&lt;0.98),"Core length exceeds hole depth — check the two measurements. ",""))</f>
        <v/>
      </c>
      <c r="P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4" t="str">
        <f aca="false">IF(OR($F80="",$G80="",$G80=0),"",$F80/$G80)</f>
        <v/>
      </c>
      <c r="I80" s="13"/>
      <c r="J80" s="13"/>
      <c r="K80" s="14" t="str">
        <f aca="false">IF($A80="","",IF(SUMPRODUCT(MAX(('5. Soil Data'!$B$5:$B$504=$A80)*'5. Soil Data'!$E$5:$E$504))=0,"",SUMPRODUCT(MAX(('5. Soil Data'!$B$5:$B$504=$A80)*'5. Soil Data'!$E$5:$E$504))))</f>
        <v/>
      </c>
      <c r="L80" s="14" t="str">
        <f aca="false">IF($A80="","",IFERROR(SUMIFS('5. Soil Data'!$O$5:$O$504,'5. Soil Data'!$B$5:$B$504,$A80),""))</f>
        <v/>
      </c>
      <c r="M80" s="14" t="str">
        <f aca="false">IF($A80="","",IFERROR(SUMIFS('5. Soil Data'!$P$5:$P$504,'5. Soil Data'!$B$5:$B$504,$A80),""))</f>
        <v/>
      </c>
      <c r="N80" s="14" t="str">
        <f aca="false">IF($K80="","",IF($K80&gt;=REPORTING_DEPTH_CM,"Yes","No"))</f>
        <v/>
      </c>
      <c r="O80" s="14" t="str">
        <f aca="false">IF($A80="","",IF(AND($B80&lt;&gt;"",COUNTIF('1. Plot &amp; Site Log'!$A$5:$A$64,$B80)=0),"Plot ID not in Plot &amp; Site Log. ","")&amp;IF($K80="","No soil slices logged for this core. ","")&amp;IF($N80="No","Core stops short of the reporting depth — its depth-limited stock is an underestimate. ","")&amp;IF(AND($H80&lt;&gt;"",$H80&gt;1.05),"Core compacted by "&amp;TEXT(($H80-1)*100,"0")&amp;"%: slice depths in the tube sit shallower than in the ground, so the depth-limited stock is biased. Full-core stock is unaffected. ","")&amp;IF(AND($H80&lt;&gt;"",$H80&lt;0.98),"Core length exceeds hole depth — check the two measurements. ",""))</f>
        <v/>
      </c>
      <c r="P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4" t="str">
        <f aca="false">IF(OR($F81="",$G81="",$G81=0),"",$F81/$G81)</f>
        <v/>
      </c>
      <c r="I81" s="13"/>
      <c r="J81" s="13"/>
      <c r="K81" s="14" t="str">
        <f aca="false">IF($A81="","",IF(SUMPRODUCT(MAX(('5. Soil Data'!$B$5:$B$504=$A81)*'5. Soil Data'!$E$5:$E$504))=0,"",SUMPRODUCT(MAX(('5. Soil Data'!$B$5:$B$504=$A81)*'5. Soil Data'!$E$5:$E$504))))</f>
        <v/>
      </c>
      <c r="L81" s="14" t="str">
        <f aca="false">IF($A81="","",IFERROR(SUMIFS('5. Soil Data'!$O$5:$O$504,'5. Soil Data'!$B$5:$B$504,$A81),""))</f>
        <v/>
      </c>
      <c r="M81" s="14" t="str">
        <f aca="false">IF($A81="","",IFERROR(SUMIFS('5. Soil Data'!$P$5:$P$504,'5. Soil Data'!$B$5:$B$504,$A81),""))</f>
        <v/>
      </c>
      <c r="N81" s="14" t="str">
        <f aca="false">IF($K81="","",IF($K81&gt;=REPORTING_DEPTH_CM,"Yes","No"))</f>
        <v/>
      </c>
      <c r="O81" s="14" t="str">
        <f aca="false">IF($A81="","",IF(AND($B81&lt;&gt;"",COUNTIF('1. Plot &amp; Site Log'!$A$5:$A$64,$B81)=0),"Plot ID not in Plot &amp; Site Log. ","")&amp;IF($K81="","No soil slices logged for this core. ","")&amp;IF($N81="No","Core stops short of the reporting depth — its depth-limited stock is an underestimate. ","")&amp;IF(AND($H81&lt;&gt;"",$H81&gt;1.05),"Core compacted by "&amp;TEXT(($H81-1)*100,"0")&amp;"%: slice depths in the tube sit shallower than in the ground, so the depth-limited stock is biased. Full-core stock is unaffected. ","")&amp;IF(AND($H81&lt;&gt;"",$H81&lt;0.98),"Core length exceeds hole depth — check the two measurements. ",""))</f>
        <v/>
      </c>
      <c r="P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4" t="str">
        <f aca="false">IF(OR($F82="",$G82="",$G82=0),"",$F82/$G82)</f>
        <v/>
      </c>
      <c r="I82" s="13"/>
      <c r="J82" s="13"/>
      <c r="K82" s="14" t="str">
        <f aca="false">IF($A82="","",IF(SUMPRODUCT(MAX(('5. Soil Data'!$B$5:$B$504=$A82)*'5. Soil Data'!$E$5:$E$504))=0,"",SUMPRODUCT(MAX(('5. Soil Data'!$B$5:$B$504=$A82)*'5. Soil Data'!$E$5:$E$504))))</f>
        <v/>
      </c>
      <c r="L82" s="14" t="str">
        <f aca="false">IF($A82="","",IFERROR(SUMIFS('5. Soil Data'!$O$5:$O$504,'5. Soil Data'!$B$5:$B$504,$A82),""))</f>
        <v/>
      </c>
      <c r="M82" s="14" t="str">
        <f aca="false">IF($A82="","",IFERROR(SUMIFS('5. Soil Data'!$P$5:$P$504,'5. Soil Data'!$B$5:$B$504,$A82),""))</f>
        <v/>
      </c>
      <c r="N82" s="14" t="str">
        <f aca="false">IF($K82="","",IF($K82&gt;=REPORTING_DEPTH_CM,"Yes","No"))</f>
        <v/>
      </c>
      <c r="O82" s="14" t="str">
        <f aca="false">IF($A82="","",IF(AND($B82&lt;&gt;"",COUNTIF('1. Plot &amp; Site Log'!$A$5:$A$64,$B82)=0),"Plot ID not in Plot &amp; Site Log. ","")&amp;IF($K82="","No soil slices logged for this core. ","")&amp;IF($N82="No","Core stops short of the reporting depth — its depth-limited stock is an underestimate. ","")&amp;IF(AND($H82&lt;&gt;"",$H82&gt;1.05),"Core compacted by "&amp;TEXT(($H82-1)*100,"0")&amp;"%: slice depths in the tube sit shallower than in the ground, so the depth-limited stock is biased. Full-core stock is unaffected. ","")&amp;IF(AND($H82&lt;&gt;"",$H82&lt;0.98),"Core length exceeds hole depth — check the two measurements. ",""))</f>
        <v/>
      </c>
      <c r="P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4" t="str">
        <f aca="false">IF(OR($F83="",$G83="",$G83=0),"",$F83/$G83)</f>
        <v/>
      </c>
      <c r="I83" s="13"/>
      <c r="J83" s="13"/>
      <c r="K83" s="14" t="str">
        <f aca="false">IF($A83="","",IF(SUMPRODUCT(MAX(('5. Soil Data'!$B$5:$B$504=$A83)*'5. Soil Data'!$E$5:$E$504))=0,"",SUMPRODUCT(MAX(('5. Soil Data'!$B$5:$B$504=$A83)*'5. Soil Data'!$E$5:$E$504))))</f>
        <v/>
      </c>
      <c r="L83" s="14" t="str">
        <f aca="false">IF($A83="","",IFERROR(SUMIFS('5. Soil Data'!$O$5:$O$504,'5. Soil Data'!$B$5:$B$504,$A83),""))</f>
        <v/>
      </c>
      <c r="M83" s="14" t="str">
        <f aca="false">IF($A83="","",IFERROR(SUMIFS('5. Soil Data'!$P$5:$P$504,'5. Soil Data'!$B$5:$B$504,$A83),""))</f>
        <v/>
      </c>
      <c r="N83" s="14" t="str">
        <f aca="false">IF($K83="","",IF($K83&gt;=REPORTING_DEPTH_CM,"Yes","No"))</f>
        <v/>
      </c>
      <c r="O83" s="14" t="str">
        <f aca="false">IF($A83="","",IF(AND($B83&lt;&gt;"",COUNTIF('1. Plot &amp; Site Log'!$A$5:$A$64,$B83)=0),"Plot ID not in Plot &amp; Site Log. ","")&amp;IF($K83="","No soil slices logged for this core. ","")&amp;IF($N83="No","Core stops short of the reporting depth — its depth-limited stock is an underestimate. ","")&amp;IF(AND($H83&lt;&gt;"",$H83&gt;1.05),"Core compacted by "&amp;TEXT(($H83-1)*100,"0")&amp;"%: slice depths in the tube sit shallower than in the ground, so the depth-limited stock is biased. Full-core stock is unaffected. ","")&amp;IF(AND($H83&lt;&gt;"",$H83&lt;0.98),"Core length exceeds hole depth — check the two measurements. ",""))</f>
        <v/>
      </c>
      <c r="P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4" t="str">
        <f aca="false">IF(OR($F84="",$G84="",$G84=0),"",$F84/$G84)</f>
        <v/>
      </c>
      <c r="I84" s="13"/>
      <c r="J84" s="13"/>
      <c r="K84" s="14" t="str">
        <f aca="false">IF($A84="","",IF(SUMPRODUCT(MAX(('5. Soil Data'!$B$5:$B$504=$A84)*'5. Soil Data'!$E$5:$E$504))=0,"",SUMPRODUCT(MAX(('5. Soil Data'!$B$5:$B$504=$A84)*'5. Soil Data'!$E$5:$E$504))))</f>
        <v/>
      </c>
      <c r="L84" s="14" t="str">
        <f aca="false">IF($A84="","",IFERROR(SUMIFS('5. Soil Data'!$O$5:$O$504,'5. Soil Data'!$B$5:$B$504,$A84),""))</f>
        <v/>
      </c>
      <c r="M84" s="14" t="str">
        <f aca="false">IF($A84="","",IFERROR(SUMIFS('5. Soil Data'!$P$5:$P$504,'5. Soil Data'!$B$5:$B$504,$A84),""))</f>
        <v/>
      </c>
      <c r="N84" s="14" t="str">
        <f aca="false">IF($K84="","",IF($K84&gt;=REPORTING_DEPTH_CM,"Yes","No"))</f>
        <v/>
      </c>
      <c r="O84" s="14" t="str">
        <f aca="false">IF($A84="","",IF(AND($B84&lt;&gt;"",COUNTIF('1. Plot &amp; Site Log'!$A$5:$A$64,$B84)=0),"Plot ID not in Plot &amp; Site Log. ","")&amp;IF($K84="","No soil slices logged for this core. ","")&amp;IF($N84="No","Core stops short of the reporting depth — its depth-limited stock is an underestimate. ","")&amp;IF(AND($H84&lt;&gt;"",$H84&gt;1.05),"Core compacted by "&amp;TEXT(($H84-1)*100,"0")&amp;"%: slice depths in the tube sit shallower than in the ground, so the depth-limited stock is biased. Full-core stock is unaffected. ","")&amp;IF(AND($H84&lt;&gt;"",$H84&lt;0.98),"Core length exceeds hole depth — check the two measurements. ",""))</f>
        <v/>
      </c>
      <c r="P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4" t="str">
        <f aca="false">IF(OR($F85="",$G85="",$G85=0),"",$F85/$G85)</f>
        <v/>
      </c>
      <c r="I85" s="13"/>
      <c r="J85" s="13"/>
      <c r="K85" s="14" t="str">
        <f aca="false">IF($A85="","",IF(SUMPRODUCT(MAX(('5. Soil Data'!$B$5:$B$504=$A85)*'5. Soil Data'!$E$5:$E$504))=0,"",SUMPRODUCT(MAX(('5. Soil Data'!$B$5:$B$504=$A85)*'5. Soil Data'!$E$5:$E$504))))</f>
        <v/>
      </c>
      <c r="L85" s="14" t="str">
        <f aca="false">IF($A85="","",IFERROR(SUMIFS('5. Soil Data'!$O$5:$O$504,'5. Soil Data'!$B$5:$B$504,$A85),""))</f>
        <v/>
      </c>
      <c r="M85" s="14" t="str">
        <f aca="false">IF($A85="","",IFERROR(SUMIFS('5. Soil Data'!$P$5:$P$504,'5. Soil Data'!$B$5:$B$504,$A85),""))</f>
        <v/>
      </c>
      <c r="N85" s="14" t="str">
        <f aca="false">IF($K85="","",IF($K85&gt;=REPORTING_DEPTH_CM,"Yes","No"))</f>
        <v/>
      </c>
      <c r="O85" s="14" t="str">
        <f aca="false">IF($A85="","",IF(AND($B85&lt;&gt;"",COUNTIF('1. Plot &amp; Site Log'!$A$5:$A$64,$B85)=0),"Plot ID not in Plot &amp; Site Log. ","")&amp;IF($K85="","No soil slices logged for this core. ","")&amp;IF($N85="No","Core stops short of the reporting depth — its depth-limited stock is an underestimate. ","")&amp;IF(AND($H85&lt;&gt;"",$H85&gt;1.05),"Core compacted by "&amp;TEXT(($H85-1)*100,"0")&amp;"%: slice depths in the tube sit shallower than in the ground, so the depth-limited stock is biased. Full-core stock is unaffected. ","")&amp;IF(AND($H85&lt;&gt;"",$H85&lt;0.98),"Core length exceeds hole depth — check the two measurements. ",""))</f>
        <v/>
      </c>
      <c r="P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4" t="str">
        <f aca="false">IF(OR($F86="",$G86="",$G86=0),"",$F86/$G86)</f>
        <v/>
      </c>
      <c r="I86" s="13"/>
      <c r="J86" s="13"/>
      <c r="K86" s="14" t="str">
        <f aca="false">IF($A86="","",IF(SUMPRODUCT(MAX(('5. Soil Data'!$B$5:$B$504=$A86)*'5. Soil Data'!$E$5:$E$504))=0,"",SUMPRODUCT(MAX(('5. Soil Data'!$B$5:$B$504=$A86)*'5. Soil Data'!$E$5:$E$504))))</f>
        <v/>
      </c>
      <c r="L86" s="14" t="str">
        <f aca="false">IF($A86="","",IFERROR(SUMIFS('5. Soil Data'!$O$5:$O$504,'5. Soil Data'!$B$5:$B$504,$A86),""))</f>
        <v/>
      </c>
      <c r="M86" s="14" t="str">
        <f aca="false">IF($A86="","",IFERROR(SUMIFS('5. Soil Data'!$P$5:$P$504,'5. Soil Data'!$B$5:$B$504,$A86),""))</f>
        <v/>
      </c>
      <c r="N86" s="14" t="str">
        <f aca="false">IF($K86="","",IF($K86&gt;=REPORTING_DEPTH_CM,"Yes","No"))</f>
        <v/>
      </c>
      <c r="O86" s="14" t="str">
        <f aca="false">IF($A86="","",IF(AND($B86&lt;&gt;"",COUNTIF('1. Plot &amp; Site Log'!$A$5:$A$64,$B86)=0),"Plot ID not in Plot &amp; Site Log. ","")&amp;IF($K86="","No soil slices logged for this core. ","")&amp;IF($N86="No","Core stops short of the reporting depth — its depth-limited stock is an underestimate. ","")&amp;IF(AND($H86&lt;&gt;"",$H86&gt;1.05),"Core compacted by "&amp;TEXT(($H86-1)*100,"0")&amp;"%: slice depths in the tube sit shallower than in the ground, so the depth-limited stock is biased. Full-core stock is unaffected. ","")&amp;IF(AND($H86&lt;&gt;"",$H86&lt;0.98),"Core length exceeds hole depth — check the two measurements. ",""))</f>
        <v/>
      </c>
      <c r="P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4" t="str">
        <f aca="false">IF(OR($F87="",$G87="",$G87=0),"",$F87/$G87)</f>
        <v/>
      </c>
      <c r="I87" s="13"/>
      <c r="J87" s="13"/>
      <c r="K87" s="14" t="str">
        <f aca="false">IF($A87="","",IF(SUMPRODUCT(MAX(('5. Soil Data'!$B$5:$B$504=$A87)*'5. Soil Data'!$E$5:$E$504))=0,"",SUMPRODUCT(MAX(('5. Soil Data'!$B$5:$B$504=$A87)*'5. Soil Data'!$E$5:$E$504))))</f>
        <v/>
      </c>
      <c r="L87" s="14" t="str">
        <f aca="false">IF($A87="","",IFERROR(SUMIFS('5. Soil Data'!$O$5:$O$504,'5. Soil Data'!$B$5:$B$504,$A87),""))</f>
        <v/>
      </c>
      <c r="M87" s="14" t="str">
        <f aca="false">IF($A87="","",IFERROR(SUMIFS('5. Soil Data'!$P$5:$P$504,'5. Soil Data'!$B$5:$B$504,$A87),""))</f>
        <v/>
      </c>
      <c r="N87" s="14" t="str">
        <f aca="false">IF($K87="","",IF($K87&gt;=REPORTING_DEPTH_CM,"Yes","No"))</f>
        <v/>
      </c>
      <c r="O87" s="14" t="str">
        <f aca="false">IF($A87="","",IF(AND($B87&lt;&gt;"",COUNTIF('1. Plot &amp; Site Log'!$A$5:$A$64,$B87)=0),"Plot ID not in Plot &amp; Site Log. ","")&amp;IF($K87="","No soil slices logged for this core. ","")&amp;IF($N87="No","Core stops short of the reporting depth — its depth-limited stock is an underestimate. ","")&amp;IF(AND($H87&lt;&gt;"",$H87&gt;1.05),"Core compacted by "&amp;TEXT(($H87-1)*100,"0")&amp;"%: slice depths in the tube sit shallower than in the ground, so the depth-limited stock is biased. Full-core stock is unaffected. ","")&amp;IF(AND($H87&lt;&gt;"",$H87&lt;0.98),"Core length exceeds hole depth — check the two measurements. ",""))</f>
        <v/>
      </c>
      <c r="P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4" t="str">
        <f aca="false">IF(OR($F88="",$G88="",$G88=0),"",$F88/$G88)</f>
        <v/>
      </c>
      <c r="I88" s="13"/>
      <c r="J88" s="13"/>
      <c r="K88" s="14" t="str">
        <f aca="false">IF($A88="","",IF(SUMPRODUCT(MAX(('5. Soil Data'!$B$5:$B$504=$A88)*'5. Soil Data'!$E$5:$E$504))=0,"",SUMPRODUCT(MAX(('5. Soil Data'!$B$5:$B$504=$A88)*'5. Soil Data'!$E$5:$E$504))))</f>
        <v/>
      </c>
      <c r="L88" s="14" t="str">
        <f aca="false">IF($A88="","",IFERROR(SUMIFS('5. Soil Data'!$O$5:$O$504,'5. Soil Data'!$B$5:$B$504,$A88),""))</f>
        <v/>
      </c>
      <c r="M88" s="14" t="str">
        <f aca="false">IF($A88="","",IFERROR(SUMIFS('5. Soil Data'!$P$5:$P$504,'5. Soil Data'!$B$5:$B$504,$A88),""))</f>
        <v/>
      </c>
      <c r="N88" s="14" t="str">
        <f aca="false">IF($K88="","",IF($K88&gt;=REPORTING_DEPTH_CM,"Yes","No"))</f>
        <v/>
      </c>
      <c r="O88" s="14" t="str">
        <f aca="false">IF($A88="","",IF(AND($B88&lt;&gt;"",COUNTIF('1. Plot &amp; Site Log'!$A$5:$A$64,$B88)=0),"Plot ID not in Plot &amp; Site Log. ","")&amp;IF($K88="","No soil slices logged for this core. ","")&amp;IF($N88="No","Core stops short of the reporting depth — its depth-limited stock is an underestimate. ","")&amp;IF(AND($H88&lt;&gt;"",$H88&gt;1.05),"Core compacted by "&amp;TEXT(($H88-1)*100,"0")&amp;"%: slice depths in the tube sit shallower than in the ground, so the depth-limited stock is biased. Full-core stock is unaffected. ","")&amp;IF(AND($H88&lt;&gt;"",$H88&lt;0.98),"Core length exceeds hole depth — check the two measurements. ",""))</f>
        <v/>
      </c>
      <c r="P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4" t="str">
        <f aca="false">IF(OR($F89="",$G89="",$G89=0),"",$F89/$G89)</f>
        <v/>
      </c>
      <c r="I89" s="13"/>
      <c r="J89" s="13"/>
      <c r="K89" s="14" t="str">
        <f aca="false">IF($A89="","",IF(SUMPRODUCT(MAX(('5. Soil Data'!$B$5:$B$504=$A89)*'5. Soil Data'!$E$5:$E$504))=0,"",SUMPRODUCT(MAX(('5. Soil Data'!$B$5:$B$504=$A89)*'5. Soil Data'!$E$5:$E$504))))</f>
        <v/>
      </c>
      <c r="L89" s="14" t="str">
        <f aca="false">IF($A89="","",IFERROR(SUMIFS('5. Soil Data'!$O$5:$O$504,'5. Soil Data'!$B$5:$B$504,$A89),""))</f>
        <v/>
      </c>
      <c r="M89" s="14" t="str">
        <f aca="false">IF($A89="","",IFERROR(SUMIFS('5. Soil Data'!$P$5:$P$504,'5. Soil Data'!$B$5:$B$504,$A89),""))</f>
        <v/>
      </c>
      <c r="N89" s="14" t="str">
        <f aca="false">IF($K89="","",IF($K89&gt;=REPORTING_DEPTH_CM,"Yes","No"))</f>
        <v/>
      </c>
      <c r="O89" s="14" t="str">
        <f aca="false">IF($A89="","",IF(AND($B89&lt;&gt;"",COUNTIF('1. Plot &amp; Site Log'!$A$5:$A$64,$B89)=0),"Plot ID not in Plot &amp; Site Log. ","")&amp;IF($K89="","No soil slices logged for this core. ","")&amp;IF($N89="No","Core stops short of the reporting depth — its depth-limited stock is an underestimate. ","")&amp;IF(AND($H89&lt;&gt;"",$H89&gt;1.05),"Core compacted by "&amp;TEXT(($H89-1)*100,"0")&amp;"%: slice depths in the tube sit shallower than in the ground, so the depth-limited stock is biased. Full-core stock is unaffected. ","")&amp;IF(AND($H89&lt;&gt;"",$H89&lt;0.98),"Core length exceeds hole depth — check the two measurements. ",""))</f>
        <v/>
      </c>
      <c r="P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4" t="str">
        <f aca="false">IF(OR($F90="",$G90="",$G90=0),"",$F90/$G90)</f>
        <v/>
      </c>
      <c r="I90" s="13"/>
      <c r="J90" s="13"/>
      <c r="K90" s="14" t="str">
        <f aca="false">IF($A90="","",IF(SUMPRODUCT(MAX(('5. Soil Data'!$B$5:$B$504=$A90)*'5. Soil Data'!$E$5:$E$504))=0,"",SUMPRODUCT(MAX(('5. Soil Data'!$B$5:$B$504=$A90)*'5. Soil Data'!$E$5:$E$504))))</f>
        <v/>
      </c>
      <c r="L90" s="14" t="str">
        <f aca="false">IF($A90="","",IFERROR(SUMIFS('5. Soil Data'!$O$5:$O$504,'5. Soil Data'!$B$5:$B$504,$A90),""))</f>
        <v/>
      </c>
      <c r="M90" s="14" t="str">
        <f aca="false">IF($A90="","",IFERROR(SUMIFS('5. Soil Data'!$P$5:$P$504,'5. Soil Data'!$B$5:$B$504,$A90),""))</f>
        <v/>
      </c>
      <c r="N90" s="14" t="str">
        <f aca="false">IF($K90="","",IF($K90&gt;=REPORTING_DEPTH_CM,"Yes","No"))</f>
        <v/>
      </c>
      <c r="O90" s="14" t="str">
        <f aca="false">IF($A90="","",IF(AND($B90&lt;&gt;"",COUNTIF('1. Plot &amp; Site Log'!$A$5:$A$64,$B90)=0),"Plot ID not in Plot &amp; Site Log. ","")&amp;IF($K90="","No soil slices logged for this core. ","")&amp;IF($N90="No","Core stops short of the reporting depth — its depth-limited stock is an underestimate. ","")&amp;IF(AND($H90&lt;&gt;"",$H90&gt;1.05),"Core compacted by "&amp;TEXT(($H90-1)*100,"0")&amp;"%: slice depths in the tube sit shallower than in the ground, so the depth-limited stock is biased. Full-core stock is unaffected. ","")&amp;IF(AND($H90&lt;&gt;"",$H90&lt;0.98),"Core length exceeds hole depth — check the two measurements. ",""))</f>
        <v/>
      </c>
      <c r="P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4" t="str">
        <f aca="false">IF(OR($F91="",$G91="",$G91=0),"",$F91/$G91)</f>
        <v/>
      </c>
      <c r="I91" s="13"/>
      <c r="J91" s="13"/>
      <c r="K91" s="14" t="str">
        <f aca="false">IF($A91="","",IF(SUMPRODUCT(MAX(('5. Soil Data'!$B$5:$B$504=$A91)*'5. Soil Data'!$E$5:$E$504))=0,"",SUMPRODUCT(MAX(('5. Soil Data'!$B$5:$B$504=$A91)*'5. Soil Data'!$E$5:$E$504))))</f>
        <v/>
      </c>
      <c r="L91" s="14" t="str">
        <f aca="false">IF($A91="","",IFERROR(SUMIFS('5. Soil Data'!$O$5:$O$504,'5. Soil Data'!$B$5:$B$504,$A91),""))</f>
        <v/>
      </c>
      <c r="M91" s="14" t="str">
        <f aca="false">IF($A91="","",IFERROR(SUMIFS('5. Soil Data'!$P$5:$P$504,'5. Soil Data'!$B$5:$B$504,$A91),""))</f>
        <v/>
      </c>
      <c r="N91" s="14" t="str">
        <f aca="false">IF($K91="","",IF($K91&gt;=REPORTING_DEPTH_CM,"Yes","No"))</f>
        <v/>
      </c>
      <c r="O91" s="14" t="str">
        <f aca="false">IF($A91="","",IF(AND($B91&lt;&gt;"",COUNTIF('1. Plot &amp; Site Log'!$A$5:$A$64,$B91)=0),"Plot ID not in Plot &amp; Site Log. ","")&amp;IF($K91="","No soil slices logged for this core. ","")&amp;IF($N91="No","Core stops short of the reporting depth — its depth-limited stock is an underestimate. ","")&amp;IF(AND($H91&lt;&gt;"",$H91&gt;1.05),"Core compacted by "&amp;TEXT(($H91-1)*100,"0")&amp;"%: slice depths in the tube sit shallower than in the ground, so the depth-limited stock is biased. Full-core stock is unaffected. ","")&amp;IF(AND($H91&lt;&gt;"",$H91&lt;0.98),"Core length exceeds hole depth — check the two measurements. ",""))</f>
        <v/>
      </c>
      <c r="P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4" t="str">
        <f aca="false">IF(OR($F92="",$G92="",$G92=0),"",$F92/$G92)</f>
        <v/>
      </c>
      <c r="I92" s="13"/>
      <c r="J92" s="13"/>
      <c r="K92" s="14" t="str">
        <f aca="false">IF($A92="","",IF(SUMPRODUCT(MAX(('5. Soil Data'!$B$5:$B$504=$A92)*'5. Soil Data'!$E$5:$E$504))=0,"",SUMPRODUCT(MAX(('5. Soil Data'!$B$5:$B$504=$A92)*'5. Soil Data'!$E$5:$E$504))))</f>
        <v/>
      </c>
      <c r="L92" s="14" t="str">
        <f aca="false">IF($A92="","",IFERROR(SUMIFS('5. Soil Data'!$O$5:$O$504,'5. Soil Data'!$B$5:$B$504,$A92),""))</f>
        <v/>
      </c>
      <c r="M92" s="14" t="str">
        <f aca="false">IF($A92="","",IFERROR(SUMIFS('5. Soil Data'!$P$5:$P$504,'5. Soil Data'!$B$5:$B$504,$A92),""))</f>
        <v/>
      </c>
      <c r="N92" s="14" t="str">
        <f aca="false">IF($K92="","",IF($K92&gt;=REPORTING_DEPTH_CM,"Yes","No"))</f>
        <v/>
      </c>
      <c r="O92" s="14" t="str">
        <f aca="false">IF($A92="","",IF(AND($B92&lt;&gt;"",COUNTIF('1. Plot &amp; Site Log'!$A$5:$A$64,$B92)=0),"Plot ID not in Plot &amp; Site Log. ","")&amp;IF($K92="","No soil slices logged for this core. ","")&amp;IF($N92="No","Core stops short of the reporting depth — its depth-limited stock is an underestimate. ","")&amp;IF(AND($H92&lt;&gt;"",$H92&gt;1.05),"Core compacted by "&amp;TEXT(($H92-1)*100,"0")&amp;"%: slice depths in the tube sit shallower than in the ground, so the depth-limited stock is biased. Full-core stock is unaffected. ","")&amp;IF(AND($H92&lt;&gt;"",$H92&lt;0.98),"Core length exceeds hole depth — check the two measurements. ",""))</f>
        <v/>
      </c>
      <c r="P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4" t="str">
        <f aca="false">IF(OR($F93="",$G93="",$G93=0),"",$F93/$G93)</f>
        <v/>
      </c>
      <c r="I93" s="13"/>
      <c r="J93" s="13"/>
      <c r="K93" s="14" t="str">
        <f aca="false">IF($A93="","",IF(SUMPRODUCT(MAX(('5. Soil Data'!$B$5:$B$504=$A93)*'5. Soil Data'!$E$5:$E$504))=0,"",SUMPRODUCT(MAX(('5. Soil Data'!$B$5:$B$504=$A93)*'5. Soil Data'!$E$5:$E$504))))</f>
        <v/>
      </c>
      <c r="L93" s="14" t="str">
        <f aca="false">IF($A93="","",IFERROR(SUMIFS('5. Soil Data'!$O$5:$O$504,'5. Soil Data'!$B$5:$B$504,$A93),""))</f>
        <v/>
      </c>
      <c r="M93" s="14" t="str">
        <f aca="false">IF($A93="","",IFERROR(SUMIFS('5. Soil Data'!$P$5:$P$504,'5. Soil Data'!$B$5:$B$504,$A93),""))</f>
        <v/>
      </c>
      <c r="N93" s="14" t="str">
        <f aca="false">IF($K93="","",IF($K93&gt;=REPORTING_DEPTH_CM,"Yes","No"))</f>
        <v/>
      </c>
      <c r="O93" s="14" t="str">
        <f aca="false">IF($A93="","",IF(AND($B93&lt;&gt;"",COUNTIF('1. Plot &amp; Site Log'!$A$5:$A$64,$B93)=0),"Plot ID not in Plot &amp; Site Log. ","")&amp;IF($K93="","No soil slices logged for this core. ","")&amp;IF($N93="No","Core stops short of the reporting depth — its depth-limited stock is an underestimate. ","")&amp;IF(AND($H93&lt;&gt;"",$H93&gt;1.05),"Core compacted by "&amp;TEXT(($H93-1)*100,"0")&amp;"%: slice depths in the tube sit shallower than in the ground, so the depth-limited stock is biased. Full-core stock is unaffected. ","")&amp;IF(AND($H93&lt;&gt;"",$H93&lt;0.98),"Core length exceeds hole depth — check the two measurements. ",""))</f>
        <v/>
      </c>
      <c r="P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4" t="str">
        <f aca="false">IF(OR($F94="",$G94="",$G94=0),"",$F94/$G94)</f>
        <v/>
      </c>
      <c r="I94" s="13"/>
      <c r="J94" s="13"/>
      <c r="K94" s="14" t="str">
        <f aca="false">IF($A94="","",IF(SUMPRODUCT(MAX(('5. Soil Data'!$B$5:$B$504=$A94)*'5. Soil Data'!$E$5:$E$504))=0,"",SUMPRODUCT(MAX(('5. Soil Data'!$B$5:$B$504=$A94)*'5. Soil Data'!$E$5:$E$504))))</f>
        <v/>
      </c>
      <c r="L94" s="14" t="str">
        <f aca="false">IF($A94="","",IFERROR(SUMIFS('5. Soil Data'!$O$5:$O$504,'5. Soil Data'!$B$5:$B$504,$A94),""))</f>
        <v/>
      </c>
      <c r="M94" s="14" t="str">
        <f aca="false">IF($A94="","",IFERROR(SUMIFS('5. Soil Data'!$P$5:$P$504,'5. Soil Data'!$B$5:$B$504,$A94),""))</f>
        <v/>
      </c>
      <c r="N94" s="14" t="str">
        <f aca="false">IF($K94="","",IF($K94&gt;=REPORTING_DEPTH_CM,"Yes","No"))</f>
        <v/>
      </c>
      <c r="O94" s="14" t="str">
        <f aca="false">IF($A94="","",IF(AND($B94&lt;&gt;"",COUNTIF('1. Plot &amp; Site Log'!$A$5:$A$64,$B94)=0),"Plot ID not in Plot &amp; Site Log. ","")&amp;IF($K94="","No soil slices logged for this core. ","")&amp;IF($N94="No","Core stops short of the reporting depth — its depth-limited stock is an underestimate. ","")&amp;IF(AND($H94&lt;&gt;"",$H94&gt;1.05),"Core compacted by "&amp;TEXT(($H94-1)*100,"0")&amp;"%: slice depths in the tube sit shallower than in the ground, so the depth-limited stock is biased. Full-core stock is unaffected. ","")&amp;IF(AND($H94&lt;&gt;"",$H94&lt;0.98),"Core length exceeds hole depth — check the two measurements. ",""))</f>
        <v/>
      </c>
      <c r="P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4" t="str">
        <f aca="false">IF(OR($F95="",$G95="",$G95=0),"",$F95/$G95)</f>
        <v/>
      </c>
      <c r="I95" s="13"/>
      <c r="J95" s="13"/>
      <c r="K95" s="14" t="str">
        <f aca="false">IF($A95="","",IF(SUMPRODUCT(MAX(('5. Soil Data'!$B$5:$B$504=$A95)*'5. Soil Data'!$E$5:$E$504))=0,"",SUMPRODUCT(MAX(('5. Soil Data'!$B$5:$B$504=$A95)*'5. Soil Data'!$E$5:$E$504))))</f>
        <v/>
      </c>
      <c r="L95" s="14" t="str">
        <f aca="false">IF($A95="","",IFERROR(SUMIFS('5. Soil Data'!$O$5:$O$504,'5. Soil Data'!$B$5:$B$504,$A95),""))</f>
        <v/>
      </c>
      <c r="M95" s="14" t="str">
        <f aca="false">IF($A95="","",IFERROR(SUMIFS('5. Soil Data'!$P$5:$P$504,'5. Soil Data'!$B$5:$B$504,$A95),""))</f>
        <v/>
      </c>
      <c r="N95" s="14" t="str">
        <f aca="false">IF($K95="","",IF($K95&gt;=REPORTING_DEPTH_CM,"Yes","No"))</f>
        <v/>
      </c>
      <c r="O95" s="14" t="str">
        <f aca="false">IF($A95="","",IF(AND($B95&lt;&gt;"",COUNTIF('1. Plot &amp; Site Log'!$A$5:$A$64,$B95)=0),"Plot ID not in Plot &amp; Site Log. ","")&amp;IF($K95="","No soil slices logged for this core. ","")&amp;IF($N95="No","Core stops short of the reporting depth — its depth-limited stock is an underestimate. ","")&amp;IF(AND($H95&lt;&gt;"",$H95&gt;1.05),"Core compacted by "&amp;TEXT(($H95-1)*100,"0")&amp;"%: slice depths in the tube sit shallower than in the ground, so the depth-limited stock is biased. Full-core stock is unaffected. ","")&amp;IF(AND($H95&lt;&gt;"",$H95&lt;0.98),"Core length exceeds hole depth — check the two measurements. ",""))</f>
        <v/>
      </c>
      <c r="P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4" t="str">
        <f aca="false">IF(OR($F96="",$G96="",$G96=0),"",$F96/$G96)</f>
        <v/>
      </c>
      <c r="I96" s="13"/>
      <c r="J96" s="13"/>
      <c r="K96" s="14" t="str">
        <f aca="false">IF($A96="","",IF(SUMPRODUCT(MAX(('5. Soil Data'!$B$5:$B$504=$A96)*'5. Soil Data'!$E$5:$E$504))=0,"",SUMPRODUCT(MAX(('5. Soil Data'!$B$5:$B$504=$A96)*'5. Soil Data'!$E$5:$E$504))))</f>
        <v/>
      </c>
      <c r="L96" s="14" t="str">
        <f aca="false">IF($A96="","",IFERROR(SUMIFS('5. Soil Data'!$O$5:$O$504,'5. Soil Data'!$B$5:$B$504,$A96),""))</f>
        <v/>
      </c>
      <c r="M96" s="14" t="str">
        <f aca="false">IF($A96="","",IFERROR(SUMIFS('5. Soil Data'!$P$5:$P$504,'5. Soil Data'!$B$5:$B$504,$A96),""))</f>
        <v/>
      </c>
      <c r="N96" s="14" t="str">
        <f aca="false">IF($K96="","",IF($K96&gt;=REPORTING_DEPTH_CM,"Yes","No"))</f>
        <v/>
      </c>
      <c r="O96" s="14" t="str">
        <f aca="false">IF($A96="","",IF(AND($B96&lt;&gt;"",COUNTIF('1. Plot &amp; Site Log'!$A$5:$A$64,$B96)=0),"Plot ID not in Plot &amp; Site Log. ","")&amp;IF($K96="","No soil slices logged for this core. ","")&amp;IF($N96="No","Core stops short of the reporting depth — its depth-limited stock is an underestimate. ","")&amp;IF(AND($H96&lt;&gt;"",$H96&gt;1.05),"Core compacted by "&amp;TEXT(($H96-1)*100,"0")&amp;"%: slice depths in the tube sit shallower than in the ground, so the depth-limited stock is biased. Full-core stock is unaffected. ","")&amp;IF(AND($H96&lt;&gt;"",$H96&lt;0.98),"Core length exceeds hole depth — check the two measurements. ",""))</f>
        <v/>
      </c>
      <c r="P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4" t="str">
        <f aca="false">IF(OR($F97="",$G97="",$G97=0),"",$F97/$G97)</f>
        <v/>
      </c>
      <c r="I97" s="13"/>
      <c r="J97" s="13"/>
      <c r="K97" s="14" t="str">
        <f aca="false">IF($A97="","",IF(SUMPRODUCT(MAX(('5. Soil Data'!$B$5:$B$504=$A97)*'5. Soil Data'!$E$5:$E$504))=0,"",SUMPRODUCT(MAX(('5. Soil Data'!$B$5:$B$504=$A97)*'5. Soil Data'!$E$5:$E$504))))</f>
        <v/>
      </c>
      <c r="L97" s="14" t="str">
        <f aca="false">IF($A97="","",IFERROR(SUMIFS('5. Soil Data'!$O$5:$O$504,'5. Soil Data'!$B$5:$B$504,$A97),""))</f>
        <v/>
      </c>
      <c r="M97" s="14" t="str">
        <f aca="false">IF($A97="","",IFERROR(SUMIFS('5. Soil Data'!$P$5:$P$504,'5. Soil Data'!$B$5:$B$504,$A97),""))</f>
        <v/>
      </c>
      <c r="N97" s="14" t="str">
        <f aca="false">IF($K97="","",IF($K97&gt;=REPORTING_DEPTH_CM,"Yes","No"))</f>
        <v/>
      </c>
      <c r="O97" s="14" t="str">
        <f aca="false">IF($A97="","",IF(AND($B97&lt;&gt;"",COUNTIF('1. Plot &amp; Site Log'!$A$5:$A$64,$B97)=0),"Plot ID not in Plot &amp; Site Log. ","")&amp;IF($K97="","No soil slices logged for this core. ","")&amp;IF($N97="No","Core stops short of the reporting depth — its depth-limited stock is an underestimate. ","")&amp;IF(AND($H97&lt;&gt;"",$H97&gt;1.05),"Core compacted by "&amp;TEXT(($H97-1)*100,"0")&amp;"%: slice depths in the tube sit shallower than in the ground, so the depth-limited stock is biased. Full-core stock is unaffected. ","")&amp;IF(AND($H97&lt;&gt;"",$H97&lt;0.98),"Core length exceeds hole depth — check the two measurements. ",""))</f>
        <v/>
      </c>
      <c r="P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4" t="str">
        <f aca="false">IF(OR($F98="",$G98="",$G98=0),"",$F98/$G98)</f>
        <v/>
      </c>
      <c r="I98" s="13"/>
      <c r="J98" s="13"/>
      <c r="K98" s="14" t="str">
        <f aca="false">IF($A98="","",IF(SUMPRODUCT(MAX(('5. Soil Data'!$B$5:$B$504=$A98)*'5. Soil Data'!$E$5:$E$504))=0,"",SUMPRODUCT(MAX(('5. Soil Data'!$B$5:$B$504=$A98)*'5. Soil Data'!$E$5:$E$504))))</f>
        <v/>
      </c>
      <c r="L98" s="14" t="str">
        <f aca="false">IF($A98="","",IFERROR(SUMIFS('5. Soil Data'!$O$5:$O$504,'5. Soil Data'!$B$5:$B$504,$A98),""))</f>
        <v/>
      </c>
      <c r="M98" s="14" t="str">
        <f aca="false">IF($A98="","",IFERROR(SUMIFS('5. Soil Data'!$P$5:$P$504,'5. Soil Data'!$B$5:$B$504,$A98),""))</f>
        <v/>
      </c>
      <c r="N98" s="14" t="str">
        <f aca="false">IF($K98="","",IF($K98&gt;=REPORTING_DEPTH_CM,"Yes","No"))</f>
        <v/>
      </c>
      <c r="O98" s="14" t="str">
        <f aca="false">IF($A98="","",IF(AND($B98&lt;&gt;"",COUNTIF('1. Plot &amp; Site Log'!$A$5:$A$64,$B98)=0),"Plot ID not in Plot &amp; Site Log. ","")&amp;IF($K98="","No soil slices logged for this core. ","")&amp;IF($N98="No","Core stops short of the reporting depth — its depth-limited stock is an underestimate. ","")&amp;IF(AND($H98&lt;&gt;"",$H98&gt;1.05),"Core compacted by "&amp;TEXT(($H98-1)*100,"0")&amp;"%: slice depths in the tube sit shallower than in the ground, so the depth-limited stock is biased. Full-core stock is unaffected. ","")&amp;IF(AND($H98&lt;&gt;"",$H98&lt;0.98),"Core length exceeds hole depth — check the two measurements. ",""))</f>
        <v/>
      </c>
      <c r="P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4" t="str">
        <f aca="false">IF(OR($F99="",$G99="",$G99=0),"",$F99/$G99)</f>
        <v/>
      </c>
      <c r="I99" s="13"/>
      <c r="J99" s="13"/>
      <c r="K99" s="14" t="str">
        <f aca="false">IF($A99="","",IF(SUMPRODUCT(MAX(('5. Soil Data'!$B$5:$B$504=$A99)*'5. Soil Data'!$E$5:$E$504))=0,"",SUMPRODUCT(MAX(('5. Soil Data'!$B$5:$B$504=$A99)*'5. Soil Data'!$E$5:$E$504))))</f>
        <v/>
      </c>
      <c r="L99" s="14" t="str">
        <f aca="false">IF($A99="","",IFERROR(SUMIFS('5. Soil Data'!$O$5:$O$504,'5. Soil Data'!$B$5:$B$504,$A99),""))</f>
        <v/>
      </c>
      <c r="M99" s="14" t="str">
        <f aca="false">IF($A99="","",IFERROR(SUMIFS('5. Soil Data'!$P$5:$P$504,'5. Soil Data'!$B$5:$B$504,$A99),""))</f>
        <v/>
      </c>
      <c r="N99" s="14" t="str">
        <f aca="false">IF($K99="","",IF($K99&gt;=REPORTING_DEPTH_CM,"Yes","No"))</f>
        <v/>
      </c>
      <c r="O99" s="14" t="str">
        <f aca="false">IF($A99="","",IF(AND($B99&lt;&gt;"",COUNTIF('1. Plot &amp; Site Log'!$A$5:$A$64,$B99)=0),"Plot ID not in Plot &amp; Site Log. ","")&amp;IF($K99="","No soil slices logged for this core. ","")&amp;IF($N99="No","Core stops short of the reporting depth — its depth-limited stock is an underestimate. ","")&amp;IF(AND($H99&lt;&gt;"",$H99&gt;1.05),"Core compacted by "&amp;TEXT(($H99-1)*100,"0")&amp;"%: slice depths in the tube sit shallower than in the ground, so the depth-limited stock is biased. Full-core stock is unaffected. ","")&amp;IF(AND($H99&lt;&gt;"",$H99&lt;0.98),"Core length exceeds hole depth — check the two measurements. ",""))</f>
        <v/>
      </c>
      <c r="P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4" t="str">
        <f aca="false">IF(OR($F100="",$G100="",$G100=0),"",$F100/$G100)</f>
        <v/>
      </c>
      <c r="I100" s="13"/>
      <c r="J100" s="13"/>
      <c r="K100" s="14" t="str">
        <f aca="false">IF($A100="","",IF(SUMPRODUCT(MAX(('5. Soil Data'!$B$5:$B$504=$A100)*'5. Soil Data'!$E$5:$E$504))=0,"",SUMPRODUCT(MAX(('5. Soil Data'!$B$5:$B$504=$A100)*'5. Soil Data'!$E$5:$E$504))))</f>
        <v/>
      </c>
      <c r="L100" s="14" t="str">
        <f aca="false">IF($A100="","",IFERROR(SUMIFS('5. Soil Data'!$O$5:$O$504,'5. Soil Data'!$B$5:$B$504,$A100),""))</f>
        <v/>
      </c>
      <c r="M100" s="14" t="str">
        <f aca="false">IF($A100="","",IFERROR(SUMIFS('5. Soil Data'!$P$5:$P$504,'5. Soil Data'!$B$5:$B$504,$A100),""))</f>
        <v/>
      </c>
      <c r="N100" s="14" t="str">
        <f aca="false">IF($K100="","",IF($K100&gt;=REPORTING_DEPTH_CM,"Yes","No"))</f>
        <v/>
      </c>
      <c r="O100" s="14" t="str">
        <f aca="false">IF($A100="","",IF(AND($B100&lt;&gt;"",COUNTIF('1. Plot &amp; Site Log'!$A$5:$A$64,$B100)=0),"Plot ID not in Plot &amp; Site Log. ","")&amp;IF($K100="","No soil slices logged for this core. ","")&amp;IF($N100="No","Core stops short of the reporting depth — its depth-limited stock is an underestimate. ","")&amp;IF(AND($H100&lt;&gt;"",$H100&gt;1.05),"Core compacted by "&amp;TEXT(($H100-1)*100,"0")&amp;"%: slice depths in the tube sit shallower than in the ground, so the depth-limited stock is biased. Full-core stock is unaffected. ","")&amp;IF(AND($H100&lt;&gt;"",$H100&lt;0.98),"Core length exceeds hole depth — check the two measurements. ",""))</f>
        <v/>
      </c>
      <c r="P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4" t="str">
        <f aca="false">IF(OR($F101="",$G101="",$G101=0),"",$F101/$G101)</f>
        <v/>
      </c>
      <c r="I101" s="13"/>
      <c r="J101" s="13"/>
      <c r="K101" s="14" t="str">
        <f aca="false">IF($A101="","",IF(SUMPRODUCT(MAX(('5. Soil Data'!$B$5:$B$504=$A101)*'5. Soil Data'!$E$5:$E$504))=0,"",SUMPRODUCT(MAX(('5. Soil Data'!$B$5:$B$504=$A101)*'5. Soil Data'!$E$5:$E$504))))</f>
        <v/>
      </c>
      <c r="L101" s="14" t="str">
        <f aca="false">IF($A101="","",IFERROR(SUMIFS('5. Soil Data'!$O$5:$O$504,'5. Soil Data'!$B$5:$B$504,$A101),""))</f>
        <v/>
      </c>
      <c r="M101" s="14" t="str">
        <f aca="false">IF($A101="","",IFERROR(SUMIFS('5. Soil Data'!$P$5:$P$504,'5. Soil Data'!$B$5:$B$504,$A101),""))</f>
        <v/>
      </c>
      <c r="N101" s="14" t="str">
        <f aca="false">IF($K101="","",IF($K101&gt;=REPORTING_DEPTH_CM,"Yes","No"))</f>
        <v/>
      </c>
      <c r="O101" s="14" t="str">
        <f aca="false">IF($A101="","",IF(AND($B101&lt;&gt;"",COUNTIF('1. Plot &amp; Site Log'!$A$5:$A$64,$B101)=0),"Plot ID not in Plot &amp; Site Log. ","")&amp;IF($K101="","No soil slices logged for this core. ","")&amp;IF($N101="No","Core stops short of the reporting depth — its depth-limited stock is an underestimate. ","")&amp;IF(AND($H101&lt;&gt;"",$H101&gt;1.05),"Core compacted by "&amp;TEXT(($H101-1)*100,"0")&amp;"%: slice depths in the tube sit shallower than in the ground, so the depth-limited stock is biased. Full-core stock is unaffected. ","")&amp;IF(AND($H101&lt;&gt;"",$H101&lt;0.98),"Core length exceeds hole depth — check the two measurements. ",""))</f>
        <v/>
      </c>
      <c r="P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4" t="str">
        <f aca="false">IF(OR($F102="",$G102="",$G102=0),"",$F102/$G102)</f>
        <v/>
      </c>
      <c r="I102" s="13"/>
      <c r="J102" s="13"/>
      <c r="K102" s="14" t="str">
        <f aca="false">IF($A102="","",IF(SUMPRODUCT(MAX(('5. Soil Data'!$B$5:$B$504=$A102)*'5. Soil Data'!$E$5:$E$504))=0,"",SUMPRODUCT(MAX(('5. Soil Data'!$B$5:$B$504=$A102)*'5. Soil Data'!$E$5:$E$504))))</f>
        <v/>
      </c>
      <c r="L102" s="14" t="str">
        <f aca="false">IF($A102="","",IFERROR(SUMIFS('5. Soil Data'!$O$5:$O$504,'5. Soil Data'!$B$5:$B$504,$A102),""))</f>
        <v/>
      </c>
      <c r="M102" s="14" t="str">
        <f aca="false">IF($A102="","",IFERROR(SUMIFS('5. Soil Data'!$P$5:$P$504,'5. Soil Data'!$B$5:$B$504,$A102),""))</f>
        <v/>
      </c>
      <c r="N102" s="14" t="str">
        <f aca="false">IF($K102="","",IF($K102&gt;=REPORTING_DEPTH_CM,"Yes","No"))</f>
        <v/>
      </c>
      <c r="O102" s="14" t="str">
        <f aca="false">IF($A102="","",IF(AND($B102&lt;&gt;"",COUNTIF('1. Plot &amp; Site Log'!$A$5:$A$64,$B102)=0),"Plot ID not in Plot &amp; Site Log. ","")&amp;IF($K102="","No soil slices logged for this core. ","")&amp;IF($N102="No","Core stops short of the reporting depth — its depth-limited stock is an underestimate. ","")&amp;IF(AND($H102&lt;&gt;"",$H102&gt;1.05),"Core compacted by "&amp;TEXT(($H102-1)*100,"0")&amp;"%: slice depths in the tube sit shallower than in the ground, so the depth-limited stock is biased. Full-core stock is unaffected. ","")&amp;IF(AND($H102&lt;&gt;"",$H102&lt;0.98),"Core length exceeds hole depth — check the two measurements. ",""))</f>
        <v/>
      </c>
      <c r="P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4" t="str">
        <f aca="false">IF(OR($F103="",$G103="",$G103=0),"",$F103/$G103)</f>
        <v/>
      </c>
      <c r="I103" s="13"/>
      <c r="J103" s="13"/>
      <c r="K103" s="14" t="str">
        <f aca="false">IF($A103="","",IF(SUMPRODUCT(MAX(('5. Soil Data'!$B$5:$B$504=$A103)*'5. Soil Data'!$E$5:$E$504))=0,"",SUMPRODUCT(MAX(('5. Soil Data'!$B$5:$B$504=$A103)*'5. Soil Data'!$E$5:$E$504))))</f>
        <v/>
      </c>
      <c r="L103" s="14" t="str">
        <f aca="false">IF($A103="","",IFERROR(SUMIFS('5. Soil Data'!$O$5:$O$504,'5. Soil Data'!$B$5:$B$504,$A103),""))</f>
        <v/>
      </c>
      <c r="M103" s="14" t="str">
        <f aca="false">IF($A103="","",IFERROR(SUMIFS('5. Soil Data'!$P$5:$P$504,'5. Soil Data'!$B$5:$B$504,$A103),""))</f>
        <v/>
      </c>
      <c r="N103" s="14" t="str">
        <f aca="false">IF($K103="","",IF($K103&gt;=REPORTING_DEPTH_CM,"Yes","No"))</f>
        <v/>
      </c>
      <c r="O103" s="14" t="str">
        <f aca="false">IF($A103="","",IF(AND($B103&lt;&gt;"",COUNTIF('1. Plot &amp; Site Log'!$A$5:$A$64,$B103)=0),"Plot ID not in Plot &amp; Site Log. ","")&amp;IF($K103="","No soil slices logged for this core. ","")&amp;IF($N103="No","Core stops short of the reporting depth — its depth-limited stock is an underestimate. ","")&amp;IF(AND($H103&lt;&gt;"",$H103&gt;1.05),"Core compacted by "&amp;TEXT(($H103-1)*100,"0")&amp;"%: slice depths in the tube sit shallower than in the ground, so the depth-limited stock is biased. Full-core stock is unaffected. ","")&amp;IF(AND($H103&lt;&gt;"",$H103&lt;0.98),"Core length exceeds hole depth — check the two measurements. ",""))</f>
        <v/>
      </c>
      <c r="P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4" t="str">
        <f aca="false">IF(OR($F104="",$G104="",$G104=0),"",$F104/$G104)</f>
        <v/>
      </c>
      <c r="I104" s="13"/>
      <c r="J104" s="13"/>
      <c r="K104" s="14" t="str">
        <f aca="false">IF($A104="","",IF(SUMPRODUCT(MAX(('5. Soil Data'!$B$5:$B$504=$A104)*'5. Soil Data'!$E$5:$E$504))=0,"",SUMPRODUCT(MAX(('5. Soil Data'!$B$5:$B$504=$A104)*'5. Soil Data'!$E$5:$E$504))))</f>
        <v/>
      </c>
      <c r="L104" s="14" t="str">
        <f aca="false">IF($A104="","",IFERROR(SUMIFS('5. Soil Data'!$O$5:$O$504,'5. Soil Data'!$B$5:$B$504,$A104),""))</f>
        <v/>
      </c>
      <c r="M104" s="14" t="str">
        <f aca="false">IF($A104="","",IFERROR(SUMIFS('5. Soil Data'!$P$5:$P$504,'5. Soil Data'!$B$5:$B$504,$A104),""))</f>
        <v/>
      </c>
      <c r="N104" s="14" t="str">
        <f aca="false">IF($K104="","",IF($K104&gt;=REPORTING_DEPTH_CM,"Yes","No"))</f>
        <v/>
      </c>
      <c r="O104" s="14" t="str">
        <f aca="false">IF($A104="","",IF(AND($B104&lt;&gt;"",COUNTIF('1. Plot &amp; Site Log'!$A$5:$A$64,$B104)=0),"Plot ID not in Plot &amp; Site Log. ","")&amp;IF($K104="","No soil slices logged for this core. ","")&amp;IF($N104="No","Core stops short of the reporting depth — its depth-limited stock is an underestimate. ","")&amp;IF(AND($H104&lt;&gt;"",$H104&gt;1.05),"Core compacted by "&amp;TEXT(($H104-1)*100,"0")&amp;"%: slice depths in the tube sit shallower than in the ground, so the depth-limited stock is biased. Full-core stock is unaffected. ","")&amp;IF(AND($H104&lt;&gt;"",$H104&lt;0.98),"Core length exceeds hole depth — check the two measurements. ",""))</f>
        <v/>
      </c>
      <c r="P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4" t="str">
        <f aca="false">IF(OR($F105="",$G105="",$G105=0),"",$F105/$G105)</f>
        <v/>
      </c>
      <c r="I105" s="13"/>
      <c r="J105" s="13"/>
      <c r="K105" s="14" t="str">
        <f aca="false">IF($A105="","",IF(SUMPRODUCT(MAX(('5. Soil Data'!$B$5:$B$504=$A105)*'5. Soil Data'!$E$5:$E$504))=0,"",SUMPRODUCT(MAX(('5. Soil Data'!$B$5:$B$504=$A105)*'5. Soil Data'!$E$5:$E$504))))</f>
        <v/>
      </c>
      <c r="L105" s="14" t="str">
        <f aca="false">IF($A105="","",IFERROR(SUMIFS('5. Soil Data'!$O$5:$O$504,'5. Soil Data'!$B$5:$B$504,$A105),""))</f>
        <v/>
      </c>
      <c r="M105" s="14" t="str">
        <f aca="false">IF($A105="","",IFERROR(SUMIFS('5. Soil Data'!$P$5:$P$504,'5. Soil Data'!$B$5:$B$504,$A105),""))</f>
        <v/>
      </c>
      <c r="N105" s="14" t="str">
        <f aca="false">IF($K105="","",IF($K105&gt;=REPORTING_DEPTH_CM,"Yes","No"))</f>
        <v/>
      </c>
      <c r="O105" s="14" t="str">
        <f aca="false">IF($A105="","",IF(AND($B105&lt;&gt;"",COUNTIF('1. Plot &amp; Site Log'!$A$5:$A$64,$B105)=0),"Plot ID not in Plot &amp; Site Log. ","")&amp;IF($K105="","No soil slices logged for this core. ","")&amp;IF($N105="No","Core stops short of the reporting depth — its depth-limited stock is an underestimate. ","")&amp;IF(AND($H105&lt;&gt;"",$H105&gt;1.05),"Core compacted by "&amp;TEXT(($H105-1)*100,"0")&amp;"%: slice depths in the tube sit shallower than in the ground, so the depth-limited stock is biased. Full-core stock is unaffected. ","")&amp;IF(AND($H105&lt;&gt;"",$H105&lt;0.98),"Core length exceeds hole depth — check the two measurements. ",""))</f>
        <v/>
      </c>
      <c r="P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4" t="str">
        <f aca="false">IF(OR($F106="",$G106="",$G106=0),"",$F106/$G106)</f>
        <v/>
      </c>
      <c r="I106" s="13"/>
      <c r="J106" s="13"/>
      <c r="K106" s="14" t="str">
        <f aca="false">IF($A106="","",IF(SUMPRODUCT(MAX(('5. Soil Data'!$B$5:$B$504=$A106)*'5. Soil Data'!$E$5:$E$504))=0,"",SUMPRODUCT(MAX(('5. Soil Data'!$B$5:$B$504=$A106)*'5. Soil Data'!$E$5:$E$504))))</f>
        <v/>
      </c>
      <c r="L106" s="14" t="str">
        <f aca="false">IF($A106="","",IFERROR(SUMIFS('5. Soil Data'!$O$5:$O$504,'5. Soil Data'!$B$5:$B$504,$A106),""))</f>
        <v/>
      </c>
      <c r="M106" s="14" t="str">
        <f aca="false">IF($A106="","",IFERROR(SUMIFS('5. Soil Data'!$P$5:$P$504,'5. Soil Data'!$B$5:$B$504,$A106),""))</f>
        <v/>
      </c>
      <c r="N106" s="14" t="str">
        <f aca="false">IF($K106="","",IF($K106&gt;=REPORTING_DEPTH_CM,"Yes","No"))</f>
        <v/>
      </c>
      <c r="O106" s="14" t="str">
        <f aca="false">IF($A106="","",IF(AND($B106&lt;&gt;"",COUNTIF('1. Plot &amp; Site Log'!$A$5:$A$64,$B106)=0),"Plot ID not in Plot &amp; Site Log. ","")&amp;IF($K106="","No soil slices logged for this core. ","")&amp;IF($N106="No","Core stops short of the reporting depth — its depth-limited stock is an underestimate. ","")&amp;IF(AND($H106&lt;&gt;"",$H106&gt;1.05),"Core compacted by "&amp;TEXT(($H106-1)*100,"0")&amp;"%: slice depths in the tube sit shallower than in the ground, so the depth-limited stock is biased. Full-core stock is unaffected. ","")&amp;IF(AND($H106&lt;&gt;"",$H106&lt;0.98),"Core length exceeds hole depth — check the two measurements. ",""))</f>
        <v/>
      </c>
      <c r="P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4" t="str">
        <f aca="false">IF(OR($F107="",$G107="",$G107=0),"",$F107/$G107)</f>
        <v/>
      </c>
      <c r="I107" s="13"/>
      <c r="J107" s="13"/>
      <c r="K107" s="14" t="str">
        <f aca="false">IF($A107="","",IF(SUMPRODUCT(MAX(('5. Soil Data'!$B$5:$B$504=$A107)*'5. Soil Data'!$E$5:$E$504))=0,"",SUMPRODUCT(MAX(('5. Soil Data'!$B$5:$B$504=$A107)*'5. Soil Data'!$E$5:$E$504))))</f>
        <v/>
      </c>
      <c r="L107" s="14" t="str">
        <f aca="false">IF($A107="","",IFERROR(SUMIFS('5. Soil Data'!$O$5:$O$504,'5. Soil Data'!$B$5:$B$504,$A107),""))</f>
        <v/>
      </c>
      <c r="M107" s="14" t="str">
        <f aca="false">IF($A107="","",IFERROR(SUMIFS('5. Soil Data'!$P$5:$P$504,'5. Soil Data'!$B$5:$B$504,$A107),""))</f>
        <v/>
      </c>
      <c r="N107" s="14" t="str">
        <f aca="false">IF($K107="","",IF($K107&gt;=REPORTING_DEPTH_CM,"Yes","No"))</f>
        <v/>
      </c>
      <c r="O107" s="14" t="str">
        <f aca="false">IF($A107="","",IF(AND($B107&lt;&gt;"",COUNTIF('1. Plot &amp; Site Log'!$A$5:$A$64,$B107)=0),"Plot ID not in Plot &amp; Site Log. ","")&amp;IF($K107="","No soil slices logged for this core. ","")&amp;IF($N107="No","Core stops short of the reporting depth — its depth-limited stock is an underestimate. ","")&amp;IF(AND($H107&lt;&gt;"",$H107&gt;1.05),"Core compacted by "&amp;TEXT(($H107-1)*100,"0")&amp;"%: slice depths in the tube sit shallower than in the ground, so the depth-limited stock is biased. Full-core stock is unaffected. ","")&amp;IF(AND($H107&lt;&gt;"",$H107&lt;0.98),"Core length exceeds hole depth — check the two measurements. ",""))</f>
        <v/>
      </c>
      <c r="P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4" t="str">
        <f aca="false">IF(OR($F108="",$G108="",$G108=0),"",$F108/$G108)</f>
        <v/>
      </c>
      <c r="I108" s="13"/>
      <c r="J108" s="13"/>
      <c r="K108" s="14" t="str">
        <f aca="false">IF($A108="","",IF(SUMPRODUCT(MAX(('5. Soil Data'!$B$5:$B$504=$A108)*'5. Soil Data'!$E$5:$E$504))=0,"",SUMPRODUCT(MAX(('5. Soil Data'!$B$5:$B$504=$A108)*'5. Soil Data'!$E$5:$E$504))))</f>
        <v/>
      </c>
      <c r="L108" s="14" t="str">
        <f aca="false">IF($A108="","",IFERROR(SUMIFS('5. Soil Data'!$O$5:$O$504,'5. Soil Data'!$B$5:$B$504,$A108),""))</f>
        <v/>
      </c>
      <c r="M108" s="14" t="str">
        <f aca="false">IF($A108="","",IFERROR(SUMIFS('5. Soil Data'!$P$5:$P$504,'5. Soil Data'!$B$5:$B$504,$A108),""))</f>
        <v/>
      </c>
      <c r="N108" s="14" t="str">
        <f aca="false">IF($K108="","",IF($K108&gt;=REPORTING_DEPTH_CM,"Yes","No"))</f>
        <v/>
      </c>
      <c r="O108" s="14" t="str">
        <f aca="false">IF($A108="","",IF(AND($B108&lt;&gt;"",COUNTIF('1. Plot &amp; Site Log'!$A$5:$A$64,$B108)=0),"Plot ID not in Plot &amp; Site Log. ","")&amp;IF($K108="","No soil slices logged for this core. ","")&amp;IF($N108="No","Core stops short of the reporting depth — its depth-limited stock is an underestimate. ","")&amp;IF(AND($H108&lt;&gt;"",$H108&gt;1.05),"Core compacted by "&amp;TEXT(($H108-1)*100,"0")&amp;"%: slice depths in the tube sit shallower than in the ground, so the depth-limited stock is biased. Full-core stock is unaffected. ","")&amp;IF(AND($H108&lt;&gt;"",$H108&lt;0.98),"Core length exceeds hole depth — check the two measurements. ",""))</f>
        <v/>
      </c>
      <c r="P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4" t="str">
        <f aca="false">IF(OR($F109="",$G109="",$G109=0),"",$F109/$G109)</f>
        <v/>
      </c>
      <c r="I109" s="13"/>
      <c r="J109" s="13"/>
      <c r="K109" s="14" t="str">
        <f aca="false">IF($A109="","",IF(SUMPRODUCT(MAX(('5. Soil Data'!$B$5:$B$504=$A109)*'5. Soil Data'!$E$5:$E$504))=0,"",SUMPRODUCT(MAX(('5. Soil Data'!$B$5:$B$504=$A109)*'5. Soil Data'!$E$5:$E$504))))</f>
        <v/>
      </c>
      <c r="L109" s="14" t="str">
        <f aca="false">IF($A109="","",IFERROR(SUMIFS('5. Soil Data'!$O$5:$O$504,'5. Soil Data'!$B$5:$B$504,$A109),""))</f>
        <v/>
      </c>
      <c r="M109" s="14" t="str">
        <f aca="false">IF($A109="","",IFERROR(SUMIFS('5. Soil Data'!$P$5:$P$504,'5. Soil Data'!$B$5:$B$504,$A109),""))</f>
        <v/>
      </c>
      <c r="N109" s="14" t="str">
        <f aca="false">IF($K109="","",IF($K109&gt;=REPORTING_DEPTH_CM,"Yes","No"))</f>
        <v/>
      </c>
      <c r="O109" s="14" t="str">
        <f aca="false">IF($A109="","",IF(AND($B109&lt;&gt;"",COUNTIF('1. Plot &amp; Site Log'!$A$5:$A$64,$B109)=0),"Plot ID not in Plot &amp; Site Log. ","")&amp;IF($K109="","No soil slices logged for this core. ","")&amp;IF($N109="No","Core stops short of the reporting depth — its depth-limited stock is an underestimate. ","")&amp;IF(AND($H109&lt;&gt;"",$H109&gt;1.05),"Core compacted by "&amp;TEXT(($H109-1)*100,"0")&amp;"%: slice depths in the tube sit shallower than in the ground, so the depth-limited stock is biased. Full-core stock is unaffected. ","")&amp;IF(AND($H109&lt;&gt;"",$H109&lt;0.98),"Core length exceeds hole depth — check the two measurements. ",""))</f>
        <v/>
      </c>
      <c r="P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4" t="str">
        <f aca="false">IF(OR($F110="",$G110="",$G110=0),"",$F110/$G110)</f>
        <v/>
      </c>
      <c r="I110" s="13"/>
      <c r="J110" s="13"/>
      <c r="K110" s="14" t="str">
        <f aca="false">IF($A110="","",IF(SUMPRODUCT(MAX(('5. Soil Data'!$B$5:$B$504=$A110)*'5. Soil Data'!$E$5:$E$504))=0,"",SUMPRODUCT(MAX(('5. Soil Data'!$B$5:$B$504=$A110)*'5. Soil Data'!$E$5:$E$504))))</f>
        <v/>
      </c>
      <c r="L110" s="14" t="str">
        <f aca="false">IF($A110="","",IFERROR(SUMIFS('5. Soil Data'!$O$5:$O$504,'5. Soil Data'!$B$5:$B$504,$A110),""))</f>
        <v/>
      </c>
      <c r="M110" s="14" t="str">
        <f aca="false">IF($A110="","",IFERROR(SUMIFS('5. Soil Data'!$P$5:$P$504,'5. Soil Data'!$B$5:$B$504,$A110),""))</f>
        <v/>
      </c>
      <c r="N110" s="14" t="str">
        <f aca="false">IF($K110="","",IF($K110&gt;=REPORTING_DEPTH_CM,"Yes","No"))</f>
        <v/>
      </c>
      <c r="O110" s="14" t="str">
        <f aca="false">IF($A110="","",IF(AND($B110&lt;&gt;"",COUNTIF('1. Plot &amp; Site Log'!$A$5:$A$64,$B110)=0),"Plot ID not in Plot &amp; Site Log. ","")&amp;IF($K110="","No soil slices logged for this core. ","")&amp;IF($N110="No","Core stops short of the reporting depth — its depth-limited stock is an underestimate. ","")&amp;IF(AND($H110&lt;&gt;"",$H110&gt;1.05),"Core compacted by "&amp;TEXT(($H110-1)*100,"0")&amp;"%: slice depths in the tube sit shallower than in the ground, so the depth-limited stock is biased. Full-core stock is unaffected. ","")&amp;IF(AND($H110&lt;&gt;"",$H110&lt;0.98),"Core length exceeds hole depth — check the two measurements. ",""))</f>
        <v/>
      </c>
      <c r="P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4" t="str">
        <f aca="false">IF(OR($F111="",$G111="",$G111=0),"",$F111/$G111)</f>
        <v/>
      </c>
      <c r="I111" s="13"/>
      <c r="J111" s="13"/>
      <c r="K111" s="14" t="str">
        <f aca="false">IF($A111="","",IF(SUMPRODUCT(MAX(('5. Soil Data'!$B$5:$B$504=$A111)*'5. Soil Data'!$E$5:$E$504))=0,"",SUMPRODUCT(MAX(('5. Soil Data'!$B$5:$B$504=$A111)*'5. Soil Data'!$E$5:$E$504))))</f>
        <v/>
      </c>
      <c r="L111" s="14" t="str">
        <f aca="false">IF($A111="","",IFERROR(SUMIFS('5. Soil Data'!$O$5:$O$504,'5. Soil Data'!$B$5:$B$504,$A111),""))</f>
        <v/>
      </c>
      <c r="M111" s="14" t="str">
        <f aca="false">IF($A111="","",IFERROR(SUMIFS('5. Soil Data'!$P$5:$P$504,'5. Soil Data'!$B$5:$B$504,$A111),""))</f>
        <v/>
      </c>
      <c r="N111" s="14" t="str">
        <f aca="false">IF($K111="","",IF($K111&gt;=REPORTING_DEPTH_CM,"Yes","No"))</f>
        <v/>
      </c>
      <c r="O111" s="14" t="str">
        <f aca="false">IF($A111="","",IF(AND($B111&lt;&gt;"",COUNTIF('1. Plot &amp; Site Log'!$A$5:$A$64,$B111)=0),"Plot ID not in Plot &amp; Site Log. ","")&amp;IF($K111="","No soil slices logged for this core. ","")&amp;IF($N111="No","Core stops short of the reporting depth — its depth-limited stock is an underestimate. ","")&amp;IF(AND($H111&lt;&gt;"",$H111&gt;1.05),"Core compacted by "&amp;TEXT(($H111-1)*100,"0")&amp;"%: slice depths in the tube sit shallower than in the ground, so the depth-limited stock is biased. Full-core stock is unaffected. ","")&amp;IF(AND($H111&lt;&gt;"",$H111&lt;0.98),"Core length exceeds hole depth — check the two measurements. ",""))</f>
        <v/>
      </c>
      <c r="P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4" t="str">
        <f aca="false">IF(OR($F112="",$G112="",$G112=0),"",$F112/$G112)</f>
        <v/>
      </c>
      <c r="I112" s="13"/>
      <c r="J112" s="13"/>
      <c r="K112" s="14" t="str">
        <f aca="false">IF($A112="","",IF(SUMPRODUCT(MAX(('5. Soil Data'!$B$5:$B$504=$A112)*'5. Soil Data'!$E$5:$E$504))=0,"",SUMPRODUCT(MAX(('5. Soil Data'!$B$5:$B$504=$A112)*'5. Soil Data'!$E$5:$E$504))))</f>
        <v/>
      </c>
      <c r="L112" s="14" t="str">
        <f aca="false">IF($A112="","",IFERROR(SUMIFS('5. Soil Data'!$O$5:$O$504,'5. Soil Data'!$B$5:$B$504,$A112),""))</f>
        <v/>
      </c>
      <c r="M112" s="14" t="str">
        <f aca="false">IF($A112="","",IFERROR(SUMIFS('5. Soil Data'!$P$5:$P$504,'5. Soil Data'!$B$5:$B$504,$A112),""))</f>
        <v/>
      </c>
      <c r="N112" s="14" t="str">
        <f aca="false">IF($K112="","",IF($K112&gt;=REPORTING_DEPTH_CM,"Yes","No"))</f>
        <v/>
      </c>
      <c r="O112" s="14" t="str">
        <f aca="false">IF($A112="","",IF(AND($B112&lt;&gt;"",COUNTIF('1. Plot &amp; Site Log'!$A$5:$A$64,$B112)=0),"Plot ID not in Plot &amp; Site Log. ","")&amp;IF($K112="","No soil slices logged for this core. ","")&amp;IF($N112="No","Core stops short of the reporting depth — its depth-limited stock is an underestimate. ","")&amp;IF(AND($H112&lt;&gt;"",$H112&gt;1.05),"Core compacted by "&amp;TEXT(($H112-1)*100,"0")&amp;"%: slice depths in the tube sit shallower than in the ground, so the depth-limited stock is biased. Full-core stock is unaffected. ","")&amp;IF(AND($H112&lt;&gt;"",$H112&lt;0.98),"Core length exceeds hole depth — check the two measurements. ",""))</f>
        <v/>
      </c>
      <c r="P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4" t="str">
        <f aca="false">IF(OR($F113="",$G113="",$G113=0),"",$F113/$G113)</f>
        <v/>
      </c>
      <c r="I113" s="13"/>
      <c r="J113" s="13"/>
      <c r="K113" s="14" t="str">
        <f aca="false">IF($A113="","",IF(SUMPRODUCT(MAX(('5. Soil Data'!$B$5:$B$504=$A113)*'5. Soil Data'!$E$5:$E$504))=0,"",SUMPRODUCT(MAX(('5. Soil Data'!$B$5:$B$504=$A113)*'5. Soil Data'!$E$5:$E$504))))</f>
        <v/>
      </c>
      <c r="L113" s="14" t="str">
        <f aca="false">IF($A113="","",IFERROR(SUMIFS('5. Soil Data'!$O$5:$O$504,'5. Soil Data'!$B$5:$B$504,$A113),""))</f>
        <v/>
      </c>
      <c r="M113" s="14" t="str">
        <f aca="false">IF($A113="","",IFERROR(SUMIFS('5. Soil Data'!$P$5:$P$504,'5. Soil Data'!$B$5:$B$504,$A113),""))</f>
        <v/>
      </c>
      <c r="N113" s="14" t="str">
        <f aca="false">IF($K113="","",IF($K113&gt;=REPORTING_DEPTH_CM,"Yes","No"))</f>
        <v/>
      </c>
      <c r="O113" s="14" t="str">
        <f aca="false">IF($A113="","",IF(AND($B113&lt;&gt;"",COUNTIF('1. Plot &amp; Site Log'!$A$5:$A$64,$B113)=0),"Plot ID not in Plot &amp; Site Log. ","")&amp;IF($K113="","No soil slices logged for this core. ","")&amp;IF($N113="No","Core stops short of the reporting depth — its depth-limited stock is an underestimate. ","")&amp;IF(AND($H113&lt;&gt;"",$H113&gt;1.05),"Core compacted by "&amp;TEXT(($H113-1)*100,"0")&amp;"%: slice depths in the tube sit shallower than in the ground, so the depth-limited stock is biased. Full-core stock is unaffected. ","")&amp;IF(AND($H113&lt;&gt;"",$H113&lt;0.98),"Core length exceeds hole depth — check the two measurements. ",""))</f>
        <v/>
      </c>
      <c r="P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4" t="str">
        <f aca="false">IF(OR($F114="",$G114="",$G114=0),"",$F114/$G114)</f>
        <v/>
      </c>
      <c r="I114" s="13"/>
      <c r="J114" s="13"/>
      <c r="K114" s="14" t="str">
        <f aca="false">IF($A114="","",IF(SUMPRODUCT(MAX(('5. Soil Data'!$B$5:$B$504=$A114)*'5. Soil Data'!$E$5:$E$504))=0,"",SUMPRODUCT(MAX(('5. Soil Data'!$B$5:$B$504=$A114)*'5. Soil Data'!$E$5:$E$504))))</f>
        <v/>
      </c>
      <c r="L114" s="14" t="str">
        <f aca="false">IF($A114="","",IFERROR(SUMIFS('5. Soil Data'!$O$5:$O$504,'5. Soil Data'!$B$5:$B$504,$A114),""))</f>
        <v/>
      </c>
      <c r="M114" s="14" t="str">
        <f aca="false">IF($A114="","",IFERROR(SUMIFS('5. Soil Data'!$P$5:$P$504,'5. Soil Data'!$B$5:$B$504,$A114),""))</f>
        <v/>
      </c>
      <c r="N114" s="14" t="str">
        <f aca="false">IF($K114="","",IF($K114&gt;=REPORTING_DEPTH_CM,"Yes","No"))</f>
        <v/>
      </c>
      <c r="O114" s="14" t="str">
        <f aca="false">IF($A114="","",IF(AND($B114&lt;&gt;"",COUNTIF('1. Plot &amp; Site Log'!$A$5:$A$64,$B114)=0),"Plot ID not in Plot &amp; Site Log. ","")&amp;IF($K114="","No soil slices logged for this core. ","")&amp;IF($N114="No","Core stops short of the reporting depth — its depth-limited stock is an underestimate. ","")&amp;IF(AND($H114&lt;&gt;"",$H114&gt;1.05),"Core compacted by "&amp;TEXT(($H114-1)*100,"0")&amp;"%: slice depths in the tube sit shallower than in the ground, so the depth-limited stock is biased. Full-core stock is unaffected. ","")&amp;IF(AND($H114&lt;&gt;"",$H114&lt;0.98),"Core length exceeds hole depth — check the two measurements. ",""))</f>
        <v/>
      </c>
      <c r="P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4" t="str">
        <f aca="false">IF(OR($F115="",$G115="",$G115=0),"",$F115/$G115)</f>
        <v/>
      </c>
      <c r="I115" s="13"/>
      <c r="J115" s="13"/>
      <c r="K115" s="14" t="str">
        <f aca="false">IF($A115="","",IF(SUMPRODUCT(MAX(('5. Soil Data'!$B$5:$B$504=$A115)*'5. Soil Data'!$E$5:$E$504))=0,"",SUMPRODUCT(MAX(('5. Soil Data'!$B$5:$B$504=$A115)*'5. Soil Data'!$E$5:$E$504))))</f>
        <v/>
      </c>
      <c r="L115" s="14" t="str">
        <f aca="false">IF($A115="","",IFERROR(SUMIFS('5. Soil Data'!$O$5:$O$504,'5. Soil Data'!$B$5:$B$504,$A115),""))</f>
        <v/>
      </c>
      <c r="M115" s="14" t="str">
        <f aca="false">IF($A115="","",IFERROR(SUMIFS('5. Soil Data'!$P$5:$P$504,'5. Soil Data'!$B$5:$B$504,$A115),""))</f>
        <v/>
      </c>
      <c r="N115" s="14" t="str">
        <f aca="false">IF($K115="","",IF($K115&gt;=REPORTING_DEPTH_CM,"Yes","No"))</f>
        <v/>
      </c>
      <c r="O115" s="14" t="str">
        <f aca="false">IF($A115="","",IF(AND($B115&lt;&gt;"",COUNTIF('1. Plot &amp; Site Log'!$A$5:$A$64,$B115)=0),"Plot ID not in Plot &amp; Site Log. ","")&amp;IF($K115="","No soil slices logged for this core. ","")&amp;IF($N115="No","Core stops short of the reporting depth — its depth-limited stock is an underestimate. ","")&amp;IF(AND($H115&lt;&gt;"",$H115&gt;1.05),"Core compacted by "&amp;TEXT(($H115-1)*100,"0")&amp;"%: slice depths in the tube sit shallower than in the ground, so the depth-limited stock is biased. Full-core stock is unaffected. ","")&amp;IF(AND($H115&lt;&gt;"",$H115&lt;0.98),"Core length exceeds hole depth — check the two measurements. ",""))</f>
        <v/>
      </c>
      <c r="P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4" t="str">
        <f aca="false">IF(OR($F116="",$G116="",$G116=0),"",$F116/$G116)</f>
        <v/>
      </c>
      <c r="I116" s="13"/>
      <c r="J116" s="13"/>
      <c r="K116" s="14" t="str">
        <f aca="false">IF($A116="","",IF(SUMPRODUCT(MAX(('5. Soil Data'!$B$5:$B$504=$A116)*'5. Soil Data'!$E$5:$E$504))=0,"",SUMPRODUCT(MAX(('5. Soil Data'!$B$5:$B$504=$A116)*'5. Soil Data'!$E$5:$E$504))))</f>
        <v/>
      </c>
      <c r="L116" s="14" t="str">
        <f aca="false">IF($A116="","",IFERROR(SUMIFS('5. Soil Data'!$O$5:$O$504,'5. Soil Data'!$B$5:$B$504,$A116),""))</f>
        <v/>
      </c>
      <c r="M116" s="14" t="str">
        <f aca="false">IF($A116="","",IFERROR(SUMIFS('5. Soil Data'!$P$5:$P$504,'5. Soil Data'!$B$5:$B$504,$A116),""))</f>
        <v/>
      </c>
      <c r="N116" s="14" t="str">
        <f aca="false">IF($K116="","",IF($K116&gt;=REPORTING_DEPTH_CM,"Yes","No"))</f>
        <v/>
      </c>
      <c r="O116" s="14" t="str">
        <f aca="false">IF($A116="","",IF(AND($B116&lt;&gt;"",COUNTIF('1. Plot &amp; Site Log'!$A$5:$A$64,$B116)=0),"Plot ID not in Plot &amp; Site Log. ","")&amp;IF($K116="","No soil slices logged for this core. ","")&amp;IF($N116="No","Core stops short of the reporting depth — its depth-limited stock is an underestimate. ","")&amp;IF(AND($H116&lt;&gt;"",$H116&gt;1.05),"Core compacted by "&amp;TEXT(($H116-1)*100,"0")&amp;"%: slice depths in the tube sit shallower than in the ground, so the depth-limited stock is biased. Full-core stock is unaffected. ","")&amp;IF(AND($H116&lt;&gt;"",$H116&lt;0.98),"Core length exceeds hole depth — check the two measurements. ",""))</f>
        <v/>
      </c>
      <c r="P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4" t="str">
        <f aca="false">IF(OR($F117="",$G117="",$G117=0),"",$F117/$G117)</f>
        <v/>
      </c>
      <c r="I117" s="13"/>
      <c r="J117" s="13"/>
      <c r="K117" s="14" t="str">
        <f aca="false">IF($A117="","",IF(SUMPRODUCT(MAX(('5. Soil Data'!$B$5:$B$504=$A117)*'5. Soil Data'!$E$5:$E$504))=0,"",SUMPRODUCT(MAX(('5. Soil Data'!$B$5:$B$504=$A117)*'5. Soil Data'!$E$5:$E$504))))</f>
        <v/>
      </c>
      <c r="L117" s="14" t="str">
        <f aca="false">IF($A117="","",IFERROR(SUMIFS('5. Soil Data'!$O$5:$O$504,'5. Soil Data'!$B$5:$B$504,$A117),""))</f>
        <v/>
      </c>
      <c r="M117" s="14" t="str">
        <f aca="false">IF($A117="","",IFERROR(SUMIFS('5. Soil Data'!$P$5:$P$504,'5. Soil Data'!$B$5:$B$504,$A117),""))</f>
        <v/>
      </c>
      <c r="N117" s="14" t="str">
        <f aca="false">IF($K117="","",IF($K117&gt;=REPORTING_DEPTH_CM,"Yes","No"))</f>
        <v/>
      </c>
      <c r="O117" s="14" t="str">
        <f aca="false">IF($A117="","",IF(AND($B117&lt;&gt;"",COUNTIF('1. Plot &amp; Site Log'!$A$5:$A$64,$B117)=0),"Plot ID not in Plot &amp; Site Log. ","")&amp;IF($K117="","No soil slices logged for this core. ","")&amp;IF($N117="No","Core stops short of the reporting depth — its depth-limited stock is an underestimate. ","")&amp;IF(AND($H117&lt;&gt;"",$H117&gt;1.05),"Core compacted by "&amp;TEXT(($H117-1)*100,"0")&amp;"%: slice depths in the tube sit shallower than in the ground, so the depth-limited stock is biased. Full-core stock is unaffected. ","")&amp;IF(AND($H117&lt;&gt;"",$H117&lt;0.98),"Core length exceeds hole depth — check the two measurements. ",""))</f>
        <v/>
      </c>
      <c r="P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4" t="str">
        <f aca="false">IF(OR($F118="",$G118="",$G118=0),"",$F118/$G118)</f>
        <v/>
      </c>
      <c r="I118" s="13"/>
      <c r="J118" s="13"/>
      <c r="K118" s="14" t="str">
        <f aca="false">IF($A118="","",IF(SUMPRODUCT(MAX(('5. Soil Data'!$B$5:$B$504=$A118)*'5. Soil Data'!$E$5:$E$504))=0,"",SUMPRODUCT(MAX(('5. Soil Data'!$B$5:$B$504=$A118)*'5. Soil Data'!$E$5:$E$504))))</f>
        <v/>
      </c>
      <c r="L118" s="14" t="str">
        <f aca="false">IF($A118="","",IFERROR(SUMIFS('5. Soil Data'!$O$5:$O$504,'5. Soil Data'!$B$5:$B$504,$A118),""))</f>
        <v/>
      </c>
      <c r="M118" s="14" t="str">
        <f aca="false">IF($A118="","",IFERROR(SUMIFS('5. Soil Data'!$P$5:$P$504,'5. Soil Data'!$B$5:$B$504,$A118),""))</f>
        <v/>
      </c>
      <c r="N118" s="14" t="str">
        <f aca="false">IF($K118="","",IF($K118&gt;=REPORTING_DEPTH_CM,"Yes","No"))</f>
        <v/>
      </c>
      <c r="O118" s="14" t="str">
        <f aca="false">IF($A118="","",IF(AND($B118&lt;&gt;"",COUNTIF('1. Plot &amp; Site Log'!$A$5:$A$64,$B118)=0),"Plot ID not in Plot &amp; Site Log. ","")&amp;IF($K118="","No soil slices logged for this core. ","")&amp;IF($N118="No","Core stops short of the reporting depth — its depth-limited stock is an underestimate. ","")&amp;IF(AND($H118&lt;&gt;"",$H118&gt;1.05),"Core compacted by "&amp;TEXT(($H118-1)*100,"0")&amp;"%: slice depths in the tube sit shallower than in the ground, so the depth-limited stock is biased. Full-core stock is unaffected. ","")&amp;IF(AND($H118&lt;&gt;"",$H118&lt;0.98),"Core length exceeds hole depth — check the two measurements. ",""))</f>
        <v/>
      </c>
      <c r="P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4" t="str">
        <f aca="false">IF(OR($F119="",$G119="",$G119=0),"",$F119/$G119)</f>
        <v/>
      </c>
      <c r="I119" s="13"/>
      <c r="J119" s="13"/>
      <c r="K119" s="14" t="str">
        <f aca="false">IF($A119="","",IF(SUMPRODUCT(MAX(('5. Soil Data'!$B$5:$B$504=$A119)*'5. Soil Data'!$E$5:$E$504))=0,"",SUMPRODUCT(MAX(('5. Soil Data'!$B$5:$B$504=$A119)*'5. Soil Data'!$E$5:$E$504))))</f>
        <v/>
      </c>
      <c r="L119" s="14" t="str">
        <f aca="false">IF($A119="","",IFERROR(SUMIFS('5. Soil Data'!$O$5:$O$504,'5. Soil Data'!$B$5:$B$504,$A119),""))</f>
        <v/>
      </c>
      <c r="M119" s="14" t="str">
        <f aca="false">IF($A119="","",IFERROR(SUMIFS('5. Soil Data'!$P$5:$P$504,'5. Soil Data'!$B$5:$B$504,$A119),""))</f>
        <v/>
      </c>
      <c r="N119" s="14" t="str">
        <f aca="false">IF($K119="","",IF($K119&gt;=REPORTING_DEPTH_CM,"Yes","No"))</f>
        <v/>
      </c>
      <c r="O119" s="14" t="str">
        <f aca="false">IF($A119="","",IF(AND($B119&lt;&gt;"",COUNTIF('1. Plot &amp; Site Log'!$A$5:$A$64,$B119)=0),"Plot ID not in Plot &amp; Site Log. ","")&amp;IF($K119="","No soil slices logged for this core. ","")&amp;IF($N119="No","Core stops short of the reporting depth — its depth-limited stock is an underestimate. ","")&amp;IF(AND($H119&lt;&gt;"",$H119&gt;1.05),"Core compacted by "&amp;TEXT(($H119-1)*100,"0")&amp;"%: slice depths in the tube sit shallower than in the ground, so the depth-limited stock is biased. Full-core stock is unaffected. ","")&amp;IF(AND($H119&lt;&gt;"",$H119&lt;0.98),"Core length exceeds hole depth — check the two measurements. ",""))</f>
        <v/>
      </c>
      <c r="P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4" t="str">
        <f aca="false">IF(OR($F120="",$G120="",$G120=0),"",$F120/$G120)</f>
        <v/>
      </c>
      <c r="I120" s="13"/>
      <c r="J120" s="13"/>
      <c r="K120" s="14" t="str">
        <f aca="false">IF($A120="","",IF(SUMPRODUCT(MAX(('5. Soil Data'!$B$5:$B$504=$A120)*'5. Soil Data'!$E$5:$E$504))=0,"",SUMPRODUCT(MAX(('5. Soil Data'!$B$5:$B$504=$A120)*'5. Soil Data'!$E$5:$E$504))))</f>
        <v/>
      </c>
      <c r="L120" s="14" t="str">
        <f aca="false">IF($A120="","",IFERROR(SUMIFS('5. Soil Data'!$O$5:$O$504,'5. Soil Data'!$B$5:$B$504,$A120),""))</f>
        <v/>
      </c>
      <c r="M120" s="14" t="str">
        <f aca="false">IF($A120="","",IFERROR(SUMIFS('5. Soil Data'!$P$5:$P$504,'5. Soil Data'!$B$5:$B$504,$A120),""))</f>
        <v/>
      </c>
      <c r="N120" s="14" t="str">
        <f aca="false">IF($K120="","",IF($K120&gt;=REPORTING_DEPTH_CM,"Yes","No"))</f>
        <v/>
      </c>
      <c r="O120" s="14" t="str">
        <f aca="false">IF($A120="","",IF(AND($B120&lt;&gt;"",COUNTIF('1. Plot &amp; Site Log'!$A$5:$A$64,$B120)=0),"Plot ID not in Plot &amp; Site Log. ","")&amp;IF($K120="","No soil slices logged for this core. ","")&amp;IF($N120="No","Core stops short of the reporting depth — its depth-limited stock is an underestimate. ","")&amp;IF(AND($H120&lt;&gt;"",$H120&gt;1.05),"Core compacted by "&amp;TEXT(($H120-1)*100,"0")&amp;"%: slice depths in the tube sit shallower than in the ground, so the depth-limited stock is biased. Full-core stock is unaffected. ","")&amp;IF(AND($H120&lt;&gt;"",$H120&lt;0.98),"Core length exceeds hole depth — check the two measurements. ",""))</f>
        <v/>
      </c>
      <c r="P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4" t="str">
        <f aca="false">IF(OR($F121="",$G121="",$G121=0),"",$F121/$G121)</f>
        <v/>
      </c>
      <c r="I121" s="13"/>
      <c r="J121" s="13"/>
      <c r="K121" s="14" t="str">
        <f aca="false">IF($A121="","",IF(SUMPRODUCT(MAX(('5. Soil Data'!$B$5:$B$504=$A121)*'5. Soil Data'!$E$5:$E$504))=0,"",SUMPRODUCT(MAX(('5. Soil Data'!$B$5:$B$504=$A121)*'5. Soil Data'!$E$5:$E$504))))</f>
        <v/>
      </c>
      <c r="L121" s="14" t="str">
        <f aca="false">IF($A121="","",IFERROR(SUMIFS('5. Soil Data'!$O$5:$O$504,'5. Soil Data'!$B$5:$B$504,$A121),""))</f>
        <v/>
      </c>
      <c r="M121" s="14" t="str">
        <f aca="false">IF($A121="","",IFERROR(SUMIFS('5. Soil Data'!$P$5:$P$504,'5. Soil Data'!$B$5:$B$504,$A121),""))</f>
        <v/>
      </c>
      <c r="N121" s="14" t="str">
        <f aca="false">IF($K121="","",IF($K121&gt;=REPORTING_DEPTH_CM,"Yes","No"))</f>
        <v/>
      </c>
      <c r="O121" s="14" t="str">
        <f aca="false">IF($A121="","",IF(AND($B121&lt;&gt;"",COUNTIF('1. Plot &amp; Site Log'!$A$5:$A$64,$B121)=0),"Plot ID not in Plot &amp; Site Log. ","")&amp;IF($K121="","No soil slices logged for this core. ","")&amp;IF($N121="No","Core stops short of the reporting depth — its depth-limited stock is an underestimate. ","")&amp;IF(AND($H121&lt;&gt;"",$H121&gt;1.05),"Core compacted by "&amp;TEXT(($H121-1)*100,"0")&amp;"%: slice depths in the tube sit shallower than in the ground, so the depth-limited stock is biased. Full-core stock is unaffected. ","")&amp;IF(AND($H121&lt;&gt;"",$H121&lt;0.98),"Core length exceeds hole depth — check the two measurements. ",""))</f>
        <v/>
      </c>
      <c r="P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4" t="str">
        <f aca="false">IF(OR($F122="",$G122="",$G122=0),"",$F122/$G122)</f>
        <v/>
      </c>
      <c r="I122" s="13"/>
      <c r="J122" s="13"/>
      <c r="K122" s="14" t="str">
        <f aca="false">IF($A122="","",IF(SUMPRODUCT(MAX(('5. Soil Data'!$B$5:$B$504=$A122)*'5. Soil Data'!$E$5:$E$504))=0,"",SUMPRODUCT(MAX(('5. Soil Data'!$B$5:$B$504=$A122)*'5. Soil Data'!$E$5:$E$504))))</f>
        <v/>
      </c>
      <c r="L122" s="14" t="str">
        <f aca="false">IF($A122="","",IFERROR(SUMIFS('5. Soil Data'!$O$5:$O$504,'5. Soil Data'!$B$5:$B$504,$A122),""))</f>
        <v/>
      </c>
      <c r="M122" s="14" t="str">
        <f aca="false">IF($A122="","",IFERROR(SUMIFS('5. Soil Data'!$P$5:$P$504,'5. Soil Data'!$B$5:$B$504,$A122),""))</f>
        <v/>
      </c>
      <c r="N122" s="14" t="str">
        <f aca="false">IF($K122="","",IF($K122&gt;=REPORTING_DEPTH_CM,"Yes","No"))</f>
        <v/>
      </c>
      <c r="O122" s="14" t="str">
        <f aca="false">IF($A122="","",IF(AND($B122&lt;&gt;"",COUNTIF('1. Plot &amp; Site Log'!$A$5:$A$64,$B122)=0),"Plot ID not in Plot &amp; Site Log. ","")&amp;IF($K122="","No soil slices logged for this core. ","")&amp;IF($N122="No","Core stops short of the reporting depth — its depth-limited stock is an underestimate. ","")&amp;IF(AND($H122&lt;&gt;"",$H122&gt;1.05),"Core compacted by "&amp;TEXT(($H122-1)*100,"0")&amp;"%: slice depths in the tube sit shallower than in the ground, so the depth-limited stock is biased. Full-core stock is unaffected. ","")&amp;IF(AND($H122&lt;&gt;"",$H122&lt;0.98),"Core length exceeds hole depth — check the two measurements. ",""))</f>
        <v/>
      </c>
      <c r="P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4" t="str">
        <f aca="false">IF(OR($F123="",$G123="",$G123=0),"",$F123/$G123)</f>
        <v/>
      </c>
      <c r="I123" s="13"/>
      <c r="J123" s="13"/>
      <c r="K123" s="14" t="str">
        <f aca="false">IF($A123="","",IF(SUMPRODUCT(MAX(('5. Soil Data'!$B$5:$B$504=$A123)*'5. Soil Data'!$E$5:$E$504))=0,"",SUMPRODUCT(MAX(('5. Soil Data'!$B$5:$B$504=$A123)*'5. Soil Data'!$E$5:$E$504))))</f>
        <v/>
      </c>
      <c r="L123" s="14" t="str">
        <f aca="false">IF($A123="","",IFERROR(SUMIFS('5. Soil Data'!$O$5:$O$504,'5. Soil Data'!$B$5:$B$504,$A123),""))</f>
        <v/>
      </c>
      <c r="M123" s="14" t="str">
        <f aca="false">IF($A123="","",IFERROR(SUMIFS('5. Soil Data'!$P$5:$P$504,'5. Soil Data'!$B$5:$B$504,$A123),""))</f>
        <v/>
      </c>
      <c r="N123" s="14" t="str">
        <f aca="false">IF($K123="","",IF($K123&gt;=REPORTING_DEPTH_CM,"Yes","No"))</f>
        <v/>
      </c>
      <c r="O123" s="14" t="str">
        <f aca="false">IF($A123="","",IF(AND($B123&lt;&gt;"",COUNTIF('1. Plot &amp; Site Log'!$A$5:$A$64,$B123)=0),"Plot ID not in Plot &amp; Site Log. ","")&amp;IF($K123="","No soil slices logged for this core. ","")&amp;IF($N123="No","Core stops short of the reporting depth — its depth-limited stock is an underestimate. ","")&amp;IF(AND($H123&lt;&gt;"",$H123&gt;1.05),"Core compacted by "&amp;TEXT(($H123-1)*100,"0")&amp;"%: slice depths in the tube sit shallower than in the ground, so the depth-limited stock is biased. Full-core stock is unaffected. ","")&amp;IF(AND($H123&lt;&gt;"",$H123&lt;0.98),"Core length exceeds hole depth — check the two measurements. ",""))</f>
        <v/>
      </c>
      <c r="P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4" t="str">
        <f aca="false">IF(OR($F124="",$G124="",$G124=0),"",$F124/$G124)</f>
        <v/>
      </c>
      <c r="I124" s="13"/>
      <c r="J124" s="13"/>
      <c r="K124" s="14" t="str">
        <f aca="false">IF($A124="","",IF(SUMPRODUCT(MAX(('5. Soil Data'!$B$5:$B$504=$A124)*'5. Soil Data'!$E$5:$E$504))=0,"",SUMPRODUCT(MAX(('5. Soil Data'!$B$5:$B$504=$A124)*'5. Soil Data'!$E$5:$E$504))))</f>
        <v/>
      </c>
      <c r="L124" s="14" t="str">
        <f aca="false">IF($A124="","",IFERROR(SUMIFS('5. Soil Data'!$O$5:$O$504,'5. Soil Data'!$B$5:$B$504,$A124),""))</f>
        <v/>
      </c>
      <c r="M124" s="14" t="str">
        <f aca="false">IF($A124="","",IFERROR(SUMIFS('5. Soil Data'!$P$5:$P$504,'5. Soil Data'!$B$5:$B$504,$A124),""))</f>
        <v/>
      </c>
      <c r="N124" s="14" t="str">
        <f aca="false">IF($K124="","",IF($K124&gt;=REPORTING_DEPTH_CM,"Yes","No"))</f>
        <v/>
      </c>
      <c r="O124" s="14" t="str">
        <f aca="false">IF($A124="","",IF(AND($B124&lt;&gt;"",COUNTIF('1. Plot &amp; Site Log'!$A$5:$A$64,$B124)=0),"Plot ID not in Plot &amp; Site Log. ","")&amp;IF($K124="","No soil slices logged for this core. ","")&amp;IF($N124="No","Core stops short of the reporting depth — its depth-limited stock is an underestimate. ","")&amp;IF(AND($H124&lt;&gt;"",$H124&gt;1.05),"Core compacted by "&amp;TEXT(($H124-1)*100,"0")&amp;"%: slice depths in the tube sit shallower than in the ground, so the depth-limited stock is biased. Full-core stock is unaffected. ","")&amp;IF(AND($H124&lt;&gt;"",$H124&lt;0.98),"Core length exceeds hole depth — check the two measurements. ",""))</f>
        <v/>
      </c>
      <c r="P124" s="13"/>
    </row>
  </sheetData>
  <mergeCells count="1">
    <mergeCell ref="A2:P2"/>
  </mergeCells>
  <dataValidations count="3">
    <dataValidation allowBlank="true" errorStyle="stop" operator="between" showDropDown="false" showErrorMessage="false" showInputMessage="false" sqref="E5:E124" type="list">
      <formula1>"Soil core,Soil pit,Shallow soil"</formula1>
      <formula2>0</formula2>
    </dataValidation>
    <dataValidation allowBlank="true" errorStyle="stop" operator="between" showDropDown="false" showErrorMessage="false" showInputMessage="false" sqref="J5:J124" type="list">
      <formula1>"Yes,No"</formula1>
      <formula2>0</formula2>
    </dataValidation>
    <dataValidation allowBlank="true" errorStyle="stop" operator="between" showDropDown="false" showErrorMessage="false" showInputMessage="false" sqref="B5:B124" type="list">
      <formula1>'1. Plot &amp; Site Log'!$A$5:$A$64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1" min="8" style="0" width="11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46"/>
  </cols>
  <sheetData>
    <row r="1" customFormat="false" ht="17.35" hidden="false" customHeight="false" outlineLevel="0" collapsed="false">
      <c r="A1" s="10" t="s">
        <v>117</v>
      </c>
    </row>
    <row r="2" customFormat="false" ht="30" hidden="false" customHeight="true" outlineLevel="0" collapsed="false">
      <c r="A2" s="11" t="s">
        <v>118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customFormat="false" ht="42" hidden="false" customHeight="true" outlineLevel="0" collapsed="false">
      <c r="A4" s="12" t="s">
        <v>55</v>
      </c>
      <c r="B4" s="12" t="s">
        <v>119</v>
      </c>
      <c r="C4" s="12" t="s">
        <v>120</v>
      </c>
      <c r="D4" s="12" t="s">
        <v>121</v>
      </c>
      <c r="E4" s="12" t="s">
        <v>122</v>
      </c>
      <c r="F4" s="12" t="s">
        <v>123</v>
      </c>
      <c r="G4" s="12" t="s">
        <v>124</v>
      </c>
      <c r="H4" s="12" t="s">
        <v>125</v>
      </c>
      <c r="I4" s="12" t="s">
        <v>126</v>
      </c>
      <c r="J4" s="12" t="s">
        <v>127</v>
      </c>
      <c r="K4" s="12" t="s">
        <v>128</v>
      </c>
      <c r="L4" s="12" t="s">
        <v>129</v>
      </c>
      <c r="M4" s="12" t="s">
        <v>130</v>
      </c>
      <c r="N4" s="12" t="s">
        <v>131</v>
      </c>
      <c r="O4" s="12" t="s">
        <v>132</v>
      </c>
      <c r="P4" s="12" t="s">
        <v>133</v>
      </c>
      <c r="Q4" s="12" t="s">
        <v>107</v>
      </c>
    </row>
    <row r="5" customFormat="false" ht="15" hidden="false" customHeight="false" outlineLevel="0" collapsed="false">
      <c r="A5" s="13" t="s">
        <v>74</v>
      </c>
      <c r="B5" s="13" t="n">
        <v>1</v>
      </c>
      <c r="C5" s="13" t="s">
        <v>134</v>
      </c>
      <c r="D5" s="13" t="n">
        <v>18.3</v>
      </c>
      <c r="E5" s="13" t="n">
        <v>18.4</v>
      </c>
      <c r="F5" s="14" t="n">
        <f aca="false">IF($C5="","",IFERROR(12+(MATCH($C5,'R1. Tree Coefficients'!$L$12:$L$53,0)-1)*4,""))</f>
        <v>160</v>
      </c>
      <c r="G5" s="14" t="str">
        <f aca="false">IF($F5="","",IF(AND($E5&lt;&gt;"",$E5&gt;0),"DBH + height","DBH only"))</f>
        <v>DBH + height</v>
      </c>
      <c r="H5" s="14" t="n">
        <f aca="false">IF(OR($D5="",$F5=""),"",IF($E5&gt;0,INDEX('R1. Tree Coefficients'!$F:$F,$F5+0)*($D5^INDEX('R1. Tree Coefficients'!$G:$G,$F5+0))*($E5^INDEX('R1. Tree Coefficients'!$H:$H,$F5+0)),INDEX('R1. Tree Coefficients'!$D:$D,$F5+0)*($D5^INDEX('R1. Tree Coefficients'!$E:$E,$F5+0))))</f>
        <v>102.106278766137</v>
      </c>
      <c r="I5" s="14" t="n">
        <f aca="false">IF(OR($D5="",$F5=""),"",IF($E5&gt;0,INDEX('R1. Tree Coefficients'!$F:$F,$F5+1)*($D5^INDEX('R1. Tree Coefficients'!$G:$G,$F5+1))*($E5^INDEX('R1. Tree Coefficients'!$H:$H,$F5+1)),INDEX('R1. Tree Coefficients'!$D:$D,$F5+1)*($D5^INDEX('R1. Tree Coefficients'!$E:$E,$F5+1))))</f>
        <v>17.352861671647</v>
      </c>
      <c r="J5" s="14" t="n">
        <f aca="false">IF(OR($D5="",$F5=""),"",IF($E5&gt;0,INDEX('R1. Tree Coefficients'!$F:$F,$F5+2)*($D5^INDEX('R1. Tree Coefficients'!$G:$G,$F5+2))*($E5^INDEX('R1. Tree Coefficients'!$H:$H,$F5+2)),INDEX('R1. Tree Coefficients'!$D:$D,$F5+2)*($D5^INDEX('R1. Tree Coefficients'!$E:$E,$F5+2))))</f>
        <v>17.1111751654971</v>
      </c>
      <c r="K5" s="14" t="n">
        <f aca="false">IF(OR($D5="",$F5=""),"",IF($E5&gt;0,INDEX('R1. Tree Coefficients'!$F:$F,$F5+3)*($D5^INDEX('R1. Tree Coefficients'!$G:$G,$F5+3))*($E5^INDEX('R1. Tree Coefficients'!$H:$H,$F5+3)),INDEX('R1. Tree Coefficients'!$D:$D,$F5+3)*($D5^INDEX('R1. Tree Coefficients'!$E:$E,$F5+3))))</f>
        <v>4.48504114464516</v>
      </c>
      <c r="L5" s="14" t="n">
        <f aca="false">IF($F5="","",IFERROR(SUM($H5:$K5),""))</f>
        <v>141.055356747927</v>
      </c>
      <c r="M5" s="14" t="str">
        <f aca="false">IF($F5="","",INDEX('R1. Tree Coefficients'!$J:$J,$F5))</f>
        <v>Deciduous</v>
      </c>
      <c r="N5" s="14" t="n">
        <f aca="false">IF($L5="","",IF($M5="Deciduous",BGB_RS_DECIDUOUS_a*($L5^BGB_RS_DECIDUOUS_b),IF($M5="Conifers",BGB_RS_CONIFER*$L5,AVERAGE(BGB_RS_DECIDUOUS_a*($L5^BGB_RS_DECIDUOUS_b),BGB_RS_CONIFER*$L5))))</f>
        <v>33.069742031377</v>
      </c>
      <c r="O5" s="14" t="n">
        <f aca="false">IF($L5="","",$L5+$N5)</f>
        <v>174.125098779304</v>
      </c>
      <c r="P5" s="14" t="n">
        <f aca="false">IF($O5="","",$O5*CARBON_FRACTION_BIOMASS)</f>
        <v>87.0625493896518</v>
      </c>
      <c r="Q5" s="14" t="str">
        <f aca="false">IF(AND($A5="",$C5=""),"",IF(AND($A5&lt;&gt;"",COUNTIF('1. Plot &amp; Site Log'!$A$5:$A$64,$A5)=0),"Plot ID not in Plot &amp; Site Log — this tree will not reach the summary. ","")&amp;IF($A5="","No Plot ID. ","")&amp;IF(AND($C5&lt;&gt;"",$F5=""),"Species not in the coefficient list — check the spelling against R1. ","")&amp;IF($D5="","No DBH — nothing can be calculated. ","")&amp;IF(AND($D5&lt;&gt;"",$D5&gt;QC_DBH_MAX_CM),"DBH above "&amp;QC_DBH_MAX_CM&amp;" cm — check for a transcription error. ","")&amp;IF($M5="All","Generic species: no published root:shoot applies, so below-ground biomass is the mean of the deciduous and conifer relationships. Choose a species, or Deciduous/Conifers, if you can. ","")&amp;IF(AND($O5&lt;&gt;"",$O5&gt;0,OR($N5/$O5&lt;BGB_FRACTION_MIN,$N5/$O5&gt;BGB_FRACTION_MAX)),"Below-ground share is "&amp;TEXT($N5/$O5,"0%")&amp;", outside the 18–30% the Trees guide describes. ",""))</f>
        <v/>
      </c>
    </row>
    <row r="6" customFormat="false" ht="15" hidden="false" customHeight="false" outlineLevel="0" collapsed="false">
      <c r="A6" s="13" t="s">
        <v>74</v>
      </c>
      <c r="B6" s="13" t="n">
        <v>2</v>
      </c>
      <c r="C6" s="13" t="s">
        <v>135</v>
      </c>
      <c r="D6" s="13" t="n">
        <v>19.2</v>
      </c>
      <c r="E6" s="13"/>
      <c r="F6" s="14" t="n">
        <f aca="false">IF($C6="","",IFERROR(12+(MATCH($C6,'R1. Tree Coefficients'!$L$12:$L$53,0)-1)*4,""))</f>
        <v>48</v>
      </c>
      <c r="G6" s="14" t="str">
        <f aca="false">IF($F6="","",IF(AND($E6&lt;&gt;"",$E6&gt;0),"DBH + height","DBH only"))</f>
        <v>DBH only</v>
      </c>
      <c r="H6" s="14" t="n">
        <f aca="false">IF(OR($D6="",$F6=""),"",IF($E6&gt;0,INDEX('R1. Tree Coefficients'!$F:$F,$F6+0)*($D6^INDEX('R1. Tree Coefficients'!$G:$G,$F6+0))*($E6^INDEX('R1. Tree Coefficients'!$H:$H,$F6+0)),INDEX('R1. Tree Coefficients'!$D:$D,$F6+0)*($D6^INDEX('R1. Tree Coefficients'!$E:$E,$F6+0))))</f>
        <v>80.3874539406029</v>
      </c>
      <c r="I6" s="14" t="n">
        <f aca="false">IF(OR($D6="",$F6=""),"",IF($E6&gt;0,INDEX('R1. Tree Coefficients'!$F:$F,$F6+1)*($D6^INDEX('R1. Tree Coefficients'!$G:$G,$F6+1))*($E6^INDEX('R1. Tree Coefficients'!$H:$H,$F6+1)),INDEX('R1. Tree Coefficients'!$D:$D,$F6+1)*($D6^INDEX('R1. Tree Coefficients'!$E:$E,$F6+1))))</f>
        <v>11.4003845062083</v>
      </c>
      <c r="J6" s="14" t="n">
        <f aca="false">IF(OR($D6="",$F6=""),"",IF($E6&gt;0,INDEX('R1. Tree Coefficients'!$F:$F,$F6+2)*($D6^INDEX('R1. Tree Coefficients'!$G:$G,$F6+2))*($E6^INDEX('R1. Tree Coefficients'!$H:$H,$F6+2)),INDEX('R1. Tree Coefficients'!$D:$D,$F6+2)*($D6^INDEX('R1. Tree Coefficients'!$E:$E,$F6+2))))</f>
        <v>13.3927995459677</v>
      </c>
      <c r="K6" s="14" t="n">
        <f aca="false">IF(OR($D6="",$F6=""),"",IF($E6&gt;0,INDEX('R1. Tree Coefficients'!$F:$F,$F6+3)*($D6^INDEX('R1. Tree Coefficients'!$G:$G,$F6+3))*($E6^INDEX('R1. Tree Coefficients'!$H:$H,$F6+3)),INDEX('R1. Tree Coefficients'!$D:$D,$F6+3)*($D6^INDEX('R1. Tree Coefficients'!$E:$E,$F6+3))))</f>
        <v>10.9034759128425</v>
      </c>
      <c r="L6" s="14" t="n">
        <f aca="false">IF($F6="","",IFERROR(SUM($H6:$K6),""))</f>
        <v>116.084113905621</v>
      </c>
      <c r="M6" s="14" t="str">
        <f aca="false">IF($F6="","",INDEX('R1. Tree Coefficients'!$J:$J,$F6))</f>
        <v>Conifers</v>
      </c>
      <c r="N6" s="14" t="n">
        <f aca="false">IF($L6="","",IF($M6="Deciduous",BGB_RS_DECIDUOUS_a*($L6^BGB_RS_DECIDUOUS_b),IF($M6="Conifers",BGB_RS_CONIFER*$L6,AVERAGE(BGB_RS_DECIDUOUS_a*($L6^BGB_RS_DECIDUOUS_b),BGB_RS_CONIFER*$L6))))</f>
        <v>25.770673287048</v>
      </c>
      <c r="O6" s="14" t="n">
        <f aca="false">IF($L6="","",$L6+$N6)</f>
        <v>141.854787192669</v>
      </c>
      <c r="P6" s="14" t="n">
        <f aca="false">IF($O6="","",$O6*CARBON_FRACTION_BIOMASS)</f>
        <v>70.9273935963347</v>
      </c>
      <c r="Q6" s="14" t="str">
        <f aca="false">IF(AND($A6="",$C6=""),"",IF(AND($A6&lt;&gt;"",COUNTIF('1. Plot &amp; Site Log'!$A$5:$A$64,$A6)=0),"Plot ID not in Plot &amp; Site Log — this tree will not reach the summary. ","")&amp;IF($A6="","No Plot ID. ","")&amp;IF(AND($C6&lt;&gt;"",$F6=""),"Species not in the coefficient list — check the spelling against R1. ","")&amp;IF($D6="","No DBH — nothing can be calculated. ","")&amp;IF(AND($D6&lt;&gt;"",$D6&gt;QC_DBH_MAX_CM),"DBH above "&amp;QC_DBH_MAX_CM&amp;" cm — check for a transcription error. ","")&amp;IF($M6="All","Generic species: no published root:shoot applies, so below-ground biomass is the mean of the deciduous and conifer relationships. Choose a species, or Deciduous/Conifers, if you can. ","")&amp;IF(AND($O6&lt;&gt;"",$O6&gt;0,OR($N6/$O6&lt;BGB_FRACTION_MIN,$N6/$O6&gt;BGB_FRACTION_MAX)),"Below-ground share is "&amp;TEXT($N6/$O6,"0%")&amp;", outside the 18–30% the Trees guide describes. ",""))</f>
        <v/>
      </c>
    </row>
    <row r="7" customFormat="false" ht="15" hidden="false" customHeight="false" outlineLevel="0" collapsed="false">
      <c r="A7" s="13" t="s">
        <v>74</v>
      </c>
      <c r="B7" s="13" t="n">
        <v>3</v>
      </c>
      <c r="C7" s="13" t="s">
        <v>136</v>
      </c>
      <c r="D7" s="13" t="n">
        <v>23.3</v>
      </c>
      <c r="E7" s="13"/>
      <c r="F7" s="14" t="n">
        <f aca="false">IF($C7="","",IFERROR(12+(MATCH($C7,'R1. Tree Coefficients'!$L$12:$L$53,0)-1)*4,""))</f>
        <v>24</v>
      </c>
      <c r="G7" s="14" t="str">
        <f aca="false">IF($F7="","",IF(AND($E7&lt;&gt;"",$E7&gt;0),"DBH + height","DBH only"))</f>
        <v>DBH only</v>
      </c>
      <c r="H7" s="14" t="n">
        <f aca="false">IF(OR($D7="",$F7=""),"",IF($E7&gt;0,INDEX('R1. Tree Coefficients'!$F:$F,$F7+0)*($D7^INDEX('R1. Tree Coefficients'!$G:$G,$F7+0))*($E7^INDEX('R1. Tree Coefficients'!$H:$H,$F7+0)),INDEX('R1. Tree Coefficients'!$D:$D,$F7+0)*($D7^INDEX('R1. Tree Coefficients'!$E:$E,$F7+0))))</f>
        <v>103.109228008818</v>
      </c>
      <c r="I7" s="14" t="n">
        <f aca="false">IF(OR($D7="",$F7=""),"",IF($E7&gt;0,INDEX('R1. Tree Coefficients'!$F:$F,$F7+1)*($D7^INDEX('R1. Tree Coefficients'!$G:$G,$F7+1))*($E7^INDEX('R1. Tree Coefficients'!$H:$H,$F7+1)),INDEX('R1. Tree Coefficients'!$D:$D,$F7+1)*($D7^INDEX('R1. Tree Coefficients'!$E:$E,$F7+1))))</f>
        <v>18.6980572549421</v>
      </c>
      <c r="J7" s="14" t="n">
        <f aca="false">IF(OR($D7="",$F7=""),"",IF($E7&gt;0,INDEX('R1. Tree Coefficients'!$F:$F,$F7+2)*($D7^INDEX('R1. Tree Coefficients'!$G:$G,$F7+2))*($E7^INDEX('R1. Tree Coefficients'!$H:$H,$F7+2)),INDEX('R1. Tree Coefficients'!$D:$D,$F7+2)*($D7^INDEX('R1. Tree Coefficients'!$E:$E,$F7+2))))</f>
        <v>20.8450284869791</v>
      </c>
      <c r="K7" s="14" t="n">
        <f aca="false">IF(OR($D7="",$F7=""),"",IF($E7&gt;0,INDEX('R1. Tree Coefficients'!$F:$F,$F7+3)*($D7^INDEX('R1. Tree Coefficients'!$G:$G,$F7+3))*($E7^INDEX('R1. Tree Coefficients'!$H:$H,$F7+3)),INDEX('R1. Tree Coefficients'!$D:$D,$F7+3)*($D7^INDEX('R1. Tree Coefficients'!$E:$E,$F7+3))))</f>
        <v>16.1094234035617</v>
      </c>
      <c r="L7" s="14" t="n">
        <f aca="false">IF($F7="","",IFERROR(SUM($H7:$K7),""))</f>
        <v>158.761737154301</v>
      </c>
      <c r="M7" s="14" t="str">
        <f aca="false">IF($F7="","",INDEX('R1. Tree Coefficients'!$J:$J,$F7))</f>
        <v>Conifers</v>
      </c>
      <c r="N7" s="14" t="n">
        <f aca="false">IF($L7="","",IF($M7="Deciduous",BGB_RS_DECIDUOUS_a*($L7^BGB_RS_DECIDUOUS_b),IF($M7="Conifers",BGB_RS_CONIFER*$L7,AVERAGE(BGB_RS_DECIDUOUS_a*($L7^BGB_RS_DECIDUOUS_b),BGB_RS_CONIFER*$L7))))</f>
        <v>35.2451056482548</v>
      </c>
      <c r="O7" s="14" t="n">
        <f aca="false">IF($L7="","",$L7+$N7)</f>
        <v>194.006842802556</v>
      </c>
      <c r="P7" s="14" t="n">
        <f aca="false">IF($O7="","",$O7*CARBON_FRACTION_BIOMASS)</f>
        <v>97.0034214012779</v>
      </c>
      <c r="Q7" s="14" t="str">
        <f aca="false">IF(AND($A7="",$C7=""),"",IF(AND($A7&lt;&gt;"",COUNTIF('1. Plot &amp; Site Log'!$A$5:$A$64,$A7)=0),"Plot ID not in Plot &amp; Site Log — this tree will not reach the summary. ","")&amp;IF($A7="","No Plot ID. ","")&amp;IF(AND($C7&lt;&gt;"",$F7=""),"Species not in the coefficient list — check the spelling against R1. ","")&amp;IF($D7="","No DBH — nothing can be calculated. ","")&amp;IF(AND($D7&lt;&gt;"",$D7&gt;QC_DBH_MAX_CM),"DBH above "&amp;QC_DBH_MAX_CM&amp;" cm — check for a transcription error. ","")&amp;IF($M7="All","Generic species: no published root:shoot applies, so below-ground biomass is the mean of the deciduous and conifer relationships. Choose a species, or Deciduous/Conifers, if you can. ","")&amp;IF(AND($O7&lt;&gt;"",$O7&gt;0,OR($N7/$O7&lt;BGB_FRACTION_MIN,$N7/$O7&gt;BGB_FRACTION_MAX)),"Below-ground share is "&amp;TEXT($N7/$O7,"0%")&amp;", outside the 18–30% the Trees guide describes. ",""))</f>
        <v/>
      </c>
    </row>
    <row r="8" customFormat="false" ht="15" hidden="false" customHeight="false" outlineLevel="0" collapsed="false">
      <c r="A8" s="13" t="s">
        <v>74</v>
      </c>
      <c r="B8" s="13" t="n">
        <v>4</v>
      </c>
      <c r="C8" s="13" t="s">
        <v>134</v>
      </c>
      <c r="D8" s="13" t="n">
        <v>23.2</v>
      </c>
      <c r="E8" s="13" t="n">
        <v>19.7</v>
      </c>
      <c r="F8" s="14" t="n">
        <f aca="false">IF($C8="","",IFERROR(12+(MATCH($C8,'R1. Tree Coefficients'!$L$12:$L$53,0)-1)*4,""))</f>
        <v>160</v>
      </c>
      <c r="G8" s="14" t="str">
        <f aca="false">IF($F8="","",IF(AND($E8&lt;&gt;"",$E8&gt;0),"DBH + height","DBH only"))</f>
        <v>DBH + height</v>
      </c>
      <c r="H8" s="14" t="n">
        <f aca="false">IF(OR($D8="",$F8=""),"",IF($E8&gt;0,INDEX('R1. Tree Coefficients'!$F:$F,$F8+0)*($D8^INDEX('R1. Tree Coefficients'!$G:$G,$F8+0))*($E8^INDEX('R1. Tree Coefficients'!$H:$H,$F8+0)),INDEX('R1. Tree Coefficients'!$D:$D,$F8+0)*($D8^INDEX('R1. Tree Coefficients'!$E:$E,$F8+0))))</f>
        <v>175.186604821414</v>
      </c>
      <c r="I8" s="14" t="n">
        <f aca="false">IF(OR($D8="",$F8=""),"",IF($E8&gt;0,INDEX('R1. Tree Coefficients'!$F:$F,$F8+1)*($D8^INDEX('R1. Tree Coefficients'!$G:$G,$F8+1))*($E8^INDEX('R1. Tree Coefficients'!$H:$H,$F8+1)),INDEX('R1. Tree Coefficients'!$D:$D,$F8+1)*($D8^INDEX('R1. Tree Coefficients'!$E:$E,$F8+1))))</f>
        <v>29.1001108425051</v>
      </c>
      <c r="J8" s="14" t="n">
        <f aca="false">IF(OR($D8="",$F8=""),"",IF($E8&gt;0,INDEX('R1. Tree Coefficients'!$F:$F,$F8+2)*($D8^INDEX('R1. Tree Coefficients'!$G:$G,$F8+2))*($E8^INDEX('R1. Tree Coefficients'!$H:$H,$F8+2)),INDEX('R1. Tree Coefficients'!$D:$D,$F8+2)*($D8^INDEX('R1. Tree Coefficients'!$E:$E,$F8+2))))</f>
        <v>33.9704952743843</v>
      </c>
      <c r="K8" s="14" t="n">
        <f aca="false">IF(OR($D8="",$F8=""),"",IF($E8&gt;0,INDEX('R1. Tree Coefficients'!$F:$F,$F8+3)*($D8^INDEX('R1. Tree Coefficients'!$G:$G,$F8+3))*($E8^INDEX('R1. Tree Coefficients'!$H:$H,$F8+3)),INDEX('R1. Tree Coefficients'!$D:$D,$F8+3)*($D8^INDEX('R1. Tree Coefficients'!$E:$E,$F8+3))))</f>
        <v>7.17971235504359</v>
      </c>
      <c r="L8" s="14" t="n">
        <f aca="false">IF($F8="","",IFERROR(SUM($H8:$K8),""))</f>
        <v>245.436923293347</v>
      </c>
      <c r="M8" s="14" t="str">
        <f aca="false">IF($F8="","",INDEX('R1. Tree Coefficients'!$J:$J,$F8))</f>
        <v>Deciduous</v>
      </c>
      <c r="N8" s="14" t="n">
        <f aca="false">IF($L8="","",IF($M8="Deciduous",BGB_RS_DECIDUOUS_a*($L8^BGB_RS_DECIDUOUS_b),IF($M8="Conifers",BGB_RS_CONIFER*$L8,AVERAGE(BGB_RS_DECIDUOUS_a*($L8^BGB_RS_DECIDUOUS_b),BGB_RS_CONIFER*$L8))))</f>
        <v>46.4910388329156</v>
      </c>
      <c r="O8" s="14" t="n">
        <f aca="false">IF($L8="","",$L8+$N8)</f>
        <v>291.927962126263</v>
      </c>
      <c r="P8" s="14" t="n">
        <f aca="false">IF($O8="","",$O8*CARBON_FRACTION_BIOMASS)</f>
        <v>145.963981063131</v>
      </c>
      <c r="Q8" s="14" t="str">
        <f aca="false">IF(AND($A8="",$C8=""),"",IF(AND($A8&lt;&gt;"",COUNTIF('1. Plot &amp; Site Log'!$A$5:$A$64,$A8)=0),"Plot ID not in Plot &amp; Site Log — this tree will not reach the summary. ","")&amp;IF($A8="","No Plot ID. ","")&amp;IF(AND($C8&lt;&gt;"",$F8=""),"Species not in the coefficient list — check the spelling against R1. ","")&amp;IF($D8="","No DBH — nothing can be calculated. ","")&amp;IF(AND($D8&lt;&gt;"",$D8&gt;QC_DBH_MAX_CM),"DBH above "&amp;QC_DBH_MAX_CM&amp;" cm — check for a transcription error. ","")&amp;IF($M8="All","Generic species: no published root:shoot applies, so below-ground biomass is the mean of the deciduous and conifer relationships. Choose a species, or Deciduous/Conifers, if you can. ","")&amp;IF(AND($O8&lt;&gt;"",$O8&gt;0,OR($N8/$O8&lt;BGB_FRACTION_MIN,$N8/$O8&gt;BGB_FRACTION_MAX)),"Below-ground share is "&amp;TEXT($N8/$O8,"0%")&amp;", outside the 18–30% the Trees guide describes. ",""))</f>
        <v/>
      </c>
    </row>
    <row r="9" customFormat="false" ht="15" hidden="false" customHeight="false" outlineLevel="0" collapsed="false">
      <c r="A9" s="13" t="s">
        <v>74</v>
      </c>
      <c r="B9" s="13" t="n">
        <v>5</v>
      </c>
      <c r="C9" s="13" t="s">
        <v>135</v>
      </c>
      <c r="D9" s="13" t="n">
        <v>18.6</v>
      </c>
      <c r="E9" s="13"/>
      <c r="F9" s="14" t="n">
        <f aca="false">IF($C9="","",IFERROR(12+(MATCH($C9,'R1. Tree Coefficients'!$L$12:$L$53,0)-1)*4,""))</f>
        <v>48</v>
      </c>
      <c r="G9" s="14" t="str">
        <f aca="false">IF($F9="","",IF(AND($E9&lt;&gt;"",$E9&gt;0),"DBH + height","DBH only"))</f>
        <v>DBH only</v>
      </c>
      <c r="H9" s="14" t="n">
        <f aca="false">IF(OR($D9="",$F9=""),"",IF($E9&gt;0,INDEX('R1. Tree Coefficients'!$F:$F,$F9+0)*($D9^INDEX('R1. Tree Coefficients'!$G:$G,$F9+0))*($E9^INDEX('R1. Tree Coefficients'!$H:$H,$F9+0)),INDEX('R1. Tree Coefficients'!$D:$D,$F9+0)*($D9^INDEX('R1. Tree Coefficients'!$E:$E,$F9+0))))</f>
        <v>74.247714863602</v>
      </c>
      <c r="I9" s="14" t="n">
        <f aca="false">IF(OR($D9="",$F9=""),"",IF($E9&gt;0,INDEX('R1. Tree Coefficients'!$F:$F,$F9+1)*($D9^INDEX('R1. Tree Coefficients'!$G:$G,$F9+1))*($E9^INDEX('R1. Tree Coefficients'!$H:$H,$F9+1)),INDEX('R1. Tree Coefficients'!$D:$D,$F9+1)*($D9^INDEX('R1. Tree Coefficients'!$E:$E,$F9+1))))</f>
        <v>10.6146122018837</v>
      </c>
      <c r="J9" s="14" t="n">
        <f aca="false">IF(OR($D9="",$F9=""),"",IF($E9&gt;0,INDEX('R1. Tree Coefficients'!$F:$F,$F9+2)*($D9^INDEX('R1. Tree Coefficients'!$G:$G,$F9+2))*($E9^INDEX('R1. Tree Coefficients'!$H:$H,$F9+2)),INDEX('R1. Tree Coefficients'!$D:$D,$F9+2)*($D9^INDEX('R1. Tree Coefficients'!$E:$E,$F9+2))))</f>
        <v>12.5388959786082</v>
      </c>
      <c r="K9" s="14" t="n">
        <f aca="false">IF(OR($D9="",$F9=""),"",IF($E9&gt;0,INDEX('R1. Tree Coefficients'!$F:$F,$F9+3)*($D9^INDEX('R1. Tree Coefficients'!$G:$G,$F9+3))*($E9^INDEX('R1. Tree Coefficients'!$H:$H,$F9+3)),INDEX('R1. Tree Coefficients'!$D:$D,$F9+3)*($D9^INDEX('R1. Tree Coefficients'!$E:$E,$F9+3))))</f>
        <v>10.4221008255899</v>
      </c>
      <c r="L9" s="14" t="n">
        <f aca="false">IF($F9="","",IFERROR(SUM($H9:$K9),""))</f>
        <v>107.823323869684</v>
      </c>
      <c r="M9" s="14" t="str">
        <f aca="false">IF($F9="","",INDEX('R1. Tree Coefficients'!$J:$J,$F9))</f>
        <v>Conifers</v>
      </c>
      <c r="N9" s="14" t="n">
        <f aca="false">IF($L9="","",IF($M9="Deciduous",BGB_RS_DECIDUOUS_a*($L9^BGB_RS_DECIDUOUS_b),IF($M9="Conifers",BGB_RS_CONIFER*$L9,AVERAGE(BGB_RS_DECIDUOUS_a*($L9^BGB_RS_DECIDUOUS_b),BGB_RS_CONIFER*$L9))))</f>
        <v>23.9367778990698</v>
      </c>
      <c r="O9" s="14" t="n">
        <f aca="false">IF($L9="","",$L9+$N9)</f>
        <v>131.760101768754</v>
      </c>
      <c r="P9" s="14" t="n">
        <f aca="false">IF($O9="","",$O9*CARBON_FRACTION_BIOMASS)</f>
        <v>65.8800508843768</v>
      </c>
      <c r="Q9" s="14" t="str">
        <f aca="false">IF(AND($A9="",$C9=""),"",IF(AND($A9&lt;&gt;"",COUNTIF('1. Plot &amp; Site Log'!$A$5:$A$64,$A9)=0),"Plot ID not in Plot &amp; Site Log — this tree will not reach the summary. ","")&amp;IF($A9="","No Plot ID. ","")&amp;IF(AND($C9&lt;&gt;"",$F9=""),"Species not in the coefficient list — check the spelling against R1. ","")&amp;IF($D9="","No DBH — nothing can be calculated. ","")&amp;IF(AND($D9&lt;&gt;"",$D9&gt;QC_DBH_MAX_CM),"DBH above "&amp;QC_DBH_MAX_CM&amp;" cm — check for a transcription error. ","")&amp;IF($M9="All","Generic species: no published root:shoot applies, so below-ground biomass is the mean of the deciduous and conifer relationships. Choose a species, or Deciduous/Conifers, if you can. ","")&amp;IF(AND($O9&lt;&gt;"",$O9&gt;0,OR($N9/$O9&lt;BGB_FRACTION_MIN,$N9/$O9&gt;BGB_FRACTION_MAX)),"Below-ground share is "&amp;TEXT($N9/$O9,"0%")&amp;", outside the 18–30% the Trees guide describes. ",""))</f>
        <v/>
      </c>
    </row>
    <row r="10" customFormat="false" ht="15" hidden="false" customHeight="false" outlineLevel="0" collapsed="false">
      <c r="A10" s="13" t="s">
        <v>74</v>
      </c>
      <c r="B10" s="13" t="n">
        <v>6</v>
      </c>
      <c r="C10" s="13" t="s">
        <v>137</v>
      </c>
      <c r="D10" s="13" t="n">
        <v>22</v>
      </c>
      <c r="E10" s="13"/>
      <c r="F10" s="14" t="n">
        <f aca="false">IF($C10="","",IFERROR(12+(MATCH($C10,'R1. Tree Coefficients'!$L$12:$L$53,0)-1)*4,""))</f>
        <v>172</v>
      </c>
      <c r="G10" s="14" t="str">
        <f aca="false">IF($F10="","",IF(AND($E10&lt;&gt;"",$E10&gt;0),"DBH + height","DBH only"))</f>
        <v>DBH only</v>
      </c>
      <c r="H10" s="14" t="n">
        <f aca="false">IF(OR($D10="",$F10=""),"",IF($E10&gt;0,INDEX('R1. Tree Coefficients'!$F:$F,$F10+0)*($D10^INDEX('R1. Tree Coefficients'!$G:$G,$F10+0))*($E10^INDEX('R1. Tree Coefficients'!$H:$H,$F10+0)),INDEX('R1. Tree Coefficients'!$D:$D,$F10+0)*($D10^INDEX('R1. Tree Coefficients'!$E:$E,$F10+0))))</f>
        <v>102.650387130883</v>
      </c>
      <c r="I10" s="14" t="n">
        <f aca="false">IF(OR($D10="",$F10=""),"",IF($E10&gt;0,INDEX('R1. Tree Coefficients'!$F:$F,$F10+1)*($D10^INDEX('R1. Tree Coefficients'!$G:$G,$F10+1))*($E10^INDEX('R1. Tree Coefficients'!$H:$H,$F10+1)),INDEX('R1. Tree Coefficients'!$D:$D,$F10+1)*($D10^INDEX('R1. Tree Coefficients'!$E:$E,$F10+1))))</f>
        <v>14.1947852483318</v>
      </c>
      <c r="J10" s="14" t="n">
        <f aca="false">IF(OR($D10="",$F10=""),"",IF($E10&gt;0,INDEX('R1. Tree Coefficients'!$F:$F,$F10+2)*($D10^INDEX('R1. Tree Coefficients'!$G:$G,$F10+2))*($E10^INDEX('R1. Tree Coefficients'!$H:$H,$F10+2)),INDEX('R1. Tree Coefficients'!$D:$D,$F10+2)*($D10^INDEX('R1. Tree Coefficients'!$E:$E,$F10+2))))</f>
        <v>19.4668143486711</v>
      </c>
      <c r="K10" s="14" t="n">
        <f aca="false">IF(OR($D10="",$F10=""),"",IF($E10&gt;0,INDEX('R1. Tree Coefficients'!$F:$F,$F10+3)*($D10^INDEX('R1. Tree Coefficients'!$G:$G,$F10+3))*($E10^INDEX('R1. Tree Coefficients'!$H:$H,$F10+3)),INDEX('R1. Tree Coefficients'!$D:$D,$F10+3)*($D10^INDEX('R1. Tree Coefficients'!$E:$E,$F10+3))))</f>
        <v>15.6912507029446</v>
      </c>
      <c r="L10" s="14" t="n">
        <f aca="false">IF($F10="","",IFERROR(SUM($H10:$K10),""))</f>
        <v>152.003237430831</v>
      </c>
      <c r="M10" s="14" t="str">
        <f aca="false">IF($F10="","",INDEX('R1. Tree Coefficients'!$J:$J,$F10))</f>
        <v>Conifers</v>
      </c>
      <c r="N10" s="14" t="n">
        <f aca="false">IF($L10="","",IF($M10="Deciduous",BGB_RS_DECIDUOUS_a*($L10^BGB_RS_DECIDUOUS_b),IF($M10="Conifers",BGB_RS_CONIFER*$L10,AVERAGE(BGB_RS_DECIDUOUS_a*($L10^BGB_RS_DECIDUOUS_b),BGB_RS_CONIFER*$L10))))</f>
        <v>33.7447187096444</v>
      </c>
      <c r="O10" s="14" t="n">
        <f aca="false">IF($L10="","",$L10+$N10)</f>
        <v>185.747956140475</v>
      </c>
      <c r="P10" s="14" t="n">
        <f aca="false">IF($O10="","",$O10*CARBON_FRACTION_BIOMASS)</f>
        <v>92.8739780702376</v>
      </c>
      <c r="Q10" s="14" t="str">
        <f aca="false">IF(AND($A10="",$C10=""),"",IF(AND($A10&lt;&gt;"",COUNTIF('1. Plot &amp; Site Log'!$A$5:$A$64,$A10)=0),"Plot ID not in Plot &amp; Site Log — this tree will not reach the summary. ","")&amp;IF($A10="","No Plot ID. ","")&amp;IF(AND($C10&lt;&gt;"",$F10=""),"Species not in the coefficient list — check the spelling against R1. ","")&amp;IF($D10="","No DBH — nothing can be calculated. ","")&amp;IF(AND($D10&lt;&gt;"",$D10&gt;QC_DBH_MAX_CM),"DBH above "&amp;QC_DBH_MAX_CM&amp;" cm — check for a transcription error. ","")&amp;IF($M10="All","Generic species: no published root:shoot applies, so below-ground biomass is the mean of the deciduous and conifer relationships. Choose a species, or Deciduous/Conifers, if you can. ","")&amp;IF(AND($O10&lt;&gt;"",$O10&gt;0,OR($N10/$O10&lt;BGB_FRACTION_MIN,$N10/$O10&gt;BGB_FRACTION_MAX)),"Below-ground share is "&amp;TEXT($N10/$O10,"0%")&amp;", outside the 18–30% the Trees guide describes. ",""))</f>
        <v/>
      </c>
    </row>
    <row r="11" customFormat="false" ht="15" hidden="false" customHeight="false" outlineLevel="0" collapsed="false">
      <c r="A11" s="13" t="s">
        <v>74</v>
      </c>
      <c r="B11" s="13" t="n">
        <v>7</v>
      </c>
      <c r="C11" s="13" t="s">
        <v>135</v>
      </c>
      <c r="D11" s="13" t="n">
        <v>48.3</v>
      </c>
      <c r="E11" s="13" t="n">
        <v>23</v>
      </c>
      <c r="F11" s="14" t="n">
        <f aca="false">IF($C11="","",IFERROR(12+(MATCH($C11,'R1. Tree Coefficients'!$L$12:$L$53,0)-1)*4,""))</f>
        <v>48</v>
      </c>
      <c r="G11" s="14" t="str">
        <f aca="false">IF($F11="","",IF(AND($E11&lt;&gt;"",$E11&gt;0),"DBH + height","DBH only"))</f>
        <v>DBH + height</v>
      </c>
      <c r="H11" s="14" t="n">
        <f aca="false">IF(OR($D11="",$F11=""),"",IF($E11&gt;0,INDEX('R1. Tree Coefficients'!$F:$F,$F11+0)*($D11^INDEX('R1. Tree Coefficients'!$G:$G,$F11+0))*($E11^INDEX('R1. Tree Coefficients'!$H:$H,$F11+0)),INDEX('R1. Tree Coefficients'!$D:$D,$F11+0)*($D11^INDEX('R1. Tree Coefficients'!$E:$E,$F11+0))))</f>
        <v>620.182917060687</v>
      </c>
      <c r="I11" s="14" t="n">
        <f aca="false">IF(OR($D11="",$F11=""),"",IF($E11&gt;0,INDEX('R1. Tree Coefficients'!$F:$F,$F11+1)*($D11^INDEX('R1. Tree Coefficients'!$G:$G,$F11+1))*($E11^INDEX('R1. Tree Coefficients'!$H:$H,$F11+1)),INDEX('R1. Tree Coefficients'!$D:$D,$F11+1)*($D11^INDEX('R1. Tree Coefficients'!$E:$E,$F11+1))))</f>
        <v>75.9131836513419</v>
      </c>
      <c r="J11" s="14" t="n">
        <f aca="false">IF(OR($D11="",$F11=""),"",IF($E11&gt;0,INDEX('R1. Tree Coefficients'!$F:$F,$F11+2)*($D11^INDEX('R1. Tree Coefficients'!$G:$G,$F11+2))*($E11^INDEX('R1. Tree Coefficients'!$H:$H,$F11+2)),INDEX('R1. Tree Coefficients'!$D:$D,$F11+2)*($D11^INDEX('R1. Tree Coefficients'!$E:$E,$F11+2))))</f>
        <v>131.850699284595</v>
      </c>
      <c r="K11" s="14" t="n">
        <f aca="false">IF(OR($D11="",$F11=""),"",IF($E11&gt;0,INDEX('R1. Tree Coefficients'!$F:$F,$F11+3)*($D11^INDEX('R1. Tree Coefficients'!$G:$G,$F11+3))*($E11^INDEX('R1. Tree Coefficients'!$H:$H,$F11+3)),INDEX('R1. Tree Coefficients'!$D:$D,$F11+3)*($D11^INDEX('R1. Tree Coefficients'!$E:$E,$F11+3))))</f>
        <v>60.6234962196615</v>
      </c>
      <c r="L11" s="14" t="n">
        <f aca="false">IF($F11="","",IFERROR(SUM($H11:$K11),""))</f>
        <v>888.570296216285</v>
      </c>
      <c r="M11" s="14" t="str">
        <f aca="false">IF($F11="","",INDEX('R1. Tree Coefficients'!$J:$J,$F11))</f>
        <v>Conifers</v>
      </c>
      <c r="N11" s="14" t="n">
        <f aca="false">IF($L11="","",IF($M11="Deciduous",BGB_RS_DECIDUOUS_a*($L11^BGB_RS_DECIDUOUS_b),IF($M11="Conifers",BGB_RS_CONIFER*$L11,AVERAGE(BGB_RS_DECIDUOUS_a*($L11^BGB_RS_DECIDUOUS_b),BGB_RS_CONIFER*$L11))))</f>
        <v>197.262605760015</v>
      </c>
      <c r="O11" s="14" t="n">
        <f aca="false">IF($L11="","",$L11+$N11)</f>
        <v>1085.8329019763</v>
      </c>
      <c r="P11" s="14" t="n">
        <f aca="false">IF($O11="","",$O11*CARBON_FRACTION_BIOMASS)</f>
        <v>542.91645098815</v>
      </c>
      <c r="Q11" s="14" t="str">
        <f aca="false">IF(AND($A11="",$C11=""),"",IF(AND($A11&lt;&gt;"",COUNTIF('1. Plot &amp; Site Log'!$A$5:$A$64,$A11)=0),"Plot ID not in Plot &amp; Site Log — this tree will not reach the summary. ","")&amp;IF($A11="","No Plot ID. ","")&amp;IF(AND($C11&lt;&gt;"",$F11=""),"Species not in the coefficient list — check the spelling against R1. ","")&amp;IF($D11="","No DBH — nothing can be calculated. ","")&amp;IF(AND($D11&lt;&gt;"",$D11&gt;QC_DBH_MAX_CM),"DBH above "&amp;QC_DBH_MAX_CM&amp;" cm — check for a transcription error. ","")&amp;IF($M11="All","Generic species: no published root:shoot applies, so below-ground biomass is the mean of the deciduous and conifer relationships. Choose a species, or Deciduous/Conifers, if you can. ","")&amp;IF(AND($O11&lt;&gt;"",$O11&gt;0,OR($N11/$O11&lt;BGB_FRACTION_MIN,$N11/$O11&gt;BGB_FRACTION_MAX)),"Below-ground share is "&amp;TEXT($N11/$O11,"0%")&amp;", outside the 18–30% the Trees guide describes. ",""))</f>
        <v/>
      </c>
    </row>
    <row r="12" customFormat="false" ht="15" hidden="false" customHeight="false" outlineLevel="0" collapsed="false">
      <c r="A12" s="13" t="s">
        <v>74</v>
      </c>
      <c r="B12" s="13" t="n">
        <v>8</v>
      </c>
      <c r="C12" s="13" t="s">
        <v>138</v>
      </c>
      <c r="D12" s="13" t="n">
        <v>20.3</v>
      </c>
      <c r="E12" s="13"/>
      <c r="F12" s="14" t="n">
        <f aca="false">IF($C12="","",IFERROR(12+(MATCH($C12,'R1. Tree Coefficients'!$L$12:$L$53,0)-1)*4,""))</f>
        <v>144</v>
      </c>
      <c r="G12" s="14" t="str">
        <f aca="false">IF($F12="","",IF(AND($E12&lt;&gt;"",$E12&gt;0),"DBH + height","DBH only"))</f>
        <v>DBH only</v>
      </c>
      <c r="H12" s="14" t="n">
        <f aca="false">IF(OR($D12="",$F12=""),"",IF($E12&gt;0,INDEX('R1. Tree Coefficients'!$F:$F,$F12+0)*($D12^INDEX('R1. Tree Coefficients'!$G:$G,$F12+0))*($E12^INDEX('R1. Tree Coefficients'!$H:$H,$F12+0)),INDEX('R1. Tree Coefficients'!$D:$D,$F12+0)*($D12^INDEX('R1. Tree Coefficients'!$E:$E,$F12+0))))</f>
        <v>104.230549906198</v>
      </c>
      <c r="I12" s="14" t="n">
        <f aca="false">IF(OR($D12="",$F12=""),"",IF($E12&gt;0,INDEX('R1. Tree Coefficients'!$F:$F,$F12+1)*($D12^INDEX('R1. Tree Coefficients'!$G:$G,$F12+1))*($E12^INDEX('R1. Tree Coefficients'!$H:$H,$F12+1)),INDEX('R1. Tree Coefficients'!$D:$D,$F12+1)*($D12^INDEX('R1. Tree Coefficients'!$E:$E,$F12+1))))</f>
        <v>22.6709550876673</v>
      </c>
      <c r="J12" s="14" t="n">
        <f aca="false">IF(OR($D12="",$F12=""),"",IF($E12&gt;0,INDEX('R1. Tree Coefficients'!$F:$F,$F12+2)*($D12^INDEX('R1. Tree Coefficients'!$G:$G,$F12+2))*($E12^INDEX('R1. Tree Coefficients'!$H:$H,$F12+2)),INDEX('R1. Tree Coefficients'!$D:$D,$F12+2)*($D12^INDEX('R1. Tree Coefficients'!$E:$E,$F12+2))))</f>
        <v>15.8755266768591</v>
      </c>
      <c r="K12" s="14" t="n">
        <f aca="false">IF(OR($D12="",$F12=""),"",IF($E12&gt;0,INDEX('R1. Tree Coefficients'!$F:$F,$F12+3)*($D12^INDEX('R1. Tree Coefficients'!$G:$G,$F12+3))*($E12^INDEX('R1. Tree Coefficients'!$H:$H,$F12+3)),INDEX('R1. Tree Coefficients'!$D:$D,$F12+3)*($D12^INDEX('R1. Tree Coefficients'!$E:$E,$F12+3))))</f>
        <v>3.53861458356432</v>
      </c>
      <c r="L12" s="14" t="n">
        <f aca="false">IF($F12="","",IFERROR(SUM($H12:$K12),""))</f>
        <v>146.315646254289</v>
      </c>
      <c r="M12" s="14" t="str">
        <f aca="false">IF($F12="","",INDEX('R1. Tree Coefficients'!$J:$J,$F12))</f>
        <v>Deciduous</v>
      </c>
      <c r="N12" s="14" t="n">
        <f aca="false">IF($L12="","",IF($M12="Deciduous",BGB_RS_DECIDUOUS_a*($L12^BGB_RS_DECIDUOUS_b),IF($M12="Conifers",BGB_RS_CONIFER*$L12,AVERAGE(BGB_RS_DECIDUOUS_a*($L12^BGB_RS_DECIDUOUS_b),BGB_RS_CONIFER*$L12))))</f>
        <v>33.8228373093689</v>
      </c>
      <c r="O12" s="14" t="n">
        <f aca="false">IF($L12="","",$L12+$N12)</f>
        <v>180.138483563658</v>
      </c>
      <c r="P12" s="14" t="n">
        <f aca="false">IF($O12="","",$O12*CARBON_FRACTION_BIOMASS)</f>
        <v>90.0692417818288</v>
      </c>
      <c r="Q12" s="14" t="str">
        <f aca="false">IF(AND($A12="",$C12=""),"",IF(AND($A12&lt;&gt;"",COUNTIF('1. Plot &amp; Site Log'!$A$5:$A$64,$A12)=0),"Plot ID not in Plot &amp; Site Log — this tree will not reach the summary. ","")&amp;IF($A12="","No Plot ID. ","")&amp;IF(AND($C12&lt;&gt;"",$F12=""),"Species not in the coefficient list — check the spelling against R1. ","")&amp;IF($D12="","No DBH — nothing can be calculated. ","")&amp;IF(AND($D12&lt;&gt;"",$D12&gt;QC_DBH_MAX_CM),"DBH above "&amp;QC_DBH_MAX_CM&amp;" cm — check for a transcription error. ","")&amp;IF($M12="All","Generic species: no published root:shoot applies, so below-ground biomass is the mean of the deciduous and conifer relationships. Choose a species, or Deciduous/Conifers, if you can. ","")&amp;IF(AND($O12&lt;&gt;"",$O12&gt;0,OR($N12/$O12&lt;BGB_FRACTION_MIN,$N12/$O12&gt;BGB_FRACTION_MAX)),"Below-ground share is "&amp;TEXT($N12/$O12,"0%")&amp;", outside the 18–30% the Trees guide describes. ",""))</f>
        <v/>
      </c>
    </row>
    <row r="13" customFormat="false" ht="15" hidden="false" customHeight="false" outlineLevel="0" collapsed="false">
      <c r="A13" s="13" t="s">
        <v>74</v>
      </c>
      <c r="B13" s="13" t="n">
        <v>9</v>
      </c>
      <c r="C13" s="13" t="s">
        <v>137</v>
      </c>
      <c r="D13" s="13" t="n">
        <v>12.3</v>
      </c>
      <c r="E13" s="13"/>
      <c r="F13" s="14" t="n">
        <f aca="false">IF($C13="","",IFERROR(12+(MATCH($C13,'R1. Tree Coefficients'!$L$12:$L$53,0)-1)*4,""))</f>
        <v>172</v>
      </c>
      <c r="G13" s="14" t="str">
        <f aca="false">IF($F13="","",IF(AND($E13&lt;&gt;"",$E13&gt;0),"DBH + height","DBH only"))</f>
        <v>DBH only</v>
      </c>
      <c r="H13" s="14" t="n">
        <f aca="false">IF(OR($D13="",$F13=""),"",IF($E13&gt;0,INDEX('R1. Tree Coefficients'!$F:$F,$F13+0)*($D13^INDEX('R1. Tree Coefficients'!$G:$G,$F13+0))*($E13^INDEX('R1. Tree Coefficients'!$H:$H,$F13+0)),INDEX('R1. Tree Coefficients'!$D:$D,$F13+0)*($D13^INDEX('R1. Tree Coefficients'!$E:$E,$F13+0))))</f>
        <v>22.6631329402501</v>
      </c>
      <c r="I13" s="14" t="n">
        <f aca="false">IF(OR($D13="",$F13=""),"",IF($E13&gt;0,INDEX('R1. Tree Coefficients'!$F:$F,$F13+1)*($D13^INDEX('R1. Tree Coefficients'!$G:$G,$F13+1))*($E13^INDEX('R1. Tree Coefficients'!$H:$H,$F13+1)),INDEX('R1. Tree Coefficients'!$D:$D,$F13+1)*($D13^INDEX('R1. Tree Coefficients'!$E:$E,$F13+1))))</f>
        <v>3.7144889162249</v>
      </c>
      <c r="J13" s="14" t="n">
        <f aca="false">IF(OR($D13="",$F13=""),"",IF($E13&gt;0,INDEX('R1. Tree Coefficients'!$F:$F,$F13+2)*($D13^INDEX('R1. Tree Coefficients'!$G:$G,$F13+2))*($E13^INDEX('R1. Tree Coefficients'!$H:$H,$F13+2)),INDEX('R1. Tree Coefficients'!$D:$D,$F13+2)*($D13^INDEX('R1. Tree Coefficients'!$E:$E,$F13+2))))</f>
        <v>5.76569108076636</v>
      </c>
      <c r="K13" s="14" t="n">
        <f aca="false">IF(OR($D13="",$F13=""),"",IF($E13&gt;0,INDEX('R1. Tree Coefficients'!$F:$F,$F13+3)*($D13^INDEX('R1. Tree Coefficients'!$G:$G,$F13+3))*($E13^INDEX('R1. Tree Coefficients'!$H:$H,$F13+3)),INDEX('R1. Tree Coefficients'!$D:$D,$F13+3)*($D13^INDEX('R1. Tree Coefficients'!$E:$E,$F13+3))))</f>
        <v>6.55508286512387</v>
      </c>
      <c r="L13" s="14" t="n">
        <f aca="false">IF($F13="","",IFERROR(SUM($H13:$K13),""))</f>
        <v>38.6983958023652</v>
      </c>
      <c r="M13" s="14" t="str">
        <f aca="false">IF($F13="","",INDEX('R1. Tree Coefficients'!$J:$J,$F13))</f>
        <v>Conifers</v>
      </c>
      <c r="N13" s="14" t="n">
        <f aca="false">IF($L13="","",IF($M13="Deciduous",BGB_RS_DECIDUOUS_a*($L13^BGB_RS_DECIDUOUS_b),IF($M13="Conifers",BGB_RS_CONIFER*$L13,AVERAGE(BGB_RS_DECIDUOUS_a*($L13^BGB_RS_DECIDUOUS_b),BGB_RS_CONIFER*$L13))))</f>
        <v>8.59104386812508</v>
      </c>
      <c r="O13" s="14" t="n">
        <f aca="false">IF($L13="","",$L13+$N13)</f>
        <v>47.2894396704903</v>
      </c>
      <c r="P13" s="14" t="n">
        <f aca="false">IF($O13="","",$O13*CARBON_FRACTION_BIOMASS)</f>
        <v>23.6447198352451</v>
      </c>
      <c r="Q13" s="14" t="str">
        <f aca="false">IF(AND($A13="",$C13=""),"",IF(AND($A13&lt;&gt;"",COUNTIF('1. Plot &amp; Site Log'!$A$5:$A$64,$A13)=0),"Plot ID not in Plot &amp; Site Log — this tree will not reach the summary. ","")&amp;IF($A13="","No Plot ID. ","")&amp;IF(AND($C13&lt;&gt;"",$F13=""),"Species not in the coefficient list — check the spelling against R1. ","")&amp;IF($D13="","No DBH — nothing can be calculated. ","")&amp;IF(AND($D13&lt;&gt;"",$D13&gt;QC_DBH_MAX_CM),"DBH above "&amp;QC_DBH_MAX_CM&amp;" cm — check for a transcription error. ","")&amp;IF($M13="All","Generic species: no published root:shoot applies, so below-ground biomass is the mean of the deciduous and conifer relationships. Choose a species, or Deciduous/Conifers, if you can. ","")&amp;IF(AND($O13&lt;&gt;"",$O13&gt;0,OR($N13/$O13&lt;BGB_FRACTION_MIN,$N13/$O13&gt;BGB_FRACTION_MAX)),"Below-ground share is "&amp;TEXT($N13/$O13,"0%")&amp;", outside the 18–30% the Trees guide describes. ",""))</f>
        <v/>
      </c>
    </row>
    <row r="14" customFormat="false" ht="15" hidden="false" customHeight="false" outlineLevel="0" collapsed="false">
      <c r="A14" s="13" t="s">
        <v>74</v>
      </c>
      <c r="B14" s="13" t="n">
        <v>10</v>
      </c>
      <c r="C14" s="13" t="s">
        <v>138</v>
      </c>
      <c r="D14" s="13" t="n">
        <v>25.7</v>
      </c>
      <c r="E14" s="13" t="n">
        <v>20.3</v>
      </c>
      <c r="F14" s="14" t="n">
        <f aca="false">IF($C14="","",IFERROR(12+(MATCH($C14,'R1. Tree Coefficients'!$L$12:$L$53,0)-1)*4,""))</f>
        <v>144</v>
      </c>
      <c r="G14" s="14" t="str">
        <f aca="false">IF($F14="","",IF(AND($E14&lt;&gt;"",$E14&gt;0),"DBH + height","DBH only"))</f>
        <v>DBH + height</v>
      </c>
      <c r="H14" s="14" t="n">
        <f aca="false">IF(OR($D14="",$F14=""),"",IF($E14&gt;0,INDEX('R1. Tree Coefficients'!$F:$F,$F14+0)*($D14^INDEX('R1. Tree Coefficients'!$G:$G,$F14+0))*($E14^INDEX('R1. Tree Coefficients'!$H:$H,$F14+0)),INDEX('R1. Tree Coefficients'!$D:$D,$F14+0)*($D14^INDEX('R1. Tree Coefficients'!$E:$E,$F14+0))))</f>
        <v>185.966861869218</v>
      </c>
      <c r="I14" s="14" t="n">
        <f aca="false">IF(OR($D14="",$F14=""),"",IF($E14&gt;0,INDEX('R1. Tree Coefficients'!$F:$F,$F14+1)*($D14^INDEX('R1. Tree Coefficients'!$G:$G,$F14+1))*($E14^INDEX('R1. Tree Coefficients'!$H:$H,$F14+1)),INDEX('R1. Tree Coefficients'!$D:$D,$F14+1)*($D14^INDEX('R1. Tree Coefficients'!$E:$E,$F14+1))))</f>
        <v>39.7147121778831</v>
      </c>
      <c r="J14" s="14" t="n">
        <f aca="false">IF(OR($D14="",$F14=""),"",IF($E14&gt;0,INDEX('R1. Tree Coefficients'!$F:$F,$F14+2)*($D14^INDEX('R1. Tree Coefficients'!$G:$G,$F14+2))*($E14^INDEX('R1. Tree Coefficients'!$H:$H,$F14+2)),INDEX('R1. Tree Coefficients'!$D:$D,$F14+2)*($D14^INDEX('R1. Tree Coefficients'!$E:$E,$F14+2))))</f>
        <v>28.1823925882467</v>
      </c>
      <c r="K14" s="14" t="n">
        <f aca="false">IF(OR($D14="",$F14=""),"",IF($E14&gt;0,INDEX('R1. Tree Coefficients'!$F:$F,$F14+3)*($D14^INDEX('R1. Tree Coefficients'!$G:$G,$F14+3))*($E14^INDEX('R1. Tree Coefficients'!$H:$H,$F14+3)),INDEX('R1. Tree Coefficients'!$D:$D,$F14+3)*($D14^INDEX('R1. Tree Coefficients'!$E:$E,$F14+3))))</f>
        <v>5.15265664574006</v>
      </c>
      <c r="L14" s="14" t="n">
        <f aca="false">IF($F14="","",IFERROR(SUM($H14:$K14),""))</f>
        <v>259.016623281088</v>
      </c>
      <c r="M14" s="14" t="str">
        <f aca="false">IF($F14="","",INDEX('R1. Tree Coefficients'!$J:$J,$F14))</f>
        <v>Deciduous</v>
      </c>
      <c r="N14" s="14" t="n">
        <f aca="false">IF($L14="","",IF($M14="Deciduous",BGB_RS_DECIDUOUS_a*($L14^BGB_RS_DECIDUOUS_b),IF($M14="Conifers",BGB_RS_CONIFER*$L14,AVERAGE(BGB_RS_DECIDUOUS_a*($L14^BGB_RS_DECIDUOUS_b),BGB_RS_CONIFER*$L14))))</f>
        <v>48.0565633559159</v>
      </c>
      <c r="O14" s="14" t="n">
        <f aca="false">IF($L14="","",$L14+$N14)</f>
        <v>307.073186637003</v>
      </c>
      <c r="P14" s="14" t="n">
        <f aca="false">IF($O14="","",$O14*CARBON_FRACTION_BIOMASS)</f>
        <v>153.536593318502</v>
      </c>
      <c r="Q14" s="14" t="str">
        <f aca="false">IF(AND($A14="",$C14=""),"",IF(AND($A14&lt;&gt;"",COUNTIF('1. Plot &amp; Site Log'!$A$5:$A$64,$A14)=0),"Plot ID not in Plot &amp; Site Log — this tree will not reach the summary. ","")&amp;IF($A14="","No Plot ID. ","")&amp;IF(AND($C14&lt;&gt;"",$F14=""),"Species not in the coefficient list — check the spelling against R1. ","")&amp;IF($D14="","No DBH — nothing can be calculated. ","")&amp;IF(AND($D14&lt;&gt;"",$D14&gt;QC_DBH_MAX_CM),"DBH above "&amp;QC_DBH_MAX_CM&amp;" cm — check for a transcription error. ","")&amp;IF($M14="All","Generic species: no published root:shoot applies, so below-ground biomass is the mean of the deciduous and conifer relationships. Choose a species, or Deciduous/Conifers, if you can. ","")&amp;IF(AND($O14&lt;&gt;"",$O14&gt;0,OR($N14/$O14&lt;BGB_FRACTION_MIN,$N14/$O14&gt;BGB_FRACTION_MAX)),"Below-ground share is "&amp;TEXT($N14/$O14,"0%")&amp;", outside the 18–30% the Trees guide describes. ",""))</f>
        <v/>
      </c>
    </row>
    <row r="15" customFormat="false" ht="15" hidden="false" customHeight="false" outlineLevel="0" collapsed="false">
      <c r="A15" s="13" t="s">
        <v>74</v>
      </c>
      <c r="B15" s="13" t="n">
        <v>11</v>
      </c>
      <c r="C15" s="13" t="s">
        <v>136</v>
      </c>
      <c r="D15" s="13" t="n">
        <v>23.8</v>
      </c>
      <c r="E15" s="13"/>
      <c r="F15" s="14" t="n">
        <f aca="false">IF($C15="","",IFERROR(12+(MATCH($C15,'R1. Tree Coefficients'!$L$12:$L$53,0)-1)*4,""))</f>
        <v>24</v>
      </c>
      <c r="G15" s="14" t="str">
        <f aca="false">IF($F15="","",IF(AND($E15&lt;&gt;"",$E15&gt;0),"DBH + height","DBH only"))</f>
        <v>DBH only</v>
      </c>
      <c r="H15" s="14" t="n">
        <f aca="false">IF(OR($D15="",$F15=""),"",IF($E15&gt;0,INDEX('R1. Tree Coefficients'!$F:$F,$F15+0)*($D15^INDEX('R1. Tree Coefficients'!$G:$G,$F15+0))*($E15^INDEX('R1. Tree Coefficients'!$H:$H,$F15+0)),INDEX('R1. Tree Coefficients'!$D:$D,$F15+0)*($D15^INDEX('R1. Tree Coefficients'!$E:$E,$F15+0))))</f>
        <v>108.506482457936</v>
      </c>
      <c r="I15" s="14" t="n">
        <f aca="false">IF(OR($D15="",$F15=""),"",IF($E15&gt;0,INDEX('R1. Tree Coefficients'!$F:$F,$F15+1)*($D15^INDEX('R1. Tree Coefficients'!$G:$G,$F15+1))*($E15^INDEX('R1. Tree Coefficients'!$H:$H,$F15+1)),INDEX('R1. Tree Coefficients'!$D:$D,$F15+1)*($D15^INDEX('R1. Tree Coefficients'!$E:$E,$F15+1))))</f>
        <v>19.6540097112346</v>
      </c>
      <c r="J15" s="14" t="n">
        <f aca="false">IF(OR($D15="",$F15=""),"",IF($E15&gt;0,INDEX('R1. Tree Coefficients'!$F:$F,$F15+2)*($D15^INDEX('R1. Tree Coefficients'!$G:$G,$F15+2))*($E15^INDEX('R1. Tree Coefficients'!$H:$H,$F15+2)),INDEX('R1. Tree Coefficients'!$D:$D,$F15+2)*($D15^INDEX('R1. Tree Coefficients'!$E:$E,$F15+2))))</f>
        <v>22.0003432683246</v>
      </c>
      <c r="K15" s="14" t="n">
        <f aca="false">IF(OR($D15="",$F15=""),"",IF($E15&gt;0,INDEX('R1. Tree Coefficients'!$F:$F,$F15+3)*($D15^INDEX('R1. Tree Coefficients'!$G:$G,$F15+3))*($E15^INDEX('R1. Tree Coefficients'!$H:$H,$F15+3)),INDEX('R1. Tree Coefficients'!$D:$D,$F15+3)*($D15^INDEX('R1. Tree Coefficients'!$E:$E,$F15+3))))</f>
        <v>16.6906986434752</v>
      </c>
      <c r="L15" s="14" t="n">
        <f aca="false">IF($F15="","",IFERROR(SUM($H15:$K15),""))</f>
        <v>166.85153408097</v>
      </c>
      <c r="M15" s="14" t="str">
        <f aca="false">IF($F15="","",INDEX('R1. Tree Coefficients'!$J:$J,$F15))</f>
        <v>Conifers</v>
      </c>
      <c r="N15" s="14" t="n">
        <f aca="false">IF($L15="","",IF($M15="Deciduous",BGB_RS_DECIDUOUS_a*($L15^BGB_RS_DECIDUOUS_b),IF($M15="Conifers",BGB_RS_CONIFER*$L15,AVERAGE(BGB_RS_DECIDUOUS_a*($L15^BGB_RS_DECIDUOUS_b),BGB_RS_CONIFER*$L15))))</f>
        <v>37.0410405659754</v>
      </c>
      <c r="O15" s="14" t="n">
        <f aca="false">IF($L15="","",$L15+$N15)</f>
        <v>203.892574646946</v>
      </c>
      <c r="P15" s="14" t="n">
        <f aca="false">IF($O15="","",$O15*CARBON_FRACTION_BIOMASS)</f>
        <v>101.946287323473</v>
      </c>
      <c r="Q15" s="14" t="str">
        <f aca="false">IF(AND($A15="",$C15=""),"",IF(AND($A15&lt;&gt;"",COUNTIF('1. Plot &amp; Site Log'!$A$5:$A$64,$A15)=0),"Plot ID not in Plot &amp; Site Log — this tree will not reach the summary. ","")&amp;IF($A15="","No Plot ID. ","")&amp;IF(AND($C15&lt;&gt;"",$F15=""),"Species not in the coefficient list — check the spelling against R1. ","")&amp;IF($D15="","No DBH — nothing can be calculated. ","")&amp;IF(AND($D15&lt;&gt;"",$D15&gt;QC_DBH_MAX_CM),"DBH above "&amp;QC_DBH_MAX_CM&amp;" cm — check for a transcription error. ","")&amp;IF($M15="All","Generic species: no published root:shoot applies, so below-ground biomass is the mean of the deciduous and conifer relationships. Choose a species, or Deciduous/Conifers, if you can. ","")&amp;IF(AND($O15&lt;&gt;"",$O15&gt;0,OR($N15/$O15&lt;BGB_FRACTION_MIN,$N15/$O15&gt;BGB_FRACTION_MAX)),"Below-ground share is "&amp;TEXT($N15/$O15,"0%")&amp;", outside the 18–30% the Trees guide describes. ",""))</f>
        <v/>
      </c>
    </row>
    <row r="16" customFormat="false" ht="15" hidden="false" customHeight="false" outlineLevel="0" collapsed="false">
      <c r="A16" s="13" t="s">
        <v>74</v>
      </c>
      <c r="B16" s="13" t="n">
        <v>12</v>
      </c>
      <c r="C16" s="13" t="s">
        <v>136</v>
      </c>
      <c r="D16" s="13" t="n">
        <v>21</v>
      </c>
      <c r="E16" s="13"/>
      <c r="F16" s="14" t="n">
        <f aca="false">IF($C16="","",IFERROR(12+(MATCH($C16,'R1. Tree Coefficients'!$L$12:$L$53,0)-1)*4,""))</f>
        <v>24</v>
      </c>
      <c r="G16" s="14" t="str">
        <f aca="false">IF($F16="","",IF(AND($E16&lt;&gt;"",$E16&gt;0),"DBH + height","DBH only"))</f>
        <v>DBH only</v>
      </c>
      <c r="H16" s="14" t="n">
        <f aca="false">IF(OR($D16="",$F16=""),"",IF($E16&gt;0,INDEX('R1. Tree Coefficients'!$F:$F,$F16+0)*($D16^INDEX('R1. Tree Coefficients'!$G:$G,$F16+0))*($E16^INDEX('R1. Tree Coefficients'!$H:$H,$F16+0)),INDEX('R1. Tree Coefficients'!$D:$D,$F16+0)*($D16^INDEX('R1. Tree Coefficients'!$E:$E,$F16+0))))</f>
        <v>80.3219460880188</v>
      </c>
      <c r="I16" s="14" t="n">
        <f aca="false">IF(OR($D16="",$F16=""),"",IF($E16&gt;0,INDEX('R1. Tree Coefficients'!$F:$F,$F16+1)*($D16^INDEX('R1. Tree Coefficients'!$G:$G,$F16+1))*($E16^INDEX('R1. Tree Coefficients'!$H:$H,$F16+1)),INDEX('R1. Tree Coefficients'!$D:$D,$F16+1)*($D16^INDEX('R1. Tree Coefficients'!$E:$E,$F16+1))))</f>
        <v>14.6486509974327</v>
      </c>
      <c r="J16" s="14" t="n">
        <f aca="false">IF(OR($D16="",$F16=""),"",IF($E16&gt;0,INDEX('R1. Tree Coefficients'!$F:$F,$F16+2)*($D16^INDEX('R1. Tree Coefficients'!$G:$G,$F16+2))*($E16^INDEX('R1. Tree Coefficients'!$H:$H,$F16+2)),INDEX('R1. Tree Coefficients'!$D:$D,$F16+2)*($D16^INDEX('R1. Tree Coefficients'!$E:$E,$F16+2))))</f>
        <v>16.0076794921831</v>
      </c>
      <c r="K16" s="14" t="n">
        <f aca="false">IF(OR($D16="",$F16=""),"",IF($E16&gt;0,INDEX('R1. Tree Coefficients'!$F:$F,$F16+3)*($D16^INDEX('R1. Tree Coefficients'!$G:$G,$F16+3))*($E16^INDEX('R1. Tree Coefficients'!$H:$H,$F16+3)),INDEX('R1. Tree Coefficients'!$D:$D,$F16+3)*($D16^INDEX('R1. Tree Coefficients'!$E:$E,$F16+3))))</f>
        <v>13.5432968789127</v>
      </c>
      <c r="L16" s="14" t="n">
        <f aca="false">IF($F16="","",IFERROR(SUM($H16:$K16),""))</f>
        <v>124.521573456547</v>
      </c>
      <c r="M16" s="14" t="str">
        <f aca="false">IF($F16="","",INDEX('R1. Tree Coefficients'!$J:$J,$F16))</f>
        <v>Conifers</v>
      </c>
      <c r="N16" s="14" t="n">
        <f aca="false">IF($L16="","",IF($M16="Deciduous",BGB_RS_DECIDUOUS_a*($L16^BGB_RS_DECIDUOUS_b),IF($M16="Conifers",BGB_RS_CONIFER*$L16,AVERAGE(BGB_RS_DECIDUOUS_a*($L16^BGB_RS_DECIDUOUS_b),BGB_RS_CONIFER*$L16))))</f>
        <v>27.6437893073535</v>
      </c>
      <c r="O16" s="14" t="n">
        <f aca="false">IF($L16="","",$L16+$N16)</f>
        <v>152.165362763901</v>
      </c>
      <c r="P16" s="14" t="n">
        <f aca="false">IF($O16="","",$O16*CARBON_FRACTION_BIOMASS)</f>
        <v>76.0826813819504</v>
      </c>
      <c r="Q16" s="14" t="str">
        <f aca="false">IF(AND($A16="",$C16=""),"",IF(AND($A16&lt;&gt;"",COUNTIF('1. Plot &amp; Site Log'!$A$5:$A$64,$A16)=0),"Plot ID not in Plot &amp; Site Log — this tree will not reach the summary. ","")&amp;IF($A16="","No Plot ID. ","")&amp;IF(AND($C16&lt;&gt;"",$F16=""),"Species not in the coefficient list — check the spelling against R1. ","")&amp;IF($D16="","No DBH — nothing can be calculated. ","")&amp;IF(AND($D16&lt;&gt;"",$D16&gt;QC_DBH_MAX_CM),"DBH above "&amp;QC_DBH_MAX_CM&amp;" cm — check for a transcription error. ","")&amp;IF($M16="All","Generic species: no published root:shoot applies, so below-ground biomass is the mean of the deciduous and conifer relationships. Choose a species, or Deciduous/Conifers, if you can. ","")&amp;IF(AND($O16&lt;&gt;"",$O16&gt;0,OR($N16/$O16&lt;BGB_FRACTION_MIN,$N16/$O16&gt;BGB_FRACTION_MAX)),"Below-ground share is "&amp;TEXT($N16/$O16,"0%")&amp;", outside the 18–30% the Trees guide describes. ",""))</f>
        <v/>
      </c>
    </row>
    <row r="17" customFormat="false" ht="15" hidden="false" customHeight="false" outlineLevel="0" collapsed="false">
      <c r="A17" s="13" t="s">
        <v>74</v>
      </c>
      <c r="B17" s="13" t="n">
        <v>13</v>
      </c>
      <c r="C17" s="13" t="s">
        <v>137</v>
      </c>
      <c r="D17" s="13" t="n">
        <v>7.3</v>
      </c>
      <c r="E17" s="13" t="n">
        <v>12.6</v>
      </c>
      <c r="F17" s="14" t="n">
        <f aca="false">IF($C17="","",IFERROR(12+(MATCH($C17,'R1. Tree Coefficients'!$L$12:$L$53,0)-1)*4,""))</f>
        <v>172</v>
      </c>
      <c r="G17" s="14" t="str">
        <f aca="false">IF($F17="","",IF(AND($E17&lt;&gt;"",$E17&gt;0),"DBH + height","DBH only"))</f>
        <v>DBH + height</v>
      </c>
      <c r="H17" s="14" t="n">
        <f aca="false">IF(OR($D17="",$F17=""),"",IF($E17&gt;0,INDEX('R1. Tree Coefficients'!$F:$F,$F17+0)*($D17^INDEX('R1. Tree Coefficients'!$G:$G,$F17+0))*($E17^INDEX('R1. Tree Coefficients'!$H:$H,$F17+0)),INDEX('R1. Tree Coefficients'!$D:$D,$F17+0)*($D17^INDEX('R1. Tree Coefficients'!$E:$E,$F17+0))))</f>
        <v>11.0292734799701</v>
      </c>
      <c r="I17" s="14" t="n">
        <f aca="false">IF(OR($D17="",$F17=""),"",IF($E17&gt;0,INDEX('R1. Tree Coefficients'!$F:$F,$F17+1)*($D17^INDEX('R1. Tree Coefficients'!$G:$G,$F17+1))*($E17^INDEX('R1. Tree Coefficients'!$H:$H,$F17+1)),INDEX('R1. Tree Coefficients'!$D:$D,$F17+1)*($D17^INDEX('R1. Tree Coefficients'!$E:$E,$F17+1))))</f>
        <v>1.79836210658044</v>
      </c>
      <c r="J17" s="14" t="n">
        <f aca="false">IF(OR($D17="",$F17=""),"",IF($E17&gt;0,INDEX('R1. Tree Coefficients'!$F:$F,$F17+2)*($D17^INDEX('R1. Tree Coefficients'!$G:$G,$F17+2))*($E17^INDEX('R1. Tree Coefficients'!$H:$H,$F17+2)),INDEX('R1. Tree Coefficients'!$D:$D,$F17+2)*($D17^INDEX('R1. Tree Coefficients'!$E:$E,$F17+2))))</f>
        <v>0.989587484881918</v>
      </c>
      <c r="K17" s="14" t="n">
        <f aca="false">IF(OR($D17="",$F17=""),"",IF($E17&gt;0,INDEX('R1. Tree Coefficients'!$F:$F,$F17+3)*($D17^INDEX('R1. Tree Coefficients'!$G:$G,$F17+3))*($E17^INDEX('R1. Tree Coefficients'!$H:$H,$F17+3)),INDEX('R1. Tree Coefficients'!$D:$D,$F17+3)*($D17^INDEX('R1. Tree Coefficients'!$E:$E,$F17+3))))</f>
        <v>1.38882175238534</v>
      </c>
      <c r="L17" s="14" t="n">
        <f aca="false">IF($F17="","",IFERROR(SUM($H17:$K17),""))</f>
        <v>15.2060448238178</v>
      </c>
      <c r="M17" s="14" t="str">
        <f aca="false">IF($F17="","",INDEX('R1. Tree Coefficients'!$J:$J,$F17))</f>
        <v>Conifers</v>
      </c>
      <c r="N17" s="14" t="n">
        <f aca="false">IF($L17="","",IF($M17="Deciduous",BGB_RS_DECIDUOUS_a*($L17^BGB_RS_DECIDUOUS_b),IF($M17="Conifers",BGB_RS_CONIFER*$L17,AVERAGE(BGB_RS_DECIDUOUS_a*($L17^BGB_RS_DECIDUOUS_b),BGB_RS_CONIFER*$L17))))</f>
        <v>3.37574195088755</v>
      </c>
      <c r="O17" s="14" t="n">
        <f aca="false">IF($L17="","",$L17+$N17)</f>
        <v>18.5817867747054</v>
      </c>
      <c r="P17" s="14" t="n">
        <f aca="false">IF($O17="","",$O17*CARBON_FRACTION_BIOMASS)</f>
        <v>9.29089338735268</v>
      </c>
      <c r="Q17" s="14" t="str">
        <f aca="false">IF(AND($A17="",$C17=""),"",IF(AND($A17&lt;&gt;"",COUNTIF('1. Plot &amp; Site Log'!$A$5:$A$64,$A17)=0),"Plot ID not in Plot &amp; Site Log — this tree will not reach the summary. ","")&amp;IF($A17="","No Plot ID. ","")&amp;IF(AND($C17&lt;&gt;"",$F17=""),"Species not in the coefficient list — check the spelling against R1. ","")&amp;IF($D17="","No DBH — nothing can be calculated. ","")&amp;IF(AND($D17&lt;&gt;"",$D17&gt;QC_DBH_MAX_CM),"DBH above "&amp;QC_DBH_MAX_CM&amp;" cm — check for a transcription error. ","")&amp;IF($M17="All","Generic species: no published root:shoot applies, so below-ground biomass is the mean of the deciduous and conifer relationships. Choose a species, or Deciduous/Conifers, if you can. ","")&amp;IF(AND($O17&lt;&gt;"",$O17&gt;0,OR($N17/$O17&lt;BGB_FRACTION_MIN,$N17/$O17&gt;BGB_FRACTION_MAX)),"Below-ground share is "&amp;TEXT($N17/$O17,"0%")&amp;", outside the 18–30% the Trees guide describes. ",""))</f>
        <v/>
      </c>
    </row>
    <row r="18" customFormat="false" ht="15" hidden="false" customHeight="false" outlineLevel="0" collapsed="false">
      <c r="A18" s="13" t="s">
        <v>74</v>
      </c>
      <c r="B18" s="13" t="n">
        <v>14</v>
      </c>
      <c r="C18" s="13" t="s">
        <v>137</v>
      </c>
      <c r="D18" s="13" t="n">
        <v>15.1</v>
      </c>
      <c r="E18" s="13"/>
      <c r="F18" s="14" t="n">
        <f aca="false">IF($C18="","",IFERROR(12+(MATCH($C18,'R1. Tree Coefficients'!$L$12:$L$53,0)-1)*4,""))</f>
        <v>172</v>
      </c>
      <c r="G18" s="14" t="str">
        <f aca="false">IF($F18="","",IF(AND($E18&lt;&gt;"",$E18&gt;0),"DBH + height","DBH only"))</f>
        <v>DBH only</v>
      </c>
      <c r="H18" s="14" t="n">
        <f aca="false">IF(OR($D18="",$F18=""),"",IF($E18&gt;0,INDEX('R1. Tree Coefficients'!$F:$F,$F18+0)*($D18^INDEX('R1. Tree Coefficients'!$G:$G,$F18+0))*($E18^INDEX('R1. Tree Coefficients'!$H:$H,$F18+0)),INDEX('R1. Tree Coefficients'!$D:$D,$F18+0)*($D18^INDEX('R1. Tree Coefficients'!$E:$E,$F18+0))))</f>
        <v>38.6125581968988</v>
      </c>
      <c r="I18" s="14" t="n">
        <f aca="false">IF(OR($D18="",$F18=""),"",IF($E18&gt;0,INDEX('R1. Tree Coefficients'!$F:$F,$F18+1)*($D18^INDEX('R1. Tree Coefficients'!$G:$G,$F18+1))*($E18^INDEX('R1. Tree Coefficients'!$H:$H,$F18+1)),INDEX('R1. Tree Coefficients'!$D:$D,$F18+1)*($D18^INDEX('R1. Tree Coefficients'!$E:$E,$F18+1))))</f>
        <v>5.96035323683376</v>
      </c>
      <c r="J18" s="14" t="n">
        <f aca="false">IF(OR($D18="",$F18=""),"",IF($E18&gt;0,INDEX('R1. Tree Coefficients'!$F:$F,$F18+2)*($D18^INDEX('R1. Tree Coefficients'!$G:$G,$F18+2))*($E18^INDEX('R1. Tree Coefficients'!$H:$H,$F18+2)),INDEX('R1. Tree Coefficients'!$D:$D,$F18+2)*($D18^INDEX('R1. Tree Coefficients'!$E:$E,$F18+2))))</f>
        <v>8.85629349612436</v>
      </c>
      <c r="K18" s="14" t="n">
        <f aca="false">IF(OR($D18="",$F18=""),"",IF($E18&gt;0,INDEX('R1. Tree Coefficients'!$F:$F,$F18+3)*($D18^INDEX('R1. Tree Coefficients'!$G:$G,$F18+3))*($E18^INDEX('R1. Tree Coefficients'!$H:$H,$F18+3)),INDEX('R1. Tree Coefficients'!$D:$D,$F18+3)*($D18^INDEX('R1. Tree Coefficients'!$E:$E,$F18+3))))</f>
        <v>8.91852072996225</v>
      </c>
      <c r="L18" s="14" t="n">
        <f aca="false">IF($F18="","",IFERROR(SUM($H18:$K18),""))</f>
        <v>62.3477256598192</v>
      </c>
      <c r="M18" s="14" t="str">
        <f aca="false">IF($F18="","",INDEX('R1. Tree Coefficients'!$J:$J,$F18))</f>
        <v>Conifers</v>
      </c>
      <c r="N18" s="14" t="n">
        <f aca="false">IF($L18="","",IF($M18="Deciduous",BGB_RS_DECIDUOUS_a*($L18^BGB_RS_DECIDUOUS_b),IF($M18="Conifers",BGB_RS_CONIFER*$L18,AVERAGE(BGB_RS_DECIDUOUS_a*($L18^BGB_RS_DECIDUOUS_b),BGB_RS_CONIFER*$L18))))</f>
        <v>13.8411950964799</v>
      </c>
      <c r="O18" s="14" t="n">
        <f aca="false">IF($L18="","",$L18+$N18)</f>
        <v>76.1889207562991</v>
      </c>
      <c r="P18" s="14" t="n">
        <f aca="false">IF($O18="","",$O18*CARBON_FRACTION_BIOMASS)</f>
        <v>38.0944603781495</v>
      </c>
      <c r="Q18" s="14" t="str">
        <f aca="false">IF(AND($A18="",$C18=""),"",IF(AND($A18&lt;&gt;"",COUNTIF('1. Plot &amp; Site Log'!$A$5:$A$64,$A18)=0),"Plot ID not in Plot &amp; Site Log — this tree will not reach the summary. ","")&amp;IF($A18="","No Plot ID. ","")&amp;IF(AND($C18&lt;&gt;"",$F18=""),"Species not in the coefficient list — check the spelling against R1. ","")&amp;IF($D18="","No DBH — nothing can be calculated. ","")&amp;IF(AND($D18&lt;&gt;"",$D18&gt;QC_DBH_MAX_CM),"DBH above "&amp;QC_DBH_MAX_CM&amp;" cm — check for a transcription error. ","")&amp;IF($M18="All","Generic species: no published root:shoot applies, so below-ground biomass is the mean of the deciduous and conifer relationships. Choose a species, or Deciduous/Conifers, if you can. ","")&amp;IF(AND($O18&lt;&gt;"",$O18&gt;0,OR($N18/$O18&lt;BGB_FRACTION_MIN,$N18/$O18&gt;BGB_FRACTION_MAX)),"Below-ground share is "&amp;TEXT($N18/$O18,"0%")&amp;", outside the 18–30% the Trees guide describes. ",""))</f>
        <v/>
      </c>
    </row>
    <row r="19" customFormat="false" ht="15" hidden="false" customHeight="false" outlineLevel="0" collapsed="false">
      <c r="A19" s="13" t="s">
        <v>74</v>
      </c>
      <c r="B19" s="13" t="n">
        <v>15</v>
      </c>
      <c r="C19" s="13" t="s">
        <v>137</v>
      </c>
      <c r="D19" s="13" t="n">
        <v>38.3</v>
      </c>
      <c r="E19" s="13"/>
      <c r="F19" s="14" t="n">
        <f aca="false">IF($C19="","",IFERROR(12+(MATCH($C19,'R1. Tree Coefficients'!$L$12:$L$53,0)-1)*4,""))</f>
        <v>172</v>
      </c>
      <c r="G19" s="14" t="str">
        <f aca="false">IF($F19="","",IF(AND($E19&lt;&gt;"",$E19&gt;0),"DBH + height","DBH only"))</f>
        <v>DBH only</v>
      </c>
      <c r="H19" s="14" t="n">
        <f aca="false">IF(OR($D19="",$F19=""),"",IF($E19&gt;0,INDEX('R1. Tree Coefficients'!$F:$F,$F19+0)*($D19^INDEX('R1. Tree Coefficients'!$G:$G,$F19+0))*($E19^INDEX('R1. Tree Coefficients'!$H:$H,$F19+0)),INDEX('R1. Tree Coefficients'!$D:$D,$F19+0)*($D19^INDEX('R1. Tree Coefficients'!$E:$E,$F19+0))))</f>
        <v>433.407958246665</v>
      </c>
      <c r="I19" s="14" t="n">
        <f aca="false">IF(OR($D19="",$F19=""),"",IF($E19&gt;0,INDEX('R1. Tree Coefficients'!$F:$F,$F19+1)*($D19^INDEX('R1. Tree Coefficients'!$G:$G,$F19+1))*($E19^INDEX('R1. Tree Coefficients'!$H:$H,$F19+1)),INDEX('R1. Tree Coefficients'!$D:$D,$F19+1)*($D19^INDEX('R1. Tree Coefficients'!$E:$E,$F19+1))))</f>
        <v>50.9666706313052</v>
      </c>
      <c r="J19" s="14" t="n">
        <f aca="false">IF(OR($D19="",$F19=""),"",IF($E19&gt;0,INDEX('R1. Tree Coefficients'!$F:$F,$F19+2)*($D19^INDEX('R1. Tree Coefficients'!$G:$G,$F19+2))*($E19^INDEX('R1. Tree Coefficients'!$H:$H,$F19+2)),INDEX('R1. Tree Coefficients'!$D:$D,$F19+2)*($D19^INDEX('R1. Tree Coefficients'!$E:$E,$F19+2))))</f>
        <v>62.1107848627672</v>
      </c>
      <c r="K19" s="14" t="n">
        <f aca="false">IF(OR($D19="",$F19=""),"",IF($E19&gt;0,INDEX('R1. Tree Coefficients'!$F:$F,$F19+3)*($D19^INDEX('R1. Tree Coefficients'!$G:$G,$F19+3))*($E19^INDEX('R1. Tree Coefficients'!$H:$H,$F19+3)),INDEX('R1. Tree Coefficients'!$D:$D,$F19+3)*($D19^INDEX('R1. Tree Coefficients'!$E:$E,$F19+3))))</f>
        <v>36.0670508644918</v>
      </c>
      <c r="L19" s="14" t="n">
        <f aca="false">IF($F19="","",IFERROR(SUM($H19:$K19),""))</f>
        <v>582.552464605229</v>
      </c>
      <c r="M19" s="14" t="str">
        <f aca="false">IF($F19="","",INDEX('R1. Tree Coefficients'!$J:$J,$F19))</f>
        <v>Conifers</v>
      </c>
      <c r="N19" s="14" t="n">
        <f aca="false">IF($L19="","",IF($M19="Deciduous",BGB_RS_DECIDUOUS_a*($L19^BGB_RS_DECIDUOUS_b),IF($M19="Conifers",BGB_RS_CONIFER*$L19,AVERAGE(BGB_RS_DECIDUOUS_a*($L19^BGB_RS_DECIDUOUS_b),BGB_RS_CONIFER*$L19))))</f>
        <v>129.326647142361</v>
      </c>
      <c r="O19" s="14" t="n">
        <f aca="false">IF($L19="","",$L19+$N19)</f>
        <v>711.87911174759</v>
      </c>
      <c r="P19" s="14" t="n">
        <f aca="false">IF($O19="","",$O19*CARBON_FRACTION_BIOMASS)</f>
        <v>355.939555873795</v>
      </c>
      <c r="Q19" s="14" t="str">
        <f aca="false">IF(AND($A19="",$C19=""),"",IF(AND($A19&lt;&gt;"",COUNTIF('1. Plot &amp; Site Log'!$A$5:$A$64,$A19)=0),"Plot ID not in Plot &amp; Site Log — this tree will not reach the summary. ","")&amp;IF($A19="","No Plot ID. ","")&amp;IF(AND($C19&lt;&gt;"",$F19=""),"Species not in the coefficient list — check the spelling against R1. ","")&amp;IF($D19="","No DBH — nothing can be calculated. ","")&amp;IF(AND($D19&lt;&gt;"",$D19&gt;QC_DBH_MAX_CM),"DBH above "&amp;QC_DBH_MAX_CM&amp;" cm — check for a transcription error. ","")&amp;IF($M19="All","Generic species: no published root:shoot applies, so below-ground biomass is the mean of the deciduous and conifer relationships. Choose a species, or Deciduous/Conifers, if you can. ","")&amp;IF(AND($O19&lt;&gt;"",$O19&gt;0,OR($N19/$O19&lt;BGB_FRACTION_MIN,$N19/$O19&gt;BGB_FRACTION_MAX)),"Below-ground share is "&amp;TEXT($N19/$O19,"0%")&amp;", outside the 18–30% the Trees guide describes. ",""))</f>
        <v/>
      </c>
    </row>
    <row r="20" customFormat="false" ht="15" hidden="false" customHeight="false" outlineLevel="0" collapsed="false">
      <c r="A20" s="13" t="s">
        <v>82</v>
      </c>
      <c r="B20" s="13" t="n">
        <v>1</v>
      </c>
      <c r="C20" s="13" t="s">
        <v>134</v>
      </c>
      <c r="D20" s="13" t="n">
        <v>13.3</v>
      </c>
      <c r="E20" s="13" t="n">
        <v>16.5</v>
      </c>
      <c r="F20" s="14" t="n">
        <f aca="false">IF($C20="","",IFERROR(12+(MATCH($C20,'R1. Tree Coefficients'!$L$12:$L$53,0)-1)*4,""))</f>
        <v>160</v>
      </c>
      <c r="G20" s="14" t="str">
        <f aca="false">IF($F20="","",IF(AND($E20&lt;&gt;"",$E20&gt;0),"DBH + height","DBH only"))</f>
        <v>DBH + height</v>
      </c>
      <c r="H20" s="14" t="n">
        <f aca="false">IF(OR($D20="",$F20=""),"",IF($E20&gt;0,INDEX('R1. Tree Coefficients'!$F:$F,$F20+0)*($D20^INDEX('R1. Tree Coefficients'!$G:$G,$F20+0))*($E20^INDEX('R1. Tree Coefficients'!$H:$H,$F20+0)),INDEX('R1. Tree Coefficients'!$D:$D,$F20+0)*($D20^INDEX('R1. Tree Coefficients'!$E:$E,$F20+0))))</f>
        <v>48.8213349194934</v>
      </c>
      <c r="I20" s="14" t="n">
        <f aca="false">IF(OR($D20="",$F20=""),"",IF($E20&gt;0,INDEX('R1. Tree Coefficients'!$F:$F,$F20+1)*($D20^INDEX('R1. Tree Coefficients'!$G:$G,$F20+1))*($E20^INDEX('R1. Tree Coefficients'!$H:$H,$F20+1)),INDEX('R1. Tree Coefficients'!$D:$D,$F20+1)*($D20^INDEX('R1. Tree Coefficients'!$E:$E,$F20+1))))</f>
        <v>8.55994573033694</v>
      </c>
      <c r="J20" s="14" t="n">
        <f aca="false">IF(OR($D20="",$F20=""),"",IF($E20&gt;0,INDEX('R1. Tree Coefficients'!$F:$F,$F20+2)*($D20^INDEX('R1. Tree Coefficients'!$G:$G,$F20+2))*($E20^INDEX('R1. Tree Coefficients'!$H:$H,$F20+2)),INDEX('R1. Tree Coefficients'!$D:$D,$F20+2)*($D20^INDEX('R1. Tree Coefficients'!$E:$E,$F20+2))))</f>
        <v>6.90932237799238</v>
      </c>
      <c r="K20" s="14" t="n">
        <f aca="false">IF(OR($D20="",$F20=""),"",IF($E20&gt;0,INDEX('R1. Tree Coefficients'!$F:$F,$F20+3)*($D20^INDEX('R1. Tree Coefficients'!$G:$G,$F20+3))*($E20^INDEX('R1. Tree Coefficients'!$H:$H,$F20+3)),INDEX('R1. Tree Coefficients'!$D:$D,$F20+3)*($D20^INDEX('R1. Tree Coefficients'!$E:$E,$F20+3))))</f>
        <v>2.42687540974029</v>
      </c>
      <c r="L20" s="14" t="n">
        <f aca="false">IF($F20="","",IFERROR(SUM($H20:$K20),""))</f>
        <v>66.717478437563</v>
      </c>
      <c r="M20" s="14" t="str">
        <f aca="false">IF($F20="","",INDEX('R1. Tree Coefficients'!$J:$J,$F20))</f>
        <v>Deciduous</v>
      </c>
      <c r="N20" s="14" t="n">
        <f aca="false">IF($L20="","",IF($M20="Deciduous",BGB_RS_DECIDUOUS_a*($L20^BGB_RS_DECIDUOUS_b),IF($M20="Conifers",BGB_RS_CONIFER*$L20,AVERAGE(BGB_RS_DECIDUOUS_a*($L20^BGB_RS_DECIDUOUS_b),BGB_RS_CONIFER*$L20))))</f>
        <v>20.8671713318579</v>
      </c>
      <c r="O20" s="14" t="n">
        <f aca="false">IF($L20="","",$L20+$N20)</f>
        <v>87.5846497694209</v>
      </c>
      <c r="P20" s="14" t="n">
        <f aca="false">IF($O20="","",$O20*CARBON_FRACTION_BIOMASS)</f>
        <v>43.7923248847105</v>
      </c>
      <c r="Q20" s="14" t="str">
        <f aca="false">IF(AND($A20="",$C20=""),"",IF(AND($A20&lt;&gt;"",COUNTIF('1. Plot &amp; Site Log'!$A$5:$A$64,$A20)=0),"Plot ID not in Plot &amp; Site Log — this tree will not reach the summary. ","")&amp;IF($A20="","No Plot ID. ","")&amp;IF(AND($C20&lt;&gt;"",$F20=""),"Species not in the coefficient list — check the spelling against R1. ","")&amp;IF($D20="","No DBH — nothing can be calculated. ","")&amp;IF(AND($D20&lt;&gt;"",$D20&gt;QC_DBH_MAX_CM),"DBH above "&amp;QC_DBH_MAX_CM&amp;" cm — check for a transcription error. ","")&amp;IF($M20="All","Generic species: no published root:shoot applies, so below-ground biomass is the mean of the deciduous and conifer relationships. Choose a species, or Deciduous/Conifers, if you can. ","")&amp;IF(AND($O20&lt;&gt;"",$O20&gt;0,OR($N20/$O20&lt;BGB_FRACTION_MIN,$N20/$O20&gt;BGB_FRACTION_MAX)),"Below-ground share is "&amp;TEXT($N20/$O20,"0%")&amp;", outside the 18–30% the Trees guide describes. ",""))</f>
        <v/>
      </c>
    </row>
    <row r="21" customFormat="false" ht="15" hidden="false" customHeight="false" outlineLevel="0" collapsed="false">
      <c r="A21" s="13" t="s">
        <v>82</v>
      </c>
      <c r="B21" s="13" t="n">
        <v>2</v>
      </c>
      <c r="C21" s="13" t="s">
        <v>136</v>
      </c>
      <c r="D21" s="13" t="n">
        <v>17.4</v>
      </c>
      <c r="E21" s="13"/>
      <c r="F21" s="14" t="n">
        <f aca="false">IF($C21="","",IFERROR(12+(MATCH($C21,'R1. Tree Coefficients'!$L$12:$L$53,0)-1)*4,""))</f>
        <v>24</v>
      </c>
      <c r="G21" s="14" t="str">
        <f aca="false">IF($F21="","",IF(AND($E21&lt;&gt;"",$E21&gt;0),"DBH + height","DBH only"))</f>
        <v>DBH only</v>
      </c>
      <c r="H21" s="14" t="n">
        <f aca="false">IF(OR($D21="",$F21=""),"",IF($E21&gt;0,INDEX('R1. Tree Coefficients'!$F:$F,$F21+0)*($D21^INDEX('R1. Tree Coefficients'!$G:$G,$F21+0))*($E21^INDEX('R1. Tree Coefficients'!$H:$H,$F21+0)),INDEX('R1. Tree Coefficients'!$D:$D,$F21+0)*($D21^INDEX('R1. Tree Coefficients'!$E:$E,$F21+0))))</f>
        <v>51.1188530059537</v>
      </c>
      <c r="I21" s="14" t="n">
        <f aca="false">IF(OR($D21="",$F21=""),"",IF($E21&gt;0,INDEX('R1. Tree Coefficients'!$F:$F,$F21+1)*($D21^INDEX('R1. Tree Coefficients'!$G:$G,$F21+1))*($E21^INDEX('R1. Tree Coefficients'!$H:$H,$F21+1)),INDEX('R1. Tree Coefficients'!$D:$D,$F21+1)*($D21^INDEX('R1. Tree Coefficients'!$E:$E,$F21+1))))</f>
        <v>9.41897610246913</v>
      </c>
      <c r="J21" s="14" t="n">
        <f aca="false">IF(OR($D21="",$F21=""),"",IF($E21&gt;0,INDEX('R1. Tree Coefficients'!$F:$F,$F21+2)*($D21^INDEX('R1. Tree Coefficients'!$G:$G,$F21+2))*($E21^INDEX('R1. Tree Coefficients'!$H:$H,$F21+2)),INDEX('R1. Tree Coefficients'!$D:$D,$F21+2)*($D21^INDEX('R1. Tree Coefficients'!$E:$E,$F21+2))))</f>
        <v>9.92744432647468</v>
      </c>
      <c r="K21" s="14" t="n">
        <f aca="false">IF(OR($D21="",$F21=""),"",IF($E21&gt;0,INDEX('R1. Tree Coefficients'!$F:$F,$F21+3)*($D21^INDEX('R1. Tree Coefficients'!$G:$G,$F21+3))*($E21^INDEX('R1. Tree Coefficients'!$H:$H,$F21+3)),INDEX('R1. Tree Coefficients'!$D:$D,$F21+3)*($D21^INDEX('R1. Tree Coefficients'!$E:$E,$F21+3))))</f>
        <v>9.89409910217177</v>
      </c>
      <c r="L21" s="14" t="n">
        <f aca="false">IF($F21="","",IFERROR(SUM($H21:$K21),""))</f>
        <v>80.3593725370693</v>
      </c>
      <c r="M21" s="14" t="str">
        <f aca="false">IF($F21="","",INDEX('R1. Tree Coefficients'!$J:$J,$F21))</f>
        <v>Conifers</v>
      </c>
      <c r="N21" s="14" t="n">
        <f aca="false">IF($L21="","",IF($M21="Deciduous",BGB_RS_DECIDUOUS_a*($L21^BGB_RS_DECIDUOUS_b),IF($M21="Conifers",BGB_RS_CONIFER*$L21,AVERAGE(BGB_RS_DECIDUOUS_a*($L21^BGB_RS_DECIDUOUS_b),BGB_RS_CONIFER*$L21))))</f>
        <v>17.8397807032294</v>
      </c>
      <c r="O21" s="14" t="n">
        <f aca="false">IF($L21="","",$L21+$N21)</f>
        <v>98.1991532402986</v>
      </c>
      <c r="P21" s="14" t="n">
        <f aca="false">IF($O21="","",$O21*CARBON_FRACTION_BIOMASS)</f>
        <v>49.0995766201493</v>
      </c>
      <c r="Q21" s="14" t="str">
        <f aca="false">IF(AND($A21="",$C21=""),"",IF(AND($A21&lt;&gt;"",COUNTIF('1. Plot &amp; Site Log'!$A$5:$A$64,$A21)=0),"Plot ID not in Plot &amp; Site Log — this tree will not reach the summary. ","")&amp;IF($A21="","No Plot ID. ","")&amp;IF(AND($C21&lt;&gt;"",$F21=""),"Species not in the coefficient list — check the spelling against R1. ","")&amp;IF($D21="","No DBH — nothing can be calculated. ","")&amp;IF(AND($D21&lt;&gt;"",$D21&gt;QC_DBH_MAX_CM),"DBH above "&amp;QC_DBH_MAX_CM&amp;" cm — check for a transcription error. ","")&amp;IF($M21="All","Generic species: no published root:shoot applies, so below-ground biomass is the mean of the deciduous and conifer relationships. Choose a species, or Deciduous/Conifers, if you can. ","")&amp;IF(AND($O21&lt;&gt;"",$O21&gt;0,OR($N21/$O21&lt;BGB_FRACTION_MIN,$N21/$O21&gt;BGB_FRACTION_MAX)),"Below-ground share is "&amp;TEXT($N21/$O21,"0%")&amp;", outside the 18–30% the Trees guide describes. ",""))</f>
        <v/>
      </c>
    </row>
    <row r="22" customFormat="false" ht="15" hidden="false" customHeight="false" outlineLevel="0" collapsed="false">
      <c r="A22" s="13" t="s">
        <v>82</v>
      </c>
      <c r="B22" s="13" t="n">
        <v>3</v>
      </c>
      <c r="C22" s="13" t="s">
        <v>137</v>
      </c>
      <c r="D22" s="13" t="n">
        <v>31.5</v>
      </c>
      <c r="E22" s="13"/>
      <c r="F22" s="14" t="n">
        <f aca="false">IF($C22="","",IFERROR(12+(MATCH($C22,'R1. Tree Coefficients'!$L$12:$L$53,0)-1)*4,""))</f>
        <v>172</v>
      </c>
      <c r="G22" s="14" t="str">
        <f aca="false">IF($F22="","",IF(AND($E22&lt;&gt;"",$E22&gt;0),"DBH + height","DBH only"))</f>
        <v>DBH only</v>
      </c>
      <c r="H22" s="14" t="n">
        <f aca="false">IF(OR($D22="",$F22=""),"",IF($E22&gt;0,INDEX('R1. Tree Coefficients'!$F:$F,$F22+0)*($D22^INDEX('R1. Tree Coefficients'!$G:$G,$F22+0))*($E22^INDEX('R1. Tree Coefficients'!$H:$H,$F22+0)),INDEX('R1. Tree Coefficients'!$D:$D,$F22+0)*($D22^INDEX('R1. Tree Coefficients'!$E:$E,$F22+0))))</f>
        <v>260.829846360522</v>
      </c>
      <c r="I22" s="14" t="n">
        <f aca="false">IF(OR($D22="",$F22=""),"",IF($E22&gt;0,INDEX('R1. Tree Coefficients'!$F:$F,$F22+1)*($D22^INDEX('R1. Tree Coefficients'!$G:$G,$F22+1))*($E22^INDEX('R1. Tree Coefficients'!$H:$H,$F22+1)),INDEX('R1. Tree Coefficients'!$D:$D,$F22+1)*($D22^INDEX('R1. Tree Coefficients'!$E:$E,$F22+1))))</f>
        <v>32.4757728585192</v>
      </c>
      <c r="J22" s="14" t="n">
        <f aca="false">IF(OR($D22="",$F22=""),"",IF($E22&gt;0,INDEX('R1. Tree Coefficients'!$F:$F,$F22+2)*($D22^INDEX('R1. Tree Coefficients'!$G:$G,$F22+2))*($E22^INDEX('R1. Tree Coefficients'!$H:$H,$F22+2)),INDEX('R1. Tree Coefficients'!$D:$D,$F22+2)*($D22^INDEX('R1. Tree Coefficients'!$E:$E,$F22+2))))</f>
        <v>41.2592604177181</v>
      </c>
      <c r="K22" s="14" t="n">
        <f aca="false">IF(OR($D22="",$F22=""),"",IF($E22&gt;0,INDEX('R1. Tree Coefficients'!$F:$F,$F22+3)*($D22^INDEX('R1. Tree Coefficients'!$G:$G,$F22+3))*($E22^INDEX('R1. Tree Coefficients'!$H:$H,$F22+3)),INDEX('R1. Tree Coefficients'!$D:$D,$F22+3)*($D22^INDEX('R1. Tree Coefficients'!$E:$E,$F22+3))))</f>
        <v>26.8953026792289</v>
      </c>
      <c r="L22" s="14" t="n">
        <f aca="false">IF($F22="","",IFERROR(SUM($H22:$K22),""))</f>
        <v>361.460182315989</v>
      </c>
      <c r="M22" s="14" t="str">
        <f aca="false">IF($F22="","",INDEX('R1. Tree Coefficients'!$J:$J,$F22))</f>
        <v>Conifers</v>
      </c>
      <c r="N22" s="14" t="n">
        <f aca="false">IF($L22="","",IF($M22="Deciduous",BGB_RS_DECIDUOUS_a*($L22^BGB_RS_DECIDUOUS_b),IF($M22="Conifers",BGB_RS_CONIFER*$L22,AVERAGE(BGB_RS_DECIDUOUS_a*($L22^BGB_RS_DECIDUOUS_b),BGB_RS_CONIFER*$L22))))</f>
        <v>80.2441604741495</v>
      </c>
      <c r="O22" s="14" t="n">
        <f aca="false">IF($L22="","",$L22+$N22)</f>
        <v>441.704342790138</v>
      </c>
      <c r="P22" s="14" t="n">
        <f aca="false">IF($O22="","",$O22*CARBON_FRACTION_BIOMASS)</f>
        <v>220.852171395069</v>
      </c>
      <c r="Q22" s="14" t="str">
        <f aca="false">IF(AND($A22="",$C22=""),"",IF(AND($A22&lt;&gt;"",COUNTIF('1. Plot &amp; Site Log'!$A$5:$A$64,$A22)=0),"Plot ID not in Plot &amp; Site Log — this tree will not reach the summary. ","")&amp;IF($A22="","No Plot ID. ","")&amp;IF(AND($C22&lt;&gt;"",$F22=""),"Species not in the coefficient list — check the spelling against R1. ","")&amp;IF($D22="","No DBH — nothing can be calculated. ","")&amp;IF(AND($D22&lt;&gt;"",$D22&gt;QC_DBH_MAX_CM),"DBH above "&amp;QC_DBH_MAX_CM&amp;" cm — check for a transcription error. ","")&amp;IF($M22="All","Generic species: no published root:shoot applies, so below-ground biomass is the mean of the deciduous and conifer relationships. Choose a species, or Deciduous/Conifers, if you can. ","")&amp;IF(AND($O22&lt;&gt;"",$O22&gt;0,OR($N22/$O22&lt;BGB_FRACTION_MIN,$N22/$O22&gt;BGB_FRACTION_MAX)),"Below-ground share is "&amp;TEXT($N22/$O22,"0%")&amp;", outside the 18–30% the Trees guide describes. ",""))</f>
        <v/>
      </c>
    </row>
    <row r="23" customFormat="false" ht="15" hidden="false" customHeight="false" outlineLevel="0" collapsed="false">
      <c r="A23" s="13" t="s">
        <v>82</v>
      </c>
      <c r="B23" s="13" t="n">
        <v>4</v>
      </c>
      <c r="C23" s="13" t="s">
        <v>137</v>
      </c>
      <c r="D23" s="13" t="n">
        <v>17.9</v>
      </c>
      <c r="E23" s="13" t="n">
        <v>18.3</v>
      </c>
      <c r="F23" s="14" t="n">
        <f aca="false">IF($C23="","",IFERROR(12+(MATCH($C23,'R1. Tree Coefficients'!$L$12:$L$53,0)-1)*4,""))</f>
        <v>172</v>
      </c>
      <c r="G23" s="14" t="str">
        <f aca="false">IF($F23="","",IF(AND($E23&lt;&gt;"",$E23&gt;0),"DBH + height","DBH only"))</f>
        <v>DBH + height</v>
      </c>
      <c r="H23" s="14" t="n">
        <f aca="false">IF(OR($D23="",$F23=""),"",IF($E23&gt;0,INDEX('R1. Tree Coefficients'!$F:$F,$F23+0)*($D23^INDEX('R1. Tree Coefficients'!$G:$G,$F23+0))*($E23^INDEX('R1. Tree Coefficients'!$H:$H,$F23+0)),INDEX('R1. Tree Coefficients'!$D:$D,$F23+0)*($D23^INDEX('R1. Tree Coefficients'!$E:$E,$F23+0))))</f>
        <v>79.2661635109897</v>
      </c>
      <c r="I23" s="14" t="n">
        <f aca="false">IF(OR($D23="",$F23=""),"",IF($E23&gt;0,INDEX('R1. Tree Coefficients'!$F:$F,$F23+1)*($D23^INDEX('R1. Tree Coefficients'!$G:$G,$F23+1))*($E23^INDEX('R1. Tree Coefficients'!$H:$H,$F23+1)),INDEX('R1. Tree Coefficients'!$D:$D,$F23+1)*($D23^INDEX('R1. Tree Coefficients'!$E:$E,$F23+1))))</f>
        <v>10.790665532068</v>
      </c>
      <c r="J23" s="14" t="n">
        <f aca="false">IF(OR($D23="",$F23=""),"",IF($E23&gt;0,INDEX('R1. Tree Coefficients'!$F:$F,$F23+2)*($D23^INDEX('R1. Tree Coefficients'!$G:$G,$F23+2))*($E23^INDEX('R1. Tree Coefficients'!$H:$H,$F23+2)),INDEX('R1. Tree Coefficients'!$D:$D,$F23+2)*($D23^INDEX('R1. Tree Coefficients'!$E:$E,$F23+2))))</f>
        <v>9.42778775540793</v>
      </c>
      <c r="K23" s="14" t="n">
        <f aca="false">IF(OR($D23="",$F23=""),"",IF($E23&gt;0,INDEX('R1. Tree Coefficients'!$F:$F,$F23+3)*($D23^INDEX('R1. Tree Coefficients'!$G:$G,$F23+3))*($E23^INDEX('R1. Tree Coefficients'!$H:$H,$F23+3)),INDEX('R1. Tree Coefficients'!$D:$D,$F23+3)*($D23^INDEX('R1. Tree Coefficients'!$E:$E,$F23+3))))</f>
        <v>8.04789634787355</v>
      </c>
      <c r="L23" s="14" t="n">
        <f aca="false">IF($F23="","",IFERROR(SUM($H23:$K23),""))</f>
        <v>107.532513146339</v>
      </c>
      <c r="M23" s="14" t="str">
        <f aca="false">IF($F23="","",INDEX('R1. Tree Coefficients'!$J:$J,$F23))</f>
        <v>Conifers</v>
      </c>
      <c r="N23" s="14" t="n">
        <f aca="false">IF($L23="","",IF($M23="Deciduous",BGB_RS_DECIDUOUS_a*($L23^BGB_RS_DECIDUOUS_b),IF($M23="Conifers",BGB_RS_CONIFER*$L23,AVERAGE(BGB_RS_DECIDUOUS_a*($L23^BGB_RS_DECIDUOUS_b),BGB_RS_CONIFER*$L23))))</f>
        <v>23.8722179184873</v>
      </c>
      <c r="O23" s="14" t="n">
        <f aca="false">IF($L23="","",$L23+$N23)</f>
        <v>131.404731064826</v>
      </c>
      <c r="P23" s="14" t="n">
        <f aca="false">IF($O23="","",$O23*CARBON_FRACTION_BIOMASS)</f>
        <v>65.7023655324132</v>
      </c>
      <c r="Q23" s="14" t="str">
        <f aca="false">IF(AND($A23="",$C23=""),"",IF(AND($A23&lt;&gt;"",COUNTIF('1. Plot &amp; Site Log'!$A$5:$A$64,$A23)=0),"Plot ID not in Plot &amp; Site Log — this tree will not reach the summary. ","")&amp;IF($A23="","No Plot ID. ","")&amp;IF(AND($C23&lt;&gt;"",$F23=""),"Species not in the coefficient list — check the spelling against R1. ","")&amp;IF($D23="","No DBH — nothing can be calculated. ","")&amp;IF(AND($D23&lt;&gt;"",$D23&gt;QC_DBH_MAX_CM),"DBH above "&amp;QC_DBH_MAX_CM&amp;" cm — check for a transcription error. ","")&amp;IF($M23="All","Generic species: no published root:shoot applies, so below-ground biomass is the mean of the deciduous and conifer relationships. Choose a species, or Deciduous/Conifers, if you can. ","")&amp;IF(AND($O23&lt;&gt;"",$O23&gt;0,OR($N23/$O23&lt;BGB_FRACTION_MIN,$N23/$O23&gt;BGB_FRACTION_MAX)),"Below-ground share is "&amp;TEXT($N23/$O23,"0%")&amp;", outside the 18–30% the Trees guide describes. ",""))</f>
        <v/>
      </c>
    </row>
    <row r="24" customFormat="false" ht="15" hidden="false" customHeight="false" outlineLevel="0" collapsed="false">
      <c r="A24" s="13" t="s">
        <v>82</v>
      </c>
      <c r="B24" s="13" t="n">
        <v>5</v>
      </c>
      <c r="C24" s="13" t="s">
        <v>138</v>
      </c>
      <c r="D24" s="13" t="n">
        <v>13.5</v>
      </c>
      <c r="E24" s="13"/>
      <c r="F24" s="14" t="n">
        <f aca="false">IF($C24="","",IFERROR(12+(MATCH($C24,'R1. Tree Coefficients'!$L$12:$L$53,0)-1)*4,""))</f>
        <v>144</v>
      </c>
      <c r="G24" s="14" t="str">
        <f aca="false">IF($F24="","",IF(AND($E24&lt;&gt;"",$E24&gt;0),"DBH + height","DBH only"))</f>
        <v>DBH only</v>
      </c>
      <c r="H24" s="14" t="n">
        <f aca="false">IF(OR($D24="",$F24=""),"",IF($E24&gt;0,INDEX('R1. Tree Coefficients'!$F:$F,$F24+0)*($D24^INDEX('R1. Tree Coefficients'!$G:$G,$F24+0))*($E24^INDEX('R1. Tree Coefficients'!$H:$H,$F24+0)),INDEX('R1. Tree Coefficients'!$D:$D,$F24+0)*($D24^INDEX('R1. Tree Coefficients'!$E:$E,$F24+0))))</f>
        <v>38.0000489140222</v>
      </c>
      <c r="I24" s="14" t="n">
        <f aca="false">IF(OR($D24="",$F24=""),"",IF($E24&gt;0,INDEX('R1. Tree Coefficients'!$F:$F,$F24+1)*($D24^INDEX('R1. Tree Coefficients'!$G:$G,$F24+1))*($E24^INDEX('R1. Tree Coefficients'!$H:$H,$F24+1)),INDEX('R1. Tree Coefficients'!$D:$D,$F24+1)*($D24^INDEX('R1. Tree Coefficients'!$E:$E,$F24+1))))</f>
        <v>8.47425003954261</v>
      </c>
      <c r="J24" s="14" t="n">
        <f aca="false">IF(OR($D24="",$F24=""),"",IF($E24&gt;0,INDEX('R1. Tree Coefficients'!$F:$F,$F24+2)*($D24^INDEX('R1. Tree Coefficients'!$G:$G,$F24+2))*($E24^INDEX('R1. Tree Coefficients'!$H:$H,$F24+2)),INDEX('R1. Tree Coefficients'!$D:$D,$F24+2)*($D24^INDEX('R1. Tree Coefficients'!$E:$E,$F24+2))))</f>
        <v>5.69324551909438</v>
      </c>
      <c r="K24" s="14" t="n">
        <f aca="false">IF(OR($D24="",$F24=""),"",IF($E24&gt;0,INDEX('R1. Tree Coefficients'!$F:$F,$F24+3)*($D24^INDEX('R1. Tree Coefficients'!$G:$G,$F24+3))*($E24^INDEX('R1. Tree Coefficients'!$H:$H,$F24+3)),INDEX('R1. Tree Coefficients'!$D:$D,$F24+3)*($D24^INDEX('R1. Tree Coefficients'!$E:$E,$F24+3))))</f>
        <v>1.79370817331995</v>
      </c>
      <c r="L24" s="14" t="n">
        <f aca="false">IF($F24="","",IFERROR(SUM($H24:$K24),""))</f>
        <v>53.9612526459791</v>
      </c>
      <c r="M24" s="14" t="str">
        <f aca="false">IF($F24="","",INDEX('R1. Tree Coefficients'!$J:$J,$F24))</f>
        <v>Deciduous</v>
      </c>
      <c r="N24" s="14" t="n">
        <f aca="false">IF($L24="","",IF($M24="Deciduous",BGB_RS_DECIDUOUS_a*($L24^BGB_RS_DECIDUOUS_b),IF($M24="Conifers",BGB_RS_CONIFER*$L24,AVERAGE(BGB_RS_DECIDUOUS_a*($L24^BGB_RS_DECIDUOUS_b),BGB_RS_CONIFER*$L24))))</f>
        <v>18.3141453712404</v>
      </c>
      <c r="O24" s="14" t="n">
        <f aca="false">IF($L24="","",$L24+$N24)</f>
        <v>72.2753980172195</v>
      </c>
      <c r="P24" s="14" t="n">
        <f aca="false">IF($O24="","",$O24*CARBON_FRACTION_BIOMASS)</f>
        <v>36.1376990086098</v>
      </c>
      <c r="Q24" s="14" t="str">
        <f aca="false">IF(AND($A24="",$C24=""),"",IF(AND($A24&lt;&gt;"",COUNTIF('1. Plot &amp; Site Log'!$A$5:$A$64,$A24)=0),"Plot ID not in Plot &amp; Site Log — this tree will not reach the summary. ","")&amp;IF($A24="","No Plot ID. ","")&amp;IF(AND($C24&lt;&gt;"",$F24=""),"Species not in the coefficient list — check the spelling against R1. ","")&amp;IF($D24="","No DBH — nothing can be calculated. ","")&amp;IF(AND($D24&lt;&gt;"",$D24&gt;QC_DBH_MAX_CM),"DBH above "&amp;QC_DBH_MAX_CM&amp;" cm — check for a transcription error. ","")&amp;IF($M24="All","Generic species: no published root:shoot applies, so below-ground biomass is the mean of the deciduous and conifer relationships. Choose a species, or Deciduous/Conifers, if you can. ","")&amp;IF(AND($O24&lt;&gt;"",$O24&gt;0,OR($N24/$O24&lt;BGB_FRACTION_MIN,$N24/$O24&gt;BGB_FRACTION_MAX)),"Below-ground share is "&amp;TEXT($N24/$O24,"0%")&amp;", outside the 18–30% the Trees guide describes. ",""))</f>
        <v/>
      </c>
    </row>
    <row r="25" customFormat="false" ht="15" hidden="false" customHeight="false" outlineLevel="0" collapsed="false">
      <c r="A25" s="13" t="s">
        <v>82</v>
      </c>
      <c r="B25" s="13" t="n">
        <v>6</v>
      </c>
      <c r="C25" s="13" t="s">
        <v>136</v>
      </c>
      <c r="D25" s="13" t="n">
        <v>28.6</v>
      </c>
      <c r="E25" s="13"/>
      <c r="F25" s="14" t="n">
        <f aca="false">IF($C25="","",IFERROR(12+(MATCH($C25,'R1. Tree Coefficients'!$L$12:$L$53,0)-1)*4,""))</f>
        <v>24</v>
      </c>
      <c r="G25" s="14" t="str">
        <f aca="false">IF($F25="","",IF(AND($E25&lt;&gt;"",$E25&gt;0),"DBH + height","DBH only"))</f>
        <v>DBH only</v>
      </c>
      <c r="H25" s="14" t="n">
        <f aca="false">IF(OR($D25="",$F25=""),"",IF($E25&gt;0,INDEX('R1. Tree Coefficients'!$F:$F,$F25+0)*($D25^INDEX('R1. Tree Coefficients'!$G:$G,$F25+0))*($E25^INDEX('R1. Tree Coefficients'!$H:$H,$F25+0)),INDEX('R1. Tree Coefficients'!$D:$D,$F25+0)*($D25^INDEX('R1. Tree Coefficients'!$E:$E,$F25+0))))</f>
        <v>168.728651128702</v>
      </c>
      <c r="I25" s="14" t="n">
        <f aca="false">IF(OR($D25="",$F25=""),"",IF($E25&gt;0,INDEX('R1. Tree Coefficients'!$F:$F,$F25+1)*($D25^INDEX('R1. Tree Coefficients'!$G:$G,$F25+1))*($E25^INDEX('R1. Tree Coefficients'!$H:$H,$F25+1)),INDEX('R1. Tree Coefficients'!$D:$D,$F25+1)*($D25^INDEX('R1. Tree Coefficients'!$E:$E,$F25+1))))</f>
        <v>30.2571370603952</v>
      </c>
      <c r="J25" s="14" t="n">
        <f aca="false">IF(OR($D25="",$F25=""),"",IF($E25&gt;0,INDEX('R1. Tree Coefficients'!$F:$F,$F25+2)*($D25^INDEX('R1. Tree Coefficients'!$G:$G,$F25+2))*($E25^INDEX('R1. Tree Coefficients'!$H:$H,$F25+2)),INDEX('R1. Tree Coefficients'!$D:$D,$F25+2)*($D25^INDEX('R1. Tree Coefficients'!$E:$E,$F25+2))))</f>
        <v>35.0866240758264</v>
      </c>
      <c r="K25" s="14" t="n">
        <f aca="false">IF(OR($D25="",$F25=""),"",IF($E25&gt;0,INDEX('R1. Tree Coefficients'!$F:$F,$F25+3)*($D25^INDEX('R1. Tree Coefficients'!$G:$G,$F25+3))*($E25^INDEX('R1. Tree Coefficients'!$H:$H,$F25+3)),INDEX('R1. Tree Coefficients'!$D:$D,$F25+3)*($D25^INDEX('R1. Tree Coefficients'!$E:$E,$F25+3))))</f>
        <v>22.6820539124159</v>
      </c>
      <c r="L25" s="14" t="n">
        <f aca="false">IF($F25="","",IFERROR(SUM($H25:$K25),""))</f>
        <v>256.754466177339</v>
      </c>
      <c r="M25" s="14" t="str">
        <f aca="false">IF($F25="","",INDEX('R1. Tree Coefficients'!$J:$J,$F25))</f>
        <v>Conifers</v>
      </c>
      <c r="N25" s="14" t="n">
        <f aca="false">IF($L25="","",IF($M25="Deciduous",BGB_RS_DECIDUOUS_a*($L25^BGB_RS_DECIDUOUS_b),IF($M25="Conifers",BGB_RS_CONIFER*$L25,AVERAGE(BGB_RS_DECIDUOUS_a*($L25^BGB_RS_DECIDUOUS_b),BGB_RS_CONIFER*$L25))))</f>
        <v>56.9994914913693</v>
      </c>
      <c r="O25" s="14" t="n">
        <f aca="false">IF($L25="","",$L25+$N25)</f>
        <v>313.753957668708</v>
      </c>
      <c r="P25" s="14" t="n">
        <f aca="false">IF($O25="","",$O25*CARBON_FRACTION_BIOMASS)</f>
        <v>156.876978834354</v>
      </c>
      <c r="Q25" s="14" t="str">
        <f aca="false">IF(AND($A25="",$C25=""),"",IF(AND($A25&lt;&gt;"",COUNTIF('1. Plot &amp; Site Log'!$A$5:$A$64,$A25)=0),"Plot ID not in Plot &amp; Site Log — this tree will not reach the summary. ","")&amp;IF($A25="","No Plot ID. ","")&amp;IF(AND($C25&lt;&gt;"",$F25=""),"Species not in the coefficient list — check the spelling against R1. ","")&amp;IF($D25="","No DBH — nothing can be calculated. ","")&amp;IF(AND($D25&lt;&gt;"",$D25&gt;QC_DBH_MAX_CM),"DBH above "&amp;QC_DBH_MAX_CM&amp;" cm — check for a transcription error. ","")&amp;IF($M25="All","Generic species: no published root:shoot applies, so below-ground biomass is the mean of the deciduous and conifer relationships. Choose a species, or Deciduous/Conifers, if you can. ","")&amp;IF(AND($O25&lt;&gt;"",$O25&gt;0,OR($N25/$O25&lt;BGB_FRACTION_MIN,$N25/$O25&gt;BGB_FRACTION_MAX)),"Below-ground share is "&amp;TEXT($N25/$O25,"0%")&amp;", outside the 18–30% the Trees guide describes. ",""))</f>
        <v/>
      </c>
    </row>
    <row r="26" customFormat="false" ht="15" hidden="false" customHeight="false" outlineLevel="0" collapsed="false">
      <c r="A26" s="13" t="s">
        <v>82</v>
      </c>
      <c r="B26" s="13" t="n">
        <v>7</v>
      </c>
      <c r="C26" s="13" t="s">
        <v>138</v>
      </c>
      <c r="D26" s="13" t="n">
        <v>57.3</v>
      </c>
      <c r="E26" s="13" t="n">
        <v>23.6</v>
      </c>
      <c r="F26" s="14" t="n">
        <f aca="false">IF($C26="","",IFERROR(12+(MATCH($C26,'R1. Tree Coefficients'!$L$12:$L$53,0)-1)*4,""))</f>
        <v>144</v>
      </c>
      <c r="G26" s="14" t="str">
        <f aca="false">IF($F26="","",IF(AND($E26&lt;&gt;"",$E26&gt;0),"DBH + height","DBH only"))</f>
        <v>DBH + height</v>
      </c>
      <c r="H26" s="14" t="n">
        <f aca="false">IF(OR($D26="",$F26=""),"",IF($E26&gt;0,INDEX('R1. Tree Coefficients'!$F:$F,$F26+0)*($D26^INDEX('R1. Tree Coefficients'!$G:$G,$F26+0))*($E26^INDEX('R1. Tree Coefficients'!$H:$H,$F26+0)),INDEX('R1. Tree Coefficients'!$D:$D,$F26+0)*($D26^INDEX('R1. Tree Coefficients'!$E:$E,$F26+0))))</f>
        <v>1030.64555057125</v>
      </c>
      <c r="I26" s="14" t="n">
        <f aca="false">IF(OR($D26="",$F26=""),"",IF($E26&gt;0,INDEX('R1. Tree Coefficients'!$F:$F,$F26+1)*($D26^INDEX('R1. Tree Coefficients'!$G:$G,$F26+1))*($E26^INDEX('R1. Tree Coefficients'!$H:$H,$F26+1)),INDEX('R1. Tree Coefficients'!$D:$D,$F26+1)*($D26^INDEX('R1. Tree Coefficients'!$E:$E,$F26+1))))</f>
        <v>231.777843847753</v>
      </c>
      <c r="J26" s="14" t="n">
        <f aca="false">IF(OR($D26="",$F26=""),"",IF($E26&gt;0,INDEX('R1. Tree Coefficients'!$F:$F,$F26+2)*($D26^INDEX('R1. Tree Coefficients'!$G:$G,$F26+2))*($E26^INDEX('R1. Tree Coefficients'!$H:$H,$F26+2)),INDEX('R1. Tree Coefficients'!$D:$D,$F26+2)*($D26^INDEX('R1. Tree Coefficients'!$E:$E,$F26+2))))</f>
        <v>263.594779695131</v>
      </c>
      <c r="K26" s="14" t="n">
        <f aca="false">IF(OR($D26="",$F26=""),"",IF($E26&gt;0,INDEX('R1. Tree Coefficients'!$F:$F,$F26+3)*($D26^INDEX('R1. Tree Coefficients'!$G:$G,$F26+3))*($E26^INDEX('R1. Tree Coefficients'!$H:$H,$F26+3)),INDEX('R1. Tree Coefficients'!$D:$D,$F26+3)*($D26^INDEX('R1. Tree Coefficients'!$E:$E,$F26+3))))</f>
        <v>18.6158145741255</v>
      </c>
      <c r="L26" s="14" t="n">
        <f aca="false">IF($F26="","",IFERROR(SUM($H26:$K26),""))</f>
        <v>1544.63398868826</v>
      </c>
      <c r="M26" s="14" t="str">
        <f aca="false">IF($F26="","",INDEX('R1. Tree Coefficients'!$J:$J,$F26))</f>
        <v>Deciduous</v>
      </c>
      <c r="N26" s="14" t="n">
        <f aca="false">IF($L26="","",IF($M26="Deciduous",BGB_RS_DECIDUOUS_a*($L26^BGB_RS_DECIDUOUS_b),IF($M26="Conifers",BGB_RS_CONIFER*$L26,AVERAGE(BGB_RS_DECIDUOUS_a*($L26^BGB_RS_DECIDUOUS_b),BGB_RS_CONIFER*$L26))))</f>
        <v>144.106625695379</v>
      </c>
      <c r="O26" s="14" t="n">
        <f aca="false">IF($L26="","",$L26+$N26)</f>
        <v>1688.74061438364</v>
      </c>
      <c r="P26" s="14" t="n">
        <f aca="false">IF($O26="","",$O26*CARBON_FRACTION_BIOMASS)</f>
        <v>844.37030719182</v>
      </c>
      <c r="Q26" s="14" t="str">
        <f aca="false">IF(AND($A26="",$C26=""),"",IF(AND($A26&lt;&gt;"",COUNTIF('1. Plot &amp; Site Log'!$A$5:$A$64,$A26)=0),"Plot ID not in Plot &amp; Site Log — this tree will not reach the summary. ","")&amp;IF($A26="","No Plot ID. ","")&amp;IF(AND($C26&lt;&gt;"",$F26=""),"Species not in the coefficient list — check the spelling against R1. ","")&amp;IF($D26="","No DBH — nothing can be calculated. ","")&amp;IF(AND($D26&lt;&gt;"",$D26&gt;QC_DBH_MAX_CM),"DBH above "&amp;QC_DBH_MAX_CM&amp;" cm — check for a transcription error. ","")&amp;IF($M26="All","Generic species: no published root:shoot applies, so below-ground biomass is the mean of the deciduous and conifer relationships. Choose a species, or Deciduous/Conifers, if you can. ","")&amp;IF(AND($O26&lt;&gt;"",$O26&gt;0,OR($N26/$O26&lt;BGB_FRACTION_MIN,$N26/$O26&gt;BGB_FRACTION_MAX)),"Below-ground share is "&amp;TEXT($N26/$O26,"0%")&amp;", outside the 18–30% the Trees guide describes. ",""))</f>
        <v>Below-ground share is 9%, outside the 18–30% the Trees guide describes. </v>
      </c>
    </row>
    <row r="27" customFormat="false" ht="15" hidden="false" customHeight="false" outlineLevel="0" collapsed="false">
      <c r="A27" s="13" t="s">
        <v>82</v>
      </c>
      <c r="B27" s="13" t="n">
        <v>8</v>
      </c>
      <c r="C27" s="13" t="s">
        <v>138</v>
      </c>
      <c r="D27" s="13" t="n">
        <v>9.6</v>
      </c>
      <c r="E27" s="13"/>
      <c r="F27" s="14" t="n">
        <f aca="false">IF($C27="","",IFERROR(12+(MATCH($C27,'R1. Tree Coefficients'!$L$12:$L$53,0)-1)*4,""))</f>
        <v>144</v>
      </c>
      <c r="G27" s="14" t="str">
        <f aca="false">IF($F27="","",IF(AND($E27&lt;&gt;"",$E27&gt;0),"DBH + height","DBH only"))</f>
        <v>DBH only</v>
      </c>
      <c r="H27" s="14" t="n">
        <f aca="false">IF(OR($D27="",$F27=""),"",IF($E27&gt;0,INDEX('R1. Tree Coefficients'!$F:$F,$F27+0)*($D27^INDEX('R1. Tree Coefficients'!$G:$G,$F27+0))*($E27^INDEX('R1. Tree Coefficients'!$H:$H,$F27+0)),INDEX('R1. Tree Coefficients'!$D:$D,$F27+0)*($D27^INDEX('R1. Tree Coefficients'!$E:$E,$F27+0))))</f>
        <v>16.3512694096746</v>
      </c>
      <c r="I27" s="14" t="n">
        <f aca="false">IF(OR($D27="",$F27=""),"",IF($E27&gt;0,INDEX('R1. Tree Coefficients'!$F:$F,$F27+1)*($D27^INDEX('R1. Tree Coefficients'!$G:$G,$F27+1))*($E27^INDEX('R1. Tree Coefficients'!$H:$H,$F27+1)),INDEX('R1. Tree Coefficients'!$D:$D,$F27+1)*($D27^INDEX('R1. Tree Coefficients'!$E:$E,$F27+1))))</f>
        <v>3.72331705599578</v>
      </c>
      <c r="J27" s="14" t="n">
        <f aca="false">IF(OR($D27="",$F27=""),"",IF($E27&gt;0,INDEX('R1. Tree Coefficients'!$F:$F,$F27+2)*($D27^INDEX('R1. Tree Coefficients'!$G:$G,$F27+2))*($E27^INDEX('R1. Tree Coefficients'!$H:$H,$F27+2)),INDEX('R1. Tree Coefficients'!$D:$D,$F27+2)*($D27^INDEX('R1. Tree Coefficients'!$E:$E,$F27+2))))</f>
        <v>2.41627024101327</v>
      </c>
      <c r="K27" s="14" t="n">
        <f aca="false">IF(OR($D27="",$F27=""),"",IF($E27&gt;0,INDEX('R1. Tree Coefficients'!$F:$F,$F27+3)*($D27^INDEX('R1. Tree Coefficients'!$G:$G,$F27+3))*($E27^INDEX('R1. Tree Coefficients'!$H:$H,$F27+3)),INDEX('R1. Tree Coefficients'!$D:$D,$F27+3)*($D27^INDEX('R1. Tree Coefficients'!$E:$E,$F27+3))))</f>
        <v>1.01657360224505</v>
      </c>
      <c r="L27" s="14" t="n">
        <f aca="false">IF($F27="","",IFERROR(SUM($H27:$K27),""))</f>
        <v>23.5074303089287</v>
      </c>
      <c r="M27" s="14" t="str">
        <f aca="false">IF($F27="","",INDEX('R1. Tree Coefficients'!$J:$J,$F27))</f>
        <v>Deciduous</v>
      </c>
      <c r="N27" s="14" t="n">
        <f aca="false">IF($L27="","",IF($M27="Deciduous",BGB_RS_DECIDUOUS_a*($L27^BGB_RS_DECIDUOUS_b),IF($M27="Conifers",BGB_RS_CONIFER*$L27,AVERAGE(BGB_RS_DECIDUOUS_a*($L27^BGB_RS_DECIDUOUS_b),BGB_RS_CONIFER*$L27))))</f>
        <v>10.9861970637277</v>
      </c>
      <c r="O27" s="14" t="n">
        <f aca="false">IF($L27="","",$L27+$N27)</f>
        <v>34.4936273726564</v>
      </c>
      <c r="P27" s="14" t="n">
        <f aca="false">IF($O27="","",$O27*CARBON_FRACTION_BIOMASS)</f>
        <v>17.2468136863282</v>
      </c>
      <c r="Q27" s="14" t="str">
        <f aca="false">IF(AND($A27="",$C27=""),"",IF(AND($A27&lt;&gt;"",COUNTIF('1. Plot &amp; Site Log'!$A$5:$A$64,$A27)=0),"Plot ID not in Plot &amp; Site Log — this tree will not reach the summary. ","")&amp;IF($A27="","No Plot ID. ","")&amp;IF(AND($C27&lt;&gt;"",$F27=""),"Species not in the coefficient list — check the spelling against R1. ","")&amp;IF($D27="","No DBH — nothing can be calculated. ","")&amp;IF(AND($D27&lt;&gt;"",$D27&gt;QC_DBH_MAX_CM),"DBH above "&amp;QC_DBH_MAX_CM&amp;" cm — check for a transcription error. ","")&amp;IF($M27="All","Generic species: no published root:shoot applies, so below-ground biomass is the mean of the deciduous and conifer relationships. Choose a species, or Deciduous/Conifers, if you can. ","")&amp;IF(AND($O27&lt;&gt;"",$O27&gt;0,OR($N27/$O27&lt;BGB_FRACTION_MIN,$N27/$O27&gt;BGB_FRACTION_MAX)),"Below-ground share is "&amp;TEXT($N27/$O27,"0%")&amp;", outside the 18–30% the Trees guide describes. ",""))</f>
        <v/>
      </c>
    </row>
    <row r="28" customFormat="false" ht="15" hidden="false" customHeight="false" outlineLevel="0" collapsed="false">
      <c r="A28" s="13" t="s">
        <v>82</v>
      </c>
      <c r="B28" s="13" t="n">
        <v>9</v>
      </c>
      <c r="C28" s="13" t="s">
        <v>136</v>
      </c>
      <c r="D28" s="13" t="n">
        <v>11.2</v>
      </c>
      <c r="E28" s="13"/>
      <c r="F28" s="14" t="n">
        <f aca="false">IF($C28="","",IFERROR(12+(MATCH($C28,'R1. Tree Coefficients'!$L$12:$L$53,0)-1)*4,""))</f>
        <v>24</v>
      </c>
      <c r="G28" s="14" t="str">
        <f aca="false">IF($F28="","",IF(AND($E28&lt;&gt;"",$E28&gt;0),"DBH + height","DBH only"))</f>
        <v>DBH only</v>
      </c>
      <c r="H28" s="14" t="n">
        <f aca="false">IF(OR($D28="",$F28=""),"",IF($E28&gt;0,INDEX('R1. Tree Coefficients'!$F:$F,$F28+0)*($D28^INDEX('R1. Tree Coefficients'!$G:$G,$F28+0))*($E28^INDEX('R1. Tree Coefficients'!$H:$H,$F28+0)),INDEX('R1. Tree Coefficients'!$D:$D,$F28+0)*($D28^INDEX('R1. Tree Coefficients'!$E:$E,$F28+0))))</f>
        <v>17.7342230114819</v>
      </c>
      <c r="I28" s="14" t="n">
        <f aca="false">IF(OR($D28="",$F28=""),"",IF($E28&gt;0,INDEX('R1. Tree Coefficients'!$F:$F,$F28+1)*($D28^INDEX('R1. Tree Coefficients'!$G:$G,$F28+1))*($E28^INDEX('R1. Tree Coefficients'!$H:$H,$F28+1)),INDEX('R1. Tree Coefficients'!$D:$D,$F28+1)*($D28^INDEX('R1. Tree Coefficients'!$E:$E,$F28+1))))</f>
        <v>3.34719831937411</v>
      </c>
      <c r="J28" s="14" t="n">
        <f aca="false">IF(OR($D28="",$F28=""),"",IF($E28&gt;0,INDEX('R1. Tree Coefficients'!$F:$F,$F28+2)*($D28^INDEX('R1. Tree Coefficients'!$G:$G,$F28+2))*($E28^INDEX('R1. Tree Coefficients'!$H:$H,$F28+2)),INDEX('R1. Tree Coefficients'!$D:$D,$F28+2)*($D28^INDEX('R1. Tree Coefficients'!$E:$E,$F28+2))))</f>
        <v>3.24146508791018</v>
      </c>
      <c r="K28" s="14" t="n">
        <f aca="false">IF(OR($D28="",$F28=""),"",IF($E28&gt;0,INDEX('R1. Tree Coefficients'!$F:$F,$F28+3)*($D28^INDEX('R1. Tree Coefficients'!$G:$G,$F28+3))*($E28^INDEX('R1. Tree Coefficients'!$H:$H,$F28+3)),INDEX('R1. Tree Coefficients'!$D:$D,$F28+3)*($D28^INDEX('R1. Tree Coefficients'!$E:$E,$F28+3))))</f>
        <v>4.74186051655565</v>
      </c>
      <c r="L28" s="14" t="n">
        <f aca="false">IF($F28="","",IFERROR(SUM($H28:$K28),""))</f>
        <v>29.0647469353218</v>
      </c>
      <c r="M28" s="14" t="str">
        <f aca="false">IF($F28="","",INDEX('R1. Tree Coefficients'!$J:$J,$F28))</f>
        <v>Conifers</v>
      </c>
      <c r="N28" s="14" t="n">
        <f aca="false">IF($L28="","",IF($M28="Deciduous",BGB_RS_DECIDUOUS_a*($L28^BGB_RS_DECIDUOUS_b),IF($M28="Conifers",BGB_RS_CONIFER*$L28,AVERAGE(BGB_RS_DECIDUOUS_a*($L28^BGB_RS_DECIDUOUS_b),BGB_RS_CONIFER*$L28))))</f>
        <v>6.45237381964144</v>
      </c>
      <c r="O28" s="14" t="n">
        <f aca="false">IF($L28="","",$L28+$N28)</f>
        <v>35.5171207549633</v>
      </c>
      <c r="P28" s="14" t="n">
        <f aca="false">IF($O28="","",$O28*CARBON_FRACTION_BIOMASS)</f>
        <v>17.7585603774816</v>
      </c>
      <c r="Q28" s="14" t="str">
        <f aca="false">IF(AND($A28="",$C28=""),"",IF(AND($A28&lt;&gt;"",COUNTIF('1. Plot &amp; Site Log'!$A$5:$A$64,$A28)=0),"Plot ID not in Plot &amp; Site Log — this tree will not reach the summary. ","")&amp;IF($A28="","No Plot ID. ","")&amp;IF(AND($C28&lt;&gt;"",$F28=""),"Species not in the coefficient list — check the spelling against R1. ","")&amp;IF($D28="","No DBH — nothing can be calculated. ","")&amp;IF(AND($D28&lt;&gt;"",$D28&gt;QC_DBH_MAX_CM),"DBH above "&amp;QC_DBH_MAX_CM&amp;" cm — check for a transcription error. ","")&amp;IF($M28="All","Generic species: no published root:shoot applies, so below-ground biomass is the mean of the deciduous and conifer relationships. Choose a species, or Deciduous/Conifers, if you can. ","")&amp;IF(AND($O28&lt;&gt;"",$O28&gt;0,OR($N28/$O28&lt;BGB_FRACTION_MIN,$N28/$O28&gt;BGB_FRACTION_MAX)),"Below-ground share is "&amp;TEXT($N28/$O28,"0%")&amp;", outside the 18–30% the Trees guide describes. ",""))</f>
        <v/>
      </c>
    </row>
    <row r="29" customFormat="false" ht="15" hidden="false" customHeight="false" outlineLevel="0" collapsed="false">
      <c r="A29" s="13" t="s">
        <v>82</v>
      </c>
      <c r="B29" s="13" t="n">
        <v>10</v>
      </c>
      <c r="C29" s="13" t="s">
        <v>134</v>
      </c>
      <c r="D29" s="13" t="n">
        <v>24.6</v>
      </c>
      <c r="E29" s="13" t="n">
        <v>20.1</v>
      </c>
      <c r="F29" s="14" t="n">
        <f aca="false">IF($C29="","",IFERROR(12+(MATCH($C29,'R1. Tree Coefficients'!$L$12:$L$53,0)-1)*4,""))</f>
        <v>160</v>
      </c>
      <c r="G29" s="14" t="str">
        <f aca="false">IF($F29="","",IF(AND($E29&lt;&gt;"",$E29&gt;0),"DBH + height","DBH only"))</f>
        <v>DBH + height</v>
      </c>
      <c r="H29" s="14" t="n">
        <f aca="false">IF(OR($D29="",$F29=""),"",IF($E29&gt;0,INDEX('R1. Tree Coefficients'!$F:$F,$F29+0)*($D29^INDEX('R1. Tree Coefficients'!$G:$G,$F29+0))*($E29^INDEX('R1. Tree Coefficients'!$H:$H,$F29+0)),INDEX('R1. Tree Coefficients'!$D:$D,$F29+0)*($D29^INDEX('R1. Tree Coefficients'!$E:$E,$F29+0))))</f>
        <v>200.614135167799</v>
      </c>
      <c r="I29" s="14" t="n">
        <f aca="false">IF(OR($D29="",$F29=""),"",IF($E29&gt;0,INDEX('R1. Tree Coefficients'!$F:$F,$F29+1)*($D29^INDEX('R1. Tree Coefficients'!$G:$G,$F29+1))*($E29^INDEX('R1. Tree Coefficients'!$H:$H,$F29+1)),INDEX('R1. Tree Coefficients'!$D:$D,$F29+1)*($D29^INDEX('R1. Tree Coefficients'!$E:$E,$F29+1))))</f>
        <v>33.1335369375386</v>
      </c>
      <c r="J29" s="14" t="n">
        <f aca="false">IF(OR($D29="",$F29=""),"",IF($E29&gt;0,INDEX('R1. Tree Coefficients'!$F:$F,$F29+2)*($D29^INDEX('R1. Tree Coefficients'!$G:$G,$F29+2))*($E29^INDEX('R1. Tree Coefficients'!$H:$H,$F29+2)),INDEX('R1. Tree Coefficients'!$D:$D,$F29+2)*($D29^INDEX('R1. Tree Coefficients'!$E:$E,$F29+2))))</f>
        <v>40.1214677964685</v>
      </c>
      <c r="K29" s="14" t="n">
        <f aca="false">IF(OR($D29="",$F29=""),"",IF($E29&gt;0,INDEX('R1. Tree Coefficients'!$F:$F,$F29+3)*($D29^INDEX('R1. Tree Coefficients'!$G:$G,$F29+3))*($E29^INDEX('R1. Tree Coefficients'!$H:$H,$F29+3)),INDEX('R1. Tree Coefficients'!$D:$D,$F29+3)*($D29^INDEX('R1. Tree Coefficients'!$E:$E,$F29+3))))</f>
        <v>8.03589484572376</v>
      </c>
      <c r="L29" s="14" t="n">
        <f aca="false">IF($F29="","",IFERROR(SUM($H29:$K29),""))</f>
        <v>281.90503474753</v>
      </c>
      <c r="M29" s="14" t="str">
        <f aca="false">IF($F29="","",INDEX('R1. Tree Coefficients'!$J:$J,$F29))</f>
        <v>Deciduous</v>
      </c>
      <c r="N29" s="14" t="n">
        <f aca="false">IF($L29="","",IF($M29="Deciduous",BGB_RS_DECIDUOUS_a*($L29^BGB_RS_DECIDUOUS_b),IF($M29="Conifers",BGB_RS_CONIFER*$L29,AVERAGE(BGB_RS_DECIDUOUS_a*($L29^BGB_RS_DECIDUOUS_b),BGB_RS_CONIFER*$L29))))</f>
        <v>50.625515096011</v>
      </c>
      <c r="O29" s="14" t="n">
        <f aca="false">IF($L29="","",$L29+$N29)</f>
        <v>332.530549843541</v>
      </c>
      <c r="P29" s="14" t="n">
        <f aca="false">IF($O29="","",$O29*CARBON_FRACTION_BIOMASS)</f>
        <v>166.26527492177</v>
      </c>
      <c r="Q29" s="14" t="str">
        <f aca="false">IF(AND($A29="",$C29=""),"",IF(AND($A29&lt;&gt;"",COUNTIF('1. Plot &amp; Site Log'!$A$5:$A$64,$A29)=0),"Plot ID not in Plot &amp; Site Log — this tree will not reach the summary. ","")&amp;IF($A29="","No Plot ID. ","")&amp;IF(AND($C29&lt;&gt;"",$F29=""),"Species not in the coefficient list — check the spelling against R1. ","")&amp;IF($D29="","No DBH — nothing can be calculated. ","")&amp;IF(AND($D29&lt;&gt;"",$D29&gt;QC_DBH_MAX_CM),"DBH above "&amp;QC_DBH_MAX_CM&amp;" cm — check for a transcription error. ","")&amp;IF($M29="All","Generic species: no published root:shoot applies, so below-ground biomass is the mean of the deciduous and conifer relationships. Choose a species, or Deciduous/Conifers, if you can. ","")&amp;IF(AND($O29&lt;&gt;"",$O29&gt;0,OR($N29/$O29&lt;BGB_FRACTION_MIN,$N29/$O29&gt;BGB_FRACTION_MAX)),"Below-ground share is "&amp;TEXT($N29/$O29,"0%")&amp;", outside the 18–30% the Trees guide describes. ",""))</f>
        <v/>
      </c>
    </row>
    <row r="30" customFormat="false" ht="15" hidden="false" customHeight="false" outlineLevel="0" collapsed="false">
      <c r="A30" s="13" t="s">
        <v>82</v>
      </c>
      <c r="B30" s="13" t="n">
        <v>11</v>
      </c>
      <c r="C30" s="13" t="s">
        <v>138</v>
      </c>
      <c r="D30" s="13" t="n">
        <v>8.6</v>
      </c>
      <c r="E30" s="13"/>
      <c r="F30" s="14" t="n">
        <f aca="false">IF($C30="","",IFERROR(12+(MATCH($C30,'R1. Tree Coefficients'!$L$12:$L$53,0)-1)*4,""))</f>
        <v>144</v>
      </c>
      <c r="G30" s="14" t="str">
        <f aca="false">IF($F30="","",IF(AND($E30&lt;&gt;"",$E30&gt;0),"DBH + height","DBH only"))</f>
        <v>DBH only</v>
      </c>
      <c r="H30" s="14" t="n">
        <f aca="false">IF(OR($D30="",$F30=""),"",IF($E30&gt;0,INDEX('R1. Tree Coefficients'!$F:$F,$F30+0)*($D30^INDEX('R1. Tree Coefficients'!$G:$G,$F30+0))*($E30^INDEX('R1. Tree Coefficients'!$H:$H,$F30+0)),INDEX('R1. Tree Coefficients'!$D:$D,$F30+0)*($D30^INDEX('R1. Tree Coefficients'!$E:$E,$F30+0))))</f>
        <v>12.456197867879</v>
      </c>
      <c r="I30" s="14" t="n">
        <f aca="false">IF(OR($D30="",$F30=""),"",IF($E30&gt;0,INDEX('R1. Tree Coefficients'!$F:$F,$F30+1)*($D30^INDEX('R1. Tree Coefficients'!$G:$G,$F30+1))*($E30^INDEX('R1. Tree Coefficients'!$H:$H,$F30+1)),INDEX('R1. Tree Coefficients'!$D:$D,$F30+1)*($D30^INDEX('R1. Tree Coefficients'!$E:$E,$F30+1))))</f>
        <v>2.85553664784801</v>
      </c>
      <c r="J30" s="14" t="n">
        <f aca="false">IF(OR($D30="",$F30=""),"",IF($E30&gt;0,INDEX('R1. Tree Coefficients'!$F:$F,$F30+2)*($D30^INDEX('R1. Tree Coefficients'!$G:$G,$F30+2))*($E30^INDEX('R1. Tree Coefficients'!$H:$H,$F30+2)),INDEX('R1. Tree Coefficients'!$D:$D,$F30+2)*($D30^INDEX('R1. Tree Coefficients'!$E:$E,$F30+2))))</f>
        <v>1.83252331556509</v>
      </c>
      <c r="K30" s="14" t="n">
        <f aca="false">IF(OR($D30="",$F30=""),"",IF($E30&gt;0,INDEX('R1. Tree Coefficients'!$F:$F,$F30+3)*($D30^INDEX('R1. Tree Coefficients'!$G:$G,$F30+3))*($E30^INDEX('R1. Tree Coefficients'!$H:$H,$F30+3)),INDEX('R1. Tree Coefficients'!$D:$D,$F30+3)*($D30^INDEX('R1. Tree Coefficients'!$E:$E,$F30+3))))</f>
        <v>0.846386022492334</v>
      </c>
      <c r="L30" s="14" t="n">
        <f aca="false">IF($F30="","",IFERROR(SUM($H30:$K30),""))</f>
        <v>17.9906438537844</v>
      </c>
      <c r="M30" s="14" t="str">
        <f aca="false">IF($F30="","",INDEX('R1. Tree Coefficients'!$J:$J,$F30))</f>
        <v>Deciduous</v>
      </c>
      <c r="N30" s="14" t="n">
        <f aca="false">IF($L30="","",IF($M30="Deciduous",BGB_RS_DECIDUOUS_a*($L30^BGB_RS_DECIDUOUS_b),IF($M30="Conifers",BGB_RS_CONIFER*$L30,AVERAGE(BGB_RS_DECIDUOUS_a*($L30^BGB_RS_DECIDUOUS_b),BGB_RS_CONIFER*$L30))))</f>
        <v>9.31987178011477</v>
      </c>
      <c r="O30" s="14" t="n">
        <f aca="false">IF($L30="","",$L30+$N30)</f>
        <v>27.3105156338992</v>
      </c>
      <c r="P30" s="14" t="n">
        <f aca="false">IF($O30="","",$O30*CARBON_FRACTION_BIOMASS)</f>
        <v>13.6552578169496</v>
      </c>
      <c r="Q30" s="14" t="str">
        <f aca="false">IF(AND($A30="",$C30=""),"",IF(AND($A30&lt;&gt;"",COUNTIF('1. Plot &amp; Site Log'!$A$5:$A$64,$A30)=0),"Plot ID not in Plot &amp; Site Log — this tree will not reach the summary. ","")&amp;IF($A30="","No Plot ID. ","")&amp;IF(AND($C30&lt;&gt;"",$F30=""),"Species not in the coefficient list — check the spelling against R1. ","")&amp;IF($D30="","No DBH — nothing can be calculated. ","")&amp;IF(AND($D30&lt;&gt;"",$D30&gt;QC_DBH_MAX_CM),"DBH above "&amp;QC_DBH_MAX_CM&amp;" cm — check for a transcription error. ","")&amp;IF($M30="All","Generic species: no published root:shoot applies, so below-ground biomass is the mean of the deciduous and conifer relationships. Choose a species, or Deciduous/Conifers, if you can. ","")&amp;IF(AND($O30&lt;&gt;"",$O30&gt;0,OR($N30/$O30&lt;BGB_FRACTION_MIN,$N30/$O30&gt;BGB_FRACTION_MAX)),"Below-ground share is "&amp;TEXT($N30/$O30,"0%")&amp;", outside the 18–30% the Trees guide describes. ",""))</f>
        <v/>
      </c>
    </row>
    <row r="31" customFormat="false" ht="15" hidden="false" customHeight="false" outlineLevel="0" collapsed="false">
      <c r="A31" s="13" t="s">
        <v>82</v>
      </c>
      <c r="B31" s="13" t="n">
        <v>12</v>
      </c>
      <c r="C31" s="13" t="s">
        <v>138</v>
      </c>
      <c r="D31" s="13" t="n">
        <v>36.9</v>
      </c>
      <c r="E31" s="13"/>
      <c r="F31" s="14" t="n">
        <f aca="false">IF($C31="","",IFERROR(12+(MATCH($C31,'R1. Tree Coefficients'!$L$12:$L$53,0)-1)*4,""))</f>
        <v>144</v>
      </c>
      <c r="G31" s="14" t="str">
        <f aca="false">IF($F31="","",IF(AND($E31&lt;&gt;"",$E31&gt;0),"DBH + height","DBH only"))</f>
        <v>DBH only</v>
      </c>
      <c r="H31" s="14" t="n">
        <f aca="false">IF(OR($D31="",$F31=""),"",IF($E31&gt;0,INDEX('R1. Tree Coefficients'!$F:$F,$F31+0)*($D31^INDEX('R1. Tree Coefficients'!$G:$G,$F31+0))*($E31^INDEX('R1. Tree Coefficients'!$H:$H,$F31+0)),INDEX('R1. Tree Coefficients'!$D:$D,$F31+0)*($D31^INDEX('R1. Tree Coefficients'!$E:$E,$F31+0))))</f>
        <v>457.028513397903</v>
      </c>
      <c r="I31" s="14" t="n">
        <f aca="false">IF(OR($D31="",$F31=""),"",IF($E31&gt;0,INDEX('R1. Tree Coefficients'!$F:$F,$F31+1)*($D31^INDEX('R1. Tree Coefficients'!$G:$G,$F31+1))*($E31^INDEX('R1. Tree Coefficients'!$H:$H,$F31+1)),INDEX('R1. Tree Coefficients'!$D:$D,$F31+1)*($D31^INDEX('R1. Tree Coefficients'!$E:$E,$F31+1))))</f>
        <v>95.8373568139429</v>
      </c>
      <c r="J31" s="14" t="n">
        <f aca="false">IF(OR($D31="",$F31=""),"",IF($E31&gt;0,INDEX('R1. Tree Coefficients'!$F:$F,$F31+2)*($D31^INDEX('R1. Tree Coefficients'!$G:$G,$F31+2))*($E31^INDEX('R1. Tree Coefficients'!$H:$H,$F31+2)),INDEX('R1. Tree Coefficients'!$D:$D,$F31+2)*($D31^INDEX('R1. Tree Coefficients'!$E:$E,$F31+2))))</f>
        <v>71.3118058362024</v>
      </c>
      <c r="K31" s="14" t="n">
        <f aca="false">IF(OR($D31="",$F31=""),"",IF($E31&gt;0,INDEX('R1. Tree Coefficients'!$F:$F,$F31+3)*($D31^INDEX('R1. Tree Coefficients'!$G:$G,$F31+3))*($E31^INDEX('R1. Tree Coefficients'!$H:$H,$F31+3)),INDEX('R1. Tree Coefficients'!$D:$D,$F31+3)*($D31^INDEX('R1. Tree Coefficients'!$E:$E,$F31+3))))</f>
        <v>9.57429881514545</v>
      </c>
      <c r="L31" s="14" t="n">
        <f aca="false">IF($F31="","",IFERROR(SUM($H31:$K31),""))</f>
        <v>633.751974863194</v>
      </c>
      <c r="M31" s="14" t="str">
        <f aca="false">IF($F31="","",INDEX('R1. Tree Coefficients'!$J:$J,$F31))</f>
        <v>Deciduous</v>
      </c>
      <c r="N31" s="14" t="n">
        <f aca="false">IF($L31="","",IF($M31="Deciduous",BGB_RS_DECIDUOUS_a*($L31^BGB_RS_DECIDUOUS_b),IF($M31="Conifers",BGB_RS_CONIFER*$L31,AVERAGE(BGB_RS_DECIDUOUS_a*($L31^BGB_RS_DECIDUOUS_b),BGB_RS_CONIFER*$L31))))</f>
        <v>83.3175706526831</v>
      </c>
      <c r="O31" s="14" t="n">
        <f aca="false">IF($L31="","",$L31+$N31)</f>
        <v>717.069545515877</v>
      </c>
      <c r="P31" s="14" t="n">
        <f aca="false">IF($O31="","",$O31*CARBON_FRACTION_BIOMASS)</f>
        <v>358.534772757938</v>
      </c>
      <c r="Q31" s="14" t="str">
        <f aca="false">IF(AND($A31="",$C31=""),"",IF(AND($A31&lt;&gt;"",COUNTIF('1. Plot &amp; Site Log'!$A$5:$A$64,$A31)=0),"Plot ID not in Plot &amp; Site Log — this tree will not reach the summary. ","")&amp;IF($A31="","No Plot ID. ","")&amp;IF(AND($C31&lt;&gt;"",$F31=""),"Species not in the coefficient list — check the spelling against R1. ","")&amp;IF($D31="","No DBH — nothing can be calculated. ","")&amp;IF(AND($D31&lt;&gt;"",$D31&gt;QC_DBH_MAX_CM),"DBH above "&amp;QC_DBH_MAX_CM&amp;" cm — check for a transcription error. ","")&amp;IF($M31="All","Generic species: no published root:shoot applies, so below-ground biomass is the mean of the deciduous and conifer relationships. Choose a species, or Deciduous/Conifers, if you can. ","")&amp;IF(AND($O31&lt;&gt;"",$O31&gt;0,OR($N31/$O31&lt;BGB_FRACTION_MIN,$N31/$O31&gt;BGB_FRACTION_MAX)),"Below-ground share is "&amp;TEXT($N31/$O31,"0%")&amp;", outside the 18–30% the Trees guide describes. ",""))</f>
        <v/>
      </c>
    </row>
    <row r="32" customFormat="false" ht="15" hidden="false" customHeight="false" outlineLevel="0" collapsed="false">
      <c r="A32" s="13" t="s">
        <v>82</v>
      </c>
      <c r="B32" s="13" t="n">
        <v>13</v>
      </c>
      <c r="C32" s="13" t="s">
        <v>137</v>
      </c>
      <c r="D32" s="13" t="n">
        <v>9</v>
      </c>
      <c r="E32" s="13" t="n">
        <v>13.9</v>
      </c>
      <c r="F32" s="14" t="n">
        <f aca="false">IF($C32="","",IFERROR(12+(MATCH($C32,'R1. Tree Coefficients'!$L$12:$L$53,0)-1)*4,""))</f>
        <v>172</v>
      </c>
      <c r="G32" s="14" t="str">
        <f aca="false">IF($F32="","",IF(AND($E32&lt;&gt;"",$E32&gt;0),"DBH + height","DBH only"))</f>
        <v>DBH + height</v>
      </c>
      <c r="H32" s="14" t="n">
        <f aca="false">IF(OR($D32="",$F32=""),"",IF($E32&gt;0,INDEX('R1. Tree Coefficients'!$F:$F,$F32+0)*($D32^INDEX('R1. Tree Coefficients'!$G:$G,$F32+0))*($E32^INDEX('R1. Tree Coefficients'!$H:$H,$F32+0)),INDEX('R1. Tree Coefficients'!$D:$D,$F32+0)*($D32^INDEX('R1. Tree Coefficients'!$E:$E,$F32+0))))</f>
        <v>17.6723661562839</v>
      </c>
      <c r="I32" s="14" t="n">
        <f aca="false">IF(OR($D32="",$F32=""),"",IF($E32&gt;0,INDEX('R1. Tree Coefficients'!$F:$F,$F32+1)*($D32^INDEX('R1. Tree Coefficients'!$G:$G,$F32+1))*($E32^INDEX('R1. Tree Coefficients'!$H:$H,$F32+1)),INDEX('R1. Tree Coefficients'!$D:$D,$F32+1)*($D32^INDEX('R1. Tree Coefficients'!$E:$E,$F32+1))))</f>
        <v>2.75465579680483</v>
      </c>
      <c r="J32" s="14" t="n">
        <f aca="false">IF(OR($D32="",$F32=""),"",IF($E32&gt;0,INDEX('R1. Tree Coefficients'!$F:$F,$F32+2)*($D32^INDEX('R1. Tree Coefficients'!$G:$G,$F32+2))*($E32^INDEX('R1. Tree Coefficients'!$H:$H,$F32+2)),INDEX('R1. Tree Coefficients'!$D:$D,$F32+2)*($D32^INDEX('R1. Tree Coefficients'!$E:$E,$F32+2))))</f>
        <v>1.65775780992243</v>
      </c>
      <c r="K32" s="14" t="n">
        <f aca="false">IF(OR($D32="",$F32=""),"",IF($E32&gt;0,INDEX('R1. Tree Coefficients'!$F:$F,$F32+3)*($D32^INDEX('R1. Tree Coefficients'!$G:$G,$F32+3))*($E32^INDEX('R1. Tree Coefficients'!$H:$H,$F32+3)),INDEX('R1. Tree Coefficients'!$D:$D,$F32+3)*($D32^INDEX('R1. Tree Coefficients'!$E:$E,$F32+3))))</f>
        <v>2.06764502507945</v>
      </c>
      <c r="L32" s="14" t="n">
        <f aca="false">IF($F32="","",IFERROR(SUM($H32:$K32),""))</f>
        <v>24.1524247880907</v>
      </c>
      <c r="M32" s="14" t="str">
        <f aca="false">IF($F32="","",INDEX('R1. Tree Coefficients'!$J:$J,$F32))</f>
        <v>Conifers</v>
      </c>
      <c r="N32" s="14" t="n">
        <f aca="false">IF($L32="","",IF($M32="Deciduous",BGB_RS_DECIDUOUS_a*($L32^BGB_RS_DECIDUOUS_b),IF($M32="Conifers",BGB_RS_CONIFER*$L32,AVERAGE(BGB_RS_DECIDUOUS_a*($L32^BGB_RS_DECIDUOUS_b),BGB_RS_CONIFER*$L32))))</f>
        <v>5.36183830295612</v>
      </c>
      <c r="O32" s="14" t="n">
        <f aca="false">IF($L32="","",$L32+$N32)</f>
        <v>29.5142630910468</v>
      </c>
      <c r="P32" s="14" t="n">
        <f aca="false">IF($O32="","",$O32*CARBON_FRACTION_BIOMASS)</f>
        <v>14.7571315455234</v>
      </c>
      <c r="Q32" s="14" t="str">
        <f aca="false">IF(AND($A32="",$C32=""),"",IF(AND($A32&lt;&gt;"",COUNTIF('1. Plot &amp; Site Log'!$A$5:$A$64,$A32)=0),"Plot ID not in Plot &amp; Site Log — this tree will not reach the summary. ","")&amp;IF($A32="","No Plot ID. ","")&amp;IF(AND($C32&lt;&gt;"",$F32=""),"Species not in the coefficient list — check the spelling against R1. ","")&amp;IF($D32="","No DBH — nothing can be calculated. ","")&amp;IF(AND($D32&lt;&gt;"",$D32&gt;QC_DBH_MAX_CM),"DBH above "&amp;QC_DBH_MAX_CM&amp;" cm — check for a transcription error. ","")&amp;IF($M32="All","Generic species: no published root:shoot applies, so below-ground biomass is the mean of the deciduous and conifer relationships. Choose a species, or Deciduous/Conifers, if you can. ","")&amp;IF(AND($O32&lt;&gt;"",$O32&gt;0,OR($N32/$O32&lt;BGB_FRACTION_MIN,$N32/$O32&gt;BGB_FRACTION_MAX)),"Below-ground share is "&amp;TEXT($N32/$O32,"0%")&amp;", outside the 18–30% the Trees guide describes. ",""))</f>
        <v/>
      </c>
    </row>
    <row r="33" customFormat="false" ht="15" hidden="false" customHeight="false" outlineLevel="0" collapsed="false">
      <c r="A33" s="13" t="s">
        <v>82</v>
      </c>
      <c r="B33" s="13" t="n">
        <v>14</v>
      </c>
      <c r="C33" s="13" t="s">
        <v>138</v>
      </c>
      <c r="D33" s="13" t="n">
        <v>38</v>
      </c>
      <c r="E33" s="13"/>
      <c r="F33" s="14" t="n">
        <f aca="false">IF($C33="","",IFERROR(12+(MATCH($C33,'R1. Tree Coefficients'!$L$12:$L$53,0)-1)*4,""))</f>
        <v>144</v>
      </c>
      <c r="G33" s="14" t="str">
        <f aca="false">IF($F33="","",IF(AND($E33&lt;&gt;"",$E33&gt;0),"DBH + height","DBH only"))</f>
        <v>DBH only</v>
      </c>
      <c r="H33" s="14" t="n">
        <f aca="false">IF(OR($D33="",$F33=""),"",IF($E33&gt;0,INDEX('R1. Tree Coefficients'!$F:$F,$F33+0)*($D33^INDEX('R1. Tree Coefficients'!$G:$G,$F33+0))*($E33^INDEX('R1. Tree Coefficients'!$H:$H,$F33+0)),INDEX('R1. Tree Coefficients'!$D:$D,$F33+0)*($D33^INDEX('R1. Tree Coefficients'!$E:$E,$F33+0))))</f>
        <v>491.471462611357</v>
      </c>
      <c r="I33" s="14" t="n">
        <f aca="false">IF(OR($D33="",$F33=""),"",IF($E33&gt;0,INDEX('R1. Tree Coefficients'!$F:$F,$F33+1)*($D33^INDEX('R1. Tree Coefficients'!$G:$G,$F33+1))*($E33^INDEX('R1. Tree Coefficients'!$H:$H,$F33+1)),INDEX('R1. Tree Coefficients'!$D:$D,$F33+1)*($D33^INDEX('R1. Tree Coefficients'!$E:$E,$F33+1))))</f>
        <v>102.874821445653</v>
      </c>
      <c r="J33" s="14" t="n">
        <f aca="false">IF(OR($D33="",$F33=""),"",IF($E33&gt;0,INDEX('R1. Tree Coefficients'!$F:$F,$F33+2)*($D33^INDEX('R1. Tree Coefficients'!$G:$G,$F33+2))*($E33^INDEX('R1. Tree Coefficients'!$H:$H,$F33+2)),INDEX('R1. Tree Coefficients'!$D:$D,$F33+2)*($D33^INDEX('R1. Tree Coefficients'!$E:$E,$F33+2))))</f>
        <v>76.7771233108796</v>
      </c>
      <c r="K33" s="14" t="n">
        <f aca="false">IF(OR($D33="",$F33=""),"",IF($E33&gt;0,INDEX('R1. Tree Coefficients'!$F:$F,$F33+3)*($D33^INDEX('R1. Tree Coefficients'!$G:$G,$F33+3))*($E33^INDEX('R1. Tree Coefficients'!$H:$H,$F33+3)),INDEX('R1. Tree Coefficients'!$D:$D,$F33+3)*($D33^INDEX('R1. Tree Coefficients'!$E:$E,$F33+3))))</f>
        <v>10.0543829092351</v>
      </c>
      <c r="L33" s="14" t="n">
        <f aca="false">IF($F33="","",IFERROR(SUM($H33:$K33),""))</f>
        <v>681.177790277124</v>
      </c>
      <c r="M33" s="14" t="str">
        <f aca="false">IF($F33="","",INDEX('R1. Tree Coefficients'!$J:$J,$F33))</f>
        <v>Deciduous</v>
      </c>
      <c r="N33" s="14" t="n">
        <f aca="false">IF($L33="","",IF($M33="Deciduous",BGB_RS_DECIDUOUS_a*($L33^BGB_RS_DECIDUOUS_b),IF($M33="Conifers",BGB_RS_CONIFER*$L33,AVERAGE(BGB_RS_DECIDUOUS_a*($L33^BGB_RS_DECIDUOUS_b),BGB_RS_CONIFER*$L33))))</f>
        <v>87.0986468602188</v>
      </c>
      <c r="O33" s="14" t="n">
        <f aca="false">IF($L33="","",$L33+$N33)</f>
        <v>768.276437137343</v>
      </c>
      <c r="P33" s="14" t="n">
        <f aca="false">IF($O33="","",$O33*CARBON_FRACTION_BIOMASS)</f>
        <v>384.138218568671</v>
      </c>
      <c r="Q33" s="14" t="str">
        <f aca="false">IF(AND($A33="",$C33=""),"",IF(AND($A33&lt;&gt;"",COUNTIF('1. Plot &amp; Site Log'!$A$5:$A$64,$A33)=0),"Plot ID not in Plot &amp; Site Log — this tree will not reach the summary. ","")&amp;IF($A33="","No Plot ID. ","")&amp;IF(AND($C33&lt;&gt;"",$F33=""),"Species not in the coefficient list — check the spelling against R1. ","")&amp;IF($D33="","No DBH — nothing can be calculated. ","")&amp;IF(AND($D33&lt;&gt;"",$D33&gt;QC_DBH_MAX_CM),"DBH above "&amp;QC_DBH_MAX_CM&amp;" cm — check for a transcription error. ","")&amp;IF($M33="All","Generic species: no published root:shoot applies, so below-ground biomass is the mean of the deciduous and conifer relationships. Choose a species, or Deciduous/Conifers, if you can. ","")&amp;IF(AND($O33&lt;&gt;"",$O33&gt;0,OR($N33/$O33&lt;BGB_FRACTION_MIN,$N33/$O33&gt;BGB_FRACTION_MAX)),"Below-ground share is "&amp;TEXT($N33/$O33,"0%")&amp;", outside the 18–30% the Trees guide describes. ",""))</f>
        <v/>
      </c>
    </row>
    <row r="34" customFormat="false" ht="15" hidden="false" customHeight="false" outlineLevel="0" collapsed="false">
      <c r="A34" s="13" t="s">
        <v>82</v>
      </c>
      <c r="B34" s="13" t="n">
        <v>15</v>
      </c>
      <c r="C34" s="13" t="s">
        <v>134</v>
      </c>
      <c r="D34" s="13" t="n">
        <v>10.4</v>
      </c>
      <c r="E34" s="13"/>
      <c r="F34" s="14" t="n">
        <f aca="false">IF($C34="","",IFERROR(12+(MATCH($C34,'R1. Tree Coefficients'!$L$12:$L$53,0)-1)*4,""))</f>
        <v>160</v>
      </c>
      <c r="G34" s="14" t="str">
        <f aca="false">IF($F34="","",IF(AND($E34&lt;&gt;"",$E34&gt;0),"DBH + height","DBH only"))</f>
        <v>DBH only</v>
      </c>
      <c r="H34" s="14" t="n">
        <f aca="false">IF(OR($D34="",$F34=""),"",IF($E34&gt;0,INDEX('R1. Tree Coefficients'!$F:$F,$F34+0)*($D34^INDEX('R1. Tree Coefficients'!$G:$G,$F34+0))*($E34^INDEX('R1. Tree Coefficients'!$H:$H,$F34+0)),INDEX('R1. Tree Coefficients'!$D:$D,$F34+0)*($D34^INDEX('R1. Tree Coefficients'!$E:$E,$F34+0))))</f>
        <v>20.8665403837308</v>
      </c>
      <c r="I34" s="14" t="n">
        <f aca="false">IF(OR($D34="",$F34=""),"",IF($E34&gt;0,INDEX('R1. Tree Coefficients'!$F:$F,$F34+1)*($D34^INDEX('R1. Tree Coefficients'!$G:$G,$F34+1))*($E34^INDEX('R1. Tree Coefficients'!$H:$H,$F34+1)),INDEX('R1. Tree Coefficients'!$D:$D,$F34+1)*($D34^INDEX('R1. Tree Coefficients'!$E:$E,$F34+1))))</f>
        <v>3.79469515925572</v>
      </c>
      <c r="J34" s="14" t="n">
        <f aca="false">IF(OR($D34="",$F34=""),"",IF($E34&gt;0,INDEX('R1. Tree Coefficients'!$F:$F,$F34+2)*($D34^INDEX('R1. Tree Coefficients'!$G:$G,$F34+2))*($E34^INDEX('R1. Tree Coefficients'!$H:$H,$F34+2)),INDEX('R1. Tree Coefficients'!$D:$D,$F34+2)*($D34^INDEX('R1. Tree Coefficients'!$E:$E,$F34+2))))</f>
        <v>5.40738559541049</v>
      </c>
      <c r="K34" s="14" t="n">
        <f aca="false">IF(OR($D34="",$F34=""),"",IF($E34&gt;0,INDEX('R1. Tree Coefficients'!$F:$F,$F34+3)*($D34^INDEX('R1. Tree Coefficients'!$G:$G,$F34+3))*($E34^INDEX('R1. Tree Coefficients'!$H:$H,$F34+3)),INDEX('R1. Tree Coefficients'!$D:$D,$F34+3)*($D34^INDEX('R1. Tree Coefficients'!$E:$E,$F34+3))))</f>
        <v>2.52640018101285</v>
      </c>
      <c r="L34" s="14" t="n">
        <f aca="false">IF($F34="","",IFERROR(SUM($H34:$K34),""))</f>
        <v>32.5950213194099</v>
      </c>
      <c r="M34" s="14" t="str">
        <f aca="false">IF($F34="","",INDEX('R1. Tree Coefficients'!$J:$J,$F34))</f>
        <v>Deciduous</v>
      </c>
      <c r="N34" s="14" t="n">
        <f aca="false">IF($L34="","",IF($M34="Deciduous",BGB_RS_DECIDUOUS_a*($L34^BGB_RS_DECIDUOUS_b),IF($M34="Conifers",BGB_RS_CONIFER*$L34,AVERAGE(BGB_RS_DECIDUOUS_a*($L34^BGB_RS_DECIDUOUS_b),BGB_RS_CONIFER*$L34))))</f>
        <v>13.4321101277389</v>
      </c>
      <c r="O34" s="14" t="n">
        <f aca="false">IF($L34="","",$L34+$N34)</f>
        <v>46.0271314471487</v>
      </c>
      <c r="P34" s="14" t="n">
        <f aca="false">IF($O34="","",$O34*CARBON_FRACTION_BIOMASS)</f>
        <v>23.0135657235744</v>
      </c>
      <c r="Q34" s="14" t="str">
        <f aca="false">IF(AND($A34="",$C34=""),"",IF(AND($A34&lt;&gt;"",COUNTIF('1. Plot &amp; Site Log'!$A$5:$A$64,$A34)=0),"Plot ID not in Plot &amp; Site Log — this tree will not reach the summary. ","")&amp;IF($A34="","No Plot ID. ","")&amp;IF(AND($C34&lt;&gt;"",$F34=""),"Species not in the coefficient list — check the spelling against R1. ","")&amp;IF($D34="","No DBH — nothing can be calculated. ","")&amp;IF(AND($D34&lt;&gt;"",$D34&gt;QC_DBH_MAX_CM),"DBH above "&amp;QC_DBH_MAX_CM&amp;" cm — check for a transcription error. ","")&amp;IF($M34="All","Generic species: no published root:shoot applies, so below-ground biomass is the mean of the deciduous and conifer relationships. Choose a species, or Deciduous/Conifers, if you can. ","")&amp;IF(AND($O34&lt;&gt;"",$O34&gt;0,OR($N34/$O34&lt;BGB_FRACTION_MIN,$N34/$O34&gt;BGB_FRACTION_MAX)),"Below-ground share is "&amp;TEXT($N34/$O34,"0%")&amp;", outside the 18–30% the Trees guide describes. ",""))</f>
        <v/>
      </c>
    </row>
    <row r="35" customFormat="false" ht="15" hidden="false" customHeight="false" outlineLevel="0" collapsed="false">
      <c r="A35" s="13" t="s">
        <v>83</v>
      </c>
      <c r="B35" s="13" t="n">
        <v>1</v>
      </c>
      <c r="C35" s="13" t="s">
        <v>139</v>
      </c>
      <c r="D35" s="13" t="n">
        <v>28.1</v>
      </c>
      <c r="E35" s="13" t="n">
        <v>20.7</v>
      </c>
      <c r="F35" s="14" t="n">
        <f aca="false">IF($C35="","",IFERROR(12+(MATCH($C35,'R1. Tree Coefficients'!$L$12:$L$53,0)-1)*4,""))</f>
        <v>84</v>
      </c>
      <c r="G35" s="14" t="str">
        <f aca="false">IF($F35="","",IF(AND($E35&lt;&gt;"",$E35&gt;0),"DBH + height","DBH only"))</f>
        <v>DBH + height</v>
      </c>
      <c r="H35" s="14" t="n">
        <f aca="false">IF(OR($D35="",$F35=""),"",IF($E35&gt;0,INDEX('R1. Tree Coefficients'!$F:$F,$F35+0)*($D35^INDEX('R1. Tree Coefficients'!$G:$G,$F35+0))*($E35^INDEX('R1. Tree Coefficients'!$H:$H,$F35+0)),INDEX('R1. Tree Coefficients'!$D:$D,$F35+0)*($D35^INDEX('R1. Tree Coefficients'!$E:$E,$F35+0))))</f>
        <v>242.034133937962</v>
      </c>
      <c r="I35" s="14" t="n">
        <f aca="false">IF(OR($D35="",$F35=""),"",IF($E35&gt;0,INDEX('R1. Tree Coefficients'!$F:$F,$F35+1)*($D35^INDEX('R1. Tree Coefficients'!$G:$G,$F35+1))*($E35^INDEX('R1. Tree Coefficients'!$H:$H,$F35+1)),INDEX('R1. Tree Coefficients'!$D:$D,$F35+1)*($D35^INDEX('R1. Tree Coefficients'!$E:$E,$F35+1))))</f>
        <v>17.791130098919</v>
      </c>
      <c r="J35" s="14" t="n">
        <f aca="false">IF(OR($D35="",$F35=""),"",IF($E35&gt;0,INDEX('R1. Tree Coefficients'!$F:$F,$F35+2)*($D35^INDEX('R1. Tree Coefficients'!$G:$G,$F35+2))*($E35^INDEX('R1. Tree Coefficients'!$H:$H,$F35+2)),INDEX('R1. Tree Coefficients'!$D:$D,$F35+2)*($D35^INDEX('R1. Tree Coefficients'!$E:$E,$F35+2))))</f>
        <v>25.4764344378825</v>
      </c>
      <c r="K35" s="14" t="n">
        <f aca="false">IF(OR($D35="",$F35=""),"",IF($E35&gt;0,INDEX('R1. Tree Coefficients'!$F:$F,$F35+3)*($D35^INDEX('R1. Tree Coefficients'!$G:$G,$F35+3))*($E35^INDEX('R1. Tree Coefficients'!$H:$H,$F35+3)),INDEX('R1. Tree Coefficients'!$D:$D,$F35+3)*($D35^INDEX('R1. Tree Coefficients'!$E:$E,$F35+3))))</f>
        <v>12.6481029043459</v>
      </c>
      <c r="L35" s="14" t="n">
        <f aca="false">IF($F35="","",IFERROR(SUM($H35:$K35),""))</f>
        <v>297.949801379109</v>
      </c>
      <c r="M35" s="14" t="str">
        <f aca="false">IF($F35="","",INDEX('R1. Tree Coefficients'!$J:$J,$F35))</f>
        <v>Conifers</v>
      </c>
      <c r="N35" s="14" t="n">
        <f aca="false">IF($L35="","",IF($M35="Deciduous",BGB_RS_DECIDUOUS_a*($L35^BGB_RS_DECIDUOUS_b),IF($M35="Conifers",BGB_RS_CONIFER*$L35,AVERAGE(BGB_RS_DECIDUOUS_a*($L35^BGB_RS_DECIDUOUS_b),BGB_RS_CONIFER*$L35))))</f>
        <v>66.1448559061623</v>
      </c>
      <c r="O35" s="14" t="n">
        <f aca="false">IF($L35="","",$L35+$N35)</f>
        <v>364.094657285272</v>
      </c>
      <c r="P35" s="14" t="n">
        <f aca="false">IF($O35="","",$O35*CARBON_FRACTION_BIOMASS)</f>
        <v>182.047328642636</v>
      </c>
      <c r="Q35" s="14" t="str">
        <f aca="false">IF(AND($A35="",$C35=""),"",IF(AND($A35&lt;&gt;"",COUNTIF('1. Plot &amp; Site Log'!$A$5:$A$64,$A35)=0),"Plot ID not in Plot &amp; Site Log — this tree will not reach the summary. ","")&amp;IF($A35="","No Plot ID. ","")&amp;IF(AND($C35&lt;&gt;"",$F35=""),"Species not in the coefficient list — check the spelling against R1. ","")&amp;IF($D35="","No DBH — nothing can be calculated. ","")&amp;IF(AND($D35&lt;&gt;"",$D35&gt;QC_DBH_MAX_CM),"DBH above "&amp;QC_DBH_MAX_CM&amp;" cm — check for a transcription error. ","")&amp;IF($M35="All","Generic species: no published root:shoot applies, so below-ground biomass is the mean of the deciduous and conifer relationships. Choose a species, or Deciduous/Conifers, if you can. ","")&amp;IF(AND($O35&lt;&gt;"",$O35&gt;0,OR($N35/$O35&lt;BGB_FRACTION_MIN,$N35/$O35&gt;BGB_FRACTION_MAX)),"Below-ground share is "&amp;TEXT($N35/$O35,"0%")&amp;", outside the 18–30% the Trees guide describes. ",""))</f>
        <v/>
      </c>
    </row>
    <row r="36" customFormat="false" ht="15" hidden="false" customHeight="false" outlineLevel="0" collapsed="false">
      <c r="A36" s="13" t="s">
        <v>83</v>
      </c>
      <c r="B36" s="13" t="n">
        <v>2</v>
      </c>
      <c r="C36" s="13" t="s">
        <v>134</v>
      </c>
      <c r="D36" s="13" t="n">
        <v>21.5</v>
      </c>
      <c r="E36" s="13"/>
      <c r="F36" s="14" t="n">
        <f aca="false">IF($C36="","",IFERROR(12+(MATCH($C36,'R1. Tree Coefficients'!$L$12:$L$53,0)-1)*4,""))</f>
        <v>160</v>
      </c>
      <c r="G36" s="14" t="str">
        <f aca="false">IF($F36="","",IF(AND($E36&lt;&gt;"",$E36&gt;0),"DBH + height","DBH only"))</f>
        <v>DBH only</v>
      </c>
      <c r="H36" s="14" t="n">
        <f aca="false">IF(OR($D36="",$F36=""),"",IF($E36&gt;0,INDEX('R1. Tree Coefficients'!$F:$F,$F36+0)*($D36^INDEX('R1. Tree Coefficients'!$G:$G,$F36+0))*($E36^INDEX('R1. Tree Coefficients'!$H:$H,$F36+0)),INDEX('R1. Tree Coefficients'!$D:$D,$F36+0)*($D36^INDEX('R1. Tree Coefficients'!$E:$E,$F36+0))))</f>
        <v>127.840979864201</v>
      </c>
      <c r="I36" s="14" t="n">
        <f aca="false">IF(OR($D36="",$F36=""),"",IF($E36&gt;0,INDEX('R1. Tree Coefficients'!$F:$F,$F36+1)*($D36^INDEX('R1. Tree Coefficients'!$G:$G,$F36+1))*($E36^INDEX('R1. Tree Coefficients'!$H:$H,$F36+1)),INDEX('R1. Tree Coefficients'!$D:$D,$F36+1)*($D36^INDEX('R1. Tree Coefficients'!$E:$E,$F36+1))))</f>
        <v>21.5635650534142</v>
      </c>
      <c r="J36" s="14" t="n">
        <f aca="false">IF(OR($D36="",$F36=""),"",IF($E36&gt;0,INDEX('R1. Tree Coefficients'!$F:$F,$F36+2)*($D36^INDEX('R1. Tree Coefficients'!$G:$G,$F36+2))*($E36^INDEX('R1. Tree Coefficients'!$H:$H,$F36+2)),INDEX('R1. Tree Coefficients'!$D:$D,$F36+2)*($D36^INDEX('R1. Tree Coefficients'!$E:$E,$F36+2))))</f>
        <v>33.7800149606409</v>
      </c>
      <c r="K36" s="14" t="n">
        <f aca="false">IF(OR($D36="",$F36=""),"",IF($E36&gt;0,INDEX('R1. Tree Coefficients'!$F:$F,$F36+3)*($D36^INDEX('R1. Tree Coefficients'!$G:$G,$F36+3))*($E36^INDEX('R1. Tree Coefficients'!$H:$H,$F36+3)),INDEX('R1. Tree Coefficients'!$D:$D,$F36+3)*($D36^INDEX('R1. Tree Coefficients'!$E:$E,$F36+3))))</f>
        <v>8.09628514342974</v>
      </c>
      <c r="L36" s="14" t="n">
        <f aca="false">IF($F36="","",IFERROR(SUM($H36:$K36),""))</f>
        <v>191.280845021686</v>
      </c>
      <c r="M36" s="14" t="str">
        <f aca="false">IF($F36="","",INDEX('R1. Tree Coefficients'!$J:$J,$F36))</f>
        <v>Deciduous</v>
      </c>
      <c r="N36" s="14" t="n">
        <f aca="false">IF($L36="","",IF($M36="Deciduous",BGB_RS_DECIDUOUS_a*($L36^BGB_RS_DECIDUOUS_b),IF($M36="Conifers",BGB_RS_CONIFER*$L36,AVERAGE(BGB_RS_DECIDUOUS_a*($L36^BGB_RS_DECIDUOUS_b),BGB_RS_CONIFER*$L36))))</f>
        <v>39.8826653480996</v>
      </c>
      <c r="O36" s="14" t="n">
        <f aca="false">IF($L36="","",$L36+$N36)</f>
        <v>231.163510369786</v>
      </c>
      <c r="P36" s="14" t="n">
        <f aca="false">IF($O36="","",$O36*CARBON_FRACTION_BIOMASS)</f>
        <v>115.581755184893</v>
      </c>
      <c r="Q36" s="14" t="str">
        <f aca="false">IF(AND($A36="",$C36=""),"",IF(AND($A36&lt;&gt;"",COUNTIF('1. Plot &amp; Site Log'!$A$5:$A$64,$A36)=0),"Plot ID not in Plot &amp; Site Log — this tree will not reach the summary. ","")&amp;IF($A36="","No Plot ID. ","")&amp;IF(AND($C36&lt;&gt;"",$F36=""),"Species not in the coefficient list — check the spelling against R1. ","")&amp;IF($D36="","No DBH — nothing can be calculated. ","")&amp;IF(AND($D36&lt;&gt;"",$D36&gt;QC_DBH_MAX_CM),"DBH above "&amp;QC_DBH_MAX_CM&amp;" cm — check for a transcription error. ","")&amp;IF($M36="All","Generic species: no published root:shoot applies, so below-ground biomass is the mean of the deciduous and conifer relationships. Choose a species, or Deciduous/Conifers, if you can. ","")&amp;IF(AND($O36&lt;&gt;"",$O36&gt;0,OR($N36/$O36&lt;BGB_FRACTION_MIN,$N36/$O36&gt;BGB_FRACTION_MAX)),"Below-ground share is "&amp;TEXT($N36/$O36,"0%")&amp;", outside the 18–30% the Trees guide describes. ",""))</f>
        <v/>
      </c>
    </row>
    <row r="37" customFormat="false" ht="15" hidden="false" customHeight="false" outlineLevel="0" collapsed="false">
      <c r="A37" s="13" t="s">
        <v>83</v>
      </c>
      <c r="B37" s="13" t="n">
        <v>3</v>
      </c>
      <c r="C37" s="13" t="s">
        <v>138</v>
      </c>
      <c r="D37" s="13" t="n">
        <v>25.3</v>
      </c>
      <c r="E37" s="13"/>
      <c r="F37" s="14" t="n">
        <f aca="false">IF($C37="","",IFERROR(12+(MATCH($C37,'R1. Tree Coefficients'!$L$12:$L$53,0)-1)*4,""))</f>
        <v>144</v>
      </c>
      <c r="G37" s="14" t="str">
        <f aca="false">IF($F37="","",IF(AND($E37&lt;&gt;"",$E37&gt;0),"DBH + height","DBH only"))</f>
        <v>DBH only</v>
      </c>
      <c r="H37" s="14" t="n">
        <f aca="false">IF(OR($D37="",$F37=""),"",IF($E37&gt;0,INDEX('R1. Tree Coefficients'!$F:$F,$F37+0)*($D37^INDEX('R1. Tree Coefficients'!$G:$G,$F37+0))*($E37^INDEX('R1. Tree Coefficients'!$H:$H,$F37+0)),INDEX('R1. Tree Coefficients'!$D:$D,$F37+0)*($D37^INDEX('R1. Tree Coefficients'!$E:$E,$F37+0))))</f>
        <v>179.689288231058</v>
      </c>
      <c r="I37" s="14" t="n">
        <f aca="false">IF(OR($D37="",$F37=""),"",IF($E37&gt;0,INDEX('R1. Tree Coefficients'!$F:$F,$F37+1)*($D37^INDEX('R1. Tree Coefficients'!$G:$G,$F37+1))*($E37^INDEX('R1. Tree Coefficients'!$H:$H,$F37+1)),INDEX('R1. Tree Coefficients'!$D:$D,$F37+1)*($D37^INDEX('R1. Tree Coefficients'!$E:$E,$F37+1))))</f>
        <v>38.5606865410597</v>
      </c>
      <c r="J37" s="14" t="n">
        <f aca="false">IF(OR($D37="",$F37=""),"",IF($E37&gt;0,INDEX('R1. Tree Coefficients'!$F:$F,$F37+2)*($D37^INDEX('R1. Tree Coefficients'!$G:$G,$F37+2))*($E37^INDEX('R1. Tree Coefficients'!$H:$H,$F37+2)),INDEX('R1. Tree Coefficients'!$D:$D,$F37+2)*($D37^INDEX('R1. Tree Coefficients'!$E:$E,$F37+2))))</f>
        <v>27.613313945002</v>
      </c>
      <c r="K37" s="14" t="n">
        <f aca="false">IF(OR($D37="",$F37=""),"",IF($E37&gt;0,INDEX('R1. Tree Coefficients'!$F:$F,$F37+3)*($D37^INDEX('R1. Tree Coefficients'!$G:$G,$F37+3))*($E37^INDEX('R1. Tree Coefficients'!$H:$H,$F37+3)),INDEX('R1. Tree Coefficients'!$D:$D,$F37+3)*($D37^INDEX('R1. Tree Coefficients'!$E:$E,$F37+3))))</f>
        <v>5.10628913483536</v>
      </c>
      <c r="L37" s="14" t="n">
        <f aca="false">IF($F37="","",IFERROR(SUM($H37:$K37),""))</f>
        <v>250.969577851955</v>
      </c>
      <c r="M37" s="14" t="str">
        <f aca="false">IF($F37="","",INDEX('R1. Tree Coefficients'!$J:$J,$F37))</f>
        <v>Deciduous</v>
      </c>
      <c r="N37" s="14" t="n">
        <f aca="false">IF($L37="","",IF($M37="Deciduous",BGB_RS_DECIDUOUS_a*($L37^BGB_RS_DECIDUOUS_b),IF($M37="Conifers",BGB_RS_CONIFER*$L37,AVERAGE(BGB_RS_DECIDUOUS_a*($L37^BGB_RS_DECIDUOUS_b),BGB_RS_CONIFER*$L37))))</f>
        <v>47.132793158585</v>
      </c>
      <c r="O37" s="14" t="n">
        <f aca="false">IF($L37="","",$L37+$N37)</f>
        <v>298.10237101054</v>
      </c>
      <c r="P37" s="14" t="n">
        <f aca="false">IF($O37="","",$O37*CARBON_FRACTION_BIOMASS)</f>
        <v>149.05118550527</v>
      </c>
      <c r="Q37" s="14" t="str">
        <f aca="false">IF(AND($A37="",$C37=""),"",IF(AND($A37&lt;&gt;"",COUNTIF('1. Plot &amp; Site Log'!$A$5:$A$64,$A37)=0),"Plot ID not in Plot &amp; Site Log — this tree will not reach the summary. ","")&amp;IF($A37="","No Plot ID. ","")&amp;IF(AND($C37&lt;&gt;"",$F37=""),"Species not in the coefficient list — check the spelling against R1. ","")&amp;IF($D37="","No DBH — nothing can be calculated. ","")&amp;IF(AND($D37&lt;&gt;"",$D37&gt;QC_DBH_MAX_CM),"DBH above "&amp;QC_DBH_MAX_CM&amp;" cm — check for a transcription error. ","")&amp;IF($M37="All","Generic species: no published root:shoot applies, so below-ground biomass is the mean of the deciduous and conifer relationships. Choose a species, or Deciduous/Conifers, if you can. ","")&amp;IF(AND($O37&lt;&gt;"",$O37&gt;0,OR($N37/$O37&lt;BGB_FRACTION_MIN,$N37/$O37&gt;BGB_FRACTION_MAX)),"Below-ground share is "&amp;TEXT($N37/$O37,"0%")&amp;", outside the 18–30% the Trees guide describes. ",""))</f>
        <v/>
      </c>
    </row>
    <row r="38" customFormat="false" ht="15" hidden="false" customHeight="false" outlineLevel="0" collapsed="false">
      <c r="A38" s="13" t="s">
        <v>83</v>
      </c>
      <c r="B38" s="13" t="n">
        <v>4</v>
      </c>
      <c r="C38" s="13" t="s">
        <v>134</v>
      </c>
      <c r="D38" s="13" t="n">
        <v>22.7</v>
      </c>
      <c r="E38" s="13" t="n">
        <v>19.6</v>
      </c>
      <c r="F38" s="14" t="n">
        <f aca="false">IF($C38="","",IFERROR(12+(MATCH($C38,'R1. Tree Coefficients'!$L$12:$L$53,0)-1)*4,""))</f>
        <v>160</v>
      </c>
      <c r="G38" s="14" t="str">
        <f aca="false">IF($F38="","",IF(AND($E38&lt;&gt;"",$E38&gt;0),"DBH + height","DBH only"))</f>
        <v>DBH + height</v>
      </c>
      <c r="H38" s="14" t="n">
        <f aca="false">IF(OR($D38="",$F38=""),"",IF($E38&gt;0,INDEX('R1. Tree Coefficients'!$F:$F,$F38+0)*($D38^INDEX('R1. Tree Coefficients'!$G:$G,$F38+0))*($E38^INDEX('R1. Tree Coefficients'!$H:$H,$F38+0)),INDEX('R1. Tree Coefficients'!$D:$D,$F38+0)*($D38^INDEX('R1. Tree Coefficients'!$E:$E,$F38+0))))</f>
        <v>166.847618124724</v>
      </c>
      <c r="I38" s="14" t="n">
        <f aca="false">IF(OR($D38="",$F38=""),"",IF($E38&gt;0,INDEX('R1. Tree Coefficients'!$F:$F,$F38+1)*($D38^INDEX('R1. Tree Coefficients'!$G:$G,$F38+1))*($E38^INDEX('R1. Tree Coefficients'!$H:$H,$F38+1)),INDEX('R1. Tree Coefficients'!$D:$D,$F38+1)*($D38^INDEX('R1. Tree Coefficients'!$E:$E,$F38+1))))</f>
        <v>27.7723073973789</v>
      </c>
      <c r="J38" s="14" t="n">
        <f aca="false">IF(OR($D38="",$F38=""),"",IF($E38&gt;0,INDEX('R1. Tree Coefficients'!$F:$F,$F38+2)*($D38^INDEX('R1. Tree Coefficients'!$G:$G,$F38+2))*($E38^INDEX('R1. Tree Coefficients'!$H:$H,$F38+2)),INDEX('R1. Tree Coefficients'!$D:$D,$F38+2)*($D38^INDEX('R1. Tree Coefficients'!$E:$E,$F38+2))))</f>
        <v>31.8629974105097</v>
      </c>
      <c r="K38" s="14" t="n">
        <f aca="false">IF(OR($D38="",$F38=""),"",IF($E38&gt;0,INDEX('R1. Tree Coefficients'!$F:$F,$F38+3)*($D38^INDEX('R1. Tree Coefficients'!$G:$G,$F38+3))*($E38^INDEX('R1. Tree Coefficients'!$H:$H,$F38+3)),INDEX('R1. Tree Coefficients'!$D:$D,$F38+3)*($D38^INDEX('R1. Tree Coefficients'!$E:$E,$F38+3))))</f>
        <v>6.86722933966092</v>
      </c>
      <c r="L38" s="14" t="n">
        <f aca="false">IF($F38="","",IFERROR(SUM($H38:$K38),""))</f>
        <v>233.350152272273</v>
      </c>
      <c r="M38" s="14" t="str">
        <f aca="false">IF($F38="","",INDEX('R1. Tree Coefficients'!$J:$J,$F38))</f>
        <v>Deciduous</v>
      </c>
      <c r="N38" s="14" t="n">
        <f aca="false">IF($L38="","",IF($M38="Deciduous",BGB_RS_DECIDUOUS_a*($L38^BGB_RS_DECIDUOUS_b),IF($M38="Conifers",BGB_RS_CONIFER*$L38,AVERAGE(BGB_RS_DECIDUOUS_a*($L38^BGB_RS_DECIDUOUS_b),BGB_RS_CONIFER*$L38))))</f>
        <v>45.0693388988876</v>
      </c>
      <c r="O38" s="14" t="n">
        <f aca="false">IF($L38="","",$L38+$N38)</f>
        <v>278.419491171161</v>
      </c>
      <c r="P38" s="14" t="n">
        <f aca="false">IF($O38="","",$O38*CARBON_FRACTION_BIOMASS)</f>
        <v>139.209745585581</v>
      </c>
      <c r="Q38" s="14" t="str">
        <f aca="false">IF(AND($A38="",$C38=""),"",IF(AND($A38&lt;&gt;"",COUNTIF('1. Plot &amp; Site Log'!$A$5:$A$64,$A38)=0),"Plot ID not in Plot &amp; Site Log — this tree will not reach the summary. ","")&amp;IF($A38="","No Plot ID. ","")&amp;IF(AND($C38&lt;&gt;"",$F38=""),"Species not in the coefficient list — check the spelling against R1. ","")&amp;IF($D38="","No DBH — nothing can be calculated. ","")&amp;IF(AND($D38&lt;&gt;"",$D38&gt;QC_DBH_MAX_CM),"DBH above "&amp;QC_DBH_MAX_CM&amp;" cm — check for a transcription error. ","")&amp;IF($M38="All","Generic species: no published root:shoot applies, so below-ground biomass is the mean of the deciduous and conifer relationships. Choose a species, or Deciduous/Conifers, if you can. ","")&amp;IF(AND($O38&lt;&gt;"",$O38&gt;0,OR($N38/$O38&lt;BGB_FRACTION_MIN,$N38/$O38&gt;BGB_FRACTION_MAX)),"Below-ground share is "&amp;TEXT($N38/$O38,"0%")&amp;", outside the 18–30% the Trees guide describes. ",""))</f>
        <v/>
      </c>
    </row>
    <row r="39" customFormat="false" ht="15" hidden="false" customHeight="false" outlineLevel="0" collapsed="false">
      <c r="A39" s="13" t="s">
        <v>83</v>
      </c>
      <c r="B39" s="13" t="n">
        <v>5</v>
      </c>
      <c r="C39" s="13" t="s">
        <v>138</v>
      </c>
      <c r="D39" s="13" t="n">
        <v>23.5</v>
      </c>
      <c r="E39" s="13"/>
      <c r="F39" s="14" t="n">
        <f aca="false">IF($C39="","",IFERROR(12+(MATCH($C39,'R1. Tree Coefficients'!$L$12:$L$53,0)-1)*4,""))</f>
        <v>144</v>
      </c>
      <c r="G39" s="14" t="str">
        <f aca="false">IF($F39="","",IF(AND($E39&lt;&gt;"",$E39&gt;0),"DBH + height","DBH only"))</f>
        <v>DBH only</v>
      </c>
      <c r="H39" s="14" t="n">
        <f aca="false">IF(OR($D39="",$F39=""),"",IF($E39&gt;0,INDEX('R1. Tree Coefficients'!$F:$F,$F39+0)*($D39^INDEX('R1. Tree Coefficients'!$G:$G,$F39+0))*($E39^INDEX('R1. Tree Coefficients'!$H:$H,$F39+0)),INDEX('R1. Tree Coefficients'!$D:$D,$F39+0)*($D39^INDEX('R1. Tree Coefficients'!$E:$E,$F39+0))))</f>
        <v>149.706251644332</v>
      </c>
      <c r="I39" s="14" t="n">
        <f aca="false">IF(OR($D39="",$F39=""),"",IF($E39&gt;0,INDEX('R1. Tree Coefficients'!$F:$F,$F39+1)*($D39^INDEX('R1. Tree Coefficients'!$G:$G,$F39+1))*($E39^INDEX('R1. Tree Coefficients'!$H:$H,$F39+1)),INDEX('R1. Tree Coefficients'!$D:$D,$F39+1)*($D39^INDEX('R1. Tree Coefficients'!$E:$E,$F39+1))))</f>
        <v>32.2718697818588</v>
      </c>
      <c r="J39" s="14" t="n">
        <f aca="false">IF(OR($D39="",$F39=""),"",IF($E39&gt;0,INDEX('R1. Tree Coefficients'!$F:$F,$F39+2)*($D39^INDEX('R1. Tree Coefficients'!$G:$G,$F39+2))*($E39^INDEX('R1. Tree Coefficients'!$H:$H,$F39+2)),INDEX('R1. Tree Coefficients'!$D:$D,$F39+2)*($D39^INDEX('R1. Tree Coefficients'!$E:$E,$F39+2))))</f>
        <v>22.9372501707566</v>
      </c>
      <c r="K39" s="14" t="n">
        <f aca="false">IF(OR($D39="",$F39=""),"",IF($E39&gt;0,INDEX('R1. Tree Coefficients'!$F:$F,$F39+3)*($D39^INDEX('R1. Tree Coefficients'!$G:$G,$F39+3))*($E39^INDEX('R1. Tree Coefficients'!$H:$H,$F39+3)),INDEX('R1. Tree Coefficients'!$D:$D,$F39+3)*($D39^INDEX('R1. Tree Coefficients'!$E:$E,$F39+3))))</f>
        <v>4.51563149746002</v>
      </c>
      <c r="L39" s="14" t="n">
        <f aca="false">IF($F39="","",IFERROR(SUM($H39:$K39),""))</f>
        <v>209.431003094407</v>
      </c>
      <c r="M39" s="14" t="str">
        <f aca="false">IF($F39="","",INDEX('R1. Tree Coefficients'!$J:$J,$F39))</f>
        <v>Deciduous</v>
      </c>
      <c r="N39" s="14" t="n">
        <f aca="false">IF($L39="","",IF($M39="Deciduous",BGB_RS_DECIDUOUS_a*($L39^BGB_RS_DECIDUOUS_b),IF($M39="Conifers",BGB_RS_CONIFER*$L39,AVERAGE(BGB_RS_DECIDUOUS_a*($L39^BGB_RS_DECIDUOUS_b),BGB_RS_CONIFER*$L39))))</f>
        <v>42.169301898679</v>
      </c>
      <c r="O39" s="14" t="n">
        <f aca="false">IF($L39="","",$L39+$N39)</f>
        <v>251.600304993086</v>
      </c>
      <c r="P39" s="14" t="n">
        <f aca="false">IF($O39="","",$O39*CARBON_FRACTION_BIOMASS)</f>
        <v>125.800152496543</v>
      </c>
      <c r="Q39" s="14" t="str">
        <f aca="false">IF(AND($A39="",$C39=""),"",IF(AND($A39&lt;&gt;"",COUNTIF('1. Plot &amp; Site Log'!$A$5:$A$64,$A39)=0),"Plot ID not in Plot &amp; Site Log — this tree will not reach the summary. ","")&amp;IF($A39="","No Plot ID. ","")&amp;IF(AND($C39&lt;&gt;"",$F39=""),"Species not in the coefficient list — check the spelling against R1. ","")&amp;IF($D39="","No DBH — nothing can be calculated. ","")&amp;IF(AND($D39&lt;&gt;"",$D39&gt;QC_DBH_MAX_CM),"DBH above "&amp;QC_DBH_MAX_CM&amp;" cm — check for a transcription error. ","")&amp;IF($M39="All","Generic species: no published root:shoot applies, so below-ground biomass is the mean of the deciduous and conifer relationships. Choose a species, or Deciduous/Conifers, if you can. ","")&amp;IF(AND($O39&lt;&gt;"",$O39&gt;0,OR($N39/$O39&lt;BGB_FRACTION_MIN,$N39/$O39&gt;BGB_FRACTION_MAX)),"Below-ground share is "&amp;TEXT($N39/$O39,"0%")&amp;", outside the 18–30% the Trees guide describes. ",""))</f>
        <v/>
      </c>
    </row>
    <row r="40" customFormat="false" ht="15" hidden="false" customHeight="false" outlineLevel="0" collapsed="false">
      <c r="A40" s="13" t="s">
        <v>83</v>
      </c>
      <c r="B40" s="13" t="n">
        <v>6</v>
      </c>
      <c r="C40" s="13" t="s">
        <v>136</v>
      </c>
      <c r="D40" s="13" t="n">
        <v>17.3</v>
      </c>
      <c r="E40" s="13"/>
      <c r="F40" s="14" t="n">
        <f aca="false">IF($C40="","",IFERROR(12+(MATCH($C40,'R1. Tree Coefficients'!$L$12:$L$53,0)-1)*4,""))</f>
        <v>24</v>
      </c>
      <c r="G40" s="14" t="str">
        <f aca="false">IF($F40="","",IF(AND($E40&lt;&gt;"",$E40&gt;0),"DBH + height","DBH only"))</f>
        <v>DBH only</v>
      </c>
      <c r="H40" s="14" t="n">
        <f aca="false">IF(OR($D40="",$F40=""),"",IF($E40&gt;0,INDEX('R1. Tree Coefficients'!$F:$F,$F40+0)*($D40^INDEX('R1. Tree Coefficients'!$G:$G,$F40+0))*($E40^INDEX('R1. Tree Coefficients'!$H:$H,$F40+0)),INDEX('R1. Tree Coefficients'!$D:$D,$F40+0)*($D40^INDEX('R1. Tree Coefficients'!$E:$E,$F40+0))))</f>
        <v>50.4157280105763</v>
      </c>
      <c r="I40" s="14" t="n">
        <f aca="false">IF(OR($D40="",$F40=""),"",IF($E40&gt;0,INDEX('R1. Tree Coefficients'!$F:$F,$F40+1)*($D40^INDEX('R1. Tree Coefficients'!$G:$G,$F40+1))*($E40^INDEX('R1. Tree Coefficients'!$H:$H,$F40+1)),INDEX('R1. Tree Coefficients'!$D:$D,$F40+1)*($D40^INDEX('R1. Tree Coefficients'!$E:$E,$F40+1))))</f>
        <v>9.29234464304994</v>
      </c>
      <c r="J40" s="14" t="n">
        <f aca="false">IF(OR($D40="",$F40=""),"",IF($E40&gt;0,INDEX('R1. Tree Coefficients'!$F:$F,$F40+2)*($D40^INDEX('R1. Tree Coefficients'!$G:$G,$F40+2))*($E40^INDEX('R1. Tree Coefficients'!$H:$H,$F40+2)),INDEX('R1. Tree Coefficients'!$D:$D,$F40+2)*($D40^INDEX('R1. Tree Coefficients'!$E:$E,$F40+2))))</f>
        <v>9.78313326804734</v>
      </c>
      <c r="K40" s="14" t="n">
        <f aca="false">IF(OR($D40="",$F40=""),"",IF($E40&gt;0,INDEX('R1. Tree Coefficients'!$F:$F,$F40+3)*($D40^INDEX('R1. Tree Coefficients'!$G:$G,$F40+3))*($E40^INDEX('R1. Tree Coefficients'!$H:$H,$F40+3)),INDEX('R1. Tree Coefficients'!$D:$D,$F40+3)*($D40^INDEX('R1. Tree Coefficients'!$E:$E,$F40+3))))</f>
        <v>9.79934967834072</v>
      </c>
      <c r="L40" s="14" t="n">
        <f aca="false">IF($F40="","",IFERROR(SUM($H40:$K40),""))</f>
        <v>79.2905556000143</v>
      </c>
      <c r="M40" s="14" t="str">
        <f aca="false">IF($F40="","",INDEX('R1. Tree Coefficients'!$J:$J,$F40))</f>
        <v>Conifers</v>
      </c>
      <c r="N40" s="14" t="n">
        <f aca="false">IF($L40="","",IF($M40="Deciduous",BGB_RS_DECIDUOUS_a*($L40^BGB_RS_DECIDUOUS_b),IF($M40="Conifers",BGB_RS_CONIFER*$L40,AVERAGE(BGB_RS_DECIDUOUS_a*($L40^BGB_RS_DECIDUOUS_b),BGB_RS_CONIFER*$L40))))</f>
        <v>17.6025033432032</v>
      </c>
      <c r="O40" s="14" t="n">
        <f aca="false">IF($L40="","",$L40+$N40)</f>
        <v>96.8930589432174</v>
      </c>
      <c r="P40" s="14" t="n">
        <f aca="false">IF($O40="","",$O40*CARBON_FRACTION_BIOMASS)</f>
        <v>48.4465294716087</v>
      </c>
      <c r="Q40" s="14" t="str">
        <f aca="false">IF(AND($A40="",$C40=""),"",IF(AND($A40&lt;&gt;"",COUNTIF('1. Plot &amp; Site Log'!$A$5:$A$64,$A40)=0),"Plot ID not in Plot &amp; Site Log — this tree will not reach the summary. ","")&amp;IF($A40="","No Plot ID. ","")&amp;IF(AND($C40&lt;&gt;"",$F40=""),"Species not in the coefficient list — check the spelling against R1. ","")&amp;IF($D40="","No DBH — nothing can be calculated. ","")&amp;IF(AND($D40&lt;&gt;"",$D40&gt;QC_DBH_MAX_CM),"DBH above "&amp;QC_DBH_MAX_CM&amp;" cm — check for a transcription error. ","")&amp;IF($M40="All","Generic species: no published root:shoot applies, so below-ground biomass is the mean of the deciduous and conifer relationships. Choose a species, or Deciduous/Conifers, if you can. ","")&amp;IF(AND($O40&lt;&gt;"",$O40&gt;0,OR($N40/$O40&lt;BGB_FRACTION_MIN,$N40/$O40&gt;BGB_FRACTION_MAX)),"Below-ground share is "&amp;TEXT($N40/$O40,"0%")&amp;", outside the 18–30% the Trees guide describes. ",""))</f>
        <v/>
      </c>
    </row>
    <row r="41" customFormat="false" ht="15" hidden="false" customHeight="false" outlineLevel="0" collapsed="false">
      <c r="A41" s="13" t="s">
        <v>83</v>
      </c>
      <c r="B41" s="13" t="n">
        <v>7</v>
      </c>
      <c r="C41" s="13" t="s">
        <v>136</v>
      </c>
      <c r="D41" s="13" t="n">
        <v>32</v>
      </c>
      <c r="E41" s="13" t="n">
        <v>21.3</v>
      </c>
      <c r="F41" s="14" t="n">
        <f aca="false">IF($C41="","",IFERROR(12+(MATCH($C41,'R1. Tree Coefficients'!$L$12:$L$53,0)-1)*4,""))</f>
        <v>24</v>
      </c>
      <c r="G41" s="14" t="str">
        <f aca="false">IF($F41="","",IF(AND($E41&lt;&gt;"",$E41&gt;0),"DBH + height","DBH only"))</f>
        <v>DBH + height</v>
      </c>
      <c r="H41" s="14" t="n">
        <f aca="false">IF(OR($D41="",$F41=""),"",IF($E41&gt;0,INDEX('R1. Tree Coefficients'!$F:$F,$F41+0)*($D41^INDEX('R1. Tree Coefficients'!$G:$G,$F41+0))*($E41^INDEX('R1. Tree Coefficients'!$H:$H,$F41+0)),INDEX('R1. Tree Coefficients'!$D:$D,$F41+0)*($D41^INDEX('R1. Tree Coefficients'!$E:$E,$F41+0))))</f>
        <v>239.370773398477</v>
      </c>
      <c r="I41" s="14" t="n">
        <f aca="false">IF(OR($D41="",$F41=""),"",IF($E41&gt;0,INDEX('R1. Tree Coefficients'!$F:$F,$F41+1)*($D41^INDEX('R1. Tree Coefficients'!$G:$G,$F41+1))*($E41^INDEX('R1. Tree Coefficients'!$H:$H,$F41+1)),INDEX('R1. Tree Coefficients'!$D:$D,$F41+1)*($D41^INDEX('R1. Tree Coefficients'!$E:$E,$F41+1))))</f>
        <v>43.9001828026079</v>
      </c>
      <c r="J41" s="14" t="n">
        <f aca="false">IF(OR($D41="",$F41=""),"",IF($E41&gt;0,INDEX('R1. Tree Coefficients'!$F:$F,$F41+2)*($D41^INDEX('R1. Tree Coefficients'!$G:$G,$F41+2))*($E41^INDEX('R1. Tree Coefficients'!$H:$H,$F41+2)),INDEX('R1. Tree Coefficients'!$D:$D,$F41+2)*($D41^INDEX('R1. Tree Coefficients'!$E:$E,$F41+2))))</f>
        <v>41.9875204548765</v>
      </c>
      <c r="K41" s="14" t="n">
        <f aca="false">IF(OR($D41="",$F41=""),"",IF($E41&gt;0,INDEX('R1. Tree Coefficients'!$F:$F,$F41+3)*($D41^INDEX('R1. Tree Coefficients'!$G:$G,$F41+3))*($E41^INDEX('R1. Tree Coefficients'!$H:$H,$F41+3)),INDEX('R1. Tree Coefficients'!$D:$D,$F41+3)*($D41^INDEX('R1. Tree Coefficients'!$E:$E,$F41+3))))</f>
        <v>25.1705353182256</v>
      </c>
      <c r="L41" s="14" t="n">
        <f aca="false">IF($F41="","",IFERROR(SUM($H41:$K41),""))</f>
        <v>350.429011974187</v>
      </c>
      <c r="M41" s="14" t="str">
        <f aca="false">IF($F41="","",INDEX('R1. Tree Coefficients'!$J:$J,$F41))</f>
        <v>Conifers</v>
      </c>
      <c r="N41" s="14" t="n">
        <f aca="false">IF($L41="","",IF($M41="Deciduous",BGB_RS_DECIDUOUS_a*($L41^BGB_RS_DECIDUOUS_b),IF($M41="Conifers",BGB_RS_CONIFER*$L41,AVERAGE(BGB_RS_DECIDUOUS_a*($L41^BGB_RS_DECIDUOUS_b),BGB_RS_CONIFER*$L41))))</f>
        <v>77.7952406582696</v>
      </c>
      <c r="O41" s="14" t="n">
        <f aca="false">IF($L41="","",$L41+$N41)</f>
        <v>428.224252632457</v>
      </c>
      <c r="P41" s="14" t="n">
        <f aca="false">IF($O41="","",$O41*CARBON_FRACTION_BIOMASS)</f>
        <v>214.112126316229</v>
      </c>
      <c r="Q41" s="14" t="str">
        <f aca="false">IF(AND($A41="",$C41=""),"",IF(AND($A41&lt;&gt;"",COUNTIF('1. Plot &amp; Site Log'!$A$5:$A$64,$A41)=0),"Plot ID not in Plot &amp; Site Log — this tree will not reach the summary. ","")&amp;IF($A41="","No Plot ID. ","")&amp;IF(AND($C41&lt;&gt;"",$F41=""),"Species not in the coefficient list — check the spelling against R1. ","")&amp;IF($D41="","No DBH — nothing can be calculated. ","")&amp;IF(AND($D41&lt;&gt;"",$D41&gt;QC_DBH_MAX_CM),"DBH above "&amp;QC_DBH_MAX_CM&amp;" cm — check for a transcription error. ","")&amp;IF($M41="All","Generic species: no published root:shoot applies, so below-ground biomass is the mean of the deciduous and conifer relationships. Choose a species, or Deciduous/Conifers, if you can. ","")&amp;IF(AND($O41&lt;&gt;"",$O41&gt;0,OR($N41/$O41&lt;BGB_FRACTION_MIN,$N41/$O41&gt;BGB_FRACTION_MAX)),"Below-ground share is "&amp;TEXT($N41/$O41,"0%")&amp;", outside the 18–30% the Trees guide describes. ",""))</f>
        <v/>
      </c>
    </row>
    <row r="42" customFormat="false" ht="15" hidden="false" customHeight="false" outlineLevel="0" collapsed="false">
      <c r="A42" s="13" t="s">
        <v>83</v>
      </c>
      <c r="B42" s="13" t="n">
        <v>8</v>
      </c>
      <c r="C42" s="13" t="s">
        <v>138</v>
      </c>
      <c r="D42" s="13" t="n">
        <v>15.1</v>
      </c>
      <c r="E42" s="13"/>
      <c r="F42" s="14" t="n">
        <f aca="false">IF($C42="","",IFERROR(12+(MATCH($C42,'R1. Tree Coefficients'!$L$12:$L$53,0)-1)*4,""))</f>
        <v>144</v>
      </c>
      <c r="G42" s="14" t="str">
        <f aca="false">IF($F42="","",IF(AND($E42&lt;&gt;"",$E42&gt;0),"DBH + height","DBH only"))</f>
        <v>DBH only</v>
      </c>
      <c r="H42" s="14" t="n">
        <f aca="false">IF(OR($D42="",$F42=""),"",IF($E42&gt;0,INDEX('R1. Tree Coefficients'!$F:$F,$F42+0)*($D42^INDEX('R1. Tree Coefficients'!$G:$G,$F42+0))*($E42^INDEX('R1. Tree Coefficients'!$H:$H,$F42+0)),INDEX('R1. Tree Coefficients'!$D:$D,$F42+0)*($D42^INDEX('R1. Tree Coefficients'!$E:$E,$F42+0))))</f>
        <v>50.1306179841671</v>
      </c>
      <c r="I42" s="14" t="n">
        <f aca="false">IF(OR($D42="",$F42=""),"",IF($E42&gt;0,INDEX('R1. Tree Coefficients'!$F:$F,$F42+1)*($D42^INDEX('R1. Tree Coefficients'!$G:$G,$F42+1))*($E42^INDEX('R1. Tree Coefficients'!$H:$H,$F42+1)),INDEX('R1. Tree Coefficients'!$D:$D,$F42+1)*($D42^INDEX('R1. Tree Coefficients'!$E:$E,$F42+1))))</f>
        <v>11.1030734875697</v>
      </c>
      <c r="J42" s="14" t="n">
        <f aca="false">IF(OR($D42="",$F42=""),"",IF($E42&gt;0,INDEX('R1. Tree Coefficients'!$F:$F,$F42+2)*($D42^INDEX('R1. Tree Coefficients'!$G:$G,$F42+2))*($E42^INDEX('R1. Tree Coefficients'!$H:$H,$F42+2)),INDEX('R1. Tree Coefficients'!$D:$D,$F42+2)*($D42^INDEX('R1. Tree Coefficients'!$E:$E,$F42+2))))</f>
        <v>7.54473517182474</v>
      </c>
      <c r="K42" s="14" t="n">
        <f aca="false">IF(OR($D42="",$F42=""),"",IF($E42&gt;0,INDEX('R1. Tree Coefficients'!$F:$F,$F42+3)*($D42^INDEX('R1. Tree Coefficients'!$G:$G,$F42+3))*($E42^INDEX('R1. Tree Coefficients'!$H:$H,$F42+3)),INDEX('R1. Tree Coefficients'!$D:$D,$F42+3)*($D42^INDEX('R1. Tree Coefficients'!$E:$E,$F42+3))))</f>
        <v>2.16158274888447</v>
      </c>
      <c r="L42" s="14" t="n">
        <f aca="false">IF($F42="","",IFERROR(SUM($H42:$K42),""))</f>
        <v>70.940009392446</v>
      </c>
      <c r="M42" s="14" t="str">
        <f aca="false">IF($F42="","",INDEX('R1. Tree Coefficients'!$J:$J,$F42))</f>
        <v>Deciduous</v>
      </c>
      <c r="N42" s="14" t="n">
        <f aca="false">IF($L42="","",IF($M42="Deciduous",BGB_RS_DECIDUOUS_a*($L42^BGB_RS_DECIDUOUS_b),IF($M42="Conifers",BGB_RS_CONIFER*$L42,AVERAGE(BGB_RS_DECIDUOUS_a*($L42^BGB_RS_DECIDUOUS_b),BGB_RS_CONIFER*$L42))))</f>
        <v>21.6697712453368</v>
      </c>
      <c r="O42" s="14" t="n">
        <f aca="false">IF($L42="","",$L42+$N42)</f>
        <v>92.6097806377828</v>
      </c>
      <c r="P42" s="14" t="n">
        <f aca="false">IF($O42="","",$O42*CARBON_FRACTION_BIOMASS)</f>
        <v>46.3048903188914</v>
      </c>
      <c r="Q42" s="14" t="str">
        <f aca="false">IF(AND($A42="",$C42=""),"",IF(AND($A42&lt;&gt;"",COUNTIF('1. Plot &amp; Site Log'!$A$5:$A$64,$A42)=0),"Plot ID not in Plot &amp; Site Log — this tree will not reach the summary. ","")&amp;IF($A42="","No Plot ID. ","")&amp;IF(AND($C42&lt;&gt;"",$F42=""),"Species not in the coefficient list — check the spelling against R1. ","")&amp;IF($D42="","No DBH — nothing can be calculated. ","")&amp;IF(AND($D42&lt;&gt;"",$D42&gt;QC_DBH_MAX_CM),"DBH above "&amp;QC_DBH_MAX_CM&amp;" cm — check for a transcription error. ","")&amp;IF($M42="All","Generic species: no published root:shoot applies, so below-ground biomass is the mean of the deciduous and conifer relationships. Choose a species, or Deciduous/Conifers, if you can. ","")&amp;IF(AND($O42&lt;&gt;"",$O42&gt;0,OR($N42/$O42&lt;BGB_FRACTION_MIN,$N42/$O42&gt;BGB_FRACTION_MAX)),"Below-ground share is "&amp;TEXT($N42/$O42,"0%")&amp;", outside the 18–30% the Trees guide describes. ",""))</f>
        <v/>
      </c>
    </row>
    <row r="43" customFormat="false" ht="15" hidden="false" customHeight="false" outlineLevel="0" collapsed="false">
      <c r="A43" s="13" t="s">
        <v>83</v>
      </c>
      <c r="B43" s="13" t="n">
        <v>9</v>
      </c>
      <c r="C43" s="13" t="s">
        <v>134</v>
      </c>
      <c r="D43" s="13" t="n">
        <v>21.8</v>
      </c>
      <c r="E43" s="13"/>
      <c r="F43" s="14" t="n">
        <f aca="false">IF($C43="","",IFERROR(12+(MATCH($C43,'R1. Tree Coefficients'!$L$12:$L$53,0)-1)*4,""))</f>
        <v>160</v>
      </c>
      <c r="G43" s="14" t="str">
        <f aca="false">IF($F43="","",IF(AND($E43&lt;&gt;"",$E43&gt;0),"DBH + height","DBH only"))</f>
        <v>DBH only</v>
      </c>
      <c r="H43" s="14" t="n">
        <f aca="false">IF(OR($D43="",$F43=""),"",IF($E43&gt;0,INDEX('R1. Tree Coefficients'!$F:$F,$F43+0)*($D43^INDEX('R1. Tree Coefficients'!$G:$G,$F43+0))*($E43^INDEX('R1. Tree Coefficients'!$H:$H,$F43+0)),INDEX('R1. Tree Coefficients'!$D:$D,$F43+0)*($D43^INDEX('R1. Tree Coefficients'!$E:$E,$F43+0))))</f>
        <v>132.339808237648</v>
      </c>
      <c r="I43" s="14" t="n">
        <f aca="false">IF(OR($D43="",$F43=""),"",IF($E43&gt;0,INDEX('R1. Tree Coefficients'!$F:$F,$F43+1)*($D43^INDEX('R1. Tree Coefficients'!$G:$G,$F43+1))*($E43^INDEX('R1. Tree Coefficients'!$H:$H,$F43+1)),INDEX('R1. Tree Coefficients'!$D:$D,$F43+1)*($D43^INDEX('R1. Tree Coefficients'!$E:$E,$F43+1))))</f>
        <v>22.2903816966937</v>
      </c>
      <c r="J43" s="14" t="n">
        <f aca="false">IF(OR($D43="",$F43=""),"",IF($E43&gt;0,INDEX('R1. Tree Coefficients'!$F:$F,$F43+2)*($D43^INDEX('R1. Tree Coefficients'!$G:$G,$F43+2))*($E43^INDEX('R1. Tree Coefficients'!$H:$H,$F43+2)),INDEX('R1. Tree Coefficients'!$D:$D,$F43+2)*($D43^INDEX('R1. Tree Coefficients'!$E:$E,$F43+2))))</f>
        <v>34.9817499537428</v>
      </c>
      <c r="K43" s="14" t="n">
        <f aca="false">IF(OR($D43="",$F43=""),"",IF($E43&gt;0,INDEX('R1. Tree Coefficients'!$F:$F,$F43+3)*($D43^INDEX('R1. Tree Coefficients'!$G:$G,$F43+3))*($E43^INDEX('R1. Tree Coefficients'!$H:$H,$F43+3)),INDEX('R1. Tree Coefficients'!$D:$D,$F43+3)*($D43^INDEX('R1. Tree Coefficients'!$E:$E,$F43+3))))</f>
        <v>8.2782076120844</v>
      </c>
      <c r="L43" s="14" t="n">
        <f aca="false">IF($F43="","",IFERROR(SUM($H43:$K43),""))</f>
        <v>197.890147500169</v>
      </c>
      <c r="M43" s="14" t="str">
        <f aca="false">IF($F43="","",INDEX('R1. Tree Coefficients'!$J:$J,$F43))</f>
        <v>Deciduous</v>
      </c>
      <c r="N43" s="14" t="n">
        <f aca="false">IF($L43="","",IF($M43="Deciduous",BGB_RS_DECIDUOUS_a*($L43^BGB_RS_DECIDUOUS_b),IF($M43="Conifers",BGB_RS_CONIFER*$L43,AVERAGE(BGB_RS_DECIDUOUS_a*($L43^BGB_RS_DECIDUOUS_b),BGB_RS_CONIFER*$L43))))</f>
        <v>40.7246236055874</v>
      </c>
      <c r="O43" s="14" t="n">
        <f aca="false">IF($L43="","",$L43+$N43)</f>
        <v>238.614771105757</v>
      </c>
      <c r="P43" s="14" t="n">
        <f aca="false">IF($O43="","",$O43*CARBON_FRACTION_BIOMASS)</f>
        <v>119.307385552878</v>
      </c>
      <c r="Q43" s="14" t="str">
        <f aca="false">IF(AND($A43="",$C43=""),"",IF(AND($A43&lt;&gt;"",COUNTIF('1. Plot &amp; Site Log'!$A$5:$A$64,$A43)=0),"Plot ID not in Plot &amp; Site Log — this tree will not reach the summary. ","")&amp;IF($A43="","No Plot ID. ","")&amp;IF(AND($C43&lt;&gt;"",$F43=""),"Species not in the coefficient list — check the spelling against R1. ","")&amp;IF($D43="","No DBH — nothing can be calculated. ","")&amp;IF(AND($D43&lt;&gt;"",$D43&gt;QC_DBH_MAX_CM),"DBH above "&amp;QC_DBH_MAX_CM&amp;" cm — check for a transcription error. ","")&amp;IF($M43="All","Generic species: no published root:shoot applies, so below-ground biomass is the mean of the deciduous and conifer relationships. Choose a species, or Deciduous/Conifers, if you can. ","")&amp;IF(AND($O43&lt;&gt;"",$O43&gt;0,OR($N43/$O43&lt;BGB_FRACTION_MIN,$N43/$O43&gt;BGB_FRACTION_MAX)),"Below-ground share is "&amp;TEXT($N43/$O43,"0%")&amp;", outside the 18–30% the Trees guide describes. ",""))</f>
        <v/>
      </c>
    </row>
    <row r="44" customFormat="false" ht="15" hidden="false" customHeight="false" outlineLevel="0" collapsed="false">
      <c r="A44" s="13" t="s">
        <v>83</v>
      </c>
      <c r="B44" s="13" t="n">
        <v>10</v>
      </c>
      <c r="C44" s="13" t="s">
        <v>139</v>
      </c>
      <c r="D44" s="13" t="n">
        <v>23.1</v>
      </c>
      <c r="E44" s="13" t="n">
        <v>19.7</v>
      </c>
      <c r="F44" s="14" t="n">
        <f aca="false">IF($C44="","",IFERROR(12+(MATCH($C44,'R1. Tree Coefficients'!$L$12:$L$53,0)-1)*4,""))</f>
        <v>84</v>
      </c>
      <c r="G44" s="14" t="str">
        <f aca="false">IF($F44="","",IF(AND($E44&lt;&gt;"",$E44&gt;0),"DBH + height","DBH only"))</f>
        <v>DBH + height</v>
      </c>
      <c r="H44" s="14" t="n">
        <f aca="false">IF(OR($D44="",$F44=""),"",IF($E44&gt;0,INDEX('R1. Tree Coefficients'!$F:$F,$F44+0)*($D44^INDEX('R1. Tree Coefficients'!$G:$G,$F44+0))*($E44^INDEX('R1. Tree Coefficients'!$H:$H,$F44+0)),INDEX('R1. Tree Coefficients'!$D:$D,$F44+0)*($D44^INDEX('R1. Tree Coefficients'!$E:$E,$F44+0))))</f>
        <v>163.465577598012</v>
      </c>
      <c r="I44" s="14" t="n">
        <f aca="false">IF(OR($D44="",$F44=""),"",IF($E44&gt;0,INDEX('R1. Tree Coefficients'!$F:$F,$F44+1)*($D44^INDEX('R1. Tree Coefficients'!$G:$G,$F44+1))*($E44^INDEX('R1. Tree Coefficients'!$H:$H,$F44+1)),INDEX('R1. Tree Coefficients'!$D:$D,$F44+1)*($D44^INDEX('R1. Tree Coefficients'!$E:$E,$F44+1))))</f>
        <v>12.6268099616959</v>
      </c>
      <c r="J44" s="14" t="n">
        <f aca="false">IF(OR($D44="",$F44=""),"",IF($E44&gt;0,INDEX('R1. Tree Coefficients'!$F:$F,$F44+2)*($D44^INDEX('R1. Tree Coefficients'!$G:$G,$F44+2))*($E44^INDEX('R1. Tree Coefficients'!$H:$H,$F44+2)),INDEX('R1. Tree Coefficients'!$D:$D,$F44+2)*($D44^INDEX('R1. Tree Coefficients'!$E:$E,$F44+2))))</f>
        <v>14.6890787825104</v>
      </c>
      <c r="K44" s="14" t="n">
        <f aca="false">IF(OR($D44="",$F44=""),"",IF($E44&gt;0,INDEX('R1. Tree Coefficients'!$F:$F,$F44+3)*($D44^INDEX('R1. Tree Coefficients'!$G:$G,$F44+3))*($E44^INDEX('R1. Tree Coefficients'!$H:$H,$F44+3)),INDEX('R1. Tree Coefficients'!$D:$D,$F44+3)*($D44^INDEX('R1. Tree Coefficients'!$E:$E,$F44+3))))</f>
        <v>8.91015419555513</v>
      </c>
      <c r="L44" s="14" t="n">
        <f aca="false">IF($F44="","",IFERROR(SUM($H44:$K44),""))</f>
        <v>199.691620537774</v>
      </c>
      <c r="M44" s="14" t="str">
        <f aca="false">IF($F44="","",INDEX('R1. Tree Coefficients'!$J:$J,$F44))</f>
        <v>Conifers</v>
      </c>
      <c r="N44" s="14" t="n">
        <f aca="false">IF($L44="","",IF($M44="Deciduous",BGB_RS_DECIDUOUS_a*($L44^BGB_RS_DECIDUOUS_b),IF($M44="Conifers",BGB_RS_CONIFER*$L44,AVERAGE(BGB_RS_DECIDUOUS_a*($L44^BGB_RS_DECIDUOUS_b),BGB_RS_CONIFER*$L44))))</f>
        <v>44.3315397593857</v>
      </c>
      <c r="O44" s="14" t="n">
        <f aca="false">IF($L44="","",$L44+$N44)</f>
        <v>244.023160297159</v>
      </c>
      <c r="P44" s="14" t="n">
        <f aca="false">IF($O44="","",$O44*CARBON_FRACTION_BIOMASS)</f>
        <v>122.01158014858</v>
      </c>
      <c r="Q44" s="14" t="str">
        <f aca="false">IF(AND($A44="",$C44=""),"",IF(AND($A44&lt;&gt;"",COUNTIF('1. Plot &amp; Site Log'!$A$5:$A$64,$A44)=0),"Plot ID not in Plot &amp; Site Log — this tree will not reach the summary. ","")&amp;IF($A44="","No Plot ID. ","")&amp;IF(AND($C44&lt;&gt;"",$F44=""),"Species not in the coefficient list — check the spelling against R1. ","")&amp;IF($D44="","No DBH — nothing can be calculated. ","")&amp;IF(AND($D44&lt;&gt;"",$D44&gt;QC_DBH_MAX_CM),"DBH above "&amp;QC_DBH_MAX_CM&amp;" cm — check for a transcription error. ","")&amp;IF($M44="All","Generic species: no published root:shoot applies, so below-ground biomass is the mean of the deciduous and conifer relationships. Choose a species, or Deciduous/Conifers, if you can. ","")&amp;IF(AND($O44&lt;&gt;"",$O44&gt;0,OR($N44/$O44&lt;BGB_FRACTION_MIN,$N44/$O44&gt;BGB_FRACTION_MAX)),"Below-ground share is "&amp;TEXT($N44/$O44,"0%")&amp;", outside the 18–30% the Trees guide describes. ",""))</f>
        <v/>
      </c>
    </row>
    <row r="45" customFormat="false" ht="15" hidden="false" customHeight="false" outlineLevel="0" collapsed="false">
      <c r="A45" s="13" t="s">
        <v>83</v>
      </c>
      <c r="B45" s="13" t="n">
        <v>11</v>
      </c>
      <c r="C45" s="13" t="s">
        <v>137</v>
      </c>
      <c r="D45" s="13" t="n">
        <v>26.4</v>
      </c>
      <c r="E45" s="13"/>
      <c r="F45" s="14" t="n">
        <f aca="false">IF($C45="","",IFERROR(12+(MATCH($C45,'R1. Tree Coefficients'!$L$12:$L$53,0)-1)*4,""))</f>
        <v>172</v>
      </c>
      <c r="G45" s="14" t="str">
        <f aca="false">IF($F45="","",IF(AND($E45&lt;&gt;"",$E45&gt;0),"DBH + height","DBH only"))</f>
        <v>DBH only</v>
      </c>
      <c r="H45" s="14" t="n">
        <f aca="false">IF(OR($D45="",$F45=""),"",IF($E45&gt;0,INDEX('R1. Tree Coefficients'!$F:$F,$F45+0)*($D45^INDEX('R1. Tree Coefficients'!$G:$G,$F45+0))*($E45^INDEX('R1. Tree Coefficients'!$H:$H,$F45+0)),INDEX('R1. Tree Coefficients'!$D:$D,$F45+0)*($D45^INDEX('R1. Tree Coefficients'!$E:$E,$F45+0))))</f>
        <v>164.844123178909</v>
      </c>
      <c r="I45" s="14" t="n">
        <f aca="false">IF(OR($D45="",$F45=""),"",IF($E45&gt;0,INDEX('R1. Tree Coefficients'!$F:$F,$F45+1)*($D45^INDEX('R1. Tree Coefficients'!$G:$G,$F45+1))*($E45^INDEX('R1. Tree Coefficients'!$H:$H,$F45+1)),INDEX('R1. Tree Coefficients'!$D:$D,$F45+1)*($D45^INDEX('R1. Tree Coefficients'!$E:$E,$F45+1))))</f>
        <v>21.6121028440714</v>
      </c>
      <c r="J45" s="14" t="n">
        <f aca="false">IF(OR($D45="",$F45=""),"",IF($E45&gt;0,INDEX('R1. Tree Coefficients'!$F:$F,$F45+2)*($D45^INDEX('R1. Tree Coefficients'!$G:$G,$F45+2))*($E45^INDEX('R1. Tree Coefficients'!$H:$H,$F45+2)),INDEX('R1. Tree Coefficients'!$D:$D,$F45+2)*($D45^INDEX('R1. Tree Coefficients'!$E:$E,$F45+2))))</f>
        <v>28.5100172918837</v>
      </c>
      <c r="K45" s="14" t="n">
        <f aca="false">IF(OR($D45="",$F45=""),"",IF($E45&gt;0,INDEX('R1. Tree Coefficients'!$F:$F,$F45+3)*($D45^INDEX('R1. Tree Coefficients'!$G:$G,$F45+3))*($E45^INDEX('R1. Tree Coefficients'!$H:$H,$F45+3)),INDEX('R1. Tree Coefficients'!$D:$D,$F45+3)*($D45^INDEX('R1. Tree Coefficients'!$E:$E,$F45+3))))</f>
        <v>20.6311980379621</v>
      </c>
      <c r="L45" s="14" t="n">
        <f aca="false">IF($F45="","",IFERROR(SUM($H45:$K45),""))</f>
        <v>235.597441352826</v>
      </c>
      <c r="M45" s="14" t="str">
        <f aca="false">IF($F45="","",INDEX('R1. Tree Coefficients'!$J:$J,$F45))</f>
        <v>Conifers</v>
      </c>
      <c r="N45" s="14" t="n">
        <f aca="false">IF($L45="","",IF($M45="Deciduous",BGB_RS_DECIDUOUS_a*($L45^BGB_RS_DECIDUOUS_b),IF($M45="Conifers",BGB_RS_CONIFER*$L45,AVERAGE(BGB_RS_DECIDUOUS_a*($L45^BGB_RS_DECIDUOUS_b),BGB_RS_CONIFER*$L45))))</f>
        <v>52.3026319803273</v>
      </c>
      <c r="O45" s="14" t="n">
        <f aca="false">IF($L45="","",$L45+$N45)</f>
        <v>287.900073333153</v>
      </c>
      <c r="P45" s="14" t="n">
        <f aca="false">IF($O45="","",$O45*CARBON_FRACTION_BIOMASS)</f>
        <v>143.950036666577</v>
      </c>
      <c r="Q45" s="14" t="str">
        <f aca="false">IF(AND($A45="",$C45=""),"",IF(AND($A45&lt;&gt;"",COUNTIF('1. Plot &amp; Site Log'!$A$5:$A$64,$A45)=0),"Plot ID not in Plot &amp; Site Log — this tree will not reach the summary. ","")&amp;IF($A45="","No Plot ID. ","")&amp;IF(AND($C45&lt;&gt;"",$F45=""),"Species not in the coefficient list — check the spelling against R1. ","")&amp;IF($D45="","No DBH — nothing can be calculated. ","")&amp;IF(AND($D45&lt;&gt;"",$D45&gt;QC_DBH_MAX_CM),"DBH above "&amp;QC_DBH_MAX_CM&amp;" cm — check for a transcription error. ","")&amp;IF($M45="All","Generic species: no published root:shoot applies, so below-ground biomass is the mean of the deciduous and conifer relationships. Choose a species, or Deciduous/Conifers, if you can. ","")&amp;IF(AND($O45&lt;&gt;"",$O45&gt;0,OR($N45/$O45&lt;BGB_FRACTION_MIN,$N45/$O45&gt;BGB_FRACTION_MAX)),"Below-ground share is "&amp;TEXT($N45/$O45,"0%")&amp;", outside the 18–30% the Trees guide describes. ",""))</f>
        <v/>
      </c>
    </row>
    <row r="46" customFormat="false" ht="15" hidden="false" customHeight="false" outlineLevel="0" collapsed="false">
      <c r="A46" s="13" t="s">
        <v>83</v>
      </c>
      <c r="B46" s="13" t="n">
        <v>12</v>
      </c>
      <c r="C46" s="13" t="s">
        <v>134</v>
      </c>
      <c r="D46" s="13" t="n">
        <v>21.3</v>
      </c>
      <c r="E46" s="13"/>
      <c r="F46" s="14" t="n">
        <f aca="false">IF($C46="","",IFERROR(12+(MATCH($C46,'R1. Tree Coefficients'!$L$12:$L$53,0)-1)*4,""))</f>
        <v>160</v>
      </c>
      <c r="G46" s="14" t="str">
        <f aca="false">IF($F46="","",IF(AND($E46&lt;&gt;"",$E46&gt;0),"DBH + height","DBH only"))</f>
        <v>DBH only</v>
      </c>
      <c r="H46" s="14" t="n">
        <f aca="false">IF(OR($D46="",$F46=""),"",IF($E46&gt;0,INDEX('R1. Tree Coefficients'!$F:$F,$F46+0)*($D46^INDEX('R1. Tree Coefficients'!$G:$G,$F46+0))*($E46^INDEX('R1. Tree Coefficients'!$H:$H,$F46+0)),INDEX('R1. Tree Coefficients'!$D:$D,$F46+0)*($D46^INDEX('R1. Tree Coefficients'!$E:$E,$F46+0))))</f>
        <v>124.893429385851</v>
      </c>
      <c r="I46" s="14" t="n">
        <f aca="false">IF(OR($D46="",$F46=""),"",IF($E46&gt;0,INDEX('R1. Tree Coefficients'!$F:$F,$F46+1)*($D46^INDEX('R1. Tree Coefficients'!$G:$G,$F46+1))*($E46^INDEX('R1. Tree Coefficients'!$H:$H,$F46+1)),INDEX('R1. Tree Coefficients'!$D:$D,$F46+1)*($D46^INDEX('R1. Tree Coefficients'!$E:$E,$F46+1))))</f>
        <v>21.0867942726098</v>
      </c>
      <c r="J46" s="14" t="n">
        <f aca="false">IF(OR($D46="",$F46=""),"",IF($E46&gt;0,INDEX('R1. Tree Coefficients'!$F:$F,$F46+2)*($D46^INDEX('R1. Tree Coefficients'!$G:$G,$F46+2))*($E46^INDEX('R1. Tree Coefficients'!$H:$H,$F46+2)),INDEX('R1. Tree Coefficients'!$D:$D,$F46+2)*($D46^INDEX('R1. Tree Coefficients'!$E:$E,$F46+2))))</f>
        <v>32.9929052900398</v>
      </c>
      <c r="K46" s="14" t="n">
        <f aca="false">IF(OR($D46="",$F46=""),"",IF($E46&gt;0,INDEX('R1. Tree Coefficients'!$F:$F,$F46+3)*($D46^INDEX('R1. Tree Coefficients'!$G:$G,$F46+3))*($E46^INDEX('R1. Tree Coefficients'!$H:$H,$F46+3)),INDEX('R1. Tree Coefficients'!$D:$D,$F46+3)*($D46^INDEX('R1. Tree Coefficients'!$E:$E,$F46+3))))</f>
        <v>7.97585064742259</v>
      </c>
      <c r="L46" s="14" t="n">
        <f aca="false">IF($F46="","",IFERROR(SUM($H46:$K46),""))</f>
        <v>186.948979595924</v>
      </c>
      <c r="M46" s="14" t="str">
        <f aca="false">IF($F46="","",INDEX('R1. Tree Coefficients'!$J:$J,$F46))</f>
        <v>Deciduous</v>
      </c>
      <c r="N46" s="14" t="n">
        <f aca="false">IF($L46="","",IF($M46="Deciduous",BGB_RS_DECIDUOUS_a*($L46^BGB_RS_DECIDUOUS_b),IF($M46="Conifers",BGB_RS_CONIFER*$L46,AVERAGE(BGB_RS_DECIDUOUS_a*($L46^BGB_RS_DECIDUOUS_b),BGB_RS_CONIFER*$L46))))</f>
        <v>39.3247453551494</v>
      </c>
      <c r="O46" s="14" t="n">
        <f aca="false">IF($L46="","",$L46+$N46)</f>
        <v>226.273724951073</v>
      </c>
      <c r="P46" s="14" t="n">
        <f aca="false">IF($O46="","",$O46*CARBON_FRACTION_BIOMASS)</f>
        <v>113.136862475536</v>
      </c>
      <c r="Q46" s="14" t="str">
        <f aca="false">IF(AND($A46="",$C46=""),"",IF(AND($A46&lt;&gt;"",COUNTIF('1. Plot &amp; Site Log'!$A$5:$A$64,$A46)=0),"Plot ID not in Plot &amp; Site Log — this tree will not reach the summary. ","")&amp;IF($A46="","No Plot ID. ","")&amp;IF(AND($C46&lt;&gt;"",$F46=""),"Species not in the coefficient list — check the spelling against R1. ","")&amp;IF($D46="","No DBH — nothing can be calculated. ","")&amp;IF(AND($D46&lt;&gt;"",$D46&gt;QC_DBH_MAX_CM),"DBH above "&amp;QC_DBH_MAX_CM&amp;" cm — check for a transcription error. ","")&amp;IF($M46="All","Generic species: no published root:shoot applies, so below-ground biomass is the mean of the deciduous and conifer relationships. Choose a species, or Deciduous/Conifers, if you can. ","")&amp;IF(AND($O46&lt;&gt;"",$O46&gt;0,OR($N46/$O46&lt;BGB_FRACTION_MIN,$N46/$O46&gt;BGB_FRACTION_MAX)),"Below-ground share is "&amp;TEXT($N46/$O46,"0%")&amp;", outside the 18–30% the Trees guide describes. ",""))</f>
        <v/>
      </c>
    </row>
    <row r="47" customFormat="false" ht="15" hidden="false" customHeight="false" outlineLevel="0" collapsed="false">
      <c r="A47" s="13" t="s">
        <v>83</v>
      </c>
      <c r="B47" s="13" t="n">
        <v>13</v>
      </c>
      <c r="C47" s="13" t="s">
        <v>138</v>
      </c>
      <c r="D47" s="13" t="n">
        <v>19.5</v>
      </c>
      <c r="E47" s="13" t="n">
        <v>18.8</v>
      </c>
      <c r="F47" s="14" t="n">
        <f aca="false">IF($C47="","",IFERROR(12+(MATCH($C47,'R1. Tree Coefficients'!$L$12:$L$53,0)-1)*4,""))</f>
        <v>144</v>
      </c>
      <c r="G47" s="14" t="str">
        <f aca="false">IF($F47="","",IF(AND($E47&lt;&gt;"",$E47&gt;0),"DBH + height","DBH only"))</f>
        <v>DBH + height</v>
      </c>
      <c r="H47" s="14" t="n">
        <f aca="false">IF(OR($D47="",$F47=""),"",IF($E47&gt;0,INDEX('R1. Tree Coefficients'!$F:$F,$F47+0)*($D47^INDEX('R1. Tree Coefficients'!$G:$G,$F47+0))*($E47^INDEX('R1. Tree Coefficients'!$H:$H,$F47+0)),INDEX('R1. Tree Coefficients'!$D:$D,$F47+0)*($D47^INDEX('R1. Tree Coefficients'!$E:$E,$F47+0))))</f>
        <v>100.446698060278</v>
      </c>
      <c r="I47" s="14" t="n">
        <f aca="false">IF(OR($D47="",$F47=""),"",IF($E47&gt;0,INDEX('R1. Tree Coefficients'!$F:$F,$F47+1)*($D47^INDEX('R1. Tree Coefficients'!$G:$G,$F47+1))*($E47^INDEX('R1. Tree Coefficients'!$H:$H,$F47+1)),INDEX('R1. Tree Coefficients'!$D:$D,$F47+1)*($D47^INDEX('R1. Tree Coefficients'!$E:$E,$F47+1))))</f>
        <v>21.2778314428662</v>
      </c>
      <c r="J47" s="14" t="n">
        <f aca="false">IF(OR($D47="",$F47=""),"",IF($E47&gt;0,INDEX('R1. Tree Coefficients'!$F:$F,$F47+2)*($D47^INDEX('R1. Tree Coefficients'!$G:$G,$F47+2))*($E47^INDEX('R1. Tree Coefficients'!$H:$H,$F47+2)),INDEX('R1. Tree Coefficients'!$D:$D,$F47+2)*($D47^INDEX('R1. Tree Coefficients'!$E:$E,$F47+2))))</f>
        <v>13.258058397646</v>
      </c>
      <c r="K47" s="14" t="n">
        <f aca="false">IF(OR($D47="",$F47=""),"",IF($E47&gt;0,INDEX('R1. Tree Coefficients'!$F:$F,$F47+3)*($D47^INDEX('R1. Tree Coefficients'!$G:$G,$F47+3))*($E47^INDEX('R1. Tree Coefficients'!$H:$H,$F47+3)),INDEX('R1. Tree Coefficients'!$D:$D,$F47+3)*($D47^INDEX('R1. Tree Coefficients'!$E:$E,$F47+3))))</f>
        <v>3.3109588824779</v>
      </c>
      <c r="L47" s="14" t="n">
        <f aca="false">IF($F47="","",IFERROR(SUM($H47:$K47),""))</f>
        <v>138.293546783268</v>
      </c>
      <c r="M47" s="14" t="str">
        <f aca="false">IF($F47="","",INDEX('R1. Tree Coefficients'!$J:$J,$F47))</f>
        <v>Deciduous</v>
      </c>
      <c r="N47" s="14" t="n">
        <f aca="false">IF($L47="","",IF($M47="Deciduous",BGB_RS_DECIDUOUS_a*($L47^BGB_RS_DECIDUOUS_b),IF($M47="Conifers",BGB_RS_CONIFER*$L47,AVERAGE(BGB_RS_DECIDUOUS_a*($L47^BGB_RS_DECIDUOUS_b),BGB_RS_CONIFER*$L47))))</f>
        <v>32.6700192889863</v>
      </c>
      <c r="O47" s="14" t="n">
        <f aca="false">IF($L47="","",$L47+$N47)</f>
        <v>170.963566072254</v>
      </c>
      <c r="P47" s="14" t="n">
        <f aca="false">IF($O47="","",$O47*CARBON_FRACTION_BIOMASS)</f>
        <v>85.481783036127</v>
      </c>
      <c r="Q47" s="14" t="str">
        <f aca="false">IF(AND($A47="",$C47=""),"",IF(AND($A47&lt;&gt;"",COUNTIF('1. Plot &amp; Site Log'!$A$5:$A$64,$A47)=0),"Plot ID not in Plot &amp; Site Log — this tree will not reach the summary. ","")&amp;IF($A47="","No Plot ID. ","")&amp;IF(AND($C47&lt;&gt;"",$F47=""),"Species not in the coefficient list — check the spelling against R1. ","")&amp;IF($D47="","No DBH — nothing can be calculated. ","")&amp;IF(AND($D47&lt;&gt;"",$D47&gt;QC_DBH_MAX_CM),"DBH above "&amp;QC_DBH_MAX_CM&amp;" cm — check for a transcription error. ","")&amp;IF($M47="All","Generic species: no published root:shoot applies, so below-ground biomass is the mean of the deciduous and conifer relationships. Choose a species, or Deciduous/Conifers, if you can. ","")&amp;IF(AND($O47&lt;&gt;"",$O47&gt;0,OR($N47/$O47&lt;BGB_FRACTION_MIN,$N47/$O47&gt;BGB_FRACTION_MAX)),"Below-ground share is "&amp;TEXT($N47/$O47,"0%")&amp;", outside the 18–30% the Trees guide describes. ",""))</f>
        <v/>
      </c>
    </row>
    <row r="48" customFormat="false" ht="15" hidden="false" customHeight="false" outlineLevel="0" collapsed="false">
      <c r="A48" s="13" t="s">
        <v>86</v>
      </c>
      <c r="B48" s="13" t="n">
        <v>1</v>
      </c>
      <c r="C48" s="13" t="s">
        <v>136</v>
      </c>
      <c r="D48" s="13" t="n">
        <v>5.5</v>
      </c>
      <c r="E48" s="13" t="n">
        <v>7.5</v>
      </c>
      <c r="F48" s="14" t="n">
        <f aca="false">IF($C48="","",IFERROR(12+(MATCH($C48,'R1. Tree Coefficients'!$L$12:$L$53,0)-1)*4,""))</f>
        <v>24</v>
      </c>
      <c r="G48" s="14" t="str">
        <f aca="false">IF($F48="","",IF(AND($E48&lt;&gt;"",$E48&gt;0),"DBH + height","DBH only"))</f>
        <v>DBH + height</v>
      </c>
      <c r="H48" s="14" t="n">
        <f aca="false">IF(OR($D48="",$F48=""),"",IF($E48&gt;0,INDEX('R1. Tree Coefficients'!$F:$F,$F48+0)*($D48^INDEX('R1. Tree Coefficients'!$G:$G,$F48+0))*($E48^INDEX('R1. Tree Coefficients'!$H:$H,$F48+0)),INDEX('R1. Tree Coefficients'!$D:$D,$F48+0)*($D48^INDEX('R1. Tree Coefficients'!$E:$E,$F48+0))))</f>
        <v>3.83251665711314</v>
      </c>
      <c r="I48" s="14" t="n">
        <f aca="false">IF(OR($D48="",$F48=""),"",IF($E48&gt;0,INDEX('R1. Tree Coefficients'!$F:$F,$F48+1)*($D48^INDEX('R1. Tree Coefficients'!$G:$G,$F48+1))*($E48^INDEX('R1. Tree Coefficients'!$H:$H,$F48+1)),INDEX('R1. Tree Coefficients'!$D:$D,$F48+1)*($D48^INDEX('R1. Tree Coefficients'!$E:$E,$F48+1))))</f>
        <v>0.604042936612965</v>
      </c>
      <c r="J48" s="14" t="n">
        <f aca="false">IF(OR($D48="",$F48=""),"",IF($E48&gt;0,INDEX('R1. Tree Coefficients'!$F:$F,$F48+2)*($D48^INDEX('R1. Tree Coefficients'!$G:$G,$F48+2))*($E48^INDEX('R1. Tree Coefficients'!$H:$H,$F48+2)),INDEX('R1. Tree Coefficients'!$D:$D,$F48+2)*($D48^INDEX('R1. Tree Coefficients'!$E:$E,$F48+2))))</f>
        <v>0.337700818999179</v>
      </c>
      <c r="K48" s="14" t="n">
        <f aca="false">IF(OR($D48="",$F48=""),"",IF($E48&gt;0,INDEX('R1. Tree Coefficients'!$F:$F,$F48+3)*($D48^INDEX('R1. Tree Coefficients'!$G:$G,$F48+3))*($E48^INDEX('R1. Tree Coefficients'!$H:$H,$F48+3)),INDEX('R1. Tree Coefficients'!$D:$D,$F48+3)*($D48^INDEX('R1. Tree Coefficients'!$E:$E,$F48+3))))</f>
        <v>0.955895942675412</v>
      </c>
      <c r="L48" s="14" t="n">
        <f aca="false">IF($F48="","",IFERROR(SUM($H48:$K48),""))</f>
        <v>5.7301563554007</v>
      </c>
      <c r="M48" s="14" t="str">
        <f aca="false">IF($F48="","",INDEX('R1. Tree Coefficients'!$J:$J,$F48))</f>
        <v>Conifers</v>
      </c>
      <c r="N48" s="14" t="n">
        <f aca="false">IF($L48="","",IF($M48="Deciduous",BGB_RS_DECIDUOUS_a*($L48^BGB_RS_DECIDUOUS_b),IF($M48="Conifers",BGB_RS_CONIFER*$L48,AVERAGE(BGB_RS_DECIDUOUS_a*($L48^BGB_RS_DECIDUOUS_b),BGB_RS_CONIFER*$L48))))</f>
        <v>1.27209471089895</v>
      </c>
      <c r="O48" s="14" t="n">
        <f aca="false">IF($L48="","",$L48+$N48)</f>
        <v>7.00225106629965</v>
      </c>
      <c r="P48" s="14" t="n">
        <f aca="false">IF($O48="","",$O48*CARBON_FRACTION_BIOMASS)</f>
        <v>3.50112553314982</v>
      </c>
      <c r="Q48" s="14" t="str">
        <f aca="false">IF(AND($A48="",$C48=""),"",IF(AND($A48&lt;&gt;"",COUNTIF('1. Plot &amp; Site Log'!$A$5:$A$64,$A48)=0),"Plot ID not in Plot &amp; Site Log — this tree will not reach the summary. ","")&amp;IF($A48="","No Plot ID. ","")&amp;IF(AND($C48&lt;&gt;"",$F48=""),"Species not in the coefficient list — check the spelling against R1. ","")&amp;IF($D48="","No DBH — nothing can be calculated. ","")&amp;IF(AND($D48&lt;&gt;"",$D48&gt;QC_DBH_MAX_CM),"DBH above "&amp;QC_DBH_MAX_CM&amp;" cm — check for a transcription error. ","")&amp;IF($M48="All","Generic species: no published root:shoot applies, so below-ground biomass is the mean of the deciduous and conifer relationships. Choose a species, or Deciduous/Conifers, if you can. ","")&amp;IF(AND($O48&lt;&gt;"",$O48&gt;0,OR($N48/$O48&lt;BGB_FRACTION_MIN,$N48/$O48&gt;BGB_FRACTION_MAX)),"Below-ground share is "&amp;TEXT($N48/$O48,"0%")&amp;", outside the 18–30% the Trees guide describes. ",""))</f>
        <v/>
      </c>
    </row>
    <row r="49" customFormat="false" ht="15" hidden="false" customHeight="false" outlineLevel="0" collapsed="false">
      <c r="A49" s="13" t="s">
        <v>86</v>
      </c>
      <c r="B49" s="13" t="n">
        <v>2</v>
      </c>
      <c r="C49" s="13" t="s">
        <v>135</v>
      </c>
      <c r="D49" s="13" t="n">
        <v>24.8</v>
      </c>
      <c r="E49" s="13"/>
      <c r="F49" s="14" t="n">
        <f aca="false">IF($C49="","",IFERROR(12+(MATCH($C49,'R1. Tree Coefficients'!$L$12:$L$53,0)-1)*4,""))</f>
        <v>48</v>
      </c>
      <c r="G49" s="14" t="str">
        <f aca="false">IF($F49="","",IF(AND($E49&lt;&gt;"",$E49&gt;0),"DBH + height","DBH only"))</f>
        <v>DBH only</v>
      </c>
      <c r="H49" s="14" t="n">
        <f aca="false">IF(OR($D49="",$F49=""),"",IF($E49&gt;0,INDEX('R1. Tree Coefficients'!$F:$F,$F49+0)*($D49^INDEX('R1. Tree Coefficients'!$G:$G,$F49+0))*($E49^INDEX('R1. Tree Coefficients'!$H:$H,$F49+0)),INDEX('R1. Tree Coefficients'!$D:$D,$F49+0)*($D49^INDEX('R1. Tree Coefficients'!$E:$E,$F49+0))))</f>
        <v>152.525437783083</v>
      </c>
      <c r="I49" s="14" t="n">
        <f aca="false">IF(OR($D49="",$F49=""),"",IF($E49&gt;0,INDEX('R1. Tree Coefficients'!$F:$F,$F49+1)*($D49^INDEX('R1. Tree Coefficients'!$G:$G,$F49+1))*($E49^INDEX('R1. Tree Coefficients'!$H:$H,$F49+1)),INDEX('R1. Tree Coefficients'!$D:$D,$F49+1)*($D49^INDEX('R1. Tree Coefficients'!$E:$E,$F49+1))))</f>
        <v>20.2740879542855</v>
      </c>
      <c r="J49" s="14" t="n">
        <f aca="false">IF(OR($D49="",$F49=""),"",IF($E49&gt;0,INDEX('R1. Tree Coefficients'!$F:$F,$F49+2)*($D49^INDEX('R1. Tree Coefficients'!$G:$G,$F49+2))*($E49^INDEX('R1. Tree Coefficients'!$H:$H,$F49+2)),INDEX('R1. Tree Coefficients'!$D:$D,$F49+2)*($D49^INDEX('R1. Tree Coefficients'!$E:$E,$F49+2))))</f>
        <v>22.778214160632</v>
      </c>
      <c r="K49" s="14" t="n">
        <f aca="false">IF(OR($D49="",$F49=""),"",IF($E49&gt;0,INDEX('R1. Tree Coefficients'!$F:$F,$F49+3)*($D49^INDEX('R1. Tree Coefficients'!$G:$G,$F49+3))*($E49^INDEX('R1. Tree Coefficients'!$H:$H,$F49+3)),INDEX('R1. Tree Coefficients'!$D:$D,$F49+3)*($D49^INDEX('R1. Tree Coefficients'!$E:$E,$F49+3))))</f>
        <v>15.6907297186958</v>
      </c>
      <c r="L49" s="14" t="n">
        <f aca="false">IF($F49="","",IFERROR(SUM($H49:$K49),""))</f>
        <v>211.268469616696</v>
      </c>
      <c r="M49" s="14" t="str">
        <f aca="false">IF($F49="","",INDEX('R1. Tree Coefficients'!$J:$J,$F49))</f>
        <v>Conifers</v>
      </c>
      <c r="N49" s="14" t="n">
        <f aca="false">IF($L49="","",IF($M49="Deciduous",BGB_RS_DECIDUOUS_a*($L49^BGB_RS_DECIDUOUS_b),IF($M49="Conifers",BGB_RS_CONIFER*$L49,AVERAGE(BGB_RS_DECIDUOUS_a*($L49^BGB_RS_DECIDUOUS_b),BGB_RS_CONIFER*$L49))))</f>
        <v>46.9016002549066</v>
      </c>
      <c r="O49" s="14" t="n">
        <f aca="false">IF($L49="","",$L49+$N49)</f>
        <v>258.170069871603</v>
      </c>
      <c r="P49" s="14" t="n">
        <f aca="false">IF($O49="","",$O49*CARBON_FRACTION_BIOMASS)</f>
        <v>129.085034935802</v>
      </c>
      <c r="Q49" s="14" t="str">
        <f aca="false">IF(AND($A49="",$C49=""),"",IF(AND($A49&lt;&gt;"",COUNTIF('1. Plot &amp; Site Log'!$A$5:$A$64,$A49)=0),"Plot ID not in Plot &amp; Site Log — this tree will not reach the summary. ","")&amp;IF($A49="","No Plot ID. ","")&amp;IF(AND($C49&lt;&gt;"",$F49=""),"Species not in the coefficient list — check the spelling against R1. ","")&amp;IF($D49="","No DBH — nothing can be calculated. ","")&amp;IF(AND($D49&lt;&gt;"",$D49&gt;QC_DBH_MAX_CM),"DBH above "&amp;QC_DBH_MAX_CM&amp;" cm — check for a transcription error. ","")&amp;IF($M49="All","Generic species: no published root:shoot applies, so below-ground biomass is the mean of the deciduous and conifer relationships. Choose a species, or Deciduous/Conifers, if you can. ","")&amp;IF(AND($O49&lt;&gt;"",$O49&gt;0,OR($N49/$O49&lt;BGB_FRACTION_MIN,$N49/$O49&gt;BGB_FRACTION_MAX)),"Below-ground share is "&amp;TEXT($N49/$O49,"0%")&amp;", outside the 18–30% the Trees guide describes. ",""))</f>
        <v/>
      </c>
    </row>
    <row r="50" customFormat="false" ht="15" hidden="false" customHeight="false" outlineLevel="0" collapsed="false">
      <c r="A50" s="13" t="s">
        <v>86</v>
      </c>
      <c r="B50" s="13" t="n">
        <v>3</v>
      </c>
      <c r="C50" s="13" t="s">
        <v>135</v>
      </c>
      <c r="D50" s="13" t="n">
        <v>13.6</v>
      </c>
      <c r="E50" s="13"/>
      <c r="F50" s="14" t="n">
        <f aca="false">IF($C50="","",IFERROR(12+(MATCH($C50,'R1. Tree Coefficients'!$L$12:$L$53,0)-1)*4,""))</f>
        <v>48</v>
      </c>
      <c r="G50" s="14" t="str">
        <f aca="false">IF($F50="","",IF(AND($E50&lt;&gt;"",$E50&gt;0),"DBH + height","DBH only"))</f>
        <v>DBH only</v>
      </c>
      <c r="H50" s="14" t="n">
        <f aca="false">IF(OR($D50="",$F50=""),"",IF($E50&gt;0,INDEX('R1. Tree Coefficients'!$F:$F,$F50+0)*($D50^INDEX('R1. Tree Coefficients'!$G:$G,$F50+0))*($E50^INDEX('R1. Tree Coefficients'!$H:$H,$F50+0)),INDEX('R1. Tree Coefficients'!$D:$D,$F50+0)*($D50^INDEX('R1. Tree Coefficients'!$E:$E,$F50+0))))</f>
        <v>33.9162686872403</v>
      </c>
      <c r="I50" s="14" t="n">
        <f aca="false">IF(OR($D50="",$F50=""),"",IF($E50&gt;0,INDEX('R1. Tree Coefficients'!$F:$F,$F50+1)*($D50^INDEX('R1. Tree Coefficients'!$G:$G,$F50+1))*($E50^INDEX('R1. Tree Coefficients'!$H:$H,$F50+1)),INDEX('R1. Tree Coefficients'!$D:$D,$F50+1)*($D50^INDEX('R1. Tree Coefficients'!$E:$E,$F50+1))))</f>
        <v>5.24860797371494</v>
      </c>
      <c r="J50" s="14" t="n">
        <f aca="false">IF(OR($D50="",$F50=""),"",IF($E50&gt;0,INDEX('R1. Tree Coefficients'!$F:$F,$F50+2)*($D50^INDEX('R1. Tree Coefficients'!$G:$G,$F50+2))*($E50^INDEX('R1. Tree Coefficients'!$H:$H,$F50+2)),INDEX('R1. Tree Coefficients'!$D:$D,$F50+2)*($D50^INDEX('R1. Tree Coefficients'!$E:$E,$F50+2))))</f>
        <v>6.54786290337512</v>
      </c>
      <c r="K50" s="14" t="n">
        <f aca="false">IF(OR($D50="",$F50=""),"",IF($E50&gt;0,INDEX('R1. Tree Coefficients'!$F:$F,$F50+3)*($D50^INDEX('R1. Tree Coefficients'!$G:$G,$F50+3))*($E50^INDEX('R1. Tree Coefficients'!$H:$H,$F50+3)),INDEX('R1. Tree Coefficients'!$D:$D,$F50+3)*($D50^INDEX('R1. Tree Coefficients'!$E:$E,$F50+3))))</f>
        <v>6.67687116857318</v>
      </c>
      <c r="L50" s="14" t="n">
        <f aca="false">IF($F50="","",IFERROR(SUM($H50:$K50),""))</f>
        <v>52.3896107329036</v>
      </c>
      <c r="M50" s="14" t="str">
        <f aca="false">IF($F50="","",INDEX('R1. Tree Coefficients'!$J:$J,$F50))</f>
        <v>Conifers</v>
      </c>
      <c r="N50" s="14" t="n">
        <f aca="false">IF($L50="","",IF($M50="Deciduous",BGB_RS_DECIDUOUS_a*($L50^BGB_RS_DECIDUOUS_b),IF($M50="Conifers",BGB_RS_CONIFER*$L50,AVERAGE(BGB_RS_DECIDUOUS_a*($L50^BGB_RS_DECIDUOUS_b),BGB_RS_CONIFER*$L50))))</f>
        <v>11.6304935827046</v>
      </c>
      <c r="O50" s="14" t="n">
        <f aca="false">IF($L50="","",$L50+$N50)</f>
        <v>64.0201043156082</v>
      </c>
      <c r="P50" s="14" t="n">
        <f aca="false">IF($O50="","",$O50*CARBON_FRACTION_BIOMASS)</f>
        <v>32.0100521578041</v>
      </c>
      <c r="Q50" s="14" t="str">
        <f aca="false">IF(AND($A50="",$C50=""),"",IF(AND($A50&lt;&gt;"",COUNTIF('1. Plot &amp; Site Log'!$A$5:$A$64,$A50)=0),"Plot ID not in Plot &amp; Site Log — this tree will not reach the summary. ","")&amp;IF($A50="","No Plot ID. ","")&amp;IF(AND($C50&lt;&gt;"",$F50=""),"Species not in the coefficient list — check the spelling against R1. ","")&amp;IF($D50="","No DBH — nothing can be calculated. ","")&amp;IF(AND($D50&lt;&gt;"",$D50&gt;QC_DBH_MAX_CM),"DBH above "&amp;QC_DBH_MAX_CM&amp;" cm — check for a transcription error. ","")&amp;IF($M50="All","Generic species: no published root:shoot applies, so below-ground biomass is the mean of the deciduous and conifer relationships. Choose a species, or Deciduous/Conifers, if you can. ","")&amp;IF(AND($O50&lt;&gt;"",$O50&gt;0,OR($N50/$O50&lt;BGB_FRACTION_MIN,$N50/$O50&gt;BGB_FRACTION_MAX)),"Below-ground share is "&amp;TEXT($N50/$O50,"0%")&amp;", outside the 18–30% the Trees guide describes. ",""))</f>
        <v/>
      </c>
    </row>
    <row r="51" customFormat="false" ht="15" hidden="false" customHeight="false" outlineLevel="0" collapsed="false">
      <c r="A51" s="13" t="s">
        <v>86</v>
      </c>
      <c r="B51" s="13" t="n">
        <v>4</v>
      </c>
      <c r="C51" s="13" t="s">
        <v>134</v>
      </c>
      <c r="D51" s="13" t="n">
        <v>7.1</v>
      </c>
      <c r="E51" s="13" t="n">
        <v>8.6</v>
      </c>
      <c r="F51" s="14" t="n">
        <f aca="false">IF($C51="","",IFERROR(12+(MATCH($C51,'R1. Tree Coefficients'!$L$12:$L$53,0)-1)*4,""))</f>
        <v>160</v>
      </c>
      <c r="G51" s="14" t="str">
        <f aca="false">IF($F51="","",IF(AND($E51&lt;&gt;"",$E51&gt;0),"DBH + height","DBH only"))</f>
        <v>DBH + height</v>
      </c>
      <c r="H51" s="14" t="n">
        <f aca="false">IF(OR($D51="",$F51=""),"",IF($E51&gt;0,INDEX('R1. Tree Coefficients'!$F:$F,$F51+0)*($D51^INDEX('R1. Tree Coefficients'!$G:$G,$F51+0))*($E51^INDEX('R1. Tree Coefficients'!$H:$H,$F51+0)),INDEX('R1. Tree Coefficients'!$D:$D,$F51+0)*($D51^INDEX('R1. Tree Coefficients'!$E:$E,$F51+0))))</f>
        <v>8.49254269648714</v>
      </c>
      <c r="I51" s="14" t="n">
        <f aca="false">IF(OR($D51="",$F51=""),"",IF($E51&gt;0,INDEX('R1. Tree Coefficients'!$F:$F,$F51+1)*($D51^INDEX('R1. Tree Coefficients'!$G:$G,$F51+1))*($E51^INDEX('R1. Tree Coefficients'!$H:$H,$F51+1)),INDEX('R1. Tree Coefficients'!$D:$D,$F51+1)*($D51^INDEX('R1. Tree Coefficients'!$E:$E,$F51+1))))</f>
        <v>1.60115608256296</v>
      </c>
      <c r="J51" s="14" t="n">
        <f aca="false">IF(OR($D51="",$F51=""),"",IF($E51&gt;0,INDEX('R1. Tree Coefficients'!$F:$F,$F51+2)*($D51^INDEX('R1. Tree Coefficients'!$G:$G,$F51+2))*($E51^INDEX('R1. Tree Coefficients'!$H:$H,$F51+2)),INDEX('R1. Tree Coefficients'!$D:$D,$F51+2)*($D51^INDEX('R1. Tree Coefficients'!$E:$E,$F51+2))))</f>
        <v>1.72707676465655</v>
      </c>
      <c r="K51" s="14" t="n">
        <f aca="false">IF(OR($D51="",$F51=""),"",IF($E51&gt;0,INDEX('R1. Tree Coefficients'!$F:$F,$F51+3)*($D51^INDEX('R1. Tree Coefficients'!$G:$G,$F51+3))*($E51^INDEX('R1. Tree Coefficients'!$H:$H,$F51+3)),INDEX('R1. Tree Coefficients'!$D:$D,$F51+3)*($D51^INDEX('R1. Tree Coefficients'!$E:$E,$F51+3))))</f>
        <v>1.16976588724416</v>
      </c>
      <c r="L51" s="14" t="n">
        <f aca="false">IF($F51="","",IFERROR(SUM($H51:$K51),""))</f>
        <v>12.9905414309508</v>
      </c>
      <c r="M51" s="14" t="str">
        <f aca="false">IF($F51="","",INDEX('R1. Tree Coefficients'!$J:$J,$F51))</f>
        <v>Deciduous</v>
      </c>
      <c r="N51" s="14" t="n">
        <f aca="false">IF($L51="","",IF($M51="Deciduous",BGB_RS_DECIDUOUS_a*($L51^BGB_RS_DECIDUOUS_b),IF($M51="Conifers",BGB_RS_CONIFER*$L51,AVERAGE(BGB_RS_DECIDUOUS_a*($L51^BGB_RS_DECIDUOUS_b),BGB_RS_CONIFER*$L51))))</f>
        <v>7.62846175664845</v>
      </c>
      <c r="O51" s="14" t="n">
        <f aca="false">IF($L51="","",$L51+$N51)</f>
        <v>20.6190031875993</v>
      </c>
      <c r="P51" s="14" t="n">
        <f aca="false">IF($O51="","",$O51*CARBON_FRACTION_BIOMASS)</f>
        <v>10.3095015937996</v>
      </c>
      <c r="Q51" s="14" t="str">
        <f aca="false">IF(AND($A51="",$C51=""),"",IF(AND($A51&lt;&gt;"",COUNTIF('1. Plot &amp; Site Log'!$A$5:$A$64,$A51)=0),"Plot ID not in Plot &amp; Site Log — this tree will not reach the summary. ","")&amp;IF($A51="","No Plot ID. ","")&amp;IF(AND($C51&lt;&gt;"",$F51=""),"Species not in the coefficient list — check the spelling against R1. ","")&amp;IF($D51="","No DBH — nothing can be calculated. ","")&amp;IF(AND($D51&lt;&gt;"",$D51&gt;QC_DBH_MAX_CM),"DBH above "&amp;QC_DBH_MAX_CM&amp;" cm — check for a transcription error. ","")&amp;IF($M51="All","Generic species: no published root:shoot applies, so below-ground biomass is the mean of the deciduous and conifer relationships. Choose a species, or Deciduous/Conifers, if you can. ","")&amp;IF(AND($O51&lt;&gt;"",$O51&gt;0,OR($N51/$O51&lt;BGB_FRACTION_MIN,$N51/$O51&gt;BGB_FRACTION_MAX)),"Below-ground share is "&amp;TEXT($N51/$O51,"0%")&amp;", outside the 18–30% the Trees guide describes. ",""))</f>
        <v/>
      </c>
    </row>
    <row r="52" customFormat="false" ht="15" hidden="false" customHeight="false" outlineLevel="0" collapsed="false">
      <c r="A52" s="13" t="s">
        <v>86</v>
      </c>
      <c r="B52" s="13" t="n">
        <v>5</v>
      </c>
      <c r="C52" s="13" t="s">
        <v>135</v>
      </c>
      <c r="D52" s="13" t="n">
        <v>19.5</v>
      </c>
      <c r="E52" s="13"/>
      <c r="F52" s="14" t="n">
        <f aca="false">IF($C52="","",IFERROR(12+(MATCH($C52,'R1. Tree Coefficients'!$L$12:$L$53,0)-1)*4,""))</f>
        <v>48</v>
      </c>
      <c r="G52" s="14" t="str">
        <f aca="false">IF($F52="","",IF(AND($E52&lt;&gt;"",$E52&gt;0),"DBH + height","DBH only"))</f>
        <v>DBH only</v>
      </c>
      <c r="H52" s="14" t="n">
        <f aca="false">IF(OR($D52="",$F52=""),"",IF($E52&gt;0,INDEX('R1. Tree Coefficients'!$F:$F,$F52+0)*($D52^INDEX('R1. Tree Coefficients'!$G:$G,$F52+0))*($E52^INDEX('R1. Tree Coefficients'!$H:$H,$F52+0)),INDEX('R1. Tree Coefficients'!$D:$D,$F52+0)*($D52^INDEX('R1. Tree Coefficients'!$E:$E,$F52+0))))</f>
        <v>83.5677220203664</v>
      </c>
      <c r="I52" s="14" t="n">
        <f aca="false">IF(OR($D52="",$F52=""),"",IF($E52&gt;0,INDEX('R1. Tree Coefficients'!$F:$F,$F52+1)*($D52^INDEX('R1. Tree Coefficients'!$G:$G,$F52+1))*($E52^INDEX('R1. Tree Coefficients'!$H:$H,$F52+1)),INDEX('R1. Tree Coefficients'!$D:$D,$F52+1)*($D52^INDEX('R1. Tree Coefficients'!$E:$E,$F52+1))))</f>
        <v>11.8049885503708</v>
      </c>
      <c r="J52" s="14" t="n">
        <f aca="false">IF(OR($D52="",$F52=""),"",IF($E52&gt;0,INDEX('R1. Tree Coefficients'!$F:$F,$F52+2)*($D52^INDEX('R1. Tree Coefficients'!$G:$G,$F52+2))*($E52^INDEX('R1. Tree Coefficients'!$H:$H,$F52+2)),INDEX('R1. Tree Coefficients'!$D:$D,$F52+2)*($D52^INDEX('R1. Tree Coefficients'!$E:$E,$F52+2))))</f>
        <v>13.8306888482734</v>
      </c>
      <c r="K52" s="14" t="n">
        <f aca="false">IF(OR($D52="",$F52=""),"",IF($E52&gt;0,INDEX('R1. Tree Coefficients'!$F:$F,$F52+3)*($D52^INDEX('R1. Tree Coefficients'!$G:$G,$F52+3))*($E52^INDEX('R1. Tree Coefficients'!$H:$H,$F52+3)),INDEX('R1. Tree Coefficients'!$D:$D,$F52+3)*($D52^INDEX('R1. Tree Coefficients'!$E:$E,$F52+3))))</f>
        <v>11.1465683984172</v>
      </c>
      <c r="L52" s="14" t="n">
        <f aca="false">IF($F52="","",IFERROR(SUM($H52:$K52),""))</f>
        <v>120.349967817428</v>
      </c>
      <c r="M52" s="14" t="str">
        <f aca="false">IF($F52="","",INDEX('R1. Tree Coefficients'!$J:$J,$F52))</f>
        <v>Conifers</v>
      </c>
      <c r="N52" s="14" t="n">
        <f aca="false">IF($L52="","",IF($M52="Deciduous",BGB_RS_DECIDUOUS_a*($L52^BGB_RS_DECIDUOUS_b),IF($M52="Conifers",BGB_RS_CONIFER*$L52,AVERAGE(BGB_RS_DECIDUOUS_a*($L52^BGB_RS_DECIDUOUS_b),BGB_RS_CONIFER*$L52))))</f>
        <v>26.717692855469</v>
      </c>
      <c r="O52" s="14" t="n">
        <f aca="false">IF($L52="","",$L52+$N52)</f>
        <v>147.067660672897</v>
      </c>
      <c r="P52" s="14" t="n">
        <f aca="false">IF($O52="","",$O52*CARBON_FRACTION_BIOMASS)</f>
        <v>73.5338303364484</v>
      </c>
      <c r="Q52" s="14" t="str">
        <f aca="false">IF(AND($A52="",$C52=""),"",IF(AND($A52&lt;&gt;"",COUNTIF('1. Plot &amp; Site Log'!$A$5:$A$64,$A52)=0),"Plot ID not in Plot &amp; Site Log — this tree will not reach the summary. ","")&amp;IF($A52="","No Plot ID. ","")&amp;IF(AND($C52&lt;&gt;"",$F52=""),"Species not in the coefficient list — check the spelling against R1. ","")&amp;IF($D52="","No DBH — nothing can be calculated. ","")&amp;IF(AND($D52&lt;&gt;"",$D52&gt;QC_DBH_MAX_CM),"DBH above "&amp;QC_DBH_MAX_CM&amp;" cm — check for a transcription error. ","")&amp;IF($M52="All","Generic species: no published root:shoot applies, so below-ground biomass is the mean of the deciduous and conifer relationships. Choose a species, or Deciduous/Conifers, if you can. ","")&amp;IF(AND($O52&lt;&gt;"",$O52&gt;0,OR($N52/$O52&lt;BGB_FRACTION_MIN,$N52/$O52&gt;BGB_FRACTION_MAX)),"Below-ground share is "&amp;TEXT($N52/$O52,"0%")&amp;", outside the 18–30% the Trees guide describes. ",""))</f>
        <v/>
      </c>
    </row>
    <row r="53" customFormat="false" ht="15" hidden="false" customHeight="false" outlineLevel="0" collapsed="false">
      <c r="A53" s="13" t="s">
        <v>86</v>
      </c>
      <c r="B53" s="13" t="n">
        <v>6</v>
      </c>
      <c r="C53" s="13" t="s">
        <v>140</v>
      </c>
      <c r="D53" s="13" t="n">
        <v>14.9</v>
      </c>
      <c r="E53" s="13"/>
      <c r="F53" s="14" t="n">
        <f aca="false">IF($C53="","",IFERROR(12+(MATCH($C53,'R1. Tree Coefficients'!$L$12:$L$53,0)-1)*4,""))</f>
        <v>140</v>
      </c>
      <c r="G53" s="14" t="str">
        <f aca="false">IF($F53="","",IF(AND($E53&lt;&gt;"",$E53&gt;0),"DBH + height","DBH only"))</f>
        <v>DBH only</v>
      </c>
      <c r="H53" s="14" t="n">
        <f aca="false">IF(OR($D53="",$F53=""),"",IF($E53&gt;0,INDEX('R1. Tree Coefficients'!$F:$F,$F53+0)*($D53^INDEX('R1. Tree Coefficients'!$G:$G,$F53+0))*($E53^INDEX('R1. Tree Coefficients'!$H:$H,$F53+0)),INDEX('R1. Tree Coefficients'!$D:$D,$F53+0)*($D53^INDEX('R1. Tree Coefficients'!$E:$E,$F53+0))))</f>
        <v>46.478639732281</v>
      </c>
      <c r="I53" s="14" t="n">
        <f aca="false">IF(OR($D53="",$F53=""),"",IF($E53&gt;0,INDEX('R1. Tree Coefficients'!$F:$F,$F53+1)*($D53^INDEX('R1. Tree Coefficients'!$G:$G,$F53+1))*($E53^INDEX('R1. Tree Coefficients'!$H:$H,$F53+1)),INDEX('R1. Tree Coefficients'!$D:$D,$F53+1)*($D53^INDEX('R1. Tree Coefficients'!$E:$E,$F53+1))))</f>
        <v>5.21228485606611</v>
      </c>
      <c r="J53" s="14" t="n">
        <f aca="false">IF(OR($D53="",$F53=""),"",IF($E53&gt;0,INDEX('R1. Tree Coefficients'!$F:$F,$F53+2)*($D53^INDEX('R1. Tree Coefficients'!$G:$G,$F53+2))*($E53^INDEX('R1. Tree Coefficients'!$H:$H,$F53+2)),INDEX('R1. Tree Coefficients'!$D:$D,$F53+2)*($D53^INDEX('R1. Tree Coefficients'!$E:$E,$F53+2))))</f>
        <v>8.90753641690975</v>
      </c>
      <c r="K53" s="14" t="n">
        <f aca="false">IF(OR($D53="",$F53=""),"",IF($E53&gt;0,INDEX('R1. Tree Coefficients'!$F:$F,$F53+3)*($D53^INDEX('R1. Tree Coefficients'!$G:$G,$F53+3))*($E53^INDEX('R1. Tree Coefficients'!$H:$H,$F53+3)),INDEX('R1. Tree Coefficients'!$D:$D,$F53+3)*($D53^INDEX('R1. Tree Coefficients'!$E:$E,$F53+3))))</f>
        <v>4.45396797818112</v>
      </c>
      <c r="L53" s="14" t="n">
        <f aca="false">IF($F53="","",IFERROR(SUM($H53:$K53),""))</f>
        <v>65.052428983438</v>
      </c>
      <c r="M53" s="14" t="str">
        <f aca="false">IF($F53="","",INDEX('R1. Tree Coefficients'!$J:$J,$F53))</f>
        <v>Conifers</v>
      </c>
      <c r="N53" s="14" t="n">
        <f aca="false">IF($L53="","",IF($M53="Deciduous",BGB_RS_DECIDUOUS_a*($L53^BGB_RS_DECIDUOUS_b),IF($M53="Conifers",BGB_RS_CONIFER*$L53,AVERAGE(BGB_RS_DECIDUOUS_a*($L53^BGB_RS_DECIDUOUS_b),BGB_RS_CONIFER*$L53))))</f>
        <v>14.4416392343232</v>
      </c>
      <c r="O53" s="14" t="n">
        <f aca="false">IF($L53="","",$L53+$N53)</f>
        <v>79.4940682177612</v>
      </c>
      <c r="P53" s="14" t="n">
        <f aca="false">IF($O53="","",$O53*CARBON_FRACTION_BIOMASS)</f>
        <v>39.7470341088806</v>
      </c>
      <c r="Q53" s="14" t="str">
        <f aca="false">IF(AND($A53="",$C53=""),"",IF(AND($A53&lt;&gt;"",COUNTIF('1. Plot &amp; Site Log'!$A$5:$A$64,$A53)=0),"Plot ID not in Plot &amp; Site Log — this tree will not reach the summary. ","")&amp;IF($A53="","No Plot ID. ","")&amp;IF(AND($C53&lt;&gt;"",$F53=""),"Species not in the coefficient list — check the spelling against R1. ","")&amp;IF($D53="","No DBH — nothing can be calculated. ","")&amp;IF(AND($D53&lt;&gt;"",$D53&gt;QC_DBH_MAX_CM),"DBH above "&amp;QC_DBH_MAX_CM&amp;" cm — check for a transcription error. ","")&amp;IF($M53="All","Generic species: no published root:shoot applies, so below-ground biomass is the mean of the deciduous and conifer relationships. Choose a species, or Deciduous/Conifers, if you can. ","")&amp;IF(AND($O53&lt;&gt;"",$O53&gt;0,OR($N53/$O53&lt;BGB_FRACTION_MIN,$N53/$O53&gt;BGB_FRACTION_MAX)),"Below-ground share is "&amp;TEXT($N53/$O53,"0%")&amp;", outside the 18–30% the Trees guide describes. ",""))</f>
        <v/>
      </c>
    </row>
    <row r="54" customFormat="false" ht="15" hidden="false" customHeight="false" outlineLevel="0" collapsed="false">
      <c r="A54" s="13" t="s">
        <v>86</v>
      </c>
      <c r="B54" s="13" t="n">
        <v>7</v>
      </c>
      <c r="C54" s="13" t="s">
        <v>135</v>
      </c>
      <c r="D54" s="13" t="n">
        <v>11.9</v>
      </c>
      <c r="E54" s="13" t="n">
        <v>10.8</v>
      </c>
      <c r="F54" s="14" t="n">
        <f aca="false">IF($C54="","",IFERROR(12+(MATCH($C54,'R1. Tree Coefficients'!$L$12:$L$53,0)-1)*4,""))</f>
        <v>48</v>
      </c>
      <c r="G54" s="14" t="str">
        <f aca="false">IF($F54="","",IF(AND($E54&lt;&gt;"",$E54&gt;0),"DBH + height","DBH only"))</f>
        <v>DBH + height</v>
      </c>
      <c r="H54" s="14" t="n">
        <f aca="false">IF(OR($D54="",$F54=""),"",IF($E54&gt;0,INDEX('R1. Tree Coefficients'!$F:$F,$F54+0)*($D54^INDEX('R1. Tree Coefficients'!$G:$G,$F54+0))*($E54^INDEX('R1. Tree Coefficients'!$H:$H,$F54+0)),INDEX('R1. Tree Coefficients'!$D:$D,$F54+0)*($D54^INDEX('R1. Tree Coefficients'!$E:$E,$F54+0))))</f>
        <v>25.8039196996305</v>
      </c>
      <c r="I54" s="14" t="n">
        <f aca="false">IF(OR($D54="",$F54=""),"",IF($E54&gt;0,INDEX('R1. Tree Coefficients'!$F:$F,$F54+1)*($D54^INDEX('R1. Tree Coefficients'!$G:$G,$F54+1))*($E54^INDEX('R1. Tree Coefficients'!$H:$H,$F54+1)),INDEX('R1. Tree Coefficients'!$D:$D,$F54+1)*($D54^INDEX('R1. Tree Coefficients'!$E:$E,$F54+1))))</f>
        <v>4.13494197677279</v>
      </c>
      <c r="J54" s="14" t="n">
        <f aca="false">IF(OR($D54="",$F54=""),"",IF($E54&gt;0,INDEX('R1. Tree Coefficients'!$F:$F,$F54+2)*($D54^INDEX('R1. Tree Coefficients'!$G:$G,$F54+2))*($E54^INDEX('R1. Tree Coefficients'!$H:$H,$F54+2)),INDEX('R1. Tree Coefficients'!$D:$D,$F54+2)*($D54^INDEX('R1. Tree Coefficients'!$E:$E,$F54+2))))</f>
        <v>4.23813334284102</v>
      </c>
      <c r="K54" s="14" t="n">
        <f aca="false">IF(OR($D54="",$F54=""),"",IF($E54&gt;0,INDEX('R1. Tree Coefficients'!$F:$F,$F54+3)*($D54^INDEX('R1. Tree Coefficients'!$G:$G,$F54+3))*($E54^INDEX('R1. Tree Coefficients'!$H:$H,$F54+3)),INDEX('R1. Tree Coefficients'!$D:$D,$F54+3)*($D54^INDEX('R1. Tree Coefficients'!$E:$E,$F54+3))))</f>
        <v>4.69735893014273</v>
      </c>
      <c r="L54" s="14" t="n">
        <f aca="false">IF($F54="","",IFERROR(SUM($H54:$K54),""))</f>
        <v>38.8743539493871</v>
      </c>
      <c r="M54" s="14" t="str">
        <f aca="false">IF($F54="","",INDEX('R1. Tree Coefficients'!$J:$J,$F54))</f>
        <v>Conifers</v>
      </c>
      <c r="N54" s="14" t="n">
        <f aca="false">IF($L54="","",IF($M54="Deciduous",BGB_RS_DECIDUOUS_a*($L54^BGB_RS_DECIDUOUS_b),IF($M54="Conifers",BGB_RS_CONIFER*$L54,AVERAGE(BGB_RS_DECIDUOUS_a*($L54^BGB_RS_DECIDUOUS_b),BGB_RS_CONIFER*$L54))))</f>
        <v>8.63010657676393</v>
      </c>
      <c r="O54" s="14" t="n">
        <f aca="false">IF($L54="","",$L54+$N54)</f>
        <v>47.504460526151</v>
      </c>
      <c r="P54" s="14" t="n">
        <f aca="false">IF($O54="","",$O54*CARBON_FRACTION_BIOMASS)</f>
        <v>23.7522302630755</v>
      </c>
      <c r="Q54" s="14" t="str">
        <f aca="false">IF(AND($A54="",$C54=""),"",IF(AND($A54&lt;&gt;"",COUNTIF('1. Plot &amp; Site Log'!$A$5:$A$64,$A54)=0),"Plot ID not in Plot &amp; Site Log — this tree will not reach the summary. ","")&amp;IF($A54="","No Plot ID. ","")&amp;IF(AND($C54&lt;&gt;"",$F54=""),"Species not in the coefficient list — check the spelling against R1. ","")&amp;IF($D54="","No DBH — nothing can be calculated. ","")&amp;IF(AND($D54&lt;&gt;"",$D54&gt;QC_DBH_MAX_CM),"DBH above "&amp;QC_DBH_MAX_CM&amp;" cm — check for a transcription error. ","")&amp;IF($M54="All","Generic species: no published root:shoot applies, so below-ground biomass is the mean of the deciduous and conifer relationships. Choose a species, or Deciduous/Conifers, if you can. ","")&amp;IF(AND($O54&lt;&gt;"",$O54&gt;0,OR($N54/$O54&lt;BGB_FRACTION_MIN,$N54/$O54&gt;BGB_FRACTION_MAX)),"Below-ground share is "&amp;TEXT($N54/$O54,"0%")&amp;", outside the 18–30% the Trees guide describes. ",""))</f>
        <v/>
      </c>
    </row>
    <row r="55" customFormat="false" ht="15" hidden="false" customHeight="false" outlineLevel="0" collapsed="false">
      <c r="A55" s="13" t="s">
        <v>86</v>
      </c>
      <c r="B55" s="13" t="n">
        <v>8</v>
      </c>
      <c r="C55" s="13" t="s">
        <v>136</v>
      </c>
      <c r="D55" s="13" t="n">
        <v>11.7</v>
      </c>
      <c r="E55" s="13"/>
      <c r="F55" s="14" t="n">
        <f aca="false">IF($C55="","",IFERROR(12+(MATCH($C55,'R1. Tree Coefficients'!$L$12:$L$53,0)-1)*4,""))</f>
        <v>24</v>
      </c>
      <c r="G55" s="14" t="str">
        <f aca="false">IF($F55="","",IF(AND($E55&lt;&gt;"",$E55&gt;0),"DBH + height","DBH only"))</f>
        <v>DBH only</v>
      </c>
      <c r="H55" s="14" t="n">
        <f aca="false">IF(OR($D55="",$F55=""),"",IF($E55&gt;0,INDEX('R1. Tree Coefficients'!$F:$F,$F55+0)*($D55^INDEX('R1. Tree Coefficients'!$G:$G,$F55+0))*($E55^INDEX('R1. Tree Coefficients'!$H:$H,$F55+0)),INDEX('R1. Tree Coefficients'!$D:$D,$F55+0)*($D55^INDEX('R1. Tree Coefficients'!$E:$E,$F55+0))))</f>
        <v>19.6966280050799</v>
      </c>
      <c r="I55" s="14" t="n">
        <f aca="false">IF(OR($D55="",$F55=""),"",IF($E55&gt;0,INDEX('R1. Tree Coefficients'!$F:$F,$F55+1)*($D55^INDEX('R1. Tree Coefficients'!$G:$G,$F55+1))*($E55^INDEX('R1. Tree Coefficients'!$H:$H,$F55+1)),INDEX('R1. Tree Coefficients'!$D:$D,$F55+1)*($D55^INDEX('R1. Tree Coefficients'!$E:$E,$F55+1))))</f>
        <v>3.70873256838193</v>
      </c>
      <c r="J55" s="14" t="n">
        <f aca="false">IF(OR($D55="",$F55=""),"",IF($E55&gt;0,INDEX('R1. Tree Coefficients'!$F:$F,$F55+2)*($D55^INDEX('R1. Tree Coefficients'!$G:$G,$F55+2))*($E55^INDEX('R1. Tree Coefficients'!$H:$H,$F55+2)),INDEX('R1. Tree Coefficients'!$D:$D,$F55+2)*($D55^INDEX('R1. Tree Coefficients'!$E:$E,$F55+2))))</f>
        <v>3.62185484074949</v>
      </c>
      <c r="K55" s="14" t="n">
        <f aca="false">IF(OR($D55="",$F55=""),"",IF($E55&gt;0,INDEX('R1. Tree Coefficients'!$F:$F,$F55+3)*($D55^INDEX('R1. Tree Coefficients'!$G:$G,$F55+3))*($E55^INDEX('R1. Tree Coefficients'!$H:$H,$F55+3)),INDEX('R1. Tree Coefficients'!$D:$D,$F55+3)*($D55^INDEX('R1. Tree Coefficients'!$E:$E,$F55+3))))</f>
        <v>5.10053324063825</v>
      </c>
      <c r="L55" s="14" t="n">
        <f aca="false">IF($F55="","",IFERROR(SUM($H55:$K55),""))</f>
        <v>32.1277486548496</v>
      </c>
      <c r="M55" s="14" t="str">
        <f aca="false">IF($F55="","",INDEX('R1. Tree Coefficients'!$J:$J,$F55))</f>
        <v>Conifers</v>
      </c>
      <c r="N55" s="14" t="n">
        <f aca="false">IF($L55="","",IF($M55="Deciduous",BGB_RS_DECIDUOUS_a*($L55^BGB_RS_DECIDUOUS_b),IF($M55="Conifers",BGB_RS_CONIFER*$L55,AVERAGE(BGB_RS_DECIDUOUS_a*($L55^BGB_RS_DECIDUOUS_b),BGB_RS_CONIFER*$L55))))</f>
        <v>7.1323602013766</v>
      </c>
      <c r="O55" s="14" t="n">
        <f aca="false">IF($L55="","",$L55+$N55)</f>
        <v>39.2601088562262</v>
      </c>
      <c r="P55" s="14" t="n">
        <f aca="false">IF($O55="","",$O55*CARBON_FRACTION_BIOMASS)</f>
        <v>19.6300544281131</v>
      </c>
      <c r="Q55" s="14" t="str">
        <f aca="false">IF(AND($A55="",$C55=""),"",IF(AND($A55&lt;&gt;"",COUNTIF('1. Plot &amp; Site Log'!$A$5:$A$64,$A55)=0),"Plot ID not in Plot &amp; Site Log — this tree will not reach the summary. ","")&amp;IF($A55="","No Plot ID. ","")&amp;IF(AND($C55&lt;&gt;"",$F55=""),"Species not in the coefficient list — check the spelling against R1. ","")&amp;IF($D55="","No DBH — nothing can be calculated. ","")&amp;IF(AND($D55&lt;&gt;"",$D55&gt;QC_DBH_MAX_CM),"DBH above "&amp;QC_DBH_MAX_CM&amp;" cm — check for a transcription error. ","")&amp;IF($M55="All","Generic species: no published root:shoot applies, so below-ground biomass is the mean of the deciduous and conifer relationships. Choose a species, or Deciduous/Conifers, if you can. ","")&amp;IF(AND($O55&lt;&gt;"",$O55&gt;0,OR($N55/$O55&lt;BGB_FRACTION_MIN,$N55/$O55&gt;BGB_FRACTION_MAX)),"Below-ground share is "&amp;TEXT($N55/$O55,"0%")&amp;", outside the 18–30% the Trees guide describes. ",""))</f>
        <v/>
      </c>
    </row>
    <row r="56" customFormat="false" ht="15" hidden="false" customHeight="false" outlineLevel="0" collapsed="false">
      <c r="A56" s="13" t="s">
        <v>86</v>
      </c>
      <c r="B56" s="13" t="n">
        <v>9</v>
      </c>
      <c r="C56" s="13" t="s">
        <v>135</v>
      </c>
      <c r="D56" s="13" t="n">
        <v>15.9</v>
      </c>
      <c r="E56" s="13"/>
      <c r="F56" s="14" t="n">
        <f aca="false">IF($C56="","",IFERROR(12+(MATCH($C56,'R1. Tree Coefficients'!$L$12:$L$53,0)-1)*4,""))</f>
        <v>48</v>
      </c>
      <c r="G56" s="14" t="str">
        <f aca="false">IF($F56="","",IF(AND($E56&lt;&gt;"",$E56&gt;0),"DBH + height","DBH only"))</f>
        <v>DBH only</v>
      </c>
      <c r="H56" s="14" t="n">
        <f aca="false">IF(OR($D56="",$F56=""),"",IF($E56&gt;0,INDEX('R1. Tree Coefficients'!$F:$F,$F56+0)*($D56^INDEX('R1. Tree Coefficients'!$G:$G,$F56+0))*($E56^INDEX('R1. Tree Coefficients'!$H:$H,$F56+0)),INDEX('R1. Tree Coefficients'!$D:$D,$F56+0)*($D56^INDEX('R1. Tree Coefficients'!$E:$E,$F56+0))))</f>
        <v>50.1444939146477</v>
      </c>
      <c r="I56" s="14" t="n">
        <f aca="false">IF(OR($D56="",$F56=""),"",IF($E56&gt;0,INDEX('R1. Tree Coefficients'!$F:$F,$F56+1)*($D56^INDEX('R1. Tree Coefficients'!$G:$G,$F56+1))*($E56^INDEX('R1. Tree Coefficients'!$H:$H,$F56+1)),INDEX('R1. Tree Coefficients'!$D:$D,$F56+1)*($D56^INDEX('R1. Tree Coefficients'!$E:$E,$F56+1))))</f>
        <v>7.45906525988421</v>
      </c>
      <c r="J56" s="14" t="n">
        <f aca="false">IF(OR($D56="",$F56=""),"",IF($E56&gt;0,INDEX('R1. Tree Coefficients'!$F:$F,$F56+2)*($D56^INDEX('R1. Tree Coefficients'!$G:$G,$F56+2))*($E56^INDEX('R1. Tree Coefficients'!$H:$H,$F56+2)),INDEX('R1. Tree Coefficients'!$D:$D,$F56+2)*($D56^INDEX('R1. Tree Coefficients'!$E:$E,$F56+2))))</f>
        <v>9.05549430253578</v>
      </c>
      <c r="K56" s="14" t="n">
        <f aca="false">IF(OR($D56="",$F56=""),"",IF($E56&gt;0,INDEX('R1. Tree Coefficients'!$F:$F,$F56+3)*($D56^INDEX('R1. Tree Coefficients'!$G:$G,$F56+3))*($E56^INDEX('R1. Tree Coefficients'!$H:$H,$F56+3)),INDEX('R1. Tree Coefficients'!$D:$D,$F56+3)*($D56^INDEX('R1. Tree Coefficients'!$E:$E,$F56+3))))</f>
        <v>8.33836594890681</v>
      </c>
      <c r="L56" s="14" t="n">
        <f aca="false">IF($F56="","",IFERROR(SUM($H56:$K56),""))</f>
        <v>74.9974194259745</v>
      </c>
      <c r="M56" s="14" t="str">
        <f aca="false">IF($F56="","",INDEX('R1. Tree Coefficients'!$J:$J,$F56))</f>
        <v>Conifers</v>
      </c>
      <c r="N56" s="14" t="n">
        <f aca="false">IF($L56="","",IF($M56="Deciduous",BGB_RS_DECIDUOUS_a*($L56^BGB_RS_DECIDUOUS_b),IF($M56="Conifers",BGB_RS_CONIFER*$L56,AVERAGE(BGB_RS_DECIDUOUS_a*($L56^BGB_RS_DECIDUOUS_b),BGB_RS_CONIFER*$L56))))</f>
        <v>16.6494271125663</v>
      </c>
      <c r="O56" s="14" t="n">
        <f aca="false">IF($L56="","",$L56+$N56)</f>
        <v>91.6468465385409</v>
      </c>
      <c r="P56" s="14" t="n">
        <f aca="false">IF($O56="","",$O56*CARBON_FRACTION_BIOMASS)</f>
        <v>45.8234232692704</v>
      </c>
      <c r="Q56" s="14" t="str">
        <f aca="false">IF(AND($A56="",$C56=""),"",IF(AND($A56&lt;&gt;"",COUNTIF('1. Plot &amp; Site Log'!$A$5:$A$64,$A56)=0),"Plot ID not in Plot &amp; Site Log — this tree will not reach the summary. ","")&amp;IF($A56="","No Plot ID. ","")&amp;IF(AND($C56&lt;&gt;"",$F56=""),"Species not in the coefficient list — check the spelling against R1. ","")&amp;IF($D56="","No DBH — nothing can be calculated. ","")&amp;IF(AND($D56&lt;&gt;"",$D56&gt;QC_DBH_MAX_CM),"DBH above "&amp;QC_DBH_MAX_CM&amp;" cm — check for a transcription error. ","")&amp;IF($M56="All","Generic species: no published root:shoot applies, so below-ground biomass is the mean of the deciduous and conifer relationships. Choose a species, or Deciduous/Conifers, if you can. ","")&amp;IF(AND($O56&lt;&gt;"",$O56&gt;0,OR($N56/$O56&lt;BGB_FRACTION_MIN,$N56/$O56&gt;BGB_FRACTION_MAX)),"Below-ground share is "&amp;TEXT($N56/$O56,"0%")&amp;", outside the 18–30% the Trees guide describes. ",""))</f>
        <v/>
      </c>
    </row>
    <row r="57" customFormat="false" ht="15" hidden="false" customHeight="false" outlineLevel="0" collapsed="false">
      <c r="A57" s="13" t="s">
        <v>86</v>
      </c>
      <c r="B57" s="13" t="n">
        <v>10</v>
      </c>
      <c r="C57" s="13" t="s">
        <v>136</v>
      </c>
      <c r="D57" s="13" t="n">
        <v>13.1</v>
      </c>
      <c r="E57" s="13" t="n">
        <v>11.2</v>
      </c>
      <c r="F57" s="14" t="n">
        <f aca="false">IF($C57="","",IFERROR(12+(MATCH($C57,'R1. Tree Coefficients'!$L$12:$L$53,0)-1)*4,""))</f>
        <v>24</v>
      </c>
      <c r="G57" s="14" t="str">
        <f aca="false">IF($F57="","",IF(AND($E57&lt;&gt;"",$E57&gt;0),"DBH + height","DBH only"))</f>
        <v>DBH + height</v>
      </c>
      <c r="H57" s="14" t="n">
        <f aca="false">IF(OR($D57="",$F57=""),"",IF($E57&gt;0,INDEX('R1. Tree Coefficients'!$F:$F,$F57+0)*($D57^INDEX('R1. Tree Coefficients'!$G:$G,$F57+0))*($E57^INDEX('R1. Tree Coefficients'!$H:$H,$F57+0)),INDEX('R1. Tree Coefficients'!$D:$D,$F57+0)*($D57^INDEX('R1. Tree Coefficients'!$E:$E,$F57+0))))</f>
        <v>26.6591697153616</v>
      </c>
      <c r="I57" s="14" t="n">
        <f aca="false">IF(OR($D57="",$F57=""),"",IF($E57&gt;0,INDEX('R1. Tree Coefficients'!$F:$F,$F57+1)*($D57^INDEX('R1. Tree Coefficients'!$G:$G,$F57+1))*($E57^INDEX('R1. Tree Coefficients'!$H:$H,$F57+1)),INDEX('R1. Tree Coefficients'!$D:$D,$F57+1)*($D57^INDEX('R1. Tree Coefficients'!$E:$E,$F57+1))))</f>
        <v>4.67352526967938</v>
      </c>
      <c r="J57" s="14" t="n">
        <f aca="false">IF(OR($D57="",$F57=""),"",IF($E57&gt;0,INDEX('R1. Tree Coefficients'!$F:$F,$F57+2)*($D57^INDEX('R1. Tree Coefficients'!$G:$G,$F57+2))*($E57^INDEX('R1. Tree Coefficients'!$H:$H,$F57+2)),INDEX('R1. Tree Coefficients'!$D:$D,$F57+2)*($D57^INDEX('R1. Tree Coefficients'!$E:$E,$F57+2))))</f>
        <v>4.21560555213208</v>
      </c>
      <c r="K57" s="14" t="n">
        <f aca="false">IF(OR($D57="",$F57=""),"",IF($E57&gt;0,INDEX('R1. Tree Coefficients'!$F:$F,$F57+3)*($D57^INDEX('R1. Tree Coefficients'!$G:$G,$F57+3))*($E57^INDEX('R1. Tree Coefficients'!$H:$H,$F57+3)),INDEX('R1. Tree Coefficients'!$D:$D,$F57+3)*($D57^INDEX('R1. Tree Coefficients'!$E:$E,$F57+3))))</f>
        <v>5.44218111463504</v>
      </c>
      <c r="L57" s="14" t="n">
        <f aca="false">IF($F57="","",IFERROR(SUM($H57:$K57),""))</f>
        <v>40.9904816518081</v>
      </c>
      <c r="M57" s="14" t="str">
        <f aca="false">IF($F57="","",INDEX('R1. Tree Coefficients'!$J:$J,$F57))</f>
        <v>Conifers</v>
      </c>
      <c r="N57" s="14" t="n">
        <f aca="false">IF($L57="","",IF($M57="Deciduous",BGB_RS_DECIDUOUS_a*($L57^BGB_RS_DECIDUOUS_b),IF($M57="Conifers",BGB_RS_CONIFER*$L57,AVERAGE(BGB_RS_DECIDUOUS_a*($L57^BGB_RS_DECIDUOUS_b),BGB_RS_CONIFER*$L57))))</f>
        <v>9.0998869267014</v>
      </c>
      <c r="O57" s="14" t="n">
        <f aca="false">IF($L57="","",$L57+$N57)</f>
        <v>50.0903685785095</v>
      </c>
      <c r="P57" s="14" t="n">
        <f aca="false">IF($O57="","",$O57*CARBON_FRACTION_BIOMASS)</f>
        <v>25.0451842892548</v>
      </c>
      <c r="Q57" s="14" t="str">
        <f aca="false">IF(AND($A57="",$C57=""),"",IF(AND($A57&lt;&gt;"",COUNTIF('1. Plot &amp; Site Log'!$A$5:$A$64,$A57)=0),"Plot ID not in Plot &amp; Site Log — this tree will not reach the summary. ","")&amp;IF($A57="","No Plot ID. ","")&amp;IF(AND($C57&lt;&gt;"",$F57=""),"Species not in the coefficient list — check the spelling against R1. ","")&amp;IF($D57="","No DBH — nothing can be calculated. ","")&amp;IF(AND($D57&lt;&gt;"",$D57&gt;QC_DBH_MAX_CM),"DBH above "&amp;QC_DBH_MAX_CM&amp;" cm — check for a transcription error. ","")&amp;IF($M57="All","Generic species: no published root:shoot applies, so below-ground biomass is the mean of the deciduous and conifer relationships. Choose a species, or Deciduous/Conifers, if you can. ","")&amp;IF(AND($O57&lt;&gt;"",$O57&gt;0,OR($N57/$O57&lt;BGB_FRACTION_MIN,$N57/$O57&gt;BGB_FRACTION_MAX)),"Below-ground share is "&amp;TEXT($N57/$O57,"0%")&amp;", outside the 18–30% the Trees guide describes. ",""))</f>
        <v/>
      </c>
    </row>
    <row r="58" customFormat="false" ht="15" hidden="false" customHeight="false" outlineLevel="0" collapsed="false">
      <c r="A58" s="13" t="s">
        <v>86</v>
      </c>
      <c r="B58" s="13" t="n">
        <v>11</v>
      </c>
      <c r="C58" s="13" t="s">
        <v>135</v>
      </c>
      <c r="D58" s="13" t="n">
        <v>8.2</v>
      </c>
      <c r="E58" s="13"/>
      <c r="F58" s="14" t="n">
        <f aca="false">IF($C58="","",IFERROR(12+(MATCH($C58,'R1. Tree Coefficients'!$L$12:$L$53,0)-1)*4,""))</f>
        <v>48</v>
      </c>
      <c r="G58" s="14" t="str">
        <f aca="false">IF($F58="","",IF(AND($E58&lt;&gt;"",$E58&gt;0),"DBH + height","DBH only"))</f>
        <v>DBH only</v>
      </c>
      <c r="H58" s="14" t="n">
        <f aca="false">IF(OR($D58="",$F58=""),"",IF($E58&gt;0,INDEX('R1. Tree Coefficients'!$F:$F,$F58+0)*($D58^INDEX('R1. Tree Coefficients'!$G:$G,$F58+0))*($E58^INDEX('R1. Tree Coefficients'!$H:$H,$F58+0)),INDEX('R1. Tree Coefficients'!$D:$D,$F58+0)*($D58^INDEX('R1. Tree Coefficients'!$E:$E,$F58+0))))</f>
        <v>9.56194220810663</v>
      </c>
      <c r="I58" s="14" t="n">
        <f aca="false">IF(OR($D58="",$F58=""),"",IF($E58&gt;0,INDEX('R1. Tree Coefficients'!$F:$F,$F58+1)*($D58^INDEX('R1. Tree Coefficients'!$G:$G,$F58+1))*($E58^INDEX('R1. Tree Coefficients'!$H:$H,$F58+1)),INDEX('R1. Tree Coefficients'!$D:$D,$F58+1)*($D58^INDEX('R1. Tree Coefficients'!$E:$E,$F58+1))))</f>
        <v>1.68187840732125</v>
      </c>
      <c r="J58" s="14" t="n">
        <f aca="false">IF(OR($D58="",$F58=""),"",IF($E58&gt;0,INDEX('R1. Tree Coefficients'!$F:$F,$F58+2)*($D58^INDEX('R1. Tree Coefficients'!$G:$G,$F58+2))*($E58^INDEX('R1. Tree Coefficients'!$H:$H,$F58+2)),INDEX('R1. Tree Coefficients'!$D:$D,$F58+2)*($D58^INDEX('R1. Tree Coefficients'!$E:$E,$F58+2))))</f>
        <v>2.29164907552706</v>
      </c>
      <c r="K58" s="14" t="n">
        <f aca="false">IF(OR($D58="",$F58=""),"",IF($E58&gt;0,INDEX('R1. Tree Coefficients'!$F:$F,$F58+3)*($D58^INDEX('R1. Tree Coefficients'!$G:$G,$F58+3))*($E58^INDEX('R1. Tree Coefficients'!$H:$H,$F58+3)),INDEX('R1. Tree Coefficients'!$D:$D,$F58+3)*($D58^INDEX('R1. Tree Coefficients'!$E:$E,$F58+3))))</f>
        <v>3.25147202590788</v>
      </c>
      <c r="L58" s="14" t="n">
        <f aca="false">IF($F58="","",IFERROR(SUM($H58:$K58),""))</f>
        <v>16.7869417168628</v>
      </c>
      <c r="M58" s="14" t="str">
        <f aca="false">IF($F58="","",INDEX('R1. Tree Coefficients'!$J:$J,$F58))</f>
        <v>Conifers</v>
      </c>
      <c r="N58" s="14" t="n">
        <f aca="false">IF($L58="","",IF($M58="Deciduous",BGB_RS_DECIDUOUS_a*($L58^BGB_RS_DECIDUOUS_b),IF($M58="Conifers",BGB_RS_CONIFER*$L58,AVERAGE(BGB_RS_DECIDUOUS_a*($L58^BGB_RS_DECIDUOUS_b),BGB_RS_CONIFER*$L58))))</f>
        <v>3.72670106114355</v>
      </c>
      <c r="O58" s="14" t="n">
        <f aca="false">IF($L58="","",$L58+$N58)</f>
        <v>20.5136427780064</v>
      </c>
      <c r="P58" s="14" t="n">
        <f aca="false">IF($O58="","",$O58*CARBON_FRACTION_BIOMASS)</f>
        <v>10.2568213890032</v>
      </c>
      <c r="Q58" s="14" t="str">
        <f aca="false">IF(AND($A58="",$C58=""),"",IF(AND($A58&lt;&gt;"",COUNTIF('1. Plot &amp; Site Log'!$A$5:$A$64,$A58)=0),"Plot ID not in Plot &amp; Site Log — this tree will not reach the summary. ","")&amp;IF($A58="","No Plot ID. ","")&amp;IF(AND($C58&lt;&gt;"",$F58=""),"Species not in the coefficient list — check the spelling against R1. ","")&amp;IF($D58="","No DBH — nothing can be calculated. ","")&amp;IF(AND($D58&lt;&gt;"",$D58&gt;QC_DBH_MAX_CM),"DBH above "&amp;QC_DBH_MAX_CM&amp;" cm — check for a transcription error. ","")&amp;IF($M58="All","Generic species: no published root:shoot applies, so below-ground biomass is the mean of the deciduous and conifer relationships. Choose a species, or Deciduous/Conifers, if you can. ","")&amp;IF(AND($O58&lt;&gt;"",$O58&gt;0,OR($N58/$O58&lt;BGB_FRACTION_MIN,$N58/$O58&gt;BGB_FRACTION_MAX)),"Below-ground share is "&amp;TEXT($N58/$O58,"0%")&amp;", outside the 18–30% the Trees guide describes. ",""))</f>
        <v/>
      </c>
    </row>
    <row r="59" customFormat="false" ht="15" hidden="false" customHeight="false" outlineLevel="0" collapsed="false">
      <c r="A59" s="13" t="s">
        <v>86</v>
      </c>
      <c r="B59" s="13" t="n">
        <v>12</v>
      </c>
      <c r="C59" s="13" t="s">
        <v>134</v>
      </c>
      <c r="D59" s="13" t="n">
        <v>14.3</v>
      </c>
      <c r="E59" s="13"/>
      <c r="F59" s="14" t="n">
        <f aca="false">IF($C59="","",IFERROR(12+(MATCH($C59,'R1. Tree Coefficients'!$L$12:$L$53,0)-1)*4,""))</f>
        <v>160</v>
      </c>
      <c r="G59" s="14" t="str">
        <f aca="false">IF($F59="","",IF(AND($E59&lt;&gt;"",$E59&gt;0),"DBH + height","DBH only"))</f>
        <v>DBH only</v>
      </c>
      <c r="H59" s="14" t="n">
        <f aca="false">IF(OR($D59="",$F59=""),"",IF($E59&gt;0,INDEX('R1. Tree Coefficients'!$F:$F,$F59+0)*($D59^INDEX('R1. Tree Coefficients'!$G:$G,$F59+0))*($E59^INDEX('R1. Tree Coefficients'!$H:$H,$F59+0)),INDEX('R1. Tree Coefficients'!$D:$D,$F59+0)*($D59^INDEX('R1. Tree Coefficients'!$E:$E,$F59+0))))</f>
        <v>46.1998062807016</v>
      </c>
      <c r="I59" s="14" t="n">
        <f aca="false">IF(OR($D59="",$F59=""),"",IF($E59&gt;0,INDEX('R1. Tree Coefficients'!$F:$F,$F59+1)*($D59^INDEX('R1. Tree Coefficients'!$G:$G,$F59+1))*($E59^INDEX('R1. Tree Coefficients'!$H:$H,$F59+1)),INDEX('R1. Tree Coefficients'!$D:$D,$F59+1)*($D59^INDEX('R1. Tree Coefficients'!$E:$E,$F59+1))))</f>
        <v>8.1290246054619</v>
      </c>
      <c r="J59" s="14" t="n">
        <f aca="false">IF(OR($D59="",$F59=""),"",IF($E59&gt;0,INDEX('R1. Tree Coefficients'!$F:$F,$F59+2)*($D59^INDEX('R1. Tree Coefficients'!$G:$G,$F59+2))*($E59^INDEX('R1. Tree Coefficients'!$H:$H,$F59+2)),INDEX('R1. Tree Coefficients'!$D:$D,$F59+2)*($D59^INDEX('R1. Tree Coefficients'!$E:$E,$F59+2))))</f>
        <v>12.0749003807493</v>
      </c>
      <c r="K59" s="14" t="n">
        <f aca="false">IF(OR($D59="",$F59=""),"",IF($E59&gt;0,INDEX('R1. Tree Coefficients'!$F:$F,$F59+3)*($D59^INDEX('R1. Tree Coefficients'!$G:$G,$F59+3))*($E59^INDEX('R1. Tree Coefficients'!$H:$H,$F59+3)),INDEX('R1. Tree Coefficients'!$D:$D,$F59+3)*($D59^INDEX('R1. Tree Coefficients'!$E:$E,$F59+3))))</f>
        <v>4.21002185709337</v>
      </c>
      <c r="L59" s="14" t="n">
        <f aca="false">IF($F59="","",IFERROR(SUM($H59:$K59),""))</f>
        <v>70.6137531240062</v>
      </c>
      <c r="M59" s="14" t="str">
        <f aca="false">IF($F59="","",INDEX('R1. Tree Coefficients'!$J:$J,$F59))</f>
        <v>Deciduous</v>
      </c>
      <c r="N59" s="14" t="n">
        <f aca="false">IF($L59="","",IF($M59="Deciduous",BGB_RS_DECIDUOUS_a*($L59^BGB_RS_DECIDUOUS_b),IF($M59="Conifers",BGB_RS_CONIFER*$L59,AVERAGE(BGB_RS_DECIDUOUS_a*($L59^BGB_RS_DECIDUOUS_b),BGB_RS_CONIFER*$L59))))</f>
        <v>21.6084258172846</v>
      </c>
      <c r="O59" s="14" t="n">
        <f aca="false">IF($L59="","",$L59+$N59)</f>
        <v>92.2221789412908</v>
      </c>
      <c r="P59" s="14" t="n">
        <f aca="false">IF($O59="","",$O59*CARBON_FRACTION_BIOMASS)</f>
        <v>46.1110894706454</v>
      </c>
      <c r="Q59" s="14" t="str">
        <f aca="false">IF(AND($A59="",$C59=""),"",IF(AND($A59&lt;&gt;"",COUNTIF('1. Plot &amp; Site Log'!$A$5:$A$64,$A59)=0),"Plot ID not in Plot &amp; Site Log — this tree will not reach the summary. ","")&amp;IF($A59="","No Plot ID. ","")&amp;IF(AND($C59&lt;&gt;"",$F59=""),"Species not in the coefficient list — check the spelling against R1. ","")&amp;IF($D59="","No DBH — nothing can be calculated. ","")&amp;IF(AND($D59&lt;&gt;"",$D59&gt;QC_DBH_MAX_CM),"DBH above "&amp;QC_DBH_MAX_CM&amp;" cm — check for a transcription error. ","")&amp;IF($M59="All","Generic species: no published root:shoot applies, so below-ground biomass is the mean of the deciduous and conifer relationships. Choose a species, or Deciduous/Conifers, if you can. ","")&amp;IF(AND($O59&lt;&gt;"",$O59&gt;0,OR($N59/$O59&lt;BGB_FRACTION_MIN,$N59/$O59&gt;BGB_FRACTION_MAX)),"Below-ground share is "&amp;TEXT($N59/$O59,"0%")&amp;", outside the 18–30% the Trees guide describes. ",""))</f>
        <v/>
      </c>
    </row>
    <row r="60" customFormat="false" ht="15" hidden="false" customHeight="false" outlineLevel="0" collapsed="false">
      <c r="A60" s="13" t="s">
        <v>86</v>
      </c>
      <c r="B60" s="13" t="n">
        <v>13</v>
      </c>
      <c r="C60" s="13" t="s">
        <v>135</v>
      </c>
      <c r="D60" s="13" t="n">
        <v>6.2</v>
      </c>
      <c r="E60" s="13" t="n">
        <v>8</v>
      </c>
      <c r="F60" s="14" t="n">
        <f aca="false">IF($C60="","",IFERROR(12+(MATCH($C60,'R1. Tree Coefficients'!$L$12:$L$53,0)-1)*4,""))</f>
        <v>48</v>
      </c>
      <c r="G60" s="14" t="str">
        <f aca="false">IF($F60="","",IF(AND($E60&lt;&gt;"",$E60&gt;0),"DBH + height","DBH only"))</f>
        <v>DBH + height</v>
      </c>
      <c r="H60" s="14" t="n">
        <f aca="false">IF(OR($D60="",$F60=""),"",IF($E60&gt;0,INDEX('R1. Tree Coefficients'!$F:$F,$F60+0)*($D60^INDEX('R1. Tree Coefficients'!$G:$G,$F60+0))*($E60^INDEX('R1. Tree Coefficients'!$H:$H,$F60+0)),INDEX('R1. Tree Coefficients'!$D:$D,$F60+0)*($D60^INDEX('R1. Tree Coefficients'!$E:$E,$F60+0))))</f>
        <v>6.18192480464099</v>
      </c>
      <c r="I60" s="14" t="n">
        <f aca="false">IF(OR($D60="",$F60=""),"",IF($E60&gt;0,INDEX('R1. Tree Coefficients'!$F:$F,$F60+1)*($D60^INDEX('R1. Tree Coefficients'!$G:$G,$F60+1))*($E60^INDEX('R1. Tree Coefficients'!$H:$H,$F60+1)),INDEX('R1. Tree Coefficients'!$D:$D,$F60+1)*($D60^INDEX('R1. Tree Coefficients'!$E:$E,$F60+1))))</f>
        <v>1.09959917375633</v>
      </c>
      <c r="J60" s="14" t="n">
        <f aca="false">IF(OR($D60="",$F60=""),"",IF($E60&gt;0,INDEX('R1. Tree Coefficients'!$F:$F,$F60+2)*($D60^INDEX('R1. Tree Coefficients'!$G:$G,$F60+2))*($E60^INDEX('R1. Tree Coefficients'!$H:$H,$F60+2)),INDEX('R1. Tree Coefficients'!$D:$D,$F60+2)*($D60^INDEX('R1. Tree Coefficients'!$E:$E,$F60+2))))</f>
        <v>0.797345101307809</v>
      </c>
      <c r="K60" s="14" t="n">
        <f aca="false">IF(OR($D60="",$F60=""),"",IF($E60&gt;0,INDEX('R1. Tree Coefficients'!$F:$F,$F60+3)*($D60^INDEX('R1. Tree Coefficients'!$G:$G,$F60+3))*($E60^INDEX('R1. Tree Coefficients'!$H:$H,$F60+3)),INDEX('R1. Tree Coefficients'!$D:$D,$F60+3)*($D60^INDEX('R1. Tree Coefficients'!$E:$E,$F60+3))))</f>
        <v>1.3324915321625</v>
      </c>
      <c r="L60" s="14" t="n">
        <f aca="false">IF($F60="","",IFERROR(SUM($H60:$K60),""))</f>
        <v>9.41136061186762</v>
      </c>
      <c r="M60" s="14" t="str">
        <f aca="false">IF($F60="","",INDEX('R1. Tree Coefficients'!$J:$J,$F60))</f>
        <v>Conifers</v>
      </c>
      <c r="N60" s="14" t="n">
        <f aca="false">IF($L60="","",IF($M60="Deciduous",BGB_RS_DECIDUOUS_a*($L60^BGB_RS_DECIDUOUS_b),IF($M60="Conifers",BGB_RS_CONIFER*$L60,AVERAGE(BGB_RS_DECIDUOUS_a*($L60^BGB_RS_DECIDUOUS_b),BGB_RS_CONIFER*$L60))))</f>
        <v>2.08932205583461</v>
      </c>
      <c r="O60" s="14" t="n">
        <f aca="false">IF($L60="","",$L60+$N60)</f>
        <v>11.5006826677022</v>
      </c>
      <c r="P60" s="14" t="n">
        <f aca="false">IF($O60="","",$O60*CARBON_FRACTION_BIOMASS)</f>
        <v>5.75034133385112</v>
      </c>
      <c r="Q60" s="14" t="str">
        <f aca="false">IF(AND($A60="",$C60=""),"",IF(AND($A60&lt;&gt;"",COUNTIF('1. Plot &amp; Site Log'!$A$5:$A$64,$A60)=0),"Plot ID not in Plot &amp; Site Log — this tree will not reach the summary. ","")&amp;IF($A60="","No Plot ID. ","")&amp;IF(AND($C60&lt;&gt;"",$F60=""),"Species not in the coefficient list — check the spelling against R1. ","")&amp;IF($D60="","No DBH — nothing can be calculated. ","")&amp;IF(AND($D60&lt;&gt;"",$D60&gt;QC_DBH_MAX_CM),"DBH above "&amp;QC_DBH_MAX_CM&amp;" cm — check for a transcription error. ","")&amp;IF($M60="All","Generic species: no published root:shoot applies, so below-ground biomass is the mean of the deciduous and conifer relationships. Choose a species, or Deciduous/Conifers, if you can. ","")&amp;IF(AND($O60&lt;&gt;"",$O60&gt;0,OR($N60/$O60&lt;BGB_FRACTION_MIN,$N60/$O60&gt;BGB_FRACTION_MAX)),"Below-ground share is "&amp;TEXT($N60/$O60,"0%")&amp;", outside the 18–30% the Trees guide describes. ",""))</f>
        <v/>
      </c>
    </row>
    <row r="61" customFormat="false" ht="15" hidden="false" customHeight="false" outlineLevel="0" collapsed="false">
      <c r="A61" s="13" t="s">
        <v>86</v>
      </c>
      <c r="B61" s="13" t="n">
        <v>14</v>
      </c>
      <c r="C61" s="13" t="s">
        <v>140</v>
      </c>
      <c r="D61" s="13" t="n">
        <v>5.6</v>
      </c>
      <c r="E61" s="13"/>
      <c r="F61" s="14" t="n">
        <f aca="false">IF($C61="","",IFERROR(12+(MATCH($C61,'R1. Tree Coefficients'!$L$12:$L$53,0)-1)*4,""))</f>
        <v>140</v>
      </c>
      <c r="G61" s="14" t="str">
        <f aca="false">IF($F61="","",IF(AND($E61&lt;&gt;"",$E61&gt;0),"DBH + height","DBH only"))</f>
        <v>DBH only</v>
      </c>
      <c r="H61" s="14" t="n">
        <f aca="false">IF(OR($D61="",$F61=""),"",IF($E61&gt;0,INDEX('R1. Tree Coefficients'!$F:$F,$F61+0)*($D61^INDEX('R1. Tree Coefficients'!$G:$G,$F61+0))*($E61^INDEX('R1. Tree Coefficients'!$H:$H,$F61+0)),INDEX('R1. Tree Coefficients'!$D:$D,$F61+0)*($D61^INDEX('R1. Tree Coefficients'!$E:$E,$F61+0))))</f>
        <v>4.23711462971784</v>
      </c>
      <c r="I61" s="14" t="n">
        <f aca="false">IF(OR($D61="",$F61=""),"",IF($E61&gt;0,INDEX('R1. Tree Coefficients'!$F:$F,$F61+1)*($D61^INDEX('R1. Tree Coefficients'!$G:$G,$F61+1))*($E61^INDEX('R1. Tree Coefficients'!$H:$H,$F61+1)),INDEX('R1. Tree Coefficients'!$D:$D,$F61+1)*($D61^INDEX('R1. Tree Coefficients'!$E:$E,$F61+1))))</f>
        <v>0.660540353443035</v>
      </c>
      <c r="J61" s="14" t="n">
        <f aca="false">IF(OR($D61="",$F61=""),"",IF($E61&gt;0,INDEX('R1. Tree Coefficients'!$F:$F,$F61+2)*($D61^INDEX('R1. Tree Coefficients'!$G:$G,$F61+2))*($E61^INDEX('R1. Tree Coefficients'!$H:$H,$F61+2)),INDEX('R1. Tree Coefficients'!$D:$D,$F61+2)*($D61^INDEX('R1. Tree Coefficients'!$E:$E,$F61+2))))</f>
        <v>0.970625261619063</v>
      </c>
      <c r="K61" s="14" t="n">
        <f aca="false">IF(OR($D61="",$F61=""),"",IF($E61&gt;0,INDEX('R1. Tree Coefficients'!$F:$F,$F61+3)*($D61^INDEX('R1. Tree Coefficients'!$G:$G,$F61+3))*($E61^INDEX('R1. Tree Coefficients'!$H:$H,$F61+3)),INDEX('R1. Tree Coefficients'!$D:$D,$F61+3)*($D61^INDEX('R1. Tree Coefficients'!$E:$E,$F61+3))))</f>
        <v>1.03887239485904</v>
      </c>
      <c r="L61" s="14" t="n">
        <f aca="false">IF($F61="","",IFERROR(SUM($H61:$K61),""))</f>
        <v>6.90715263963897</v>
      </c>
      <c r="M61" s="14" t="str">
        <f aca="false">IF($F61="","",INDEX('R1. Tree Coefficients'!$J:$J,$F61))</f>
        <v>Conifers</v>
      </c>
      <c r="N61" s="14" t="n">
        <f aca="false">IF($L61="","",IF($M61="Deciduous",BGB_RS_DECIDUOUS_a*($L61^BGB_RS_DECIDUOUS_b),IF($M61="Conifers",BGB_RS_CONIFER*$L61,AVERAGE(BGB_RS_DECIDUOUS_a*($L61^BGB_RS_DECIDUOUS_b),BGB_RS_CONIFER*$L61))))</f>
        <v>1.53338788599985</v>
      </c>
      <c r="O61" s="14" t="n">
        <f aca="false">IF($L61="","",$L61+$N61)</f>
        <v>8.44054052563882</v>
      </c>
      <c r="P61" s="14" t="n">
        <f aca="false">IF($O61="","",$O61*CARBON_FRACTION_BIOMASS)</f>
        <v>4.22027026281941</v>
      </c>
      <c r="Q61" s="14" t="str">
        <f aca="false">IF(AND($A61="",$C61=""),"",IF(AND($A61&lt;&gt;"",COUNTIF('1. Plot &amp; Site Log'!$A$5:$A$64,$A61)=0),"Plot ID not in Plot &amp; Site Log — this tree will not reach the summary. ","")&amp;IF($A61="","No Plot ID. ","")&amp;IF(AND($C61&lt;&gt;"",$F61=""),"Species not in the coefficient list — check the spelling against R1. ","")&amp;IF($D61="","No DBH — nothing can be calculated. ","")&amp;IF(AND($D61&lt;&gt;"",$D61&gt;QC_DBH_MAX_CM),"DBH above "&amp;QC_DBH_MAX_CM&amp;" cm — check for a transcription error. ","")&amp;IF($M61="All","Generic species: no published root:shoot applies, so below-ground biomass is the mean of the deciduous and conifer relationships. Choose a species, or Deciduous/Conifers, if you can. ","")&amp;IF(AND($O61&lt;&gt;"",$O61&gt;0,OR($N61/$O61&lt;BGB_FRACTION_MIN,$N61/$O61&gt;BGB_FRACTION_MAX)),"Below-ground share is "&amp;TEXT($N61/$O61,"0%")&amp;", outside the 18–30% the Trees guide describes. ",""))</f>
        <v/>
      </c>
    </row>
    <row r="62" customFormat="false" ht="15" hidden="false" customHeight="false" outlineLevel="0" collapsed="false">
      <c r="A62" s="13" t="s">
        <v>86</v>
      </c>
      <c r="B62" s="13" t="n">
        <v>15</v>
      </c>
      <c r="C62" s="13" t="s">
        <v>135</v>
      </c>
      <c r="D62" s="13" t="n">
        <v>9.7</v>
      </c>
      <c r="E62" s="13"/>
      <c r="F62" s="14" t="n">
        <f aca="false">IF($C62="","",IFERROR(12+(MATCH($C62,'R1. Tree Coefficients'!$L$12:$L$53,0)-1)*4,""))</f>
        <v>48</v>
      </c>
      <c r="G62" s="14" t="str">
        <f aca="false">IF($F62="","",IF(AND($E62&lt;&gt;"",$E62&gt;0),"DBH + height","DBH only"))</f>
        <v>DBH only</v>
      </c>
      <c r="H62" s="14" t="n">
        <f aca="false">IF(OR($D62="",$F62=""),"",IF($E62&gt;0,INDEX('R1. Tree Coefficients'!$F:$F,$F62+0)*($D62^INDEX('R1. Tree Coefficients'!$G:$G,$F62+0))*($E62^INDEX('R1. Tree Coefficients'!$H:$H,$F62+0)),INDEX('R1. Tree Coefficients'!$D:$D,$F62+0)*($D62^INDEX('R1. Tree Coefficients'!$E:$E,$F62+0))))</f>
        <v>14.5587206825524</v>
      </c>
      <c r="I62" s="14" t="n">
        <f aca="false">IF(OR($D62="",$F62=""),"",IF($E62&gt;0,INDEX('R1. Tree Coefficients'!$F:$F,$F62+1)*($D62^INDEX('R1. Tree Coefficients'!$G:$G,$F62+1))*($E62^INDEX('R1. Tree Coefficients'!$H:$H,$F62+1)),INDEX('R1. Tree Coefficients'!$D:$D,$F62+1)*($D62^INDEX('R1. Tree Coefficients'!$E:$E,$F62+1))))</f>
        <v>2.4541779763346</v>
      </c>
      <c r="J62" s="14" t="n">
        <f aca="false">IF(OR($D62="",$F62=""),"",IF($E62&gt;0,INDEX('R1. Tree Coefficients'!$F:$F,$F62+2)*($D62^INDEX('R1. Tree Coefficients'!$G:$G,$F62+2))*($E62^INDEX('R1. Tree Coefficients'!$H:$H,$F62+2)),INDEX('R1. Tree Coefficients'!$D:$D,$F62+2)*($D62^INDEX('R1. Tree Coefficients'!$E:$E,$F62+2))))</f>
        <v>3.24745405032108</v>
      </c>
      <c r="K62" s="14" t="n">
        <f aca="false">IF(OR($D62="",$F62=""),"",IF($E62&gt;0,INDEX('R1. Tree Coefficients'!$F:$F,$F62+3)*($D62^INDEX('R1. Tree Coefficients'!$G:$G,$F62+3))*($E62^INDEX('R1. Tree Coefficients'!$H:$H,$F62+3)),INDEX('R1. Tree Coefficients'!$D:$D,$F62+3)*($D62^INDEX('R1. Tree Coefficients'!$E:$E,$F62+3))))</f>
        <v>4.12896043657505</v>
      </c>
      <c r="L62" s="14" t="n">
        <f aca="false">IF($F62="","",IFERROR(SUM($H62:$K62),""))</f>
        <v>24.3893131457832</v>
      </c>
      <c r="M62" s="14" t="str">
        <f aca="false">IF($F62="","",INDEX('R1. Tree Coefficients'!$J:$J,$F62))</f>
        <v>Conifers</v>
      </c>
      <c r="N62" s="14" t="n">
        <f aca="false">IF($L62="","",IF($M62="Deciduous",BGB_RS_DECIDUOUS_a*($L62^BGB_RS_DECIDUOUS_b),IF($M62="Conifers",BGB_RS_CONIFER*$L62,AVERAGE(BGB_RS_DECIDUOUS_a*($L62^BGB_RS_DECIDUOUS_b),BGB_RS_CONIFER*$L62))))</f>
        <v>5.41442751836387</v>
      </c>
      <c r="O62" s="14" t="n">
        <f aca="false">IF($L62="","",$L62+$N62)</f>
        <v>29.803740664147</v>
      </c>
      <c r="P62" s="14" t="n">
        <f aca="false">IF($O62="","",$O62*CARBON_FRACTION_BIOMASS)</f>
        <v>14.9018703320735</v>
      </c>
      <c r="Q62" s="14" t="str">
        <f aca="false">IF(AND($A62="",$C62=""),"",IF(AND($A62&lt;&gt;"",COUNTIF('1. Plot &amp; Site Log'!$A$5:$A$64,$A62)=0),"Plot ID not in Plot &amp; Site Log — this tree will not reach the summary. ","")&amp;IF($A62="","No Plot ID. ","")&amp;IF(AND($C62&lt;&gt;"",$F62=""),"Species not in the coefficient list — check the spelling against R1. ","")&amp;IF($D62="","No DBH — nothing can be calculated. ","")&amp;IF(AND($D62&lt;&gt;"",$D62&gt;QC_DBH_MAX_CM),"DBH above "&amp;QC_DBH_MAX_CM&amp;" cm — check for a transcription error. ","")&amp;IF($M62="All","Generic species: no published root:shoot applies, so below-ground biomass is the mean of the deciduous and conifer relationships. Choose a species, or Deciduous/Conifers, if you can. ","")&amp;IF(AND($O62&lt;&gt;"",$O62&gt;0,OR($N62/$O62&lt;BGB_FRACTION_MIN,$N62/$O62&gt;BGB_FRACTION_MAX)),"Below-ground share is "&amp;TEXT($N62/$O62,"0%")&amp;", outside the 18–30% the Trees guide describes. ",""))</f>
        <v/>
      </c>
    </row>
    <row r="63" customFormat="false" ht="15" hidden="false" customHeight="false" outlineLevel="0" collapsed="false">
      <c r="A63" s="13" t="s">
        <v>86</v>
      </c>
      <c r="B63" s="13" t="n">
        <v>16</v>
      </c>
      <c r="C63" s="13" t="s">
        <v>140</v>
      </c>
      <c r="D63" s="13" t="n">
        <v>17.5</v>
      </c>
      <c r="E63" s="13" t="n">
        <v>12.3</v>
      </c>
      <c r="F63" s="14" t="n">
        <f aca="false">IF($C63="","",IFERROR(12+(MATCH($C63,'R1. Tree Coefficients'!$L$12:$L$53,0)-1)*4,""))</f>
        <v>140</v>
      </c>
      <c r="G63" s="14" t="str">
        <f aca="false">IF($F63="","",IF(AND($E63&lt;&gt;"",$E63&gt;0),"DBH + height","DBH only"))</f>
        <v>DBH + height</v>
      </c>
      <c r="H63" s="14" t="n">
        <f aca="false">IF(OR($D63="",$F63=""),"",IF($E63&gt;0,INDEX('R1. Tree Coefficients'!$F:$F,$F63+0)*($D63^INDEX('R1. Tree Coefficients'!$G:$G,$F63+0))*($E63^INDEX('R1. Tree Coefficients'!$H:$H,$F63+0)),INDEX('R1. Tree Coefficients'!$D:$D,$F63+0)*($D63^INDEX('R1. Tree Coefficients'!$E:$E,$F63+0))))</f>
        <v>58.4715132675844</v>
      </c>
      <c r="I63" s="14" t="n">
        <f aca="false">IF(OR($D63="",$F63=""),"",IF($E63&gt;0,INDEX('R1. Tree Coefficients'!$F:$F,$F63+1)*($D63^INDEX('R1. Tree Coefficients'!$G:$G,$F63+1))*($E63^INDEX('R1. Tree Coefficients'!$H:$H,$F63+1)),INDEX('R1. Tree Coefficients'!$D:$D,$F63+1)*($D63^INDEX('R1. Tree Coefficients'!$E:$E,$F63+1))))</f>
        <v>6.80806531408975</v>
      </c>
      <c r="J63" s="14" t="n">
        <f aca="false">IF(OR($D63="",$F63=""),"",IF($E63&gt;0,INDEX('R1. Tree Coefficients'!$F:$F,$F63+2)*($D63^INDEX('R1. Tree Coefficients'!$G:$G,$F63+2))*($E63^INDEX('R1. Tree Coefficients'!$H:$H,$F63+2)),INDEX('R1. Tree Coefficients'!$D:$D,$F63+2)*($D63^INDEX('R1. Tree Coefficients'!$E:$E,$F63+2))))</f>
        <v>14.5070024580603</v>
      </c>
      <c r="K63" s="14" t="n">
        <f aca="false">IF(OR($D63="",$F63=""),"",IF($E63&gt;0,INDEX('R1. Tree Coefficients'!$F:$F,$F63+3)*($D63^INDEX('R1. Tree Coefficients'!$G:$G,$F63+3))*($E63^INDEX('R1. Tree Coefficients'!$H:$H,$F63+3)),INDEX('R1. Tree Coefficients'!$D:$D,$F63+3)*($D63^INDEX('R1. Tree Coefficients'!$E:$E,$F63+3))))</f>
        <v>6.20332795210013</v>
      </c>
      <c r="L63" s="14" t="n">
        <f aca="false">IF($F63="","",IFERROR(SUM($H63:$K63),""))</f>
        <v>85.9899089918346</v>
      </c>
      <c r="M63" s="14" t="str">
        <f aca="false">IF($F63="","",INDEX('R1. Tree Coefficients'!$J:$J,$F63))</f>
        <v>Conifers</v>
      </c>
      <c r="N63" s="14" t="n">
        <f aca="false">IF($L63="","",IF($M63="Deciduous",BGB_RS_DECIDUOUS_a*($L63^BGB_RS_DECIDUOUS_b),IF($M63="Conifers",BGB_RS_CONIFER*$L63,AVERAGE(BGB_RS_DECIDUOUS_a*($L63^BGB_RS_DECIDUOUS_b),BGB_RS_CONIFER*$L63))))</f>
        <v>19.0897597961873</v>
      </c>
      <c r="O63" s="14" t="n">
        <f aca="false">IF($L63="","",$L63+$N63)</f>
        <v>105.079668788022</v>
      </c>
      <c r="P63" s="14" t="n">
        <f aca="false">IF($O63="","",$O63*CARBON_FRACTION_BIOMASS)</f>
        <v>52.5398343940109</v>
      </c>
      <c r="Q63" s="14" t="str">
        <f aca="false">IF(AND($A63="",$C63=""),"",IF(AND($A63&lt;&gt;"",COUNTIF('1. Plot &amp; Site Log'!$A$5:$A$64,$A63)=0),"Plot ID not in Plot &amp; Site Log — this tree will not reach the summary. ","")&amp;IF($A63="","No Plot ID. ","")&amp;IF(AND($C63&lt;&gt;"",$F63=""),"Species not in the coefficient list — check the spelling against R1. ","")&amp;IF($D63="","No DBH — nothing can be calculated. ","")&amp;IF(AND($D63&lt;&gt;"",$D63&gt;QC_DBH_MAX_CM),"DBH above "&amp;QC_DBH_MAX_CM&amp;" cm — check for a transcription error. ","")&amp;IF($M63="All","Generic species: no published root:shoot applies, so below-ground biomass is the mean of the deciduous and conifer relationships. Choose a species, or Deciduous/Conifers, if you can. ","")&amp;IF(AND($O63&lt;&gt;"",$O63&gt;0,OR($N63/$O63&lt;BGB_FRACTION_MIN,$N63/$O63&gt;BGB_FRACTION_MAX)),"Below-ground share is "&amp;TEXT($N63/$O63,"0%")&amp;", outside the 18–30% the Trees guide describes. ",""))</f>
        <v/>
      </c>
    </row>
    <row r="64" customFormat="false" ht="15" hidden="false" customHeight="false" outlineLevel="0" collapsed="false">
      <c r="A64" s="13" t="s">
        <v>86</v>
      </c>
      <c r="B64" s="13" t="n">
        <v>17</v>
      </c>
      <c r="C64" s="13" t="s">
        <v>135</v>
      </c>
      <c r="D64" s="13" t="n">
        <v>7.3</v>
      </c>
      <c r="E64" s="13"/>
      <c r="F64" s="14" t="n">
        <f aca="false">IF($C64="","",IFERROR(12+(MATCH($C64,'R1. Tree Coefficients'!$L$12:$L$53,0)-1)*4,""))</f>
        <v>48</v>
      </c>
      <c r="G64" s="14" t="str">
        <f aca="false">IF($F64="","",IF(AND($E64&lt;&gt;"",$E64&gt;0),"DBH + height","DBH only"))</f>
        <v>DBH only</v>
      </c>
      <c r="H64" s="14" t="n">
        <f aca="false">IF(OR($D64="",$F64=""),"",IF($E64&gt;0,INDEX('R1. Tree Coefficients'!$F:$F,$F64+0)*($D64^INDEX('R1. Tree Coefficients'!$G:$G,$F64+0))*($E64^INDEX('R1. Tree Coefficients'!$H:$H,$F64+0)),INDEX('R1. Tree Coefficients'!$D:$D,$F64+0)*($D64^INDEX('R1. Tree Coefficients'!$E:$E,$F64+0))))</f>
        <v>7.14812940978436</v>
      </c>
      <c r="I64" s="14" t="n">
        <f aca="false">IF(OR($D64="",$F64=""),"",IF($E64&gt;0,INDEX('R1. Tree Coefficients'!$F:$F,$F64+1)*($D64^INDEX('R1. Tree Coefficients'!$G:$G,$F64+1))*($E64^INDEX('R1. Tree Coefficients'!$H:$H,$F64+1)),INDEX('R1. Tree Coefficients'!$D:$D,$F64+1)*($D64^INDEX('R1. Tree Coefficients'!$E:$E,$F64+1))))</f>
        <v>1.29485207460965</v>
      </c>
      <c r="J64" s="14" t="n">
        <f aca="false">IF(OR($D64="",$F64=""),"",IF($E64&gt;0,INDEX('R1. Tree Coefficients'!$F:$F,$F64+2)*($D64^INDEX('R1. Tree Coefficients'!$G:$G,$F64+2))*($E64^INDEX('R1. Tree Coefficients'!$H:$H,$F64+2)),INDEX('R1. Tree Coefficients'!$D:$D,$F64+2)*($D64^INDEX('R1. Tree Coefficients'!$E:$E,$F64+2))))</f>
        <v>1.80042177167344</v>
      </c>
      <c r="K64" s="14" t="n">
        <f aca="false">IF(OR($D64="",$F64=""),"",IF($E64&gt;0,INDEX('R1. Tree Coefficients'!$F:$F,$F64+3)*($D64^INDEX('R1. Tree Coefficients'!$G:$G,$F64+3))*($E64^INDEX('R1. Tree Coefficients'!$H:$H,$F64+3)),INDEX('R1. Tree Coefficients'!$D:$D,$F64+3)*($D64^INDEX('R1. Tree Coefficients'!$E:$E,$F64+3))))</f>
        <v>2.75595252951742</v>
      </c>
      <c r="L64" s="14" t="n">
        <f aca="false">IF($F64="","",IFERROR(SUM($H64:$K64),""))</f>
        <v>12.9993557855849</v>
      </c>
      <c r="M64" s="14" t="str">
        <f aca="false">IF($F64="","",INDEX('R1. Tree Coefficients'!$J:$J,$F64))</f>
        <v>Conifers</v>
      </c>
      <c r="N64" s="14" t="n">
        <f aca="false">IF($L64="","",IF($M64="Deciduous",BGB_RS_DECIDUOUS_a*($L64^BGB_RS_DECIDUOUS_b),IF($M64="Conifers",BGB_RS_CONIFER*$L64,AVERAGE(BGB_RS_DECIDUOUS_a*($L64^BGB_RS_DECIDUOUS_b),BGB_RS_CONIFER*$L64))))</f>
        <v>2.88585698439984</v>
      </c>
      <c r="O64" s="14" t="n">
        <f aca="false">IF($L64="","",$L64+$N64)</f>
        <v>15.8852127699847</v>
      </c>
      <c r="P64" s="14" t="n">
        <f aca="false">IF($O64="","",$O64*CARBON_FRACTION_BIOMASS)</f>
        <v>7.94260638499235</v>
      </c>
      <c r="Q64" s="14" t="str">
        <f aca="false">IF(AND($A64="",$C64=""),"",IF(AND($A64&lt;&gt;"",COUNTIF('1. Plot &amp; Site Log'!$A$5:$A$64,$A64)=0),"Plot ID not in Plot &amp; Site Log — this tree will not reach the summary. ","")&amp;IF($A64="","No Plot ID. ","")&amp;IF(AND($C64&lt;&gt;"",$F64=""),"Species not in the coefficient list — check the spelling against R1. ","")&amp;IF($D64="","No DBH — nothing can be calculated. ","")&amp;IF(AND($D64&lt;&gt;"",$D64&gt;QC_DBH_MAX_CM),"DBH above "&amp;QC_DBH_MAX_CM&amp;" cm — check for a transcription error. ","")&amp;IF($M64="All","Generic species: no published root:shoot applies, so below-ground biomass is the mean of the deciduous and conifer relationships. Choose a species, or Deciduous/Conifers, if you can. ","")&amp;IF(AND($O64&lt;&gt;"",$O64&gt;0,OR($N64/$O64&lt;BGB_FRACTION_MIN,$N64/$O64&gt;BGB_FRACTION_MAX)),"Below-ground share is "&amp;TEXT($N64/$O64,"0%")&amp;", outside the 18–30% the Trees guide describes. ",""))</f>
        <v/>
      </c>
    </row>
    <row r="65" customFormat="false" ht="15" hidden="false" customHeight="false" outlineLevel="0" collapsed="false">
      <c r="A65" s="13" t="s">
        <v>86</v>
      </c>
      <c r="B65" s="13" t="n">
        <v>18</v>
      </c>
      <c r="C65" s="13" t="s">
        <v>135</v>
      </c>
      <c r="D65" s="13" t="n">
        <v>20.9</v>
      </c>
      <c r="E65" s="13"/>
      <c r="F65" s="14" t="n">
        <f aca="false">IF($C65="","",IFERROR(12+(MATCH($C65,'R1. Tree Coefficients'!$L$12:$L$53,0)-1)*4,""))</f>
        <v>48</v>
      </c>
      <c r="G65" s="14" t="str">
        <f aca="false">IF($F65="","",IF(AND($E65&lt;&gt;"",$E65&gt;0),"DBH + height","DBH only"))</f>
        <v>DBH only</v>
      </c>
      <c r="H65" s="14" t="n">
        <f aca="false">IF(OR($D65="",$F65=""),"",IF($E65&gt;0,INDEX('R1. Tree Coefficients'!$F:$F,$F65+0)*($D65^INDEX('R1. Tree Coefficients'!$G:$G,$F65+0))*($E65^INDEX('R1. Tree Coefficients'!$H:$H,$F65+0)),INDEX('R1. Tree Coefficients'!$D:$D,$F65+0)*($D65^INDEX('R1. Tree Coefficients'!$E:$E,$F65+0))))</f>
        <v>99.4015210178682</v>
      </c>
      <c r="I65" s="14" t="n">
        <f aca="false">IF(OR($D65="",$F65=""),"",IF($E65&gt;0,INDEX('R1. Tree Coefficients'!$F:$F,$F65+1)*($D65^INDEX('R1. Tree Coefficients'!$G:$G,$F65+1))*($E65^INDEX('R1. Tree Coefficients'!$H:$H,$F65+1)),INDEX('R1. Tree Coefficients'!$D:$D,$F65+1)*($D65^INDEX('R1. Tree Coefficients'!$E:$E,$F65+1))))</f>
        <v>13.7974481717927</v>
      </c>
      <c r="J65" s="14" t="n">
        <f aca="false">IF(OR($D65="",$F65=""),"",IF($E65&gt;0,INDEX('R1. Tree Coefficients'!$F:$F,$F65+2)*($D65^INDEX('R1. Tree Coefficients'!$G:$G,$F65+2))*($E65^INDEX('R1. Tree Coefficients'!$H:$H,$F65+2)),INDEX('R1. Tree Coefficients'!$D:$D,$F65+2)*($D65^INDEX('R1. Tree Coefficients'!$E:$E,$F65+2))))</f>
        <v>15.9708689952375</v>
      </c>
      <c r="K65" s="14" t="n">
        <f aca="false">IF(OR($D65="",$F65=""),"",IF($E65&gt;0,INDEX('R1. Tree Coefficients'!$F:$F,$F65+3)*($D65^INDEX('R1. Tree Coefficients'!$G:$G,$F65+3))*($E65^INDEX('R1. Tree Coefficients'!$H:$H,$F65+3)),INDEX('R1. Tree Coefficients'!$D:$D,$F65+3)*($D65^INDEX('R1. Tree Coefficients'!$E:$E,$F65+3))))</f>
        <v>12.3017248534311</v>
      </c>
      <c r="L65" s="14" t="n">
        <f aca="false">IF($F65="","",IFERROR(SUM($H65:$K65),""))</f>
        <v>141.47156303833</v>
      </c>
      <c r="M65" s="14" t="str">
        <f aca="false">IF($F65="","",INDEX('R1. Tree Coefficients'!$J:$J,$F65))</f>
        <v>Conifers</v>
      </c>
      <c r="N65" s="14" t="n">
        <f aca="false">IF($L65="","",IF($M65="Deciduous",BGB_RS_DECIDUOUS_a*($L65^BGB_RS_DECIDUOUS_b),IF($M65="Conifers",BGB_RS_CONIFER*$L65,AVERAGE(BGB_RS_DECIDUOUS_a*($L65^BGB_RS_DECIDUOUS_b),BGB_RS_CONIFER*$L65))))</f>
        <v>31.4066869945091</v>
      </c>
      <c r="O65" s="14" t="n">
        <f aca="false">IF($L65="","",$L65+$N65)</f>
        <v>172.878250032839</v>
      </c>
      <c r="P65" s="14" t="n">
        <f aca="false">IF($O65="","",$O65*CARBON_FRACTION_BIOMASS)</f>
        <v>86.4391250164193</v>
      </c>
      <c r="Q65" s="14" t="str">
        <f aca="false">IF(AND($A65="",$C65=""),"",IF(AND($A65&lt;&gt;"",COUNTIF('1. Plot &amp; Site Log'!$A$5:$A$64,$A65)=0),"Plot ID not in Plot &amp; Site Log — this tree will not reach the summary. ","")&amp;IF($A65="","No Plot ID. ","")&amp;IF(AND($C65&lt;&gt;"",$F65=""),"Species not in the coefficient list — check the spelling against R1. ","")&amp;IF($D65="","No DBH — nothing can be calculated. ","")&amp;IF(AND($D65&lt;&gt;"",$D65&gt;QC_DBH_MAX_CM),"DBH above "&amp;QC_DBH_MAX_CM&amp;" cm — check for a transcription error. ","")&amp;IF($M65="All","Generic species: no published root:shoot applies, so below-ground biomass is the mean of the deciduous and conifer relationships. Choose a species, or Deciduous/Conifers, if you can. ","")&amp;IF(AND($O65&lt;&gt;"",$O65&gt;0,OR($N65/$O65&lt;BGB_FRACTION_MIN,$N65/$O65&gt;BGB_FRACTION_MAX)),"Below-ground share is "&amp;TEXT($N65/$O65,"0%")&amp;", outside the 18–30% the Trees guide describes. ",""))</f>
        <v/>
      </c>
    </row>
    <row r="66" customFormat="false" ht="15" hidden="false" customHeight="false" outlineLevel="0" collapsed="false">
      <c r="A66" s="13" t="s">
        <v>91</v>
      </c>
      <c r="B66" s="13" t="n">
        <v>1</v>
      </c>
      <c r="C66" s="13" t="s">
        <v>140</v>
      </c>
      <c r="D66" s="13" t="n">
        <v>15</v>
      </c>
      <c r="E66" s="13" t="n">
        <v>11.7</v>
      </c>
      <c r="F66" s="14" t="n">
        <f aca="false">IF($C66="","",IFERROR(12+(MATCH($C66,'R1. Tree Coefficients'!$L$12:$L$53,0)-1)*4,""))</f>
        <v>140</v>
      </c>
      <c r="G66" s="14" t="str">
        <f aca="false">IF($F66="","",IF(AND($E66&lt;&gt;"",$E66&gt;0),"DBH + height","DBH only"))</f>
        <v>DBH + height</v>
      </c>
      <c r="H66" s="14" t="n">
        <f aca="false">IF(OR($D66="",$F66=""),"",IF($E66&gt;0,INDEX('R1. Tree Coefficients'!$F:$F,$F66+0)*($D66^INDEX('R1. Tree Coefficients'!$G:$G,$F66+0))*($E66^INDEX('R1. Tree Coefficients'!$H:$H,$F66+0)),INDEX('R1. Tree Coefficients'!$D:$D,$F66+0)*($D66^INDEX('R1. Tree Coefficients'!$E:$E,$F66+0))))</f>
        <v>42.6706428087799</v>
      </c>
      <c r="I66" s="14" t="n">
        <f aca="false">IF(OR($D66="",$F66=""),"",IF($E66&gt;0,INDEX('R1. Tree Coefficients'!$F:$F,$F66+1)*($D66^INDEX('R1. Tree Coefficients'!$G:$G,$F66+1))*($E66^INDEX('R1. Tree Coefficients'!$H:$H,$F66+1)),INDEX('R1. Tree Coefficients'!$D:$D,$F66+1)*($D66^INDEX('R1. Tree Coefficients'!$E:$E,$F66+1))))</f>
        <v>5.08391322454275</v>
      </c>
      <c r="J66" s="14" t="n">
        <f aca="false">IF(OR($D66="",$F66=""),"",IF($E66&gt;0,INDEX('R1. Tree Coefficients'!$F:$F,$F66+2)*($D66^INDEX('R1. Tree Coefficients'!$G:$G,$F66+2))*($E66^INDEX('R1. Tree Coefficients'!$H:$H,$F66+2)),INDEX('R1. Tree Coefficients'!$D:$D,$F66+2)*($D66^INDEX('R1. Tree Coefficients'!$E:$E,$F66+2))))</f>
        <v>9.48211460412665</v>
      </c>
      <c r="K66" s="14" t="n">
        <f aca="false">IF(OR($D66="",$F66=""),"",IF($E66&gt;0,INDEX('R1. Tree Coefficients'!$F:$F,$F66+3)*($D66^INDEX('R1. Tree Coefficients'!$G:$G,$F66+3))*($E66^INDEX('R1. Tree Coefficients'!$H:$H,$F66+3)),INDEX('R1. Tree Coefficients'!$D:$D,$F66+3)*($D66^INDEX('R1. Tree Coefficients'!$E:$E,$F66+3))))</f>
        <v>4.67919238468459</v>
      </c>
      <c r="L66" s="14" t="n">
        <f aca="false">IF($F66="","",IFERROR(SUM($H66:$K66),""))</f>
        <v>61.9158630221339</v>
      </c>
      <c r="M66" s="14" t="str">
        <f aca="false">IF($F66="","",INDEX('R1. Tree Coefficients'!$J:$J,$F66))</f>
        <v>Conifers</v>
      </c>
      <c r="N66" s="14" t="n">
        <f aca="false">IF($L66="","",IF($M66="Deciduous",BGB_RS_DECIDUOUS_a*($L66^BGB_RS_DECIDUOUS_b),IF($M66="Conifers",BGB_RS_CONIFER*$L66,AVERAGE(BGB_RS_DECIDUOUS_a*($L66^BGB_RS_DECIDUOUS_b),BGB_RS_CONIFER*$L66))))</f>
        <v>13.7453215909137</v>
      </c>
      <c r="O66" s="14" t="n">
        <f aca="false">IF($L66="","",$L66+$N66)</f>
        <v>75.6611846130476</v>
      </c>
      <c r="P66" s="14" t="n">
        <f aca="false">IF($O66="","",$O66*CARBON_FRACTION_BIOMASS)</f>
        <v>37.8305923065238</v>
      </c>
      <c r="Q66" s="14" t="str">
        <f aca="false">IF(AND($A66="",$C66=""),"",IF(AND($A66&lt;&gt;"",COUNTIF('1. Plot &amp; Site Log'!$A$5:$A$64,$A66)=0),"Plot ID not in Plot &amp; Site Log — this tree will not reach the summary. ","")&amp;IF($A66="","No Plot ID. ","")&amp;IF(AND($C66&lt;&gt;"",$F66=""),"Species not in the coefficient list — check the spelling against R1. ","")&amp;IF($D66="","No DBH — nothing can be calculated. ","")&amp;IF(AND($D66&lt;&gt;"",$D66&gt;QC_DBH_MAX_CM),"DBH above "&amp;QC_DBH_MAX_CM&amp;" cm — check for a transcription error. ","")&amp;IF($M66="All","Generic species: no published root:shoot applies, so below-ground biomass is the mean of the deciduous and conifer relationships. Choose a species, or Deciduous/Conifers, if you can. ","")&amp;IF(AND($O66&lt;&gt;"",$O66&gt;0,OR($N66/$O66&lt;BGB_FRACTION_MIN,$N66/$O66&gt;BGB_FRACTION_MAX)),"Below-ground share is "&amp;TEXT($N66/$O66,"0%")&amp;", outside the 18–30% the Trees guide describes. ",""))</f>
        <v/>
      </c>
    </row>
    <row r="67" customFormat="false" ht="15" hidden="false" customHeight="false" outlineLevel="0" collapsed="false">
      <c r="A67" s="13" t="s">
        <v>91</v>
      </c>
      <c r="B67" s="13" t="n">
        <v>2</v>
      </c>
      <c r="C67" s="13" t="s">
        <v>140</v>
      </c>
      <c r="D67" s="13" t="n">
        <v>21</v>
      </c>
      <c r="E67" s="13"/>
      <c r="F67" s="14" t="n">
        <f aca="false">IF($C67="","",IFERROR(12+(MATCH($C67,'R1. Tree Coefficients'!$L$12:$L$53,0)-1)*4,""))</f>
        <v>140</v>
      </c>
      <c r="G67" s="14" t="str">
        <f aca="false">IF($F67="","",IF(AND($E67&lt;&gt;"",$E67&gt;0),"DBH + height","DBH only"))</f>
        <v>DBH only</v>
      </c>
      <c r="H67" s="14" t="n">
        <f aca="false">IF(OR($D67="",$F67=""),"",IF($E67&gt;0,INDEX('R1. Tree Coefficients'!$F:$F,$F67+0)*($D67^INDEX('R1. Tree Coefficients'!$G:$G,$F67+0))*($E67^INDEX('R1. Tree Coefficients'!$H:$H,$F67+0)),INDEX('R1. Tree Coefficients'!$D:$D,$F67+0)*($D67^INDEX('R1. Tree Coefficients'!$E:$E,$F67+0))))</f>
        <v>107.649431639419</v>
      </c>
      <c r="I67" s="14" t="n">
        <f aca="false">IF(OR($D67="",$F67=""),"",IF($E67&gt;0,INDEX('R1. Tree Coefficients'!$F:$F,$F67+1)*($D67^INDEX('R1. Tree Coefficients'!$G:$G,$F67+1))*($E67^INDEX('R1. Tree Coefficients'!$H:$H,$F67+1)),INDEX('R1. Tree Coefficients'!$D:$D,$F67+1)*($D67^INDEX('R1. Tree Coefficients'!$E:$E,$F67+1))))</f>
        <v>10.7552858535123</v>
      </c>
      <c r="J67" s="14" t="n">
        <f aca="false">IF(OR($D67="",$F67=""),"",IF($E67&gt;0,INDEX('R1. Tree Coefficients'!$F:$F,$F67+2)*($D67^INDEX('R1. Tree Coefficients'!$G:$G,$F67+2))*($E67^INDEX('R1. Tree Coefficients'!$H:$H,$F67+2)),INDEX('R1. Tree Coefficients'!$D:$D,$F67+2)*($D67^INDEX('R1. Tree Coefficients'!$E:$E,$F67+2))))</f>
        <v>19.3797074944955</v>
      </c>
      <c r="K67" s="14" t="n">
        <f aca="false">IF(OR($D67="",$F67=""),"",IF($E67&gt;0,INDEX('R1. Tree Coefficients'!$F:$F,$F67+3)*($D67^INDEX('R1. Tree Coefficients'!$G:$G,$F67+3))*($E67^INDEX('R1. Tree Coefficients'!$H:$H,$F67+3)),INDEX('R1. Tree Coefficients'!$D:$D,$F67+3)*($D67^INDEX('R1. Tree Coefficients'!$E:$E,$F67+3))))</f>
        <v>7.42050935615841</v>
      </c>
      <c r="L67" s="14" t="n">
        <f aca="false">IF($F67="","",IFERROR(SUM($H67:$K67),""))</f>
        <v>145.204934343585</v>
      </c>
      <c r="M67" s="14" t="str">
        <f aca="false">IF($F67="","",INDEX('R1. Tree Coefficients'!$J:$J,$F67))</f>
        <v>Conifers</v>
      </c>
      <c r="N67" s="14" t="n">
        <f aca="false">IF($L67="","",IF($M67="Deciduous",BGB_RS_DECIDUOUS_a*($L67^BGB_RS_DECIDUOUS_b),IF($M67="Conifers",BGB_RS_CONIFER*$L67,AVERAGE(BGB_RS_DECIDUOUS_a*($L67^BGB_RS_DECIDUOUS_b),BGB_RS_CONIFER*$L67))))</f>
        <v>32.2354954242759</v>
      </c>
      <c r="O67" s="14" t="n">
        <f aca="false">IF($L67="","",$L67+$N67)</f>
        <v>177.440429767861</v>
      </c>
      <c r="P67" s="14" t="n">
        <f aca="false">IF($O67="","",$O67*CARBON_FRACTION_BIOMASS)</f>
        <v>88.7202148839305</v>
      </c>
      <c r="Q67" s="14" t="str">
        <f aca="false">IF(AND($A67="",$C67=""),"",IF(AND($A67&lt;&gt;"",COUNTIF('1. Plot &amp; Site Log'!$A$5:$A$64,$A67)=0),"Plot ID not in Plot &amp; Site Log — this tree will not reach the summary. ","")&amp;IF($A67="","No Plot ID. ","")&amp;IF(AND($C67&lt;&gt;"",$F67=""),"Species not in the coefficient list — check the spelling against R1. ","")&amp;IF($D67="","No DBH — nothing can be calculated. ","")&amp;IF(AND($D67&lt;&gt;"",$D67&gt;QC_DBH_MAX_CM),"DBH above "&amp;QC_DBH_MAX_CM&amp;" cm — check for a transcription error. ","")&amp;IF($M67="All","Generic species: no published root:shoot applies, so below-ground biomass is the mean of the deciduous and conifer relationships. Choose a species, or Deciduous/Conifers, if you can. ","")&amp;IF(AND($O67&lt;&gt;"",$O67&gt;0,OR($N67/$O67&lt;BGB_FRACTION_MIN,$N67/$O67&gt;BGB_FRACTION_MAX)),"Below-ground share is "&amp;TEXT($N67/$O67,"0%")&amp;", outside the 18–30% the Trees guide describes. ",""))</f>
        <v/>
      </c>
    </row>
    <row r="68" customFormat="false" ht="15" hidden="false" customHeight="false" outlineLevel="0" collapsed="false">
      <c r="A68" s="13" t="s">
        <v>91</v>
      </c>
      <c r="B68" s="13" t="n">
        <v>3</v>
      </c>
      <c r="C68" s="13" t="s">
        <v>135</v>
      </c>
      <c r="D68" s="13" t="n">
        <v>10</v>
      </c>
      <c r="E68" s="13"/>
      <c r="F68" s="14" t="n">
        <f aca="false">IF($C68="","",IFERROR(12+(MATCH($C68,'R1. Tree Coefficients'!$L$12:$L$53,0)-1)*4,""))</f>
        <v>48</v>
      </c>
      <c r="G68" s="14" t="str">
        <f aca="false">IF($F68="","",IF(AND($E68&lt;&gt;"",$E68&gt;0),"DBH + height","DBH only"))</f>
        <v>DBH only</v>
      </c>
      <c r="H68" s="14" t="n">
        <f aca="false">IF(OR($D68="",$F68=""),"",IF($E68&gt;0,INDEX('R1. Tree Coefficients'!$F:$F,$F68+0)*($D68^INDEX('R1. Tree Coefficients'!$G:$G,$F68+0))*($E68^INDEX('R1. Tree Coefficients'!$H:$H,$F68+0)),INDEX('R1. Tree Coefficients'!$D:$D,$F68+0)*($D68^INDEX('R1. Tree Coefficients'!$E:$E,$F68+0))))</f>
        <v>15.7118364203478</v>
      </c>
      <c r="I68" s="14" t="n">
        <f aca="false">IF(OR($D68="",$F68=""),"",IF($E68&gt;0,INDEX('R1. Tree Coefficients'!$F:$F,$F68+1)*($D68^INDEX('R1. Tree Coefficients'!$G:$G,$F68+1))*($E68^INDEX('R1. Tree Coefficients'!$H:$H,$F68+1)),INDEX('R1. Tree Coefficients'!$D:$D,$F68+1)*($D68^INDEX('R1. Tree Coefficients'!$E:$E,$F68+1))))</f>
        <v>2.62821999737006</v>
      </c>
      <c r="J68" s="14" t="n">
        <f aca="false">IF(OR($D68="",$F68=""),"",IF($E68&gt;0,INDEX('R1. Tree Coefficients'!$F:$F,$F68+2)*($D68^INDEX('R1. Tree Coefficients'!$G:$G,$F68+2))*($E68^INDEX('R1. Tree Coefficients'!$H:$H,$F68+2)),INDEX('R1. Tree Coefficients'!$D:$D,$F68+2)*($D68^INDEX('R1. Tree Coefficients'!$E:$E,$F68+2))))</f>
        <v>3.45933793213889</v>
      </c>
      <c r="K68" s="14" t="n">
        <f aca="false">IF(OR($D68="",$F68=""),"",IF($E68&gt;0,INDEX('R1. Tree Coefficients'!$F:$F,$F68+3)*($D68^INDEX('R1. Tree Coefficients'!$G:$G,$F68+3))*($E68^INDEX('R1. Tree Coefficients'!$H:$H,$F68+3)),INDEX('R1. Tree Coefficients'!$D:$D,$F68+3)*($D68^INDEX('R1. Tree Coefficients'!$E:$E,$F68+3))))</f>
        <v>4.31175386208618</v>
      </c>
      <c r="L68" s="14" t="n">
        <f aca="false">IF($F68="","",IFERROR(SUM($H68:$K68),""))</f>
        <v>26.111148211943</v>
      </c>
      <c r="M68" s="14" t="str">
        <f aca="false">IF($F68="","",INDEX('R1. Tree Coefficients'!$J:$J,$F68))</f>
        <v>Conifers</v>
      </c>
      <c r="N68" s="14" t="n">
        <f aca="false">IF($L68="","",IF($M68="Deciduous",BGB_RS_DECIDUOUS_a*($L68^BGB_RS_DECIDUOUS_b),IF($M68="Conifers",BGB_RS_CONIFER*$L68,AVERAGE(BGB_RS_DECIDUOUS_a*($L68^BGB_RS_DECIDUOUS_b),BGB_RS_CONIFER*$L68))))</f>
        <v>5.79667490305134</v>
      </c>
      <c r="O68" s="14" t="n">
        <f aca="false">IF($L68="","",$L68+$N68)</f>
        <v>31.9078231149943</v>
      </c>
      <c r="P68" s="14" t="n">
        <f aca="false">IF($O68="","",$O68*CARBON_FRACTION_BIOMASS)</f>
        <v>15.9539115574972</v>
      </c>
      <c r="Q68" s="14" t="str">
        <f aca="false">IF(AND($A68="",$C68=""),"",IF(AND($A68&lt;&gt;"",COUNTIF('1. Plot &amp; Site Log'!$A$5:$A$64,$A68)=0),"Plot ID not in Plot &amp; Site Log — this tree will not reach the summary. ","")&amp;IF($A68="","No Plot ID. ","")&amp;IF(AND($C68&lt;&gt;"",$F68=""),"Species not in the coefficient list — check the spelling against R1. ","")&amp;IF($D68="","No DBH — nothing can be calculated. ","")&amp;IF(AND($D68&lt;&gt;"",$D68&gt;QC_DBH_MAX_CM),"DBH above "&amp;QC_DBH_MAX_CM&amp;" cm — check for a transcription error. ","")&amp;IF($M68="All","Generic species: no published root:shoot applies, so below-ground biomass is the mean of the deciduous and conifer relationships. Choose a species, or Deciduous/Conifers, if you can. ","")&amp;IF(AND($O68&lt;&gt;"",$O68&gt;0,OR($N68/$O68&lt;BGB_FRACTION_MIN,$N68/$O68&gt;BGB_FRACTION_MAX)),"Below-ground share is "&amp;TEXT($N68/$O68,"0%")&amp;", outside the 18–30% the Trees guide describes. ",""))</f>
        <v/>
      </c>
    </row>
    <row r="69" customFormat="false" ht="15" hidden="false" customHeight="false" outlineLevel="0" collapsed="false">
      <c r="A69" s="13" t="s">
        <v>91</v>
      </c>
      <c r="B69" s="13" t="n">
        <v>4</v>
      </c>
      <c r="C69" s="13" t="s">
        <v>136</v>
      </c>
      <c r="D69" s="13" t="n">
        <v>21.3</v>
      </c>
      <c r="E69" s="13" t="n">
        <v>13.1</v>
      </c>
      <c r="F69" s="14" t="n">
        <f aca="false">IF($C69="","",IFERROR(12+(MATCH($C69,'R1. Tree Coefficients'!$L$12:$L$53,0)-1)*4,""))</f>
        <v>24</v>
      </c>
      <c r="G69" s="14" t="str">
        <f aca="false">IF($F69="","",IF(AND($E69&lt;&gt;"",$E69&gt;0),"DBH + height","DBH only"))</f>
        <v>DBH + height</v>
      </c>
      <c r="H69" s="14" t="n">
        <f aca="false">IF(OR($D69="",$F69=""),"",IF($E69&gt;0,INDEX('R1. Tree Coefficients'!$F:$F,$F69+0)*($D69^INDEX('R1. Tree Coefficients'!$G:$G,$F69+0))*($E69^INDEX('R1. Tree Coefficients'!$H:$H,$F69+0)),INDEX('R1. Tree Coefficients'!$D:$D,$F69+0)*($D69^INDEX('R1. Tree Coefficients'!$E:$E,$F69+0))))</f>
        <v>74.5034129425095</v>
      </c>
      <c r="I69" s="14" t="n">
        <f aca="false">IF(OR($D69="",$F69=""),"",IF($E69&gt;0,INDEX('R1. Tree Coefficients'!$F:$F,$F69+1)*($D69^INDEX('R1. Tree Coefficients'!$G:$G,$F69+1))*($E69^INDEX('R1. Tree Coefficients'!$H:$H,$F69+1)),INDEX('R1. Tree Coefficients'!$D:$D,$F69+1)*($D69^INDEX('R1. Tree Coefficients'!$E:$E,$F69+1))))</f>
        <v>14.1289868413842</v>
      </c>
      <c r="J69" s="14" t="n">
        <f aca="false">IF(OR($D69="",$F69=""),"",IF($E69&gt;0,INDEX('R1. Tree Coefficients'!$F:$F,$F69+2)*($D69^INDEX('R1. Tree Coefficients'!$G:$G,$F69+2))*($E69^INDEX('R1. Tree Coefficients'!$H:$H,$F69+2)),INDEX('R1. Tree Coefficients'!$D:$D,$F69+2)*($D69^INDEX('R1. Tree Coefficients'!$E:$E,$F69+2))))</f>
        <v>18.9354970118275</v>
      </c>
      <c r="K69" s="14" t="n">
        <f aca="false">IF(OR($D69="",$F69=""),"",IF($E69&gt;0,INDEX('R1. Tree Coefficients'!$F:$F,$F69+3)*($D69^INDEX('R1. Tree Coefficients'!$G:$G,$F69+3))*($E69^INDEX('R1. Tree Coefficients'!$H:$H,$F69+3)),INDEX('R1. Tree Coefficients'!$D:$D,$F69+3)*($D69^INDEX('R1. Tree Coefficients'!$E:$E,$F69+3))))</f>
        <v>15.5587759135538</v>
      </c>
      <c r="L69" s="14" t="n">
        <f aca="false">IF($F69="","",IFERROR(SUM($H69:$K69),""))</f>
        <v>123.126672709275</v>
      </c>
      <c r="M69" s="14" t="str">
        <f aca="false">IF($F69="","",INDEX('R1. Tree Coefficients'!$J:$J,$F69))</f>
        <v>Conifers</v>
      </c>
      <c r="N69" s="14" t="n">
        <f aca="false">IF($L69="","",IF($M69="Deciduous",BGB_RS_DECIDUOUS_a*($L69^BGB_RS_DECIDUOUS_b),IF($M69="Conifers",BGB_RS_CONIFER*$L69,AVERAGE(BGB_RS_DECIDUOUS_a*($L69^BGB_RS_DECIDUOUS_b),BGB_RS_CONIFER*$L69))))</f>
        <v>27.3341213414591</v>
      </c>
      <c r="O69" s="14" t="n">
        <f aca="false">IF($L69="","",$L69+$N69)</f>
        <v>150.460794050734</v>
      </c>
      <c r="P69" s="14" t="n">
        <f aca="false">IF($O69="","",$O69*CARBON_FRACTION_BIOMASS)</f>
        <v>75.2303970253671</v>
      </c>
      <c r="Q69" s="14" t="str">
        <f aca="false">IF(AND($A69="",$C69=""),"",IF(AND($A69&lt;&gt;"",COUNTIF('1. Plot &amp; Site Log'!$A$5:$A$64,$A69)=0),"Plot ID not in Plot &amp; Site Log — this tree will not reach the summary. ","")&amp;IF($A69="","No Plot ID. ","")&amp;IF(AND($C69&lt;&gt;"",$F69=""),"Species not in the coefficient list — check the spelling against R1. ","")&amp;IF($D69="","No DBH — nothing can be calculated. ","")&amp;IF(AND($D69&lt;&gt;"",$D69&gt;QC_DBH_MAX_CM),"DBH above "&amp;QC_DBH_MAX_CM&amp;" cm — check for a transcription error. ","")&amp;IF($M69="All","Generic species: no published root:shoot applies, so below-ground biomass is the mean of the deciduous and conifer relationships. Choose a species, or Deciduous/Conifers, if you can. ","")&amp;IF(AND($O69&lt;&gt;"",$O69&gt;0,OR($N69/$O69&lt;BGB_FRACTION_MIN,$N69/$O69&gt;BGB_FRACTION_MAX)),"Below-ground share is "&amp;TEXT($N69/$O69,"0%")&amp;", outside the 18–30% the Trees guide describes. ",""))</f>
        <v/>
      </c>
    </row>
    <row r="70" customFormat="false" ht="15" hidden="false" customHeight="false" outlineLevel="0" collapsed="false">
      <c r="A70" s="13" t="s">
        <v>91</v>
      </c>
      <c r="B70" s="13" t="n">
        <v>5</v>
      </c>
      <c r="C70" s="13" t="s">
        <v>136</v>
      </c>
      <c r="D70" s="13" t="n">
        <v>22.6</v>
      </c>
      <c r="E70" s="13"/>
      <c r="F70" s="14" t="n">
        <f aca="false">IF($C70="","",IFERROR(12+(MATCH($C70,'R1. Tree Coefficients'!$L$12:$L$53,0)-1)*4,""))</f>
        <v>24</v>
      </c>
      <c r="G70" s="14" t="str">
        <f aca="false">IF($F70="","",IF(AND($E70&lt;&gt;"",$E70&gt;0),"DBH + height","DBH only"))</f>
        <v>DBH only</v>
      </c>
      <c r="H70" s="14" t="n">
        <f aca="false">IF(OR($D70="",$F70=""),"",IF($E70&gt;0,INDEX('R1. Tree Coefficients'!$F:$F,$F70+0)*($D70^INDEX('R1. Tree Coefficients'!$G:$G,$F70+0))*($E70^INDEX('R1. Tree Coefficients'!$H:$H,$F70+0)),INDEX('R1. Tree Coefficients'!$D:$D,$F70+0)*($D70^INDEX('R1. Tree Coefficients'!$E:$E,$F70+0))))</f>
        <v>95.8216922263879</v>
      </c>
      <c r="I70" s="14" t="n">
        <f aca="false">IF(OR($D70="",$F70=""),"",IF($E70&gt;0,INDEX('R1. Tree Coefficients'!$F:$F,$F70+1)*($D70^INDEX('R1. Tree Coefficients'!$G:$G,$F70+1))*($E70^INDEX('R1. Tree Coefficients'!$H:$H,$F70+1)),INDEX('R1. Tree Coefficients'!$D:$D,$F70+1)*($D70^INDEX('R1. Tree Coefficients'!$E:$E,$F70+1))))</f>
        <v>17.4054837791767</v>
      </c>
      <c r="J70" s="14" t="n">
        <f aca="false">IF(OR($D70="",$F70=""),"",IF($E70&gt;0,INDEX('R1. Tree Coefficients'!$F:$F,$F70+2)*($D70^INDEX('R1. Tree Coefficients'!$G:$G,$F70+2))*($E70^INDEX('R1. Tree Coefficients'!$H:$H,$F70+2)),INDEX('R1. Tree Coefficients'!$D:$D,$F70+2)*($D70^INDEX('R1. Tree Coefficients'!$E:$E,$F70+2))))</f>
        <v>19.290609092254</v>
      </c>
      <c r="K70" s="14" t="n">
        <f aca="false">IF(OR($D70="",$F70=""),"",IF($E70&gt;0,INDEX('R1. Tree Coefficients'!$F:$F,$F70+3)*($D70^INDEX('R1. Tree Coefficients'!$G:$G,$F70+3))*($E70^INDEX('R1. Tree Coefficients'!$H:$H,$F70+3)),INDEX('R1. Tree Coefficients'!$D:$D,$F70+3)*($D70^INDEX('R1. Tree Coefficients'!$E:$E,$F70+3))))</f>
        <v>15.3095817169648</v>
      </c>
      <c r="L70" s="14" t="n">
        <f aca="false">IF($F70="","",IFERROR(SUM($H70:$K70),""))</f>
        <v>147.827366814783</v>
      </c>
      <c r="M70" s="14" t="str">
        <f aca="false">IF($F70="","",INDEX('R1. Tree Coefficients'!$J:$J,$F70))</f>
        <v>Conifers</v>
      </c>
      <c r="N70" s="14" t="n">
        <f aca="false">IF($L70="","",IF($M70="Deciduous",BGB_RS_DECIDUOUS_a*($L70^BGB_RS_DECIDUOUS_b),IF($M70="Conifers",BGB_RS_CONIFER*$L70,AVERAGE(BGB_RS_DECIDUOUS_a*($L70^BGB_RS_DECIDUOUS_b),BGB_RS_CONIFER*$L70))))</f>
        <v>32.8176754328819</v>
      </c>
      <c r="O70" s="14" t="n">
        <f aca="false">IF($L70="","",$L70+$N70)</f>
        <v>180.645042247665</v>
      </c>
      <c r="P70" s="14" t="n">
        <f aca="false">IF($O70="","",$O70*CARBON_FRACTION_BIOMASS)</f>
        <v>90.3225211238327</v>
      </c>
      <c r="Q70" s="14" t="str">
        <f aca="false">IF(AND($A70="",$C70=""),"",IF(AND($A70&lt;&gt;"",COUNTIF('1. Plot &amp; Site Log'!$A$5:$A$64,$A70)=0),"Plot ID not in Plot &amp; Site Log — this tree will not reach the summary. ","")&amp;IF($A70="","No Plot ID. ","")&amp;IF(AND($C70&lt;&gt;"",$F70=""),"Species not in the coefficient list — check the spelling against R1. ","")&amp;IF($D70="","No DBH — nothing can be calculated. ","")&amp;IF(AND($D70&lt;&gt;"",$D70&gt;QC_DBH_MAX_CM),"DBH above "&amp;QC_DBH_MAX_CM&amp;" cm — check for a transcription error. ","")&amp;IF($M70="All","Generic species: no published root:shoot applies, so below-ground biomass is the mean of the deciduous and conifer relationships. Choose a species, or Deciduous/Conifers, if you can. ","")&amp;IF(AND($O70&lt;&gt;"",$O70&gt;0,OR($N70/$O70&lt;BGB_FRACTION_MIN,$N70/$O70&gt;BGB_FRACTION_MAX)),"Below-ground share is "&amp;TEXT($N70/$O70,"0%")&amp;", outside the 18–30% the Trees guide describes. ",""))</f>
        <v/>
      </c>
    </row>
    <row r="71" customFormat="false" ht="15" hidden="false" customHeight="false" outlineLevel="0" collapsed="false">
      <c r="A71" s="13" t="s">
        <v>91</v>
      </c>
      <c r="B71" s="13" t="n">
        <v>6</v>
      </c>
      <c r="C71" s="13" t="s">
        <v>136</v>
      </c>
      <c r="D71" s="13" t="n">
        <v>11.3</v>
      </c>
      <c r="E71" s="13"/>
      <c r="F71" s="14" t="n">
        <f aca="false">IF($C71="","",IFERROR(12+(MATCH($C71,'R1. Tree Coefficients'!$L$12:$L$53,0)-1)*4,""))</f>
        <v>24</v>
      </c>
      <c r="G71" s="14" t="str">
        <f aca="false">IF($F71="","",IF(AND($E71&lt;&gt;"",$E71&gt;0),"DBH + height","DBH only"))</f>
        <v>DBH only</v>
      </c>
      <c r="H71" s="14" t="n">
        <f aca="false">IF(OR($D71="",$F71=""),"",IF($E71&gt;0,INDEX('R1. Tree Coefficients'!$F:$F,$F71+0)*($D71^INDEX('R1. Tree Coefficients'!$G:$G,$F71+0))*($E71^INDEX('R1. Tree Coefficients'!$H:$H,$F71+0)),INDEX('R1. Tree Coefficients'!$D:$D,$F71+0)*($D71^INDEX('R1. Tree Coefficients'!$E:$E,$F71+0))))</f>
        <v>18.1171031384035</v>
      </c>
      <c r="I71" s="14" t="n">
        <f aca="false">IF(OR($D71="",$F71=""),"",IF($E71&gt;0,INDEX('R1. Tree Coefficients'!$F:$F,$F71+1)*($D71^INDEX('R1. Tree Coefficients'!$G:$G,$F71+1))*($E71^INDEX('R1. Tree Coefficients'!$H:$H,$F71+1)),INDEX('R1. Tree Coefficients'!$D:$D,$F71+1)*($D71^INDEX('R1. Tree Coefficients'!$E:$E,$F71+1))))</f>
        <v>3.41780481306295</v>
      </c>
      <c r="J71" s="14" t="n">
        <f aca="false">IF(OR($D71="",$F71=""),"",IF($E71&gt;0,INDEX('R1. Tree Coefficients'!$F:$F,$F71+2)*($D71^INDEX('R1. Tree Coefficients'!$G:$G,$F71+2))*($E71^INDEX('R1. Tree Coefficients'!$H:$H,$F71+2)),INDEX('R1. Tree Coefficients'!$D:$D,$F71+2)*($D71^INDEX('R1. Tree Coefficients'!$E:$E,$F71+2))))</f>
        <v>3.31550077319555</v>
      </c>
      <c r="K71" s="14" t="n">
        <f aca="false">IF(OR($D71="",$F71=""),"",IF($E71&gt;0,INDEX('R1. Tree Coefficients'!$F:$F,$F71+3)*($D71^INDEX('R1. Tree Coefficients'!$G:$G,$F71+3))*($E71^INDEX('R1. Tree Coefficients'!$H:$H,$F71+3)),INDEX('R1. Tree Coefficients'!$D:$D,$F71+3)*($D71^INDEX('R1. Tree Coefficients'!$E:$E,$F71+3))))</f>
        <v>4.81275492889031</v>
      </c>
      <c r="L71" s="14" t="n">
        <f aca="false">IF($F71="","",IFERROR(SUM($H71:$K71),""))</f>
        <v>29.6631636535523</v>
      </c>
      <c r="M71" s="14" t="str">
        <f aca="false">IF($F71="","",INDEX('R1. Tree Coefficients'!$J:$J,$F71))</f>
        <v>Conifers</v>
      </c>
      <c r="N71" s="14" t="n">
        <f aca="false">IF($L71="","",IF($M71="Deciduous",BGB_RS_DECIDUOUS_a*($L71^BGB_RS_DECIDUOUS_b),IF($M71="Conifers",BGB_RS_CONIFER*$L71,AVERAGE(BGB_RS_DECIDUOUS_a*($L71^BGB_RS_DECIDUOUS_b),BGB_RS_CONIFER*$L71))))</f>
        <v>6.58522233108861</v>
      </c>
      <c r="O71" s="14" t="n">
        <f aca="false">IF($L71="","",$L71+$N71)</f>
        <v>36.2483859846409</v>
      </c>
      <c r="P71" s="14" t="n">
        <f aca="false">IF($O71="","",$O71*CARBON_FRACTION_BIOMASS)</f>
        <v>18.1241929923204</v>
      </c>
      <c r="Q71" s="14" t="str">
        <f aca="false">IF(AND($A71="",$C71=""),"",IF(AND($A71&lt;&gt;"",COUNTIF('1. Plot &amp; Site Log'!$A$5:$A$64,$A71)=0),"Plot ID not in Plot &amp; Site Log — this tree will not reach the summary. ","")&amp;IF($A71="","No Plot ID. ","")&amp;IF(AND($C71&lt;&gt;"",$F71=""),"Species not in the coefficient list — check the spelling against R1. ","")&amp;IF($D71="","No DBH — nothing can be calculated. ","")&amp;IF(AND($D71&lt;&gt;"",$D71&gt;QC_DBH_MAX_CM),"DBH above "&amp;QC_DBH_MAX_CM&amp;" cm — check for a transcription error. ","")&amp;IF($M71="All","Generic species: no published root:shoot applies, so below-ground biomass is the mean of the deciduous and conifer relationships. Choose a species, or Deciduous/Conifers, if you can. ","")&amp;IF(AND($O71&lt;&gt;"",$O71&gt;0,OR($N71/$O71&lt;BGB_FRACTION_MIN,$N71/$O71&gt;BGB_FRACTION_MAX)),"Below-ground share is "&amp;TEXT($N71/$O71,"0%")&amp;", outside the 18–30% the Trees guide describes. ",""))</f>
        <v/>
      </c>
    </row>
    <row r="72" customFormat="false" ht="15" hidden="false" customHeight="false" outlineLevel="0" collapsed="false">
      <c r="A72" s="13" t="s">
        <v>91</v>
      </c>
      <c r="B72" s="13" t="n">
        <v>7</v>
      </c>
      <c r="C72" s="13" t="s">
        <v>134</v>
      </c>
      <c r="D72" s="13" t="n">
        <v>9.7</v>
      </c>
      <c r="E72" s="13" t="n">
        <v>9.9</v>
      </c>
      <c r="F72" s="14" t="n">
        <f aca="false">IF($C72="","",IFERROR(12+(MATCH($C72,'R1. Tree Coefficients'!$L$12:$L$53,0)-1)*4,""))</f>
        <v>160</v>
      </c>
      <c r="G72" s="14" t="str">
        <f aca="false">IF($F72="","",IF(AND($E72&lt;&gt;"",$E72&gt;0),"DBH + height","DBH only"))</f>
        <v>DBH + height</v>
      </c>
      <c r="H72" s="14" t="n">
        <f aca="false">IF(OR($D72="",$F72=""),"",IF($E72&gt;0,INDEX('R1. Tree Coefficients'!$F:$F,$F72+0)*($D72^INDEX('R1. Tree Coefficients'!$G:$G,$F72+0))*($E72^INDEX('R1. Tree Coefficients'!$H:$H,$F72+0)),INDEX('R1. Tree Coefficients'!$D:$D,$F72+0)*($D72^INDEX('R1. Tree Coefficients'!$E:$E,$F72+0))))</f>
        <v>17.8839937235946</v>
      </c>
      <c r="I72" s="14" t="n">
        <f aca="false">IF(OR($D72="",$F72=""),"",IF($E72&gt;0,INDEX('R1. Tree Coefficients'!$F:$F,$F72+1)*($D72^INDEX('R1. Tree Coefficients'!$G:$G,$F72+1))*($E72^INDEX('R1. Tree Coefficients'!$H:$H,$F72+1)),INDEX('R1. Tree Coefficients'!$D:$D,$F72+1)*($D72^INDEX('R1. Tree Coefficients'!$E:$E,$F72+1))))</f>
        <v>3.26765329978033</v>
      </c>
      <c r="J72" s="14" t="n">
        <f aca="false">IF(OR($D72="",$F72=""),"",IF($E72&gt;0,INDEX('R1. Tree Coefficients'!$F:$F,$F72+2)*($D72^INDEX('R1. Tree Coefficients'!$G:$G,$F72+2))*($E72^INDEX('R1. Tree Coefficients'!$H:$H,$F72+2)),INDEX('R1. Tree Coefficients'!$D:$D,$F72+2)*($D72^INDEX('R1. Tree Coefficients'!$E:$E,$F72+2))))</f>
        <v>4.06342479172234</v>
      </c>
      <c r="K72" s="14" t="n">
        <f aca="false">IF(OR($D72="",$F72=""),"",IF($E72&gt;0,INDEX('R1. Tree Coefficients'!$F:$F,$F72+3)*($D72^INDEX('R1. Tree Coefficients'!$G:$G,$F72+3))*($E72^INDEX('R1. Tree Coefficients'!$H:$H,$F72+3)),INDEX('R1. Tree Coefficients'!$D:$D,$F72+3)*($D72^INDEX('R1. Tree Coefficients'!$E:$E,$F72+3))))</f>
        <v>2.05416201653256</v>
      </c>
      <c r="L72" s="14" t="n">
        <f aca="false">IF($F72="","",IFERROR(SUM($H72:$K72),""))</f>
        <v>27.2692338316298</v>
      </c>
      <c r="M72" s="14" t="str">
        <f aca="false">IF($F72="","",INDEX('R1. Tree Coefficients'!$J:$J,$F72))</f>
        <v>Deciduous</v>
      </c>
      <c r="N72" s="14" t="n">
        <f aca="false">IF($L72="","",IF($M72="Deciduous",BGB_RS_DECIDUOUS_a*($L72^BGB_RS_DECIDUOUS_b),IF($M72="Conifers",BGB_RS_CONIFER*$L72,AVERAGE(BGB_RS_DECIDUOUS_a*($L72^BGB_RS_DECIDUOUS_b),BGB_RS_CONIFER*$L72))))</f>
        <v>12.0363572297839</v>
      </c>
      <c r="O72" s="14" t="n">
        <f aca="false">IF($L72="","",$L72+$N72)</f>
        <v>39.3055910614137</v>
      </c>
      <c r="P72" s="14" t="n">
        <f aca="false">IF($O72="","",$O72*CARBON_FRACTION_BIOMASS)</f>
        <v>19.6527955307069</v>
      </c>
      <c r="Q72" s="14" t="str">
        <f aca="false">IF(AND($A72="",$C72=""),"",IF(AND($A72&lt;&gt;"",COUNTIF('1. Plot &amp; Site Log'!$A$5:$A$64,$A72)=0),"Plot ID not in Plot &amp; Site Log — this tree will not reach the summary. ","")&amp;IF($A72="","No Plot ID. ","")&amp;IF(AND($C72&lt;&gt;"",$F72=""),"Species not in the coefficient list — check the spelling against R1. ","")&amp;IF($D72="","No DBH — nothing can be calculated. ","")&amp;IF(AND($D72&lt;&gt;"",$D72&gt;QC_DBH_MAX_CM),"DBH above "&amp;QC_DBH_MAX_CM&amp;" cm — check for a transcription error. ","")&amp;IF($M72="All","Generic species: no published root:shoot applies, so below-ground biomass is the mean of the deciduous and conifer relationships. Choose a species, or Deciduous/Conifers, if you can. ","")&amp;IF(AND($O72&lt;&gt;"",$O72&gt;0,OR($N72/$O72&lt;BGB_FRACTION_MIN,$N72/$O72&gt;BGB_FRACTION_MAX)),"Below-ground share is "&amp;TEXT($N72/$O72,"0%")&amp;", outside the 18–30% the Trees guide describes. ",""))</f>
        <v/>
      </c>
    </row>
    <row r="73" customFormat="false" ht="15" hidden="false" customHeight="false" outlineLevel="0" collapsed="false">
      <c r="A73" s="13" t="s">
        <v>91</v>
      </c>
      <c r="B73" s="13" t="n">
        <v>8</v>
      </c>
      <c r="C73" s="13" t="s">
        <v>136</v>
      </c>
      <c r="D73" s="13" t="n">
        <v>8.6</v>
      </c>
      <c r="E73" s="13"/>
      <c r="F73" s="14" t="n">
        <f aca="false">IF($C73="","",IFERROR(12+(MATCH($C73,'R1. Tree Coefficients'!$L$12:$L$53,0)-1)*4,""))</f>
        <v>24</v>
      </c>
      <c r="G73" s="14" t="str">
        <f aca="false">IF($F73="","",IF(AND($E73&lt;&gt;"",$E73&gt;0),"DBH + height","DBH only"))</f>
        <v>DBH only</v>
      </c>
      <c r="H73" s="14" t="n">
        <f aca="false">IF(OR($D73="",$F73=""),"",IF($E73&gt;0,INDEX('R1. Tree Coefficients'!$F:$F,$F73+0)*($D73^INDEX('R1. Tree Coefficients'!$G:$G,$F73+0))*($E73^INDEX('R1. Tree Coefficients'!$H:$H,$F73+0)),INDEX('R1. Tree Coefficients'!$D:$D,$F73+0)*($D73^INDEX('R1. Tree Coefficients'!$E:$E,$F73+0))))</f>
        <v>9.40028531445102</v>
      </c>
      <c r="I73" s="14" t="n">
        <f aca="false">IF(OR($D73="",$F73=""),"",IF($E73&gt;0,INDEX('R1. Tree Coefficients'!$F:$F,$F73+1)*($D73^INDEX('R1. Tree Coefficients'!$G:$G,$F73+1))*($E73^INDEX('R1. Tree Coefficients'!$H:$H,$F73+1)),INDEX('R1. Tree Coefficients'!$D:$D,$F73+1)*($D73^INDEX('R1. Tree Coefficients'!$E:$E,$F73+1))))</f>
        <v>1.80000620932575</v>
      </c>
      <c r="J73" s="14" t="n">
        <f aca="false">IF(OR($D73="",$F73=""),"",IF($E73&gt;0,INDEX('R1. Tree Coefficients'!$F:$F,$F73+2)*($D73^INDEX('R1. Tree Coefficients'!$G:$G,$F73+2))*($E73^INDEX('R1. Tree Coefficients'!$H:$H,$F73+2)),INDEX('R1. Tree Coefficients'!$D:$D,$F73+2)*($D73^INDEX('R1. Tree Coefficients'!$E:$E,$F73+2))))</f>
        <v>1.65685615416974</v>
      </c>
      <c r="K73" s="14" t="n">
        <f aca="false">IF(OR($D73="",$F73=""),"",IF($E73&gt;0,INDEX('R1. Tree Coefficients'!$F:$F,$F73+3)*($D73^INDEX('R1. Tree Coefficients'!$G:$G,$F73+3))*($E73^INDEX('R1. Tree Coefficients'!$H:$H,$F73+3)),INDEX('R1. Tree Coefficients'!$D:$D,$F73+3)*($D73^INDEX('R1. Tree Coefficients'!$E:$E,$F73+3))))</f>
        <v>3.05087525469111</v>
      </c>
      <c r="L73" s="14" t="n">
        <f aca="false">IF($F73="","",IFERROR(SUM($H73:$K73),""))</f>
        <v>15.9080229326376</v>
      </c>
      <c r="M73" s="14" t="str">
        <f aca="false">IF($F73="","",INDEX('R1. Tree Coefficients'!$J:$J,$F73))</f>
        <v>Conifers</v>
      </c>
      <c r="N73" s="14" t="n">
        <f aca="false">IF($L73="","",IF($M73="Deciduous",BGB_RS_DECIDUOUS_a*($L73^BGB_RS_DECIDUOUS_b),IF($M73="Conifers",BGB_RS_CONIFER*$L73,AVERAGE(BGB_RS_DECIDUOUS_a*($L73^BGB_RS_DECIDUOUS_b),BGB_RS_CONIFER*$L73))))</f>
        <v>3.53158109104555</v>
      </c>
      <c r="O73" s="14" t="n">
        <f aca="false">IF($L73="","",$L73+$N73)</f>
        <v>19.4396040236832</v>
      </c>
      <c r="P73" s="14" t="n">
        <f aca="false">IF($O73="","",$O73*CARBON_FRACTION_BIOMASS)</f>
        <v>9.71980201184159</v>
      </c>
      <c r="Q73" s="14" t="str">
        <f aca="false">IF(AND($A73="",$C73=""),"",IF(AND($A73&lt;&gt;"",COUNTIF('1. Plot &amp; Site Log'!$A$5:$A$64,$A73)=0),"Plot ID not in Plot &amp; Site Log — this tree will not reach the summary. ","")&amp;IF($A73="","No Plot ID. ","")&amp;IF(AND($C73&lt;&gt;"",$F73=""),"Species not in the coefficient list — check the spelling against R1. ","")&amp;IF($D73="","No DBH — nothing can be calculated. ","")&amp;IF(AND($D73&lt;&gt;"",$D73&gt;QC_DBH_MAX_CM),"DBH above "&amp;QC_DBH_MAX_CM&amp;" cm — check for a transcription error. ","")&amp;IF($M73="All","Generic species: no published root:shoot applies, so below-ground biomass is the mean of the deciduous and conifer relationships. Choose a species, or Deciduous/Conifers, if you can. ","")&amp;IF(AND($O73&lt;&gt;"",$O73&gt;0,OR($N73/$O73&lt;BGB_FRACTION_MIN,$N73/$O73&gt;BGB_FRACTION_MAX)),"Below-ground share is "&amp;TEXT($N73/$O73,"0%")&amp;", outside the 18–30% the Trees guide describes. ",""))</f>
        <v/>
      </c>
    </row>
    <row r="74" customFormat="false" ht="15" hidden="false" customHeight="false" outlineLevel="0" collapsed="false">
      <c r="A74" s="13" t="s">
        <v>91</v>
      </c>
      <c r="B74" s="13" t="n">
        <v>9</v>
      </c>
      <c r="C74" s="13" t="s">
        <v>135</v>
      </c>
      <c r="D74" s="13" t="n">
        <v>13.8</v>
      </c>
      <c r="E74" s="13"/>
      <c r="F74" s="14" t="n">
        <f aca="false">IF($C74="","",IFERROR(12+(MATCH($C74,'R1. Tree Coefficients'!$L$12:$L$53,0)-1)*4,""))</f>
        <v>48</v>
      </c>
      <c r="G74" s="14" t="str">
        <f aca="false">IF($F74="","",IF(AND($E74&lt;&gt;"",$E74&gt;0),"DBH + height","DBH only"))</f>
        <v>DBH only</v>
      </c>
      <c r="H74" s="14" t="n">
        <f aca="false">IF(OR($D74="",$F74=""),"",IF($E74&gt;0,INDEX('R1. Tree Coefficients'!$F:$F,$F74+0)*($D74^INDEX('R1. Tree Coefficients'!$G:$G,$F74+0))*($E74^INDEX('R1. Tree Coefficients'!$H:$H,$F74+0)),INDEX('R1. Tree Coefficients'!$D:$D,$F74+0)*($D74^INDEX('R1. Tree Coefficients'!$E:$E,$F74+0))))</f>
        <v>35.1782606660731</v>
      </c>
      <c r="I74" s="14" t="n">
        <f aca="false">IF(OR($D74="",$F74=""),"",IF($E74&gt;0,INDEX('R1. Tree Coefficients'!$F:$F,$F74+1)*($D74^INDEX('R1. Tree Coefficients'!$G:$G,$F74+1))*($E74^INDEX('R1. Tree Coefficients'!$H:$H,$F74+1)),INDEX('R1. Tree Coefficients'!$D:$D,$F74+1)*($D74^INDEX('R1. Tree Coefficients'!$E:$E,$F74+1))))</f>
        <v>5.42382579672709</v>
      </c>
      <c r="J74" s="14" t="n">
        <f aca="false">IF(OR($D74="",$F74=""),"",IF($E74&gt;0,INDEX('R1. Tree Coefficients'!$F:$F,$F74+2)*($D74^INDEX('R1. Tree Coefficients'!$G:$G,$F74+2))*($E74^INDEX('R1. Tree Coefficients'!$H:$H,$F74+2)),INDEX('R1. Tree Coefficients'!$D:$D,$F74+2)*($D74^INDEX('R1. Tree Coefficients'!$E:$E,$F74+2))))</f>
        <v>6.74925879558143</v>
      </c>
      <c r="K74" s="14" t="n">
        <f aca="false">IF(OR($D74="",$F74=""),"",IF($E74&gt;0,INDEX('R1. Tree Coefficients'!$F:$F,$F74+3)*($D74^INDEX('R1. Tree Coefficients'!$G:$G,$F74+3))*($E74^INDEX('R1. Tree Coefficients'!$H:$H,$F74+3)),INDEX('R1. Tree Coefficients'!$D:$D,$F74+3)*($D74^INDEX('R1. Tree Coefficients'!$E:$E,$F74+3))))</f>
        <v>6.81694825942968</v>
      </c>
      <c r="L74" s="14" t="n">
        <f aca="false">IF($F74="","",IFERROR(SUM($H74:$K74),""))</f>
        <v>54.1682935178113</v>
      </c>
      <c r="M74" s="14" t="str">
        <f aca="false">IF($F74="","",INDEX('R1. Tree Coefficients'!$J:$J,$F74))</f>
        <v>Conifers</v>
      </c>
      <c r="N74" s="14" t="n">
        <f aca="false">IF($L74="","",IF($M74="Deciduous",BGB_RS_DECIDUOUS_a*($L74^BGB_RS_DECIDUOUS_b),IF($M74="Conifers",BGB_RS_CONIFER*$L74,AVERAGE(BGB_RS_DECIDUOUS_a*($L74^BGB_RS_DECIDUOUS_b),BGB_RS_CONIFER*$L74))))</f>
        <v>12.0253611609541</v>
      </c>
      <c r="O74" s="14" t="n">
        <f aca="false">IF($L74="","",$L74+$N74)</f>
        <v>66.1936546787654</v>
      </c>
      <c r="P74" s="14" t="n">
        <f aca="false">IF($O74="","",$O74*CARBON_FRACTION_BIOMASS)</f>
        <v>33.0968273393827</v>
      </c>
      <c r="Q74" s="14" t="str">
        <f aca="false">IF(AND($A74="",$C74=""),"",IF(AND($A74&lt;&gt;"",COUNTIF('1. Plot &amp; Site Log'!$A$5:$A$64,$A74)=0),"Plot ID not in Plot &amp; Site Log — this tree will not reach the summary. ","")&amp;IF($A74="","No Plot ID. ","")&amp;IF(AND($C74&lt;&gt;"",$F74=""),"Species not in the coefficient list — check the spelling against R1. ","")&amp;IF($D74="","No DBH — nothing can be calculated. ","")&amp;IF(AND($D74&lt;&gt;"",$D74&gt;QC_DBH_MAX_CM),"DBH above "&amp;QC_DBH_MAX_CM&amp;" cm — check for a transcription error. ","")&amp;IF($M74="All","Generic species: no published root:shoot applies, so below-ground biomass is the mean of the deciduous and conifer relationships. Choose a species, or Deciduous/Conifers, if you can. ","")&amp;IF(AND($O74&lt;&gt;"",$O74&gt;0,OR($N74/$O74&lt;BGB_FRACTION_MIN,$N74/$O74&gt;BGB_FRACTION_MAX)),"Below-ground share is "&amp;TEXT($N74/$O74,"0%")&amp;", outside the 18–30% the Trees guide describes. ",""))</f>
        <v/>
      </c>
    </row>
    <row r="75" customFormat="false" ht="15" hidden="false" customHeight="false" outlineLevel="0" collapsed="false">
      <c r="A75" s="13" t="s">
        <v>91</v>
      </c>
      <c r="B75" s="13" t="n">
        <v>10</v>
      </c>
      <c r="C75" s="13" t="s">
        <v>140</v>
      </c>
      <c r="D75" s="13" t="n">
        <v>12.3</v>
      </c>
      <c r="E75" s="13" t="n">
        <v>10.9</v>
      </c>
      <c r="F75" s="14" t="n">
        <f aca="false">IF($C75="","",IFERROR(12+(MATCH($C75,'R1. Tree Coefficients'!$L$12:$L$53,0)-1)*4,""))</f>
        <v>140</v>
      </c>
      <c r="G75" s="14" t="str">
        <f aca="false">IF($F75="","",IF(AND($E75&lt;&gt;"",$E75&gt;0),"DBH + height","DBH only"))</f>
        <v>DBH + height</v>
      </c>
      <c r="H75" s="14" t="n">
        <f aca="false">IF(OR($D75="",$F75=""),"",IF($E75&gt;0,INDEX('R1. Tree Coefficients'!$F:$F,$F75+0)*($D75^INDEX('R1. Tree Coefficients'!$G:$G,$F75+0))*($E75^INDEX('R1. Tree Coefficients'!$H:$H,$F75+0)),INDEX('R1. Tree Coefficients'!$D:$D,$F75+0)*($D75^INDEX('R1. Tree Coefficients'!$E:$E,$F75+0))))</f>
        <v>28.2353731771053</v>
      </c>
      <c r="I75" s="14" t="n">
        <f aca="false">IF(OR($D75="",$F75=""),"",IF($E75&gt;0,INDEX('R1. Tree Coefficients'!$F:$F,$F75+1)*($D75^INDEX('R1. Tree Coefficients'!$G:$G,$F75+1))*($E75^INDEX('R1. Tree Coefficients'!$H:$H,$F75+1)),INDEX('R1. Tree Coefficients'!$D:$D,$F75+1)*($D75^INDEX('R1. Tree Coefficients'!$E:$E,$F75+1))))</f>
        <v>3.47775443887808</v>
      </c>
      <c r="J75" s="14" t="n">
        <f aca="false">IF(OR($D75="",$F75=""),"",IF($E75&gt;0,INDEX('R1. Tree Coefficients'!$F:$F,$F75+2)*($D75^INDEX('R1. Tree Coefficients'!$G:$G,$F75+2))*($E75^INDEX('R1. Tree Coefficients'!$H:$H,$F75+2)),INDEX('R1. Tree Coefficients'!$D:$D,$F75+2)*($D75^INDEX('R1. Tree Coefficients'!$E:$E,$F75+2))))</f>
        <v>5.52580627328338</v>
      </c>
      <c r="K75" s="14" t="n">
        <f aca="false">IF(OR($D75="",$F75=""),"",IF($E75&gt;0,INDEX('R1. Tree Coefficients'!$F:$F,$F75+3)*($D75^INDEX('R1. Tree Coefficients'!$G:$G,$F75+3))*($E75^INDEX('R1. Tree Coefficients'!$H:$H,$F75+3)),INDEX('R1. Tree Coefficients'!$D:$D,$F75+3)*($D75^INDEX('R1. Tree Coefficients'!$E:$E,$F75+3))))</f>
        <v>3.27328019533235</v>
      </c>
      <c r="L75" s="14" t="n">
        <f aca="false">IF($F75="","",IFERROR(SUM($H75:$K75),""))</f>
        <v>40.5122140845991</v>
      </c>
      <c r="M75" s="14" t="str">
        <f aca="false">IF($F75="","",INDEX('R1. Tree Coefficients'!$J:$J,$F75))</f>
        <v>Conifers</v>
      </c>
      <c r="N75" s="14" t="n">
        <f aca="false">IF($L75="","",IF($M75="Deciduous",BGB_RS_DECIDUOUS_a*($L75^BGB_RS_DECIDUOUS_b),IF($M75="Conifers",BGB_RS_CONIFER*$L75,AVERAGE(BGB_RS_DECIDUOUS_a*($L75^BGB_RS_DECIDUOUS_b),BGB_RS_CONIFER*$L75))))</f>
        <v>8.993711526781</v>
      </c>
      <c r="O75" s="14" t="n">
        <f aca="false">IF($L75="","",$L75+$N75)</f>
        <v>49.5059256113801</v>
      </c>
      <c r="P75" s="14" t="n">
        <f aca="false">IF($O75="","",$O75*CARBON_FRACTION_BIOMASS)</f>
        <v>24.75296280569</v>
      </c>
      <c r="Q75" s="14" t="str">
        <f aca="false">IF(AND($A75="",$C75=""),"",IF(AND($A75&lt;&gt;"",COUNTIF('1. Plot &amp; Site Log'!$A$5:$A$64,$A75)=0),"Plot ID not in Plot &amp; Site Log — this tree will not reach the summary. ","")&amp;IF($A75="","No Plot ID. ","")&amp;IF(AND($C75&lt;&gt;"",$F75=""),"Species not in the coefficient list — check the spelling against R1. ","")&amp;IF($D75="","No DBH — nothing can be calculated. ","")&amp;IF(AND($D75&lt;&gt;"",$D75&gt;QC_DBH_MAX_CM),"DBH above "&amp;QC_DBH_MAX_CM&amp;" cm — check for a transcription error. ","")&amp;IF($M75="All","Generic species: no published root:shoot applies, so below-ground biomass is the mean of the deciduous and conifer relationships. Choose a species, or Deciduous/Conifers, if you can. ","")&amp;IF(AND($O75&lt;&gt;"",$O75&gt;0,OR($N75/$O75&lt;BGB_FRACTION_MIN,$N75/$O75&gt;BGB_FRACTION_MAX)),"Below-ground share is "&amp;TEXT($N75/$O75,"0%")&amp;", outside the 18–30% the Trees guide describes. ",""))</f>
        <v/>
      </c>
    </row>
    <row r="76" customFormat="false" ht="15" hidden="false" customHeight="false" outlineLevel="0" collapsed="false">
      <c r="A76" s="13" t="s">
        <v>91</v>
      </c>
      <c r="B76" s="13" t="n">
        <v>11</v>
      </c>
      <c r="C76" s="13" t="s">
        <v>140</v>
      </c>
      <c r="D76" s="13" t="n">
        <v>14</v>
      </c>
      <c r="E76" s="13"/>
      <c r="F76" s="14" t="n">
        <f aca="false">IF($C76="","",IFERROR(12+(MATCH($C76,'R1. Tree Coefficients'!$L$12:$L$53,0)-1)*4,""))</f>
        <v>140</v>
      </c>
      <c r="G76" s="14" t="str">
        <f aca="false">IF($F76="","",IF(AND($E76&lt;&gt;"",$E76&gt;0),"DBH + height","DBH only"))</f>
        <v>DBH only</v>
      </c>
      <c r="H76" s="14" t="n">
        <f aca="false">IF(OR($D76="",$F76=""),"",IF($E76&gt;0,INDEX('R1. Tree Coefficients'!$F:$F,$F76+0)*($D76^INDEX('R1. Tree Coefficients'!$G:$G,$F76+0))*($E76^INDEX('R1. Tree Coefficients'!$H:$H,$F76+0)),INDEX('R1. Tree Coefficients'!$D:$D,$F76+0)*($D76^INDEX('R1. Tree Coefficients'!$E:$E,$F76+0))))</f>
        <v>39.9050982727914</v>
      </c>
      <c r="I76" s="14" t="n">
        <f aca="false">IF(OR($D76="",$F76=""),"",IF($E76&gt;0,INDEX('R1. Tree Coefficients'!$F:$F,$F76+1)*($D76^INDEX('R1. Tree Coefficients'!$G:$G,$F76+1))*($E76^INDEX('R1. Tree Coefficients'!$H:$H,$F76+1)),INDEX('R1. Tree Coefficients'!$D:$D,$F76+1)*($D76^INDEX('R1. Tree Coefficients'!$E:$E,$F76+1))))</f>
        <v>4.56994442647397</v>
      </c>
      <c r="J76" s="14" t="n">
        <f aca="false">IF(OR($D76="",$F76=""),"",IF($E76&gt;0,INDEX('R1. Tree Coefficients'!$F:$F,$F76+2)*($D76^INDEX('R1. Tree Coefficients'!$G:$G,$F76+2))*($E76^INDEX('R1. Tree Coefficients'!$H:$H,$F76+2)),INDEX('R1. Tree Coefficients'!$D:$D,$F76+2)*($D76^INDEX('R1. Tree Coefficients'!$E:$E,$F76+2))))</f>
        <v>7.73508869213624</v>
      </c>
      <c r="K76" s="14" t="n">
        <f aca="false">IF(OR($D76="",$F76=""),"",IF($E76&gt;0,INDEX('R1. Tree Coefficients'!$F:$F,$F76+3)*($D76^INDEX('R1. Tree Coefficients'!$G:$G,$F76+3))*($E76^INDEX('R1. Tree Coefficients'!$H:$H,$F76+3)),INDEX('R1. Tree Coefficients'!$D:$D,$F76+3)*($D76^INDEX('R1. Tree Coefficients'!$E:$E,$F76+3))))</f>
        <v>4.05973764835857</v>
      </c>
      <c r="L76" s="14" t="n">
        <f aca="false">IF($F76="","",IFERROR(SUM($H76:$K76),""))</f>
        <v>56.2698690397602</v>
      </c>
      <c r="M76" s="14" t="str">
        <f aca="false">IF($F76="","",INDEX('R1. Tree Coefficients'!$J:$J,$F76))</f>
        <v>Conifers</v>
      </c>
      <c r="N76" s="14" t="n">
        <f aca="false">IF($L76="","",IF($M76="Deciduous",BGB_RS_DECIDUOUS_a*($L76^BGB_RS_DECIDUOUS_b),IF($M76="Conifers",BGB_RS_CONIFER*$L76,AVERAGE(BGB_RS_DECIDUOUS_a*($L76^BGB_RS_DECIDUOUS_b),BGB_RS_CONIFER*$L76))))</f>
        <v>12.4919109268268</v>
      </c>
      <c r="O76" s="14" t="n">
        <f aca="false">IF($L76="","",$L76+$N76)</f>
        <v>68.761779966587</v>
      </c>
      <c r="P76" s="14" t="n">
        <f aca="false">IF($O76="","",$O76*CARBON_FRACTION_BIOMASS)</f>
        <v>34.3808899832935</v>
      </c>
      <c r="Q76" s="14" t="str">
        <f aca="false">IF(AND($A76="",$C76=""),"",IF(AND($A76&lt;&gt;"",COUNTIF('1. Plot &amp; Site Log'!$A$5:$A$64,$A76)=0),"Plot ID not in Plot &amp; Site Log — this tree will not reach the summary. ","")&amp;IF($A76="","No Plot ID. ","")&amp;IF(AND($C76&lt;&gt;"",$F76=""),"Species not in the coefficient list — check the spelling against R1. ","")&amp;IF($D76="","No DBH — nothing can be calculated. ","")&amp;IF(AND($D76&lt;&gt;"",$D76&gt;QC_DBH_MAX_CM),"DBH above "&amp;QC_DBH_MAX_CM&amp;" cm — check for a transcription error. ","")&amp;IF($M76="All","Generic species: no published root:shoot applies, so below-ground biomass is the mean of the deciduous and conifer relationships. Choose a species, or Deciduous/Conifers, if you can. ","")&amp;IF(AND($O76&lt;&gt;"",$O76&gt;0,OR($N76/$O76&lt;BGB_FRACTION_MIN,$N76/$O76&gt;BGB_FRACTION_MAX)),"Below-ground share is "&amp;TEXT($N76/$O76,"0%")&amp;", outside the 18–30% the Trees guide describes. ",""))</f>
        <v/>
      </c>
    </row>
    <row r="77" customFormat="false" ht="15" hidden="false" customHeight="false" outlineLevel="0" collapsed="false">
      <c r="A77" s="13" t="s">
        <v>91</v>
      </c>
      <c r="B77" s="13" t="n">
        <v>12</v>
      </c>
      <c r="C77" s="13" t="s">
        <v>135</v>
      </c>
      <c r="D77" s="13" t="n">
        <v>17.8</v>
      </c>
      <c r="E77" s="13"/>
      <c r="F77" s="14" t="n">
        <f aca="false">IF($C77="","",IFERROR(12+(MATCH($C77,'R1. Tree Coefficients'!$L$12:$L$53,0)-1)*4,""))</f>
        <v>48</v>
      </c>
      <c r="G77" s="14" t="str">
        <f aca="false">IF($F77="","",IF(AND($E77&lt;&gt;"",$E77&gt;0),"DBH + height","DBH only"))</f>
        <v>DBH only</v>
      </c>
      <c r="H77" s="14" t="n">
        <f aca="false">IF(OR($D77="",$F77=""),"",IF($E77&gt;0,INDEX('R1. Tree Coefficients'!$F:$F,$F77+0)*($D77^INDEX('R1. Tree Coefficients'!$G:$G,$F77+0))*($E77^INDEX('R1. Tree Coefficients'!$H:$H,$F77+0)),INDEX('R1. Tree Coefficients'!$D:$D,$F77+0)*($D77^INDEX('R1. Tree Coefficients'!$E:$E,$F77+0))))</f>
        <v>66.5124590733812</v>
      </c>
      <c r="I77" s="14" t="n">
        <f aca="false">IF(OR($D77="",$F77=""),"",IF($E77&gt;0,INDEX('R1. Tree Coefficients'!$F:$F,$F77+1)*($D77^INDEX('R1. Tree Coefficients'!$G:$G,$F77+1))*($E77^INDEX('R1. Tree Coefficients'!$H:$H,$F77+1)),INDEX('R1. Tree Coefficients'!$D:$D,$F77+1)*($D77^INDEX('R1. Tree Coefficients'!$E:$E,$F77+1))))</f>
        <v>9.61515896219956</v>
      </c>
      <c r="J77" s="14" t="n">
        <f aca="false">IF(OR($D77="",$F77=""),"",IF($E77&gt;0,INDEX('R1. Tree Coefficients'!$F:$F,$F77+2)*($D77^INDEX('R1. Tree Coefficients'!$G:$G,$F77+2))*($E77^INDEX('R1. Tree Coefficients'!$H:$H,$F77+2)),INDEX('R1. Tree Coefficients'!$D:$D,$F77+2)*($D77^INDEX('R1. Tree Coefficients'!$E:$E,$F77+2))))</f>
        <v>11.445625606863</v>
      </c>
      <c r="K77" s="14" t="n">
        <f aca="false">IF(OR($D77="",$F77=""),"",IF($E77&gt;0,INDEX('R1. Tree Coefficients'!$F:$F,$F77+3)*($D77^INDEX('R1. Tree Coefficients'!$G:$G,$F77+3))*($E77^INDEX('R1. Tree Coefficients'!$H:$H,$F77+3)),INDEX('R1. Tree Coefficients'!$D:$D,$F77+3)*($D77^INDEX('R1. Tree Coefficients'!$E:$E,$F77+3))))</f>
        <v>9.79041921747718</v>
      </c>
      <c r="L77" s="14" t="n">
        <f aca="false">IF($F77="","",IFERROR(SUM($H77:$K77),""))</f>
        <v>97.363662859921</v>
      </c>
      <c r="M77" s="14" t="str">
        <f aca="false">IF($F77="","",INDEX('R1. Tree Coefficients'!$J:$J,$F77))</f>
        <v>Conifers</v>
      </c>
      <c r="N77" s="14" t="n">
        <f aca="false">IF($L77="","",IF($M77="Deciduous",BGB_RS_DECIDUOUS_a*($L77^BGB_RS_DECIDUOUS_b),IF($M77="Conifers",BGB_RS_CONIFER*$L77,AVERAGE(BGB_RS_DECIDUOUS_a*($L77^BGB_RS_DECIDUOUS_b),BGB_RS_CONIFER*$L77))))</f>
        <v>21.6147331549025</v>
      </c>
      <c r="O77" s="14" t="n">
        <f aca="false">IF($L77="","",$L77+$N77)</f>
        <v>118.978396014823</v>
      </c>
      <c r="P77" s="14" t="n">
        <f aca="false">IF($O77="","",$O77*CARBON_FRACTION_BIOMASS)</f>
        <v>59.4891980074117</v>
      </c>
      <c r="Q77" s="14" t="str">
        <f aca="false">IF(AND($A77="",$C77=""),"",IF(AND($A77&lt;&gt;"",COUNTIF('1. Plot &amp; Site Log'!$A$5:$A$64,$A77)=0),"Plot ID not in Plot &amp; Site Log — this tree will not reach the summary. ","")&amp;IF($A77="","No Plot ID. ","")&amp;IF(AND($C77&lt;&gt;"",$F77=""),"Species not in the coefficient list — check the spelling against R1. ","")&amp;IF($D77="","No DBH — nothing can be calculated. ","")&amp;IF(AND($D77&lt;&gt;"",$D77&gt;QC_DBH_MAX_CM),"DBH above "&amp;QC_DBH_MAX_CM&amp;" cm — check for a transcription error. ","")&amp;IF($M77="All","Generic species: no published root:shoot applies, so below-ground biomass is the mean of the deciduous and conifer relationships. Choose a species, or Deciduous/Conifers, if you can. ","")&amp;IF(AND($O77&lt;&gt;"",$O77&gt;0,OR($N77/$O77&lt;BGB_FRACTION_MIN,$N77/$O77&gt;BGB_FRACTION_MAX)),"Below-ground share is "&amp;TEXT($N77/$O77,"0%")&amp;", outside the 18–30% the Trees guide describes. ",""))</f>
        <v/>
      </c>
    </row>
    <row r="78" customFormat="false" ht="15" hidden="false" customHeight="false" outlineLevel="0" collapsed="false">
      <c r="A78" s="13" t="s">
        <v>91</v>
      </c>
      <c r="B78" s="13" t="n">
        <v>13</v>
      </c>
      <c r="C78" s="13" t="s">
        <v>135</v>
      </c>
      <c r="D78" s="13" t="n">
        <v>14.6</v>
      </c>
      <c r="E78" s="13" t="n">
        <v>11.6</v>
      </c>
      <c r="F78" s="14" t="n">
        <f aca="false">IF($C78="","",IFERROR(12+(MATCH($C78,'R1. Tree Coefficients'!$L$12:$L$53,0)-1)*4,""))</f>
        <v>48</v>
      </c>
      <c r="G78" s="14" t="str">
        <f aca="false">IF($F78="","",IF(AND($E78&lt;&gt;"",$E78&gt;0),"DBH + height","DBH only"))</f>
        <v>DBH + height</v>
      </c>
      <c r="H78" s="14" t="n">
        <f aca="false">IF(OR($D78="",$F78=""),"",IF($E78&gt;0,INDEX('R1. Tree Coefficients'!$F:$F,$F78+0)*($D78^INDEX('R1. Tree Coefficients'!$G:$G,$F78+0))*($E78^INDEX('R1. Tree Coefficients'!$H:$H,$F78+0)),INDEX('R1. Tree Coefficients'!$D:$D,$F78+0)*($D78^INDEX('R1. Tree Coefficients'!$E:$E,$F78+0))))</f>
        <v>39.5032129902215</v>
      </c>
      <c r="I78" s="14" t="n">
        <f aca="false">IF(OR($D78="",$F78=""),"",IF($E78&gt;0,INDEX('R1. Tree Coefficients'!$F:$F,$F78+1)*($D78^INDEX('R1. Tree Coefficients'!$G:$G,$F78+1))*($E78^INDEX('R1. Tree Coefficients'!$H:$H,$F78+1)),INDEX('R1. Tree Coefficients'!$D:$D,$F78+1)*($D78^INDEX('R1. Tree Coefficients'!$E:$E,$F78+1))))</f>
        <v>6.18295744530544</v>
      </c>
      <c r="J78" s="14" t="n">
        <f aca="false">IF(OR($D78="",$F78=""),"",IF($E78&gt;0,INDEX('R1. Tree Coefficients'!$F:$F,$F78+2)*($D78^INDEX('R1. Tree Coefficients'!$G:$G,$F78+2))*($E78^INDEX('R1. Tree Coefficients'!$H:$H,$F78+2)),INDEX('R1. Tree Coefficients'!$D:$D,$F78+2)*($D78^INDEX('R1. Tree Coefficients'!$E:$E,$F78+2))))</f>
        <v>7.38210432730373</v>
      </c>
      <c r="K78" s="14" t="n">
        <f aca="false">IF(OR($D78="",$F78=""),"",IF($E78&gt;0,INDEX('R1. Tree Coefficients'!$F:$F,$F78+3)*($D78^INDEX('R1. Tree Coefficients'!$G:$G,$F78+3))*($E78^INDEX('R1. Tree Coefficients'!$H:$H,$F78+3)),INDEX('R1. Tree Coefficients'!$D:$D,$F78+3)*($D78^INDEX('R1. Tree Coefficients'!$E:$E,$F78+3))))</f>
        <v>7.18967720701774</v>
      </c>
      <c r="L78" s="14" t="n">
        <f aca="false">IF($F78="","",IFERROR(SUM($H78:$K78),""))</f>
        <v>60.2579519698485</v>
      </c>
      <c r="M78" s="14" t="str">
        <f aca="false">IF($F78="","",INDEX('R1. Tree Coefficients'!$J:$J,$F78))</f>
        <v>Conifers</v>
      </c>
      <c r="N78" s="14" t="n">
        <f aca="false">IF($L78="","",IF($M78="Deciduous",BGB_RS_DECIDUOUS_a*($L78^BGB_RS_DECIDUOUS_b),IF($M78="Conifers",BGB_RS_CONIFER*$L78,AVERAGE(BGB_RS_DECIDUOUS_a*($L78^BGB_RS_DECIDUOUS_b),BGB_RS_CONIFER*$L78))))</f>
        <v>13.3772653373064</v>
      </c>
      <c r="O78" s="14" t="n">
        <f aca="false">IF($L78="","",$L78+$N78)</f>
        <v>73.6352173071548</v>
      </c>
      <c r="P78" s="14" t="n">
        <f aca="false">IF($O78="","",$O78*CARBON_FRACTION_BIOMASS)</f>
        <v>36.8176086535774</v>
      </c>
      <c r="Q78" s="14" t="str">
        <f aca="false">IF(AND($A78="",$C78=""),"",IF(AND($A78&lt;&gt;"",COUNTIF('1. Plot &amp; Site Log'!$A$5:$A$64,$A78)=0),"Plot ID not in Plot &amp; Site Log — this tree will not reach the summary. ","")&amp;IF($A78="","No Plot ID. ","")&amp;IF(AND($C78&lt;&gt;"",$F78=""),"Species not in the coefficient list — check the spelling against R1. ","")&amp;IF($D78="","No DBH — nothing can be calculated. ","")&amp;IF(AND($D78&lt;&gt;"",$D78&gt;QC_DBH_MAX_CM),"DBH above "&amp;QC_DBH_MAX_CM&amp;" cm — check for a transcription error. ","")&amp;IF($M78="All","Generic species: no published root:shoot applies, so below-ground biomass is the mean of the deciduous and conifer relationships. Choose a species, or Deciduous/Conifers, if you can. ","")&amp;IF(AND($O78&lt;&gt;"",$O78&gt;0,OR($N78/$O78&lt;BGB_FRACTION_MIN,$N78/$O78&gt;BGB_FRACTION_MAX)),"Below-ground share is "&amp;TEXT($N78/$O78,"0%")&amp;", outside the 18–30% the Trees guide describes. ",""))</f>
        <v/>
      </c>
    </row>
    <row r="79" customFormat="false" ht="15" hidden="false" customHeight="false" outlineLevel="0" collapsed="false">
      <c r="A79" s="13" t="s">
        <v>91</v>
      </c>
      <c r="B79" s="13" t="n">
        <v>14</v>
      </c>
      <c r="C79" s="13" t="s">
        <v>134</v>
      </c>
      <c r="D79" s="13" t="n">
        <v>6.8</v>
      </c>
      <c r="E79" s="13"/>
      <c r="F79" s="14" t="n">
        <f aca="false">IF($C79="","",IFERROR(12+(MATCH($C79,'R1. Tree Coefficients'!$L$12:$L$53,0)-1)*4,""))</f>
        <v>160</v>
      </c>
      <c r="G79" s="14" t="str">
        <f aca="false">IF($F79="","",IF(AND($E79&lt;&gt;"",$E79&gt;0),"DBH + height","DBH only"))</f>
        <v>DBH only</v>
      </c>
      <c r="H79" s="14" t="n">
        <f aca="false">IF(OR($D79="",$F79=""),"",IF($E79&gt;0,INDEX('R1. Tree Coefficients'!$F:$F,$F79+0)*($D79^INDEX('R1. Tree Coefficients'!$G:$G,$F79+0))*($E79^INDEX('R1. Tree Coefficients'!$H:$H,$F79+0)),INDEX('R1. Tree Coefficients'!$D:$D,$F79+0)*($D79^INDEX('R1. Tree Coefficients'!$E:$E,$F79+0))))</f>
        <v>7.22596633398827</v>
      </c>
      <c r="I79" s="14" t="n">
        <f aca="false">IF(OR($D79="",$F79=""),"",IF($E79&gt;0,INDEX('R1. Tree Coefficients'!$F:$F,$F79+1)*($D79^INDEX('R1. Tree Coefficients'!$G:$G,$F79+1))*($E79^INDEX('R1. Tree Coefficients'!$H:$H,$F79+1)),INDEX('R1. Tree Coefficients'!$D:$D,$F79+1)*($D79^INDEX('R1. Tree Coefficients'!$E:$E,$F79+1))))</f>
        <v>1.37321679867101</v>
      </c>
      <c r="J79" s="14" t="n">
        <f aca="false">IF(OR($D79="",$F79=""),"",IF($E79&gt;0,INDEX('R1. Tree Coefficients'!$F:$F,$F79+2)*($D79^INDEX('R1. Tree Coefficients'!$G:$G,$F79+2))*($E79^INDEX('R1. Tree Coefficients'!$H:$H,$F79+2)),INDEX('R1. Tree Coefficients'!$D:$D,$F79+2)*($D79^INDEX('R1. Tree Coefficients'!$E:$E,$F79+2))))</f>
        <v>1.85134590085193</v>
      </c>
      <c r="K79" s="14" t="n">
        <f aca="false">IF(OR($D79="",$F79=""),"",IF($E79&gt;0,INDEX('R1. Tree Coefficients'!$F:$F,$F79+3)*($D79^INDEX('R1. Tree Coefficients'!$G:$G,$F79+3))*($E79^INDEX('R1. Tree Coefficients'!$H:$H,$F79+3)),INDEX('R1. Tree Coefficients'!$D:$D,$F79+3)*($D79^INDEX('R1. Tree Coefficients'!$E:$E,$F79+3))))</f>
        <v>1.27819988252195</v>
      </c>
      <c r="L79" s="14" t="n">
        <f aca="false">IF($F79="","",IFERROR(SUM($H79:$K79),""))</f>
        <v>11.7287289160332</v>
      </c>
      <c r="M79" s="14" t="str">
        <f aca="false">IF($F79="","",INDEX('R1. Tree Coefficients'!$J:$J,$F79))</f>
        <v>Deciduous</v>
      </c>
      <c r="N79" s="14" t="n">
        <f aca="false">IF($L79="","",IF($M79="Deciduous",BGB_RS_DECIDUOUS_a*($L79^BGB_RS_DECIDUOUS_b),IF($M79="Conifers",BGB_RS_CONIFER*$L79,AVERAGE(BGB_RS_DECIDUOUS_a*($L79^BGB_RS_DECIDUOUS_b),BGB_RS_CONIFER*$L79))))</f>
        <v>7.16383453969985</v>
      </c>
      <c r="O79" s="14" t="n">
        <f aca="false">IF($L79="","",$L79+$N79)</f>
        <v>18.892563455733</v>
      </c>
      <c r="P79" s="14" t="n">
        <f aca="false">IF($O79="","",$O79*CARBON_FRACTION_BIOMASS)</f>
        <v>9.44628172786651</v>
      </c>
      <c r="Q79" s="14" t="str">
        <f aca="false">IF(AND($A79="",$C79=""),"",IF(AND($A79&lt;&gt;"",COUNTIF('1. Plot &amp; Site Log'!$A$5:$A$64,$A79)=0),"Plot ID not in Plot &amp; Site Log — this tree will not reach the summary. ","")&amp;IF($A79="","No Plot ID. ","")&amp;IF(AND($C79&lt;&gt;"",$F79=""),"Species not in the coefficient list — check the spelling against R1. ","")&amp;IF($D79="","No DBH — nothing can be calculated. ","")&amp;IF(AND($D79&lt;&gt;"",$D79&gt;QC_DBH_MAX_CM),"DBH above "&amp;QC_DBH_MAX_CM&amp;" cm — check for a transcription error. ","")&amp;IF($M79="All","Generic species: no published root:shoot applies, so below-ground biomass is the mean of the deciduous and conifer relationships. Choose a species, or Deciduous/Conifers, if you can. ","")&amp;IF(AND($O79&lt;&gt;"",$O79&gt;0,OR($N79/$O79&lt;BGB_FRACTION_MIN,$N79/$O79&gt;BGB_FRACTION_MAX)),"Below-ground share is "&amp;TEXT($N79/$O79,"0%")&amp;", outside the 18–30% the Trees guide describes. ",""))</f>
        <v/>
      </c>
    </row>
    <row r="80" customFormat="false" ht="15" hidden="false" customHeight="false" outlineLevel="0" collapsed="false">
      <c r="A80" s="13" t="s">
        <v>91</v>
      </c>
      <c r="B80" s="13" t="n">
        <v>15</v>
      </c>
      <c r="C80" s="13" t="s">
        <v>135</v>
      </c>
      <c r="D80" s="13" t="n">
        <v>13.8</v>
      </c>
      <c r="E80" s="13"/>
      <c r="F80" s="14" t="n">
        <f aca="false">IF($C80="","",IFERROR(12+(MATCH($C80,'R1. Tree Coefficients'!$L$12:$L$53,0)-1)*4,""))</f>
        <v>48</v>
      </c>
      <c r="G80" s="14" t="str">
        <f aca="false">IF($F80="","",IF(AND($E80&lt;&gt;"",$E80&gt;0),"DBH + height","DBH only"))</f>
        <v>DBH only</v>
      </c>
      <c r="H80" s="14" t="n">
        <f aca="false">IF(OR($D80="",$F80=""),"",IF($E80&gt;0,INDEX('R1. Tree Coefficients'!$F:$F,$F80+0)*($D80^INDEX('R1. Tree Coefficients'!$G:$G,$F80+0))*($E80^INDEX('R1. Tree Coefficients'!$H:$H,$F80+0)),INDEX('R1. Tree Coefficients'!$D:$D,$F80+0)*($D80^INDEX('R1. Tree Coefficients'!$E:$E,$F80+0))))</f>
        <v>35.1782606660731</v>
      </c>
      <c r="I80" s="14" t="n">
        <f aca="false">IF(OR($D80="",$F80=""),"",IF($E80&gt;0,INDEX('R1. Tree Coefficients'!$F:$F,$F80+1)*($D80^INDEX('R1. Tree Coefficients'!$G:$G,$F80+1))*($E80^INDEX('R1. Tree Coefficients'!$H:$H,$F80+1)),INDEX('R1. Tree Coefficients'!$D:$D,$F80+1)*($D80^INDEX('R1. Tree Coefficients'!$E:$E,$F80+1))))</f>
        <v>5.42382579672709</v>
      </c>
      <c r="J80" s="14" t="n">
        <f aca="false">IF(OR($D80="",$F80=""),"",IF($E80&gt;0,INDEX('R1. Tree Coefficients'!$F:$F,$F80+2)*($D80^INDEX('R1. Tree Coefficients'!$G:$G,$F80+2))*($E80^INDEX('R1. Tree Coefficients'!$H:$H,$F80+2)),INDEX('R1. Tree Coefficients'!$D:$D,$F80+2)*($D80^INDEX('R1. Tree Coefficients'!$E:$E,$F80+2))))</f>
        <v>6.74925879558143</v>
      </c>
      <c r="K80" s="14" t="n">
        <f aca="false">IF(OR($D80="",$F80=""),"",IF($E80&gt;0,INDEX('R1. Tree Coefficients'!$F:$F,$F80+3)*($D80^INDEX('R1. Tree Coefficients'!$G:$G,$F80+3))*($E80^INDEX('R1. Tree Coefficients'!$H:$H,$F80+3)),INDEX('R1. Tree Coefficients'!$D:$D,$F80+3)*($D80^INDEX('R1. Tree Coefficients'!$E:$E,$F80+3))))</f>
        <v>6.81694825942968</v>
      </c>
      <c r="L80" s="14" t="n">
        <f aca="false">IF($F80="","",IFERROR(SUM($H80:$K80),""))</f>
        <v>54.1682935178113</v>
      </c>
      <c r="M80" s="14" t="str">
        <f aca="false">IF($F80="","",INDEX('R1. Tree Coefficients'!$J:$J,$F80))</f>
        <v>Conifers</v>
      </c>
      <c r="N80" s="14" t="n">
        <f aca="false">IF($L80="","",IF($M80="Deciduous",BGB_RS_DECIDUOUS_a*($L80^BGB_RS_DECIDUOUS_b),IF($M80="Conifers",BGB_RS_CONIFER*$L80,AVERAGE(BGB_RS_DECIDUOUS_a*($L80^BGB_RS_DECIDUOUS_b),BGB_RS_CONIFER*$L80))))</f>
        <v>12.0253611609541</v>
      </c>
      <c r="O80" s="14" t="n">
        <f aca="false">IF($L80="","",$L80+$N80)</f>
        <v>66.1936546787654</v>
      </c>
      <c r="P80" s="14" t="n">
        <f aca="false">IF($O80="","",$O80*CARBON_FRACTION_BIOMASS)</f>
        <v>33.0968273393827</v>
      </c>
      <c r="Q80" s="14" t="str">
        <f aca="false">IF(AND($A80="",$C80=""),"",IF(AND($A80&lt;&gt;"",COUNTIF('1. Plot &amp; Site Log'!$A$5:$A$64,$A80)=0),"Plot ID not in Plot &amp; Site Log — this tree will not reach the summary. ","")&amp;IF($A80="","No Plot ID. ","")&amp;IF(AND($C80&lt;&gt;"",$F80=""),"Species not in the coefficient list — check the spelling against R1. ","")&amp;IF($D80="","No DBH — nothing can be calculated. ","")&amp;IF(AND($D80&lt;&gt;"",$D80&gt;QC_DBH_MAX_CM),"DBH above "&amp;QC_DBH_MAX_CM&amp;" cm — check for a transcription error. ","")&amp;IF($M80="All","Generic species: no published root:shoot applies, so below-ground biomass is the mean of the deciduous and conifer relationships. Choose a species, or Deciduous/Conifers, if you can. ","")&amp;IF(AND($O80&lt;&gt;"",$O80&gt;0,OR($N80/$O80&lt;BGB_FRACTION_MIN,$N80/$O80&gt;BGB_FRACTION_MAX)),"Below-ground share is "&amp;TEXT($N80/$O80,"0%")&amp;", outside the 18–30% the Trees guide describes. ",""))</f>
        <v/>
      </c>
    </row>
    <row r="81" customFormat="false" ht="15" hidden="false" customHeight="false" outlineLevel="0" collapsed="false">
      <c r="A81" s="13" t="s">
        <v>91</v>
      </c>
      <c r="B81" s="13" t="n">
        <v>16</v>
      </c>
      <c r="C81" s="13" t="s">
        <v>135</v>
      </c>
      <c r="D81" s="13" t="n">
        <v>6.3</v>
      </c>
      <c r="E81" s="13" t="n">
        <v>8.1</v>
      </c>
      <c r="F81" s="14" t="n">
        <f aca="false">IF($C81="","",IFERROR(12+(MATCH($C81,'R1. Tree Coefficients'!$L$12:$L$53,0)-1)*4,""))</f>
        <v>48</v>
      </c>
      <c r="G81" s="14" t="str">
        <f aca="false">IF($F81="","",IF(AND($E81&lt;&gt;"",$E81&gt;0),"DBH + height","DBH only"))</f>
        <v>DBH + height</v>
      </c>
      <c r="H81" s="14" t="n">
        <f aca="false">IF(OR($D81="",$F81=""),"",IF($E81&gt;0,INDEX('R1. Tree Coefficients'!$F:$F,$F81+0)*($D81^INDEX('R1. Tree Coefficients'!$G:$G,$F81+0))*($E81^INDEX('R1. Tree Coefficients'!$H:$H,$F81+0)),INDEX('R1. Tree Coefficients'!$D:$D,$F81+0)*($D81^INDEX('R1. Tree Coefficients'!$E:$E,$F81+0))))</f>
        <v>6.43447480301635</v>
      </c>
      <c r="I81" s="14" t="n">
        <f aca="false">IF(OR($D81="",$F81=""),"",IF($E81&gt;0,INDEX('R1. Tree Coefficients'!$F:$F,$F81+1)*($D81^INDEX('R1. Tree Coefficients'!$G:$G,$F81+1))*($E81^INDEX('R1. Tree Coefficients'!$H:$H,$F81+1)),INDEX('R1. Tree Coefficients'!$D:$D,$F81+1)*($D81^INDEX('R1. Tree Coefficients'!$E:$E,$F81+1))))</f>
        <v>1.13925157530763</v>
      </c>
      <c r="J81" s="14" t="n">
        <f aca="false">IF(OR($D81="",$F81=""),"",IF($E81&gt;0,INDEX('R1. Tree Coefficients'!$F:$F,$F81+2)*($D81^INDEX('R1. Tree Coefficients'!$G:$G,$F81+2))*($E81^INDEX('R1. Tree Coefficients'!$H:$H,$F81+2)),INDEX('R1. Tree Coefficients'!$D:$D,$F81+2)*($D81^INDEX('R1. Tree Coefficients'!$E:$E,$F81+2))))</f>
        <v>0.824988396253273</v>
      </c>
      <c r="K81" s="14" t="n">
        <f aca="false">IF(OR($D81="",$F81=""),"",IF($E81&gt;0,INDEX('R1. Tree Coefficients'!$F:$F,$F81+3)*($D81^INDEX('R1. Tree Coefficients'!$G:$G,$F81+3))*($E81^INDEX('R1. Tree Coefficients'!$H:$H,$F81+3)),INDEX('R1. Tree Coefficients'!$D:$D,$F81+3)*($D81^INDEX('R1. Tree Coefficients'!$E:$E,$F81+3))))</f>
        <v>1.36501658268105</v>
      </c>
      <c r="L81" s="14" t="n">
        <f aca="false">IF($F81="","",IFERROR(SUM($H81:$K81),""))</f>
        <v>9.7637313572583</v>
      </c>
      <c r="M81" s="14" t="str">
        <f aca="false">IF($F81="","",INDEX('R1. Tree Coefficients'!$J:$J,$F81))</f>
        <v>Conifers</v>
      </c>
      <c r="N81" s="14" t="n">
        <f aca="false">IF($L81="","",IF($M81="Deciduous",BGB_RS_DECIDUOUS_a*($L81^BGB_RS_DECIDUOUS_b),IF($M81="Conifers",BGB_RS_CONIFER*$L81,AVERAGE(BGB_RS_DECIDUOUS_a*($L81^BGB_RS_DECIDUOUS_b),BGB_RS_CONIFER*$L81))))</f>
        <v>2.16754836131134</v>
      </c>
      <c r="O81" s="14" t="n">
        <f aca="false">IF($L81="","",$L81+$N81)</f>
        <v>11.9312797185696</v>
      </c>
      <c r="P81" s="14" t="n">
        <f aca="false">IF($O81="","",$O81*CARBON_FRACTION_BIOMASS)</f>
        <v>5.96563985928482</v>
      </c>
      <c r="Q81" s="14" t="str">
        <f aca="false">IF(AND($A81="",$C81=""),"",IF(AND($A81&lt;&gt;"",COUNTIF('1. Plot &amp; Site Log'!$A$5:$A$64,$A81)=0),"Plot ID not in Plot &amp; Site Log — this tree will not reach the summary. ","")&amp;IF($A81="","No Plot ID. ","")&amp;IF(AND($C81&lt;&gt;"",$F81=""),"Species not in the coefficient list — check the spelling against R1. ","")&amp;IF($D81="","No DBH — nothing can be calculated. ","")&amp;IF(AND($D81&lt;&gt;"",$D81&gt;QC_DBH_MAX_CM),"DBH above "&amp;QC_DBH_MAX_CM&amp;" cm — check for a transcription error. ","")&amp;IF($M81="All","Generic species: no published root:shoot applies, so below-ground biomass is the mean of the deciduous and conifer relationships. Choose a species, or Deciduous/Conifers, if you can. ","")&amp;IF(AND($O81&lt;&gt;"",$O81&gt;0,OR($N81/$O81&lt;BGB_FRACTION_MIN,$N81/$O81&gt;BGB_FRACTION_MAX)),"Below-ground share is "&amp;TEXT($N81/$O81,"0%")&amp;", outside the 18–30% the Trees guide describes. ",""))</f>
        <v/>
      </c>
    </row>
    <row r="82" customFormat="false" ht="15" hidden="false" customHeight="false" outlineLevel="0" collapsed="false">
      <c r="A82" s="13" t="s">
        <v>91</v>
      </c>
      <c r="B82" s="13" t="n">
        <v>17</v>
      </c>
      <c r="C82" s="13" t="s">
        <v>135</v>
      </c>
      <c r="D82" s="13" t="n">
        <v>13.2</v>
      </c>
      <c r="E82" s="13"/>
      <c r="F82" s="14" t="n">
        <f aca="false">IF($C82="","",IFERROR(12+(MATCH($C82,'R1. Tree Coefficients'!$L$12:$L$53,0)-1)*4,""))</f>
        <v>48</v>
      </c>
      <c r="G82" s="14" t="str">
        <f aca="false">IF($F82="","",IF(AND($E82&lt;&gt;"",$E82&gt;0),"DBH + height","DBH only"))</f>
        <v>DBH only</v>
      </c>
      <c r="H82" s="14" t="n">
        <f aca="false">IF(OR($D82="",$F82=""),"",IF($E82&gt;0,INDEX('R1. Tree Coefficients'!$F:$F,$F82+0)*($D82^INDEX('R1. Tree Coefficients'!$G:$G,$F82+0))*($E82^INDEX('R1. Tree Coefficients'!$H:$H,$F82+0)),INDEX('R1. Tree Coefficients'!$D:$D,$F82+0)*($D82^INDEX('R1. Tree Coefficients'!$E:$E,$F82+0))))</f>
        <v>31.4748168580873</v>
      </c>
      <c r="I82" s="14" t="n">
        <f aca="false">IF(OR($D82="",$F82=""),"",IF($E82&gt;0,INDEX('R1. Tree Coefficients'!$F:$F,$F82+1)*($D82^INDEX('R1. Tree Coefficients'!$G:$G,$F82+1))*($E82^INDEX('R1. Tree Coefficients'!$H:$H,$F82+1)),INDEX('R1. Tree Coefficients'!$D:$D,$F82+1)*($D82^INDEX('R1. Tree Coefficients'!$E:$E,$F82+1))))</f>
        <v>4.90773061426336</v>
      </c>
      <c r="J82" s="14" t="n">
        <f aca="false">IF(OR($D82="",$F82=""),"",IF($E82&gt;0,INDEX('R1. Tree Coefficients'!$F:$F,$F82+2)*($D82^INDEX('R1. Tree Coefficients'!$G:$G,$F82+2))*($E82^INDEX('R1. Tree Coefficients'!$H:$H,$F82+2)),INDEX('R1. Tree Coefficients'!$D:$D,$F82+2)*($D82^INDEX('R1. Tree Coefficients'!$E:$E,$F82+2))))</f>
        <v>6.15454503088185</v>
      </c>
      <c r="K82" s="14" t="n">
        <f aca="false">IF(OR($D82="",$F82=""),"",IF($E82&gt;0,INDEX('R1. Tree Coefficients'!$F:$F,$F82+3)*($D82^INDEX('R1. Tree Coefficients'!$G:$G,$F82+3))*($E82^INDEX('R1. Tree Coefficients'!$H:$H,$F82+3)),INDEX('R1. Tree Coefficients'!$D:$D,$F82+3)*($D82^INDEX('R1. Tree Coefficients'!$E:$E,$F82+3))))</f>
        <v>6.39932557362035</v>
      </c>
      <c r="L82" s="14" t="n">
        <f aca="false">IF($F82="","",IFERROR(SUM($H82:$K82),""))</f>
        <v>48.9364180768528</v>
      </c>
      <c r="M82" s="14" t="str">
        <f aca="false">IF($F82="","",INDEX('R1. Tree Coefficients'!$J:$J,$F82))</f>
        <v>Conifers</v>
      </c>
      <c r="N82" s="14" t="n">
        <f aca="false">IF($L82="","",IF($M82="Deciduous",BGB_RS_DECIDUOUS_a*($L82^BGB_RS_DECIDUOUS_b),IF($M82="Conifers",BGB_RS_CONIFER*$L82,AVERAGE(BGB_RS_DECIDUOUS_a*($L82^BGB_RS_DECIDUOUS_b),BGB_RS_CONIFER*$L82))))</f>
        <v>10.8638848130613</v>
      </c>
      <c r="O82" s="14" t="n">
        <f aca="false">IF($L82="","",$L82+$N82)</f>
        <v>59.8003028899142</v>
      </c>
      <c r="P82" s="14" t="n">
        <f aca="false">IF($O82="","",$O82*CARBON_FRACTION_BIOMASS)</f>
        <v>29.9001514449571</v>
      </c>
      <c r="Q82" s="14" t="str">
        <f aca="false">IF(AND($A82="",$C82=""),"",IF(AND($A82&lt;&gt;"",COUNTIF('1. Plot &amp; Site Log'!$A$5:$A$64,$A82)=0),"Plot ID not in Plot &amp; Site Log — this tree will not reach the summary. ","")&amp;IF($A82="","No Plot ID. ","")&amp;IF(AND($C82&lt;&gt;"",$F82=""),"Species not in the coefficient list — check the spelling against R1. ","")&amp;IF($D82="","No DBH — nothing can be calculated. ","")&amp;IF(AND($D82&lt;&gt;"",$D82&gt;QC_DBH_MAX_CM),"DBH above "&amp;QC_DBH_MAX_CM&amp;" cm — check for a transcription error. ","")&amp;IF($M82="All","Generic species: no published root:shoot applies, so below-ground biomass is the mean of the deciduous and conifer relationships. Choose a species, or Deciduous/Conifers, if you can. ","")&amp;IF(AND($O82&lt;&gt;"",$O82&gt;0,OR($N82/$O82&lt;BGB_FRACTION_MIN,$N82/$O82&gt;BGB_FRACTION_MAX)),"Below-ground share is "&amp;TEXT($N82/$O82,"0%")&amp;", outside the 18–30% the Trees guide describes. ",""))</f>
        <v/>
      </c>
    </row>
    <row r="83" customFormat="false" ht="15" hidden="false" customHeight="false" outlineLevel="0" collapsed="false">
      <c r="A83" s="13" t="s">
        <v>91</v>
      </c>
      <c r="B83" s="13" t="n">
        <v>18</v>
      </c>
      <c r="C83" s="13" t="s">
        <v>135</v>
      </c>
      <c r="D83" s="13" t="n">
        <v>10.5</v>
      </c>
      <c r="E83" s="13"/>
      <c r="F83" s="14" t="n">
        <f aca="false">IF($C83="","",IFERROR(12+(MATCH($C83,'R1. Tree Coefficients'!$L$12:$L$53,0)-1)*4,""))</f>
        <v>48</v>
      </c>
      <c r="G83" s="14" t="str">
        <f aca="false">IF($F83="","",IF(AND($E83&lt;&gt;"",$E83&gt;0),"DBH + height","DBH only"))</f>
        <v>DBH only</v>
      </c>
      <c r="H83" s="14" t="n">
        <f aca="false">IF(OR($D83="",$F83=""),"",IF($E83&gt;0,INDEX('R1. Tree Coefficients'!$F:$F,$F83+0)*($D83^INDEX('R1. Tree Coefficients'!$G:$G,$F83+0))*($E83^INDEX('R1. Tree Coefficients'!$H:$H,$F83+0)),INDEX('R1. Tree Coefficients'!$D:$D,$F83+0)*($D83^INDEX('R1. Tree Coefficients'!$E:$E,$F83+0))))</f>
        <v>17.7522403749453</v>
      </c>
      <c r="I83" s="14" t="n">
        <f aca="false">IF(OR($D83="",$F83=""),"",IF($E83&gt;0,INDEX('R1. Tree Coefficients'!$F:$F,$F83+1)*($D83^INDEX('R1. Tree Coefficients'!$G:$G,$F83+1))*($E83^INDEX('R1. Tree Coefficients'!$H:$H,$F83+1)),INDEX('R1. Tree Coefficients'!$D:$D,$F83+1)*($D83^INDEX('R1. Tree Coefficients'!$E:$E,$F83+1))))</f>
        <v>2.9330868628325</v>
      </c>
      <c r="J83" s="14" t="n">
        <f aca="false">IF(OR($D83="",$F83=""),"",IF($E83&gt;0,INDEX('R1. Tree Coefficients'!$F:$F,$F83+2)*($D83^INDEX('R1. Tree Coefficients'!$G:$G,$F83+2))*($E83^INDEX('R1. Tree Coefficients'!$H:$H,$F83+2)),INDEX('R1. Tree Coefficients'!$D:$D,$F83+2)*($D83^INDEX('R1. Tree Coefficients'!$E:$E,$F83+2))))</f>
        <v>3.82792044635273</v>
      </c>
      <c r="K83" s="14" t="n">
        <f aca="false">IF(OR($D83="",$F83=""),"",IF($E83&gt;0,INDEX('R1. Tree Coefficients'!$F:$F,$F83+3)*($D83^INDEX('R1. Tree Coefficients'!$G:$G,$F83+3))*($E83^INDEX('R1. Tree Coefficients'!$H:$H,$F83+3)),INDEX('R1. Tree Coefficients'!$D:$D,$F83+3)*($D83^INDEX('R1. Tree Coefficients'!$E:$E,$F83+3))))</f>
        <v>4.62156836940556</v>
      </c>
      <c r="L83" s="14" t="n">
        <f aca="false">IF($F83="","",IFERROR(SUM($H83:$K83),""))</f>
        <v>29.1348160535361</v>
      </c>
      <c r="M83" s="14" t="str">
        <f aca="false">IF($F83="","",INDEX('R1. Tree Coefficients'!$J:$J,$F83))</f>
        <v>Conifers</v>
      </c>
      <c r="N83" s="14" t="n">
        <f aca="false">IF($L83="","",IF($M83="Deciduous",BGB_RS_DECIDUOUS_a*($L83^BGB_RS_DECIDUOUS_b),IF($M83="Conifers",BGB_RS_CONIFER*$L83,AVERAGE(BGB_RS_DECIDUOUS_a*($L83^BGB_RS_DECIDUOUS_b),BGB_RS_CONIFER*$L83))))</f>
        <v>6.46792916388502</v>
      </c>
      <c r="O83" s="14" t="n">
        <f aca="false">IF($L83="","",$L83+$N83)</f>
        <v>35.6027452174211</v>
      </c>
      <c r="P83" s="14" t="n">
        <f aca="false">IF($O83="","",$O83*CARBON_FRACTION_BIOMASS)</f>
        <v>17.8013726087106</v>
      </c>
      <c r="Q83" s="14" t="str">
        <f aca="false">IF(AND($A83="",$C83=""),"",IF(AND($A83&lt;&gt;"",COUNTIF('1. Plot &amp; Site Log'!$A$5:$A$64,$A83)=0),"Plot ID not in Plot &amp; Site Log — this tree will not reach the summary. ","")&amp;IF($A83="","No Plot ID. ","")&amp;IF(AND($C83&lt;&gt;"",$F83=""),"Species not in the coefficient list — check the spelling against R1. ","")&amp;IF($D83="","No DBH — nothing can be calculated. ","")&amp;IF(AND($D83&lt;&gt;"",$D83&gt;QC_DBH_MAX_CM),"DBH above "&amp;QC_DBH_MAX_CM&amp;" cm — check for a transcription error. ","")&amp;IF($M83="All","Generic species: no published root:shoot applies, so below-ground biomass is the mean of the deciduous and conifer relationships. Choose a species, or Deciduous/Conifers, if you can. ","")&amp;IF(AND($O83&lt;&gt;"",$O83&gt;0,OR($N83/$O83&lt;BGB_FRACTION_MIN,$N83/$O83&gt;BGB_FRACTION_MAX)),"Below-ground share is "&amp;TEXT($N83/$O83,"0%")&amp;", outside the 18–30% the Trees guide describes. ",""))</f>
        <v/>
      </c>
    </row>
    <row r="84" customFormat="false" ht="15" hidden="false" customHeight="false" outlineLevel="0" collapsed="false">
      <c r="A84" s="13" t="s">
        <v>92</v>
      </c>
      <c r="B84" s="13" t="n">
        <v>1</v>
      </c>
      <c r="C84" s="13" t="s">
        <v>135</v>
      </c>
      <c r="D84" s="13" t="n">
        <v>15.2</v>
      </c>
      <c r="E84" s="13" t="n">
        <v>11.8</v>
      </c>
      <c r="F84" s="14" t="n">
        <f aca="false">IF($C84="","",IFERROR(12+(MATCH($C84,'R1. Tree Coefficients'!$L$12:$L$53,0)-1)*4,""))</f>
        <v>48</v>
      </c>
      <c r="G84" s="14" t="str">
        <f aca="false">IF($F84="","",IF(AND($E84&lt;&gt;"",$E84&gt;0),"DBH + height","DBH only"))</f>
        <v>DBH + height</v>
      </c>
      <c r="H84" s="14" t="n">
        <f aca="false">IF(OR($D84="",$F84=""),"",IF($E84&gt;0,INDEX('R1. Tree Coefficients'!$F:$F,$F84+0)*($D84^INDEX('R1. Tree Coefficients'!$G:$G,$F84+0))*($E84^INDEX('R1. Tree Coefficients'!$H:$H,$F84+0)),INDEX('R1. Tree Coefficients'!$D:$D,$F84+0)*($D84^INDEX('R1. Tree Coefficients'!$E:$E,$F84+0))))</f>
        <v>43.0872301309271</v>
      </c>
      <c r="I84" s="14" t="n">
        <f aca="false">IF(OR($D84="",$F84=""),"",IF($E84&gt;0,INDEX('R1. Tree Coefficients'!$F:$F,$F84+1)*($D84^INDEX('R1. Tree Coefficients'!$G:$G,$F84+1))*($E84^INDEX('R1. Tree Coefficients'!$H:$H,$F84+1)),INDEX('R1. Tree Coefficients'!$D:$D,$F84+1)*($D84^INDEX('R1. Tree Coefficients'!$E:$E,$F84+1))))</f>
        <v>6.70450954893231</v>
      </c>
      <c r="J84" s="14" t="n">
        <f aca="false">IF(OR($D84="",$F84=""),"",IF($E84&gt;0,INDEX('R1. Tree Coefficients'!$F:$F,$F84+2)*($D84^INDEX('R1. Tree Coefficients'!$G:$G,$F84+2))*($E84^INDEX('R1. Tree Coefficients'!$H:$H,$F84+2)),INDEX('R1. Tree Coefficients'!$D:$D,$F84+2)*($D84^INDEX('R1. Tree Coefficients'!$E:$E,$F84+2))))</f>
        <v>8.20075327513181</v>
      </c>
      <c r="K84" s="14" t="n">
        <f aca="false">IF(OR($D84="",$F84=""),"",IF($E84&gt;0,INDEX('R1. Tree Coefficients'!$F:$F,$F84+3)*($D84^INDEX('R1. Tree Coefficients'!$G:$G,$F84+3))*($E84^INDEX('R1. Tree Coefficients'!$H:$H,$F84+3)),INDEX('R1. Tree Coefficients'!$D:$D,$F84+3)*($D84^INDEX('R1. Tree Coefficients'!$E:$E,$F84+3))))</f>
        <v>7.78669138121868</v>
      </c>
      <c r="L84" s="14" t="n">
        <f aca="false">IF($F84="","",IFERROR(SUM($H84:$K84),""))</f>
        <v>65.7791843362099</v>
      </c>
      <c r="M84" s="14" t="str">
        <f aca="false">IF($F84="","",INDEX('R1. Tree Coefficients'!$J:$J,$F84))</f>
        <v>Conifers</v>
      </c>
      <c r="N84" s="14" t="n">
        <f aca="false">IF($L84="","",IF($M84="Deciduous",BGB_RS_DECIDUOUS_a*($L84^BGB_RS_DECIDUOUS_b),IF($M84="Conifers",BGB_RS_CONIFER*$L84,AVERAGE(BGB_RS_DECIDUOUS_a*($L84^BGB_RS_DECIDUOUS_b),BGB_RS_CONIFER*$L84))))</f>
        <v>14.6029789226386</v>
      </c>
      <c r="O84" s="14" t="n">
        <f aca="false">IF($L84="","",$L84+$N84)</f>
        <v>80.3821632588485</v>
      </c>
      <c r="P84" s="14" t="n">
        <f aca="false">IF($O84="","",$O84*CARBON_FRACTION_BIOMASS)</f>
        <v>40.1910816294243</v>
      </c>
      <c r="Q84" s="14" t="str">
        <f aca="false">IF(AND($A84="",$C84=""),"",IF(AND($A84&lt;&gt;"",COUNTIF('1. Plot &amp; Site Log'!$A$5:$A$64,$A84)=0),"Plot ID not in Plot &amp; Site Log — this tree will not reach the summary. ","")&amp;IF($A84="","No Plot ID. ","")&amp;IF(AND($C84&lt;&gt;"",$F84=""),"Species not in the coefficient list — check the spelling against R1. ","")&amp;IF($D84="","No DBH — nothing can be calculated. ","")&amp;IF(AND($D84&lt;&gt;"",$D84&gt;QC_DBH_MAX_CM),"DBH above "&amp;QC_DBH_MAX_CM&amp;" cm — check for a transcription error. ","")&amp;IF($M84="All","Generic species: no published root:shoot applies, so below-ground biomass is the mean of the deciduous and conifer relationships. Choose a species, or Deciduous/Conifers, if you can. ","")&amp;IF(AND($O84&lt;&gt;"",$O84&gt;0,OR($N84/$O84&lt;BGB_FRACTION_MIN,$N84/$O84&gt;BGB_FRACTION_MAX)),"Below-ground share is "&amp;TEXT($N84/$O84,"0%")&amp;", outside the 18–30% the Trees guide describes. ",""))</f>
        <v/>
      </c>
    </row>
    <row r="85" customFormat="false" ht="15" hidden="false" customHeight="false" outlineLevel="0" collapsed="false">
      <c r="A85" s="13" t="s">
        <v>92</v>
      </c>
      <c r="B85" s="13" t="n">
        <v>2</v>
      </c>
      <c r="C85" s="13" t="s">
        <v>135</v>
      </c>
      <c r="D85" s="13" t="n">
        <v>15.9</v>
      </c>
      <c r="E85" s="13"/>
      <c r="F85" s="14" t="n">
        <f aca="false">IF($C85="","",IFERROR(12+(MATCH($C85,'R1. Tree Coefficients'!$L$12:$L$53,0)-1)*4,""))</f>
        <v>48</v>
      </c>
      <c r="G85" s="14" t="str">
        <f aca="false">IF($F85="","",IF(AND($E85&lt;&gt;"",$E85&gt;0),"DBH + height","DBH only"))</f>
        <v>DBH only</v>
      </c>
      <c r="H85" s="14" t="n">
        <f aca="false">IF(OR($D85="",$F85=""),"",IF($E85&gt;0,INDEX('R1. Tree Coefficients'!$F:$F,$F85+0)*($D85^INDEX('R1. Tree Coefficients'!$G:$G,$F85+0))*($E85^INDEX('R1. Tree Coefficients'!$H:$H,$F85+0)),INDEX('R1. Tree Coefficients'!$D:$D,$F85+0)*($D85^INDEX('R1. Tree Coefficients'!$E:$E,$F85+0))))</f>
        <v>50.1444939146477</v>
      </c>
      <c r="I85" s="14" t="n">
        <f aca="false">IF(OR($D85="",$F85=""),"",IF($E85&gt;0,INDEX('R1. Tree Coefficients'!$F:$F,$F85+1)*($D85^INDEX('R1. Tree Coefficients'!$G:$G,$F85+1))*($E85^INDEX('R1. Tree Coefficients'!$H:$H,$F85+1)),INDEX('R1. Tree Coefficients'!$D:$D,$F85+1)*($D85^INDEX('R1. Tree Coefficients'!$E:$E,$F85+1))))</f>
        <v>7.45906525988421</v>
      </c>
      <c r="J85" s="14" t="n">
        <f aca="false">IF(OR($D85="",$F85=""),"",IF($E85&gt;0,INDEX('R1. Tree Coefficients'!$F:$F,$F85+2)*($D85^INDEX('R1. Tree Coefficients'!$G:$G,$F85+2))*($E85^INDEX('R1. Tree Coefficients'!$H:$H,$F85+2)),INDEX('R1. Tree Coefficients'!$D:$D,$F85+2)*($D85^INDEX('R1. Tree Coefficients'!$E:$E,$F85+2))))</f>
        <v>9.05549430253578</v>
      </c>
      <c r="K85" s="14" t="n">
        <f aca="false">IF(OR($D85="",$F85=""),"",IF($E85&gt;0,INDEX('R1. Tree Coefficients'!$F:$F,$F85+3)*($D85^INDEX('R1. Tree Coefficients'!$G:$G,$F85+3))*($E85^INDEX('R1. Tree Coefficients'!$H:$H,$F85+3)),INDEX('R1. Tree Coefficients'!$D:$D,$F85+3)*($D85^INDEX('R1. Tree Coefficients'!$E:$E,$F85+3))))</f>
        <v>8.33836594890681</v>
      </c>
      <c r="L85" s="14" t="n">
        <f aca="false">IF($F85="","",IFERROR(SUM($H85:$K85),""))</f>
        <v>74.9974194259745</v>
      </c>
      <c r="M85" s="14" t="str">
        <f aca="false">IF($F85="","",INDEX('R1. Tree Coefficients'!$J:$J,$F85))</f>
        <v>Conifers</v>
      </c>
      <c r="N85" s="14" t="n">
        <f aca="false">IF($L85="","",IF($M85="Deciduous",BGB_RS_DECIDUOUS_a*($L85^BGB_RS_DECIDUOUS_b),IF($M85="Conifers",BGB_RS_CONIFER*$L85,AVERAGE(BGB_RS_DECIDUOUS_a*($L85^BGB_RS_DECIDUOUS_b),BGB_RS_CONIFER*$L85))))</f>
        <v>16.6494271125663</v>
      </c>
      <c r="O85" s="14" t="n">
        <f aca="false">IF($L85="","",$L85+$N85)</f>
        <v>91.6468465385409</v>
      </c>
      <c r="P85" s="14" t="n">
        <f aca="false">IF($O85="","",$O85*CARBON_FRACTION_BIOMASS)</f>
        <v>45.8234232692704</v>
      </c>
      <c r="Q85" s="14" t="str">
        <f aca="false">IF(AND($A85="",$C85=""),"",IF(AND($A85&lt;&gt;"",COUNTIF('1. Plot &amp; Site Log'!$A$5:$A$64,$A85)=0),"Plot ID not in Plot &amp; Site Log — this tree will not reach the summary. ","")&amp;IF($A85="","No Plot ID. ","")&amp;IF(AND($C85&lt;&gt;"",$F85=""),"Species not in the coefficient list — check the spelling against R1. ","")&amp;IF($D85="","No DBH — nothing can be calculated. ","")&amp;IF(AND($D85&lt;&gt;"",$D85&gt;QC_DBH_MAX_CM),"DBH above "&amp;QC_DBH_MAX_CM&amp;" cm — check for a transcription error. ","")&amp;IF($M85="All","Generic species: no published root:shoot applies, so below-ground biomass is the mean of the deciduous and conifer relationships. Choose a species, or Deciduous/Conifers, if you can. ","")&amp;IF(AND($O85&lt;&gt;"",$O85&gt;0,OR($N85/$O85&lt;BGB_FRACTION_MIN,$N85/$O85&gt;BGB_FRACTION_MAX)),"Below-ground share is "&amp;TEXT($N85/$O85,"0%")&amp;", outside the 18–30% the Trees guide describes. ",""))</f>
        <v/>
      </c>
    </row>
    <row r="86" customFormat="false" ht="15" hidden="false" customHeight="false" outlineLevel="0" collapsed="false">
      <c r="A86" s="13" t="s">
        <v>92</v>
      </c>
      <c r="B86" s="13" t="n">
        <v>3</v>
      </c>
      <c r="C86" s="13" t="s">
        <v>134</v>
      </c>
      <c r="D86" s="13" t="n">
        <v>22.8</v>
      </c>
      <c r="E86" s="13"/>
      <c r="F86" s="14" t="n">
        <f aca="false">IF($C86="","",IFERROR(12+(MATCH($C86,'R1. Tree Coefficients'!$L$12:$L$53,0)-1)*4,""))</f>
        <v>160</v>
      </c>
      <c r="G86" s="14" t="str">
        <f aca="false">IF($F86="","",IF(AND($E86&lt;&gt;"",$E86&gt;0),"DBH + height","DBH only"))</f>
        <v>DBH only</v>
      </c>
      <c r="H86" s="14" t="n">
        <f aca="false">IF(OR($D86="",$F86=""),"",IF($E86&gt;0,INDEX('R1. Tree Coefficients'!$F:$F,$F86+0)*($D86^INDEX('R1. Tree Coefficients'!$G:$G,$F86+0))*($E86^INDEX('R1. Tree Coefficients'!$H:$H,$F86+0)),INDEX('R1. Tree Coefficients'!$D:$D,$F86+0)*($D86^INDEX('R1. Tree Coefficients'!$E:$E,$F86+0))))</f>
        <v>148.01527052466</v>
      </c>
      <c r="I86" s="14" t="n">
        <f aca="false">IF(OR($D86="",$F86=""),"",IF($E86&gt;0,INDEX('R1. Tree Coefficients'!$F:$F,$F86+1)*($D86^INDEX('R1. Tree Coefficients'!$G:$G,$F86+1))*($E86^INDEX('R1. Tree Coefficients'!$H:$H,$F86+1)),INDEX('R1. Tree Coefficients'!$D:$D,$F86+1)*($D86^INDEX('R1. Tree Coefficients'!$E:$E,$F86+1))))</f>
        <v>24.8150737446261</v>
      </c>
      <c r="J86" s="14" t="n">
        <f aca="false">IF(OR($D86="",$F86=""),"",IF($E86&gt;0,INDEX('R1. Tree Coefficients'!$F:$F,$F86+2)*($D86^INDEX('R1. Tree Coefficients'!$G:$G,$F86+2))*($E86^INDEX('R1. Tree Coefficients'!$H:$H,$F86+2)),INDEX('R1. Tree Coefficients'!$D:$D,$F86+2)*($D86^INDEX('R1. Tree Coefficients'!$E:$E,$F86+2))))</f>
        <v>39.1723452247996</v>
      </c>
      <c r="K86" s="14" t="n">
        <f aca="false">IF(OR($D86="",$F86=""),"",IF($E86&gt;0,INDEX('R1. Tree Coefficients'!$F:$F,$F86+3)*($D86^INDEX('R1. Tree Coefficients'!$G:$G,$F86+3))*($E86^INDEX('R1. Tree Coefficients'!$H:$H,$F86+3)),INDEX('R1. Tree Coefficients'!$D:$D,$F86+3)*($D86^INDEX('R1. Tree Coefficients'!$E:$E,$F86+3))))</f>
        <v>8.89552944418319</v>
      </c>
      <c r="L86" s="14" t="n">
        <f aca="false">IF($F86="","",IFERROR(SUM($H86:$K86),""))</f>
        <v>220.898218938269</v>
      </c>
      <c r="M86" s="14" t="str">
        <f aca="false">IF($F86="","",INDEX('R1. Tree Coefficients'!$J:$J,$F86))</f>
        <v>Deciduous</v>
      </c>
      <c r="N86" s="14" t="n">
        <f aca="false">IF($L86="","",IF($M86="Deciduous",BGB_RS_DECIDUOUS_a*($L86^BGB_RS_DECIDUOUS_b),IF($M86="Conifers",BGB_RS_CONIFER*$L86,AVERAGE(BGB_RS_DECIDUOUS_a*($L86^BGB_RS_DECIDUOUS_b),BGB_RS_CONIFER*$L86))))</f>
        <v>43.5747019188105</v>
      </c>
      <c r="O86" s="14" t="n">
        <f aca="false">IF($L86="","",$L86+$N86)</f>
        <v>264.47292085708</v>
      </c>
      <c r="P86" s="14" t="n">
        <f aca="false">IF($O86="","",$O86*CARBON_FRACTION_BIOMASS)</f>
        <v>132.23646042854</v>
      </c>
      <c r="Q86" s="14" t="str">
        <f aca="false">IF(AND($A86="",$C86=""),"",IF(AND($A86&lt;&gt;"",COUNTIF('1. Plot &amp; Site Log'!$A$5:$A$64,$A86)=0),"Plot ID not in Plot &amp; Site Log — this tree will not reach the summary. ","")&amp;IF($A86="","No Plot ID. ","")&amp;IF(AND($C86&lt;&gt;"",$F86=""),"Species not in the coefficient list — check the spelling against R1. ","")&amp;IF($D86="","No DBH — nothing can be calculated. ","")&amp;IF(AND($D86&lt;&gt;"",$D86&gt;QC_DBH_MAX_CM),"DBH above "&amp;QC_DBH_MAX_CM&amp;" cm — check for a transcription error. ","")&amp;IF($M86="All","Generic species: no published root:shoot applies, so below-ground biomass is the mean of the deciduous and conifer relationships. Choose a species, or Deciduous/Conifers, if you can. ","")&amp;IF(AND($O86&lt;&gt;"",$O86&gt;0,OR($N86/$O86&lt;BGB_FRACTION_MIN,$N86/$O86&gt;BGB_FRACTION_MAX)),"Below-ground share is "&amp;TEXT($N86/$O86,"0%")&amp;", outside the 18–30% the Trees guide describes. ",""))</f>
        <v/>
      </c>
    </row>
    <row r="87" customFormat="false" ht="15" hidden="false" customHeight="false" outlineLevel="0" collapsed="false">
      <c r="A87" s="13" t="s">
        <v>92</v>
      </c>
      <c r="B87" s="13" t="n">
        <v>4</v>
      </c>
      <c r="C87" s="13" t="s">
        <v>140</v>
      </c>
      <c r="D87" s="13" t="n">
        <v>33.3</v>
      </c>
      <c r="E87" s="13" t="n">
        <v>14.5</v>
      </c>
      <c r="F87" s="14" t="n">
        <f aca="false">IF($C87="","",IFERROR(12+(MATCH($C87,'R1. Tree Coefficients'!$L$12:$L$53,0)-1)*4,""))</f>
        <v>140</v>
      </c>
      <c r="G87" s="14" t="str">
        <f aca="false">IF($F87="","",IF(AND($E87&lt;&gt;"",$E87&gt;0),"DBH + height","DBH only"))</f>
        <v>DBH + height</v>
      </c>
      <c r="H87" s="14" t="n">
        <f aca="false">IF(OR($D87="",$F87=""),"",IF($E87&gt;0,INDEX('R1. Tree Coefficients'!$F:$F,$F87+0)*($D87^INDEX('R1. Tree Coefficients'!$G:$G,$F87+0))*($E87^INDEX('R1. Tree Coefficients'!$H:$H,$F87+0)),INDEX('R1. Tree Coefficients'!$D:$D,$F87+0)*($D87^INDEX('R1. Tree Coefficients'!$E:$E,$F87+0))))</f>
        <v>207.013287908502</v>
      </c>
      <c r="I87" s="14" t="n">
        <f aca="false">IF(OR($D87="",$F87=""),"",IF($E87&gt;0,INDEX('R1. Tree Coefficients'!$F:$F,$F87+1)*($D87^INDEX('R1. Tree Coefficients'!$G:$G,$F87+1))*($E87^INDEX('R1. Tree Coefficients'!$H:$H,$F87+1)),INDEX('R1. Tree Coefficients'!$D:$D,$F87+1)*($D87^INDEX('R1. Tree Coefficients'!$E:$E,$F87+1))))</f>
        <v>22.4486283540532</v>
      </c>
      <c r="J87" s="14" t="n">
        <f aca="false">IF(OR($D87="",$F87=""),"",IF($E87&gt;0,INDEX('R1. Tree Coefficients'!$F:$F,$F87+2)*($D87^INDEX('R1. Tree Coefficients'!$G:$G,$F87+2))*($E87^INDEX('R1. Tree Coefficients'!$H:$H,$F87+2)),INDEX('R1. Tree Coefficients'!$D:$D,$F87+2)*($D87^INDEX('R1. Tree Coefficients'!$E:$E,$F87+2))))</f>
        <v>90.0519267258925</v>
      </c>
      <c r="K87" s="14" t="n">
        <f aca="false">IF(OR($D87="",$F87=""),"",IF($E87&gt;0,INDEX('R1. Tree Coefficients'!$F:$F,$F87+3)*($D87^INDEX('R1. Tree Coefficients'!$G:$G,$F87+3))*($E87^INDEX('R1. Tree Coefficients'!$H:$H,$F87+3)),INDEX('R1. Tree Coefficients'!$D:$D,$F87+3)*($D87^INDEX('R1. Tree Coefficients'!$E:$E,$F87+3))))</f>
        <v>20.9188522241372</v>
      </c>
      <c r="L87" s="14" t="n">
        <f aca="false">IF($F87="","",IFERROR(SUM($H87:$K87),""))</f>
        <v>340.432695212585</v>
      </c>
      <c r="M87" s="14" t="str">
        <f aca="false">IF($F87="","",INDEX('R1. Tree Coefficients'!$J:$J,$F87))</f>
        <v>Conifers</v>
      </c>
      <c r="N87" s="14" t="n">
        <f aca="false">IF($L87="","",IF($M87="Deciduous",BGB_RS_DECIDUOUS_a*($L87^BGB_RS_DECIDUOUS_b),IF($M87="Conifers",BGB_RS_CONIFER*$L87,AVERAGE(BGB_RS_DECIDUOUS_a*($L87^BGB_RS_DECIDUOUS_b),BGB_RS_CONIFER*$L87))))</f>
        <v>75.5760583371939</v>
      </c>
      <c r="O87" s="14" t="n">
        <f aca="false">IF($L87="","",$L87+$N87)</f>
        <v>416.008753549779</v>
      </c>
      <c r="P87" s="14" t="n">
        <f aca="false">IF($O87="","",$O87*CARBON_FRACTION_BIOMASS)</f>
        <v>208.00437677489</v>
      </c>
      <c r="Q87" s="14" t="str">
        <f aca="false">IF(AND($A87="",$C87=""),"",IF(AND($A87&lt;&gt;"",COUNTIF('1. Plot &amp; Site Log'!$A$5:$A$64,$A87)=0),"Plot ID not in Plot &amp; Site Log — this tree will not reach the summary. ","")&amp;IF($A87="","No Plot ID. ","")&amp;IF(AND($C87&lt;&gt;"",$F87=""),"Species not in the coefficient list — check the spelling against R1. ","")&amp;IF($D87="","No DBH — nothing can be calculated. ","")&amp;IF(AND($D87&lt;&gt;"",$D87&gt;QC_DBH_MAX_CM),"DBH above "&amp;QC_DBH_MAX_CM&amp;" cm — check for a transcription error. ","")&amp;IF($M87="All","Generic species: no published root:shoot applies, so below-ground biomass is the mean of the deciduous and conifer relationships. Choose a species, or Deciduous/Conifers, if you can. ","")&amp;IF(AND($O87&lt;&gt;"",$O87&gt;0,OR($N87/$O87&lt;BGB_FRACTION_MIN,$N87/$O87&gt;BGB_FRACTION_MAX)),"Below-ground share is "&amp;TEXT($N87/$O87,"0%")&amp;", outside the 18–30% the Trees guide describes. ",""))</f>
        <v/>
      </c>
    </row>
    <row r="88" customFormat="false" ht="15" hidden="false" customHeight="false" outlineLevel="0" collapsed="false">
      <c r="A88" s="13" t="s">
        <v>92</v>
      </c>
      <c r="B88" s="13" t="n">
        <v>5</v>
      </c>
      <c r="C88" s="13" t="s">
        <v>135</v>
      </c>
      <c r="D88" s="13" t="n">
        <v>9.2</v>
      </c>
      <c r="E88" s="13"/>
      <c r="F88" s="14" t="n">
        <f aca="false">IF($C88="","",IFERROR(12+(MATCH($C88,'R1. Tree Coefficients'!$L$12:$L$53,0)-1)*4,""))</f>
        <v>48</v>
      </c>
      <c r="G88" s="14" t="str">
        <f aca="false">IF($F88="","",IF(AND($E88&lt;&gt;"",$E88&gt;0),"DBH + height","DBH only"))</f>
        <v>DBH only</v>
      </c>
      <c r="H88" s="14" t="n">
        <f aca="false">IF(OR($D88="",$F88=""),"",IF($E88&gt;0,INDEX('R1. Tree Coefficients'!$F:$F,$F88+0)*($D88^INDEX('R1. Tree Coefficients'!$G:$G,$F88+0))*($E88^INDEX('R1. Tree Coefficients'!$H:$H,$F88+0)),INDEX('R1. Tree Coefficients'!$D:$D,$F88+0)*($D88^INDEX('R1. Tree Coefficients'!$E:$E,$F88+0))))</f>
        <v>12.7528128640372</v>
      </c>
      <c r="I88" s="14" t="n">
        <f aca="false">IF(OR($D88="",$F88=""),"",IF($E88&gt;0,INDEX('R1. Tree Coefficients'!$F:$F,$F88+1)*($D88^INDEX('R1. Tree Coefficients'!$G:$G,$F88+1))*($E88^INDEX('R1. Tree Coefficients'!$H:$H,$F88+1)),INDEX('R1. Tree Coefficients'!$D:$D,$F88+1)*($D88^INDEX('R1. Tree Coefficients'!$E:$E,$F88+1))))</f>
        <v>2.17874324799698</v>
      </c>
      <c r="J88" s="14" t="n">
        <f aca="false">IF(OR($D88="",$F88=""),"",IF($E88&gt;0,INDEX('R1. Tree Coefficients'!$F:$F,$F88+2)*($D88^INDEX('R1. Tree Coefficients'!$G:$G,$F88+2))*($E88^INDEX('R1. Tree Coefficients'!$H:$H,$F88+2)),INDEX('R1. Tree Coefficients'!$D:$D,$F88+2)*($D88^INDEX('R1. Tree Coefficients'!$E:$E,$F88+2))))</f>
        <v>2.90970599943619</v>
      </c>
      <c r="K88" s="14" t="n">
        <f aca="false">IF(OR($D88="",$F88=""),"",IF($E88&gt;0,INDEX('R1. Tree Coefficients'!$F:$F,$F88+3)*($D88^INDEX('R1. Tree Coefficients'!$G:$G,$F88+3))*($E88^INDEX('R1. Tree Coefficients'!$H:$H,$F88+3)),INDEX('R1. Tree Coefficients'!$D:$D,$F88+3)*($D88^INDEX('R1. Tree Coefficients'!$E:$E,$F88+3))))</f>
        <v>3.82959642534458</v>
      </c>
      <c r="L88" s="14" t="n">
        <f aca="false">IF($F88="","",IFERROR(SUM($H88:$K88),""))</f>
        <v>21.670858536815</v>
      </c>
      <c r="M88" s="14" t="str">
        <f aca="false">IF($F88="","",INDEX('R1. Tree Coefficients'!$J:$J,$F88))</f>
        <v>Conifers</v>
      </c>
      <c r="N88" s="14" t="n">
        <f aca="false">IF($L88="","",IF($M88="Deciduous",BGB_RS_DECIDUOUS_a*($L88^BGB_RS_DECIDUOUS_b),IF($M88="Conifers",BGB_RS_CONIFER*$L88,AVERAGE(BGB_RS_DECIDUOUS_a*($L88^BGB_RS_DECIDUOUS_b),BGB_RS_CONIFER*$L88))))</f>
        <v>4.81093059517292</v>
      </c>
      <c r="O88" s="14" t="n">
        <f aca="false">IF($L88="","",$L88+$N88)</f>
        <v>26.4817891319879</v>
      </c>
      <c r="P88" s="14" t="n">
        <f aca="false">IF($O88="","",$O88*CARBON_FRACTION_BIOMASS)</f>
        <v>13.240894565994</v>
      </c>
      <c r="Q88" s="14" t="str">
        <f aca="false">IF(AND($A88="",$C88=""),"",IF(AND($A88&lt;&gt;"",COUNTIF('1. Plot &amp; Site Log'!$A$5:$A$64,$A88)=0),"Plot ID not in Plot &amp; Site Log — this tree will not reach the summary. ","")&amp;IF($A88="","No Plot ID. ","")&amp;IF(AND($C88&lt;&gt;"",$F88=""),"Species not in the coefficient list — check the spelling against R1. ","")&amp;IF($D88="","No DBH — nothing can be calculated. ","")&amp;IF(AND($D88&lt;&gt;"",$D88&gt;QC_DBH_MAX_CM),"DBH above "&amp;QC_DBH_MAX_CM&amp;" cm — check for a transcription error. ","")&amp;IF($M88="All","Generic species: no published root:shoot applies, so below-ground biomass is the mean of the deciduous and conifer relationships. Choose a species, or Deciduous/Conifers, if you can. ","")&amp;IF(AND($O88&lt;&gt;"",$O88&gt;0,OR($N88/$O88&lt;BGB_FRACTION_MIN,$N88/$O88&gt;BGB_FRACTION_MAX)),"Below-ground share is "&amp;TEXT($N88/$O88,"0%")&amp;", outside the 18–30% the Trees guide describes. ",""))</f>
        <v/>
      </c>
    </row>
    <row r="89" customFormat="false" ht="15" hidden="false" customHeight="false" outlineLevel="0" collapsed="false">
      <c r="A89" s="13" t="s">
        <v>92</v>
      </c>
      <c r="B89" s="13" t="n">
        <v>6</v>
      </c>
      <c r="C89" s="13" t="s">
        <v>135</v>
      </c>
      <c r="D89" s="13" t="n">
        <v>11.2</v>
      </c>
      <c r="E89" s="13"/>
      <c r="F89" s="14" t="n">
        <f aca="false">IF($C89="","",IFERROR(12+(MATCH($C89,'R1. Tree Coefficients'!$L$12:$L$53,0)-1)*4,""))</f>
        <v>48</v>
      </c>
      <c r="G89" s="14" t="str">
        <f aca="false">IF($F89="","",IF(AND($E89&lt;&gt;"",$E89&gt;0),"DBH + height","DBH only"))</f>
        <v>DBH only</v>
      </c>
      <c r="H89" s="14" t="n">
        <f aca="false">IF(OR($D89="",$F89=""),"",IF($E89&gt;0,INDEX('R1. Tree Coefficients'!$F:$F,$F89+0)*($D89^INDEX('R1. Tree Coefficients'!$G:$G,$F89+0))*($E89^INDEX('R1. Tree Coefficients'!$H:$H,$F89+0)),INDEX('R1. Tree Coefficients'!$D:$D,$F89+0)*($D89^INDEX('R1. Tree Coefficients'!$E:$E,$F89+0))))</f>
        <v>20.8638787735409</v>
      </c>
      <c r="I89" s="14" t="n">
        <f aca="false">IF(OR($D89="",$F89=""),"",IF($E89&gt;0,INDEX('R1. Tree Coefficients'!$F:$F,$F89+1)*($D89^INDEX('R1. Tree Coefficients'!$G:$G,$F89+1))*($E89^INDEX('R1. Tree Coefficients'!$H:$H,$F89+1)),INDEX('R1. Tree Coefficients'!$D:$D,$F89+1)*($D89^INDEX('R1. Tree Coefficients'!$E:$E,$F89+1))))</f>
        <v>3.39135095802264</v>
      </c>
      <c r="J89" s="14" t="n">
        <f aca="false">IF(OR($D89="",$F89=""),"",IF($E89&gt;0,INDEX('R1. Tree Coefficients'!$F:$F,$F89+2)*($D89^INDEX('R1. Tree Coefficients'!$G:$G,$F89+2))*($E89^INDEX('R1. Tree Coefficients'!$H:$H,$F89+2)),INDEX('R1. Tree Coefficients'!$D:$D,$F89+2)*($D89^INDEX('R1. Tree Coefficients'!$E:$E,$F89+2))))</f>
        <v>4.37648362473206</v>
      </c>
      <c r="K89" s="14" t="n">
        <f aca="false">IF(OR($D89="",$F89=""),"",IF($E89&gt;0,INDEX('R1. Tree Coefficients'!$F:$F,$F89+3)*($D89^INDEX('R1. Tree Coefficients'!$G:$G,$F89+3))*($E89^INDEX('R1. Tree Coefficients'!$H:$H,$F89+3)),INDEX('R1. Tree Coefficients'!$D:$D,$F89+3)*($D89^INDEX('R1. Tree Coefficients'!$E:$E,$F89+3))))</f>
        <v>5.06584424602117</v>
      </c>
      <c r="L89" s="14" t="n">
        <f aca="false">IF($F89="","",IFERROR(SUM($H89:$K89),""))</f>
        <v>33.6975576023168</v>
      </c>
      <c r="M89" s="14" t="str">
        <f aca="false">IF($F89="","",INDEX('R1. Tree Coefficients'!$J:$J,$F89))</f>
        <v>Conifers</v>
      </c>
      <c r="N89" s="14" t="n">
        <f aca="false">IF($L89="","",IF($M89="Deciduous",BGB_RS_DECIDUOUS_a*($L89^BGB_RS_DECIDUOUS_b),IF($M89="Conifers",BGB_RS_CONIFER*$L89,AVERAGE(BGB_RS_DECIDUOUS_a*($L89^BGB_RS_DECIDUOUS_b),BGB_RS_CONIFER*$L89))))</f>
        <v>7.48085778771433</v>
      </c>
      <c r="O89" s="14" t="n">
        <f aca="false">IF($L89="","",$L89+$N89)</f>
        <v>41.1784153900311</v>
      </c>
      <c r="P89" s="14" t="n">
        <f aca="false">IF($O89="","",$O89*CARBON_FRACTION_BIOMASS)</f>
        <v>20.5892076950156</v>
      </c>
      <c r="Q89" s="14" t="str">
        <f aca="false">IF(AND($A89="",$C89=""),"",IF(AND($A89&lt;&gt;"",COUNTIF('1. Plot &amp; Site Log'!$A$5:$A$64,$A89)=0),"Plot ID not in Plot &amp; Site Log — this tree will not reach the summary. ","")&amp;IF($A89="","No Plot ID. ","")&amp;IF(AND($C89&lt;&gt;"",$F89=""),"Species not in the coefficient list — check the spelling against R1. ","")&amp;IF($D89="","No DBH — nothing can be calculated. ","")&amp;IF(AND($D89&lt;&gt;"",$D89&gt;QC_DBH_MAX_CM),"DBH above "&amp;QC_DBH_MAX_CM&amp;" cm — check for a transcription error. ","")&amp;IF($M89="All","Generic species: no published root:shoot applies, so below-ground biomass is the mean of the deciduous and conifer relationships. Choose a species, or Deciduous/Conifers, if you can. ","")&amp;IF(AND($O89&lt;&gt;"",$O89&gt;0,OR($N89/$O89&lt;BGB_FRACTION_MIN,$N89/$O89&gt;BGB_FRACTION_MAX)),"Below-ground share is "&amp;TEXT($N89/$O89,"0%")&amp;", outside the 18–30% the Trees guide describes. ",""))</f>
        <v/>
      </c>
    </row>
    <row r="90" customFormat="false" ht="15" hidden="false" customHeight="false" outlineLevel="0" collapsed="false">
      <c r="A90" s="13" t="s">
        <v>92</v>
      </c>
      <c r="B90" s="13" t="n">
        <v>7</v>
      </c>
      <c r="C90" s="13" t="s">
        <v>135</v>
      </c>
      <c r="D90" s="13" t="n">
        <v>10.3</v>
      </c>
      <c r="E90" s="13" t="n">
        <v>10.1</v>
      </c>
      <c r="F90" s="14" t="n">
        <f aca="false">IF($C90="","",IFERROR(12+(MATCH($C90,'R1. Tree Coefficients'!$L$12:$L$53,0)-1)*4,""))</f>
        <v>48</v>
      </c>
      <c r="G90" s="14" t="str">
        <f aca="false">IF($F90="","",IF(AND($E90&lt;&gt;"",$E90&gt;0),"DBH + height","DBH only"))</f>
        <v>DBH + height</v>
      </c>
      <c r="H90" s="14" t="n">
        <f aca="false">IF(OR($D90="",$F90=""),"",IF($E90&gt;0,INDEX('R1. Tree Coefficients'!$F:$F,$F90+0)*($D90^INDEX('R1. Tree Coefficients'!$G:$G,$F90+0))*($E90^INDEX('R1. Tree Coefficients'!$H:$H,$F90+0)),INDEX('R1. Tree Coefficients'!$D:$D,$F90+0)*($D90^INDEX('R1. Tree Coefficients'!$E:$E,$F90+0))))</f>
        <v>18.793926678489</v>
      </c>
      <c r="I90" s="14" t="n">
        <f aca="false">IF(OR($D90="",$F90=""),"",IF($E90&gt;0,INDEX('R1. Tree Coefficients'!$F:$F,$F90+1)*($D90^INDEX('R1. Tree Coefficients'!$G:$G,$F90+1))*($E90^INDEX('R1. Tree Coefficients'!$H:$H,$F90+1)),INDEX('R1. Tree Coefficients'!$D:$D,$F90+1)*($D90^INDEX('R1. Tree Coefficients'!$E:$E,$F90+1))))</f>
        <v>3.08273513480242</v>
      </c>
      <c r="J90" s="14" t="n">
        <f aca="false">IF(OR($D90="",$F90=""),"",IF($E90&gt;0,INDEX('R1. Tree Coefficients'!$F:$F,$F90+2)*($D90^INDEX('R1. Tree Coefficients'!$G:$G,$F90+2))*($E90^INDEX('R1. Tree Coefficients'!$H:$H,$F90+2)),INDEX('R1. Tree Coefficients'!$D:$D,$F90+2)*($D90^INDEX('R1. Tree Coefficients'!$E:$E,$F90+2))))</f>
        <v>2.92966894029604</v>
      </c>
      <c r="K90" s="14" t="n">
        <f aca="false">IF(OR($D90="",$F90=""),"",IF($E90&gt;0,INDEX('R1. Tree Coefficients'!$F:$F,$F90+3)*($D90^INDEX('R1. Tree Coefficients'!$G:$G,$F90+3))*($E90^INDEX('R1. Tree Coefficients'!$H:$H,$F90+3)),INDEX('R1. Tree Coefficients'!$D:$D,$F90+3)*($D90^INDEX('R1. Tree Coefficients'!$E:$E,$F90+3))))</f>
        <v>3.55622102578981</v>
      </c>
      <c r="L90" s="14" t="n">
        <f aca="false">IF($F90="","",IFERROR(SUM($H90:$K90),""))</f>
        <v>28.3625517793773</v>
      </c>
      <c r="M90" s="14" t="str">
        <f aca="false">IF($F90="","",INDEX('R1. Tree Coefficients'!$J:$J,$F90))</f>
        <v>Conifers</v>
      </c>
      <c r="N90" s="14" t="n">
        <f aca="false">IF($L90="","",IF($M90="Deciduous",BGB_RS_DECIDUOUS_a*($L90^BGB_RS_DECIDUOUS_b),IF($M90="Conifers",BGB_RS_CONIFER*$L90,AVERAGE(BGB_RS_DECIDUOUS_a*($L90^BGB_RS_DECIDUOUS_b),BGB_RS_CONIFER*$L90))))</f>
        <v>6.29648649502175</v>
      </c>
      <c r="O90" s="14" t="n">
        <f aca="false">IF($L90="","",$L90+$N90)</f>
        <v>34.659038274399</v>
      </c>
      <c r="P90" s="14" t="n">
        <f aca="false">IF($O90="","",$O90*CARBON_FRACTION_BIOMASS)</f>
        <v>17.3295191371995</v>
      </c>
      <c r="Q90" s="14" t="str">
        <f aca="false">IF(AND($A90="",$C90=""),"",IF(AND($A90&lt;&gt;"",COUNTIF('1. Plot &amp; Site Log'!$A$5:$A$64,$A90)=0),"Plot ID not in Plot &amp; Site Log — this tree will not reach the summary. ","")&amp;IF($A90="","No Plot ID. ","")&amp;IF(AND($C90&lt;&gt;"",$F90=""),"Species not in the coefficient list — check the spelling against R1. ","")&amp;IF($D90="","No DBH — nothing can be calculated. ","")&amp;IF(AND($D90&lt;&gt;"",$D90&gt;QC_DBH_MAX_CM),"DBH above "&amp;QC_DBH_MAX_CM&amp;" cm — check for a transcription error. ","")&amp;IF($M90="All","Generic species: no published root:shoot applies, so below-ground biomass is the mean of the deciduous and conifer relationships. Choose a species, or Deciduous/Conifers, if you can. ","")&amp;IF(AND($O90&lt;&gt;"",$O90&gt;0,OR($N90/$O90&lt;BGB_FRACTION_MIN,$N90/$O90&gt;BGB_FRACTION_MAX)),"Below-ground share is "&amp;TEXT($N90/$O90,"0%")&amp;", outside the 18–30% the Trees guide describes. ",""))</f>
        <v/>
      </c>
    </row>
    <row r="91" customFormat="false" ht="15" hidden="false" customHeight="false" outlineLevel="0" collapsed="false">
      <c r="A91" s="13" t="s">
        <v>92</v>
      </c>
      <c r="B91" s="13" t="n">
        <v>8</v>
      </c>
      <c r="C91" s="13" t="s">
        <v>140</v>
      </c>
      <c r="D91" s="13" t="n">
        <v>9.2</v>
      </c>
      <c r="E91" s="13"/>
      <c r="F91" s="14" t="n">
        <f aca="false">IF($C91="","",IFERROR(12+(MATCH($C91,'R1. Tree Coefficients'!$L$12:$L$53,0)-1)*4,""))</f>
        <v>140</v>
      </c>
      <c r="G91" s="14" t="str">
        <f aca="false">IF($F91="","",IF(AND($E91&lt;&gt;"",$E91&gt;0),"DBH + height","DBH only"))</f>
        <v>DBH only</v>
      </c>
      <c r="H91" s="14" t="n">
        <f aca="false">IF(OR($D91="",$F91=""),"",IF($E91&gt;0,INDEX('R1. Tree Coefficients'!$F:$F,$F91+0)*($D91^INDEX('R1. Tree Coefficients'!$G:$G,$F91+0))*($E91^INDEX('R1. Tree Coefficients'!$H:$H,$F91+0)),INDEX('R1. Tree Coefficients'!$D:$D,$F91+0)*($D91^INDEX('R1. Tree Coefficients'!$E:$E,$F91+0))))</f>
        <v>14.2807404096821</v>
      </c>
      <c r="I91" s="14" t="n">
        <f aca="false">IF(OR($D91="",$F91=""),"",IF($E91&gt;0,INDEX('R1. Tree Coefficients'!$F:$F,$F91+1)*($D91^INDEX('R1. Tree Coefficients'!$G:$G,$F91+1))*($E91^INDEX('R1. Tree Coefficients'!$H:$H,$F91+1)),INDEX('R1. Tree Coefficients'!$D:$D,$F91+1)*($D91^INDEX('R1. Tree Coefficients'!$E:$E,$F91+1))))</f>
        <v>1.88368800826081</v>
      </c>
      <c r="J91" s="14" t="n">
        <f aca="false">IF(OR($D91="",$F91=""),"",IF($E91&gt;0,INDEX('R1. Tree Coefficients'!$F:$F,$F91+2)*($D91^INDEX('R1. Tree Coefficients'!$G:$G,$F91+2))*($E91^INDEX('R1. Tree Coefficients'!$H:$H,$F91+2)),INDEX('R1. Tree Coefficients'!$D:$D,$F91+2)*($D91^INDEX('R1. Tree Coefficients'!$E:$E,$F91+2))))</f>
        <v>2.98832795716729</v>
      </c>
      <c r="K91" s="14" t="n">
        <f aca="false">IF(OR($D91="",$F91=""),"",IF($E91&gt;0,INDEX('R1. Tree Coefficients'!$F:$F,$F91+3)*($D91^INDEX('R1. Tree Coefficients'!$G:$G,$F91+3))*($E91^INDEX('R1. Tree Coefficients'!$H:$H,$F91+3)),INDEX('R1. Tree Coefficients'!$D:$D,$F91+3)*($D91^INDEX('R1. Tree Coefficients'!$E:$E,$F91+3))))</f>
        <v>2.17403689075587</v>
      </c>
      <c r="L91" s="14" t="n">
        <f aca="false">IF($F91="","",IFERROR(SUM($H91:$K91),""))</f>
        <v>21.3267932658661</v>
      </c>
      <c r="M91" s="14" t="str">
        <f aca="false">IF($F91="","",INDEX('R1. Tree Coefficients'!$J:$J,$F91))</f>
        <v>Conifers</v>
      </c>
      <c r="N91" s="14" t="n">
        <f aca="false">IF($L91="","",IF($M91="Deciduous",BGB_RS_DECIDUOUS_a*($L91^BGB_RS_DECIDUOUS_b),IF($M91="Conifers",BGB_RS_CONIFER*$L91,AVERAGE(BGB_RS_DECIDUOUS_a*($L91^BGB_RS_DECIDUOUS_b),BGB_RS_CONIFER*$L91))))</f>
        <v>4.73454810502227</v>
      </c>
      <c r="O91" s="14" t="n">
        <f aca="false">IF($L91="","",$L91+$N91)</f>
        <v>26.0613413708883</v>
      </c>
      <c r="P91" s="14" t="n">
        <f aca="false">IF($O91="","",$O91*CARBON_FRACTION_BIOMASS)</f>
        <v>13.0306706854442</v>
      </c>
      <c r="Q91" s="14" t="str">
        <f aca="false">IF(AND($A91="",$C91=""),"",IF(AND($A91&lt;&gt;"",COUNTIF('1. Plot &amp; Site Log'!$A$5:$A$64,$A91)=0),"Plot ID not in Plot &amp; Site Log — this tree will not reach the summary. ","")&amp;IF($A91="","No Plot ID. ","")&amp;IF(AND($C91&lt;&gt;"",$F91=""),"Species not in the coefficient list — check the spelling against R1. ","")&amp;IF($D91="","No DBH — nothing can be calculated. ","")&amp;IF(AND($D91&lt;&gt;"",$D91&gt;QC_DBH_MAX_CM),"DBH above "&amp;QC_DBH_MAX_CM&amp;" cm — check for a transcription error. ","")&amp;IF($M91="All","Generic species: no published root:shoot applies, so below-ground biomass is the mean of the deciduous and conifer relationships. Choose a species, or Deciduous/Conifers, if you can. ","")&amp;IF(AND($O91&lt;&gt;"",$O91&gt;0,OR($N91/$O91&lt;BGB_FRACTION_MIN,$N91/$O91&gt;BGB_FRACTION_MAX)),"Below-ground share is "&amp;TEXT($N91/$O91,"0%")&amp;", outside the 18–30% the Trees guide describes. ",""))</f>
        <v/>
      </c>
    </row>
    <row r="92" customFormat="false" ht="15" hidden="false" customHeight="false" outlineLevel="0" collapsed="false">
      <c r="A92" s="13" t="s">
        <v>92</v>
      </c>
      <c r="B92" s="13" t="n">
        <v>9</v>
      </c>
      <c r="C92" s="13" t="s">
        <v>136</v>
      </c>
      <c r="D92" s="13" t="n">
        <v>14.5</v>
      </c>
      <c r="E92" s="13"/>
      <c r="F92" s="14" t="n">
        <f aca="false">IF($C92="","",IFERROR(12+(MATCH($C92,'R1. Tree Coefficients'!$L$12:$L$53,0)-1)*4,""))</f>
        <v>24</v>
      </c>
      <c r="G92" s="14" t="str">
        <f aca="false">IF($F92="","",IF(AND($E92&lt;&gt;"",$E92&gt;0),"DBH + height","DBH only"))</f>
        <v>DBH only</v>
      </c>
      <c r="H92" s="14" t="n">
        <f aca="false">IF(OR($D92="",$F92=""),"",IF($E92&gt;0,INDEX('R1. Tree Coefficients'!$F:$F,$F92+0)*($D92^INDEX('R1. Tree Coefficients'!$G:$G,$F92+0))*($E92^INDEX('R1. Tree Coefficients'!$H:$H,$F92+0)),INDEX('R1. Tree Coefficients'!$D:$D,$F92+0)*($D92^INDEX('R1. Tree Coefficients'!$E:$E,$F92+0))))</f>
        <v>32.9843983221816</v>
      </c>
      <c r="I92" s="14" t="n">
        <f aca="false">IF(OR($D92="",$F92=""),"",IF($E92&gt;0,INDEX('R1. Tree Coefficients'!$F:$F,$F92+1)*($D92^INDEX('R1. Tree Coefficients'!$G:$G,$F92+1))*($E92^INDEX('R1. Tree Coefficients'!$H:$H,$F92+1)),INDEX('R1. Tree Coefficients'!$D:$D,$F92+1)*($D92^INDEX('R1. Tree Coefficients'!$E:$E,$F92+1))))</f>
        <v>6.13838970480084</v>
      </c>
      <c r="J92" s="14" t="n">
        <f aca="false">IF(OR($D92="",$F92=""),"",IF($E92&gt;0,INDEX('R1. Tree Coefficients'!$F:$F,$F92+2)*($D92^INDEX('R1. Tree Coefficients'!$G:$G,$F92+2))*($E92^INDEX('R1. Tree Coefficients'!$H:$H,$F92+2)),INDEX('R1. Tree Coefficients'!$D:$D,$F92+2)*($D92^INDEX('R1. Tree Coefficients'!$E:$E,$F92+2))))</f>
        <v>6.24697239016252</v>
      </c>
      <c r="K92" s="14" t="n">
        <f aca="false">IF(OR($D92="",$F92=""),"",IF($E92&gt;0,INDEX('R1. Tree Coefficients'!$F:$F,$F92+3)*($D92^INDEX('R1. Tree Coefficients'!$G:$G,$F92+3))*($E92^INDEX('R1. Tree Coefficients'!$H:$H,$F92+3)),INDEX('R1. Tree Coefficients'!$D:$D,$F92+3)*($D92^INDEX('R1. Tree Coefficients'!$E:$E,$F92+3))))</f>
        <v>7.29765227365108</v>
      </c>
      <c r="L92" s="14" t="n">
        <f aca="false">IF($F92="","",IFERROR(SUM($H92:$K92),""))</f>
        <v>52.6674126907961</v>
      </c>
      <c r="M92" s="14" t="str">
        <f aca="false">IF($F92="","",INDEX('R1. Tree Coefficients'!$J:$J,$F92))</f>
        <v>Conifers</v>
      </c>
      <c r="N92" s="14" t="n">
        <f aca="false">IF($L92="","",IF($M92="Deciduous",BGB_RS_DECIDUOUS_a*($L92^BGB_RS_DECIDUOUS_b),IF($M92="Conifers",BGB_RS_CONIFER*$L92,AVERAGE(BGB_RS_DECIDUOUS_a*($L92^BGB_RS_DECIDUOUS_b),BGB_RS_CONIFER*$L92))))</f>
        <v>11.6921656173567</v>
      </c>
      <c r="O92" s="14" t="n">
        <f aca="false">IF($L92="","",$L92+$N92)</f>
        <v>64.3595783081528</v>
      </c>
      <c r="P92" s="14" t="n">
        <f aca="false">IF($O92="","",$O92*CARBON_FRACTION_BIOMASS)</f>
        <v>32.1797891540764</v>
      </c>
      <c r="Q92" s="14" t="str">
        <f aca="false">IF(AND($A92="",$C92=""),"",IF(AND($A92&lt;&gt;"",COUNTIF('1. Plot &amp; Site Log'!$A$5:$A$64,$A92)=0),"Plot ID not in Plot &amp; Site Log — this tree will not reach the summary. ","")&amp;IF($A92="","No Plot ID. ","")&amp;IF(AND($C92&lt;&gt;"",$F92=""),"Species not in the coefficient list — check the spelling against R1. ","")&amp;IF($D92="","No DBH — nothing can be calculated. ","")&amp;IF(AND($D92&lt;&gt;"",$D92&gt;QC_DBH_MAX_CM),"DBH above "&amp;QC_DBH_MAX_CM&amp;" cm — check for a transcription error. ","")&amp;IF($M92="All","Generic species: no published root:shoot applies, so below-ground biomass is the mean of the deciduous and conifer relationships. Choose a species, or Deciduous/Conifers, if you can. ","")&amp;IF(AND($O92&lt;&gt;"",$O92&gt;0,OR($N92/$O92&lt;BGB_FRACTION_MIN,$N92/$O92&gt;BGB_FRACTION_MAX)),"Below-ground share is "&amp;TEXT($N92/$O92,"0%")&amp;", outside the 18–30% the Trees guide describes. ",""))</f>
        <v/>
      </c>
    </row>
    <row r="93" customFormat="false" ht="15" hidden="false" customHeight="false" outlineLevel="0" collapsed="false">
      <c r="A93" s="13" t="s">
        <v>92</v>
      </c>
      <c r="B93" s="13" t="n">
        <v>10</v>
      </c>
      <c r="C93" s="13" t="s">
        <v>135</v>
      </c>
      <c r="D93" s="13" t="n">
        <v>14.9</v>
      </c>
      <c r="E93" s="13" t="n">
        <v>11.7</v>
      </c>
      <c r="F93" s="14" t="n">
        <f aca="false">IF($C93="","",IFERROR(12+(MATCH($C93,'R1. Tree Coefficients'!$L$12:$L$53,0)-1)*4,""))</f>
        <v>48</v>
      </c>
      <c r="G93" s="14" t="str">
        <f aca="false">IF($F93="","",IF(AND($E93&lt;&gt;"",$E93&gt;0),"DBH + height","DBH only"))</f>
        <v>DBH + height</v>
      </c>
      <c r="H93" s="14" t="n">
        <f aca="false">IF(OR($D93="",$F93=""),"",IF($E93&gt;0,INDEX('R1. Tree Coefficients'!$F:$F,$F93+0)*($D93^INDEX('R1. Tree Coefficients'!$G:$G,$F93+0))*($E93^INDEX('R1. Tree Coefficients'!$H:$H,$F93+0)),INDEX('R1. Tree Coefficients'!$D:$D,$F93+0)*($D93^INDEX('R1. Tree Coefficients'!$E:$E,$F93+0))))</f>
        <v>41.2723506080247</v>
      </c>
      <c r="I93" s="14" t="n">
        <f aca="false">IF(OR($D93="",$F93=""),"",IF($E93&gt;0,INDEX('R1. Tree Coefficients'!$F:$F,$F93+1)*($D93^INDEX('R1. Tree Coefficients'!$G:$G,$F93+1))*($E93^INDEX('R1. Tree Coefficients'!$H:$H,$F93+1)),INDEX('R1. Tree Coefficients'!$D:$D,$F93+1)*($D93^INDEX('R1. Tree Coefficients'!$E:$E,$F93+1))))</f>
        <v>6.44089561088512</v>
      </c>
      <c r="J93" s="14" t="n">
        <f aca="false">IF(OR($D93="",$F93=""),"",IF($E93&gt;0,INDEX('R1. Tree Coefficients'!$F:$F,$F93+2)*($D93^INDEX('R1. Tree Coefficients'!$G:$G,$F93+2))*($E93^INDEX('R1. Tree Coefficients'!$H:$H,$F93+2)),INDEX('R1. Tree Coefficients'!$D:$D,$F93+2)*($D93^INDEX('R1. Tree Coefficients'!$E:$E,$F93+2))))</f>
        <v>7.78531678540544</v>
      </c>
      <c r="K93" s="14" t="n">
        <f aca="false">IF(OR($D93="",$F93=""),"",IF($E93&gt;0,INDEX('R1. Tree Coefficients'!$F:$F,$F93+3)*($D93^INDEX('R1. Tree Coefficients'!$G:$G,$F93+3))*($E93^INDEX('R1. Tree Coefficients'!$H:$H,$F93+3)),INDEX('R1. Tree Coefficients'!$D:$D,$F93+3)*($D93^INDEX('R1. Tree Coefficients'!$E:$E,$F93+3))))</f>
        <v>7.48573596153638</v>
      </c>
      <c r="L93" s="14" t="n">
        <f aca="false">IF($F93="","",IFERROR(SUM($H93:$K93),""))</f>
        <v>62.9842989658516</v>
      </c>
      <c r="M93" s="14" t="str">
        <f aca="false">IF($F93="","",INDEX('R1. Tree Coefficients'!$J:$J,$F93))</f>
        <v>Conifers</v>
      </c>
      <c r="N93" s="14" t="n">
        <f aca="false">IF($L93="","",IF($M93="Deciduous",BGB_RS_DECIDUOUS_a*($L93^BGB_RS_DECIDUOUS_b),IF($M93="Conifers",BGB_RS_CONIFER*$L93,AVERAGE(BGB_RS_DECIDUOUS_a*($L93^BGB_RS_DECIDUOUS_b),BGB_RS_CONIFER*$L93))))</f>
        <v>13.9825143704191</v>
      </c>
      <c r="O93" s="14" t="n">
        <f aca="false">IF($L93="","",$L93+$N93)</f>
        <v>76.9668133362707</v>
      </c>
      <c r="P93" s="14" t="n">
        <f aca="false">IF($O93="","",$O93*CARBON_FRACTION_BIOMASS)</f>
        <v>38.4834066681353</v>
      </c>
      <c r="Q93" s="14" t="str">
        <f aca="false">IF(AND($A93="",$C93=""),"",IF(AND($A93&lt;&gt;"",COUNTIF('1. Plot &amp; Site Log'!$A$5:$A$64,$A93)=0),"Plot ID not in Plot &amp; Site Log — this tree will not reach the summary. ","")&amp;IF($A93="","No Plot ID. ","")&amp;IF(AND($C93&lt;&gt;"",$F93=""),"Species not in the coefficient list — check the spelling against R1. ","")&amp;IF($D93="","No DBH — nothing can be calculated. ","")&amp;IF(AND($D93&lt;&gt;"",$D93&gt;QC_DBH_MAX_CM),"DBH above "&amp;QC_DBH_MAX_CM&amp;" cm — check for a transcription error. ","")&amp;IF($M93="All","Generic species: no published root:shoot applies, so below-ground biomass is the mean of the deciduous and conifer relationships. Choose a species, or Deciduous/Conifers, if you can. ","")&amp;IF(AND($O93&lt;&gt;"",$O93&gt;0,OR($N93/$O93&lt;BGB_FRACTION_MIN,$N93/$O93&gt;BGB_FRACTION_MAX)),"Below-ground share is "&amp;TEXT($N93/$O93,"0%")&amp;", outside the 18–30% the Trees guide describes. ",""))</f>
        <v/>
      </c>
    </row>
    <row r="94" customFormat="false" ht="15" hidden="false" customHeight="false" outlineLevel="0" collapsed="false">
      <c r="A94" s="13" t="s">
        <v>92</v>
      </c>
      <c r="B94" s="13" t="n">
        <v>11</v>
      </c>
      <c r="C94" s="13" t="s">
        <v>135</v>
      </c>
      <c r="D94" s="13" t="n">
        <v>5.7</v>
      </c>
      <c r="E94" s="13"/>
      <c r="F94" s="14" t="n">
        <f aca="false">IF($C94="","",IFERROR(12+(MATCH($C94,'R1. Tree Coefficients'!$L$12:$L$53,0)-1)*4,""))</f>
        <v>48</v>
      </c>
      <c r="G94" s="14" t="str">
        <f aca="false">IF($F94="","",IF(AND($E94&lt;&gt;"",$E94&gt;0),"DBH + height","DBH only"))</f>
        <v>DBH only</v>
      </c>
      <c r="H94" s="14" t="n">
        <f aca="false">IF(OR($D94="",$F94=""),"",IF($E94&gt;0,INDEX('R1. Tree Coefficients'!$F:$F,$F94+0)*($D94^INDEX('R1. Tree Coefficients'!$G:$G,$F94+0))*($E94^INDEX('R1. Tree Coefficients'!$H:$H,$F94+0)),INDEX('R1. Tree Coefficients'!$D:$D,$F94+0)*($D94^INDEX('R1. Tree Coefficients'!$E:$E,$F94+0))))</f>
        <v>3.84860885927873</v>
      </c>
      <c r="I94" s="14" t="n">
        <f aca="false">IF(OR($D94="",$F94=""),"",IF($E94&gt;0,INDEX('R1. Tree Coefficients'!$F:$F,$F94+1)*($D94^INDEX('R1. Tree Coefficients'!$G:$G,$F94+1))*($E94^INDEX('R1. Tree Coefficients'!$H:$H,$F94+1)),INDEX('R1. Tree Coefficients'!$D:$D,$F94+1)*($D94^INDEX('R1. Tree Coefficients'!$E:$E,$F94+1))))</f>
        <v>0.742209682678039</v>
      </c>
      <c r="J94" s="14" t="n">
        <f aca="false">IF(OR($D94="",$F94=""),"",IF($E94&gt;0,INDEX('R1. Tree Coefficients'!$F:$F,$F94+2)*($D94^INDEX('R1. Tree Coefficients'!$G:$G,$F94+2))*($E94^INDEX('R1. Tree Coefficients'!$H:$H,$F94+2)),INDEX('R1. Tree Coefficients'!$D:$D,$F94+2)*($D94^INDEX('R1. Tree Coefficients'!$E:$E,$F94+2))))</f>
        <v>1.07747921696137</v>
      </c>
      <c r="K94" s="14" t="n">
        <f aca="false">IF(OR($D94="",$F94=""),"",IF($E94&gt;0,INDEX('R1. Tree Coefficients'!$F:$F,$F94+3)*($D94^INDEX('R1. Tree Coefficients'!$G:$G,$F94+3))*($E94^INDEX('R1. Tree Coefficients'!$H:$H,$F94+3)),INDEX('R1. Tree Coefficients'!$D:$D,$F94+3)*($D94^INDEX('R1. Tree Coefficients'!$E:$E,$F94+3))))</f>
        <v>1.93847043107181</v>
      </c>
      <c r="L94" s="14" t="n">
        <f aca="false">IF($F94="","",IFERROR(SUM($H94:$K94),""))</f>
        <v>7.60676818998994</v>
      </c>
      <c r="M94" s="14" t="str">
        <f aca="false">IF($F94="","",INDEX('R1. Tree Coefficients'!$J:$J,$F94))</f>
        <v>Conifers</v>
      </c>
      <c r="N94" s="14" t="n">
        <f aca="false">IF($L94="","",IF($M94="Deciduous",BGB_RS_DECIDUOUS_a*($L94^BGB_RS_DECIDUOUS_b),IF($M94="Conifers",BGB_RS_CONIFER*$L94,AVERAGE(BGB_RS_DECIDUOUS_a*($L94^BGB_RS_DECIDUOUS_b),BGB_RS_CONIFER*$L94))))</f>
        <v>1.68870253817777</v>
      </c>
      <c r="O94" s="14" t="n">
        <f aca="false">IF($L94="","",$L94+$N94)</f>
        <v>9.29547072816771</v>
      </c>
      <c r="P94" s="14" t="n">
        <f aca="false">IF($O94="","",$O94*CARBON_FRACTION_BIOMASS)</f>
        <v>4.64773536408386</v>
      </c>
      <c r="Q94" s="14" t="str">
        <f aca="false">IF(AND($A94="",$C94=""),"",IF(AND($A94&lt;&gt;"",COUNTIF('1. Plot &amp; Site Log'!$A$5:$A$64,$A94)=0),"Plot ID not in Plot &amp; Site Log — this tree will not reach the summary. ","")&amp;IF($A94="","No Plot ID. ","")&amp;IF(AND($C94&lt;&gt;"",$F94=""),"Species not in the coefficient list — check the spelling against R1. ","")&amp;IF($D94="","No DBH — nothing can be calculated. ","")&amp;IF(AND($D94&lt;&gt;"",$D94&gt;QC_DBH_MAX_CM),"DBH above "&amp;QC_DBH_MAX_CM&amp;" cm — check for a transcription error. ","")&amp;IF($M94="All","Generic species: no published root:shoot applies, so below-ground biomass is the mean of the deciduous and conifer relationships. Choose a species, or Deciduous/Conifers, if you can. ","")&amp;IF(AND($O94&lt;&gt;"",$O94&gt;0,OR($N94/$O94&lt;BGB_FRACTION_MIN,$N94/$O94&gt;BGB_FRACTION_MAX)),"Below-ground share is "&amp;TEXT($N94/$O94,"0%")&amp;", outside the 18–30% the Trees guide describes. ",""))</f>
        <v/>
      </c>
    </row>
    <row r="95" customFormat="false" ht="15" hidden="false" customHeight="false" outlineLevel="0" collapsed="false">
      <c r="A95" s="13" t="s">
        <v>92</v>
      </c>
      <c r="B95" s="13" t="n">
        <v>12</v>
      </c>
      <c r="C95" s="13" t="s">
        <v>140</v>
      </c>
      <c r="D95" s="13" t="n">
        <v>18</v>
      </c>
      <c r="E95" s="13"/>
      <c r="F95" s="14" t="n">
        <f aca="false">IF($C95="","",IFERROR(12+(MATCH($C95,'R1. Tree Coefficients'!$L$12:$L$53,0)-1)*4,""))</f>
        <v>140</v>
      </c>
      <c r="G95" s="14" t="str">
        <f aca="false">IF($F95="","",IF(AND($E95&lt;&gt;"",$E95&gt;0),"DBH + height","DBH only"))</f>
        <v>DBH only</v>
      </c>
      <c r="H95" s="14" t="n">
        <f aca="false">IF(OR($D95="",$F95=""),"",IF($E95&gt;0,INDEX('R1. Tree Coefficients'!$F:$F,$F95+0)*($D95^INDEX('R1. Tree Coefficients'!$G:$G,$F95+0))*($E95^INDEX('R1. Tree Coefficients'!$H:$H,$F95+0)),INDEX('R1. Tree Coefficients'!$D:$D,$F95+0)*($D95^INDEX('R1. Tree Coefficients'!$E:$E,$F95+0))))</f>
        <v>73.8175239422399</v>
      </c>
      <c r="I95" s="14" t="n">
        <f aca="false">IF(OR($D95="",$F95=""),"",IF($E95&gt;0,INDEX('R1. Tree Coefficients'!$F:$F,$F95+1)*($D95^INDEX('R1. Tree Coefficients'!$G:$G,$F95+1))*($E95^INDEX('R1. Tree Coefficients'!$H:$H,$F95+1)),INDEX('R1. Tree Coefficients'!$D:$D,$F95+1)*($D95^INDEX('R1. Tree Coefficients'!$E:$E,$F95+1))))</f>
        <v>7.76790631842537</v>
      </c>
      <c r="J95" s="14" t="n">
        <f aca="false">IF(OR($D95="",$F95=""),"",IF($E95&gt;0,INDEX('R1. Tree Coefficients'!$F:$F,$F95+2)*($D95^INDEX('R1. Tree Coefficients'!$G:$G,$F95+2))*($E95^INDEX('R1. Tree Coefficients'!$H:$H,$F95+2)),INDEX('R1. Tree Coefficients'!$D:$D,$F95+2)*($D95^INDEX('R1. Tree Coefficients'!$E:$E,$F95+2))))</f>
        <v>13.6678231233881</v>
      </c>
      <c r="K95" s="14" t="n">
        <f aca="false">IF(OR($D95="",$F95=""),"",IF($E95&gt;0,INDEX('R1. Tree Coefficients'!$F:$F,$F95+3)*($D95^INDEX('R1. Tree Coefficients'!$G:$G,$F95+3))*($E95^INDEX('R1. Tree Coefficients'!$H:$H,$F95+3)),INDEX('R1. Tree Coefficients'!$D:$D,$F95+3)*($D95^INDEX('R1. Tree Coefficients'!$E:$E,$F95+3))))</f>
        <v>5.89997766294347</v>
      </c>
      <c r="L95" s="14" t="n">
        <f aca="false">IF($F95="","",IFERROR(SUM($H95:$K95),""))</f>
        <v>101.153231046997</v>
      </c>
      <c r="M95" s="14" t="str">
        <f aca="false">IF($F95="","",INDEX('R1. Tree Coefficients'!$J:$J,$F95))</f>
        <v>Conifers</v>
      </c>
      <c r="N95" s="14" t="n">
        <f aca="false">IF($L95="","",IF($M95="Deciduous",BGB_RS_DECIDUOUS_a*($L95^BGB_RS_DECIDUOUS_b),IF($M95="Conifers",BGB_RS_CONIFER*$L95,AVERAGE(BGB_RS_DECIDUOUS_a*($L95^BGB_RS_DECIDUOUS_b),BGB_RS_CONIFER*$L95))))</f>
        <v>22.4560172924333</v>
      </c>
      <c r="O95" s="14" t="n">
        <f aca="false">IF($L95="","",$L95+$N95)</f>
        <v>123.60924833943</v>
      </c>
      <c r="P95" s="14" t="n">
        <f aca="false">IF($O95="","",$O95*CARBON_FRACTION_BIOMASS)</f>
        <v>61.8046241697151</v>
      </c>
      <c r="Q95" s="14" t="str">
        <f aca="false">IF(AND($A95="",$C95=""),"",IF(AND($A95&lt;&gt;"",COUNTIF('1. Plot &amp; Site Log'!$A$5:$A$64,$A95)=0),"Plot ID not in Plot &amp; Site Log — this tree will not reach the summary. ","")&amp;IF($A95="","No Plot ID. ","")&amp;IF(AND($C95&lt;&gt;"",$F95=""),"Species not in the coefficient list — check the spelling against R1. ","")&amp;IF($D95="","No DBH — nothing can be calculated. ","")&amp;IF(AND($D95&lt;&gt;"",$D95&gt;QC_DBH_MAX_CM),"DBH above "&amp;QC_DBH_MAX_CM&amp;" cm — check for a transcription error. ","")&amp;IF($M95="All","Generic species: no published root:shoot applies, so below-ground biomass is the mean of the deciduous and conifer relationships. Choose a species, or Deciduous/Conifers, if you can. ","")&amp;IF(AND($O95&lt;&gt;"",$O95&gt;0,OR($N95/$O95&lt;BGB_FRACTION_MIN,$N95/$O95&gt;BGB_FRACTION_MAX)),"Below-ground share is "&amp;TEXT($N95/$O95,"0%")&amp;", outside the 18–30% the Trees guide describes. ",""))</f>
        <v/>
      </c>
    </row>
    <row r="96" customFormat="false" ht="15" hidden="false" customHeight="false" outlineLevel="0" collapsed="false">
      <c r="A96" s="13" t="s">
        <v>92</v>
      </c>
      <c r="B96" s="13" t="n">
        <v>13</v>
      </c>
      <c r="C96" s="13" t="s">
        <v>136</v>
      </c>
      <c r="D96" s="13" t="n">
        <v>13.7</v>
      </c>
      <c r="E96" s="13" t="n">
        <v>11.3</v>
      </c>
      <c r="F96" s="14" t="n">
        <f aca="false">IF($C96="","",IFERROR(12+(MATCH($C96,'R1. Tree Coefficients'!$L$12:$L$53,0)-1)*4,""))</f>
        <v>24</v>
      </c>
      <c r="G96" s="14" t="str">
        <f aca="false">IF($F96="","",IF(AND($E96&lt;&gt;"",$E96&gt;0),"DBH + height","DBH only"))</f>
        <v>DBH + height</v>
      </c>
      <c r="H96" s="14" t="n">
        <f aca="false">IF(OR($D96="",$F96=""),"",IF($E96&gt;0,INDEX('R1. Tree Coefficients'!$F:$F,$F96+0)*($D96^INDEX('R1. Tree Coefficients'!$G:$G,$F96+0))*($E96^INDEX('R1. Tree Coefficients'!$H:$H,$F96+0)),INDEX('R1. Tree Coefficients'!$D:$D,$F96+0)*($D96^INDEX('R1. Tree Coefficients'!$E:$E,$F96+0))))</f>
        <v>29.1665493008535</v>
      </c>
      <c r="I96" s="14" t="n">
        <f aca="false">IF(OR($D96="",$F96=""),"",IF($E96&gt;0,INDEX('R1. Tree Coefficients'!$F:$F,$F96+1)*($D96^INDEX('R1. Tree Coefficients'!$G:$G,$F96+1))*($E96^INDEX('R1. Tree Coefficients'!$H:$H,$F96+1)),INDEX('R1. Tree Coefficients'!$D:$D,$F96+1)*($D96^INDEX('R1. Tree Coefficients'!$E:$E,$F96+1))))</f>
        <v>5.15824721393599</v>
      </c>
      <c r="J96" s="14" t="n">
        <f aca="false">IF(OR($D96="",$F96=""),"",IF($E96&gt;0,INDEX('R1. Tree Coefficients'!$F:$F,$F96+2)*($D96^INDEX('R1. Tree Coefficients'!$G:$G,$F96+2))*($E96^INDEX('R1. Tree Coefficients'!$H:$H,$F96+2)),INDEX('R1. Tree Coefficients'!$D:$D,$F96+2)*($D96^INDEX('R1. Tree Coefficients'!$E:$E,$F96+2))))</f>
        <v>4.8764099943933</v>
      </c>
      <c r="K96" s="14" t="n">
        <f aca="false">IF(OR($D96="",$F96=""),"",IF($E96&gt;0,INDEX('R1. Tree Coefficients'!$F:$F,$F96+3)*($D96^INDEX('R1. Tree Coefficients'!$G:$G,$F96+3))*($E96^INDEX('R1. Tree Coefficients'!$H:$H,$F96+3)),INDEX('R1. Tree Coefficients'!$D:$D,$F96+3)*($D96^INDEX('R1. Tree Coefficients'!$E:$E,$F96+3))))</f>
        <v>6.03265168106187</v>
      </c>
      <c r="L96" s="14" t="n">
        <f aca="false">IF($F96="","",IFERROR(SUM($H96:$K96),""))</f>
        <v>45.2338581902446</v>
      </c>
      <c r="M96" s="14" t="str">
        <f aca="false">IF($F96="","",INDEX('R1. Tree Coefficients'!$J:$J,$F96))</f>
        <v>Conifers</v>
      </c>
      <c r="N96" s="14" t="n">
        <f aca="false">IF($L96="","",IF($M96="Deciduous",BGB_RS_DECIDUOUS_a*($L96^BGB_RS_DECIDUOUS_b),IF($M96="Conifers",BGB_RS_CONIFER*$L96,AVERAGE(BGB_RS_DECIDUOUS_a*($L96^BGB_RS_DECIDUOUS_b),BGB_RS_CONIFER*$L96))))</f>
        <v>10.0419165182343</v>
      </c>
      <c r="O96" s="14" t="n">
        <f aca="false">IF($L96="","",$L96+$N96)</f>
        <v>55.275774708479</v>
      </c>
      <c r="P96" s="14" t="n">
        <f aca="false">IF($O96="","",$O96*CARBON_FRACTION_BIOMASS)</f>
        <v>27.6378873542395</v>
      </c>
      <c r="Q96" s="14" t="str">
        <f aca="false">IF(AND($A96="",$C96=""),"",IF(AND($A96&lt;&gt;"",COUNTIF('1. Plot &amp; Site Log'!$A$5:$A$64,$A96)=0),"Plot ID not in Plot &amp; Site Log — this tree will not reach the summary. ","")&amp;IF($A96="","No Plot ID. ","")&amp;IF(AND($C96&lt;&gt;"",$F96=""),"Species not in the coefficient list — check the spelling against R1. ","")&amp;IF($D96="","No DBH — nothing can be calculated. ","")&amp;IF(AND($D96&lt;&gt;"",$D96&gt;QC_DBH_MAX_CM),"DBH above "&amp;QC_DBH_MAX_CM&amp;" cm — check for a transcription error. ","")&amp;IF($M96="All","Generic species: no published root:shoot applies, so below-ground biomass is the mean of the deciduous and conifer relationships. Choose a species, or Deciduous/Conifers, if you can. ","")&amp;IF(AND($O96&lt;&gt;"",$O96&gt;0,OR($N96/$O96&lt;BGB_FRACTION_MIN,$N96/$O96&gt;BGB_FRACTION_MAX)),"Below-ground share is "&amp;TEXT($N96/$O96,"0%")&amp;", outside the 18–30% the Trees guide describes. ",""))</f>
        <v/>
      </c>
    </row>
    <row r="97" customFormat="false" ht="15" hidden="false" customHeight="false" outlineLevel="0" collapsed="false">
      <c r="A97" s="13" t="s">
        <v>92</v>
      </c>
      <c r="B97" s="13" t="n">
        <v>14</v>
      </c>
      <c r="C97" s="13" t="s">
        <v>135</v>
      </c>
      <c r="D97" s="13" t="n">
        <v>16.5</v>
      </c>
      <c r="E97" s="13"/>
      <c r="F97" s="14" t="n">
        <f aca="false">IF($C97="","",IFERROR(12+(MATCH($C97,'R1. Tree Coefficients'!$L$12:$L$53,0)-1)*4,""))</f>
        <v>48</v>
      </c>
      <c r="G97" s="14" t="str">
        <f aca="false">IF($F97="","",IF(AND($E97&lt;&gt;"",$E97&gt;0),"DBH + height","DBH only"))</f>
        <v>DBH only</v>
      </c>
      <c r="H97" s="14" t="n">
        <f aca="false">IF(OR($D97="",$F97=""),"",IF($E97&gt;0,INDEX('R1. Tree Coefficients'!$F:$F,$F97+0)*($D97^INDEX('R1. Tree Coefficients'!$G:$G,$F97+0))*($E97^INDEX('R1. Tree Coefficients'!$H:$H,$F97+0)),INDEX('R1. Tree Coefficients'!$D:$D,$F97+0)*($D97^INDEX('R1. Tree Coefficients'!$E:$E,$F97+0))))</f>
        <v>55.0149242503645</v>
      </c>
      <c r="I97" s="14" t="n">
        <f aca="false">IF(OR($D97="",$F97=""),"",IF($E97&gt;0,INDEX('R1. Tree Coefficients'!$F:$F,$F97+1)*($D97^INDEX('R1. Tree Coefficients'!$G:$G,$F97+1))*($E97^INDEX('R1. Tree Coefficients'!$H:$H,$F97+1)),INDEX('R1. Tree Coefficients'!$D:$D,$F97+1)*($D97^INDEX('R1. Tree Coefficients'!$E:$E,$F97+1))))</f>
        <v>8.10718530052134</v>
      </c>
      <c r="J97" s="14" t="n">
        <f aca="false">IF(OR($D97="",$F97=""),"",IF($E97&gt;0,INDEX('R1. Tree Coefficients'!$F:$F,$F97+2)*($D97^INDEX('R1. Tree Coefficients'!$G:$G,$F97+2))*($E97^INDEX('R1. Tree Coefficients'!$H:$H,$F97+2)),INDEX('R1. Tree Coefficients'!$D:$D,$F97+2)*($D97^INDEX('R1. Tree Coefficients'!$E:$E,$F97+2))))</f>
        <v>9.77898818975552</v>
      </c>
      <c r="K97" s="14" t="n">
        <f aca="false">IF(OR($D97="",$F97=""),"",IF($E97&gt;0,INDEX('R1. Tree Coefficients'!$F:$F,$F97+3)*($D97^INDEX('R1. Tree Coefficients'!$G:$G,$F97+3))*($E97^INDEX('R1. Tree Coefficients'!$H:$H,$F97+3)),INDEX('R1. Tree Coefficients'!$D:$D,$F97+3)*($D97^INDEX('R1. Tree Coefficients'!$E:$E,$F97+3))))</f>
        <v>8.78940803692963</v>
      </c>
      <c r="L97" s="14" t="n">
        <f aca="false">IF($F97="","",IFERROR(SUM($H97:$K97),""))</f>
        <v>81.690505777571</v>
      </c>
      <c r="M97" s="14" t="str">
        <f aca="false">IF($F97="","",INDEX('R1. Tree Coefficients'!$J:$J,$F97))</f>
        <v>Conifers</v>
      </c>
      <c r="N97" s="14" t="n">
        <f aca="false">IF($L97="","",IF($M97="Deciduous",BGB_RS_DECIDUOUS_a*($L97^BGB_RS_DECIDUOUS_b),IF($M97="Conifers",BGB_RS_CONIFER*$L97,AVERAGE(BGB_RS_DECIDUOUS_a*($L97^BGB_RS_DECIDUOUS_b),BGB_RS_CONIFER*$L97))))</f>
        <v>18.1352922826208</v>
      </c>
      <c r="O97" s="14" t="n">
        <f aca="false">IF($L97="","",$L97+$N97)</f>
        <v>99.8257980601917</v>
      </c>
      <c r="P97" s="14" t="n">
        <f aca="false">IF($O97="","",$O97*CARBON_FRACTION_BIOMASS)</f>
        <v>49.9128990300959</v>
      </c>
      <c r="Q97" s="14" t="str">
        <f aca="false">IF(AND($A97="",$C97=""),"",IF(AND($A97&lt;&gt;"",COUNTIF('1. Plot &amp; Site Log'!$A$5:$A$64,$A97)=0),"Plot ID not in Plot &amp; Site Log — this tree will not reach the summary. ","")&amp;IF($A97="","No Plot ID. ","")&amp;IF(AND($C97&lt;&gt;"",$F97=""),"Species not in the coefficient list — check the spelling against R1. ","")&amp;IF($D97="","No DBH — nothing can be calculated. ","")&amp;IF(AND($D97&lt;&gt;"",$D97&gt;QC_DBH_MAX_CM),"DBH above "&amp;QC_DBH_MAX_CM&amp;" cm — check for a transcription error. ","")&amp;IF($M97="All","Generic species: no published root:shoot applies, so below-ground biomass is the mean of the deciduous and conifer relationships. Choose a species, or Deciduous/Conifers, if you can. ","")&amp;IF(AND($O97&lt;&gt;"",$O97&gt;0,OR($N97/$O97&lt;BGB_FRACTION_MIN,$N97/$O97&gt;BGB_FRACTION_MAX)),"Below-ground share is "&amp;TEXT($N97/$O97,"0%")&amp;", outside the 18–30% the Trees guide describes. ",""))</f>
        <v/>
      </c>
    </row>
    <row r="98" customFormat="false" ht="15" hidden="false" customHeight="false" outlineLevel="0" collapsed="false">
      <c r="A98" s="13" t="s">
        <v>92</v>
      </c>
      <c r="B98" s="13" t="n">
        <v>15</v>
      </c>
      <c r="C98" s="13" t="s">
        <v>135</v>
      </c>
      <c r="D98" s="13" t="n">
        <v>9.6</v>
      </c>
      <c r="E98" s="13"/>
      <c r="F98" s="14" t="n">
        <f aca="false">IF($C98="","",IFERROR(12+(MATCH($C98,'R1. Tree Coefficients'!$L$12:$L$53,0)-1)*4,""))</f>
        <v>48</v>
      </c>
      <c r="G98" s="14" t="str">
        <f aca="false">IF($F98="","",IF(AND($E98&lt;&gt;"",$E98&gt;0),"DBH + height","DBH only"))</f>
        <v>DBH only</v>
      </c>
      <c r="H98" s="14" t="n">
        <f aca="false">IF(OR($D98="",$F98=""),"",IF($E98&gt;0,INDEX('R1. Tree Coefficients'!$F:$F,$F98+0)*($D98^INDEX('R1. Tree Coefficients'!$G:$G,$F98+0))*($E98^INDEX('R1. Tree Coefficients'!$H:$H,$F98+0)),INDEX('R1. Tree Coefficients'!$D:$D,$F98+0)*($D98^INDEX('R1. Tree Coefficients'!$E:$E,$F98+0))))</f>
        <v>14.1860246320599</v>
      </c>
      <c r="I98" s="14" t="n">
        <f aca="false">IF(OR($D98="",$F98=""),"",IF($E98&gt;0,INDEX('R1. Tree Coefficients'!$F:$F,$F98+1)*($D98^INDEX('R1. Tree Coefficients'!$G:$G,$F98+1))*($E98^INDEX('R1. Tree Coefficients'!$H:$H,$F98+1)),INDEX('R1. Tree Coefficients'!$D:$D,$F98+1)*($D98^INDEX('R1. Tree Coefficients'!$E:$E,$F98+1))))</f>
        <v>2.39763255597164</v>
      </c>
      <c r="J98" s="14" t="n">
        <f aca="false">IF(OR($D98="",$F98=""),"",IF($E98&gt;0,INDEX('R1. Tree Coefficients'!$F:$F,$F98+2)*($D98^INDEX('R1. Tree Coefficients'!$G:$G,$F98+2))*($E98^INDEX('R1. Tree Coefficients'!$H:$H,$F98+2)),INDEX('R1. Tree Coefficients'!$D:$D,$F98+2)*($D98^INDEX('R1. Tree Coefficients'!$E:$E,$F98+2))))</f>
        <v>3.17836686636986</v>
      </c>
      <c r="K98" s="14" t="n">
        <f aca="false">IF(OR($D98="",$F98=""),"",IF($E98&gt;0,INDEX('R1. Tree Coefficients'!$F:$F,$F98+3)*($D98^INDEX('R1. Tree Coefficients'!$G:$G,$F98+3))*($E98^INDEX('R1. Tree Coefficients'!$H:$H,$F98+3)),INDEX('R1. Tree Coefficients'!$D:$D,$F98+3)*($D98^INDEX('R1. Tree Coefficients'!$E:$E,$F98+3))))</f>
        <v>4.06855422589766</v>
      </c>
      <c r="L98" s="14" t="n">
        <f aca="false">IF($F98="","",IFERROR(SUM($H98:$K98),""))</f>
        <v>23.830578280299</v>
      </c>
      <c r="M98" s="14" t="str">
        <f aca="false">IF($F98="","",INDEX('R1. Tree Coefficients'!$J:$J,$F98))</f>
        <v>Conifers</v>
      </c>
      <c r="N98" s="14" t="n">
        <f aca="false">IF($L98="","",IF($M98="Deciduous",BGB_RS_DECIDUOUS_a*($L98^BGB_RS_DECIDUOUS_b),IF($M98="Conifers",BGB_RS_CONIFER*$L98,AVERAGE(BGB_RS_DECIDUOUS_a*($L98^BGB_RS_DECIDUOUS_b),BGB_RS_CONIFER*$L98))))</f>
        <v>5.29038837822639</v>
      </c>
      <c r="O98" s="14" t="n">
        <f aca="false">IF($L98="","",$L98+$N98)</f>
        <v>29.1209666585254</v>
      </c>
      <c r="P98" s="14" t="n">
        <f aca="false">IF($O98="","",$O98*CARBON_FRACTION_BIOMASS)</f>
        <v>14.5604833292627</v>
      </c>
      <c r="Q98" s="14" t="str">
        <f aca="false">IF(AND($A98="",$C98=""),"",IF(AND($A98&lt;&gt;"",COUNTIF('1. Plot &amp; Site Log'!$A$5:$A$64,$A98)=0),"Plot ID not in Plot &amp; Site Log — this tree will not reach the summary. ","")&amp;IF($A98="","No Plot ID. ","")&amp;IF(AND($C98&lt;&gt;"",$F98=""),"Species not in the coefficient list — check the spelling against R1. ","")&amp;IF($D98="","No DBH — nothing can be calculated. ","")&amp;IF(AND($D98&lt;&gt;"",$D98&gt;QC_DBH_MAX_CM),"DBH above "&amp;QC_DBH_MAX_CM&amp;" cm — check for a transcription error. ","")&amp;IF($M98="All","Generic species: no published root:shoot applies, so below-ground biomass is the mean of the deciduous and conifer relationships. Choose a species, or Deciduous/Conifers, if you can. ","")&amp;IF(AND($O98&lt;&gt;"",$O98&gt;0,OR($N98/$O98&lt;BGB_FRACTION_MIN,$N98/$O98&gt;BGB_FRACTION_MAX)),"Below-ground share is "&amp;TEXT($N98/$O98,"0%")&amp;", outside the 18–30% the Trees guide describes. ",""))</f>
        <v/>
      </c>
    </row>
    <row r="99" customFormat="false" ht="15" hidden="false" customHeight="false" outlineLevel="0" collapsed="false">
      <c r="A99" s="13" t="s">
        <v>92</v>
      </c>
      <c r="B99" s="13" t="n">
        <v>16</v>
      </c>
      <c r="C99" s="13" t="s">
        <v>136</v>
      </c>
      <c r="D99" s="13" t="n">
        <v>10.3</v>
      </c>
      <c r="E99" s="13" t="n">
        <v>10.1</v>
      </c>
      <c r="F99" s="14" t="n">
        <f aca="false">IF($C99="","",IFERROR(12+(MATCH($C99,'R1. Tree Coefficients'!$L$12:$L$53,0)-1)*4,""))</f>
        <v>24</v>
      </c>
      <c r="G99" s="14" t="str">
        <f aca="false">IF($F99="","",IF(AND($E99&lt;&gt;"",$E99&gt;0),"DBH + height","DBH only"))</f>
        <v>DBH + height</v>
      </c>
      <c r="H99" s="14" t="n">
        <f aca="false">IF(OR($D99="",$F99=""),"",IF($E99&gt;0,INDEX('R1. Tree Coefficients'!$F:$F,$F99+0)*($D99^INDEX('R1. Tree Coefficients'!$G:$G,$F99+0))*($E99^INDEX('R1. Tree Coefficients'!$H:$H,$F99+0)),INDEX('R1. Tree Coefficients'!$D:$D,$F99+0)*($D99^INDEX('R1. Tree Coefficients'!$E:$E,$F99+0))))</f>
        <v>15.6800083908125</v>
      </c>
      <c r="I99" s="14" t="n">
        <f aca="false">IF(OR($D99="",$F99=""),"",IF($E99&gt;0,INDEX('R1. Tree Coefficients'!$F:$F,$F99+1)*($D99^INDEX('R1. Tree Coefficients'!$G:$G,$F99+1))*($E99^INDEX('R1. Tree Coefficients'!$H:$H,$F99+1)),INDEX('R1. Tree Coefficients'!$D:$D,$F99+1)*($D99^INDEX('R1. Tree Coefficients'!$E:$E,$F99+1))))</f>
        <v>2.66317316733688</v>
      </c>
      <c r="J99" s="14" t="n">
        <f aca="false">IF(OR($D99="",$F99=""),"",IF($E99&gt;0,INDEX('R1. Tree Coefficients'!$F:$F,$F99+2)*($D99^INDEX('R1. Tree Coefficients'!$G:$G,$F99+2))*($E99^INDEX('R1. Tree Coefficients'!$H:$H,$F99+2)),INDEX('R1. Tree Coefficients'!$D:$D,$F99+2)*($D99^INDEX('R1. Tree Coefficients'!$E:$E,$F99+2))))</f>
        <v>2.07357758968582</v>
      </c>
      <c r="K99" s="14" t="n">
        <f aca="false">IF(OR($D99="",$F99=""),"",IF($E99&gt;0,INDEX('R1. Tree Coefficients'!$F:$F,$F99+3)*($D99^INDEX('R1. Tree Coefficients'!$G:$G,$F99+3))*($E99^INDEX('R1. Tree Coefficients'!$H:$H,$F99+3)),INDEX('R1. Tree Coefficients'!$D:$D,$F99+3)*($D99^INDEX('R1. Tree Coefficients'!$E:$E,$F99+3))))</f>
        <v>3.3319982650847</v>
      </c>
      <c r="L99" s="14" t="n">
        <f aca="false">IF($F99="","",IFERROR(SUM($H99:$K99),""))</f>
        <v>23.7487574129199</v>
      </c>
      <c r="M99" s="14" t="str">
        <f aca="false">IF($F99="","",INDEX('R1. Tree Coefficients'!$J:$J,$F99))</f>
        <v>Conifers</v>
      </c>
      <c r="N99" s="14" t="n">
        <f aca="false">IF($L99="","",IF($M99="Deciduous",BGB_RS_DECIDUOUS_a*($L99^BGB_RS_DECIDUOUS_b),IF($M99="Conifers",BGB_RS_CONIFER*$L99,AVERAGE(BGB_RS_DECIDUOUS_a*($L99^BGB_RS_DECIDUOUS_b),BGB_RS_CONIFER*$L99))))</f>
        <v>5.27222414566821</v>
      </c>
      <c r="O99" s="14" t="n">
        <f aca="false">IF($L99="","",$L99+$N99)</f>
        <v>29.0209815585881</v>
      </c>
      <c r="P99" s="14" t="n">
        <f aca="false">IF($O99="","",$O99*CARBON_FRACTION_BIOMASS)</f>
        <v>14.510490779294</v>
      </c>
      <c r="Q99" s="14" t="str">
        <f aca="false">IF(AND($A99="",$C99=""),"",IF(AND($A99&lt;&gt;"",COUNTIF('1. Plot &amp; Site Log'!$A$5:$A$64,$A99)=0),"Plot ID not in Plot &amp; Site Log — this tree will not reach the summary. ","")&amp;IF($A99="","No Plot ID. ","")&amp;IF(AND($C99&lt;&gt;"",$F99=""),"Species not in the coefficient list — check the spelling against R1. ","")&amp;IF($D99="","No DBH — nothing can be calculated. ","")&amp;IF(AND($D99&lt;&gt;"",$D99&gt;QC_DBH_MAX_CM),"DBH above "&amp;QC_DBH_MAX_CM&amp;" cm — check for a transcription error. ","")&amp;IF($M99="All","Generic species: no published root:shoot applies, so below-ground biomass is the mean of the deciduous and conifer relationships. Choose a species, or Deciduous/Conifers, if you can. ","")&amp;IF(AND($O99&lt;&gt;"",$O99&gt;0,OR($N99/$O99&lt;BGB_FRACTION_MIN,$N99/$O99&gt;BGB_FRACTION_MAX)),"Below-ground share is "&amp;TEXT($N99/$O99,"0%")&amp;", outside the 18–30% the Trees guide describes. ",""))</f>
        <v/>
      </c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4" t="str">
        <f aca="false">IF($C100="","",IFERROR(12+(MATCH($C100,'R1. Tree Coefficients'!$L$12:$L$53,0)-1)*4,""))</f>
        <v/>
      </c>
      <c r="G100" s="14" t="str">
        <f aca="false">IF($F100="","",IF(AND($E100&lt;&gt;"",$E100&gt;0),"DBH + height","DBH only"))</f>
        <v/>
      </c>
      <c r="H100" s="14" t="str">
        <f aca="false">IF(OR($D100="",$F100=""),"",IF($E100&gt;0,INDEX('R1. Tree Coefficients'!$F:$F,$F100+0)*($D100^INDEX('R1. Tree Coefficients'!$G:$G,$F100+0))*($E100^INDEX('R1. Tree Coefficients'!$H:$H,$F100+0)),INDEX('R1. Tree Coefficients'!$D:$D,$F100+0)*($D100^INDEX('R1. Tree Coefficients'!$E:$E,$F100+0))))</f>
        <v/>
      </c>
      <c r="I100" s="14" t="str">
        <f aca="false">IF(OR($D100="",$F100=""),"",IF($E100&gt;0,INDEX('R1. Tree Coefficients'!$F:$F,$F100+1)*($D100^INDEX('R1. Tree Coefficients'!$G:$G,$F100+1))*($E100^INDEX('R1. Tree Coefficients'!$H:$H,$F100+1)),INDEX('R1. Tree Coefficients'!$D:$D,$F100+1)*($D100^INDEX('R1. Tree Coefficients'!$E:$E,$F100+1))))</f>
        <v/>
      </c>
      <c r="J100" s="14" t="str">
        <f aca="false">IF(OR($D100="",$F100=""),"",IF($E100&gt;0,INDEX('R1. Tree Coefficients'!$F:$F,$F100+2)*($D100^INDEX('R1. Tree Coefficients'!$G:$G,$F100+2))*($E100^INDEX('R1. Tree Coefficients'!$H:$H,$F100+2)),INDEX('R1. Tree Coefficients'!$D:$D,$F100+2)*($D100^INDEX('R1. Tree Coefficients'!$E:$E,$F100+2))))</f>
        <v/>
      </c>
      <c r="K100" s="14" t="str">
        <f aca="false">IF(OR($D100="",$F100=""),"",IF($E100&gt;0,INDEX('R1. Tree Coefficients'!$F:$F,$F100+3)*($D100^INDEX('R1. Tree Coefficients'!$G:$G,$F100+3))*($E100^INDEX('R1. Tree Coefficients'!$H:$H,$F100+3)),INDEX('R1. Tree Coefficients'!$D:$D,$F100+3)*($D100^INDEX('R1. Tree Coefficients'!$E:$E,$F100+3))))</f>
        <v/>
      </c>
      <c r="L100" s="14" t="str">
        <f aca="false">IF($F100="","",IFERROR(SUM($H100:$K100),""))</f>
        <v/>
      </c>
      <c r="M100" s="14" t="str">
        <f aca="false">IF($F100="","",INDEX('R1. Tree Coefficients'!$J:$J,$F100))</f>
        <v/>
      </c>
      <c r="N100" s="14" t="str">
        <f aca="false">IF($L100="","",IF($M100="Deciduous",BGB_RS_DECIDUOUS_a*($L100^BGB_RS_DECIDUOUS_b),IF($M100="Conifers",BGB_RS_CONIFER*$L100,AVERAGE(BGB_RS_DECIDUOUS_a*($L100^BGB_RS_DECIDUOUS_b),BGB_RS_CONIFER*$L100))))</f>
        <v/>
      </c>
      <c r="O100" s="14" t="str">
        <f aca="false">IF($L100="","",$L100+$N100)</f>
        <v/>
      </c>
      <c r="P100" s="14" t="str">
        <f aca="false">IF($O100="","",$O100*CARBON_FRACTION_BIOMASS)</f>
        <v/>
      </c>
      <c r="Q100" s="14" t="str">
        <f aca="false">IF(AND($A100="",$C100=""),"",IF(AND($A100&lt;&gt;"",COUNTIF('1. Plot &amp; Site Log'!$A$5:$A$64,$A100)=0),"Plot ID not in Plot &amp; Site Log — this tree will not reach the summary. ","")&amp;IF($A100="","No Plot ID. ","")&amp;IF(AND($C100&lt;&gt;"",$F100=""),"Species not in the coefficient list — check the spelling against R1. ","")&amp;IF($D100="","No DBH — nothing can be calculated. ","")&amp;IF(AND($D100&lt;&gt;"",$D100&gt;QC_DBH_MAX_CM),"DBH above "&amp;QC_DBH_MAX_CM&amp;" cm — check for a transcription error. ","")&amp;IF($M100="All","Generic species: no published root:shoot applies, so below-ground biomass is the mean of the deciduous and conifer relationships. Choose a species, or Deciduous/Conifers, if you can. ","")&amp;IF(AND($O100&lt;&gt;"",$O100&gt;0,OR($N100/$O100&lt;BGB_FRACTION_MIN,$N100/$O100&gt;BGB_FRACTION_MAX)),"Below-ground share is "&amp;TEXT($N100/$O100,"0%")&amp;", outside the 18–30% the Trees guide describes. ",""))</f>
        <v/>
      </c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4" t="str">
        <f aca="false">IF($C101="","",IFERROR(12+(MATCH($C101,'R1. Tree Coefficients'!$L$12:$L$53,0)-1)*4,""))</f>
        <v/>
      </c>
      <c r="G101" s="14" t="str">
        <f aca="false">IF($F101="","",IF(AND($E101&lt;&gt;"",$E101&gt;0),"DBH + height","DBH only"))</f>
        <v/>
      </c>
      <c r="H101" s="14" t="str">
        <f aca="false">IF(OR($D101="",$F101=""),"",IF($E101&gt;0,INDEX('R1. Tree Coefficients'!$F:$F,$F101+0)*($D101^INDEX('R1. Tree Coefficients'!$G:$G,$F101+0))*($E101^INDEX('R1. Tree Coefficients'!$H:$H,$F101+0)),INDEX('R1. Tree Coefficients'!$D:$D,$F101+0)*($D101^INDEX('R1. Tree Coefficients'!$E:$E,$F101+0))))</f>
        <v/>
      </c>
      <c r="I101" s="14" t="str">
        <f aca="false">IF(OR($D101="",$F101=""),"",IF($E101&gt;0,INDEX('R1. Tree Coefficients'!$F:$F,$F101+1)*($D101^INDEX('R1. Tree Coefficients'!$G:$G,$F101+1))*($E101^INDEX('R1. Tree Coefficients'!$H:$H,$F101+1)),INDEX('R1. Tree Coefficients'!$D:$D,$F101+1)*($D101^INDEX('R1. Tree Coefficients'!$E:$E,$F101+1))))</f>
        <v/>
      </c>
      <c r="J101" s="14" t="str">
        <f aca="false">IF(OR($D101="",$F101=""),"",IF($E101&gt;0,INDEX('R1. Tree Coefficients'!$F:$F,$F101+2)*($D101^INDEX('R1. Tree Coefficients'!$G:$G,$F101+2))*($E101^INDEX('R1. Tree Coefficients'!$H:$H,$F101+2)),INDEX('R1. Tree Coefficients'!$D:$D,$F101+2)*($D101^INDEX('R1. Tree Coefficients'!$E:$E,$F101+2))))</f>
        <v/>
      </c>
      <c r="K101" s="14" t="str">
        <f aca="false">IF(OR($D101="",$F101=""),"",IF($E101&gt;0,INDEX('R1. Tree Coefficients'!$F:$F,$F101+3)*($D101^INDEX('R1. Tree Coefficients'!$G:$G,$F101+3))*($E101^INDEX('R1. Tree Coefficients'!$H:$H,$F101+3)),INDEX('R1. Tree Coefficients'!$D:$D,$F101+3)*($D101^INDEX('R1. Tree Coefficients'!$E:$E,$F101+3))))</f>
        <v/>
      </c>
      <c r="L101" s="14" t="str">
        <f aca="false">IF($F101="","",IFERROR(SUM($H101:$K101),""))</f>
        <v/>
      </c>
      <c r="M101" s="14" t="str">
        <f aca="false">IF($F101="","",INDEX('R1. Tree Coefficients'!$J:$J,$F101))</f>
        <v/>
      </c>
      <c r="N101" s="14" t="str">
        <f aca="false">IF($L101="","",IF($M101="Deciduous",BGB_RS_DECIDUOUS_a*($L101^BGB_RS_DECIDUOUS_b),IF($M101="Conifers",BGB_RS_CONIFER*$L101,AVERAGE(BGB_RS_DECIDUOUS_a*($L101^BGB_RS_DECIDUOUS_b),BGB_RS_CONIFER*$L101))))</f>
        <v/>
      </c>
      <c r="O101" s="14" t="str">
        <f aca="false">IF($L101="","",$L101+$N101)</f>
        <v/>
      </c>
      <c r="P101" s="14" t="str">
        <f aca="false">IF($O101="","",$O101*CARBON_FRACTION_BIOMASS)</f>
        <v/>
      </c>
      <c r="Q101" s="14" t="str">
        <f aca="false">IF(AND($A101="",$C101=""),"",IF(AND($A101&lt;&gt;"",COUNTIF('1. Plot &amp; Site Log'!$A$5:$A$64,$A101)=0),"Plot ID not in Plot &amp; Site Log — this tree will not reach the summary. ","")&amp;IF($A101="","No Plot ID. ","")&amp;IF(AND($C101&lt;&gt;"",$F101=""),"Species not in the coefficient list — check the spelling against R1. ","")&amp;IF($D101="","No DBH — nothing can be calculated. ","")&amp;IF(AND($D101&lt;&gt;"",$D101&gt;QC_DBH_MAX_CM),"DBH above "&amp;QC_DBH_MAX_CM&amp;" cm — check for a transcription error. ","")&amp;IF($M101="All","Generic species: no published root:shoot applies, so below-ground biomass is the mean of the deciduous and conifer relationships. Choose a species, or Deciduous/Conifers, if you can. ","")&amp;IF(AND($O101&lt;&gt;"",$O101&gt;0,OR($N101/$O101&lt;BGB_FRACTION_MIN,$N101/$O101&gt;BGB_FRACTION_MAX)),"Below-ground share is "&amp;TEXT($N101/$O101,"0%")&amp;", outside the 18–30% the Trees guide describes. ",""))</f>
        <v/>
      </c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4" t="str">
        <f aca="false">IF($C102="","",IFERROR(12+(MATCH($C102,'R1. Tree Coefficients'!$L$12:$L$53,0)-1)*4,""))</f>
        <v/>
      </c>
      <c r="G102" s="14" t="str">
        <f aca="false">IF($F102="","",IF(AND($E102&lt;&gt;"",$E102&gt;0),"DBH + height","DBH only"))</f>
        <v/>
      </c>
      <c r="H102" s="14" t="str">
        <f aca="false">IF(OR($D102="",$F102=""),"",IF($E102&gt;0,INDEX('R1. Tree Coefficients'!$F:$F,$F102+0)*($D102^INDEX('R1. Tree Coefficients'!$G:$G,$F102+0))*($E102^INDEX('R1. Tree Coefficients'!$H:$H,$F102+0)),INDEX('R1. Tree Coefficients'!$D:$D,$F102+0)*($D102^INDEX('R1. Tree Coefficients'!$E:$E,$F102+0))))</f>
        <v/>
      </c>
      <c r="I102" s="14" t="str">
        <f aca="false">IF(OR($D102="",$F102=""),"",IF($E102&gt;0,INDEX('R1. Tree Coefficients'!$F:$F,$F102+1)*($D102^INDEX('R1. Tree Coefficients'!$G:$G,$F102+1))*($E102^INDEX('R1. Tree Coefficients'!$H:$H,$F102+1)),INDEX('R1. Tree Coefficients'!$D:$D,$F102+1)*($D102^INDEX('R1. Tree Coefficients'!$E:$E,$F102+1))))</f>
        <v/>
      </c>
      <c r="J102" s="14" t="str">
        <f aca="false">IF(OR($D102="",$F102=""),"",IF($E102&gt;0,INDEX('R1. Tree Coefficients'!$F:$F,$F102+2)*($D102^INDEX('R1. Tree Coefficients'!$G:$G,$F102+2))*($E102^INDEX('R1. Tree Coefficients'!$H:$H,$F102+2)),INDEX('R1. Tree Coefficients'!$D:$D,$F102+2)*($D102^INDEX('R1. Tree Coefficients'!$E:$E,$F102+2))))</f>
        <v/>
      </c>
      <c r="K102" s="14" t="str">
        <f aca="false">IF(OR($D102="",$F102=""),"",IF($E102&gt;0,INDEX('R1. Tree Coefficients'!$F:$F,$F102+3)*($D102^INDEX('R1. Tree Coefficients'!$G:$G,$F102+3))*($E102^INDEX('R1. Tree Coefficients'!$H:$H,$F102+3)),INDEX('R1. Tree Coefficients'!$D:$D,$F102+3)*($D102^INDEX('R1. Tree Coefficients'!$E:$E,$F102+3))))</f>
        <v/>
      </c>
      <c r="L102" s="14" t="str">
        <f aca="false">IF($F102="","",IFERROR(SUM($H102:$K102),""))</f>
        <v/>
      </c>
      <c r="M102" s="14" t="str">
        <f aca="false">IF($F102="","",INDEX('R1. Tree Coefficients'!$J:$J,$F102))</f>
        <v/>
      </c>
      <c r="N102" s="14" t="str">
        <f aca="false">IF($L102="","",IF($M102="Deciduous",BGB_RS_DECIDUOUS_a*($L102^BGB_RS_DECIDUOUS_b),IF($M102="Conifers",BGB_RS_CONIFER*$L102,AVERAGE(BGB_RS_DECIDUOUS_a*($L102^BGB_RS_DECIDUOUS_b),BGB_RS_CONIFER*$L102))))</f>
        <v/>
      </c>
      <c r="O102" s="14" t="str">
        <f aca="false">IF($L102="","",$L102+$N102)</f>
        <v/>
      </c>
      <c r="P102" s="14" t="str">
        <f aca="false">IF($O102="","",$O102*CARBON_FRACTION_BIOMASS)</f>
        <v/>
      </c>
      <c r="Q102" s="14" t="str">
        <f aca="false">IF(AND($A102="",$C102=""),"",IF(AND($A102&lt;&gt;"",COUNTIF('1. Plot &amp; Site Log'!$A$5:$A$64,$A102)=0),"Plot ID not in Plot &amp; Site Log — this tree will not reach the summary. ","")&amp;IF($A102="","No Plot ID. ","")&amp;IF(AND($C102&lt;&gt;"",$F102=""),"Species not in the coefficient list — check the spelling against R1. ","")&amp;IF($D102="","No DBH — nothing can be calculated. ","")&amp;IF(AND($D102&lt;&gt;"",$D102&gt;QC_DBH_MAX_CM),"DBH above "&amp;QC_DBH_MAX_CM&amp;" cm — check for a transcription error. ","")&amp;IF($M102="All","Generic species: no published root:shoot applies, so below-ground biomass is the mean of the deciduous and conifer relationships. Choose a species, or Deciduous/Conifers, if you can. ","")&amp;IF(AND($O102&lt;&gt;"",$O102&gt;0,OR($N102/$O102&lt;BGB_FRACTION_MIN,$N102/$O102&gt;BGB_FRACTION_MAX)),"Below-ground share is "&amp;TEXT($N102/$O102,"0%")&amp;", outside the 18–30% the Trees guide describes. ",""))</f>
        <v/>
      </c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4" t="str">
        <f aca="false">IF($C103="","",IFERROR(12+(MATCH($C103,'R1. Tree Coefficients'!$L$12:$L$53,0)-1)*4,""))</f>
        <v/>
      </c>
      <c r="G103" s="14" t="str">
        <f aca="false">IF($F103="","",IF(AND($E103&lt;&gt;"",$E103&gt;0),"DBH + height","DBH only"))</f>
        <v/>
      </c>
      <c r="H103" s="14" t="str">
        <f aca="false">IF(OR($D103="",$F103=""),"",IF($E103&gt;0,INDEX('R1. Tree Coefficients'!$F:$F,$F103+0)*($D103^INDEX('R1. Tree Coefficients'!$G:$G,$F103+0))*($E103^INDEX('R1. Tree Coefficients'!$H:$H,$F103+0)),INDEX('R1. Tree Coefficients'!$D:$D,$F103+0)*($D103^INDEX('R1. Tree Coefficients'!$E:$E,$F103+0))))</f>
        <v/>
      </c>
      <c r="I103" s="14" t="str">
        <f aca="false">IF(OR($D103="",$F103=""),"",IF($E103&gt;0,INDEX('R1. Tree Coefficients'!$F:$F,$F103+1)*($D103^INDEX('R1. Tree Coefficients'!$G:$G,$F103+1))*($E103^INDEX('R1. Tree Coefficients'!$H:$H,$F103+1)),INDEX('R1. Tree Coefficients'!$D:$D,$F103+1)*($D103^INDEX('R1. Tree Coefficients'!$E:$E,$F103+1))))</f>
        <v/>
      </c>
      <c r="J103" s="14" t="str">
        <f aca="false">IF(OR($D103="",$F103=""),"",IF($E103&gt;0,INDEX('R1. Tree Coefficients'!$F:$F,$F103+2)*($D103^INDEX('R1. Tree Coefficients'!$G:$G,$F103+2))*($E103^INDEX('R1. Tree Coefficients'!$H:$H,$F103+2)),INDEX('R1. Tree Coefficients'!$D:$D,$F103+2)*($D103^INDEX('R1. Tree Coefficients'!$E:$E,$F103+2))))</f>
        <v/>
      </c>
      <c r="K103" s="14" t="str">
        <f aca="false">IF(OR($D103="",$F103=""),"",IF($E103&gt;0,INDEX('R1. Tree Coefficients'!$F:$F,$F103+3)*($D103^INDEX('R1. Tree Coefficients'!$G:$G,$F103+3))*($E103^INDEX('R1. Tree Coefficients'!$H:$H,$F103+3)),INDEX('R1. Tree Coefficients'!$D:$D,$F103+3)*($D103^INDEX('R1. Tree Coefficients'!$E:$E,$F103+3))))</f>
        <v/>
      </c>
      <c r="L103" s="14" t="str">
        <f aca="false">IF($F103="","",IFERROR(SUM($H103:$K103),""))</f>
        <v/>
      </c>
      <c r="M103" s="14" t="str">
        <f aca="false">IF($F103="","",INDEX('R1. Tree Coefficients'!$J:$J,$F103))</f>
        <v/>
      </c>
      <c r="N103" s="14" t="str">
        <f aca="false">IF($L103="","",IF($M103="Deciduous",BGB_RS_DECIDUOUS_a*($L103^BGB_RS_DECIDUOUS_b),IF($M103="Conifers",BGB_RS_CONIFER*$L103,AVERAGE(BGB_RS_DECIDUOUS_a*($L103^BGB_RS_DECIDUOUS_b),BGB_RS_CONIFER*$L103))))</f>
        <v/>
      </c>
      <c r="O103" s="14" t="str">
        <f aca="false">IF($L103="","",$L103+$N103)</f>
        <v/>
      </c>
      <c r="P103" s="14" t="str">
        <f aca="false">IF($O103="","",$O103*CARBON_FRACTION_BIOMASS)</f>
        <v/>
      </c>
      <c r="Q103" s="14" t="str">
        <f aca="false">IF(AND($A103="",$C103=""),"",IF(AND($A103&lt;&gt;"",COUNTIF('1. Plot &amp; Site Log'!$A$5:$A$64,$A103)=0),"Plot ID not in Plot &amp; Site Log — this tree will not reach the summary. ","")&amp;IF($A103="","No Plot ID. ","")&amp;IF(AND($C103&lt;&gt;"",$F103=""),"Species not in the coefficient list — check the spelling against R1. ","")&amp;IF($D103="","No DBH — nothing can be calculated. ","")&amp;IF(AND($D103&lt;&gt;"",$D103&gt;QC_DBH_MAX_CM),"DBH above "&amp;QC_DBH_MAX_CM&amp;" cm — check for a transcription error. ","")&amp;IF($M103="All","Generic species: no published root:shoot applies, so below-ground biomass is the mean of the deciduous and conifer relationships. Choose a species, or Deciduous/Conifers, if you can. ","")&amp;IF(AND($O103&lt;&gt;"",$O103&gt;0,OR($N103/$O103&lt;BGB_FRACTION_MIN,$N103/$O103&gt;BGB_FRACTION_MAX)),"Below-ground share is "&amp;TEXT($N103/$O103,"0%")&amp;", outside the 18–30% the Trees guide describes. ",""))</f>
        <v/>
      </c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4" t="str">
        <f aca="false">IF($C104="","",IFERROR(12+(MATCH($C104,'R1. Tree Coefficients'!$L$12:$L$53,0)-1)*4,""))</f>
        <v/>
      </c>
      <c r="G104" s="14" t="str">
        <f aca="false">IF($F104="","",IF(AND($E104&lt;&gt;"",$E104&gt;0),"DBH + height","DBH only"))</f>
        <v/>
      </c>
      <c r="H104" s="14" t="str">
        <f aca="false">IF(OR($D104="",$F104=""),"",IF($E104&gt;0,INDEX('R1. Tree Coefficients'!$F:$F,$F104+0)*($D104^INDEX('R1. Tree Coefficients'!$G:$G,$F104+0))*($E104^INDEX('R1. Tree Coefficients'!$H:$H,$F104+0)),INDEX('R1. Tree Coefficients'!$D:$D,$F104+0)*($D104^INDEX('R1. Tree Coefficients'!$E:$E,$F104+0))))</f>
        <v/>
      </c>
      <c r="I104" s="14" t="str">
        <f aca="false">IF(OR($D104="",$F104=""),"",IF($E104&gt;0,INDEX('R1. Tree Coefficients'!$F:$F,$F104+1)*($D104^INDEX('R1. Tree Coefficients'!$G:$G,$F104+1))*($E104^INDEX('R1. Tree Coefficients'!$H:$H,$F104+1)),INDEX('R1. Tree Coefficients'!$D:$D,$F104+1)*($D104^INDEX('R1. Tree Coefficients'!$E:$E,$F104+1))))</f>
        <v/>
      </c>
      <c r="J104" s="14" t="str">
        <f aca="false">IF(OR($D104="",$F104=""),"",IF($E104&gt;0,INDEX('R1. Tree Coefficients'!$F:$F,$F104+2)*($D104^INDEX('R1. Tree Coefficients'!$G:$G,$F104+2))*($E104^INDEX('R1. Tree Coefficients'!$H:$H,$F104+2)),INDEX('R1. Tree Coefficients'!$D:$D,$F104+2)*($D104^INDEX('R1. Tree Coefficients'!$E:$E,$F104+2))))</f>
        <v/>
      </c>
      <c r="K104" s="14" t="str">
        <f aca="false">IF(OR($D104="",$F104=""),"",IF($E104&gt;0,INDEX('R1. Tree Coefficients'!$F:$F,$F104+3)*($D104^INDEX('R1. Tree Coefficients'!$G:$G,$F104+3))*($E104^INDEX('R1. Tree Coefficients'!$H:$H,$F104+3)),INDEX('R1. Tree Coefficients'!$D:$D,$F104+3)*($D104^INDEX('R1. Tree Coefficients'!$E:$E,$F104+3))))</f>
        <v/>
      </c>
      <c r="L104" s="14" t="str">
        <f aca="false">IF($F104="","",IFERROR(SUM($H104:$K104),""))</f>
        <v/>
      </c>
      <c r="M104" s="14" t="str">
        <f aca="false">IF($F104="","",INDEX('R1. Tree Coefficients'!$J:$J,$F104))</f>
        <v/>
      </c>
      <c r="N104" s="14" t="str">
        <f aca="false">IF($L104="","",IF($M104="Deciduous",BGB_RS_DECIDUOUS_a*($L104^BGB_RS_DECIDUOUS_b),IF($M104="Conifers",BGB_RS_CONIFER*$L104,AVERAGE(BGB_RS_DECIDUOUS_a*($L104^BGB_RS_DECIDUOUS_b),BGB_RS_CONIFER*$L104))))</f>
        <v/>
      </c>
      <c r="O104" s="14" t="str">
        <f aca="false">IF($L104="","",$L104+$N104)</f>
        <v/>
      </c>
      <c r="P104" s="14" t="str">
        <f aca="false">IF($O104="","",$O104*CARBON_FRACTION_BIOMASS)</f>
        <v/>
      </c>
      <c r="Q104" s="14" t="str">
        <f aca="false">IF(AND($A104="",$C104=""),"",IF(AND($A104&lt;&gt;"",COUNTIF('1. Plot &amp; Site Log'!$A$5:$A$64,$A104)=0),"Plot ID not in Plot &amp; Site Log — this tree will not reach the summary. ","")&amp;IF($A104="","No Plot ID. ","")&amp;IF(AND($C104&lt;&gt;"",$F104=""),"Species not in the coefficient list — check the spelling against R1. ","")&amp;IF($D104="","No DBH — nothing can be calculated. ","")&amp;IF(AND($D104&lt;&gt;"",$D104&gt;QC_DBH_MAX_CM),"DBH above "&amp;QC_DBH_MAX_CM&amp;" cm — check for a transcription error. ","")&amp;IF($M104="All","Generic species: no published root:shoot applies, so below-ground biomass is the mean of the deciduous and conifer relationships. Choose a species, or Deciduous/Conifers, if you can. ","")&amp;IF(AND($O104&lt;&gt;"",$O104&gt;0,OR($N104/$O104&lt;BGB_FRACTION_MIN,$N104/$O104&gt;BGB_FRACTION_MAX)),"Below-ground share is "&amp;TEXT($N104/$O104,"0%")&amp;", outside the 18–30% the Trees guide describes. ",""))</f>
        <v/>
      </c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4" t="str">
        <f aca="false">IF($C105="","",IFERROR(12+(MATCH($C105,'R1. Tree Coefficients'!$L$12:$L$53,0)-1)*4,""))</f>
        <v/>
      </c>
      <c r="G105" s="14" t="str">
        <f aca="false">IF($F105="","",IF(AND($E105&lt;&gt;"",$E105&gt;0),"DBH + height","DBH only"))</f>
        <v/>
      </c>
      <c r="H105" s="14" t="str">
        <f aca="false">IF(OR($D105="",$F105=""),"",IF($E105&gt;0,INDEX('R1. Tree Coefficients'!$F:$F,$F105+0)*($D105^INDEX('R1. Tree Coefficients'!$G:$G,$F105+0))*($E105^INDEX('R1. Tree Coefficients'!$H:$H,$F105+0)),INDEX('R1. Tree Coefficients'!$D:$D,$F105+0)*($D105^INDEX('R1. Tree Coefficients'!$E:$E,$F105+0))))</f>
        <v/>
      </c>
      <c r="I105" s="14" t="str">
        <f aca="false">IF(OR($D105="",$F105=""),"",IF($E105&gt;0,INDEX('R1. Tree Coefficients'!$F:$F,$F105+1)*($D105^INDEX('R1. Tree Coefficients'!$G:$G,$F105+1))*($E105^INDEX('R1. Tree Coefficients'!$H:$H,$F105+1)),INDEX('R1. Tree Coefficients'!$D:$D,$F105+1)*($D105^INDEX('R1. Tree Coefficients'!$E:$E,$F105+1))))</f>
        <v/>
      </c>
      <c r="J105" s="14" t="str">
        <f aca="false">IF(OR($D105="",$F105=""),"",IF($E105&gt;0,INDEX('R1. Tree Coefficients'!$F:$F,$F105+2)*($D105^INDEX('R1. Tree Coefficients'!$G:$G,$F105+2))*($E105^INDEX('R1. Tree Coefficients'!$H:$H,$F105+2)),INDEX('R1. Tree Coefficients'!$D:$D,$F105+2)*($D105^INDEX('R1. Tree Coefficients'!$E:$E,$F105+2))))</f>
        <v/>
      </c>
      <c r="K105" s="14" t="str">
        <f aca="false">IF(OR($D105="",$F105=""),"",IF($E105&gt;0,INDEX('R1. Tree Coefficients'!$F:$F,$F105+3)*($D105^INDEX('R1. Tree Coefficients'!$G:$G,$F105+3))*($E105^INDEX('R1. Tree Coefficients'!$H:$H,$F105+3)),INDEX('R1. Tree Coefficients'!$D:$D,$F105+3)*($D105^INDEX('R1. Tree Coefficients'!$E:$E,$F105+3))))</f>
        <v/>
      </c>
      <c r="L105" s="14" t="str">
        <f aca="false">IF($F105="","",IFERROR(SUM($H105:$K105),""))</f>
        <v/>
      </c>
      <c r="M105" s="14" t="str">
        <f aca="false">IF($F105="","",INDEX('R1. Tree Coefficients'!$J:$J,$F105))</f>
        <v/>
      </c>
      <c r="N105" s="14" t="str">
        <f aca="false">IF($L105="","",IF($M105="Deciduous",BGB_RS_DECIDUOUS_a*($L105^BGB_RS_DECIDUOUS_b),IF($M105="Conifers",BGB_RS_CONIFER*$L105,AVERAGE(BGB_RS_DECIDUOUS_a*($L105^BGB_RS_DECIDUOUS_b),BGB_RS_CONIFER*$L105))))</f>
        <v/>
      </c>
      <c r="O105" s="14" t="str">
        <f aca="false">IF($L105="","",$L105+$N105)</f>
        <v/>
      </c>
      <c r="P105" s="14" t="str">
        <f aca="false">IF($O105="","",$O105*CARBON_FRACTION_BIOMASS)</f>
        <v/>
      </c>
      <c r="Q105" s="14" t="str">
        <f aca="false">IF(AND($A105="",$C105=""),"",IF(AND($A105&lt;&gt;"",COUNTIF('1. Plot &amp; Site Log'!$A$5:$A$64,$A105)=0),"Plot ID not in Plot &amp; Site Log — this tree will not reach the summary. ","")&amp;IF($A105="","No Plot ID. ","")&amp;IF(AND($C105&lt;&gt;"",$F105=""),"Species not in the coefficient list — check the spelling against R1. ","")&amp;IF($D105="","No DBH — nothing can be calculated. ","")&amp;IF(AND($D105&lt;&gt;"",$D105&gt;QC_DBH_MAX_CM),"DBH above "&amp;QC_DBH_MAX_CM&amp;" cm — check for a transcription error. ","")&amp;IF($M105="All","Generic species: no published root:shoot applies, so below-ground biomass is the mean of the deciduous and conifer relationships. Choose a species, or Deciduous/Conifers, if you can. ","")&amp;IF(AND($O105&lt;&gt;"",$O105&gt;0,OR($N105/$O105&lt;BGB_FRACTION_MIN,$N105/$O105&gt;BGB_FRACTION_MAX)),"Below-ground share is "&amp;TEXT($N105/$O105,"0%")&amp;", outside the 18–30% the Trees guide describes. ",""))</f>
        <v/>
      </c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4" t="str">
        <f aca="false">IF($C106="","",IFERROR(12+(MATCH($C106,'R1. Tree Coefficients'!$L$12:$L$53,0)-1)*4,""))</f>
        <v/>
      </c>
      <c r="G106" s="14" t="str">
        <f aca="false">IF($F106="","",IF(AND($E106&lt;&gt;"",$E106&gt;0),"DBH + height","DBH only"))</f>
        <v/>
      </c>
      <c r="H106" s="14" t="str">
        <f aca="false">IF(OR($D106="",$F106=""),"",IF($E106&gt;0,INDEX('R1. Tree Coefficients'!$F:$F,$F106+0)*($D106^INDEX('R1. Tree Coefficients'!$G:$G,$F106+0))*($E106^INDEX('R1. Tree Coefficients'!$H:$H,$F106+0)),INDEX('R1. Tree Coefficients'!$D:$D,$F106+0)*($D106^INDEX('R1. Tree Coefficients'!$E:$E,$F106+0))))</f>
        <v/>
      </c>
      <c r="I106" s="14" t="str">
        <f aca="false">IF(OR($D106="",$F106=""),"",IF($E106&gt;0,INDEX('R1. Tree Coefficients'!$F:$F,$F106+1)*($D106^INDEX('R1. Tree Coefficients'!$G:$G,$F106+1))*($E106^INDEX('R1. Tree Coefficients'!$H:$H,$F106+1)),INDEX('R1. Tree Coefficients'!$D:$D,$F106+1)*($D106^INDEX('R1. Tree Coefficients'!$E:$E,$F106+1))))</f>
        <v/>
      </c>
      <c r="J106" s="14" t="str">
        <f aca="false">IF(OR($D106="",$F106=""),"",IF($E106&gt;0,INDEX('R1. Tree Coefficients'!$F:$F,$F106+2)*($D106^INDEX('R1. Tree Coefficients'!$G:$G,$F106+2))*($E106^INDEX('R1. Tree Coefficients'!$H:$H,$F106+2)),INDEX('R1. Tree Coefficients'!$D:$D,$F106+2)*($D106^INDEX('R1. Tree Coefficients'!$E:$E,$F106+2))))</f>
        <v/>
      </c>
      <c r="K106" s="14" t="str">
        <f aca="false">IF(OR($D106="",$F106=""),"",IF($E106&gt;0,INDEX('R1. Tree Coefficients'!$F:$F,$F106+3)*($D106^INDEX('R1. Tree Coefficients'!$G:$G,$F106+3))*($E106^INDEX('R1. Tree Coefficients'!$H:$H,$F106+3)),INDEX('R1. Tree Coefficients'!$D:$D,$F106+3)*($D106^INDEX('R1. Tree Coefficients'!$E:$E,$F106+3))))</f>
        <v/>
      </c>
      <c r="L106" s="14" t="str">
        <f aca="false">IF($F106="","",IFERROR(SUM($H106:$K106),""))</f>
        <v/>
      </c>
      <c r="M106" s="14" t="str">
        <f aca="false">IF($F106="","",INDEX('R1. Tree Coefficients'!$J:$J,$F106))</f>
        <v/>
      </c>
      <c r="N106" s="14" t="str">
        <f aca="false">IF($L106="","",IF($M106="Deciduous",BGB_RS_DECIDUOUS_a*($L106^BGB_RS_DECIDUOUS_b),IF($M106="Conifers",BGB_RS_CONIFER*$L106,AVERAGE(BGB_RS_DECIDUOUS_a*($L106^BGB_RS_DECIDUOUS_b),BGB_RS_CONIFER*$L106))))</f>
        <v/>
      </c>
      <c r="O106" s="14" t="str">
        <f aca="false">IF($L106="","",$L106+$N106)</f>
        <v/>
      </c>
      <c r="P106" s="14" t="str">
        <f aca="false">IF($O106="","",$O106*CARBON_FRACTION_BIOMASS)</f>
        <v/>
      </c>
      <c r="Q106" s="14" t="str">
        <f aca="false">IF(AND($A106="",$C106=""),"",IF(AND($A106&lt;&gt;"",COUNTIF('1. Plot &amp; Site Log'!$A$5:$A$64,$A106)=0),"Plot ID not in Plot &amp; Site Log — this tree will not reach the summary. ","")&amp;IF($A106="","No Plot ID. ","")&amp;IF(AND($C106&lt;&gt;"",$F106=""),"Species not in the coefficient list — check the spelling against R1. ","")&amp;IF($D106="","No DBH — nothing can be calculated. ","")&amp;IF(AND($D106&lt;&gt;"",$D106&gt;QC_DBH_MAX_CM),"DBH above "&amp;QC_DBH_MAX_CM&amp;" cm — check for a transcription error. ","")&amp;IF($M106="All","Generic species: no published root:shoot applies, so below-ground biomass is the mean of the deciduous and conifer relationships. Choose a species, or Deciduous/Conifers, if you can. ","")&amp;IF(AND($O106&lt;&gt;"",$O106&gt;0,OR($N106/$O106&lt;BGB_FRACTION_MIN,$N106/$O106&gt;BGB_FRACTION_MAX)),"Below-ground share is "&amp;TEXT($N106/$O106,"0%")&amp;", outside the 18–30% the Trees guide describes. ",""))</f>
        <v/>
      </c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4" t="str">
        <f aca="false">IF($C107="","",IFERROR(12+(MATCH($C107,'R1. Tree Coefficients'!$L$12:$L$53,0)-1)*4,""))</f>
        <v/>
      </c>
      <c r="G107" s="14" t="str">
        <f aca="false">IF($F107="","",IF(AND($E107&lt;&gt;"",$E107&gt;0),"DBH + height","DBH only"))</f>
        <v/>
      </c>
      <c r="H107" s="14" t="str">
        <f aca="false">IF(OR($D107="",$F107=""),"",IF($E107&gt;0,INDEX('R1. Tree Coefficients'!$F:$F,$F107+0)*($D107^INDEX('R1. Tree Coefficients'!$G:$G,$F107+0))*($E107^INDEX('R1. Tree Coefficients'!$H:$H,$F107+0)),INDEX('R1. Tree Coefficients'!$D:$D,$F107+0)*($D107^INDEX('R1. Tree Coefficients'!$E:$E,$F107+0))))</f>
        <v/>
      </c>
      <c r="I107" s="14" t="str">
        <f aca="false">IF(OR($D107="",$F107=""),"",IF($E107&gt;0,INDEX('R1. Tree Coefficients'!$F:$F,$F107+1)*($D107^INDEX('R1. Tree Coefficients'!$G:$G,$F107+1))*($E107^INDEX('R1. Tree Coefficients'!$H:$H,$F107+1)),INDEX('R1. Tree Coefficients'!$D:$D,$F107+1)*($D107^INDEX('R1. Tree Coefficients'!$E:$E,$F107+1))))</f>
        <v/>
      </c>
      <c r="J107" s="14" t="str">
        <f aca="false">IF(OR($D107="",$F107=""),"",IF($E107&gt;0,INDEX('R1. Tree Coefficients'!$F:$F,$F107+2)*($D107^INDEX('R1. Tree Coefficients'!$G:$G,$F107+2))*($E107^INDEX('R1. Tree Coefficients'!$H:$H,$F107+2)),INDEX('R1. Tree Coefficients'!$D:$D,$F107+2)*($D107^INDEX('R1. Tree Coefficients'!$E:$E,$F107+2))))</f>
        <v/>
      </c>
      <c r="K107" s="14" t="str">
        <f aca="false">IF(OR($D107="",$F107=""),"",IF($E107&gt;0,INDEX('R1. Tree Coefficients'!$F:$F,$F107+3)*($D107^INDEX('R1. Tree Coefficients'!$G:$G,$F107+3))*($E107^INDEX('R1. Tree Coefficients'!$H:$H,$F107+3)),INDEX('R1. Tree Coefficients'!$D:$D,$F107+3)*($D107^INDEX('R1. Tree Coefficients'!$E:$E,$F107+3))))</f>
        <v/>
      </c>
      <c r="L107" s="14" t="str">
        <f aca="false">IF($F107="","",IFERROR(SUM($H107:$K107),""))</f>
        <v/>
      </c>
      <c r="M107" s="14" t="str">
        <f aca="false">IF($F107="","",INDEX('R1. Tree Coefficients'!$J:$J,$F107))</f>
        <v/>
      </c>
      <c r="N107" s="14" t="str">
        <f aca="false">IF($L107="","",IF($M107="Deciduous",BGB_RS_DECIDUOUS_a*($L107^BGB_RS_DECIDUOUS_b),IF($M107="Conifers",BGB_RS_CONIFER*$L107,AVERAGE(BGB_RS_DECIDUOUS_a*($L107^BGB_RS_DECIDUOUS_b),BGB_RS_CONIFER*$L107))))</f>
        <v/>
      </c>
      <c r="O107" s="14" t="str">
        <f aca="false">IF($L107="","",$L107+$N107)</f>
        <v/>
      </c>
      <c r="P107" s="14" t="str">
        <f aca="false">IF($O107="","",$O107*CARBON_FRACTION_BIOMASS)</f>
        <v/>
      </c>
      <c r="Q107" s="14" t="str">
        <f aca="false">IF(AND($A107="",$C107=""),"",IF(AND($A107&lt;&gt;"",COUNTIF('1. Plot &amp; Site Log'!$A$5:$A$64,$A107)=0),"Plot ID not in Plot &amp; Site Log — this tree will not reach the summary. ","")&amp;IF($A107="","No Plot ID. ","")&amp;IF(AND($C107&lt;&gt;"",$F107=""),"Species not in the coefficient list — check the spelling against R1. ","")&amp;IF($D107="","No DBH — nothing can be calculated. ","")&amp;IF(AND($D107&lt;&gt;"",$D107&gt;QC_DBH_MAX_CM),"DBH above "&amp;QC_DBH_MAX_CM&amp;" cm — check for a transcription error. ","")&amp;IF($M107="All","Generic species: no published root:shoot applies, so below-ground biomass is the mean of the deciduous and conifer relationships. Choose a species, or Deciduous/Conifers, if you can. ","")&amp;IF(AND($O107&lt;&gt;"",$O107&gt;0,OR($N107/$O107&lt;BGB_FRACTION_MIN,$N107/$O107&gt;BGB_FRACTION_MAX)),"Below-ground share is "&amp;TEXT($N107/$O107,"0%")&amp;", outside the 18–30% the Trees guide describes. ",""))</f>
        <v/>
      </c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4" t="str">
        <f aca="false">IF($C108="","",IFERROR(12+(MATCH($C108,'R1. Tree Coefficients'!$L$12:$L$53,0)-1)*4,""))</f>
        <v/>
      </c>
      <c r="G108" s="14" t="str">
        <f aca="false">IF($F108="","",IF(AND($E108&lt;&gt;"",$E108&gt;0),"DBH + height","DBH only"))</f>
        <v/>
      </c>
      <c r="H108" s="14" t="str">
        <f aca="false">IF(OR($D108="",$F108=""),"",IF($E108&gt;0,INDEX('R1. Tree Coefficients'!$F:$F,$F108+0)*($D108^INDEX('R1. Tree Coefficients'!$G:$G,$F108+0))*($E108^INDEX('R1. Tree Coefficients'!$H:$H,$F108+0)),INDEX('R1. Tree Coefficients'!$D:$D,$F108+0)*($D108^INDEX('R1. Tree Coefficients'!$E:$E,$F108+0))))</f>
        <v/>
      </c>
      <c r="I108" s="14" t="str">
        <f aca="false">IF(OR($D108="",$F108=""),"",IF($E108&gt;0,INDEX('R1. Tree Coefficients'!$F:$F,$F108+1)*($D108^INDEX('R1. Tree Coefficients'!$G:$G,$F108+1))*($E108^INDEX('R1. Tree Coefficients'!$H:$H,$F108+1)),INDEX('R1. Tree Coefficients'!$D:$D,$F108+1)*($D108^INDEX('R1. Tree Coefficients'!$E:$E,$F108+1))))</f>
        <v/>
      </c>
      <c r="J108" s="14" t="str">
        <f aca="false">IF(OR($D108="",$F108=""),"",IF($E108&gt;0,INDEX('R1. Tree Coefficients'!$F:$F,$F108+2)*($D108^INDEX('R1. Tree Coefficients'!$G:$G,$F108+2))*($E108^INDEX('R1. Tree Coefficients'!$H:$H,$F108+2)),INDEX('R1. Tree Coefficients'!$D:$D,$F108+2)*($D108^INDEX('R1. Tree Coefficients'!$E:$E,$F108+2))))</f>
        <v/>
      </c>
      <c r="K108" s="14" t="str">
        <f aca="false">IF(OR($D108="",$F108=""),"",IF($E108&gt;0,INDEX('R1. Tree Coefficients'!$F:$F,$F108+3)*($D108^INDEX('R1. Tree Coefficients'!$G:$G,$F108+3))*($E108^INDEX('R1. Tree Coefficients'!$H:$H,$F108+3)),INDEX('R1. Tree Coefficients'!$D:$D,$F108+3)*($D108^INDEX('R1. Tree Coefficients'!$E:$E,$F108+3))))</f>
        <v/>
      </c>
      <c r="L108" s="14" t="str">
        <f aca="false">IF($F108="","",IFERROR(SUM($H108:$K108),""))</f>
        <v/>
      </c>
      <c r="M108" s="14" t="str">
        <f aca="false">IF($F108="","",INDEX('R1. Tree Coefficients'!$J:$J,$F108))</f>
        <v/>
      </c>
      <c r="N108" s="14" t="str">
        <f aca="false">IF($L108="","",IF($M108="Deciduous",BGB_RS_DECIDUOUS_a*($L108^BGB_RS_DECIDUOUS_b),IF($M108="Conifers",BGB_RS_CONIFER*$L108,AVERAGE(BGB_RS_DECIDUOUS_a*($L108^BGB_RS_DECIDUOUS_b),BGB_RS_CONIFER*$L108))))</f>
        <v/>
      </c>
      <c r="O108" s="14" t="str">
        <f aca="false">IF($L108="","",$L108+$N108)</f>
        <v/>
      </c>
      <c r="P108" s="14" t="str">
        <f aca="false">IF($O108="","",$O108*CARBON_FRACTION_BIOMASS)</f>
        <v/>
      </c>
      <c r="Q108" s="14" t="str">
        <f aca="false">IF(AND($A108="",$C108=""),"",IF(AND($A108&lt;&gt;"",COUNTIF('1. Plot &amp; Site Log'!$A$5:$A$64,$A108)=0),"Plot ID not in Plot &amp; Site Log — this tree will not reach the summary. ","")&amp;IF($A108="","No Plot ID. ","")&amp;IF(AND($C108&lt;&gt;"",$F108=""),"Species not in the coefficient list — check the spelling against R1. ","")&amp;IF($D108="","No DBH — nothing can be calculated. ","")&amp;IF(AND($D108&lt;&gt;"",$D108&gt;QC_DBH_MAX_CM),"DBH above "&amp;QC_DBH_MAX_CM&amp;" cm — check for a transcription error. ","")&amp;IF($M108="All","Generic species: no published root:shoot applies, so below-ground biomass is the mean of the deciduous and conifer relationships. Choose a species, or Deciduous/Conifers, if you can. ","")&amp;IF(AND($O108&lt;&gt;"",$O108&gt;0,OR($N108/$O108&lt;BGB_FRACTION_MIN,$N108/$O108&gt;BGB_FRACTION_MAX)),"Below-ground share is "&amp;TEXT($N108/$O108,"0%")&amp;", outside the 18–30% the Trees guide describes. ",""))</f>
        <v/>
      </c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4" t="str">
        <f aca="false">IF($C109="","",IFERROR(12+(MATCH($C109,'R1. Tree Coefficients'!$L$12:$L$53,0)-1)*4,""))</f>
        <v/>
      </c>
      <c r="G109" s="14" t="str">
        <f aca="false">IF($F109="","",IF(AND($E109&lt;&gt;"",$E109&gt;0),"DBH + height","DBH only"))</f>
        <v/>
      </c>
      <c r="H109" s="14" t="str">
        <f aca="false">IF(OR($D109="",$F109=""),"",IF($E109&gt;0,INDEX('R1. Tree Coefficients'!$F:$F,$F109+0)*($D109^INDEX('R1. Tree Coefficients'!$G:$G,$F109+0))*($E109^INDEX('R1. Tree Coefficients'!$H:$H,$F109+0)),INDEX('R1. Tree Coefficients'!$D:$D,$F109+0)*($D109^INDEX('R1. Tree Coefficients'!$E:$E,$F109+0))))</f>
        <v/>
      </c>
      <c r="I109" s="14" t="str">
        <f aca="false">IF(OR($D109="",$F109=""),"",IF($E109&gt;0,INDEX('R1. Tree Coefficients'!$F:$F,$F109+1)*($D109^INDEX('R1. Tree Coefficients'!$G:$G,$F109+1))*($E109^INDEX('R1. Tree Coefficients'!$H:$H,$F109+1)),INDEX('R1. Tree Coefficients'!$D:$D,$F109+1)*($D109^INDEX('R1. Tree Coefficients'!$E:$E,$F109+1))))</f>
        <v/>
      </c>
      <c r="J109" s="14" t="str">
        <f aca="false">IF(OR($D109="",$F109=""),"",IF($E109&gt;0,INDEX('R1. Tree Coefficients'!$F:$F,$F109+2)*($D109^INDEX('R1. Tree Coefficients'!$G:$G,$F109+2))*($E109^INDEX('R1. Tree Coefficients'!$H:$H,$F109+2)),INDEX('R1. Tree Coefficients'!$D:$D,$F109+2)*($D109^INDEX('R1. Tree Coefficients'!$E:$E,$F109+2))))</f>
        <v/>
      </c>
      <c r="K109" s="14" t="str">
        <f aca="false">IF(OR($D109="",$F109=""),"",IF($E109&gt;0,INDEX('R1. Tree Coefficients'!$F:$F,$F109+3)*($D109^INDEX('R1. Tree Coefficients'!$G:$G,$F109+3))*($E109^INDEX('R1. Tree Coefficients'!$H:$H,$F109+3)),INDEX('R1. Tree Coefficients'!$D:$D,$F109+3)*($D109^INDEX('R1. Tree Coefficients'!$E:$E,$F109+3))))</f>
        <v/>
      </c>
      <c r="L109" s="14" t="str">
        <f aca="false">IF($F109="","",IFERROR(SUM($H109:$K109),""))</f>
        <v/>
      </c>
      <c r="M109" s="14" t="str">
        <f aca="false">IF($F109="","",INDEX('R1. Tree Coefficients'!$J:$J,$F109))</f>
        <v/>
      </c>
      <c r="N109" s="14" t="str">
        <f aca="false">IF($L109="","",IF($M109="Deciduous",BGB_RS_DECIDUOUS_a*($L109^BGB_RS_DECIDUOUS_b),IF($M109="Conifers",BGB_RS_CONIFER*$L109,AVERAGE(BGB_RS_DECIDUOUS_a*($L109^BGB_RS_DECIDUOUS_b),BGB_RS_CONIFER*$L109))))</f>
        <v/>
      </c>
      <c r="O109" s="14" t="str">
        <f aca="false">IF($L109="","",$L109+$N109)</f>
        <v/>
      </c>
      <c r="P109" s="14" t="str">
        <f aca="false">IF($O109="","",$O109*CARBON_FRACTION_BIOMASS)</f>
        <v/>
      </c>
      <c r="Q109" s="14" t="str">
        <f aca="false">IF(AND($A109="",$C109=""),"",IF(AND($A109&lt;&gt;"",COUNTIF('1. Plot &amp; Site Log'!$A$5:$A$64,$A109)=0),"Plot ID not in Plot &amp; Site Log — this tree will not reach the summary. ","")&amp;IF($A109="","No Plot ID. ","")&amp;IF(AND($C109&lt;&gt;"",$F109=""),"Species not in the coefficient list — check the spelling against R1. ","")&amp;IF($D109="","No DBH — nothing can be calculated. ","")&amp;IF(AND($D109&lt;&gt;"",$D109&gt;QC_DBH_MAX_CM),"DBH above "&amp;QC_DBH_MAX_CM&amp;" cm — check for a transcription error. ","")&amp;IF($M109="All","Generic species: no published root:shoot applies, so below-ground biomass is the mean of the deciduous and conifer relationships. Choose a species, or Deciduous/Conifers, if you can. ","")&amp;IF(AND($O109&lt;&gt;"",$O109&gt;0,OR($N109/$O109&lt;BGB_FRACTION_MIN,$N109/$O109&gt;BGB_FRACTION_MAX)),"Below-ground share is "&amp;TEXT($N109/$O109,"0%")&amp;", outside the 18–30% the Trees guide describes. ",""))</f>
        <v/>
      </c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4" t="str">
        <f aca="false">IF($C110="","",IFERROR(12+(MATCH($C110,'R1. Tree Coefficients'!$L$12:$L$53,0)-1)*4,""))</f>
        <v/>
      </c>
      <c r="G110" s="14" t="str">
        <f aca="false">IF($F110="","",IF(AND($E110&lt;&gt;"",$E110&gt;0),"DBH + height","DBH only"))</f>
        <v/>
      </c>
      <c r="H110" s="14" t="str">
        <f aca="false">IF(OR($D110="",$F110=""),"",IF($E110&gt;0,INDEX('R1. Tree Coefficients'!$F:$F,$F110+0)*($D110^INDEX('R1. Tree Coefficients'!$G:$G,$F110+0))*($E110^INDEX('R1. Tree Coefficients'!$H:$H,$F110+0)),INDEX('R1. Tree Coefficients'!$D:$D,$F110+0)*($D110^INDEX('R1. Tree Coefficients'!$E:$E,$F110+0))))</f>
        <v/>
      </c>
      <c r="I110" s="14" t="str">
        <f aca="false">IF(OR($D110="",$F110=""),"",IF($E110&gt;0,INDEX('R1. Tree Coefficients'!$F:$F,$F110+1)*($D110^INDEX('R1. Tree Coefficients'!$G:$G,$F110+1))*($E110^INDEX('R1. Tree Coefficients'!$H:$H,$F110+1)),INDEX('R1. Tree Coefficients'!$D:$D,$F110+1)*($D110^INDEX('R1. Tree Coefficients'!$E:$E,$F110+1))))</f>
        <v/>
      </c>
      <c r="J110" s="14" t="str">
        <f aca="false">IF(OR($D110="",$F110=""),"",IF($E110&gt;0,INDEX('R1. Tree Coefficients'!$F:$F,$F110+2)*($D110^INDEX('R1. Tree Coefficients'!$G:$G,$F110+2))*($E110^INDEX('R1. Tree Coefficients'!$H:$H,$F110+2)),INDEX('R1. Tree Coefficients'!$D:$D,$F110+2)*($D110^INDEX('R1. Tree Coefficients'!$E:$E,$F110+2))))</f>
        <v/>
      </c>
      <c r="K110" s="14" t="str">
        <f aca="false">IF(OR($D110="",$F110=""),"",IF($E110&gt;0,INDEX('R1. Tree Coefficients'!$F:$F,$F110+3)*($D110^INDEX('R1. Tree Coefficients'!$G:$G,$F110+3))*($E110^INDEX('R1. Tree Coefficients'!$H:$H,$F110+3)),INDEX('R1. Tree Coefficients'!$D:$D,$F110+3)*($D110^INDEX('R1. Tree Coefficients'!$E:$E,$F110+3))))</f>
        <v/>
      </c>
      <c r="L110" s="14" t="str">
        <f aca="false">IF($F110="","",IFERROR(SUM($H110:$K110),""))</f>
        <v/>
      </c>
      <c r="M110" s="14" t="str">
        <f aca="false">IF($F110="","",INDEX('R1. Tree Coefficients'!$J:$J,$F110))</f>
        <v/>
      </c>
      <c r="N110" s="14" t="str">
        <f aca="false">IF($L110="","",IF($M110="Deciduous",BGB_RS_DECIDUOUS_a*($L110^BGB_RS_DECIDUOUS_b),IF($M110="Conifers",BGB_RS_CONIFER*$L110,AVERAGE(BGB_RS_DECIDUOUS_a*($L110^BGB_RS_DECIDUOUS_b),BGB_RS_CONIFER*$L110))))</f>
        <v/>
      </c>
      <c r="O110" s="14" t="str">
        <f aca="false">IF($L110="","",$L110+$N110)</f>
        <v/>
      </c>
      <c r="P110" s="14" t="str">
        <f aca="false">IF($O110="","",$O110*CARBON_FRACTION_BIOMASS)</f>
        <v/>
      </c>
      <c r="Q110" s="14" t="str">
        <f aca="false">IF(AND($A110="",$C110=""),"",IF(AND($A110&lt;&gt;"",COUNTIF('1. Plot &amp; Site Log'!$A$5:$A$64,$A110)=0),"Plot ID not in Plot &amp; Site Log — this tree will not reach the summary. ","")&amp;IF($A110="","No Plot ID. ","")&amp;IF(AND($C110&lt;&gt;"",$F110=""),"Species not in the coefficient list — check the spelling against R1. ","")&amp;IF($D110="","No DBH — nothing can be calculated. ","")&amp;IF(AND($D110&lt;&gt;"",$D110&gt;QC_DBH_MAX_CM),"DBH above "&amp;QC_DBH_MAX_CM&amp;" cm — check for a transcription error. ","")&amp;IF($M110="All","Generic species: no published root:shoot applies, so below-ground biomass is the mean of the deciduous and conifer relationships. Choose a species, or Deciduous/Conifers, if you can. ","")&amp;IF(AND($O110&lt;&gt;"",$O110&gt;0,OR($N110/$O110&lt;BGB_FRACTION_MIN,$N110/$O110&gt;BGB_FRACTION_MAX)),"Below-ground share is "&amp;TEXT($N110/$O110,"0%")&amp;", outside the 18–30% the Trees guide describes. ",""))</f>
        <v/>
      </c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4" t="str">
        <f aca="false">IF($C111="","",IFERROR(12+(MATCH($C111,'R1. Tree Coefficients'!$L$12:$L$53,0)-1)*4,""))</f>
        <v/>
      </c>
      <c r="G111" s="14" t="str">
        <f aca="false">IF($F111="","",IF(AND($E111&lt;&gt;"",$E111&gt;0),"DBH + height","DBH only"))</f>
        <v/>
      </c>
      <c r="H111" s="14" t="str">
        <f aca="false">IF(OR($D111="",$F111=""),"",IF($E111&gt;0,INDEX('R1. Tree Coefficients'!$F:$F,$F111+0)*($D111^INDEX('R1. Tree Coefficients'!$G:$G,$F111+0))*($E111^INDEX('R1. Tree Coefficients'!$H:$H,$F111+0)),INDEX('R1. Tree Coefficients'!$D:$D,$F111+0)*($D111^INDEX('R1. Tree Coefficients'!$E:$E,$F111+0))))</f>
        <v/>
      </c>
      <c r="I111" s="14" t="str">
        <f aca="false">IF(OR($D111="",$F111=""),"",IF($E111&gt;0,INDEX('R1. Tree Coefficients'!$F:$F,$F111+1)*($D111^INDEX('R1. Tree Coefficients'!$G:$G,$F111+1))*($E111^INDEX('R1. Tree Coefficients'!$H:$H,$F111+1)),INDEX('R1. Tree Coefficients'!$D:$D,$F111+1)*($D111^INDEX('R1. Tree Coefficients'!$E:$E,$F111+1))))</f>
        <v/>
      </c>
      <c r="J111" s="14" t="str">
        <f aca="false">IF(OR($D111="",$F111=""),"",IF($E111&gt;0,INDEX('R1. Tree Coefficients'!$F:$F,$F111+2)*($D111^INDEX('R1. Tree Coefficients'!$G:$G,$F111+2))*($E111^INDEX('R1. Tree Coefficients'!$H:$H,$F111+2)),INDEX('R1. Tree Coefficients'!$D:$D,$F111+2)*($D111^INDEX('R1. Tree Coefficients'!$E:$E,$F111+2))))</f>
        <v/>
      </c>
      <c r="K111" s="14" t="str">
        <f aca="false">IF(OR($D111="",$F111=""),"",IF($E111&gt;0,INDEX('R1. Tree Coefficients'!$F:$F,$F111+3)*($D111^INDEX('R1. Tree Coefficients'!$G:$G,$F111+3))*($E111^INDEX('R1. Tree Coefficients'!$H:$H,$F111+3)),INDEX('R1. Tree Coefficients'!$D:$D,$F111+3)*($D111^INDEX('R1. Tree Coefficients'!$E:$E,$F111+3))))</f>
        <v/>
      </c>
      <c r="L111" s="14" t="str">
        <f aca="false">IF($F111="","",IFERROR(SUM($H111:$K111),""))</f>
        <v/>
      </c>
      <c r="M111" s="14" t="str">
        <f aca="false">IF($F111="","",INDEX('R1. Tree Coefficients'!$J:$J,$F111))</f>
        <v/>
      </c>
      <c r="N111" s="14" t="str">
        <f aca="false">IF($L111="","",IF($M111="Deciduous",BGB_RS_DECIDUOUS_a*($L111^BGB_RS_DECIDUOUS_b),IF($M111="Conifers",BGB_RS_CONIFER*$L111,AVERAGE(BGB_RS_DECIDUOUS_a*($L111^BGB_RS_DECIDUOUS_b),BGB_RS_CONIFER*$L111))))</f>
        <v/>
      </c>
      <c r="O111" s="14" t="str">
        <f aca="false">IF($L111="","",$L111+$N111)</f>
        <v/>
      </c>
      <c r="P111" s="14" t="str">
        <f aca="false">IF($O111="","",$O111*CARBON_FRACTION_BIOMASS)</f>
        <v/>
      </c>
      <c r="Q111" s="14" t="str">
        <f aca="false">IF(AND($A111="",$C111=""),"",IF(AND($A111&lt;&gt;"",COUNTIF('1. Plot &amp; Site Log'!$A$5:$A$64,$A111)=0),"Plot ID not in Plot &amp; Site Log — this tree will not reach the summary. ","")&amp;IF($A111="","No Plot ID. ","")&amp;IF(AND($C111&lt;&gt;"",$F111=""),"Species not in the coefficient list — check the spelling against R1. ","")&amp;IF($D111="","No DBH — nothing can be calculated. ","")&amp;IF(AND($D111&lt;&gt;"",$D111&gt;QC_DBH_MAX_CM),"DBH above "&amp;QC_DBH_MAX_CM&amp;" cm — check for a transcription error. ","")&amp;IF($M111="All","Generic species: no published root:shoot applies, so below-ground biomass is the mean of the deciduous and conifer relationships. Choose a species, or Deciduous/Conifers, if you can. ","")&amp;IF(AND($O111&lt;&gt;"",$O111&gt;0,OR($N111/$O111&lt;BGB_FRACTION_MIN,$N111/$O111&gt;BGB_FRACTION_MAX)),"Below-ground share is "&amp;TEXT($N111/$O111,"0%")&amp;", outside the 18–30% the Trees guide describes. ",""))</f>
        <v/>
      </c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4" t="str">
        <f aca="false">IF($C112="","",IFERROR(12+(MATCH($C112,'R1. Tree Coefficients'!$L$12:$L$53,0)-1)*4,""))</f>
        <v/>
      </c>
      <c r="G112" s="14" t="str">
        <f aca="false">IF($F112="","",IF(AND($E112&lt;&gt;"",$E112&gt;0),"DBH + height","DBH only"))</f>
        <v/>
      </c>
      <c r="H112" s="14" t="str">
        <f aca="false">IF(OR($D112="",$F112=""),"",IF($E112&gt;0,INDEX('R1. Tree Coefficients'!$F:$F,$F112+0)*($D112^INDEX('R1. Tree Coefficients'!$G:$G,$F112+0))*($E112^INDEX('R1. Tree Coefficients'!$H:$H,$F112+0)),INDEX('R1. Tree Coefficients'!$D:$D,$F112+0)*($D112^INDEX('R1. Tree Coefficients'!$E:$E,$F112+0))))</f>
        <v/>
      </c>
      <c r="I112" s="14" t="str">
        <f aca="false">IF(OR($D112="",$F112=""),"",IF($E112&gt;0,INDEX('R1. Tree Coefficients'!$F:$F,$F112+1)*($D112^INDEX('R1. Tree Coefficients'!$G:$G,$F112+1))*($E112^INDEX('R1. Tree Coefficients'!$H:$H,$F112+1)),INDEX('R1. Tree Coefficients'!$D:$D,$F112+1)*($D112^INDEX('R1. Tree Coefficients'!$E:$E,$F112+1))))</f>
        <v/>
      </c>
      <c r="J112" s="14" t="str">
        <f aca="false">IF(OR($D112="",$F112=""),"",IF($E112&gt;0,INDEX('R1. Tree Coefficients'!$F:$F,$F112+2)*($D112^INDEX('R1. Tree Coefficients'!$G:$G,$F112+2))*($E112^INDEX('R1. Tree Coefficients'!$H:$H,$F112+2)),INDEX('R1. Tree Coefficients'!$D:$D,$F112+2)*($D112^INDEX('R1. Tree Coefficients'!$E:$E,$F112+2))))</f>
        <v/>
      </c>
      <c r="K112" s="14" t="str">
        <f aca="false">IF(OR($D112="",$F112=""),"",IF($E112&gt;0,INDEX('R1. Tree Coefficients'!$F:$F,$F112+3)*($D112^INDEX('R1. Tree Coefficients'!$G:$G,$F112+3))*($E112^INDEX('R1. Tree Coefficients'!$H:$H,$F112+3)),INDEX('R1. Tree Coefficients'!$D:$D,$F112+3)*($D112^INDEX('R1. Tree Coefficients'!$E:$E,$F112+3))))</f>
        <v/>
      </c>
      <c r="L112" s="14" t="str">
        <f aca="false">IF($F112="","",IFERROR(SUM($H112:$K112),""))</f>
        <v/>
      </c>
      <c r="M112" s="14" t="str">
        <f aca="false">IF($F112="","",INDEX('R1. Tree Coefficients'!$J:$J,$F112))</f>
        <v/>
      </c>
      <c r="N112" s="14" t="str">
        <f aca="false">IF($L112="","",IF($M112="Deciduous",BGB_RS_DECIDUOUS_a*($L112^BGB_RS_DECIDUOUS_b),IF($M112="Conifers",BGB_RS_CONIFER*$L112,AVERAGE(BGB_RS_DECIDUOUS_a*($L112^BGB_RS_DECIDUOUS_b),BGB_RS_CONIFER*$L112))))</f>
        <v/>
      </c>
      <c r="O112" s="14" t="str">
        <f aca="false">IF($L112="","",$L112+$N112)</f>
        <v/>
      </c>
      <c r="P112" s="14" t="str">
        <f aca="false">IF($O112="","",$O112*CARBON_FRACTION_BIOMASS)</f>
        <v/>
      </c>
      <c r="Q112" s="14" t="str">
        <f aca="false">IF(AND($A112="",$C112=""),"",IF(AND($A112&lt;&gt;"",COUNTIF('1. Plot &amp; Site Log'!$A$5:$A$64,$A112)=0),"Plot ID not in Plot &amp; Site Log — this tree will not reach the summary. ","")&amp;IF($A112="","No Plot ID. ","")&amp;IF(AND($C112&lt;&gt;"",$F112=""),"Species not in the coefficient list — check the spelling against R1. ","")&amp;IF($D112="","No DBH — nothing can be calculated. ","")&amp;IF(AND($D112&lt;&gt;"",$D112&gt;QC_DBH_MAX_CM),"DBH above "&amp;QC_DBH_MAX_CM&amp;" cm — check for a transcription error. ","")&amp;IF($M112="All","Generic species: no published root:shoot applies, so below-ground biomass is the mean of the deciduous and conifer relationships. Choose a species, or Deciduous/Conifers, if you can. ","")&amp;IF(AND($O112&lt;&gt;"",$O112&gt;0,OR($N112/$O112&lt;BGB_FRACTION_MIN,$N112/$O112&gt;BGB_FRACTION_MAX)),"Below-ground share is "&amp;TEXT($N112/$O112,"0%")&amp;", outside the 18–30% the Trees guide describes. ",""))</f>
        <v/>
      </c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4" t="str">
        <f aca="false">IF($C113="","",IFERROR(12+(MATCH($C113,'R1. Tree Coefficients'!$L$12:$L$53,0)-1)*4,""))</f>
        <v/>
      </c>
      <c r="G113" s="14" t="str">
        <f aca="false">IF($F113="","",IF(AND($E113&lt;&gt;"",$E113&gt;0),"DBH + height","DBH only"))</f>
        <v/>
      </c>
      <c r="H113" s="14" t="str">
        <f aca="false">IF(OR($D113="",$F113=""),"",IF($E113&gt;0,INDEX('R1. Tree Coefficients'!$F:$F,$F113+0)*($D113^INDEX('R1. Tree Coefficients'!$G:$G,$F113+0))*($E113^INDEX('R1. Tree Coefficients'!$H:$H,$F113+0)),INDEX('R1. Tree Coefficients'!$D:$D,$F113+0)*($D113^INDEX('R1. Tree Coefficients'!$E:$E,$F113+0))))</f>
        <v/>
      </c>
      <c r="I113" s="14" t="str">
        <f aca="false">IF(OR($D113="",$F113=""),"",IF($E113&gt;0,INDEX('R1. Tree Coefficients'!$F:$F,$F113+1)*($D113^INDEX('R1. Tree Coefficients'!$G:$G,$F113+1))*($E113^INDEX('R1. Tree Coefficients'!$H:$H,$F113+1)),INDEX('R1. Tree Coefficients'!$D:$D,$F113+1)*($D113^INDEX('R1. Tree Coefficients'!$E:$E,$F113+1))))</f>
        <v/>
      </c>
      <c r="J113" s="14" t="str">
        <f aca="false">IF(OR($D113="",$F113=""),"",IF($E113&gt;0,INDEX('R1. Tree Coefficients'!$F:$F,$F113+2)*($D113^INDEX('R1. Tree Coefficients'!$G:$G,$F113+2))*($E113^INDEX('R1. Tree Coefficients'!$H:$H,$F113+2)),INDEX('R1. Tree Coefficients'!$D:$D,$F113+2)*($D113^INDEX('R1. Tree Coefficients'!$E:$E,$F113+2))))</f>
        <v/>
      </c>
      <c r="K113" s="14" t="str">
        <f aca="false">IF(OR($D113="",$F113=""),"",IF($E113&gt;0,INDEX('R1. Tree Coefficients'!$F:$F,$F113+3)*($D113^INDEX('R1. Tree Coefficients'!$G:$G,$F113+3))*($E113^INDEX('R1. Tree Coefficients'!$H:$H,$F113+3)),INDEX('R1. Tree Coefficients'!$D:$D,$F113+3)*($D113^INDEX('R1. Tree Coefficients'!$E:$E,$F113+3))))</f>
        <v/>
      </c>
      <c r="L113" s="14" t="str">
        <f aca="false">IF($F113="","",IFERROR(SUM($H113:$K113),""))</f>
        <v/>
      </c>
      <c r="M113" s="14" t="str">
        <f aca="false">IF($F113="","",INDEX('R1. Tree Coefficients'!$J:$J,$F113))</f>
        <v/>
      </c>
      <c r="N113" s="14" t="str">
        <f aca="false">IF($L113="","",IF($M113="Deciduous",BGB_RS_DECIDUOUS_a*($L113^BGB_RS_DECIDUOUS_b),IF($M113="Conifers",BGB_RS_CONIFER*$L113,AVERAGE(BGB_RS_DECIDUOUS_a*($L113^BGB_RS_DECIDUOUS_b),BGB_RS_CONIFER*$L113))))</f>
        <v/>
      </c>
      <c r="O113" s="14" t="str">
        <f aca="false">IF($L113="","",$L113+$N113)</f>
        <v/>
      </c>
      <c r="P113" s="14" t="str">
        <f aca="false">IF($O113="","",$O113*CARBON_FRACTION_BIOMASS)</f>
        <v/>
      </c>
      <c r="Q113" s="14" t="str">
        <f aca="false">IF(AND($A113="",$C113=""),"",IF(AND($A113&lt;&gt;"",COUNTIF('1. Plot &amp; Site Log'!$A$5:$A$64,$A113)=0),"Plot ID not in Plot &amp; Site Log — this tree will not reach the summary. ","")&amp;IF($A113="","No Plot ID. ","")&amp;IF(AND($C113&lt;&gt;"",$F113=""),"Species not in the coefficient list — check the spelling against R1. ","")&amp;IF($D113="","No DBH — nothing can be calculated. ","")&amp;IF(AND($D113&lt;&gt;"",$D113&gt;QC_DBH_MAX_CM),"DBH above "&amp;QC_DBH_MAX_CM&amp;" cm — check for a transcription error. ","")&amp;IF($M113="All","Generic species: no published root:shoot applies, so below-ground biomass is the mean of the deciduous and conifer relationships. Choose a species, or Deciduous/Conifers, if you can. ","")&amp;IF(AND($O113&lt;&gt;"",$O113&gt;0,OR($N113/$O113&lt;BGB_FRACTION_MIN,$N113/$O113&gt;BGB_FRACTION_MAX)),"Below-ground share is "&amp;TEXT($N113/$O113,"0%")&amp;", outside the 18–30% the Trees guide describes. ",""))</f>
        <v/>
      </c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4" t="str">
        <f aca="false">IF($C114="","",IFERROR(12+(MATCH($C114,'R1. Tree Coefficients'!$L$12:$L$53,0)-1)*4,""))</f>
        <v/>
      </c>
      <c r="G114" s="14" t="str">
        <f aca="false">IF($F114="","",IF(AND($E114&lt;&gt;"",$E114&gt;0),"DBH + height","DBH only"))</f>
        <v/>
      </c>
      <c r="H114" s="14" t="str">
        <f aca="false">IF(OR($D114="",$F114=""),"",IF($E114&gt;0,INDEX('R1. Tree Coefficients'!$F:$F,$F114+0)*($D114^INDEX('R1. Tree Coefficients'!$G:$G,$F114+0))*($E114^INDEX('R1. Tree Coefficients'!$H:$H,$F114+0)),INDEX('R1. Tree Coefficients'!$D:$D,$F114+0)*($D114^INDEX('R1. Tree Coefficients'!$E:$E,$F114+0))))</f>
        <v/>
      </c>
      <c r="I114" s="14" t="str">
        <f aca="false">IF(OR($D114="",$F114=""),"",IF($E114&gt;0,INDEX('R1. Tree Coefficients'!$F:$F,$F114+1)*($D114^INDEX('R1. Tree Coefficients'!$G:$G,$F114+1))*($E114^INDEX('R1. Tree Coefficients'!$H:$H,$F114+1)),INDEX('R1. Tree Coefficients'!$D:$D,$F114+1)*($D114^INDEX('R1. Tree Coefficients'!$E:$E,$F114+1))))</f>
        <v/>
      </c>
      <c r="J114" s="14" t="str">
        <f aca="false">IF(OR($D114="",$F114=""),"",IF($E114&gt;0,INDEX('R1. Tree Coefficients'!$F:$F,$F114+2)*($D114^INDEX('R1. Tree Coefficients'!$G:$G,$F114+2))*($E114^INDEX('R1. Tree Coefficients'!$H:$H,$F114+2)),INDEX('R1. Tree Coefficients'!$D:$D,$F114+2)*($D114^INDEX('R1. Tree Coefficients'!$E:$E,$F114+2))))</f>
        <v/>
      </c>
      <c r="K114" s="14" t="str">
        <f aca="false">IF(OR($D114="",$F114=""),"",IF($E114&gt;0,INDEX('R1. Tree Coefficients'!$F:$F,$F114+3)*($D114^INDEX('R1. Tree Coefficients'!$G:$G,$F114+3))*($E114^INDEX('R1. Tree Coefficients'!$H:$H,$F114+3)),INDEX('R1. Tree Coefficients'!$D:$D,$F114+3)*($D114^INDEX('R1. Tree Coefficients'!$E:$E,$F114+3))))</f>
        <v/>
      </c>
      <c r="L114" s="14" t="str">
        <f aca="false">IF($F114="","",IFERROR(SUM($H114:$K114),""))</f>
        <v/>
      </c>
      <c r="M114" s="14" t="str">
        <f aca="false">IF($F114="","",INDEX('R1. Tree Coefficients'!$J:$J,$F114))</f>
        <v/>
      </c>
      <c r="N114" s="14" t="str">
        <f aca="false">IF($L114="","",IF($M114="Deciduous",BGB_RS_DECIDUOUS_a*($L114^BGB_RS_DECIDUOUS_b),IF($M114="Conifers",BGB_RS_CONIFER*$L114,AVERAGE(BGB_RS_DECIDUOUS_a*($L114^BGB_RS_DECIDUOUS_b),BGB_RS_CONIFER*$L114))))</f>
        <v/>
      </c>
      <c r="O114" s="14" t="str">
        <f aca="false">IF($L114="","",$L114+$N114)</f>
        <v/>
      </c>
      <c r="P114" s="14" t="str">
        <f aca="false">IF($O114="","",$O114*CARBON_FRACTION_BIOMASS)</f>
        <v/>
      </c>
      <c r="Q114" s="14" t="str">
        <f aca="false">IF(AND($A114="",$C114=""),"",IF(AND($A114&lt;&gt;"",COUNTIF('1. Plot &amp; Site Log'!$A$5:$A$64,$A114)=0),"Plot ID not in Plot &amp; Site Log — this tree will not reach the summary. ","")&amp;IF($A114="","No Plot ID. ","")&amp;IF(AND($C114&lt;&gt;"",$F114=""),"Species not in the coefficient list — check the spelling against R1. ","")&amp;IF($D114="","No DBH — nothing can be calculated. ","")&amp;IF(AND($D114&lt;&gt;"",$D114&gt;QC_DBH_MAX_CM),"DBH above "&amp;QC_DBH_MAX_CM&amp;" cm — check for a transcription error. ","")&amp;IF($M114="All","Generic species: no published root:shoot applies, so below-ground biomass is the mean of the deciduous and conifer relationships. Choose a species, or Deciduous/Conifers, if you can. ","")&amp;IF(AND($O114&lt;&gt;"",$O114&gt;0,OR($N114/$O114&lt;BGB_FRACTION_MIN,$N114/$O114&gt;BGB_FRACTION_MAX)),"Below-ground share is "&amp;TEXT($N114/$O114,"0%")&amp;", outside the 18–30% the Trees guide describes. ",""))</f>
        <v/>
      </c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4" t="str">
        <f aca="false">IF($C115="","",IFERROR(12+(MATCH($C115,'R1. Tree Coefficients'!$L$12:$L$53,0)-1)*4,""))</f>
        <v/>
      </c>
      <c r="G115" s="14" t="str">
        <f aca="false">IF($F115="","",IF(AND($E115&lt;&gt;"",$E115&gt;0),"DBH + height","DBH only"))</f>
        <v/>
      </c>
      <c r="H115" s="14" t="str">
        <f aca="false">IF(OR($D115="",$F115=""),"",IF($E115&gt;0,INDEX('R1. Tree Coefficients'!$F:$F,$F115+0)*($D115^INDEX('R1. Tree Coefficients'!$G:$G,$F115+0))*($E115^INDEX('R1. Tree Coefficients'!$H:$H,$F115+0)),INDEX('R1. Tree Coefficients'!$D:$D,$F115+0)*($D115^INDEX('R1. Tree Coefficients'!$E:$E,$F115+0))))</f>
        <v/>
      </c>
      <c r="I115" s="14" t="str">
        <f aca="false">IF(OR($D115="",$F115=""),"",IF($E115&gt;0,INDEX('R1. Tree Coefficients'!$F:$F,$F115+1)*($D115^INDEX('R1. Tree Coefficients'!$G:$G,$F115+1))*($E115^INDEX('R1. Tree Coefficients'!$H:$H,$F115+1)),INDEX('R1. Tree Coefficients'!$D:$D,$F115+1)*($D115^INDEX('R1. Tree Coefficients'!$E:$E,$F115+1))))</f>
        <v/>
      </c>
      <c r="J115" s="14" t="str">
        <f aca="false">IF(OR($D115="",$F115=""),"",IF($E115&gt;0,INDEX('R1. Tree Coefficients'!$F:$F,$F115+2)*($D115^INDEX('R1. Tree Coefficients'!$G:$G,$F115+2))*($E115^INDEX('R1. Tree Coefficients'!$H:$H,$F115+2)),INDEX('R1. Tree Coefficients'!$D:$D,$F115+2)*($D115^INDEX('R1. Tree Coefficients'!$E:$E,$F115+2))))</f>
        <v/>
      </c>
      <c r="K115" s="14" t="str">
        <f aca="false">IF(OR($D115="",$F115=""),"",IF($E115&gt;0,INDEX('R1. Tree Coefficients'!$F:$F,$F115+3)*($D115^INDEX('R1. Tree Coefficients'!$G:$G,$F115+3))*($E115^INDEX('R1. Tree Coefficients'!$H:$H,$F115+3)),INDEX('R1. Tree Coefficients'!$D:$D,$F115+3)*($D115^INDEX('R1. Tree Coefficients'!$E:$E,$F115+3))))</f>
        <v/>
      </c>
      <c r="L115" s="14" t="str">
        <f aca="false">IF($F115="","",IFERROR(SUM($H115:$K115),""))</f>
        <v/>
      </c>
      <c r="M115" s="14" t="str">
        <f aca="false">IF($F115="","",INDEX('R1. Tree Coefficients'!$J:$J,$F115))</f>
        <v/>
      </c>
      <c r="N115" s="14" t="str">
        <f aca="false">IF($L115="","",IF($M115="Deciduous",BGB_RS_DECIDUOUS_a*($L115^BGB_RS_DECIDUOUS_b),IF($M115="Conifers",BGB_RS_CONIFER*$L115,AVERAGE(BGB_RS_DECIDUOUS_a*($L115^BGB_RS_DECIDUOUS_b),BGB_RS_CONIFER*$L115))))</f>
        <v/>
      </c>
      <c r="O115" s="14" t="str">
        <f aca="false">IF($L115="","",$L115+$N115)</f>
        <v/>
      </c>
      <c r="P115" s="14" t="str">
        <f aca="false">IF($O115="","",$O115*CARBON_FRACTION_BIOMASS)</f>
        <v/>
      </c>
      <c r="Q115" s="14" t="str">
        <f aca="false">IF(AND($A115="",$C115=""),"",IF(AND($A115&lt;&gt;"",COUNTIF('1. Plot &amp; Site Log'!$A$5:$A$64,$A115)=0),"Plot ID not in Plot &amp; Site Log — this tree will not reach the summary. ","")&amp;IF($A115="","No Plot ID. ","")&amp;IF(AND($C115&lt;&gt;"",$F115=""),"Species not in the coefficient list — check the spelling against R1. ","")&amp;IF($D115="","No DBH — nothing can be calculated. ","")&amp;IF(AND($D115&lt;&gt;"",$D115&gt;QC_DBH_MAX_CM),"DBH above "&amp;QC_DBH_MAX_CM&amp;" cm — check for a transcription error. ","")&amp;IF($M115="All","Generic species: no published root:shoot applies, so below-ground biomass is the mean of the deciduous and conifer relationships. Choose a species, or Deciduous/Conifers, if you can. ","")&amp;IF(AND($O115&lt;&gt;"",$O115&gt;0,OR($N115/$O115&lt;BGB_FRACTION_MIN,$N115/$O115&gt;BGB_FRACTION_MAX)),"Below-ground share is "&amp;TEXT($N115/$O115,"0%")&amp;", outside the 18–30% the Trees guide describes. ",""))</f>
        <v/>
      </c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4" t="str">
        <f aca="false">IF($C116="","",IFERROR(12+(MATCH($C116,'R1. Tree Coefficients'!$L$12:$L$53,0)-1)*4,""))</f>
        <v/>
      </c>
      <c r="G116" s="14" t="str">
        <f aca="false">IF($F116="","",IF(AND($E116&lt;&gt;"",$E116&gt;0),"DBH + height","DBH only"))</f>
        <v/>
      </c>
      <c r="H116" s="14" t="str">
        <f aca="false">IF(OR($D116="",$F116=""),"",IF($E116&gt;0,INDEX('R1. Tree Coefficients'!$F:$F,$F116+0)*($D116^INDEX('R1. Tree Coefficients'!$G:$G,$F116+0))*($E116^INDEX('R1. Tree Coefficients'!$H:$H,$F116+0)),INDEX('R1. Tree Coefficients'!$D:$D,$F116+0)*($D116^INDEX('R1. Tree Coefficients'!$E:$E,$F116+0))))</f>
        <v/>
      </c>
      <c r="I116" s="14" t="str">
        <f aca="false">IF(OR($D116="",$F116=""),"",IF($E116&gt;0,INDEX('R1. Tree Coefficients'!$F:$F,$F116+1)*($D116^INDEX('R1. Tree Coefficients'!$G:$G,$F116+1))*($E116^INDEX('R1. Tree Coefficients'!$H:$H,$F116+1)),INDEX('R1. Tree Coefficients'!$D:$D,$F116+1)*($D116^INDEX('R1. Tree Coefficients'!$E:$E,$F116+1))))</f>
        <v/>
      </c>
      <c r="J116" s="14" t="str">
        <f aca="false">IF(OR($D116="",$F116=""),"",IF($E116&gt;0,INDEX('R1. Tree Coefficients'!$F:$F,$F116+2)*($D116^INDEX('R1. Tree Coefficients'!$G:$G,$F116+2))*($E116^INDEX('R1. Tree Coefficients'!$H:$H,$F116+2)),INDEX('R1. Tree Coefficients'!$D:$D,$F116+2)*($D116^INDEX('R1. Tree Coefficients'!$E:$E,$F116+2))))</f>
        <v/>
      </c>
      <c r="K116" s="14" t="str">
        <f aca="false">IF(OR($D116="",$F116=""),"",IF($E116&gt;0,INDEX('R1. Tree Coefficients'!$F:$F,$F116+3)*($D116^INDEX('R1. Tree Coefficients'!$G:$G,$F116+3))*($E116^INDEX('R1. Tree Coefficients'!$H:$H,$F116+3)),INDEX('R1. Tree Coefficients'!$D:$D,$F116+3)*($D116^INDEX('R1. Tree Coefficients'!$E:$E,$F116+3))))</f>
        <v/>
      </c>
      <c r="L116" s="14" t="str">
        <f aca="false">IF($F116="","",IFERROR(SUM($H116:$K116),""))</f>
        <v/>
      </c>
      <c r="M116" s="14" t="str">
        <f aca="false">IF($F116="","",INDEX('R1. Tree Coefficients'!$J:$J,$F116))</f>
        <v/>
      </c>
      <c r="N116" s="14" t="str">
        <f aca="false">IF($L116="","",IF($M116="Deciduous",BGB_RS_DECIDUOUS_a*($L116^BGB_RS_DECIDUOUS_b),IF($M116="Conifers",BGB_RS_CONIFER*$L116,AVERAGE(BGB_RS_DECIDUOUS_a*($L116^BGB_RS_DECIDUOUS_b),BGB_RS_CONIFER*$L116))))</f>
        <v/>
      </c>
      <c r="O116" s="14" t="str">
        <f aca="false">IF($L116="","",$L116+$N116)</f>
        <v/>
      </c>
      <c r="P116" s="14" t="str">
        <f aca="false">IF($O116="","",$O116*CARBON_FRACTION_BIOMASS)</f>
        <v/>
      </c>
      <c r="Q116" s="14" t="str">
        <f aca="false">IF(AND($A116="",$C116=""),"",IF(AND($A116&lt;&gt;"",COUNTIF('1. Plot &amp; Site Log'!$A$5:$A$64,$A116)=0),"Plot ID not in Plot &amp; Site Log — this tree will not reach the summary. ","")&amp;IF($A116="","No Plot ID. ","")&amp;IF(AND($C116&lt;&gt;"",$F116=""),"Species not in the coefficient list — check the spelling against R1. ","")&amp;IF($D116="","No DBH — nothing can be calculated. ","")&amp;IF(AND($D116&lt;&gt;"",$D116&gt;QC_DBH_MAX_CM),"DBH above "&amp;QC_DBH_MAX_CM&amp;" cm — check for a transcription error. ","")&amp;IF($M116="All","Generic species: no published root:shoot applies, so below-ground biomass is the mean of the deciduous and conifer relationships. Choose a species, or Deciduous/Conifers, if you can. ","")&amp;IF(AND($O116&lt;&gt;"",$O116&gt;0,OR($N116/$O116&lt;BGB_FRACTION_MIN,$N116/$O116&gt;BGB_FRACTION_MAX)),"Below-ground share is "&amp;TEXT($N116/$O116,"0%")&amp;", outside the 18–30% the Trees guide describes. ",""))</f>
        <v/>
      </c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4" t="str">
        <f aca="false">IF($C117="","",IFERROR(12+(MATCH($C117,'R1. Tree Coefficients'!$L$12:$L$53,0)-1)*4,""))</f>
        <v/>
      </c>
      <c r="G117" s="14" t="str">
        <f aca="false">IF($F117="","",IF(AND($E117&lt;&gt;"",$E117&gt;0),"DBH + height","DBH only"))</f>
        <v/>
      </c>
      <c r="H117" s="14" t="str">
        <f aca="false">IF(OR($D117="",$F117=""),"",IF($E117&gt;0,INDEX('R1. Tree Coefficients'!$F:$F,$F117+0)*($D117^INDEX('R1. Tree Coefficients'!$G:$G,$F117+0))*($E117^INDEX('R1. Tree Coefficients'!$H:$H,$F117+0)),INDEX('R1. Tree Coefficients'!$D:$D,$F117+0)*($D117^INDEX('R1. Tree Coefficients'!$E:$E,$F117+0))))</f>
        <v/>
      </c>
      <c r="I117" s="14" t="str">
        <f aca="false">IF(OR($D117="",$F117=""),"",IF($E117&gt;0,INDEX('R1. Tree Coefficients'!$F:$F,$F117+1)*($D117^INDEX('R1. Tree Coefficients'!$G:$G,$F117+1))*($E117^INDEX('R1. Tree Coefficients'!$H:$H,$F117+1)),INDEX('R1. Tree Coefficients'!$D:$D,$F117+1)*($D117^INDEX('R1. Tree Coefficients'!$E:$E,$F117+1))))</f>
        <v/>
      </c>
      <c r="J117" s="14" t="str">
        <f aca="false">IF(OR($D117="",$F117=""),"",IF($E117&gt;0,INDEX('R1. Tree Coefficients'!$F:$F,$F117+2)*($D117^INDEX('R1. Tree Coefficients'!$G:$G,$F117+2))*($E117^INDEX('R1. Tree Coefficients'!$H:$H,$F117+2)),INDEX('R1. Tree Coefficients'!$D:$D,$F117+2)*($D117^INDEX('R1. Tree Coefficients'!$E:$E,$F117+2))))</f>
        <v/>
      </c>
      <c r="K117" s="14" t="str">
        <f aca="false">IF(OR($D117="",$F117=""),"",IF($E117&gt;0,INDEX('R1. Tree Coefficients'!$F:$F,$F117+3)*($D117^INDEX('R1. Tree Coefficients'!$G:$G,$F117+3))*($E117^INDEX('R1. Tree Coefficients'!$H:$H,$F117+3)),INDEX('R1. Tree Coefficients'!$D:$D,$F117+3)*($D117^INDEX('R1. Tree Coefficients'!$E:$E,$F117+3))))</f>
        <v/>
      </c>
      <c r="L117" s="14" t="str">
        <f aca="false">IF($F117="","",IFERROR(SUM($H117:$K117),""))</f>
        <v/>
      </c>
      <c r="M117" s="14" t="str">
        <f aca="false">IF($F117="","",INDEX('R1. Tree Coefficients'!$J:$J,$F117))</f>
        <v/>
      </c>
      <c r="N117" s="14" t="str">
        <f aca="false">IF($L117="","",IF($M117="Deciduous",BGB_RS_DECIDUOUS_a*($L117^BGB_RS_DECIDUOUS_b),IF($M117="Conifers",BGB_RS_CONIFER*$L117,AVERAGE(BGB_RS_DECIDUOUS_a*($L117^BGB_RS_DECIDUOUS_b),BGB_RS_CONIFER*$L117))))</f>
        <v/>
      </c>
      <c r="O117" s="14" t="str">
        <f aca="false">IF($L117="","",$L117+$N117)</f>
        <v/>
      </c>
      <c r="P117" s="14" t="str">
        <f aca="false">IF($O117="","",$O117*CARBON_FRACTION_BIOMASS)</f>
        <v/>
      </c>
      <c r="Q117" s="14" t="str">
        <f aca="false">IF(AND($A117="",$C117=""),"",IF(AND($A117&lt;&gt;"",COUNTIF('1. Plot &amp; Site Log'!$A$5:$A$64,$A117)=0),"Plot ID not in Plot &amp; Site Log — this tree will not reach the summary. ","")&amp;IF($A117="","No Plot ID. ","")&amp;IF(AND($C117&lt;&gt;"",$F117=""),"Species not in the coefficient list — check the spelling against R1. ","")&amp;IF($D117="","No DBH — nothing can be calculated. ","")&amp;IF(AND($D117&lt;&gt;"",$D117&gt;QC_DBH_MAX_CM),"DBH above "&amp;QC_DBH_MAX_CM&amp;" cm — check for a transcription error. ","")&amp;IF($M117="All","Generic species: no published root:shoot applies, so below-ground biomass is the mean of the deciduous and conifer relationships. Choose a species, or Deciduous/Conifers, if you can. ","")&amp;IF(AND($O117&lt;&gt;"",$O117&gt;0,OR($N117/$O117&lt;BGB_FRACTION_MIN,$N117/$O117&gt;BGB_FRACTION_MAX)),"Below-ground share is "&amp;TEXT($N117/$O117,"0%")&amp;", outside the 18–30% the Trees guide describes. ",""))</f>
        <v/>
      </c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4" t="str">
        <f aca="false">IF($C118="","",IFERROR(12+(MATCH($C118,'R1. Tree Coefficients'!$L$12:$L$53,0)-1)*4,""))</f>
        <v/>
      </c>
      <c r="G118" s="14" t="str">
        <f aca="false">IF($F118="","",IF(AND($E118&lt;&gt;"",$E118&gt;0),"DBH + height","DBH only"))</f>
        <v/>
      </c>
      <c r="H118" s="14" t="str">
        <f aca="false">IF(OR($D118="",$F118=""),"",IF($E118&gt;0,INDEX('R1. Tree Coefficients'!$F:$F,$F118+0)*($D118^INDEX('R1. Tree Coefficients'!$G:$G,$F118+0))*($E118^INDEX('R1. Tree Coefficients'!$H:$H,$F118+0)),INDEX('R1. Tree Coefficients'!$D:$D,$F118+0)*($D118^INDEX('R1. Tree Coefficients'!$E:$E,$F118+0))))</f>
        <v/>
      </c>
      <c r="I118" s="14" t="str">
        <f aca="false">IF(OR($D118="",$F118=""),"",IF($E118&gt;0,INDEX('R1. Tree Coefficients'!$F:$F,$F118+1)*($D118^INDEX('R1. Tree Coefficients'!$G:$G,$F118+1))*($E118^INDEX('R1. Tree Coefficients'!$H:$H,$F118+1)),INDEX('R1. Tree Coefficients'!$D:$D,$F118+1)*($D118^INDEX('R1. Tree Coefficients'!$E:$E,$F118+1))))</f>
        <v/>
      </c>
      <c r="J118" s="14" t="str">
        <f aca="false">IF(OR($D118="",$F118=""),"",IF($E118&gt;0,INDEX('R1. Tree Coefficients'!$F:$F,$F118+2)*($D118^INDEX('R1. Tree Coefficients'!$G:$G,$F118+2))*($E118^INDEX('R1. Tree Coefficients'!$H:$H,$F118+2)),INDEX('R1. Tree Coefficients'!$D:$D,$F118+2)*($D118^INDEX('R1. Tree Coefficients'!$E:$E,$F118+2))))</f>
        <v/>
      </c>
      <c r="K118" s="14" t="str">
        <f aca="false">IF(OR($D118="",$F118=""),"",IF($E118&gt;0,INDEX('R1. Tree Coefficients'!$F:$F,$F118+3)*($D118^INDEX('R1. Tree Coefficients'!$G:$G,$F118+3))*($E118^INDEX('R1. Tree Coefficients'!$H:$H,$F118+3)),INDEX('R1. Tree Coefficients'!$D:$D,$F118+3)*($D118^INDEX('R1. Tree Coefficients'!$E:$E,$F118+3))))</f>
        <v/>
      </c>
      <c r="L118" s="14" t="str">
        <f aca="false">IF($F118="","",IFERROR(SUM($H118:$K118),""))</f>
        <v/>
      </c>
      <c r="M118" s="14" t="str">
        <f aca="false">IF($F118="","",INDEX('R1. Tree Coefficients'!$J:$J,$F118))</f>
        <v/>
      </c>
      <c r="N118" s="14" t="str">
        <f aca="false">IF($L118="","",IF($M118="Deciduous",BGB_RS_DECIDUOUS_a*($L118^BGB_RS_DECIDUOUS_b),IF($M118="Conifers",BGB_RS_CONIFER*$L118,AVERAGE(BGB_RS_DECIDUOUS_a*($L118^BGB_RS_DECIDUOUS_b),BGB_RS_CONIFER*$L118))))</f>
        <v/>
      </c>
      <c r="O118" s="14" t="str">
        <f aca="false">IF($L118="","",$L118+$N118)</f>
        <v/>
      </c>
      <c r="P118" s="14" t="str">
        <f aca="false">IF($O118="","",$O118*CARBON_FRACTION_BIOMASS)</f>
        <v/>
      </c>
      <c r="Q118" s="14" t="str">
        <f aca="false">IF(AND($A118="",$C118=""),"",IF(AND($A118&lt;&gt;"",COUNTIF('1. Plot &amp; Site Log'!$A$5:$A$64,$A118)=0),"Plot ID not in Plot &amp; Site Log — this tree will not reach the summary. ","")&amp;IF($A118="","No Plot ID. ","")&amp;IF(AND($C118&lt;&gt;"",$F118=""),"Species not in the coefficient list — check the spelling against R1. ","")&amp;IF($D118="","No DBH — nothing can be calculated. ","")&amp;IF(AND($D118&lt;&gt;"",$D118&gt;QC_DBH_MAX_CM),"DBH above "&amp;QC_DBH_MAX_CM&amp;" cm — check for a transcription error. ","")&amp;IF($M118="All","Generic species: no published root:shoot applies, so below-ground biomass is the mean of the deciduous and conifer relationships. Choose a species, or Deciduous/Conifers, if you can. ","")&amp;IF(AND($O118&lt;&gt;"",$O118&gt;0,OR($N118/$O118&lt;BGB_FRACTION_MIN,$N118/$O118&gt;BGB_FRACTION_MAX)),"Below-ground share is "&amp;TEXT($N118/$O118,"0%")&amp;", outside the 18–30% the Trees guide describes. ",""))</f>
        <v/>
      </c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4" t="str">
        <f aca="false">IF($C119="","",IFERROR(12+(MATCH($C119,'R1. Tree Coefficients'!$L$12:$L$53,0)-1)*4,""))</f>
        <v/>
      </c>
      <c r="G119" s="14" t="str">
        <f aca="false">IF($F119="","",IF(AND($E119&lt;&gt;"",$E119&gt;0),"DBH + height","DBH only"))</f>
        <v/>
      </c>
      <c r="H119" s="14" t="str">
        <f aca="false">IF(OR($D119="",$F119=""),"",IF($E119&gt;0,INDEX('R1. Tree Coefficients'!$F:$F,$F119+0)*($D119^INDEX('R1. Tree Coefficients'!$G:$G,$F119+0))*($E119^INDEX('R1. Tree Coefficients'!$H:$H,$F119+0)),INDEX('R1. Tree Coefficients'!$D:$D,$F119+0)*($D119^INDEX('R1. Tree Coefficients'!$E:$E,$F119+0))))</f>
        <v/>
      </c>
      <c r="I119" s="14" t="str">
        <f aca="false">IF(OR($D119="",$F119=""),"",IF($E119&gt;0,INDEX('R1. Tree Coefficients'!$F:$F,$F119+1)*($D119^INDEX('R1. Tree Coefficients'!$G:$G,$F119+1))*($E119^INDEX('R1. Tree Coefficients'!$H:$H,$F119+1)),INDEX('R1. Tree Coefficients'!$D:$D,$F119+1)*($D119^INDEX('R1. Tree Coefficients'!$E:$E,$F119+1))))</f>
        <v/>
      </c>
      <c r="J119" s="14" t="str">
        <f aca="false">IF(OR($D119="",$F119=""),"",IF($E119&gt;0,INDEX('R1. Tree Coefficients'!$F:$F,$F119+2)*($D119^INDEX('R1. Tree Coefficients'!$G:$G,$F119+2))*($E119^INDEX('R1. Tree Coefficients'!$H:$H,$F119+2)),INDEX('R1. Tree Coefficients'!$D:$D,$F119+2)*($D119^INDEX('R1. Tree Coefficients'!$E:$E,$F119+2))))</f>
        <v/>
      </c>
      <c r="K119" s="14" t="str">
        <f aca="false">IF(OR($D119="",$F119=""),"",IF($E119&gt;0,INDEX('R1. Tree Coefficients'!$F:$F,$F119+3)*($D119^INDEX('R1. Tree Coefficients'!$G:$G,$F119+3))*($E119^INDEX('R1. Tree Coefficients'!$H:$H,$F119+3)),INDEX('R1. Tree Coefficients'!$D:$D,$F119+3)*($D119^INDEX('R1. Tree Coefficients'!$E:$E,$F119+3))))</f>
        <v/>
      </c>
      <c r="L119" s="14" t="str">
        <f aca="false">IF($F119="","",IFERROR(SUM($H119:$K119),""))</f>
        <v/>
      </c>
      <c r="M119" s="14" t="str">
        <f aca="false">IF($F119="","",INDEX('R1. Tree Coefficients'!$J:$J,$F119))</f>
        <v/>
      </c>
      <c r="N119" s="14" t="str">
        <f aca="false">IF($L119="","",IF($M119="Deciduous",BGB_RS_DECIDUOUS_a*($L119^BGB_RS_DECIDUOUS_b),IF($M119="Conifers",BGB_RS_CONIFER*$L119,AVERAGE(BGB_RS_DECIDUOUS_a*($L119^BGB_RS_DECIDUOUS_b),BGB_RS_CONIFER*$L119))))</f>
        <v/>
      </c>
      <c r="O119" s="14" t="str">
        <f aca="false">IF($L119="","",$L119+$N119)</f>
        <v/>
      </c>
      <c r="P119" s="14" t="str">
        <f aca="false">IF($O119="","",$O119*CARBON_FRACTION_BIOMASS)</f>
        <v/>
      </c>
      <c r="Q119" s="14" t="str">
        <f aca="false">IF(AND($A119="",$C119=""),"",IF(AND($A119&lt;&gt;"",COUNTIF('1. Plot &amp; Site Log'!$A$5:$A$64,$A119)=0),"Plot ID not in Plot &amp; Site Log — this tree will not reach the summary. ","")&amp;IF($A119="","No Plot ID. ","")&amp;IF(AND($C119&lt;&gt;"",$F119=""),"Species not in the coefficient list — check the spelling against R1. ","")&amp;IF($D119="","No DBH — nothing can be calculated. ","")&amp;IF(AND($D119&lt;&gt;"",$D119&gt;QC_DBH_MAX_CM),"DBH above "&amp;QC_DBH_MAX_CM&amp;" cm — check for a transcription error. ","")&amp;IF($M119="All","Generic species: no published root:shoot applies, so below-ground biomass is the mean of the deciduous and conifer relationships. Choose a species, or Deciduous/Conifers, if you can. ","")&amp;IF(AND($O119&lt;&gt;"",$O119&gt;0,OR($N119/$O119&lt;BGB_FRACTION_MIN,$N119/$O119&gt;BGB_FRACTION_MAX)),"Below-ground share is "&amp;TEXT($N119/$O119,"0%")&amp;", outside the 18–30% the Trees guide describes. ",""))</f>
        <v/>
      </c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4" t="str">
        <f aca="false">IF($C120="","",IFERROR(12+(MATCH($C120,'R1. Tree Coefficients'!$L$12:$L$53,0)-1)*4,""))</f>
        <v/>
      </c>
      <c r="G120" s="14" t="str">
        <f aca="false">IF($F120="","",IF(AND($E120&lt;&gt;"",$E120&gt;0),"DBH + height","DBH only"))</f>
        <v/>
      </c>
      <c r="H120" s="14" t="str">
        <f aca="false">IF(OR($D120="",$F120=""),"",IF($E120&gt;0,INDEX('R1. Tree Coefficients'!$F:$F,$F120+0)*($D120^INDEX('R1. Tree Coefficients'!$G:$G,$F120+0))*($E120^INDEX('R1. Tree Coefficients'!$H:$H,$F120+0)),INDEX('R1. Tree Coefficients'!$D:$D,$F120+0)*($D120^INDEX('R1. Tree Coefficients'!$E:$E,$F120+0))))</f>
        <v/>
      </c>
      <c r="I120" s="14" t="str">
        <f aca="false">IF(OR($D120="",$F120=""),"",IF($E120&gt;0,INDEX('R1. Tree Coefficients'!$F:$F,$F120+1)*($D120^INDEX('R1. Tree Coefficients'!$G:$G,$F120+1))*($E120^INDEX('R1. Tree Coefficients'!$H:$H,$F120+1)),INDEX('R1. Tree Coefficients'!$D:$D,$F120+1)*($D120^INDEX('R1. Tree Coefficients'!$E:$E,$F120+1))))</f>
        <v/>
      </c>
      <c r="J120" s="14" t="str">
        <f aca="false">IF(OR($D120="",$F120=""),"",IF($E120&gt;0,INDEX('R1. Tree Coefficients'!$F:$F,$F120+2)*($D120^INDEX('R1. Tree Coefficients'!$G:$G,$F120+2))*($E120^INDEX('R1. Tree Coefficients'!$H:$H,$F120+2)),INDEX('R1. Tree Coefficients'!$D:$D,$F120+2)*($D120^INDEX('R1. Tree Coefficients'!$E:$E,$F120+2))))</f>
        <v/>
      </c>
      <c r="K120" s="14" t="str">
        <f aca="false">IF(OR($D120="",$F120=""),"",IF($E120&gt;0,INDEX('R1. Tree Coefficients'!$F:$F,$F120+3)*($D120^INDEX('R1. Tree Coefficients'!$G:$G,$F120+3))*($E120^INDEX('R1. Tree Coefficients'!$H:$H,$F120+3)),INDEX('R1. Tree Coefficients'!$D:$D,$F120+3)*($D120^INDEX('R1. Tree Coefficients'!$E:$E,$F120+3))))</f>
        <v/>
      </c>
      <c r="L120" s="14" t="str">
        <f aca="false">IF($F120="","",IFERROR(SUM($H120:$K120),""))</f>
        <v/>
      </c>
      <c r="M120" s="14" t="str">
        <f aca="false">IF($F120="","",INDEX('R1. Tree Coefficients'!$J:$J,$F120))</f>
        <v/>
      </c>
      <c r="N120" s="14" t="str">
        <f aca="false">IF($L120="","",IF($M120="Deciduous",BGB_RS_DECIDUOUS_a*($L120^BGB_RS_DECIDUOUS_b),IF($M120="Conifers",BGB_RS_CONIFER*$L120,AVERAGE(BGB_RS_DECIDUOUS_a*($L120^BGB_RS_DECIDUOUS_b),BGB_RS_CONIFER*$L120))))</f>
        <v/>
      </c>
      <c r="O120" s="14" t="str">
        <f aca="false">IF($L120="","",$L120+$N120)</f>
        <v/>
      </c>
      <c r="P120" s="14" t="str">
        <f aca="false">IF($O120="","",$O120*CARBON_FRACTION_BIOMASS)</f>
        <v/>
      </c>
      <c r="Q120" s="14" t="str">
        <f aca="false">IF(AND($A120="",$C120=""),"",IF(AND($A120&lt;&gt;"",COUNTIF('1. Plot &amp; Site Log'!$A$5:$A$64,$A120)=0),"Plot ID not in Plot &amp; Site Log — this tree will not reach the summary. ","")&amp;IF($A120="","No Plot ID. ","")&amp;IF(AND($C120&lt;&gt;"",$F120=""),"Species not in the coefficient list — check the spelling against R1. ","")&amp;IF($D120="","No DBH — nothing can be calculated. ","")&amp;IF(AND($D120&lt;&gt;"",$D120&gt;QC_DBH_MAX_CM),"DBH above "&amp;QC_DBH_MAX_CM&amp;" cm — check for a transcription error. ","")&amp;IF($M120="All","Generic species: no published root:shoot applies, so below-ground biomass is the mean of the deciduous and conifer relationships. Choose a species, or Deciduous/Conifers, if you can. ","")&amp;IF(AND($O120&lt;&gt;"",$O120&gt;0,OR($N120/$O120&lt;BGB_FRACTION_MIN,$N120/$O120&gt;BGB_FRACTION_MAX)),"Below-ground share is "&amp;TEXT($N120/$O120,"0%")&amp;", outside the 18–30% the Trees guide describes. ",""))</f>
        <v/>
      </c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4" t="str">
        <f aca="false">IF($C121="","",IFERROR(12+(MATCH($C121,'R1. Tree Coefficients'!$L$12:$L$53,0)-1)*4,""))</f>
        <v/>
      </c>
      <c r="G121" s="14" t="str">
        <f aca="false">IF($F121="","",IF(AND($E121&lt;&gt;"",$E121&gt;0),"DBH + height","DBH only"))</f>
        <v/>
      </c>
      <c r="H121" s="14" t="str">
        <f aca="false">IF(OR($D121="",$F121=""),"",IF($E121&gt;0,INDEX('R1. Tree Coefficients'!$F:$F,$F121+0)*($D121^INDEX('R1. Tree Coefficients'!$G:$G,$F121+0))*($E121^INDEX('R1. Tree Coefficients'!$H:$H,$F121+0)),INDEX('R1. Tree Coefficients'!$D:$D,$F121+0)*($D121^INDEX('R1. Tree Coefficients'!$E:$E,$F121+0))))</f>
        <v/>
      </c>
      <c r="I121" s="14" t="str">
        <f aca="false">IF(OR($D121="",$F121=""),"",IF($E121&gt;0,INDEX('R1. Tree Coefficients'!$F:$F,$F121+1)*($D121^INDEX('R1. Tree Coefficients'!$G:$G,$F121+1))*($E121^INDEX('R1. Tree Coefficients'!$H:$H,$F121+1)),INDEX('R1. Tree Coefficients'!$D:$D,$F121+1)*($D121^INDEX('R1. Tree Coefficients'!$E:$E,$F121+1))))</f>
        <v/>
      </c>
      <c r="J121" s="14" t="str">
        <f aca="false">IF(OR($D121="",$F121=""),"",IF($E121&gt;0,INDEX('R1. Tree Coefficients'!$F:$F,$F121+2)*($D121^INDEX('R1. Tree Coefficients'!$G:$G,$F121+2))*($E121^INDEX('R1. Tree Coefficients'!$H:$H,$F121+2)),INDEX('R1. Tree Coefficients'!$D:$D,$F121+2)*($D121^INDEX('R1. Tree Coefficients'!$E:$E,$F121+2))))</f>
        <v/>
      </c>
      <c r="K121" s="14" t="str">
        <f aca="false">IF(OR($D121="",$F121=""),"",IF($E121&gt;0,INDEX('R1. Tree Coefficients'!$F:$F,$F121+3)*($D121^INDEX('R1. Tree Coefficients'!$G:$G,$F121+3))*($E121^INDEX('R1. Tree Coefficients'!$H:$H,$F121+3)),INDEX('R1. Tree Coefficients'!$D:$D,$F121+3)*($D121^INDEX('R1. Tree Coefficients'!$E:$E,$F121+3))))</f>
        <v/>
      </c>
      <c r="L121" s="14" t="str">
        <f aca="false">IF($F121="","",IFERROR(SUM($H121:$K121),""))</f>
        <v/>
      </c>
      <c r="M121" s="14" t="str">
        <f aca="false">IF($F121="","",INDEX('R1. Tree Coefficients'!$J:$J,$F121))</f>
        <v/>
      </c>
      <c r="N121" s="14" t="str">
        <f aca="false">IF($L121="","",IF($M121="Deciduous",BGB_RS_DECIDUOUS_a*($L121^BGB_RS_DECIDUOUS_b),IF($M121="Conifers",BGB_RS_CONIFER*$L121,AVERAGE(BGB_RS_DECIDUOUS_a*($L121^BGB_RS_DECIDUOUS_b),BGB_RS_CONIFER*$L121))))</f>
        <v/>
      </c>
      <c r="O121" s="14" t="str">
        <f aca="false">IF($L121="","",$L121+$N121)</f>
        <v/>
      </c>
      <c r="P121" s="14" t="str">
        <f aca="false">IF($O121="","",$O121*CARBON_FRACTION_BIOMASS)</f>
        <v/>
      </c>
      <c r="Q121" s="14" t="str">
        <f aca="false">IF(AND($A121="",$C121=""),"",IF(AND($A121&lt;&gt;"",COUNTIF('1. Plot &amp; Site Log'!$A$5:$A$64,$A121)=0),"Plot ID not in Plot &amp; Site Log — this tree will not reach the summary. ","")&amp;IF($A121="","No Plot ID. ","")&amp;IF(AND($C121&lt;&gt;"",$F121=""),"Species not in the coefficient list — check the spelling against R1. ","")&amp;IF($D121="","No DBH — nothing can be calculated. ","")&amp;IF(AND($D121&lt;&gt;"",$D121&gt;QC_DBH_MAX_CM),"DBH above "&amp;QC_DBH_MAX_CM&amp;" cm — check for a transcription error. ","")&amp;IF($M121="All","Generic species: no published root:shoot applies, so below-ground biomass is the mean of the deciduous and conifer relationships. Choose a species, or Deciduous/Conifers, if you can. ","")&amp;IF(AND($O121&lt;&gt;"",$O121&gt;0,OR($N121/$O121&lt;BGB_FRACTION_MIN,$N121/$O121&gt;BGB_FRACTION_MAX)),"Below-ground share is "&amp;TEXT($N121/$O121,"0%")&amp;", outside the 18–30% the Trees guide describes. ",""))</f>
        <v/>
      </c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4" t="str">
        <f aca="false">IF($C122="","",IFERROR(12+(MATCH($C122,'R1. Tree Coefficients'!$L$12:$L$53,0)-1)*4,""))</f>
        <v/>
      </c>
      <c r="G122" s="14" t="str">
        <f aca="false">IF($F122="","",IF(AND($E122&lt;&gt;"",$E122&gt;0),"DBH + height","DBH only"))</f>
        <v/>
      </c>
      <c r="H122" s="14" t="str">
        <f aca="false">IF(OR($D122="",$F122=""),"",IF($E122&gt;0,INDEX('R1. Tree Coefficients'!$F:$F,$F122+0)*($D122^INDEX('R1. Tree Coefficients'!$G:$G,$F122+0))*($E122^INDEX('R1. Tree Coefficients'!$H:$H,$F122+0)),INDEX('R1. Tree Coefficients'!$D:$D,$F122+0)*($D122^INDEX('R1. Tree Coefficients'!$E:$E,$F122+0))))</f>
        <v/>
      </c>
      <c r="I122" s="14" t="str">
        <f aca="false">IF(OR($D122="",$F122=""),"",IF($E122&gt;0,INDEX('R1. Tree Coefficients'!$F:$F,$F122+1)*($D122^INDEX('R1. Tree Coefficients'!$G:$G,$F122+1))*($E122^INDEX('R1. Tree Coefficients'!$H:$H,$F122+1)),INDEX('R1. Tree Coefficients'!$D:$D,$F122+1)*($D122^INDEX('R1. Tree Coefficients'!$E:$E,$F122+1))))</f>
        <v/>
      </c>
      <c r="J122" s="14" t="str">
        <f aca="false">IF(OR($D122="",$F122=""),"",IF($E122&gt;0,INDEX('R1. Tree Coefficients'!$F:$F,$F122+2)*($D122^INDEX('R1. Tree Coefficients'!$G:$G,$F122+2))*($E122^INDEX('R1. Tree Coefficients'!$H:$H,$F122+2)),INDEX('R1. Tree Coefficients'!$D:$D,$F122+2)*($D122^INDEX('R1. Tree Coefficients'!$E:$E,$F122+2))))</f>
        <v/>
      </c>
      <c r="K122" s="14" t="str">
        <f aca="false">IF(OR($D122="",$F122=""),"",IF($E122&gt;0,INDEX('R1. Tree Coefficients'!$F:$F,$F122+3)*($D122^INDEX('R1. Tree Coefficients'!$G:$G,$F122+3))*($E122^INDEX('R1. Tree Coefficients'!$H:$H,$F122+3)),INDEX('R1. Tree Coefficients'!$D:$D,$F122+3)*($D122^INDEX('R1. Tree Coefficients'!$E:$E,$F122+3))))</f>
        <v/>
      </c>
      <c r="L122" s="14" t="str">
        <f aca="false">IF($F122="","",IFERROR(SUM($H122:$K122),""))</f>
        <v/>
      </c>
      <c r="M122" s="14" t="str">
        <f aca="false">IF($F122="","",INDEX('R1. Tree Coefficients'!$J:$J,$F122))</f>
        <v/>
      </c>
      <c r="N122" s="14" t="str">
        <f aca="false">IF($L122="","",IF($M122="Deciduous",BGB_RS_DECIDUOUS_a*($L122^BGB_RS_DECIDUOUS_b),IF($M122="Conifers",BGB_RS_CONIFER*$L122,AVERAGE(BGB_RS_DECIDUOUS_a*($L122^BGB_RS_DECIDUOUS_b),BGB_RS_CONIFER*$L122))))</f>
        <v/>
      </c>
      <c r="O122" s="14" t="str">
        <f aca="false">IF($L122="","",$L122+$N122)</f>
        <v/>
      </c>
      <c r="P122" s="14" t="str">
        <f aca="false">IF($O122="","",$O122*CARBON_FRACTION_BIOMASS)</f>
        <v/>
      </c>
      <c r="Q122" s="14" t="str">
        <f aca="false">IF(AND($A122="",$C122=""),"",IF(AND($A122&lt;&gt;"",COUNTIF('1. Plot &amp; Site Log'!$A$5:$A$64,$A122)=0),"Plot ID not in Plot &amp; Site Log — this tree will not reach the summary. ","")&amp;IF($A122="","No Plot ID. ","")&amp;IF(AND($C122&lt;&gt;"",$F122=""),"Species not in the coefficient list — check the spelling against R1. ","")&amp;IF($D122="","No DBH — nothing can be calculated. ","")&amp;IF(AND($D122&lt;&gt;"",$D122&gt;QC_DBH_MAX_CM),"DBH above "&amp;QC_DBH_MAX_CM&amp;" cm — check for a transcription error. ","")&amp;IF($M122="All","Generic species: no published root:shoot applies, so below-ground biomass is the mean of the deciduous and conifer relationships. Choose a species, or Deciduous/Conifers, if you can. ","")&amp;IF(AND($O122&lt;&gt;"",$O122&gt;0,OR($N122/$O122&lt;BGB_FRACTION_MIN,$N122/$O122&gt;BGB_FRACTION_MAX)),"Below-ground share is "&amp;TEXT($N122/$O122,"0%")&amp;", outside the 18–30% the Trees guide describes. ",""))</f>
        <v/>
      </c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4" t="str">
        <f aca="false">IF($C123="","",IFERROR(12+(MATCH($C123,'R1. Tree Coefficients'!$L$12:$L$53,0)-1)*4,""))</f>
        <v/>
      </c>
      <c r="G123" s="14" t="str">
        <f aca="false">IF($F123="","",IF(AND($E123&lt;&gt;"",$E123&gt;0),"DBH + height","DBH only"))</f>
        <v/>
      </c>
      <c r="H123" s="14" t="str">
        <f aca="false">IF(OR($D123="",$F123=""),"",IF($E123&gt;0,INDEX('R1. Tree Coefficients'!$F:$F,$F123+0)*($D123^INDEX('R1. Tree Coefficients'!$G:$G,$F123+0))*($E123^INDEX('R1. Tree Coefficients'!$H:$H,$F123+0)),INDEX('R1. Tree Coefficients'!$D:$D,$F123+0)*($D123^INDEX('R1. Tree Coefficients'!$E:$E,$F123+0))))</f>
        <v/>
      </c>
      <c r="I123" s="14" t="str">
        <f aca="false">IF(OR($D123="",$F123=""),"",IF($E123&gt;0,INDEX('R1. Tree Coefficients'!$F:$F,$F123+1)*($D123^INDEX('R1. Tree Coefficients'!$G:$G,$F123+1))*($E123^INDEX('R1. Tree Coefficients'!$H:$H,$F123+1)),INDEX('R1. Tree Coefficients'!$D:$D,$F123+1)*($D123^INDEX('R1. Tree Coefficients'!$E:$E,$F123+1))))</f>
        <v/>
      </c>
      <c r="J123" s="14" t="str">
        <f aca="false">IF(OR($D123="",$F123=""),"",IF($E123&gt;0,INDEX('R1. Tree Coefficients'!$F:$F,$F123+2)*($D123^INDEX('R1. Tree Coefficients'!$G:$G,$F123+2))*($E123^INDEX('R1. Tree Coefficients'!$H:$H,$F123+2)),INDEX('R1. Tree Coefficients'!$D:$D,$F123+2)*($D123^INDEX('R1. Tree Coefficients'!$E:$E,$F123+2))))</f>
        <v/>
      </c>
      <c r="K123" s="14" t="str">
        <f aca="false">IF(OR($D123="",$F123=""),"",IF($E123&gt;0,INDEX('R1. Tree Coefficients'!$F:$F,$F123+3)*($D123^INDEX('R1. Tree Coefficients'!$G:$G,$F123+3))*($E123^INDEX('R1. Tree Coefficients'!$H:$H,$F123+3)),INDEX('R1. Tree Coefficients'!$D:$D,$F123+3)*($D123^INDEX('R1. Tree Coefficients'!$E:$E,$F123+3))))</f>
        <v/>
      </c>
      <c r="L123" s="14" t="str">
        <f aca="false">IF($F123="","",IFERROR(SUM($H123:$K123),""))</f>
        <v/>
      </c>
      <c r="M123" s="14" t="str">
        <f aca="false">IF($F123="","",INDEX('R1. Tree Coefficients'!$J:$J,$F123))</f>
        <v/>
      </c>
      <c r="N123" s="14" t="str">
        <f aca="false">IF($L123="","",IF($M123="Deciduous",BGB_RS_DECIDUOUS_a*($L123^BGB_RS_DECIDUOUS_b),IF($M123="Conifers",BGB_RS_CONIFER*$L123,AVERAGE(BGB_RS_DECIDUOUS_a*($L123^BGB_RS_DECIDUOUS_b),BGB_RS_CONIFER*$L123))))</f>
        <v/>
      </c>
      <c r="O123" s="14" t="str">
        <f aca="false">IF($L123="","",$L123+$N123)</f>
        <v/>
      </c>
      <c r="P123" s="14" t="str">
        <f aca="false">IF($O123="","",$O123*CARBON_FRACTION_BIOMASS)</f>
        <v/>
      </c>
      <c r="Q123" s="14" t="str">
        <f aca="false">IF(AND($A123="",$C123=""),"",IF(AND($A123&lt;&gt;"",COUNTIF('1. Plot &amp; Site Log'!$A$5:$A$64,$A123)=0),"Plot ID not in Plot &amp; Site Log — this tree will not reach the summary. ","")&amp;IF($A123="","No Plot ID. ","")&amp;IF(AND($C123&lt;&gt;"",$F123=""),"Species not in the coefficient list — check the spelling against R1. ","")&amp;IF($D123="","No DBH — nothing can be calculated. ","")&amp;IF(AND($D123&lt;&gt;"",$D123&gt;QC_DBH_MAX_CM),"DBH above "&amp;QC_DBH_MAX_CM&amp;" cm — check for a transcription error. ","")&amp;IF($M123="All","Generic species: no published root:shoot applies, so below-ground biomass is the mean of the deciduous and conifer relationships. Choose a species, or Deciduous/Conifers, if you can. ","")&amp;IF(AND($O123&lt;&gt;"",$O123&gt;0,OR($N123/$O123&lt;BGB_FRACTION_MIN,$N123/$O123&gt;BGB_FRACTION_MAX)),"Below-ground share is "&amp;TEXT($N123/$O123,"0%")&amp;", outside the 18–30% the Trees guide describes. ",""))</f>
        <v/>
      </c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4" t="str">
        <f aca="false">IF($C124="","",IFERROR(12+(MATCH($C124,'R1. Tree Coefficients'!$L$12:$L$53,0)-1)*4,""))</f>
        <v/>
      </c>
      <c r="G124" s="14" t="str">
        <f aca="false">IF($F124="","",IF(AND($E124&lt;&gt;"",$E124&gt;0),"DBH + height","DBH only"))</f>
        <v/>
      </c>
      <c r="H124" s="14" t="str">
        <f aca="false">IF(OR($D124="",$F124=""),"",IF($E124&gt;0,INDEX('R1. Tree Coefficients'!$F:$F,$F124+0)*($D124^INDEX('R1. Tree Coefficients'!$G:$G,$F124+0))*($E124^INDEX('R1. Tree Coefficients'!$H:$H,$F124+0)),INDEX('R1. Tree Coefficients'!$D:$D,$F124+0)*($D124^INDEX('R1. Tree Coefficients'!$E:$E,$F124+0))))</f>
        <v/>
      </c>
      <c r="I124" s="14" t="str">
        <f aca="false">IF(OR($D124="",$F124=""),"",IF($E124&gt;0,INDEX('R1. Tree Coefficients'!$F:$F,$F124+1)*($D124^INDEX('R1. Tree Coefficients'!$G:$G,$F124+1))*($E124^INDEX('R1. Tree Coefficients'!$H:$H,$F124+1)),INDEX('R1. Tree Coefficients'!$D:$D,$F124+1)*($D124^INDEX('R1. Tree Coefficients'!$E:$E,$F124+1))))</f>
        <v/>
      </c>
      <c r="J124" s="14" t="str">
        <f aca="false">IF(OR($D124="",$F124=""),"",IF($E124&gt;0,INDEX('R1. Tree Coefficients'!$F:$F,$F124+2)*($D124^INDEX('R1. Tree Coefficients'!$G:$G,$F124+2))*($E124^INDEX('R1. Tree Coefficients'!$H:$H,$F124+2)),INDEX('R1. Tree Coefficients'!$D:$D,$F124+2)*($D124^INDEX('R1. Tree Coefficients'!$E:$E,$F124+2))))</f>
        <v/>
      </c>
      <c r="K124" s="14" t="str">
        <f aca="false">IF(OR($D124="",$F124=""),"",IF($E124&gt;0,INDEX('R1. Tree Coefficients'!$F:$F,$F124+3)*($D124^INDEX('R1. Tree Coefficients'!$G:$G,$F124+3))*($E124^INDEX('R1. Tree Coefficients'!$H:$H,$F124+3)),INDEX('R1. Tree Coefficients'!$D:$D,$F124+3)*($D124^INDEX('R1. Tree Coefficients'!$E:$E,$F124+3))))</f>
        <v/>
      </c>
      <c r="L124" s="14" t="str">
        <f aca="false">IF($F124="","",IFERROR(SUM($H124:$K124),""))</f>
        <v/>
      </c>
      <c r="M124" s="14" t="str">
        <f aca="false">IF($F124="","",INDEX('R1. Tree Coefficients'!$J:$J,$F124))</f>
        <v/>
      </c>
      <c r="N124" s="14" t="str">
        <f aca="false">IF($L124="","",IF($M124="Deciduous",BGB_RS_DECIDUOUS_a*($L124^BGB_RS_DECIDUOUS_b),IF($M124="Conifers",BGB_RS_CONIFER*$L124,AVERAGE(BGB_RS_DECIDUOUS_a*($L124^BGB_RS_DECIDUOUS_b),BGB_RS_CONIFER*$L124))))</f>
        <v/>
      </c>
      <c r="O124" s="14" t="str">
        <f aca="false">IF($L124="","",$L124+$N124)</f>
        <v/>
      </c>
      <c r="P124" s="14" t="str">
        <f aca="false">IF($O124="","",$O124*CARBON_FRACTION_BIOMASS)</f>
        <v/>
      </c>
      <c r="Q124" s="14" t="str">
        <f aca="false">IF(AND($A124="",$C124=""),"",IF(AND($A124&lt;&gt;"",COUNTIF('1. Plot &amp; Site Log'!$A$5:$A$64,$A124)=0),"Plot ID not in Plot &amp; Site Log — this tree will not reach the summary. ","")&amp;IF($A124="","No Plot ID. ","")&amp;IF(AND($C124&lt;&gt;"",$F124=""),"Species not in the coefficient list — check the spelling against R1. ","")&amp;IF($D124="","No DBH — nothing can be calculated. ","")&amp;IF(AND($D124&lt;&gt;"",$D124&gt;QC_DBH_MAX_CM),"DBH above "&amp;QC_DBH_MAX_CM&amp;" cm — check for a transcription error. ","")&amp;IF($M124="All","Generic species: no published root:shoot applies, so below-ground biomass is the mean of the deciduous and conifer relationships. Choose a species, or Deciduous/Conifers, if you can. ","")&amp;IF(AND($O124&lt;&gt;"",$O124&gt;0,OR($N124/$O124&lt;BGB_FRACTION_MIN,$N124/$O124&gt;BGB_FRACTION_MAX)),"Below-ground share is "&amp;TEXT($N124/$O124,"0%")&amp;", outside the 18–30% the Trees guide describes. ",""))</f>
        <v/>
      </c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4" t="str">
        <f aca="false">IF($C125="","",IFERROR(12+(MATCH($C125,'R1. Tree Coefficients'!$L$12:$L$53,0)-1)*4,""))</f>
        <v/>
      </c>
      <c r="G125" s="14" t="str">
        <f aca="false">IF($F125="","",IF(AND($E125&lt;&gt;"",$E125&gt;0),"DBH + height","DBH only"))</f>
        <v/>
      </c>
      <c r="H125" s="14" t="str">
        <f aca="false">IF(OR($D125="",$F125=""),"",IF($E125&gt;0,INDEX('R1. Tree Coefficients'!$F:$F,$F125+0)*($D125^INDEX('R1. Tree Coefficients'!$G:$G,$F125+0))*($E125^INDEX('R1. Tree Coefficients'!$H:$H,$F125+0)),INDEX('R1. Tree Coefficients'!$D:$D,$F125+0)*($D125^INDEX('R1. Tree Coefficients'!$E:$E,$F125+0))))</f>
        <v/>
      </c>
      <c r="I125" s="14" t="str">
        <f aca="false">IF(OR($D125="",$F125=""),"",IF($E125&gt;0,INDEX('R1. Tree Coefficients'!$F:$F,$F125+1)*($D125^INDEX('R1. Tree Coefficients'!$G:$G,$F125+1))*($E125^INDEX('R1. Tree Coefficients'!$H:$H,$F125+1)),INDEX('R1. Tree Coefficients'!$D:$D,$F125+1)*($D125^INDEX('R1. Tree Coefficients'!$E:$E,$F125+1))))</f>
        <v/>
      </c>
      <c r="J125" s="14" t="str">
        <f aca="false">IF(OR($D125="",$F125=""),"",IF($E125&gt;0,INDEX('R1. Tree Coefficients'!$F:$F,$F125+2)*($D125^INDEX('R1. Tree Coefficients'!$G:$G,$F125+2))*($E125^INDEX('R1. Tree Coefficients'!$H:$H,$F125+2)),INDEX('R1. Tree Coefficients'!$D:$D,$F125+2)*($D125^INDEX('R1. Tree Coefficients'!$E:$E,$F125+2))))</f>
        <v/>
      </c>
      <c r="K125" s="14" t="str">
        <f aca="false">IF(OR($D125="",$F125=""),"",IF($E125&gt;0,INDEX('R1. Tree Coefficients'!$F:$F,$F125+3)*($D125^INDEX('R1. Tree Coefficients'!$G:$G,$F125+3))*($E125^INDEX('R1. Tree Coefficients'!$H:$H,$F125+3)),INDEX('R1. Tree Coefficients'!$D:$D,$F125+3)*($D125^INDEX('R1. Tree Coefficients'!$E:$E,$F125+3))))</f>
        <v/>
      </c>
      <c r="L125" s="14" t="str">
        <f aca="false">IF($F125="","",IFERROR(SUM($H125:$K125),""))</f>
        <v/>
      </c>
      <c r="M125" s="14" t="str">
        <f aca="false">IF($F125="","",INDEX('R1. Tree Coefficients'!$J:$J,$F125))</f>
        <v/>
      </c>
      <c r="N125" s="14" t="str">
        <f aca="false">IF($L125="","",IF($M125="Deciduous",BGB_RS_DECIDUOUS_a*($L125^BGB_RS_DECIDUOUS_b),IF($M125="Conifers",BGB_RS_CONIFER*$L125,AVERAGE(BGB_RS_DECIDUOUS_a*($L125^BGB_RS_DECIDUOUS_b),BGB_RS_CONIFER*$L125))))</f>
        <v/>
      </c>
      <c r="O125" s="14" t="str">
        <f aca="false">IF($L125="","",$L125+$N125)</f>
        <v/>
      </c>
      <c r="P125" s="14" t="str">
        <f aca="false">IF($O125="","",$O125*CARBON_FRACTION_BIOMASS)</f>
        <v/>
      </c>
      <c r="Q125" s="14" t="str">
        <f aca="false">IF(AND($A125="",$C125=""),"",IF(AND($A125&lt;&gt;"",COUNTIF('1. Plot &amp; Site Log'!$A$5:$A$64,$A125)=0),"Plot ID not in Plot &amp; Site Log — this tree will not reach the summary. ","")&amp;IF($A125="","No Plot ID. ","")&amp;IF(AND($C125&lt;&gt;"",$F125=""),"Species not in the coefficient list — check the spelling against R1. ","")&amp;IF($D125="","No DBH — nothing can be calculated. ","")&amp;IF(AND($D125&lt;&gt;"",$D125&gt;QC_DBH_MAX_CM),"DBH above "&amp;QC_DBH_MAX_CM&amp;" cm — check for a transcription error. ","")&amp;IF($M125="All","Generic species: no published root:shoot applies, so below-ground biomass is the mean of the deciduous and conifer relationships. Choose a species, or Deciduous/Conifers, if you can. ","")&amp;IF(AND($O125&lt;&gt;"",$O125&gt;0,OR($N125/$O125&lt;BGB_FRACTION_MIN,$N125/$O125&gt;BGB_FRACTION_MAX)),"Below-ground share is "&amp;TEXT($N125/$O125,"0%")&amp;", outside the 18–30% the Trees guide describes. ",""))</f>
        <v/>
      </c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4" t="str">
        <f aca="false">IF($C126="","",IFERROR(12+(MATCH($C126,'R1. Tree Coefficients'!$L$12:$L$53,0)-1)*4,""))</f>
        <v/>
      </c>
      <c r="G126" s="14" t="str">
        <f aca="false">IF($F126="","",IF(AND($E126&lt;&gt;"",$E126&gt;0),"DBH + height","DBH only"))</f>
        <v/>
      </c>
      <c r="H126" s="14" t="str">
        <f aca="false">IF(OR($D126="",$F126=""),"",IF($E126&gt;0,INDEX('R1. Tree Coefficients'!$F:$F,$F126+0)*($D126^INDEX('R1. Tree Coefficients'!$G:$G,$F126+0))*($E126^INDEX('R1. Tree Coefficients'!$H:$H,$F126+0)),INDEX('R1. Tree Coefficients'!$D:$D,$F126+0)*($D126^INDEX('R1. Tree Coefficients'!$E:$E,$F126+0))))</f>
        <v/>
      </c>
      <c r="I126" s="14" t="str">
        <f aca="false">IF(OR($D126="",$F126=""),"",IF($E126&gt;0,INDEX('R1. Tree Coefficients'!$F:$F,$F126+1)*($D126^INDEX('R1. Tree Coefficients'!$G:$G,$F126+1))*($E126^INDEX('R1. Tree Coefficients'!$H:$H,$F126+1)),INDEX('R1. Tree Coefficients'!$D:$D,$F126+1)*($D126^INDEX('R1. Tree Coefficients'!$E:$E,$F126+1))))</f>
        <v/>
      </c>
      <c r="J126" s="14" t="str">
        <f aca="false">IF(OR($D126="",$F126=""),"",IF($E126&gt;0,INDEX('R1. Tree Coefficients'!$F:$F,$F126+2)*($D126^INDEX('R1. Tree Coefficients'!$G:$G,$F126+2))*($E126^INDEX('R1. Tree Coefficients'!$H:$H,$F126+2)),INDEX('R1. Tree Coefficients'!$D:$D,$F126+2)*($D126^INDEX('R1. Tree Coefficients'!$E:$E,$F126+2))))</f>
        <v/>
      </c>
      <c r="K126" s="14" t="str">
        <f aca="false">IF(OR($D126="",$F126=""),"",IF($E126&gt;0,INDEX('R1. Tree Coefficients'!$F:$F,$F126+3)*($D126^INDEX('R1. Tree Coefficients'!$G:$G,$F126+3))*($E126^INDEX('R1. Tree Coefficients'!$H:$H,$F126+3)),INDEX('R1. Tree Coefficients'!$D:$D,$F126+3)*($D126^INDEX('R1. Tree Coefficients'!$E:$E,$F126+3))))</f>
        <v/>
      </c>
      <c r="L126" s="14" t="str">
        <f aca="false">IF($F126="","",IFERROR(SUM($H126:$K126),""))</f>
        <v/>
      </c>
      <c r="M126" s="14" t="str">
        <f aca="false">IF($F126="","",INDEX('R1. Tree Coefficients'!$J:$J,$F126))</f>
        <v/>
      </c>
      <c r="N126" s="14" t="str">
        <f aca="false">IF($L126="","",IF($M126="Deciduous",BGB_RS_DECIDUOUS_a*($L126^BGB_RS_DECIDUOUS_b),IF($M126="Conifers",BGB_RS_CONIFER*$L126,AVERAGE(BGB_RS_DECIDUOUS_a*($L126^BGB_RS_DECIDUOUS_b),BGB_RS_CONIFER*$L126))))</f>
        <v/>
      </c>
      <c r="O126" s="14" t="str">
        <f aca="false">IF($L126="","",$L126+$N126)</f>
        <v/>
      </c>
      <c r="P126" s="14" t="str">
        <f aca="false">IF($O126="","",$O126*CARBON_FRACTION_BIOMASS)</f>
        <v/>
      </c>
      <c r="Q126" s="14" t="str">
        <f aca="false">IF(AND($A126="",$C126=""),"",IF(AND($A126&lt;&gt;"",COUNTIF('1. Plot &amp; Site Log'!$A$5:$A$64,$A126)=0),"Plot ID not in Plot &amp; Site Log — this tree will not reach the summary. ","")&amp;IF($A126="","No Plot ID. ","")&amp;IF(AND($C126&lt;&gt;"",$F126=""),"Species not in the coefficient list — check the spelling against R1. ","")&amp;IF($D126="","No DBH — nothing can be calculated. ","")&amp;IF(AND($D126&lt;&gt;"",$D126&gt;QC_DBH_MAX_CM),"DBH above "&amp;QC_DBH_MAX_CM&amp;" cm — check for a transcription error. ","")&amp;IF($M126="All","Generic species: no published root:shoot applies, so below-ground biomass is the mean of the deciduous and conifer relationships. Choose a species, or Deciduous/Conifers, if you can. ","")&amp;IF(AND($O126&lt;&gt;"",$O126&gt;0,OR($N126/$O126&lt;BGB_FRACTION_MIN,$N126/$O126&gt;BGB_FRACTION_MAX)),"Below-ground share is "&amp;TEXT($N126/$O126,"0%")&amp;", outside the 18–30% the Trees guide describes. ",""))</f>
        <v/>
      </c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4" t="str">
        <f aca="false">IF($C127="","",IFERROR(12+(MATCH($C127,'R1. Tree Coefficients'!$L$12:$L$53,0)-1)*4,""))</f>
        <v/>
      </c>
      <c r="G127" s="14" t="str">
        <f aca="false">IF($F127="","",IF(AND($E127&lt;&gt;"",$E127&gt;0),"DBH + height","DBH only"))</f>
        <v/>
      </c>
      <c r="H127" s="14" t="str">
        <f aca="false">IF(OR($D127="",$F127=""),"",IF($E127&gt;0,INDEX('R1. Tree Coefficients'!$F:$F,$F127+0)*($D127^INDEX('R1. Tree Coefficients'!$G:$G,$F127+0))*($E127^INDEX('R1. Tree Coefficients'!$H:$H,$F127+0)),INDEX('R1. Tree Coefficients'!$D:$D,$F127+0)*($D127^INDEX('R1. Tree Coefficients'!$E:$E,$F127+0))))</f>
        <v/>
      </c>
      <c r="I127" s="14" t="str">
        <f aca="false">IF(OR($D127="",$F127=""),"",IF($E127&gt;0,INDEX('R1. Tree Coefficients'!$F:$F,$F127+1)*($D127^INDEX('R1. Tree Coefficients'!$G:$G,$F127+1))*($E127^INDEX('R1. Tree Coefficients'!$H:$H,$F127+1)),INDEX('R1. Tree Coefficients'!$D:$D,$F127+1)*($D127^INDEX('R1. Tree Coefficients'!$E:$E,$F127+1))))</f>
        <v/>
      </c>
      <c r="J127" s="14" t="str">
        <f aca="false">IF(OR($D127="",$F127=""),"",IF($E127&gt;0,INDEX('R1. Tree Coefficients'!$F:$F,$F127+2)*($D127^INDEX('R1. Tree Coefficients'!$G:$G,$F127+2))*($E127^INDEX('R1. Tree Coefficients'!$H:$H,$F127+2)),INDEX('R1. Tree Coefficients'!$D:$D,$F127+2)*($D127^INDEX('R1. Tree Coefficients'!$E:$E,$F127+2))))</f>
        <v/>
      </c>
      <c r="K127" s="14" t="str">
        <f aca="false">IF(OR($D127="",$F127=""),"",IF($E127&gt;0,INDEX('R1. Tree Coefficients'!$F:$F,$F127+3)*($D127^INDEX('R1. Tree Coefficients'!$G:$G,$F127+3))*($E127^INDEX('R1. Tree Coefficients'!$H:$H,$F127+3)),INDEX('R1. Tree Coefficients'!$D:$D,$F127+3)*($D127^INDEX('R1. Tree Coefficients'!$E:$E,$F127+3))))</f>
        <v/>
      </c>
      <c r="L127" s="14" t="str">
        <f aca="false">IF($F127="","",IFERROR(SUM($H127:$K127),""))</f>
        <v/>
      </c>
      <c r="M127" s="14" t="str">
        <f aca="false">IF($F127="","",INDEX('R1. Tree Coefficients'!$J:$J,$F127))</f>
        <v/>
      </c>
      <c r="N127" s="14" t="str">
        <f aca="false">IF($L127="","",IF($M127="Deciduous",BGB_RS_DECIDUOUS_a*($L127^BGB_RS_DECIDUOUS_b),IF($M127="Conifers",BGB_RS_CONIFER*$L127,AVERAGE(BGB_RS_DECIDUOUS_a*($L127^BGB_RS_DECIDUOUS_b),BGB_RS_CONIFER*$L127))))</f>
        <v/>
      </c>
      <c r="O127" s="14" t="str">
        <f aca="false">IF($L127="","",$L127+$N127)</f>
        <v/>
      </c>
      <c r="P127" s="14" t="str">
        <f aca="false">IF($O127="","",$O127*CARBON_FRACTION_BIOMASS)</f>
        <v/>
      </c>
      <c r="Q127" s="14" t="str">
        <f aca="false">IF(AND($A127="",$C127=""),"",IF(AND($A127&lt;&gt;"",COUNTIF('1. Plot &amp; Site Log'!$A$5:$A$64,$A127)=0),"Plot ID not in Plot &amp; Site Log — this tree will not reach the summary. ","")&amp;IF($A127="","No Plot ID. ","")&amp;IF(AND($C127&lt;&gt;"",$F127=""),"Species not in the coefficient list — check the spelling against R1. ","")&amp;IF($D127="","No DBH — nothing can be calculated. ","")&amp;IF(AND($D127&lt;&gt;"",$D127&gt;QC_DBH_MAX_CM),"DBH above "&amp;QC_DBH_MAX_CM&amp;" cm — check for a transcription error. ","")&amp;IF($M127="All","Generic species: no published root:shoot applies, so below-ground biomass is the mean of the deciduous and conifer relationships. Choose a species, or Deciduous/Conifers, if you can. ","")&amp;IF(AND($O127&lt;&gt;"",$O127&gt;0,OR($N127/$O127&lt;BGB_FRACTION_MIN,$N127/$O127&gt;BGB_FRACTION_MAX)),"Below-ground share is "&amp;TEXT($N127/$O127,"0%")&amp;", outside the 18–30% the Trees guide describes. ",""))</f>
        <v/>
      </c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4" t="str">
        <f aca="false">IF($C128="","",IFERROR(12+(MATCH($C128,'R1. Tree Coefficients'!$L$12:$L$53,0)-1)*4,""))</f>
        <v/>
      </c>
      <c r="G128" s="14" t="str">
        <f aca="false">IF($F128="","",IF(AND($E128&lt;&gt;"",$E128&gt;0),"DBH + height","DBH only"))</f>
        <v/>
      </c>
      <c r="H128" s="14" t="str">
        <f aca="false">IF(OR($D128="",$F128=""),"",IF($E128&gt;0,INDEX('R1. Tree Coefficients'!$F:$F,$F128+0)*($D128^INDEX('R1. Tree Coefficients'!$G:$G,$F128+0))*($E128^INDEX('R1. Tree Coefficients'!$H:$H,$F128+0)),INDEX('R1. Tree Coefficients'!$D:$D,$F128+0)*($D128^INDEX('R1. Tree Coefficients'!$E:$E,$F128+0))))</f>
        <v/>
      </c>
      <c r="I128" s="14" t="str">
        <f aca="false">IF(OR($D128="",$F128=""),"",IF($E128&gt;0,INDEX('R1. Tree Coefficients'!$F:$F,$F128+1)*($D128^INDEX('R1. Tree Coefficients'!$G:$G,$F128+1))*($E128^INDEX('R1. Tree Coefficients'!$H:$H,$F128+1)),INDEX('R1. Tree Coefficients'!$D:$D,$F128+1)*($D128^INDEX('R1. Tree Coefficients'!$E:$E,$F128+1))))</f>
        <v/>
      </c>
      <c r="J128" s="14" t="str">
        <f aca="false">IF(OR($D128="",$F128=""),"",IF($E128&gt;0,INDEX('R1. Tree Coefficients'!$F:$F,$F128+2)*($D128^INDEX('R1. Tree Coefficients'!$G:$G,$F128+2))*($E128^INDEX('R1. Tree Coefficients'!$H:$H,$F128+2)),INDEX('R1. Tree Coefficients'!$D:$D,$F128+2)*($D128^INDEX('R1. Tree Coefficients'!$E:$E,$F128+2))))</f>
        <v/>
      </c>
      <c r="K128" s="14" t="str">
        <f aca="false">IF(OR($D128="",$F128=""),"",IF($E128&gt;0,INDEX('R1. Tree Coefficients'!$F:$F,$F128+3)*($D128^INDEX('R1. Tree Coefficients'!$G:$G,$F128+3))*($E128^INDEX('R1. Tree Coefficients'!$H:$H,$F128+3)),INDEX('R1. Tree Coefficients'!$D:$D,$F128+3)*($D128^INDEX('R1. Tree Coefficients'!$E:$E,$F128+3))))</f>
        <v/>
      </c>
      <c r="L128" s="14" t="str">
        <f aca="false">IF($F128="","",IFERROR(SUM($H128:$K128),""))</f>
        <v/>
      </c>
      <c r="M128" s="14" t="str">
        <f aca="false">IF($F128="","",INDEX('R1. Tree Coefficients'!$J:$J,$F128))</f>
        <v/>
      </c>
      <c r="N128" s="14" t="str">
        <f aca="false">IF($L128="","",IF($M128="Deciduous",BGB_RS_DECIDUOUS_a*($L128^BGB_RS_DECIDUOUS_b),IF($M128="Conifers",BGB_RS_CONIFER*$L128,AVERAGE(BGB_RS_DECIDUOUS_a*($L128^BGB_RS_DECIDUOUS_b),BGB_RS_CONIFER*$L128))))</f>
        <v/>
      </c>
      <c r="O128" s="14" t="str">
        <f aca="false">IF($L128="","",$L128+$N128)</f>
        <v/>
      </c>
      <c r="P128" s="14" t="str">
        <f aca="false">IF($O128="","",$O128*CARBON_FRACTION_BIOMASS)</f>
        <v/>
      </c>
      <c r="Q128" s="14" t="str">
        <f aca="false">IF(AND($A128="",$C128=""),"",IF(AND($A128&lt;&gt;"",COUNTIF('1. Plot &amp; Site Log'!$A$5:$A$64,$A128)=0),"Plot ID not in Plot &amp; Site Log — this tree will not reach the summary. ","")&amp;IF($A128="","No Plot ID. ","")&amp;IF(AND($C128&lt;&gt;"",$F128=""),"Species not in the coefficient list — check the spelling against R1. ","")&amp;IF($D128="","No DBH — nothing can be calculated. ","")&amp;IF(AND($D128&lt;&gt;"",$D128&gt;QC_DBH_MAX_CM),"DBH above "&amp;QC_DBH_MAX_CM&amp;" cm — check for a transcription error. ","")&amp;IF($M128="All","Generic species: no published root:shoot applies, so below-ground biomass is the mean of the deciduous and conifer relationships. Choose a species, or Deciduous/Conifers, if you can. ","")&amp;IF(AND($O128&lt;&gt;"",$O128&gt;0,OR($N128/$O128&lt;BGB_FRACTION_MIN,$N128/$O128&gt;BGB_FRACTION_MAX)),"Below-ground share is "&amp;TEXT($N128/$O128,"0%")&amp;", outside the 18–30% the Trees guide describes. ",""))</f>
        <v/>
      </c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4" t="str">
        <f aca="false">IF($C129="","",IFERROR(12+(MATCH($C129,'R1. Tree Coefficients'!$L$12:$L$53,0)-1)*4,""))</f>
        <v/>
      </c>
      <c r="G129" s="14" t="str">
        <f aca="false">IF($F129="","",IF(AND($E129&lt;&gt;"",$E129&gt;0),"DBH + height","DBH only"))</f>
        <v/>
      </c>
      <c r="H129" s="14" t="str">
        <f aca="false">IF(OR($D129="",$F129=""),"",IF($E129&gt;0,INDEX('R1. Tree Coefficients'!$F:$F,$F129+0)*($D129^INDEX('R1. Tree Coefficients'!$G:$G,$F129+0))*($E129^INDEX('R1. Tree Coefficients'!$H:$H,$F129+0)),INDEX('R1. Tree Coefficients'!$D:$D,$F129+0)*($D129^INDEX('R1. Tree Coefficients'!$E:$E,$F129+0))))</f>
        <v/>
      </c>
      <c r="I129" s="14" t="str">
        <f aca="false">IF(OR($D129="",$F129=""),"",IF($E129&gt;0,INDEX('R1. Tree Coefficients'!$F:$F,$F129+1)*($D129^INDEX('R1. Tree Coefficients'!$G:$G,$F129+1))*($E129^INDEX('R1. Tree Coefficients'!$H:$H,$F129+1)),INDEX('R1. Tree Coefficients'!$D:$D,$F129+1)*($D129^INDEX('R1. Tree Coefficients'!$E:$E,$F129+1))))</f>
        <v/>
      </c>
      <c r="J129" s="14" t="str">
        <f aca="false">IF(OR($D129="",$F129=""),"",IF($E129&gt;0,INDEX('R1. Tree Coefficients'!$F:$F,$F129+2)*($D129^INDEX('R1. Tree Coefficients'!$G:$G,$F129+2))*($E129^INDEX('R1. Tree Coefficients'!$H:$H,$F129+2)),INDEX('R1. Tree Coefficients'!$D:$D,$F129+2)*($D129^INDEX('R1. Tree Coefficients'!$E:$E,$F129+2))))</f>
        <v/>
      </c>
      <c r="K129" s="14" t="str">
        <f aca="false">IF(OR($D129="",$F129=""),"",IF($E129&gt;0,INDEX('R1. Tree Coefficients'!$F:$F,$F129+3)*($D129^INDEX('R1. Tree Coefficients'!$G:$G,$F129+3))*($E129^INDEX('R1. Tree Coefficients'!$H:$H,$F129+3)),INDEX('R1. Tree Coefficients'!$D:$D,$F129+3)*($D129^INDEX('R1. Tree Coefficients'!$E:$E,$F129+3))))</f>
        <v/>
      </c>
      <c r="L129" s="14" t="str">
        <f aca="false">IF($F129="","",IFERROR(SUM($H129:$K129),""))</f>
        <v/>
      </c>
      <c r="M129" s="14" t="str">
        <f aca="false">IF($F129="","",INDEX('R1. Tree Coefficients'!$J:$J,$F129))</f>
        <v/>
      </c>
      <c r="N129" s="14" t="str">
        <f aca="false">IF($L129="","",IF($M129="Deciduous",BGB_RS_DECIDUOUS_a*($L129^BGB_RS_DECIDUOUS_b),IF($M129="Conifers",BGB_RS_CONIFER*$L129,AVERAGE(BGB_RS_DECIDUOUS_a*($L129^BGB_RS_DECIDUOUS_b),BGB_RS_CONIFER*$L129))))</f>
        <v/>
      </c>
      <c r="O129" s="14" t="str">
        <f aca="false">IF($L129="","",$L129+$N129)</f>
        <v/>
      </c>
      <c r="P129" s="14" t="str">
        <f aca="false">IF($O129="","",$O129*CARBON_FRACTION_BIOMASS)</f>
        <v/>
      </c>
      <c r="Q129" s="14" t="str">
        <f aca="false">IF(AND($A129="",$C129=""),"",IF(AND($A129&lt;&gt;"",COUNTIF('1. Plot &amp; Site Log'!$A$5:$A$64,$A129)=0),"Plot ID not in Plot &amp; Site Log — this tree will not reach the summary. ","")&amp;IF($A129="","No Plot ID. ","")&amp;IF(AND($C129&lt;&gt;"",$F129=""),"Species not in the coefficient list — check the spelling against R1. ","")&amp;IF($D129="","No DBH — nothing can be calculated. ","")&amp;IF(AND($D129&lt;&gt;"",$D129&gt;QC_DBH_MAX_CM),"DBH above "&amp;QC_DBH_MAX_CM&amp;" cm — check for a transcription error. ","")&amp;IF($M129="All","Generic species: no published root:shoot applies, so below-ground biomass is the mean of the deciduous and conifer relationships. Choose a species, or Deciduous/Conifers, if you can. ","")&amp;IF(AND($O129&lt;&gt;"",$O129&gt;0,OR($N129/$O129&lt;BGB_FRACTION_MIN,$N129/$O129&gt;BGB_FRACTION_MAX)),"Below-ground share is "&amp;TEXT($N129/$O129,"0%")&amp;", outside the 18–30% the Trees guide describes. ",""))</f>
        <v/>
      </c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4" t="str">
        <f aca="false">IF($C130="","",IFERROR(12+(MATCH($C130,'R1. Tree Coefficients'!$L$12:$L$53,0)-1)*4,""))</f>
        <v/>
      </c>
      <c r="G130" s="14" t="str">
        <f aca="false">IF($F130="","",IF(AND($E130&lt;&gt;"",$E130&gt;0),"DBH + height","DBH only"))</f>
        <v/>
      </c>
      <c r="H130" s="14" t="str">
        <f aca="false">IF(OR($D130="",$F130=""),"",IF($E130&gt;0,INDEX('R1. Tree Coefficients'!$F:$F,$F130+0)*($D130^INDEX('R1. Tree Coefficients'!$G:$G,$F130+0))*($E130^INDEX('R1. Tree Coefficients'!$H:$H,$F130+0)),INDEX('R1. Tree Coefficients'!$D:$D,$F130+0)*($D130^INDEX('R1. Tree Coefficients'!$E:$E,$F130+0))))</f>
        <v/>
      </c>
      <c r="I130" s="14" t="str">
        <f aca="false">IF(OR($D130="",$F130=""),"",IF($E130&gt;0,INDEX('R1. Tree Coefficients'!$F:$F,$F130+1)*($D130^INDEX('R1. Tree Coefficients'!$G:$G,$F130+1))*($E130^INDEX('R1. Tree Coefficients'!$H:$H,$F130+1)),INDEX('R1. Tree Coefficients'!$D:$D,$F130+1)*($D130^INDEX('R1. Tree Coefficients'!$E:$E,$F130+1))))</f>
        <v/>
      </c>
      <c r="J130" s="14" t="str">
        <f aca="false">IF(OR($D130="",$F130=""),"",IF($E130&gt;0,INDEX('R1. Tree Coefficients'!$F:$F,$F130+2)*($D130^INDEX('R1. Tree Coefficients'!$G:$G,$F130+2))*($E130^INDEX('R1. Tree Coefficients'!$H:$H,$F130+2)),INDEX('R1. Tree Coefficients'!$D:$D,$F130+2)*($D130^INDEX('R1. Tree Coefficients'!$E:$E,$F130+2))))</f>
        <v/>
      </c>
      <c r="K130" s="14" t="str">
        <f aca="false">IF(OR($D130="",$F130=""),"",IF($E130&gt;0,INDEX('R1. Tree Coefficients'!$F:$F,$F130+3)*($D130^INDEX('R1. Tree Coefficients'!$G:$G,$F130+3))*($E130^INDEX('R1. Tree Coefficients'!$H:$H,$F130+3)),INDEX('R1. Tree Coefficients'!$D:$D,$F130+3)*($D130^INDEX('R1. Tree Coefficients'!$E:$E,$F130+3))))</f>
        <v/>
      </c>
      <c r="L130" s="14" t="str">
        <f aca="false">IF($F130="","",IFERROR(SUM($H130:$K130),""))</f>
        <v/>
      </c>
      <c r="M130" s="14" t="str">
        <f aca="false">IF($F130="","",INDEX('R1. Tree Coefficients'!$J:$J,$F130))</f>
        <v/>
      </c>
      <c r="N130" s="14" t="str">
        <f aca="false">IF($L130="","",IF($M130="Deciduous",BGB_RS_DECIDUOUS_a*($L130^BGB_RS_DECIDUOUS_b),IF($M130="Conifers",BGB_RS_CONIFER*$L130,AVERAGE(BGB_RS_DECIDUOUS_a*($L130^BGB_RS_DECIDUOUS_b),BGB_RS_CONIFER*$L130))))</f>
        <v/>
      </c>
      <c r="O130" s="14" t="str">
        <f aca="false">IF($L130="","",$L130+$N130)</f>
        <v/>
      </c>
      <c r="P130" s="14" t="str">
        <f aca="false">IF($O130="","",$O130*CARBON_FRACTION_BIOMASS)</f>
        <v/>
      </c>
      <c r="Q130" s="14" t="str">
        <f aca="false">IF(AND($A130="",$C130=""),"",IF(AND($A130&lt;&gt;"",COUNTIF('1. Plot &amp; Site Log'!$A$5:$A$64,$A130)=0),"Plot ID not in Plot &amp; Site Log — this tree will not reach the summary. ","")&amp;IF($A130="","No Plot ID. ","")&amp;IF(AND($C130&lt;&gt;"",$F130=""),"Species not in the coefficient list — check the spelling against R1. ","")&amp;IF($D130="","No DBH — nothing can be calculated. ","")&amp;IF(AND($D130&lt;&gt;"",$D130&gt;QC_DBH_MAX_CM),"DBH above "&amp;QC_DBH_MAX_CM&amp;" cm — check for a transcription error. ","")&amp;IF($M130="All","Generic species: no published root:shoot applies, so below-ground biomass is the mean of the deciduous and conifer relationships. Choose a species, or Deciduous/Conifers, if you can. ","")&amp;IF(AND($O130&lt;&gt;"",$O130&gt;0,OR($N130/$O130&lt;BGB_FRACTION_MIN,$N130/$O130&gt;BGB_FRACTION_MAX)),"Below-ground share is "&amp;TEXT($N130/$O130,"0%")&amp;", outside the 18–30% the Trees guide describes. ",""))</f>
        <v/>
      </c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4" t="str">
        <f aca="false">IF($C131="","",IFERROR(12+(MATCH($C131,'R1. Tree Coefficients'!$L$12:$L$53,0)-1)*4,""))</f>
        <v/>
      </c>
      <c r="G131" s="14" t="str">
        <f aca="false">IF($F131="","",IF(AND($E131&lt;&gt;"",$E131&gt;0),"DBH + height","DBH only"))</f>
        <v/>
      </c>
      <c r="H131" s="14" t="str">
        <f aca="false">IF(OR($D131="",$F131=""),"",IF($E131&gt;0,INDEX('R1. Tree Coefficients'!$F:$F,$F131+0)*($D131^INDEX('R1. Tree Coefficients'!$G:$G,$F131+0))*($E131^INDEX('R1. Tree Coefficients'!$H:$H,$F131+0)),INDEX('R1. Tree Coefficients'!$D:$D,$F131+0)*($D131^INDEX('R1. Tree Coefficients'!$E:$E,$F131+0))))</f>
        <v/>
      </c>
      <c r="I131" s="14" t="str">
        <f aca="false">IF(OR($D131="",$F131=""),"",IF($E131&gt;0,INDEX('R1. Tree Coefficients'!$F:$F,$F131+1)*($D131^INDEX('R1. Tree Coefficients'!$G:$G,$F131+1))*($E131^INDEX('R1. Tree Coefficients'!$H:$H,$F131+1)),INDEX('R1. Tree Coefficients'!$D:$D,$F131+1)*($D131^INDEX('R1. Tree Coefficients'!$E:$E,$F131+1))))</f>
        <v/>
      </c>
      <c r="J131" s="14" t="str">
        <f aca="false">IF(OR($D131="",$F131=""),"",IF($E131&gt;0,INDEX('R1. Tree Coefficients'!$F:$F,$F131+2)*($D131^INDEX('R1. Tree Coefficients'!$G:$G,$F131+2))*($E131^INDEX('R1. Tree Coefficients'!$H:$H,$F131+2)),INDEX('R1. Tree Coefficients'!$D:$D,$F131+2)*($D131^INDEX('R1. Tree Coefficients'!$E:$E,$F131+2))))</f>
        <v/>
      </c>
      <c r="K131" s="14" t="str">
        <f aca="false">IF(OR($D131="",$F131=""),"",IF($E131&gt;0,INDEX('R1. Tree Coefficients'!$F:$F,$F131+3)*($D131^INDEX('R1. Tree Coefficients'!$G:$G,$F131+3))*($E131^INDEX('R1. Tree Coefficients'!$H:$H,$F131+3)),INDEX('R1. Tree Coefficients'!$D:$D,$F131+3)*($D131^INDEX('R1. Tree Coefficients'!$E:$E,$F131+3))))</f>
        <v/>
      </c>
      <c r="L131" s="14" t="str">
        <f aca="false">IF($F131="","",IFERROR(SUM($H131:$K131),""))</f>
        <v/>
      </c>
      <c r="M131" s="14" t="str">
        <f aca="false">IF($F131="","",INDEX('R1. Tree Coefficients'!$J:$J,$F131))</f>
        <v/>
      </c>
      <c r="N131" s="14" t="str">
        <f aca="false">IF($L131="","",IF($M131="Deciduous",BGB_RS_DECIDUOUS_a*($L131^BGB_RS_DECIDUOUS_b),IF($M131="Conifers",BGB_RS_CONIFER*$L131,AVERAGE(BGB_RS_DECIDUOUS_a*($L131^BGB_RS_DECIDUOUS_b),BGB_RS_CONIFER*$L131))))</f>
        <v/>
      </c>
      <c r="O131" s="14" t="str">
        <f aca="false">IF($L131="","",$L131+$N131)</f>
        <v/>
      </c>
      <c r="P131" s="14" t="str">
        <f aca="false">IF($O131="","",$O131*CARBON_FRACTION_BIOMASS)</f>
        <v/>
      </c>
      <c r="Q131" s="14" t="str">
        <f aca="false">IF(AND($A131="",$C131=""),"",IF(AND($A131&lt;&gt;"",COUNTIF('1. Plot &amp; Site Log'!$A$5:$A$64,$A131)=0),"Plot ID not in Plot &amp; Site Log — this tree will not reach the summary. ","")&amp;IF($A131="","No Plot ID. ","")&amp;IF(AND($C131&lt;&gt;"",$F131=""),"Species not in the coefficient list — check the spelling against R1. ","")&amp;IF($D131="","No DBH — nothing can be calculated. ","")&amp;IF(AND($D131&lt;&gt;"",$D131&gt;QC_DBH_MAX_CM),"DBH above "&amp;QC_DBH_MAX_CM&amp;" cm — check for a transcription error. ","")&amp;IF($M131="All","Generic species: no published root:shoot applies, so below-ground biomass is the mean of the deciduous and conifer relationships. Choose a species, or Deciduous/Conifers, if you can. ","")&amp;IF(AND($O131&lt;&gt;"",$O131&gt;0,OR($N131/$O131&lt;BGB_FRACTION_MIN,$N131/$O131&gt;BGB_FRACTION_MAX)),"Below-ground share is "&amp;TEXT($N131/$O131,"0%")&amp;", outside the 18–30% the Trees guide describes. ",""))</f>
        <v/>
      </c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4" t="str">
        <f aca="false">IF($C132="","",IFERROR(12+(MATCH($C132,'R1. Tree Coefficients'!$L$12:$L$53,0)-1)*4,""))</f>
        <v/>
      </c>
      <c r="G132" s="14" t="str">
        <f aca="false">IF($F132="","",IF(AND($E132&lt;&gt;"",$E132&gt;0),"DBH + height","DBH only"))</f>
        <v/>
      </c>
      <c r="H132" s="14" t="str">
        <f aca="false">IF(OR($D132="",$F132=""),"",IF($E132&gt;0,INDEX('R1. Tree Coefficients'!$F:$F,$F132+0)*($D132^INDEX('R1. Tree Coefficients'!$G:$G,$F132+0))*($E132^INDEX('R1. Tree Coefficients'!$H:$H,$F132+0)),INDEX('R1. Tree Coefficients'!$D:$D,$F132+0)*($D132^INDEX('R1. Tree Coefficients'!$E:$E,$F132+0))))</f>
        <v/>
      </c>
      <c r="I132" s="14" t="str">
        <f aca="false">IF(OR($D132="",$F132=""),"",IF($E132&gt;0,INDEX('R1. Tree Coefficients'!$F:$F,$F132+1)*($D132^INDEX('R1. Tree Coefficients'!$G:$G,$F132+1))*($E132^INDEX('R1. Tree Coefficients'!$H:$H,$F132+1)),INDEX('R1. Tree Coefficients'!$D:$D,$F132+1)*($D132^INDEX('R1. Tree Coefficients'!$E:$E,$F132+1))))</f>
        <v/>
      </c>
      <c r="J132" s="14" t="str">
        <f aca="false">IF(OR($D132="",$F132=""),"",IF($E132&gt;0,INDEX('R1. Tree Coefficients'!$F:$F,$F132+2)*($D132^INDEX('R1. Tree Coefficients'!$G:$G,$F132+2))*($E132^INDEX('R1. Tree Coefficients'!$H:$H,$F132+2)),INDEX('R1. Tree Coefficients'!$D:$D,$F132+2)*($D132^INDEX('R1. Tree Coefficients'!$E:$E,$F132+2))))</f>
        <v/>
      </c>
      <c r="K132" s="14" t="str">
        <f aca="false">IF(OR($D132="",$F132=""),"",IF($E132&gt;0,INDEX('R1. Tree Coefficients'!$F:$F,$F132+3)*($D132^INDEX('R1. Tree Coefficients'!$G:$G,$F132+3))*($E132^INDEX('R1. Tree Coefficients'!$H:$H,$F132+3)),INDEX('R1. Tree Coefficients'!$D:$D,$F132+3)*($D132^INDEX('R1. Tree Coefficients'!$E:$E,$F132+3))))</f>
        <v/>
      </c>
      <c r="L132" s="14" t="str">
        <f aca="false">IF($F132="","",IFERROR(SUM($H132:$K132),""))</f>
        <v/>
      </c>
      <c r="M132" s="14" t="str">
        <f aca="false">IF($F132="","",INDEX('R1. Tree Coefficients'!$J:$J,$F132))</f>
        <v/>
      </c>
      <c r="N132" s="14" t="str">
        <f aca="false">IF($L132="","",IF($M132="Deciduous",BGB_RS_DECIDUOUS_a*($L132^BGB_RS_DECIDUOUS_b),IF($M132="Conifers",BGB_RS_CONIFER*$L132,AVERAGE(BGB_RS_DECIDUOUS_a*($L132^BGB_RS_DECIDUOUS_b),BGB_RS_CONIFER*$L132))))</f>
        <v/>
      </c>
      <c r="O132" s="14" t="str">
        <f aca="false">IF($L132="","",$L132+$N132)</f>
        <v/>
      </c>
      <c r="P132" s="14" t="str">
        <f aca="false">IF($O132="","",$O132*CARBON_FRACTION_BIOMASS)</f>
        <v/>
      </c>
      <c r="Q132" s="14" t="str">
        <f aca="false">IF(AND($A132="",$C132=""),"",IF(AND($A132&lt;&gt;"",COUNTIF('1. Plot &amp; Site Log'!$A$5:$A$64,$A132)=0),"Plot ID not in Plot &amp; Site Log — this tree will not reach the summary. ","")&amp;IF($A132="","No Plot ID. ","")&amp;IF(AND($C132&lt;&gt;"",$F132=""),"Species not in the coefficient list — check the spelling against R1. ","")&amp;IF($D132="","No DBH — nothing can be calculated. ","")&amp;IF(AND($D132&lt;&gt;"",$D132&gt;QC_DBH_MAX_CM),"DBH above "&amp;QC_DBH_MAX_CM&amp;" cm — check for a transcription error. ","")&amp;IF($M132="All","Generic species: no published root:shoot applies, so below-ground biomass is the mean of the deciduous and conifer relationships. Choose a species, or Deciduous/Conifers, if you can. ","")&amp;IF(AND($O132&lt;&gt;"",$O132&gt;0,OR($N132/$O132&lt;BGB_FRACTION_MIN,$N132/$O132&gt;BGB_FRACTION_MAX)),"Below-ground share is "&amp;TEXT($N132/$O132,"0%")&amp;", outside the 18–30% the Trees guide describes. ",""))</f>
        <v/>
      </c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4" t="str">
        <f aca="false">IF($C133="","",IFERROR(12+(MATCH($C133,'R1. Tree Coefficients'!$L$12:$L$53,0)-1)*4,""))</f>
        <v/>
      </c>
      <c r="G133" s="14" t="str">
        <f aca="false">IF($F133="","",IF(AND($E133&lt;&gt;"",$E133&gt;0),"DBH + height","DBH only"))</f>
        <v/>
      </c>
      <c r="H133" s="14" t="str">
        <f aca="false">IF(OR($D133="",$F133=""),"",IF($E133&gt;0,INDEX('R1. Tree Coefficients'!$F:$F,$F133+0)*($D133^INDEX('R1. Tree Coefficients'!$G:$G,$F133+0))*($E133^INDEX('R1. Tree Coefficients'!$H:$H,$F133+0)),INDEX('R1. Tree Coefficients'!$D:$D,$F133+0)*($D133^INDEX('R1. Tree Coefficients'!$E:$E,$F133+0))))</f>
        <v/>
      </c>
      <c r="I133" s="14" t="str">
        <f aca="false">IF(OR($D133="",$F133=""),"",IF($E133&gt;0,INDEX('R1. Tree Coefficients'!$F:$F,$F133+1)*($D133^INDEX('R1. Tree Coefficients'!$G:$G,$F133+1))*($E133^INDEX('R1. Tree Coefficients'!$H:$H,$F133+1)),INDEX('R1. Tree Coefficients'!$D:$D,$F133+1)*($D133^INDEX('R1. Tree Coefficients'!$E:$E,$F133+1))))</f>
        <v/>
      </c>
      <c r="J133" s="14" t="str">
        <f aca="false">IF(OR($D133="",$F133=""),"",IF($E133&gt;0,INDEX('R1. Tree Coefficients'!$F:$F,$F133+2)*($D133^INDEX('R1. Tree Coefficients'!$G:$G,$F133+2))*($E133^INDEX('R1. Tree Coefficients'!$H:$H,$F133+2)),INDEX('R1. Tree Coefficients'!$D:$D,$F133+2)*($D133^INDEX('R1. Tree Coefficients'!$E:$E,$F133+2))))</f>
        <v/>
      </c>
      <c r="K133" s="14" t="str">
        <f aca="false">IF(OR($D133="",$F133=""),"",IF($E133&gt;0,INDEX('R1. Tree Coefficients'!$F:$F,$F133+3)*($D133^INDEX('R1. Tree Coefficients'!$G:$G,$F133+3))*($E133^INDEX('R1. Tree Coefficients'!$H:$H,$F133+3)),INDEX('R1. Tree Coefficients'!$D:$D,$F133+3)*($D133^INDEX('R1. Tree Coefficients'!$E:$E,$F133+3))))</f>
        <v/>
      </c>
      <c r="L133" s="14" t="str">
        <f aca="false">IF($F133="","",IFERROR(SUM($H133:$K133),""))</f>
        <v/>
      </c>
      <c r="M133" s="14" t="str">
        <f aca="false">IF($F133="","",INDEX('R1. Tree Coefficients'!$J:$J,$F133))</f>
        <v/>
      </c>
      <c r="N133" s="14" t="str">
        <f aca="false">IF($L133="","",IF($M133="Deciduous",BGB_RS_DECIDUOUS_a*($L133^BGB_RS_DECIDUOUS_b),IF($M133="Conifers",BGB_RS_CONIFER*$L133,AVERAGE(BGB_RS_DECIDUOUS_a*($L133^BGB_RS_DECIDUOUS_b),BGB_RS_CONIFER*$L133))))</f>
        <v/>
      </c>
      <c r="O133" s="14" t="str">
        <f aca="false">IF($L133="","",$L133+$N133)</f>
        <v/>
      </c>
      <c r="P133" s="14" t="str">
        <f aca="false">IF($O133="","",$O133*CARBON_FRACTION_BIOMASS)</f>
        <v/>
      </c>
      <c r="Q133" s="14" t="str">
        <f aca="false">IF(AND($A133="",$C133=""),"",IF(AND($A133&lt;&gt;"",COUNTIF('1. Plot &amp; Site Log'!$A$5:$A$64,$A133)=0),"Plot ID not in Plot &amp; Site Log — this tree will not reach the summary. ","")&amp;IF($A133="","No Plot ID. ","")&amp;IF(AND($C133&lt;&gt;"",$F133=""),"Species not in the coefficient list — check the spelling against R1. ","")&amp;IF($D133="","No DBH — nothing can be calculated. ","")&amp;IF(AND($D133&lt;&gt;"",$D133&gt;QC_DBH_MAX_CM),"DBH above "&amp;QC_DBH_MAX_CM&amp;" cm — check for a transcription error. ","")&amp;IF($M133="All","Generic species: no published root:shoot applies, so below-ground biomass is the mean of the deciduous and conifer relationships. Choose a species, or Deciduous/Conifers, if you can. ","")&amp;IF(AND($O133&lt;&gt;"",$O133&gt;0,OR($N133/$O133&lt;BGB_FRACTION_MIN,$N133/$O133&gt;BGB_FRACTION_MAX)),"Below-ground share is "&amp;TEXT($N133/$O133,"0%")&amp;", outside the 18–30% the Trees guide describes. ",""))</f>
        <v/>
      </c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4" t="str">
        <f aca="false">IF($C134="","",IFERROR(12+(MATCH($C134,'R1. Tree Coefficients'!$L$12:$L$53,0)-1)*4,""))</f>
        <v/>
      </c>
      <c r="G134" s="14" t="str">
        <f aca="false">IF($F134="","",IF(AND($E134&lt;&gt;"",$E134&gt;0),"DBH + height","DBH only"))</f>
        <v/>
      </c>
      <c r="H134" s="14" t="str">
        <f aca="false">IF(OR($D134="",$F134=""),"",IF($E134&gt;0,INDEX('R1. Tree Coefficients'!$F:$F,$F134+0)*($D134^INDEX('R1. Tree Coefficients'!$G:$G,$F134+0))*($E134^INDEX('R1. Tree Coefficients'!$H:$H,$F134+0)),INDEX('R1. Tree Coefficients'!$D:$D,$F134+0)*($D134^INDEX('R1. Tree Coefficients'!$E:$E,$F134+0))))</f>
        <v/>
      </c>
      <c r="I134" s="14" t="str">
        <f aca="false">IF(OR($D134="",$F134=""),"",IF($E134&gt;0,INDEX('R1. Tree Coefficients'!$F:$F,$F134+1)*($D134^INDEX('R1. Tree Coefficients'!$G:$G,$F134+1))*($E134^INDEX('R1. Tree Coefficients'!$H:$H,$F134+1)),INDEX('R1. Tree Coefficients'!$D:$D,$F134+1)*($D134^INDEX('R1. Tree Coefficients'!$E:$E,$F134+1))))</f>
        <v/>
      </c>
      <c r="J134" s="14" t="str">
        <f aca="false">IF(OR($D134="",$F134=""),"",IF($E134&gt;0,INDEX('R1. Tree Coefficients'!$F:$F,$F134+2)*($D134^INDEX('R1. Tree Coefficients'!$G:$G,$F134+2))*($E134^INDEX('R1. Tree Coefficients'!$H:$H,$F134+2)),INDEX('R1. Tree Coefficients'!$D:$D,$F134+2)*($D134^INDEX('R1. Tree Coefficients'!$E:$E,$F134+2))))</f>
        <v/>
      </c>
      <c r="K134" s="14" t="str">
        <f aca="false">IF(OR($D134="",$F134=""),"",IF($E134&gt;0,INDEX('R1. Tree Coefficients'!$F:$F,$F134+3)*($D134^INDEX('R1. Tree Coefficients'!$G:$G,$F134+3))*($E134^INDEX('R1. Tree Coefficients'!$H:$H,$F134+3)),INDEX('R1. Tree Coefficients'!$D:$D,$F134+3)*($D134^INDEX('R1. Tree Coefficients'!$E:$E,$F134+3))))</f>
        <v/>
      </c>
      <c r="L134" s="14" t="str">
        <f aca="false">IF($F134="","",IFERROR(SUM($H134:$K134),""))</f>
        <v/>
      </c>
      <c r="M134" s="14" t="str">
        <f aca="false">IF($F134="","",INDEX('R1. Tree Coefficients'!$J:$J,$F134))</f>
        <v/>
      </c>
      <c r="N134" s="14" t="str">
        <f aca="false">IF($L134="","",IF($M134="Deciduous",BGB_RS_DECIDUOUS_a*($L134^BGB_RS_DECIDUOUS_b),IF($M134="Conifers",BGB_RS_CONIFER*$L134,AVERAGE(BGB_RS_DECIDUOUS_a*($L134^BGB_RS_DECIDUOUS_b),BGB_RS_CONIFER*$L134))))</f>
        <v/>
      </c>
      <c r="O134" s="14" t="str">
        <f aca="false">IF($L134="","",$L134+$N134)</f>
        <v/>
      </c>
      <c r="P134" s="14" t="str">
        <f aca="false">IF($O134="","",$O134*CARBON_FRACTION_BIOMASS)</f>
        <v/>
      </c>
      <c r="Q134" s="14" t="str">
        <f aca="false">IF(AND($A134="",$C134=""),"",IF(AND($A134&lt;&gt;"",COUNTIF('1. Plot &amp; Site Log'!$A$5:$A$64,$A134)=0),"Plot ID not in Plot &amp; Site Log — this tree will not reach the summary. ","")&amp;IF($A134="","No Plot ID. ","")&amp;IF(AND($C134&lt;&gt;"",$F134=""),"Species not in the coefficient list — check the spelling against R1. ","")&amp;IF($D134="","No DBH — nothing can be calculated. ","")&amp;IF(AND($D134&lt;&gt;"",$D134&gt;QC_DBH_MAX_CM),"DBH above "&amp;QC_DBH_MAX_CM&amp;" cm — check for a transcription error. ","")&amp;IF($M134="All","Generic species: no published root:shoot applies, so below-ground biomass is the mean of the deciduous and conifer relationships. Choose a species, or Deciduous/Conifers, if you can. ","")&amp;IF(AND($O134&lt;&gt;"",$O134&gt;0,OR($N134/$O134&lt;BGB_FRACTION_MIN,$N134/$O134&gt;BGB_FRACTION_MAX)),"Below-ground share is "&amp;TEXT($N134/$O134,"0%")&amp;", outside the 18–30% the Trees guide describes. ",""))</f>
        <v/>
      </c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4" t="str">
        <f aca="false">IF($C135="","",IFERROR(12+(MATCH($C135,'R1. Tree Coefficients'!$L$12:$L$53,0)-1)*4,""))</f>
        <v/>
      </c>
      <c r="G135" s="14" t="str">
        <f aca="false">IF($F135="","",IF(AND($E135&lt;&gt;"",$E135&gt;0),"DBH + height","DBH only"))</f>
        <v/>
      </c>
      <c r="H135" s="14" t="str">
        <f aca="false">IF(OR($D135="",$F135=""),"",IF($E135&gt;0,INDEX('R1. Tree Coefficients'!$F:$F,$F135+0)*($D135^INDEX('R1. Tree Coefficients'!$G:$G,$F135+0))*($E135^INDEX('R1. Tree Coefficients'!$H:$H,$F135+0)),INDEX('R1. Tree Coefficients'!$D:$D,$F135+0)*($D135^INDEX('R1. Tree Coefficients'!$E:$E,$F135+0))))</f>
        <v/>
      </c>
      <c r="I135" s="14" t="str">
        <f aca="false">IF(OR($D135="",$F135=""),"",IF($E135&gt;0,INDEX('R1. Tree Coefficients'!$F:$F,$F135+1)*($D135^INDEX('R1. Tree Coefficients'!$G:$G,$F135+1))*($E135^INDEX('R1. Tree Coefficients'!$H:$H,$F135+1)),INDEX('R1. Tree Coefficients'!$D:$D,$F135+1)*($D135^INDEX('R1. Tree Coefficients'!$E:$E,$F135+1))))</f>
        <v/>
      </c>
      <c r="J135" s="14" t="str">
        <f aca="false">IF(OR($D135="",$F135=""),"",IF($E135&gt;0,INDEX('R1. Tree Coefficients'!$F:$F,$F135+2)*($D135^INDEX('R1. Tree Coefficients'!$G:$G,$F135+2))*($E135^INDEX('R1. Tree Coefficients'!$H:$H,$F135+2)),INDEX('R1. Tree Coefficients'!$D:$D,$F135+2)*($D135^INDEX('R1. Tree Coefficients'!$E:$E,$F135+2))))</f>
        <v/>
      </c>
      <c r="K135" s="14" t="str">
        <f aca="false">IF(OR($D135="",$F135=""),"",IF($E135&gt;0,INDEX('R1. Tree Coefficients'!$F:$F,$F135+3)*($D135^INDEX('R1. Tree Coefficients'!$G:$G,$F135+3))*($E135^INDEX('R1. Tree Coefficients'!$H:$H,$F135+3)),INDEX('R1. Tree Coefficients'!$D:$D,$F135+3)*($D135^INDEX('R1. Tree Coefficients'!$E:$E,$F135+3))))</f>
        <v/>
      </c>
      <c r="L135" s="14" t="str">
        <f aca="false">IF($F135="","",IFERROR(SUM($H135:$K135),""))</f>
        <v/>
      </c>
      <c r="M135" s="14" t="str">
        <f aca="false">IF($F135="","",INDEX('R1. Tree Coefficients'!$J:$J,$F135))</f>
        <v/>
      </c>
      <c r="N135" s="14" t="str">
        <f aca="false">IF($L135="","",IF($M135="Deciduous",BGB_RS_DECIDUOUS_a*($L135^BGB_RS_DECIDUOUS_b),IF($M135="Conifers",BGB_RS_CONIFER*$L135,AVERAGE(BGB_RS_DECIDUOUS_a*($L135^BGB_RS_DECIDUOUS_b),BGB_RS_CONIFER*$L135))))</f>
        <v/>
      </c>
      <c r="O135" s="14" t="str">
        <f aca="false">IF($L135="","",$L135+$N135)</f>
        <v/>
      </c>
      <c r="P135" s="14" t="str">
        <f aca="false">IF($O135="","",$O135*CARBON_FRACTION_BIOMASS)</f>
        <v/>
      </c>
      <c r="Q135" s="14" t="str">
        <f aca="false">IF(AND($A135="",$C135=""),"",IF(AND($A135&lt;&gt;"",COUNTIF('1. Plot &amp; Site Log'!$A$5:$A$64,$A135)=0),"Plot ID not in Plot &amp; Site Log — this tree will not reach the summary. ","")&amp;IF($A135="","No Plot ID. ","")&amp;IF(AND($C135&lt;&gt;"",$F135=""),"Species not in the coefficient list — check the spelling against R1. ","")&amp;IF($D135="","No DBH — nothing can be calculated. ","")&amp;IF(AND($D135&lt;&gt;"",$D135&gt;QC_DBH_MAX_CM),"DBH above "&amp;QC_DBH_MAX_CM&amp;" cm — check for a transcription error. ","")&amp;IF($M135="All","Generic species: no published root:shoot applies, so below-ground biomass is the mean of the deciduous and conifer relationships. Choose a species, or Deciduous/Conifers, if you can. ","")&amp;IF(AND($O135&lt;&gt;"",$O135&gt;0,OR($N135/$O135&lt;BGB_FRACTION_MIN,$N135/$O135&gt;BGB_FRACTION_MAX)),"Below-ground share is "&amp;TEXT($N135/$O135,"0%")&amp;", outside the 18–30% the Trees guide describes. ",""))</f>
        <v/>
      </c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4" t="str">
        <f aca="false">IF($C136="","",IFERROR(12+(MATCH($C136,'R1. Tree Coefficients'!$L$12:$L$53,0)-1)*4,""))</f>
        <v/>
      </c>
      <c r="G136" s="14" t="str">
        <f aca="false">IF($F136="","",IF(AND($E136&lt;&gt;"",$E136&gt;0),"DBH + height","DBH only"))</f>
        <v/>
      </c>
      <c r="H136" s="14" t="str">
        <f aca="false">IF(OR($D136="",$F136=""),"",IF($E136&gt;0,INDEX('R1. Tree Coefficients'!$F:$F,$F136+0)*($D136^INDEX('R1. Tree Coefficients'!$G:$G,$F136+0))*($E136^INDEX('R1. Tree Coefficients'!$H:$H,$F136+0)),INDEX('R1. Tree Coefficients'!$D:$D,$F136+0)*($D136^INDEX('R1. Tree Coefficients'!$E:$E,$F136+0))))</f>
        <v/>
      </c>
      <c r="I136" s="14" t="str">
        <f aca="false">IF(OR($D136="",$F136=""),"",IF($E136&gt;0,INDEX('R1. Tree Coefficients'!$F:$F,$F136+1)*($D136^INDEX('R1. Tree Coefficients'!$G:$G,$F136+1))*($E136^INDEX('R1. Tree Coefficients'!$H:$H,$F136+1)),INDEX('R1. Tree Coefficients'!$D:$D,$F136+1)*($D136^INDEX('R1. Tree Coefficients'!$E:$E,$F136+1))))</f>
        <v/>
      </c>
      <c r="J136" s="14" t="str">
        <f aca="false">IF(OR($D136="",$F136=""),"",IF($E136&gt;0,INDEX('R1. Tree Coefficients'!$F:$F,$F136+2)*($D136^INDEX('R1. Tree Coefficients'!$G:$G,$F136+2))*($E136^INDEX('R1. Tree Coefficients'!$H:$H,$F136+2)),INDEX('R1. Tree Coefficients'!$D:$D,$F136+2)*($D136^INDEX('R1. Tree Coefficients'!$E:$E,$F136+2))))</f>
        <v/>
      </c>
      <c r="K136" s="14" t="str">
        <f aca="false">IF(OR($D136="",$F136=""),"",IF($E136&gt;0,INDEX('R1. Tree Coefficients'!$F:$F,$F136+3)*($D136^INDEX('R1. Tree Coefficients'!$G:$G,$F136+3))*($E136^INDEX('R1. Tree Coefficients'!$H:$H,$F136+3)),INDEX('R1. Tree Coefficients'!$D:$D,$F136+3)*($D136^INDEX('R1. Tree Coefficients'!$E:$E,$F136+3))))</f>
        <v/>
      </c>
      <c r="L136" s="14" t="str">
        <f aca="false">IF($F136="","",IFERROR(SUM($H136:$K136),""))</f>
        <v/>
      </c>
      <c r="M136" s="14" t="str">
        <f aca="false">IF($F136="","",INDEX('R1. Tree Coefficients'!$J:$J,$F136))</f>
        <v/>
      </c>
      <c r="N136" s="14" t="str">
        <f aca="false">IF($L136="","",IF($M136="Deciduous",BGB_RS_DECIDUOUS_a*($L136^BGB_RS_DECIDUOUS_b),IF($M136="Conifers",BGB_RS_CONIFER*$L136,AVERAGE(BGB_RS_DECIDUOUS_a*($L136^BGB_RS_DECIDUOUS_b),BGB_RS_CONIFER*$L136))))</f>
        <v/>
      </c>
      <c r="O136" s="14" t="str">
        <f aca="false">IF($L136="","",$L136+$N136)</f>
        <v/>
      </c>
      <c r="P136" s="14" t="str">
        <f aca="false">IF($O136="","",$O136*CARBON_FRACTION_BIOMASS)</f>
        <v/>
      </c>
      <c r="Q136" s="14" t="str">
        <f aca="false">IF(AND($A136="",$C136=""),"",IF(AND($A136&lt;&gt;"",COUNTIF('1. Plot &amp; Site Log'!$A$5:$A$64,$A136)=0),"Plot ID not in Plot &amp; Site Log — this tree will not reach the summary. ","")&amp;IF($A136="","No Plot ID. ","")&amp;IF(AND($C136&lt;&gt;"",$F136=""),"Species not in the coefficient list — check the spelling against R1. ","")&amp;IF($D136="","No DBH — nothing can be calculated. ","")&amp;IF(AND($D136&lt;&gt;"",$D136&gt;QC_DBH_MAX_CM),"DBH above "&amp;QC_DBH_MAX_CM&amp;" cm — check for a transcription error. ","")&amp;IF($M136="All","Generic species: no published root:shoot applies, so below-ground biomass is the mean of the deciduous and conifer relationships. Choose a species, or Deciduous/Conifers, if you can. ","")&amp;IF(AND($O136&lt;&gt;"",$O136&gt;0,OR($N136/$O136&lt;BGB_FRACTION_MIN,$N136/$O136&gt;BGB_FRACTION_MAX)),"Below-ground share is "&amp;TEXT($N136/$O136,"0%")&amp;", outside the 18–30% the Trees guide describes. ",""))</f>
        <v/>
      </c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4" t="str">
        <f aca="false">IF($C137="","",IFERROR(12+(MATCH($C137,'R1. Tree Coefficients'!$L$12:$L$53,0)-1)*4,""))</f>
        <v/>
      </c>
      <c r="G137" s="14" t="str">
        <f aca="false">IF($F137="","",IF(AND($E137&lt;&gt;"",$E137&gt;0),"DBH + height","DBH only"))</f>
        <v/>
      </c>
      <c r="H137" s="14" t="str">
        <f aca="false">IF(OR($D137="",$F137=""),"",IF($E137&gt;0,INDEX('R1. Tree Coefficients'!$F:$F,$F137+0)*($D137^INDEX('R1. Tree Coefficients'!$G:$G,$F137+0))*($E137^INDEX('R1. Tree Coefficients'!$H:$H,$F137+0)),INDEX('R1. Tree Coefficients'!$D:$D,$F137+0)*($D137^INDEX('R1. Tree Coefficients'!$E:$E,$F137+0))))</f>
        <v/>
      </c>
      <c r="I137" s="14" t="str">
        <f aca="false">IF(OR($D137="",$F137=""),"",IF($E137&gt;0,INDEX('R1. Tree Coefficients'!$F:$F,$F137+1)*($D137^INDEX('R1. Tree Coefficients'!$G:$G,$F137+1))*($E137^INDEX('R1. Tree Coefficients'!$H:$H,$F137+1)),INDEX('R1. Tree Coefficients'!$D:$D,$F137+1)*($D137^INDEX('R1. Tree Coefficients'!$E:$E,$F137+1))))</f>
        <v/>
      </c>
      <c r="J137" s="14" t="str">
        <f aca="false">IF(OR($D137="",$F137=""),"",IF($E137&gt;0,INDEX('R1. Tree Coefficients'!$F:$F,$F137+2)*($D137^INDEX('R1. Tree Coefficients'!$G:$G,$F137+2))*($E137^INDEX('R1. Tree Coefficients'!$H:$H,$F137+2)),INDEX('R1. Tree Coefficients'!$D:$D,$F137+2)*($D137^INDEX('R1. Tree Coefficients'!$E:$E,$F137+2))))</f>
        <v/>
      </c>
      <c r="K137" s="14" t="str">
        <f aca="false">IF(OR($D137="",$F137=""),"",IF($E137&gt;0,INDEX('R1. Tree Coefficients'!$F:$F,$F137+3)*($D137^INDEX('R1. Tree Coefficients'!$G:$G,$F137+3))*($E137^INDEX('R1. Tree Coefficients'!$H:$H,$F137+3)),INDEX('R1. Tree Coefficients'!$D:$D,$F137+3)*($D137^INDEX('R1. Tree Coefficients'!$E:$E,$F137+3))))</f>
        <v/>
      </c>
      <c r="L137" s="14" t="str">
        <f aca="false">IF($F137="","",IFERROR(SUM($H137:$K137),""))</f>
        <v/>
      </c>
      <c r="M137" s="14" t="str">
        <f aca="false">IF($F137="","",INDEX('R1. Tree Coefficients'!$J:$J,$F137))</f>
        <v/>
      </c>
      <c r="N137" s="14" t="str">
        <f aca="false">IF($L137="","",IF($M137="Deciduous",BGB_RS_DECIDUOUS_a*($L137^BGB_RS_DECIDUOUS_b),IF($M137="Conifers",BGB_RS_CONIFER*$L137,AVERAGE(BGB_RS_DECIDUOUS_a*($L137^BGB_RS_DECIDUOUS_b),BGB_RS_CONIFER*$L137))))</f>
        <v/>
      </c>
      <c r="O137" s="14" t="str">
        <f aca="false">IF($L137="","",$L137+$N137)</f>
        <v/>
      </c>
      <c r="P137" s="14" t="str">
        <f aca="false">IF($O137="","",$O137*CARBON_FRACTION_BIOMASS)</f>
        <v/>
      </c>
      <c r="Q137" s="14" t="str">
        <f aca="false">IF(AND($A137="",$C137=""),"",IF(AND($A137&lt;&gt;"",COUNTIF('1. Plot &amp; Site Log'!$A$5:$A$64,$A137)=0),"Plot ID not in Plot &amp; Site Log — this tree will not reach the summary. ","")&amp;IF($A137="","No Plot ID. ","")&amp;IF(AND($C137&lt;&gt;"",$F137=""),"Species not in the coefficient list — check the spelling against R1. ","")&amp;IF($D137="","No DBH — nothing can be calculated. ","")&amp;IF(AND($D137&lt;&gt;"",$D137&gt;QC_DBH_MAX_CM),"DBH above "&amp;QC_DBH_MAX_CM&amp;" cm — check for a transcription error. ","")&amp;IF($M137="All","Generic species: no published root:shoot applies, so below-ground biomass is the mean of the deciduous and conifer relationships. Choose a species, or Deciduous/Conifers, if you can. ","")&amp;IF(AND($O137&lt;&gt;"",$O137&gt;0,OR($N137/$O137&lt;BGB_FRACTION_MIN,$N137/$O137&gt;BGB_FRACTION_MAX)),"Below-ground share is "&amp;TEXT($N137/$O137,"0%")&amp;", outside the 18–30% the Trees guide describes. ",""))</f>
        <v/>
      </c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4" t="str">
        <f aca="false">IF($C138="","",IFERROR(12+(MATCH($C138,'R1. Tree Coefficients'!$L$12:$L$53,0)-1)*4,""))</f>
        <v/>
      </c>
      <c r="G138" s="14" t="str">
        <f aca="false">IF($F138="","",IF(AND($E138&lt;&gt;"",$E138&gt;0),"DBH + height","DBH only"))</f>
        <v/>
      </c>
      <c r="H138" s="14" t="str">
        <f aca="false">IF(OR($D138="",$F138=""),"",IF($E138&gt;0,INDEX('R1. Tree Coefficients'!$F:$F,$F138+0)*($D138^INDEX('R1. Tree Coefficients'!$G:$G,$F138+0))*($E138^INDEX('R1. Tree Coefficients'!$H:$H,$F138+0)),INDEX('R1. Tree Coefficients'!$D:$D,$F138+0)*($D138^INDEX('R1. Tree Coefficients'!$E:$E,$F138+0))))</f>
        <v/>
      </c>
      <c r="I138" s="14" t="str">
        <f aca="false">IF(OR($D138="",$F138=""),"",IF($E138&gt;0,INDEX('R1. Tree Coefficients'!$F:$F,$F138+1)*($D138^INDEX('R1. Tree Coefficients'!$G:$G,$F138+1))*($E138^INDEX('R1. Tree Coefficients'!$H:$H,$F138+1)),INDEX('R1. Tree Coefficients'!$D:$D,$F138+1)*($D138^INDEX('R1. Tree Coefficients'!$E:$E,$F138+1))))</f>
        <v/>
      </c>
      <c r="J138" s="14" t="str">
        <f aca="false">IF(OR($D138="",$F138=""),"",IF($E138&gt;0,INDEX('R1. Tree Coefficients'!$F:$F,$F138+2)*($D138^INDEX('R1. Tree Coefficients'!$G:$G,$F138+2))*($E138^INDEX('R1. Tree Coefficients'!$H:$H,$F138+2)),INDEX('R1. Tree Coefficients'!$D:$D,$F138+2)*($D138^INDEX('R1. Tree Coefficients'!$E:$E,$F138+2))))</f>
        <v/>
      </c>
      <c r="K138" s="14" t="str">
        <f aca="false">IF(OR($D138="",$F138=""),"",IF($E138&gt;0,INDEX('R1. Tree Coefficients'!$F:$F,$F138+3)*($D138^INDEX('R1. Tree Coefficients'!$G:$G,$F138+3))*($E138^INDEX('R1. Tree Coefficients'!$H:$H,$F138+3)),INDEX('R1. Tree Coefficients'!$D:$D,$F138+3)*($D138^INDEX('R1. Tree Coefficients'!$E:$E,$F138+3))))</f>
        <v/>
      </c>
      <c r="L138" s="14" t="str">
        <f aca="false">IF($F138="","",IFERROR(SUM($H138:$K138),""))</f>
        <v/>
      </c>
      <c r="M138" s="14" t="str">
        <f aca="false">IF($F138="","",INDEX('R1. Tree Coefficients'!$J:$J,$F138))</f>
        <v/>
      </c>
      <c r="N138" s="14" t="str">
        <f aca="false">IF($L138="","",IF($M138="Deciduous",BGB_RS_DECIDUOUS_a*($L138^BGB_RS_DECIDUOUS_b),IF($M138="Conifers",BGB_RS_CONIFER*$L138,AVERAGE(BGB_RS_DECIDUOUS_a*($L138^BGB_RS_DECIDUOUS_b),BGB_RS_CONIFER*$L138))))</f>
        <v/>
      </c>
      <c r="O138" s="14" t="str">
        <f aca="false">IF($L138="","",$L138+$N138)</f>
        <v/>
      </c>
      <c r="P138" s="14" t="str">
        <f aca="false">IF($O138="","",$O138*CARBON_FRACTION_BIOMASS)</f>
        <v/>
      </c>
      <c r="Q138" s="14" t="str">
        <f aca="false">IF(AND($A138="",$C138=""),"",IF(AND($A138&lt;&gt;"",COUNTIF('1. Plot &amp; Site Log'!$A$5:$A$64,$A138)=0),"Plot ID not in Plot &amp; Site Log — this tree will not reach the summary. ","")&amp;IF($A138="","No Plot ID. ","")&amp;IF(AND($C138&lt;&gt;"",$F138=""),"Species not in the coefficient list — check the spelling against R1. ","")&amp;IF($D138="","No DBH — nothing can be calculated. ","")&amp;IF(AND($D138&lt;&gt;"",$D138&gt;QC_DBH_MAX_CM),"DBH above "&amp;QC_DBH_MAX_CM&amp;" cm — check for a transcription error. ","")&amp;IF($M138="All","Generic species: no published root:shoot applies, so below-ground biomass is the mean of the deciduous and conifer relationships. Choose a species, or Deciduous/Conifers, if you can. ","")&amp;IF(AND($O138&lt;&gt;"",$O138&gt;0,OR($N138/$O138&lt;BGB_FRACTION_MIN,$N138/$O138&gt;BGB_FRACTION_MAX)),"Below-ground share is "&amp;TEXT($N138/$O138,"0%")&amp;", outside the 18–30% the Trees guide describes. ",""))</f>
        <v/>
      </c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4" t="str">
        <f aca="false">IF($C139="","",IFERROR(12+(MATCH($C139,'R1. Tree Coefficients'!$L$12:$L$53,0)-1)*4,""))</f>
        <v/>
      </c>
      <c r="G139" s="14" t="str">
        <f aca="false">IF($F139="","",IF(AND($E139&lt;&gt;"",$E139&gt;0),"DBH + height","DBH only"))</f>
        <v/>
      </c>
      <c r="H139" s="14" t="str">
        <f aca="false">IF(OR($D139="",$F139=""),"",IF($E139&gt;0,INDEX('R1. Tree Coefficients'!$F:$F,$F139+0)*($D139^INDEX('R1. Tree Coefficients'!$G:$G,$F139+0))*($E139^INDEX('R1. Tree Coefficients'!$H:$H,$F139+0)),INDEX('R1. Tree Coefficients'!$D:$D,$F139+0)*($D139^INDEX('R1. Tree Coefficients'!$E:$E,$F139+0))))</f>
        <v/>
      </c>
      <c r="I139" s="14" t="str">
        <f aca="false">IF(OR($D139="",$F139=""),"",IF($E139&gt;0,INDEX('R1. Tree Coefficients'!$F:$F,$F139+1)*($D139^INDEX('R1. Tree Coefficients'!$G:$G,$F139+1))*($E139^INDEX('R1. Tree Coefficients'!$H:$H,$F139+1)),INDEX('R1. Tree Coefficients'!$D:$D,$F139+1)*($D139^INDEX('R1. Tree Coefficients'!$E:$E,$F139+1))))</f>
        <v/>
      </c>
      <c r="J139" s="14" t="str">
        <f aca="false">IF(OR($D139="",$F139=""),"",IF($E139&gt;0,INDEX('R1. Tree Coefficients'!$F:$F,$F139+2)*($D139^INDEX('R1. Tree Coefficients'!$G:$G,$F139+2))*($E139^INDEX('R1. Tree Coefficients'!$H:$H,$F139+2)),INDEX('R1. Tree Coefficients'!$D:$D,$F139+2)*($D139^INDEX('R1. Tree Coefficients'!$E:$E,$F139+2))))</f>
        <v/>
      </c>
      <c r="K139" s="14" t="str">
        <f aca="false">IF(OR($D139="",$F139=""),"",IF($E139&gt;0,INDEX('R1. Tree Coefficients'!$F:$F,$F139+3)*($D139^INDEX('R1. Tree Coefficients'!$G:$G,$F139+3))*($E139^INDEX('R1. Tree Coefficients'!$H:$H,$F139+3)),INDEX('R1. Tree Coefficients'!$D:$D,$F139+3)*($D139^INDEX('R1. Tree Coefficients'!$E:$E,$F139+3))))</f>
        <v/>
      </c>
      <c r="L139" s="14" t="str">
        <f aca="false">IF($F139="","",IFERROR(SUM($H139:$K139),""))</f>
        <v/>
      </c>
      <c r="M139" s="14" t="str">
        <f aca="false">IF($F139="","",INDEX('R1. Tree Coefficients'!$J:$J,$F139))</f>
        <v/>
      </c>
      <c r="N139" s="14" t="str">
        <f aca="false">IF($L139="","",IF($M139="Deciduous",BGB_RS_DECIDUOUS_a*($L139^BGB_RS_DECIDUOUS_b),IF($M139="Conifers",BGB_RS_CONIFER*$L139,AVERAGE(BGB_RS_DECIDUOUS_a*($L139^BGB_RS_DECIDUOUS_b),BGB_RS_CONIFER*$L139))))</f>
        <v/>
      </c>
      <c r="O139" s="14" t="str">
        <f aca="false">IF($L139="","",$L139+$N139)</f>
        <v/>
      </c>
      <c r="P139" s="14" t="str">
        <f aca="false">IF($O139="","",$O139*CARBON_FRACTION_BIOMASS)</f>
        <v/>
      </c>
      <c r="Q139" s="14" t="str">
        <f aca="false">IF(AND($A139="",$C139=""),"",IF(AND($A139&lt;&gt;"",COUNTIF('1. Plot &amp; Site Log'!$A$5:$A$64,$A139)=0),"Plot ID not in Plot &amp; Site Log — this tree will not reach the summary. ","")&amp;IF($A139="","No Plot ID. ","")&amp;IF(AND($C139&lt;&gt;"",$F139=""),"Species not in the coefficient list — check the spelling against R1. ","")&amp;IF($D139="","No DBH — nothing can be calculated. ","")&amp;IF(AND($D139&lt;&gt;"",$D139&gt;QC_DBH_MAX_CM),"DBH above "&amp;QC_DBH_MAX_CM&amp;" cm — check for a transcription error. ","")&amp;IF($M139="All","Generic species: no published root:shoot applies, so below-ground biomass is the mean of the deciduous and conifer relationships. Choose a species, or Deciduous/Conifers, if you can. ","")&amp;IF(AND($O139&lt;&gt;"",$O139&gt;0,OR($N139/$O139&lt;BGB_FRACTION_MIN,$N139/$O139&gt;BGB_FRACTION_MAX)),"Below-ground share is "&amp;TEXT($N139/$O139,"0%")&amp;", outside the 18–30% the Trees guide describes. ",""))</f>
        <v/>
      </c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4" t="str">
        <f aca="false">IF($C140="","",IFERROR(12+(MATCH($C140,'R1. Tree Coefficients'!$L$12:$L$53,0)-1)*4,""))</f>
        <v/>
      </c>
      <c r="G140" s="14" t="str">
        <f aca="false">IF($F140="","",IF(AND($E140&lt;&gt;"",$E140&gt;0),"DBH + height","DBH only"))</f>
        <v/>
      </c>
      <c r="H140" s="14" t="str">
        <f aca="false">IF(OR($D140="",$F140=""),"",IF($E140&gt;0,INDEX('R1. Tree Coefficients'!$F:$F,$F140+0)*($D140^INDEX('R1. Tree Coefficients'!$G:$G,$F140+0))*($E140^INDEX('R1. Tree Coefficients'!$H:$H,$F140+0)),INDEX('R1. Tree Coefficients'!$D:$D,$F140+0)*($D140^INDEX('R1. Tree Coefficients'!$E:$E,$F140+0))))</f>
        <v/>
      </c>
      <c r="I140" s="14" t="str">
        <f aca="false">IF(OR($D140="",$F140=""),"",IF($E140&gt;0,INDEX('R1. Tree Coefficients'!$F:$F,$F140+1)*($D140^INDEX('R1. Tree Coefficients'!$G:$G,$F140+1))*($E140^INDEX('R1. Tree Coefficients'!$H:$H,$F140+1)),INDEX('R1. Tree Coefficients'!$D:$D,$F140+1)*($D140^INDEX('R1. Tree Coefficients'!$E:$E,$F140+1))))</f>
        <v/>
      </c>
      <c r="J140" s="14" t="str">
        <f aca="false">IF(OR($D140="",$F140=""),"",IF($E140&gt;0,INDEX('R1. Tree Coefficients'!$F:$F,$F140+2)*($D140^INDEX('R1. Tree Coefficients'!$G:$G,$F140+2))*($E140^INDEX('R1. Tree Coefficients'!$H:$H,$F140+2)),INDEX('R1. Tree Coefficients'!$D:$D,$F140+2)*($D140^INDEX('R1. Tree Coefficients'!$E:$E,$F140+2))))</f>
        <v/>
      </c>
      <c r="K140" s="14" t="str">
        <f aca="false">IF(OR($D140="",$F140=""),"",IF($E140&gt;0,INDEX('R1. Tree Coefficients'!$F:$F,$F140+3)*($D140^INDEX('R1. Tree Coefficients'!$G:$G,$F140+3))*($E140^INDEX('R1. Tree Coefficients'!$H:$H,$F140+3)),INDEX('R1. Tree Coefficients'!$D:$D,$F140+3)*($D140^INDEX('R1. Tree Coefficients'!$E:$E,$F140+3))))</f>
        <v/>
      </c>
      <c r="L140" s="14" t="str">
        <f aca="false">IF($F140="","",IFERROR(SUM($H140:$K140),""))</f>
        <v/>
      </c>
      <c r="M140" s="14" t="str">
        <f aca="false">IF($F140="","",INDEX('R1. Tree Coefficients'!$J:$J,$F140))</f>
        <v/>
      </c>
      <c r="N140" s="14" t="str">
        <f aca="false">IF($L140="","",IF($M140="Deciduous",BGB_RS_DECIDUOUS_a*($L140^BGB_RS_DECIDUOUS_b),IF($M140="Conifers",BGB_RS_CONIFER*$L140,AVERAGE(BGB_RS_DECIDUOUS_a*($L140^BGB_RS_DECIDUOUS_b),BGB_RS_CONIFER*$L140))))</f>
        <v/>
      </c>
      <c r="O140" s="14" t="str">
        <f aca="false">IF($L140="","",$L140+$N140)</f>
        <v/>
      </c>
      <c r="P140" s="14" t="str">
        <f aca="false">IF($O140="","",$O140*CARBON_FRACTION_BIOMASS)</f>
        <v/>
      </c>
      <c r="Q140" s="14" t="str">
        <f aca="false">IF(AND($A140="",$C140=""),"",IF(AND($A140&lt;&gt;"",COUNTIF('1. Plot &amp; Site Log'!$A$5:$A$64,$A140)=0),"Plot ID not in Plot &amp; Site Log — this tree will not reach the summary. ","")&amp;IF($A140="","No Plot ID. ","")&amp;IF(AND($C140&lt;&gt;"",$F140=""),"Species not in the coefficient list — check the spelling against R1. ","")&amp;IF($D140="","No DBH — nothing can be calculated. ","")&amp;IF(AND($D140&lt;&gt;"",$D140&gt;QC_DBH_MAX_CM),"DBH above "&amp;QC_DBH_MAX_CM&amp;" cm — check for a transcription error. ","")&amp;IF($M140="All","Generic species: no published root:shoot applies, so below-ground biomass is the mean of the deciduous and conifer relationships. Choose a species, or Deciduous/Conifers, if you can. ","")&amp;IF(AND($O140&lt;&gt;"",$O140&gt;0,OR($N140/$O140&lt;BGB_FRACTION_MIN,$N140/$O140&gt;BGB_FRACTION_MAX)),"Below-ground share is "&amp;TEXT($N140/$O140,"0%")&amp;", outside the 18–30% the Trees guide describes. ",""))</f>
        <v/>
      </c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4" t="str">
        <f aca="false">IF($C141="","",IFERROR(12+(MATCH($C141,'R1. Tree Coefficients'!$L$12:$L$53,0)-1)*4,""))</f>
        <v/>
      </c>
      <c r="G141" s="14" t="str">
        <f aca="false">IF($F141="","",IF(AND($E141&lt;&gt;"",$E141&gt;0),"DBH + height","DBH only"))</f>
        <v/>
      </c>
      <c r="H141" s="14" t="str">
        <f aca="false">IF(OR($D141="",$F141=""),"",IF($E141&gt;0,INDEX('R1. Tree Coefficients'!$F:$F,$F141+0)*($D141^INDEX('R1. Tree Coefficients'!$G:$G,$F141+0))*($E141^INDEX('R1. Tree Coefficients'!$H:$H,$F141+0)),INDEX('R1. Tree Coefficients'!$D:$D,$F141+0)*($D141^INDEX('R1. Tree Coefficients'!$E:$E,$F141+0))))</f>
        <v/>
      </c>
      <c r="I141" s="14" t="str">
        <f aca="false">IF(OR($D141="",$F141=""),"",IF($E141&gt;0,INDEX('R1. Tree Coefficients'!$F:$F,$F141+1)*($D141^INDEX('R1. Tree Coefficients'!$G:$G,$F141+1))*($E141^INDEX('R1. Tree Coefficients'!$H:$H,$F141+1)),INDEX('R1. Tree Coefficients'!$D:$D,$F141+1)*($D141^INDEX('R1. Tree Coefficients'!$E:$E,$F141+1))))</f>
        <v/>
      </c>
      <c r="J141" s="14" t="str">
        <f aca="false">IF(OR($D141="",$F141=""),"",IF($E141&gt;0,INDEX('R1. Tree Coefficients'!$F:$F,$F141+2)*($D141^INDEX('R1. Tree Coefficients'!$G:$G,$F141+2))*($E141^INDEX('R1. Tree Coefficients'!$H:$H,$F141+2)),INDEX('R1. Tree Coefficients'!$D:$D,$F141+2)*($D141^INDEX('R1. Tree Coefficients'!$E:$E,$F141+2))))</f>
        <v/>
      </c>
      <c r="K141" s="14" t="str">
        <f aca="false">IF(OR($D141="",$F141=""),"",IF($E141&gt;0,INDEX('R1. Tree Coefficients'!$F:$F,$F141+3)*($D141^INDEX('R1. Tree Coefficients'!$G:$G,$F141+3))*($E141^INDEX('R1. Tree Coefficients'!$H:$H,$F141+3)),INDEX('R1. Tree Coefficients'!$D:$D,$F141+3)*($D141^INDEX('R1. Tree Coefficients'!$E:$E,$F141+3))))</f>
        <v/>
      </c>
      <c r="L141" s="14" t="str">
        <f aca="false">IF($F141="","",IFERROR(SUM($H141:$K141),""))</f>
        <v/>
      </c>
      <c r="M141" s="14" t="str">
        <f aca="false">IF($F141="","",INDEX('R1. Tree Coefficients'!$J:$J,$F141))</f>
        <v/>
      </c>
      <c r="N141" s="14" t="str">
        <f aca="false">IF($L141="","",IF($M141="Deciduous",BGB_RS_DECIDUOUS_a*($L141^BGB_RS_DECIDUOUS_b),IF($M141="Conifers",BGB_RS_CONIFER*$L141,AVERAGE(BGB_RS_DECIDUOUS_a*($L141^BGB_RS_DECIDUOUS_b),BGB_RS_CONIFER*$L141))))</f>
        <v/>
      </c>
      <c r="O141" s="14" t="str">
        <f aca="false">IF($L141="","",$L141+$N141)</f>
        <v/>
      </c>
      <c r="P141" s="14" t="str">
        <f aca="false">IF($O141="","",$O141*CARBON_FRACTION_BIOMASS)</f>
        <v/>
      </c>
      <c r="Q141" s="14" t="str">
        <f aca="false">IF(AND($A141="",$C141=""),"",IF(AND($A141&lt;&gt;"",COUNTIF('1. Plot &amp; Site Log'!$A$5:$A$64,$A141)=0),"Plot ID not in Plot &amp; Site Log — this tree will not reach the summary. ","")&amp;IF($A141="","No Plot ID. ","")&amp;IF(AND($C141&lt;&gt;"",$F141=""),"Species not in the coefficient list — check the spelling against R1. ","")&amp;IF($D141="","No DBH — nothing can be calculated. ","")&amp;IF(AND($D141&lt;&gt;"",$D141&gt;QC_DBH_MAX_CM),"DBH above "&amp;QC_DBH_MAX_CM&amp;" cm — check for a transcription error. ","")&amp;IF($M141="All","Generic species: no published root:shoot applies, so below-ground biomass is the mean of the deciduous and conifer relationships. Choose a species, or Deciduous/Conifers, if you can. ","")&amp;IF(AND($O141&lt;&gt;"",$O141&gt;0,OR($N141/$O141&lt;BGB_FRACTION_MIN,$N141/$O141&gt;BGB_FRACTION_MAX)),"Below-ground share is "&amp;TEXT($N141/$O141,"0%")&amp;", outside the 18–30% the Trees guide describes. ",""))</f>
        <v/>
      </c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4" t="str">
        <f aca="false">IF($C142="","",IFERROR(12+(MATCH($C142,'R1. Tree Coefficients'!$L$12:$L$53,0)-1)*4,""))</f>
        <v/>
      </c>
      <c r="G142" s="14" t="str">
        <f aca="false">IF($F142="","",IF(AND($E142&lt;&gt;"",$E142&gt;0),"DBH + height","DBH only"))</f>
        <v/>
      </c>
      <c r="H142" s="14" t="str">
        <f aca="false">IF(OR($D142="",$F142=""),"",IF($E142&gt;0,INDEX('R1. Tree Coefficients'!$F:$F,$F142+0)*($D142^INDEX('R1. Tree Coefficients'!$G:$G,$F142+0))*($E142^INDEX('R1. Tree Coefficients'!$H:$H,$F142+0)),INDEX('R1. Tree Coefficients'!$D:$D,$F142+0)*($D142^INDEX('R1. Tree Coefficients'!$E:$E,$F142+0))))</f>
        <v/>
      </c>
      <c r="I142" s="14" t="str">
        <f aca="false">IF(OR($D142="",$F142=""),"",IF($E142&gt;0,INDEX('R1. Tree Coefficients'!$F:$F,$F142+1)*($D142^INDEX('R1. Tree Coefficients'!$G:$G,$F142+1))*($E142^INDEX('R1. Tree Coefficients'!$H:$H,$F142+1)),INDEX('R1. Tree Coefficients'!$D:$D,$F142+1)*($D142^INDEX('R1. Tree Coefficients'!$E:$E,$F142+1))))</f>
        <v/>
      </c>
      <c r="J142" s="14" t="str">
        <f aca="false">IF(OR($D142="",$F142=""),"",IF($E142&gt;0,INDEX('R1. Tree Coefficients'!$F:$F,$F142+2)*($D142^INDEX('R1. Tree Coefficients'!$G:$G,$F142+2))*($E142^INDEX('R1. Tree Coefficients'!$H:$H,$F142+2)),INDEX('R1. Tree Coefficients'!$D:$D,$F142+2)*($D142^INDEX('R1. Tree Coefficients'!$E:$E,$F142+2))))</f>
        <v/>
      </c>
      <c r="K142" s="14" t="str">
        <f aca="false">IF(OR($D142="",$F142=""),"",IF($E142&gt;0,INDEX('R1. Tree Coefficients'!$F:$F,$F142+3)*($D142^INDEX('R1. Tree Coefficients'!$G:$G,$F142+3))*($E142^INDEX('R1. Tree Coefficients'!$H:$H,$F142+3)),INDEX('R1. Tree Coefficients'!$D:$D,$F142+3)*($D142^INDEX('R1. Tree Coefficients'!$E:$E,$F142+3))))</f>
        <v/>
      </c>
      <c r="L142" s="14" t="str">
        <f aca="false">IF($F142="","",IFERROR(SUM($H142:$K142),""))</f>
        <v/>
      </c>
      <c r="M142" s="14" t="str">
        <f aca="false">IF($F142="","",INDEX('R1. Tree Coefficients'!$J:$J,$F142))</f>
        <v/>
      </c>
      <c r="N142" s="14" t="str">
        <f aca="false">IF($L142="","",IF($M142="Deciduous",BGB_RS_DECIDUOUS_a*($L142^BGB_RS_DECIDUOUS_b),IF($M142="Conifers",BGB_RS_CONIFER*$L142,AVERAGE(BGB_RS_DECIDUOUS_a*($L142^BGB_RS_DECIDUOUS_b),BGB_RS_CONIFER*$L142))))</f>
        <v/>
      </c>
      <c r="O142" s="14" t="str">
        <f aca="false">IF($L142="","",$L142+$N142)</f>
        <v/>
      </c>
      <c r="P142" s="14" t="str">
        <f aca="false">IF($O142="","",$O142*CARBON_FRACTION_BIOMASS)</f>
        <v/>
      </c>
      <c r="Q142" s="14" t="str">
        <f aca="false">IF(AND($A142="",$C142=""),"",IF(AND($A142&lt;&gt;"",COUNTIF('1. Plot &amp; Site Log'!$A$5:$A$64,$A142)=0),"Plot ID not in Plot &amp; Site Log — this tree will not reach the summary. ","")&amp;IF($A142="","No Plot ID. ","")&amp;IF(AND($C142&lt;&gt;"",$F142=""),"Species not in the coefficient list — check the spelling against R1. ","")&amp;IF($D142="","No DBH — nothing can be calculated. ","")&amp;IF(AND($D142&lt;&gt;"",$D142&gt;QC_DBH_MAX_CM),"DBH above "&amp;QC_DBH_MAX_CM&amp;" cm — check for a transcription error. ","")&amp;IF($M142="All","Generic species: no published root:shoot applies, so below-ground biomass is the mean of the deciduous and conifer relationships. Choose a species, or Deciduous/Conifers, if you can. ","")&amp;IF(AND($O142&lt;&gt;"",$O142&gt;0,OR($N142/$O142&lt;BGB_FRACTION_MIN,$N142/$O142&gt;BGB_FRACTION_MAX)),"Below-ground share is "&amp;TEXT($N142/$O142,"0%")&amp;", outside the 18–30% the Trees guide describes. ",""))</f>
        <v/>
      </c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4" t="str">
        <f aca="false">IF($C143="","",IFERROR(12+(MATCH($C143,'R1. Tree Coefficients'!$L$12:$L$53,0)-1)*4,""))</f>
        <v/>
      </c>
      <c r="G143" s="14" t="str">
        <f aca="false">IF($F143="","",IF(AND($E143&lt;&gt;"",$E143&gt;0),"DBH + height","DBH only"))</f>
        <v/>
      </c>
      <c r="H143" s="14" t="str">
        <f aca="false">IF(OR($D143="",$F143=""),"",IF($E143&gt;0,INDEX('R1. Tree Coefficients'!$F:$F,$F143+0)*($D143^INDEX('R1. Tree Coefficients'!$G:$G,$F143+0))*($E143^INDEX('R1. Tree Coefficients'!$H:$H,$F143+0)),INDEX('R1. Tree Coefficients'!$D:$D,$F143+0)*($D143^INDEX('R1. Tree Coefficients'!$E:$E,$F143+0))))</f>
        <v/>
      </c>
      <c r="I143" s="14" t="str">
        <f aca="false">IF(OR($D143="",$F143=""),"",IF($E143&gt;0,INDEX('R1. Tree Coefficients'!$F:$F,$F143+1)*($D143^INDEX('R1. Tree Coefficients'!$G:$G,$F143+1))*($E143^INDEX('R1. Tree Coefficients'!$H:$H,$F143+1)),INDEX('R1. Tree Coefficients'!$D:$D,$F143+1)*($D143^INDEX('R1. Tree Coefficients'!$E:$E,$F143+1))))</f>
        <v/>
      </c>
      <c r="J143" s="14" t="str">
        <f aca="false">IF(OR($D143="",$F143=""),"",IF($E143&gt;0,INDEX('R1. Tree Coefficients'!$F:$F,$F143+2)*($D143^INDEX('R1. Tree Coefficients'!$G:$G,$F143+2))*($E143^INDEX('R1. Tree Coefficients'!$H:$H,$F143+2)),INDEX('R1. Tree Coefficients'!$D:$D,$F143+2)*($D143^INDEX('R1. Tree Coefficients'!$E:$E,$F143+2))))</f>
        <v/>
      </c>
      <c r="K143" s="14" t="str">
        <f aca="false">IF(OR($D143="",$F143=""),"",IF($E143&gt;0,INDEX('R1. Tree Coefficients'!$F:$F,$F143+3)*($D143^INDEX('R1. Tree Coefficients'!$G:$G,$F143+3))*($E143^INDEX('R1. Tree Coefficients'!$H:$H,$F143+3)),INDEX('R1. Tree Coefficients'!$D:$D,$F143+3)*($D143^INDEX('R1. Tree Coefficients'!$E:$E,$F143+3))))</f>
        <v/>
      </c>
      <c r="L143" s="14" t="str">
        <f aca="false">IF($F143="","",IFERROR(SUM($H143:$K143),""))</f>
        <v/>
      </c>
      <c r="M143" s="14" t="str">
        <f aca="false">IF($F143="","",INDEX('R1. Tree Coefficients'!$J:$J,$F143))</f>
        <v/>
      </c>
      <c r="N143" s="14" t="str">
        <f aca="false">IF($L143="","",IF($M143="Deciduous",BGB_RS_DECIDUOUS_a*($L143^BGB_RS_DECIDUOUS_b),IF($M143="Conifers",BGB_RS_CONIFER*$L143,AVERAGE(BGB_RS_DECIDUOUS_a*($L143^BGB_RS_DECIDUOUS_b),BGB_RS_CONIFER*$L143))))</f>
        <v/>
      </c>
      <c r="O143" s="14" t="str">
        <f aca="false">IF($L143="","",$L143+$N143)</f>
        <v/>
      </c>
      <c r="P143" s="14" t="str">
        <f aca="false">IF($O143="","",$O143*CARBON_FRACTION_BIOMASS)</f>
        <v/>
      </c>
      <c r="Q143" s="14" t="str">
        <f aca="false">IF(AND($A143="",$C143=""),"",IF(AND($A143&lt;&gt;"",COUNTIF('1. Plot &amp; Site Log'!$A$5:$A$64,$A143)=0),"Plot ID not in Plot &amp; Site Log — this tree will not reach the summary. ","")&amp;IF($A143="","No Plot ID. ","")&amp;IF(AND($C143&lt;&gt;"",$F143=""),"Species not in the coefficient list — check the spelling against R1. ","")&amp;IF($D143="","No DBH — nothing can be calculated. ","")&amp;IF(AND($D143&lt;&gt;"",$D143&gt;QC_DBH_MAX_CM),"DBH above "&amp;QC_DBH_MAX_CM&amp;" cm — check for a transcription error. ","")&amp;IF($M143="All","Generic species: no published root:shoot applies, so below-ground biomass is the mean of the deciduous and conifer relationships. Choose a species, or Deciduous/Conifers, if you can. ","")&amp;IF(AND($O143&lt;&gt;"",$O143&gt;0,OR($N143/$O143&lt;BGB_FRACTION_MIN,$N143/$O143&gt;BGB_FRACTION_MAX)),"Below-ground share is "&amp;TEXT($N143/$O143,"0%")&amp;", outside the 18–30% the Trees guide describes. ",""))</f>
        <v/>
      </c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4" t="str">
        <f aca="false">IF($C144="","",IFERROR(12+(MATCH($C144,'R1. Tree Coefficients'!$L$12:$L$53,0)-1)*4,""))</f>
        <v/>
      </c>
      <c r="G144" s="14" t="str">
        <f aca="false">IF($F144="","",IF(AND($E144&lt;&gt;"",$E144&gt;0),"DBH + height","DBH only"))</f>
        <v/>
      </c>
      <c r="H144" s="14" t="str">
        <f aca="false">IF(OR($D144="",$F144=""),"",IF($E144&gt;0,INDEX('R1. Tree Coefficients'!$F:$F,$F144+0)*($D144^INDEX('R1. Tree Coefficients'!$G:$G,$F144+0))*($E144^INDEX('R1. Tree Coefficients'!$H:$H,$F144+0)),INDEX('R1. Tree Coefficients'!$D:$D,$F144+0)*($D144^INDEX('R1. Tree Coefficients'!$E:$E,$F144+0))))</f>
        <v/>
      </c>
      <c r="I144" s="14" t="str">
        <f aca="false">IF(OR($D144="",$F144=""),"",IF($E144&gt;0,INDEX('R1. Tree Coefficients'!$F:$F,$F144+1)*($D144^INDEX('R1. Tree Coefficients'!$G:$G,$F144+1))*($E144^INDEX('R1. Tree Coefficients'!$H:$H,$F144+1)),INDEX('R1. Tree Coefficients'!$D:$D,$F144+1)*($D144^INDEX('R1. Tree Coefficients'!$E:$E,$F144+1))))</f>
        <v/>
      </c>
      <c r="J144" s="14" t="str">
        <f aca="false">IF(OR($D144="",$F144=""),"",IF($E144&gt;0,INDEX('R1. Tree Coefficients'!$F:$F,$F144+2)*($D144^INDEX('R1. Tree Coefficients'!$G:$G,$F144+2))*($E144^INDEX('R1. Tree Coefficients'!$H:$H,$F144+2)),INDEX('R1. Tree Coefficients'!$D:$D,$F144+2)*($D144^INDEX('R1. Tree Coefficients'!$E:$E,$F144+2))))</f>
        <v/>
      </c>
      <c r="K144" s="14" t="str">
        <f aca="false">IF(OR($D144="",$F144=""),"",IF($E144&gt;0,INDEX('R1. Tree Coefficients'!$F:$F,$F144+3)*($D144^INDEX('R1. Tree Coefficients'!$G:$G,$F144+3))*($E144^INDEX('R1. Tree Coefficients'!$H:$H,$F144+3)),INDEX('R1. Tree Coefficients'!$D:$D,$F144+3)*($D144^INDEX('R1. Tree Coefficients'!$E:$E,$F144+3))))</f>
        <v/>
      </c>
      <c r="L144" s="14" t="str">
        <f aca="false">IF($F144="","",IFERROR(SUM($H144:$K144),""))</f>
        <v/>
      </c>
      <c r="M144" s="14" t="str">
        <f aca="false">IF($F144="","",INDEX('R1. Tree Coefficients'!$J:$J,$F144))</f>
        <v/>
      </c>
      <c r="N144" s="14" t="str">
        <f aca="false">IF($L144="","",IF($M144="Deciduous",BGB_RS_DECIDUOUS_a*($L144^BGB_RS_DECIDUOUS_b),IF($M144="Conifers",BGB_RS_CONIFER*$L144,AVERAGE(BGB_RS_DECIDUOUS_a*($L144^BGB_RS_DECIDUOUS_b),BGB_RS_CONIFER*$L144))))</f>
        <v/>
      </c>
      <c r="O144" s="14" t="str">
        <f aca="false">IF($L144="","",$L144+$N144)</f>
        <v/>
      </c>
      <c r="P144" s="14" t="str">
        <f aca="false">IF($O144="","",$O144*CARBON_FRACTION_BIOMASS)</f>
        <v/>
      </c>
      <c r="Q144" s="14" t="str">
        <f aca="false">IF(AND($A144="",$C144=""),"",IF(AND($A144&lt;&gt;"",COUNTIF('1. Plot &amp; Site Log'!$A$5:$A$64,$A144)=0),"Plot ID not in Plot &amp; Site Log — this tree will not reach the summary. ","")&amp;IF($A144="","No Plot ID. ","")&amp;IF(AND($C144&lt;&gt;"",$F144=""),"Species not in the coefficient list — check the spelling against R1. ","")&amp;IF($D144="","No DBH — nothing can be calculated. ","")&amp;IF(AND($D144&lt;&gt;"",$D144&gt;QC_DBH_MAX_CM),"DBH above "&amp;QC_DBH_MAX_CM&amp;" cm — check for a transcription error. ","")&amp;IF($M144="All","Generic species: no published root:shoot applies, so below-ground biomass is the mean of the deciduous and conifer relationships. Choose a species, or Deciduous/Conifers, if you can. ","")&amp;IF(AND($O144&lt;&gt;"",$O144&gt;0,OR($N144/$O144&lt;BGB_FRACTION_MIN,$N144/$O144&gt;BGB_FRACTION_MAX)),"Below-ground share is "&amp;TEXT($N144/$O144,"0%")&amp;", outside the 18–30% the Trees guide describes. ",""))</f>
        <v/>
      </c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4" t="str">
        <f aca="false">IF($C145="","",IFERROR(12+(MATCH($C145,'R1. Tree Coefficients'!$L$12:$L$53,0)-1)*4,""))</f>
        <v/>
      </c>
      <c r="G145" s="14" t="str">
        <f aca="false">IF($F145="","",IF(AND($E145&lt;&gt;"",$E145&gt;0),"DBH + height","DBH only"))</f>
        <v/>
      </c>
      <c r="H145" s="14" t="str">
        <f aca="false">IF(OR($D145="",$F145=""),"",IF($E145&gt;0,INDEX('R1. Tree Coefficients'!$F:$F,$F145+0)*($D145^INDEX('R1. Tree Coefficients'!$G:$G,$F145+0))*($E145^INDEX('R1. Tree Coefficients'!$H:$H,$F145+0)),INDEX('R1. Tree Coefficients'!$D:$D,$F145+0)*($D145^INDEX('R1. Tree Coefficients'!$E:$E,$F145+0))))</f>
        <v/>
      </c>
      <c r="I145" s="14" t="str">
        <f aca="false">IF(OR($D145="",$F145=""),"",IF($E145&gt;0,INDEX('R1. Tree Coefficients'!$F:$F,$F145+1)*($D145^INDEX('R1. Tree Coefficients'!$G:$G,$F145+1))*($E145^INDEX('R1. Tree Coefficients'!$H:$H,$F145+1)),INDEX('R1. Tree Coefficients'!$D:$D,$F145+1)*($D145^INDEX('R1. Tree Coefficients'!$E:$E,$F145+1))))</f>
        <v/>
      </c>
      <c r="J145" s="14" t="str">
        <f aca="false">IF(OR($D145="",$F145=""),"",IF($E145&gt;0,INDEX('R1. Tree Coefficients'!$F:$F,$F145+2)*($D145^INDEX('R1. Tree Coefficients'!$G:$G,$F145+2))*($E145^INDEX('R1. Tree Coefficients'!$H:$H,$F145+2)),INDEX('R1. Tree Coefficients'!$D:$D,$F145+2)*($D145^INDEX('R1. Tree Coefficients'!$E:$E,$F145+2))))</f>
        <v/>
      </c>
      <c r="K145" s="14" t="str">
        <f aca="false">IF(OR($D145="",$F145=""),"",IF($E145&gt;0,INDEX('R1. Tree Coefficients'!$F:$F,$F145+3)*($D145^INDEX('R1. Tree Coefficients'!$G:$G,$F145+3))*($E145^INDEX('R1. Tree Coefficients'!$H:$H,$F145+3)),INDEX('R1. Tree Coefficients'!$D:$D,$F145+3)*($D145^INDEX('R1. Tree Coefficients'!$E:$E,$F145+3))))</f>
        <v/>
      </c>
      <c r="L145" s="14" t="str">
        <f aca="false">IF($F145="","",IFERROR(SUM($H145:$K145),""))</f>
        <v/>
      </c>
      <c r="M145" s="14" t="str">
        <f aca="false">IF($F145="","",INDEX('R1. Tree Coefficients'!$J:$J,$F145))</f>
        <v/>
      </c>
      <c r="N145" s="14" t="str">
        <f aca="false">IF($L145="","",IF($M145="Deciduous",BGB_RS_DECIDUOUS_a*($L145^BGB_RS_DECIDUOUS_b),IF($M145="Conifers",BGB_RS_CONIFER*$L145,AVERAGE(BGB_RS_DECIDUOUS_a*($L145^BGB_RS_DECIDUOUS_b),BGB_RS_CONIFER*$L145))))</f>
        <v/>
      </c>
      <c r="O145" s="14" t="str">
        <f aca="false">IF($L145="","",$L145+$N145)</f>
        <v/>
      </c>
      <c r="P145" s="14" t="str">
        <f aca="false">IF($O145="","",$O145*CARBON_FRACTION_BIOMASS)</f>
        <v/>
      </c>
      <c r="Q145" s="14" t="str">
        <f aca="false">IF(AND($A145="",$C145=""),"",IF(AND($A145&lt;&gt;"",COUNTIF('1. Plot &amp; Site Log'!$A$5:$A$64,$A145)=0),"Plot ID not in Plot &amp; Site Log — this tree will not reach the summary. ","")&amp;IF($A145="","No Plot ID. ","")&amp;IF(AND($C145&lt;&gt;"",$F145=""),"Species not in the coefficient list — check the spelling against R1. ","")&amp;IF($D145="","No DBH — nothing can be calculated. ","")&amp;IF(AND($D145&lt;&gt;"",$D145&gt;QC_DBH_MAX_CM),"DBH above "&amp;QC_DBH_MAX_CM&amp;" cm — check for a transcription error. ","")&amp;IF($M145="All","Generic species: no published root:shoot applies, so below-ground biomass is the mean of the deciduous and conifer relationships. Choose a species, or Deciduous/Conifers, if you can. ","")&amp;IF(AND($O145&lt;&gt;"",$O145&gt;0,OR($N145/$O145&lt;BGB_FRACTION_MIN,$N145/$O145&gt;BGB_FRACTION_MAX)),"Below-ground share is "&amp;TEXT($N145/$O145,"0%")&amp;", outside the 18–30% the Trees guide describes. ",""))</f>
        <v/>
      </c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4" t="str">
        <f aca="false">IF($C146="","",IFERROR(12+(MATCH($C146,'R1. Tree Coefficients'!$L$12:$L$53,0)-1)*4,""))</f>
        <v/>
      </c>
      <c r="G146" s="14" t="str">
        <f aca="false">IF($F146="","",IF(AND($E146&lt;&gt;"",$E146&gt;0),"DBH + height","DBH only"))</f>
        <v/>
      </c>
      <c r="H146" s="14" t="str">
        <f aca="false">IF(OR($D146="",$F146=""),"",IF($E146&gt;0,INDEX('R1. Tree Coefficients'!$F:$F,$F146+0)*($D146^INDEX('R1. Tree Coefficients'!$G:$G,$F146+0))*($E146^INDEX('R1. Tree Coefficients'!$H:$H,$F146+0)),INDEX('R1. Tree Coefficients'!$D:$D,$F146+0)*($D146^INDEX('R1. Tree Coefficients'!$E:$E,$F146+0))))</f>
        <v/>
      </c>
      <c r="I146" s="14" t="str">
        <f aca="false">IF(OR($D146="",$F146=""),"",IF($E146&gt;0,INDEX('R1. Tree Coefficients'!$F:$F,$F146+1)*($D146^INDEX('R1. Tree Coefficients'!$G:$G,$F146+1))*($E146^INDEX('R1. Tree Coefficients'!$H:$H,$F146+1)),INDEX('R1. Tree Coefficients'!$D:$D,$F146+1)*($D146^INDEX('R1. Tree Coefficients'!$E:$E,$F146+1))))</f>
        <v/>
      </c>
      <c r="J146" s="14" t="str">
        <f aca="false">IF(OR($D146="",$F146=""),"",IF($E146&gt;0,INDEX('R1. Tree Coefficients'!$F:$F,$F146+2)*($D146^INDEX('R1. Tree Coefficients'!$G:$G,$F146+2))*($E146^INDEX('R1. Tree Coefficients'!$H:$H,$F146+2)),INDEX('R1. Tree Coefficients'!$D:$D,$F146+2)*($D146^INDEX('R1. Tree Coefficients'!$E:$E,$F146+2))))</f>
        <v/>
      </c>
      <c r="K146" s="14" t="str">
        <f aca="false">IF(OR($D146="",$F146=""),"",IF($E146&gt;0,INDEX('R1. Tree Coefficients'!$F:$F,$F146+3)*($D146^INDEX('R1. Tree Coefficients'!$G:$G,$F146+3))*($E146^INDEX('R1. Tree Coefficients'!$H:$H,$F146+3)),INDEX('R1. Tree Coefficients'!$D:$D,$F146+3)*($D146^INDEX('R1. Tree Coefficients'!$E:$E,$F146+3))))</f>
        <v/>
      </c>
      <c r="L146" s="14" t="str">
        <f aca="false">IF($F146="","",IFERROR(SUM($H146:$K146),""))</f>
        <v/>
      </c>
      <c r="M146" s="14" t="str">
        <f aca="false">IF($F146="","",INDEX('R1. Tree Coefficients'!$J:$J,$F146))</f>
        <v/>
      </c>
      <c r="N146" s="14" t="str">
        <f aca="false">IF($L146="","",IF($M146="Deciduous",BGB_RS_DECIDUOUS_a*($L146^BGB_RS_DECIDUOUS_b),IF($M146="Conifers",BGB_RS_CONIFER*$L146,AVERAGE(BGB_RS_DECIDUOUS_a*($L146^BGB_RS_DECIDUOUS_b),BGB_RS_CONIFER*$L146))))</f>
        <v/>
      </c>
      <c r="O146" s="14" t="str">
        <f aca="false">IF($L146="","",$L146+$N146)</f>
        <v/>
      </c>
      <c r="P146" s="14" t="str">
        <f aca="false">IF($O146="","",$O146*CARBON_FRACTION_BIOMASS)</f>
        <v/>
      </c>
      <c r="Q146" s="14" t="str">
        <f aca="false">IF(AND($A146="",$C146=""),"",IF(AND($A146&lt;&gt;"",COUNTIF('1. Plot &amp; Site Log'!$A$5:$A$64,$A146)=0),"Plot ID not in Plot &amp; Site Log — this tree will not reach the summary. ","")&amp;IF($A146="","No Plot ID. ","")&amp;IF(AND($C146&lt;&gt;"",$F146=""),"Species not in the coefficient list — check the spelling against R1. ","")&amp;IF($D146="","No DBH — nothing can be calculated. ","")&amp;IF(AND($D146&lt;&gt;"",$D146&gt;QC_DBH_MAX_CM),"DBH above "&amp;QC_DBH_MAX_CM&amp;" cm — check for a transcription error. ","")&amp;IF($M146="All","Generic species: no published root:shoot applies, so below-ground biomass is the mean of the deciduous and conifer relationships. Choose a species, or Deciduous/Conifers, if you can. ","")&amp;IF(AND($O146&lt;&gt;"",$O146&gt;0,OR($N146/$O146&lt;BGB_FRACTION_MIN,$N146/$O146&gt;BGB_FRACTION_MAX)),"Below-ground share is "&amp;TEXT($N146/$O146,"0%")&amp;", outside the 18–30% the Trees guide describes. ",""))</f>
        <v/>
      </c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4" t="str">
        <f aca="false">IF($C147="","",IFERROR(12+(MATCH($C147,'R1. Tree Coefficients'!$L$12:$L$53,0)-1)*4,""))</f>
        <v/>
      </c>
      <c r="G147" s="14" t="str">
        <f aca="false">IF($F147="","",IF(AND($E147&lt;&gt;"",$E147&gt;0),"DBH + height","DBH only"))</f>
        <v/>
      </c>
      <c r="H147" s="14" t="str">
        <f aca="false">IF(OR($D147="",$F147=""),"",IF($E147&gt;0,INDEX('R1. Tree Coefficients'!$F:$F,$F147+0)*($D147^INDEX('R1. Tree Coefficients'!$G:$G,$F147+0))*($E147^INDEX('R1. Tree Coefficients'!$H:$H,$F147+0)),INDEX('R1. Tree Coefficients'!$D:$D,$F147+0)*($D147^INDEX('R1. Tree Coefficients'!$E:$E,$F147+0))))</f>
        <v/>
      </c>
      <c r="I147" s="14" t="str">
        <f aca="false">IF(OR($D147="",$F147=""),"",IF($E147&gt;0,INDEX('R1. Tree Coefficients'!$F:$F,$F147+1)*($D147^INDEX('R1. Tree Coefficients'!$G:$G,$F147+1))*($E147^INDEX('R1. Tree Coefficients'!$H:$H,$F147+1)),INDEX('R1. Tree Coefficients'!$D:$D,$F147+1)*($D147^INDEX('R1. Tree Coefficients'!$E:$E,$F147+1))))</f>
        <v/>
      </c>
      <c r="J147" s="14" t="str">
        <f aca="false">IF(OR($D147="",$F147=""),"",IF($E147&gt;0,INDEX('R1. Tree Coefficients'!$F:$F,$F147+2)*($D147^INDEX('R1. Tree Coefficients'!$G:$G,$F147+2))*($E147^INDEX('R1. Tree Coefficients'!$H:$H,$F147+2)),INDEX('R1. Tree Coefficients'!$D:$D,$F147+2)*($D147^INDEX('R1. Tree Coefficients'!$E:$E,$F147+2))))</f>
        <v/>
      </c>
      <c r="K147" s="14" t="str">
        <f aca="false">IF(OR($D147="",$F147=""),"",IF($E147&gt;0,INDEX('R1. Tree Coefficients'!$F:$F,$F147+3)*($D147^INDEX('R1. Tree Coefficients'!$G:$G,$F147+3))*($E147^INDEX('R1. Tree Coefficients'!$H:$H,$F147+3)),INDEX('R1. Tree Coefficients'!$D:$D,$F147+3)*($D147^INDEX('R1. Tree Coefficients'!$E:$E,$F147+3))))</f>
        <v/>
      </c>
      <c r="L147" s="14" t="str">
        <f aca="false">IF($F147="","",IFERROR(SUM($H147:$K147),""))</f>
        <v/>
      </c>
      <c r="M147" s="14" t="str">
        <f aca="false">IF($F147="","",INDEX('R1. Tree Coefficients'!$J:$J,$F147))</f>
        <v/>
      </c>
      <c r="N147" s="14" t="str">
        <f aca="false">IF($L147="","",IF($M147="Deciduous",BGB_RS_DECIDUOUS_a*($L147^BGB_RS_DECIDUOUS_b),IF($M147="Conifers",BGB_RS_CONIFER*$L147,AVERAGE(BGB_RS_DECIDUOUS_a*($L147^BGB_RS_DECIDUOUS_b),BGB_RS_CONIFER*$L147))))</f>
        <v/>
      </c>
      <c r="O147" s="14" t="str">
        <f aca="false">IF($L147="","",$L147+$N147)</f>
        <v/>
      </c>
      <c r="P147" s="14" t="str">
        <f aca="false">IF($O147="","",$O147*CARBON_FRACTION_BIOMASS)</f>
        <v/>
      </c>
      <c r="Q147" s="14" t="str">
        <f aca="false">IF(AND($A147="",$C147=""),"",IF(AND($A147&lt;&gt;"",COUNTIF('1. Plot &amp; Site Log'!$A$5:$A$64,$A147)=0),"Plot ID not in Plot &amp; Site Log — this tree will not reach the summary. ","")&amp;IF($A147="","No Plot ID. ","")&amp;IF(AND($C147&lt;&gt;"",$F147=""),"Species not in the coefficient list — check the spelling against R1. ","")&amp;IF($D147="","No DBH — nothing can be calculated. ","")&amp;IF(AND($D147&lt;&gt;"",$D147&gt;QC_DBH_MAX_CM),"DBH above "&amp;QC_DBH_MAX_CM&amp;" cm — check for a transcription error. ","")&amp;IF($M147="All","Generic species: no published root:shoot applies, so below-ground biomass is the mean of the deciduous and conifer relationships. Choose a species, or Deciduous/Conifers, if you can. ","")&amp;IF(AND($O147&lt;&gt;"",$O147&gt;0,OR($N147/$O147&lt;BGB_FRACTION_MIN,$N147/$O147&gt;BGB_FRACTION_MAX)),"Below-ground share is "&amp;TEXT($N147/$O147,"0%")&amp;", outside the 18–30% the Trees guide describes. ",""))</f>
        <v/>
      </c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4" t="str">
        <f aca="false">IF($C148="","",IFERROR(12+(MATCH($C148,'R1. Tree Coefficients'!$L$12:$L$53,0)-1)*4,""))</f>
        <v/>
      </c>
      <c r="G148" s="14" t="str">
        <f aca="false">IF($F148="","",IF(AND($E148&lt;&gt;"",$E148&gt;0),"DBH + height","DBH only"))</f>
        <v/>
      </c>
      <c r="H148" s="14" t="str">
        <f aca="false">IF(OR($D148="",$F148=""),"",IF($E148&gt;0,INDEX('R1. Tree Coefficients'!$F:$F,$F148+0)*($D148^INDEX('R1. Tree Coefficients'!$G:$G,$F148+0))*($E148^INDEX('R1. Tree Coefficients'!$H:$H,$F148+0)),INDEX('R1. Tree Coefficients'!$D:$D,$F148+0)*($D148^INDEX('R1. Tree Coefficients'!$E:$E,$F148+0))))</f>
        <v/>
      </c>
      <c r="I148" s="14" t="str">
        <f aca="false">IF(OR($D148="",$F148=""),"",IF($E148&gt;0,INDEX('R1. Tree Coefficients'!$F:$F,$F148+1)*($D148^INDEX('R1. Tree Coefficients'!$G:$G,$F148+1))*($E148^INDEX('R1. Tree Coefficients'!$H:$H,$F148+1)),INDEX('R1. Tree Coefficients'!$D:$D,$F148+1)*($D148^INDEX('R1. Tree Coefficients'!$E:$E,$F148+1))))</f>
        <v/>
      </c>
      <c r="J148" s="14" t="str">
        <f aca="false">IF(OR($D148="",$F148=""),"",IF($E148&gt;0,INDEX('R1. Tree Coefficients'!$F:$F,$F148+2)*($D148^INDEX('R1. Tree Coefficients'!$G:$G,$F148+2))*($E148^INDEX('R1. Tree Coefficients'!$H:$H,$F148+2)),INDEX('R1. Tree Coefficients'!$D:$D,$F148+2)*($D148^INDEX('R1. Tree Coefficients'!$E:$E,$F148+2))))</f>
        <v/>
      </c>
      <c r="K148" s="14" t="str">
        <f aca="false">IF(OR($D148="",$F148=""),"",IF($E148&gt;0,INDEX('R1. Tree Coefficients'!$F:$F,$F148+3)*($D148^INDEX('R1. Tree Coefficients'!$G:$G,$F148+3))*($E148^INDEX('R1. Tree Coefficients'!$H:$H,$F148+3)),INDEX('R1. Tree Coefficients'!$D:$D,$F148+3)*($D148^INDEX('R1. Tree Coefficients'!$E:$E,$F148+3))))</f>
        <v/>
      </c>
      <c r="L148" s="14" t="str">
        <f aca="false">IF($F148="","",IFERROR(SUM($H148:$K148),""))</f>
        <v/>
      </c>
      <c r="M148" s="14" t="str">
        <f aca="false">IF($F148="","",INDEX('R1. Tree Coefficients'!$J:$J,$F148))</f>
        <v/>
      </c>
      <c r="N148" s="14" t="str">
        <f aca="false">IF($L148="","",IF($M148="Deciduous",BGB_RS_DECIDUOUS_a*($L148^BGB_RS_DECIDUOUS_b),IF($M148="Conifers",BGB_RS_CONIFER*$L148,AVERAGE(BGB_RS_DECIDUOUS_a*($L148^BGB_RS_DECIDUOUS_b),BGB_RS_CONIFER*$L148))))</f>
        <v/>
      </c>
      <c r="O148" s="14" t="str">
        <f aca="false">IF($L148="","",$L148+$N148)</f>
        <v/>
      </c>
      <c r="P148" s="14" t="str">
        <f aca="false">IF($O148="","",$O148*CARBON_FRACTION_BIOMASS)</f>
        <v/>
      </c>
      <c r="Q148" s="14" t="str">
        <f aca="false">IF(AND($A148="",$C148=""),"",IF(AND($A148&lt;&gt;"",COUNTIF('1. Plot &amp; Site Log'!$A$5:$A$64,$A148)=0),"Plot ID not in Plot &amp; Site Log — this tree will not reach the summary. ","")&amp;IF($A148="","No Plot ID. ","")&amp;IF(AND($C148&lt;&gt;"",$F148=""),"Species not in the coefficient list — check the spelling against R1. ","")&amp;IF($D148="","No DBH — nothing can be calculated. ","")&amp;IF(AND($D148&lt;&gt;"",$D148&gt;QC_DBH_MAX_CM),"DBH above "&amp;QC_DBH_MAX_CM&amp;" cm — check for a transcription error. ","")&amp;IF($M148="All","Generic species: no published root:shoot applies, so below-ground biomass is the mean of the deciduous and conifer relationships. Choose a species, or Deciduous/Conifers, if you can. ","")&amp;IF(AND($O148&lt;&gt;"",$O148&gt;0,OR($N148/$O148&lt;BGB_FRACTION_MIN,$N148/$O148&gt;BGB_FRACTION_MAX)),"Below-ground share is "&amp;TEXT($N148/$O148,"0%")&amp;", outside the 18–30% the Trees guide describes. ",""))</f>
        <v/>
      </c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4" t="str">
        <f aca="false">IF($C149="","",IFERROR(12+(MATCH($C149,'R1. Tree Coefficients'!$L$12:$L$53,0)-1)*4,""))</f>
        <v/>
      </c>
      <c r="G149" s="14" t="str">
        <f aca="false">IF($F149="","",IF(AND($E149&lt;&gt;"",$E149&gt;0),"DBH + height","DBH only"))</f>
        <v/>
      </c>
      <c r="H149" s="14" t="str">
        <f aca="false">IF(OR($D149="",$F149=""),"",IF($E149&gt;0,INDEX('R1. Tree Coefficients'!$F:$F,$F149+0)*($D149^INDEX('R1. Tree Coefficients'!$G:$G,$F149+0))*($E149^INDEX('R1. Tree Coefficients'!$H:$H,$F149+0)),INDEX('R1. Tree Coefficients'!$D:$D,$F149+0)*($D149^INDEX('R1. Tree Coefficients'!$E:$E,$F149+0))))</f>
        <v/>
      </c>
      <c r="I149" s="14" t="str">
        <f aca="false">IF(OR($D149="",$F149=""),"",IF($E149&gt;0,INDEX('R1. Tree Coefficients'!$F:$F,$F149+1)*($D149^INDEX('R1. Tree Coefficients'!$G:$G,$F149+1))*($E149^INDEX('R1. Tree Coefficients'!$H:$H,$F149+1)),INDEX('R1. Tree Coefficients'!$D:$D,$F149+1)*($D149^INDEX('R1. Tree Coefficients'!$E:$E,$F149+1))))</f>
        <v/>
      </c>
      <c r="J149" s="14" t="str">
        <f aca="false">IF(OR($D149="",$F149=""),"",IF($E149&gt;0,INDEX('R1. Tree Coefficients'!$F:$F,$F149+2)*($D149^INDEX('R1. Tree Coefficients'!$G:$G,$F149+2))*($E149^INDEX('R1. Tree Coefficients'!$H:$H,$F149+2)),INDEX('R1. Tree Coefficients'!$D:$D,$F149+2)*($D149^INDEX('R1. Tree Coefficients'!$E:$E,$F149+2))))</f>
        <v/>
      </c>
      <c r="K149" s="14" t="str">
        <f aca="false">IF(OR($D149="",$F149=""),"",IF($E149&gt;0,INDEX('R1. Tree Coefficients'!$F:$F,$F149+3)*($D149^INDEX('R1. Tree Coefficients'!$G:$G,$F149+3))*($E149^INDEX('R1. Tree Coefficients'!$H:$H,$F149+3)),INDEX('R1. Tree Coefficients'!$D:$D,$F149+3)*($D149^INDEX('R1. Tree Coefficients'!$E:$E,$F149+3))))</f>
        <v/>
      </c>
      <c r="L149" s="14" t="str">
        <f aca="false">IF($F149="","",IFERROR(SUM($H149:$K149),""))</f>
        <v/>
      </c>
      <c r="M149" s="14" t="str">
        <f aca="false">IF($F149="","",INDEX('R1. Tree Coefficients'!$J:$J,$F149))</f>
        <v/>
      </c>
      <c r="N149" s="14" t="str">
        <f aca="false">IF($L149="","",IF($M149="Deciduous",BGB_RS_DECIDUOUS_a*($L149^BGB_RS_DECIDUOUS_b),IF($M149="Conifers",BGB_RS_CONIFER*$L149,AVERAGE(BGB_RS_DECIDUOUS_a*($L149^BGB_RS_DECIDUOUS_b),BGB_RS_CONIFER*$L149))))</f>
        <v/>
      </c>
      <c r="O149" s="14" t="str">
        <f aca="false">IF($L149="","",$L149+$N149)</f>
        <v/>
      </c>
      <c r="P149" s="14" t="str">
        <f aca="false">IF($O149="","",$O149*CARBON_FRACTION_BIOMASS)</f>
        <v/>
      </c>
      <c r="Q149" s="14" t="str">
        <f aca="false">IF(AND($A149="",$C149=""),"",IF(AND($A149&lt;&gt;"",COUNTIF('1. Plot &amp; Site Log'!$A$5:$A$64,$A149)=0),"Plot ID not in Plot &amp; Site Log — this tree will not reach the summary. ","")&amp;IF($A149="","No Plot ID. ","")&amp;IF(AND($C149&lt;&gt;"",$F149=""),"Species not in the coefficient list — check the spelling against R1. ","")&amp;IF($D149="","No DBH — nothing can be calculated. ","")&amp;IF(AND($D149&lt;&gt;"",$D149&gt;QC_DBH_MAX_CM),"DBH above "&amp;QC_DBH_MAX_CM&amp;" cm — check for a transcription error. ","")&amp;IF($M149="All","Generic species: no published root:shoot applies, so below-ground biomass is the mean of the deciduous and conifer relationships. Choose a species, or Deciduous/Conifers, if you can. ","")&amp;IF(AND($O149&lt;&gt;"",$O149&gt;0,OR($N149/$O149&lt;BGB_FRACTION_MIN,$N149/$O149&gt;BGB_FRACTION_MAX)),"Below-ground share is "&amp;TEXT($N149/$O149,"0%")&amp;", outside the 18–30% the Trees guide describes. ",""))</f>
        <v/>
      </c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4" t="str">
        <f aca="false">IF($C150="","",IFERROR(12+(MATCH($C150,'R1. Tree Coefficients'!$L$12:$L$53,0)-1)*4,""))</f>
        <v/>
      </c>
      <c r="G150" s="14" t="str">
        <f aca="false">IF($F150="","",IF(AND($E150&lt;&gt;"",$E150&gt;0),"DBH + height","DBH only"))</f>
        <v/>
      </c>
      <c r="H150" s="14" t="str">
        <f aca="false">IF(OR($D150="",$F150=""),"",IF($E150&gt;0,INDEX('R1. Tree Coefficients'!$F:$F,$F150+0)*($D150^INDEX('R1. Tree Coefficients'!$G:$G,$F150+0))*($E150^INDEX('R1. Tree Coefficients'!$H:$H,$F150+0)),INDEX('R1. Tree Coefficients'!$D:$D,$F150+0)*($D150^INDEX('R1. Tree Coefficients'!$E:$E,$F150+0))))</f>
        <v/>
      </c>
      <c r="I150" s="14" t="str">
        <f aca="false">IF(OR($D150="",$F150=""),"",IF($E150&gt;0,INDEX('R1. Tree Coefficients'!$F:$F,$F150+1)*($D150^INDEX('R1. Tree Coefficients'!$G:$G,$F150+1))*($E150^INDEX('R1. Tree Coefficients'!$H:$H,$F150+1)),INDEX('R1. Tree Coefficients'!$D:$D,$F150+1)*($D150^INDEX('R1. Tree Coefficients'!$E:$E,$F150+1))))</f>
        <v/>
      </c>
      <c r="J150" s="14" t="str">
        <f aca="false">IF(OR($D150="",$F150=""),"",IF($E150&gt;0,INDEX('R1. Tree Coefficients'!$F:$F,$F150+2)*($D150^INDEX('R1. Tree Coefficients'!$G:$G,$F150+2))*($E150^INDEX('R1. Tree Coefficients'!$H:$H,$F150+2)),INDEX('R1. Tree Coefficients'!$D:$D,$F150+2)*($D150^INDEX('R1. Tree Coefficients'!$E:$E,$F150+2))))</f>
        <v/>
      </c>
      <c r="K150" s="14" t="str">
        <f aca="false">IF(OR($D150="",$F150=""),"",IF($E150&gt;0,INDEX('R1. Tree Coefficients'!$F:$F,$F150+3)*($D150^INDEX('R1. Tree Coefficients'!$G:$G,$F150+3))*($E150^INDEX('R1. Tree Coefficients'!$H:$H,$F150+3)),INDEX('R1. Tree Coefficients'!$D:$D,$F150+3)*($D150^INDEX('R1. Tree Coefficients'!$E:$E,$F150+3))))</f>
        <v/>
      </c>
      <c r="L150" s="14" t="str">
        <f aca="false">IF($F150="","",IFERROR(SUM($H150:$K150),""))</f>
        <v/>
      </c>
      <c r="M150" s="14" t="str">
        <f aca="false">IF($F150="","",INDEX('R1. Tree Coefficients'!$J:$J,$F150))</f>
        <v/>
      </c>
      <c r="N150" s="14" t="str">
        <f aca="false">IF($L150="","",IF($M150="Deciduous",BGB_RS_DECIDUOUS_a*($L150^BGB_RS_DECIDUOUS_b),IF($M150="Conifers",BGB_RS_CONIFER*$L150,AVERAGE(BGB_RS_DECIDUOUS_a*($L150^BGB_RS_DECIDUOUS_b),BGB_RS_CONIFER*$L150))))</f>
        <v/>
      </c>
      <c r="O150" s="14" t="str">
        <f aca="false">IF($L150="","",$L150+$N150)</f>
        <v/>
      </c>
      <c r="P150" s="14" t="str">
        <f aca="false">IF($O150="","",$O150*CARBON_FRACTION_BIOMASS)</f>
        <v/>
      </c>
      <c r="Q150" s="14" t="str">
        <f aca="false">IF(AND($A150="",$C150=""),"",IF(AND($A150&lt;&gt;"",COUNTIF('1. Plot &amp; Site Log'!$A$5:$A$64,$A150)=0),"Plot ID not in Plot &amp; Site Log — this tree will not reach the summary. ","")&amp;IF($A150="","No Plot ID. ","")&amp;IF(AND($C150&lt;&gt;"",$F150=""),"Species not in the coefficient list — check the spelling against R1. ","")&amp;IF($D150="","No DBH — nothing can be calculated. ","")&amp;IF(AND($D150&lt;&gt;"",$D150&gt;QC_DBH_MAX_CM),"DBH above "&amp;QC_DBH_MAX_CM&amp;" cm — check for a transcription error. ","")&amp;IF($M150="All","Generic species: no published root:shoot applies, so below-ground biomass is the mean of the deciduous and conifer relationships. Choose a species, or Deciduous/Conifers, if you can. ","")&amp;IF(AND($O150&lt;&gt;"",$O150&gt;0,OR($N150/$O150&lt;BGB_FRACTION_MIN,$N150/$O150&gt;BGB_FRACTION_MAX)),"Below-ground share is "&amp;TEXT($N150/$O150,"0%")&amp;", outside the 18–30% the Trees guide describes. ",""))</f>
        <v/>
      </c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4" t="str">
        <f aca="false">IF($C151="","",IFERROR(12+(MATCH($C151,'R1. Tree Coefficients'!$L$12:$L$53,0)-1)*4,""))</f>
        <v/>
      </c>
      <c r="G151" s="14" t="str">
        <f aca="false">IF($F151="","",IF(AND($E151&lt;&gt;"",$E151&gt;0),"DBH + height","DBH only"))</f>
        <v/>
      </c>
      <c r="H151" s="14" t="str">
        <f aca="false">IF(OR($D151="",$F151=""),"",IF($E151&gt;0,INDEX('R1. Tree Coefficients'!$F:$F,$F151+0)*($D151^INDEX('R1. Tree Coefficients'!$G:$G,$F151+0))*($E151^INDEX('R1. Tree Coefficients'!$H:$H,$F151+0)),INDEX('R1. Tree Coefficients'!$D:$D,$F151+0)*($D151^INDEX('R1. Tree Coefficients'!$E:$E,$F151+0))))</f>
        <v/>
      </c>
      <c r="I151" s="14" t="str">
        <f aca="false">IF(OR($D151="",$F151=""),"",IF($E151&gt;0,INDEX('R1. Tree Coefficients'!$F:$F,$F151+1)*($D151^INDEX('R1. Tree Coefficients'!$G:$G,$F151+1))*($E151^INDEX('R1. Tree Coefficients'!$H:$H,$F151+1)),INDEX('R1. Tree Coefficients'!$D:$D,$F151+1)*($D151^INDEX('R1. Tree Coefficients'!$E:$E,$F151+1))))</f>
        <v/>
      </c>
      <c r="J151" s="14" t="str">
        <f aca="false">IF(OR($D151="",$F151=""),"",IF($E151&gt;0,INDEX('R1. Tree Coefficients'!$F:$F,$F151+2)*($D151^INDEX('R1. Tree Coefficients'!$G:$G,$F151+2))*($E151^INDEX('R1. Tree Coefficients'!$H:$H,$F151+2)),INDEX('R1. Tree Coefficients'!$D:$D,$F151+2)*($D151^INDEX('R1. Tree Coefficients'!$E:$E,$F151+2))))</f>
        <v/>
      </c>
      <c r="K151" s="14" t="str">
        <f aca="false">IF(OR($D151="",$F151=""),"",IF($E151&gt;0,INDEX('R1. Tree Coefficients'!$F:$F,$F151+3)*($D151^INDEX('R1. Tree Coefficients'!$G:$G,$F151+3))*($E151^INDEX('R1. Tree Coefficients'!$H:$H,$F151+3)),INDEX('R1. Tree Coefficients'!$D:$D,$F151+3)*($D151^INDEX('R1. Tree Coefficients'!$E:$E,$F151+3))))</f>
        <v/>
      </c>
      <c r="L151" s="14" t="str">
        <f aca="false">IF($F151="","",IFERROR(SUM($H151:$K151),""))</f>
        <v/>
      </c>
      <c r="M151" s="14" t="str">
        <f aca="false">IF($F151="","",INDEX('R1. Tree Coefficients'!$J:$J,$F151))</f>
        <v/>
      </c>
      <c r="N151" s="14" t="str">
        <f aca="false">IF($L151="","",IF($M151="Deciduous",BGB_RS_DECIDUOUS_a*($L151^BGB_RS_DECIDUOUS_b),IF($M151="Conifers",BGB_RS_CONIFER*$L151,AVERAGE(BGB_RS_DECIDUOUS_a*($L151^BGB_RS_DECIDUOUS_b),BGB_RS_CONIFER*$L151))))</f>
        <v/>
      </c>
      <c r="O151" s="14" t="str">
        <f aca="false">IF($L151="","",$L151+$N151)</f>
        <v/>
      </c>
      <c r="P151" s="14" t="str">
        <f aca="false">IF($O151="","",$O151*CARBON_FRACTION_BIOMASS)</f>
        <v/>
      </c>
      <c r="Q151" s="14" t="str">
        <f aca="false">IF(AND($A151="",$C151=""),"",IF(AND($A151&lt;&gt;"",COUNTIF('1. Plot &amp; Site Log'!$A$5:$A$64,$A151)=0),"Plot ID not in Plot &amp; Site Log — this tree will not reach the summary. ","")&amp;IF($A151="","No Plot ID. ","")&amp;IF(AND($C151&lt;&gt;"",$F151=""),"Species not in the coefficient list — check the spelling against R1. ","")&amp;IF($D151="","No DBH — nothing can be calculated. ","")&amp;IF(AND($D151&lt;&gt;"",$D151&gt;QC_DBH_MAX_CM),"DBH above "&amp;QC_DBH_MAX_CM&amp;" cm — check for a transcription error. ","")&amp;IF($M151="All","Generic species: no published root:shoot applies, so below-ground biomass is the mean of the deciduous and conifer relationships. Choose a species, or Deciduous/Conifers, if you can. ","")&amp;IF(AND($O151&lt;&gt;"",$O151&gt;0,OR($N151/$O151&lt;BGB_FRACTION_MIN,$N151/$O151&gt;BGB_FRACTION_MAX)),"Below-ground share is "&amp;TEXT($N151/$O151,"0%")&amp;", outside the 18–30% the Trees guide describes. ",""))</f>
        <v/>
      </c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4" t="str">
        <f aca="false">IF($C152="","",IFERROR(12+(MATCH($C152,'R1. Tree Coefficients'!$L$12:$L$53,0)-1)*4,""))</f>
        <v/>
      </c>
      <c r="G152" s="14" t="str">
        <f aca="false">IF($F152="","",IF(AND($E152&lt;&gt;"",$E152&gt;0),"DBH + height","DBH only"))</f>
        <v/>
      </c>
      <c r="H152" s="14" t="str">
        <f aca="false">IF(OR($D152="",$F152=""),"",IF($E152&gt;0,INDEX('R1. Tree Coefficients'!$F:$F,$F152+0)*($D152^INDEX('R1. Tree Coefficients'!$G:$G,$F152+0))*($E152^INDEX('R1. Tree Coefficients'!$H:$H,$F152+0)),INDEX('R1. Tree Coefficients'!$D:$D,$F152+0)*($D152^INDEX('R1. Tree Coefficients'!$E:$E,$F152+0))))</f>
        <v/>
      </c>
      <c r="I152" s="14" t="str">
        <f aca="false">IF(OR($D152="",$F152=""),"",IF($E152&gt;0,INDEX('R1. Tree Coefficients'!$F:$F,$F152+1)*($D152^INDEX('R1. Tree Coefficients'!$G:$G,$F152+1))*($E152^INDEX('R1. Tree Coefficients'!$H:$H,$F152+1)),INDEX('R1. Tree Coefficients'!$D:$D,$F152+1)*($D152^INDEX('R1. Tree Coefficients'!$E:$E,$F152+1))))</f>
        <v/>
      </c>
      <c r="J152" s="14" t="str">
        <f aca="false">IF(OR($D152="",$F152=""),"",IF($E152&gt;0,INDEX('R1. Tree Coefficients'!$F:$F,$F152+2)*($D152^INDEX('R1. Tree Coefficients'!$G:$G,$F152+2))*($E152^INDEX('R1. Tree Coefficients'!$H:$H,$F152+2)),INDEX('R1. Tree Coefficients'!$D:$D,$F152+2)*($D152^INDEX('R1. Tree Coefficients'!$E:$E,$F152+2))))</f>
        <v/>
      </c>
      <c r="K152" s="14" t="str">
        <f aca="false">IF(OR($D152="",$F152=""),"",IF($E152&gt;0,INDEX('R1. Tree Coefficients'!$F:$F,$F152+3)*($D152^INDEX('R1. Tree Coefficients'!$G:$G,$F152+3))*($E152^INDEX('R1. Tree Coefficients'!$H:$H,$F152+3)),INDEX('R1. Tree Coefficients'!$D:$D,$F152+3)*($D152^INDEX('R1. Tree Coefficients'!$E:$E,$F152+3))))</f>
        <v/>
      </c>
      <c r="L152" s="14" t="str">
        <f aca="false">IF($F152="","",IFERROR(SUM($H152:$K152),""))</f>
        <v/>
      </c>
      <c r="M152" s="14" t="str">
        <f aca="false">IF($F152="","",INDEX('R1. Tree Coefficients'!$J:$J,$F152))</f>
        <v/>
      </c>
      <c r="N152" s="14" t="str">
        <f aca="false">IF($L152="","",IF($M152="Deciduous",BGB_RS_DECIDUOUS_a*($L152^BGB_RS_DECIDUOUS_b),IF($M152="Conifers",BGB_RS_CONIFER*$L152,AVERAGE(BGB_RS_DECIDUOUS_a*($L152^BGB_RS_DECIDUOUS_b),BGB_RS_CONIFER*$L152))))</f>
        <v/>
      </c>
      <c r="O152" s="14" t="str">
        <f aca="false">IF($L152="","",$L152+$N152)</f>
        <v/>
      </c>
      <c r="P152" s="14" t="str">
        <f aca="false">IF($O152="","",$O152*CARBON_FRACTION_BIOMASS)</f>
        <v/>
      </c>
      <c r="Q152" s="14" t="str">
        <f aca="false">IF(AND($A152="",$C152=""),"",IF(AND($A152&lt;&gt;"",COUNTIF('1. Plot &amp; Site Log'!$A$5:$A$64,$A152)=0),"Plot ID not in Plot &amp; Site Log — this tree will not reach the summary. ","")&amp;IF($A152="","No Plot ID. ","")&amp;IF(AND($C152&lt;&gt;"",$F152=""),"Species not in the coefficient list — check the spelling against R1. ","")&amp;IF($D152="","No DBH — nothing can be calculated. ","")&amp;IF(AND($D152&lt;&gt;"",$D152&gt;QC_DBH_MAX_CM),"DBH above "&amp;QC_DBH_MAX_CM&amp;" cm — check for a transcription error. ","")&amp;IF($M152="All","Generic species: no published root:shoot applies, so below-ground biomass is the mean of the deciduous and conifer relationships. Choose a species, or Deciduous/Conifers, if you can. ","")&amp;IF(AND($O152&lt;&gt;"",$O152&gt;0,OR($N152/$O152&lt;BGB_FRACTION_MIN,$N152/$O152&gt;BGB_FRACTION_MAX)),"Below-ground share is "&amp;TEXT($N152/$O152,"0%")&amp;", outside the 18–30% the Trees guide describes. ",""))</f>
        <v/>
      </c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4" t="str">
        <f aca="false">IF($C153="","",IFERROR(12+(MATCH($C153,'R1. Tree Coefficients'!$L$12:$L$53,0)-1)*4,""))</f>
        <v/>
      </c>
      <c r="G153" s="14" t="str">
        <f aca="false">IF($F153="","",IF(AND($E153&lt;&gt;"",$E153&gt;0),"DBH + height","DBH only"))</f>
        <v/>
      </c>
      <c r="H153" s="14" t="str">
        <f aca="false">IF(OR($D153="",$F153=""),"",IF($E153&gt;0,INDEX('R1. Tree Coefficients'!$F:$F,$F153+0)*($D153^INDEX('R1. Tree Coefficients'!$G:$G,$F153+0))*($E153^INDEX('R1. Tree Coefficients'!$H:$H,$F153+0)),INDEX('R1. Tree Coefficients'!$D:$D,$F153+0)*($D153^INDEX('R1. Tree Coefficients'!$E:$E,$F153+0))))</f>
        <v/>
      </c>
      <c r="I153" s="14" t="str">
        <f aca="false">IF(OR($D153="",$F153=""),"",IF($E153&gt;0,INDEX('R1. Tree Coefficients'!$F:$F,$F153+1)*($D153^INDEX('R1. Tree Coefficients'!$G:$G,$F153+1))*($E153^INDEX('R1. Tree Coefficients'!$H:$H,$F153+1)),INDEX('R1. Tree Coefficients'!$D:$D,$F153+1)*($D153^INDEX('R1. Tree Coefficients'!$E:$E,$F153+1))))</f>
        <v/>
      </c>
      <c r="J153" s="14" t="str">
        <f aca="false">IF(OR($D153="",$F153=""),"",IF($E153&gt;0,INDEX('R1. Tree Coefficients'!$F:$F,$F153+2)*($D153^INDEX('R1. Tree Coefficients'!$G:$G,$F153+2))*($E153^INDEX('R1. Tree Coefficients'!$H:$H,$F153+2)),INDEX('R1. Tree Coefficients'!$D:$D,$F153+2)*($D153^INDEX('R1. Tree Coefficients'!$E:$E,$F153+2))))</f>
        <v/>
      </c>
      <c r="K153" s="14" t="str">
        <f aca="false">IF(OR($D153="",$F153=""),"",IF($E153&gt;0,INDEX('R1. Tree Coefficients'!$F:$F,$F153+3)*($D153^INDEX('R1. Tree Coefficients'!$G:$G,$F153+3))*($E153^INDEX('R1. Tree Coefficients'!$H:$H,$F153+3)),INDEX('R1. Tree Coefficients'!$D:$D,$F153+3)*($D153^INDEX('R1. Tree Coefficients'!$E:$E,$F153+3))))</f>
        <v/>
      </c>
      <c r="L153" s="14" t="str">
        <f aca="false">IF($F153="","",IFERROR(SUM($H153:$K153),""))</f>
        <v/>
      </c>
      <c r="M153" s="14" t="str">
        <f aca="false">IF($F153="","",INDEX('R1. Tree Coefficients'!$J:$J,$F153))</f>
        <v/>
      </c>
      <c r="N153" s="14" t="str">
        <f aca="false">IF($L153="","",IF($M153="Deciduous",BGB_RS_DECIDUOUS_a*($L153^BGB_RS_DECIDUOUS_b),IF($M153="Conifers",BGB_RS_CONIFER*$L153,AVERAGE(BGB_RS_DECIDUOUS_a*($L153^BGB_RS_DECIDUOUS_b),BGB_RS_CONIFER*$L153))))</f>
        <v/>
      </c>
      <c r="O153" s="14" t="str">
        <f aca="false">IF($L153="","",$L153+$N153)</f>
        <v/>
      </c>
      <c r="P153" s="14" t="str">
        <f aca="false">IF($O153="","",$O153*CARBON_FRACTION_BIOMASS)</f>
        <v/>
      </c>
      <c r="Q153" s="14" t="str">
        <f aca="false">IF(AND($A153="",$C153=""),"",IF(AND($A153&lt;&gt;"",COUNTIF('1. Plot &amp; Site Log'!$A$5:$A$64,$A153)=0),"Plot ID not in Plot &amp; Site Log — this tree will not reach the summary. ","")&amp;IF($A153="","No Plot ID. ","")&amp;IF(AND($C153&lt;&gt;"",$F153=""),"Species not in the coefficient list — check the spelling against R1. ","")&amp;IF($D153="","No DBH — nothing can be calculated. ","")&amp;IF(AND($D153&lt;&gt;"",$D153&gt;QC_DBH_MAX_CM),"DBH above "&amp;QC_DBH_MAX_CM&amp;" cm — check for a transcription error. ","")&amp;IF($M153="All","Generic species: no published root:shoot applies, so below-ground biomass is the mean of the deciduous and conifer relationships. Choose a species, or Deciduous/Conifers, if you can. ","")&amp;IF(AND($O153&lt;&gt;"",$O153&gt;0,OR($N153/$O153&lt;BGB_FRACTION_MIN,$N153/$O153&gt;BGB_FRACTION_MAX)),"Below-ground share is "&amp;TEXT($N153/$O153,"0%")&amp;", outside the 18–30% the Trees guide describes. ",""))</f>
        <v/>
      </c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4" t="str">
        <f aca="false">IF($C154="","",IFERROR(12+(MATCH($C154,'R1. Tree Coefficients'!$L$12:$L$53,0)-1)*4,""))</f>
        <v/>
      </c>
      <c r="G154" s="14" t="str">
        <f aca="false">IF($F154="","",IF(AND($E154&lt;&gt;"",$E154&gt;0),"DBH + height","DBH only"))</f>
        <v/>
      </c>
      <c r="H154" s="14" t="str">
        <f aca="false">IF(OR($D154="",$F154=""),"",IF($E154&gt;0,INDEX('R1. Tree Coefficients'!$F:$F,$F154+0)*($D154^INDEX('R1. Tree Coefficients'!$G:$G,$F154+0))*($E154^INDEX('R1. Tree Coefficients'!$H:$H,$F154+0)),INDEX('R1. Tree Coefficients'!$D:$D,$F154+0)*($D154^INDEX('R1. Tree Coefficients'!$E:$E,$F154+0))))</f>
        <v/>
      </c>
      <c r="I154" s="14" t="str">
        <f aca="false">IF(OR($D154="",$F154=""),"",IF($E154&gt;0,INDEX('R1. Tree Coefficients'!$F:$F,$F154+1)*($D154^INDEX('R1. Tree Coefficients'!$G:$G,$F154+1))*($E154^INDEX('R1. Tree Coefficients'!$H:$H,$F154+1)),INDEX('R1. Tree Coefficients'!$D:$D,$F154+1)*($D154^INDEX('R1. Tree Coefficients'!$E:$E,$F154+1))))</f>
        <v/>
      </c>
      <c r="J154" s="14" t="str">
        <f aca="false">IF(OR($D154="",$F154=""),"",IF($E154&gt;0,INDEX('R1. Tree Coefficients'!$F:$F,$F154+2)*($D154^INDEX('R1. Tree Coefficients'!$G:$G,$F154+2))*($E154^INDEX('R1. Tree Coefficients'!$H:$H,$F154+2)),INDEX('R1. Tree Coefficients'!$D:$D,$F154+2)*($D154^INDEX('R1. Tree Coefficients'!$E:$E,$F154+2))))</f>
        <v/>
      </c>
      <c r="K154" s="14" t="str">
        <f aca="false">IF(OR($D154="",$F154=""),"",IF($E154&gt;0,INDEX('R1. Tree Coefficients'!$F:$F,$F154+3)*($D154^INDEX('R1. Tree Coefficients'!$G:$G,$F154+3))*($E154^INDEX('R1. Tree Coefficients'!$H:$H,$F154+3)),INDEX('R1. Tree Coefficients'!$D:$D,$F154+3)*($D154^INDEX('R1. Tree Coefficients'!$E:$E,$F154+3))))</f>
        <v/>
      </c>
      <c r="L154" s="14" t="str">
        <f aca="false">IF($F154="","",IFERROR(SUM($H154:$K154),""))</f>
        <v/>
      </c>
      <c r="M154" s="14" t="str">
        <f aca="false">IF($F154="","",INDEX('R1. Tree Coefficients'!$J:$J,$F154))</f>
        <v/>
      </c>
      <c r="N154" s="14" t="str">
        <f aca="false">IF($L154="","",IF($M154="Deciduous",BGB_RS_DECIDUOUS_a*($L154^BGB_RS_DECIDUOUS_b),IF($M154="Conifers",BGB_RS_CONIFER*$L154,AVERAGE(BGB_RS_DECIDUOUS_a*($L154^BGB_RS_DECIDUOUS_b),BGB_RS_CONIFER*$L154))))</f>
        <v/>
      </c>
      <c r="O154" s="14" t="str">
        <f aca="false">IF($L154="","",$L154+$N154)</f>
        <v/>
      </c>
      <c r="P154" s="14" t="str">
        <f aca="false">IF($O154="","",$O154*CARBON_FRACTION_BIOMASS)</f>
        <v/>
      </c>
      <c r="Q154" s="14" t="str">
        <f aca="false">IF(AND($A154="",$C154=""),"",IF(AND($A154&lt;&gt;"",COUNTIF('1. Plot &amp; Site Log'!$A$5:$A$64,$A154)=0),"Plot ID not in Plot &amp; Site Log — this tree will not reach the summary. ","")&amp;IF($A154="","No Plot ID. ","")&amp;IF(AND($C154&lt;&gt;"",$F154=""),"Species not in the coefficient list — check the spelling against R1. ","")&amp;IF($D154="","No DBH — nothing can be calculated. ","")&amp;IF(AND($D154&lt;&gt;"",$D154&gt;QC_DBH_MAX_CM),"DBH above "&amp;QC_DBH_MAX_CM&amp;" cm — check for a transcription error. ","")&amp;IF($M154="All","Generic species: no published root:shoot applies, so below-ground biomass is the mean of the deciduous and conifer relationships. Choose a species, or Deciduous/Conifers, if you can. ","")&amp;IF(AND($O154&lt;&gt;"",$O154&gt;0,OR($N154/$O154&lt;BGB_FRACTION_MIN,$N154/$O154&gt;BGB_FRACTION_MAX)),"Below-ground share is "&amp;TEXT($N154/$O154,"0%")&amp;", outside the 18–30% the Trees guide describes. ",""))</f>
        <v/>
      </c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4" t="str">
        <f aca="false">IF($C155="","",IFERROR(12+(MATCH($C155,'R1. Tree Coefficients'!$L$12:$L$53,0)-1)*4,""))</f>
        <v/>
      </c>
      <c r="G155" s="14" t="str">
        <f aca="false">IF($F155="","",IF(AND($E155&lt;&gt;"",$E155&gt;0),"DBH + height","DBH only"))</f>
        <v/>
      </c>
      <c r="H155" s="14" t="str">
        <f aca="false">IF(OR($D155="",$F155=""),"",IF($E155&gt;0,INDEX('R1. Tree Coefficients'!$F:$F,$F155+0)*($D155^INDEX('R1. Tree Coefficients'!$G:$G,$F155+0))*($E155^INDEX('R1. Tree Coefficients'!$H:$H,$F155+0)),INDEX('R1. Tree Coefficients'!$D:$D,$F155+0)*($D155^INDEX('R1. Tree Coefficients'!$E:$E,$F155+0))))</f>
        <v/>
      </c>
      <c r="I155" s="14" t="str">
        <f aca="false">IF(OR($D155="",$F155=""),"",IF($E155&gt;0,INDEX('R1. Tree Coefficients'!$F:$F,$F155+1)*($D155^INDEX('R1. Tree Coefficients'!$G:$G,$F155+1))*($E155^INDEX('R1. Tree Coefficients'!$H:$H,$F155+1)),INDEX('R1. Tree Coefficients'!$D:$D,$F155+1)*($D155^INDEX('R1. Tree Coefficients'!$E:$E,$F155+1))))</f>
        <v/>
      </c>
      <c r="J155" s="14" t="str">
        <f aca="false">IF(OR($D155="",$F155=""),"",IF($E155&gt;0,INDEX('R1. Tree Coefficients'!$F:$F,$F155+2)*($D155^INDEX('R1. Tree Coefficients'!$G:$G,$F155+2))*($E155^INDEX('R1. Tree Coefficients'!$H:$H,$F155+2)),INDEX('R1. Tree Coefficients'!$D:$D,$F155+2)*($D155^INDEX('R1. Tree Coefficients'!$E:$E,$F155+2))))</f>
        <v/>
      </c>
      <c r="K155" s="14" t="str">
        <f aca="false">IF(OR($D155="",$F155=""),"",IF($E155&gt;0,INDEX('R1. Tree Coefficients'!$F:$F,$F155+3)*($D155^INDEX('R1. Tree Coefficients'!$G:$G,$F155+3))*($E155^INDEX('R1. Tree Coefficients'!$H:$H,$F155+3)),INDEX('R1. Tree Coefficients'!$D:$D,$F155+3)*($D155^INDEX('R1. Tree Coefficients'!$E:$E,$F155+3))))</f>
        <v/>
      </c>
      <c r="L155" s="14" t="str">
        <f aca="false">IF($F155="","",IFERROR(SUM($H155:$K155),""))</f>
        <v/>
      </c>
      <c r="M155" s="14" t="str">
        <f aca="false">IF($F155="","",INDEX('R1. Tree Coefficients'!$J:$J,$F155))</f>
        <v/>
      </c>
      <c r="N155" s="14" t="str">
        <f aca="false">IF($L155="","",IF($M155="Deciduous",BGB_RS_DECIDUOUS_a*($L155^BGB_RS_DECIDUOUS_b),IF($M155="Conifers",BGB_RS_CONIFER*$L155,AVERAGE(BGB_RS_DECIDUOUS_a*($L155^BGB_RS_DECIDUOUS_b),BGB_RS_CONIFER*$L155))))</f>
        <v/>
      </c>
      <c r="O155" s="14" t="str">
        <f aca="false">IF($L155="","",$L155+$N155)</f>
        <v/>
      </c>
      <c r="P155" s="14" t="str">
        <f aca="false">IF($O155="","",$O155*CARBON_FRACTION_BIOMASS)</f>
        <v/>
      </c>
      <c r="Q155" s="14" t="str">
        <f aca="false">IF(AND($A155="",$C155=""),"",IF(AND($A155&lt;&gt;"",COUNTIF('1. Plot &amp; Site Log'!$A$5:$A$64,$A155)=0),"Plot ID not in Plot &amp; Site Log — this tree will not reach the summary. ","")&amp;IF($A155="","No Plot ID. ","")&amp;IF(AND($C155&lt;&gt;"",$F155=""),"Species not in the coefficient list — check the spelling against R1. ","")&amp;IF($D155="","No DBH — nothing can be calculated. ","")&amp;IF(AND($D155&lt;&gt;"",$D155&gt;QC_DBH_MAX_CM),"DBH above "&amp;QC_DBH_MAX_CM&amp;" cm — check for a transcription error. ","")&amp;IF($M155="All","Generic species: no published root:shoot applies, so below-ground biomass is the mean of the deciduous and conifer relationships. Choose a species, or Deciduous/Conifers, if you can. ","")&amp;IF(AND($O155&lt;&gt;"",$O155&gt;0,OR($N155/$O155&lt;BGB_FRACTION_MIN,$N155/$O155&gt;BGB_FRACTION_MAX)),"Below-ground share is "&amp;TEXT($N155/$O155,"0%")&amp;", outside the 18–30% the Trees guide describes. ",""))</f>
        <v/>
      </c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4" t="str">
        <f aca="false">IF($C156="","",IFERROR(12+(MATCH($C156,'R1. Tree Coefficients'!$L$12:$L$53,0)-1)*4,""))</f>
        <v/>
      </c>
      <c r="G156" s="14" t="str">
        <f aca="false">IF($F156="","",IF(AND($E156&lt;&gt;"",$E156&gt;0),"DBH + height","DBH only"))</f>
        <v/>
      </c>
      <c r="H156" s="14" t="str">
        <f aca="false">IF(OR($D156="",$F156=""),"",IF($E156&gt;0,INDEX('R1. Tree Coefficients'!$F:$F,$F156+0)*($D156^INDEX('R1. Tree Coefficients'!$G:$G,$F156+0))*($E156^INDEX('R1. Tree Coefficients'!$H:$H,$F156+0)),INDEX('R1. Tree Coefficients'!$D:$D,$F156+0)*($D156^INDEX('R1. Tree Coefficients'!$E:$E,$F156+0))))</f>
        <v/>
      </c>
      <c r="I156" s="14" t="str">
        <f aca="false">IF(OR($D156="",$F156=""),"",IF($E156&gt;0,INDEX('R1. Tree Coefficients'!$F:$F,$F156+1)*($D156^INDEX('R1. Tree Coefficients'!$G:$G,$F156+1))*($E156^INDEX('R1. Tree Coefficients'!$H:$H,$F156+1)),INDEX('R1. Tree Coefficients'!$D:$D,$F156+1)*($D156^INDEX('R1. Tree Coefficients'!$E:$E,$F156+1))))</f>
        <v/>
      </c>
      <c r="J156" s="14" t="str">
        <f aca="false">IF(OR($D156="",$F156=""),"",IF($E156&gt;0,INDEX('R1. Tree Coefficients'!$F:$F,$F156+2)*($D156^INDEX('R1. Tree Coefficients'!$G:$G,$F156+2))*($E156^INDEX('R1. Tree Coefficients'!$H:$H,$F156+2)),INDEX('R1. Tree Coefficients'!$D:$D,$F156+2)*($D156^INDEX('R1. Tree Coefficients'!$E:$E,$F156+2))))</f>
        <v/>
      </c>
      <c r="K156" s="14" t="str">
        <f aca="false">IF(OR($D156="",$F156=""),"",IF($E156&gt;0,INDEX('R1. Tree Coefficients'!$F:$F,$F156+3)*($D156^INDEX('R1. Tree Coefficients'!$G:$G,$F156+3))*($E156^INDEX('R1. Tree Coefficients'!$H:$H,$F156+3)),INDEX('R1. Tree Coefficients'!$D:$D,$F156+3)*($D156^INDEX('R1. Tree Coefficients'!$E:$E,$F156+3))))</f>
        <v/>
      </c>
      <c r="L156" s="14" t="str">
        <f aca="false">IF($F156="","",IFERROR(SUM($H156:$K156),""))</f>
        <v/>
      </c>
      <c r="M156" s="14" t="str">
        <f aca="false">IF($F156="","",INDEX('R1. Tree Coefficients'!$J:$J,$F156))</f>
        <v/>
      </c>
      <c r="N156" s="14" t="str">
        <f aca="false">IF($L156="","",IF($M156="Deciduous",BGB_RS_DECIDUOUS_a*($L156^BGB_RS_DECIDUOUS_b),IF($M156="Conifers",BGB_RS_CONIFER*$L156,AVERAGE(BGB_RS_DECIDUOUS_a*($L156^BGB_RS_DECIDUOUS_b),BGB_RS_CONIFER*$L156))))</f>
        <v/>
      </c>
      <c r="O156" s="14" t="str">
        <f aca="false">IF($L156="","",$L156+$N156)</f>
        <v/>
      </c>
      <c r="P156" s="14" t="str">
        <f aca="false">IF($O156="","",$O156*CARBON_FRACTION_BIOMASS)</f>
        <v/>
      </c>
      <c r="Q156" s="14" t="str">
        <f aca="false">IF(AND($A156="",$C156=""),"",IF(AND($A156&lt;&gt;"",COUNTIF('1. Plot &amp; Site Log'!$A$5:$A$64,$A156)=0),"Plot ID not in Plot &amp; Site Log — this tree will not reach the summary. ","")&amp;IF($A156="","No Plot ID. ","")&amp;IF(AND($C156&lt;&gt;"",$F156=""),"Species not in the coefficient list — check the spelling against R1. ","")&amp;IF($D156="","No DBH — nothing can be calculated. ","")&amp;IF(AND($D156&lt;&gt;"",$D156&gt;QC_DBH_MAX_CM),"DBH above "&amp;QC_DBH_MAX_CM&amp;" cm — check for a transcription error. ","")&amp;IF($M156="All","Generic species: no published root:shoot applies, so below-ground biomass is the mean of the deciduous and conifer relationships. Choose a species, or Deciduous/Conifers, if you can. ","")&amp;IF(AND($O156&lt;&gt;"",$O156&gt;0,OR($N156/$O156&lt;BGB_FRACTION_MIN,$N156/$O156&gt;BGB_FRACTION_MAX)),"Below-ground share is "&amp;TEXT($N156/$O156,"0%")&amp;", outside the 18–30% the Trees guide describes. ",""))</f>
        <v/>
      </c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4" t="str">
        <f aca="false">IF($C157="","",IFERROR(12+(MATCH($C157,'R1. Tree Coefficients'!$L$12:$L$53,0)-1)*4,""))</f>
        <v/>
      </c>
      <c r="G157" s="14" t="str">
        <f aca="false">IF($F157="","",IF(AND($E157&lt;&gt;"",$E157&gt;0),"DBH + height","DBH only"))</f>
        <v/>
      </c>
      <c r="H157" s="14" t="str">
        <f aca="false">IF(OR($D157="",$F157=""),"",IF($E157&gt;0,INDEX('R1. Tree Coefficients'!$F:$F,$F157+0)*($D157^INDEX('R1. Tree Coefficients'!$G:$G,$F157+0))*($E157^INDEX('R1. Tree Coefficients'!$H:$H,$F157+0)),INDEX('R1. Tree Coefficients'!$D:$D,$F157+0)*($D157^INDEX('R1. Tree Coefficients'!$E:$E,$F157+0))))</f>
        <v/>
      </c>
      <c r="I157" s="14" t="str">
        <f aca="false">IF(OR($D157="",$F157=""),"",IF($E157&gt;0,INDEX('R1. Tree Coefficients'!$F:$F,$F157+1)*($D157^INDEX('R1. Tree Coefficients'!$G:$G,$F157+1))*($E157^INDEX('R1. Tree Coefficients'!$H:$H,$F157+1)),INDEX('R1. Tree Coefficients'!$D:$D,$F157+1)*($D157^INDEX('R1. Tree Coefficients'!$E:$E,$F157+1))))</f>
        <v/>
      </c>
      <c r="J157" s="14" t="str">
        <f aca="false">IF(OR($D157="",$F157=""),"",IF($E157&gt;0,INDEX('R1. Tree Coefficients'!$F:$F,$F157+2)*($D157^INDEX('R1. Tree Coefficients'!$G:$G,$F157+2))*($E157^INDEX('R1. Tree Coefficients'!$H:$H,$F157+2)),INDEX('R1. Tree Coefficients'!$D:$D,$F157+2)*($D157^INDEX('R1. Tree Coefficients'!$E:$E,$F157+2))))</f>
        <v/>
      </c>
      <c r="K157" s="14" t="str">
        <f aca="false">IF(OR($D157="",$F157=""),"",IF($E157&gt;0,INDEX('R1. Tree Coefficients'!$F:$F,$F157+3)*($D157^INDEX('R1. Tree Coefficients'!$G:$G,$F157+3))*($E157^INDEX('R1. Tree Coefficients'!$H:$H,$F157+3)),INDEX('R1. Tree Coefficients'!$D:$D,$F157+3)*($D157^INDEX('R1. Tree Coefficients'!$E:$E,$F157+3))))</f>
        <v/>
      </c>
      <c r="L157" s="14" t="str">
        <f aca="false">IF($F157="","",IFERROR(SUM($H157:$K157),""))</f>
        <v/>
      </c>
      <c r="M157" s="14" t="str">
        <f aca="false">IF($F157="","",INDEX('R1. Tree Coefficients'!$J:$J,$F157))</f>
        <v/>
      </c>
      <c r="N157" s="14" t="str">
        <f aca="false">IF($L157="","",IF($M157="Deciduous",BGB_RS_DECIDUOUS_a*($L157^BGB_RS_DECIDUOUS_b),IF($M157="Conifers",BGB_RS_CONIFER*$L157,AVERAGE(BGB_RS_DECIDUOUS_a*($L157^BGB_RS_DECIDUOUS_b),BGB_RS_CONIFER*$L157))))</f>
        <v/>
      </c>
      <c r="O157" s="14" t="str">
        <f aca="false">IF($L157="","",$L157+$N157)</f>
        <v/>
      </c>
      <c r="P157" s="14" t="str">
        <f aca="false">IF($O157="","",$O157*CARBON_FRACTION_BIOMASS)</f>
        <v/>
      </c>
      <c r="Q157" s="14" t="str">
        <f aca="false">IF(AND($A157="",$C157=""),"",IF(AND($A157&lt;&gt;"",COUNTIF('1. Plot &amp; Site Log'!$A$5:$A$64,$A157)=0),"Plot ID not in Plot &amp; Site Log — this tree will not reach the summary. ","")&amp;IF($A157="","No Plot ID. ","")&amp;IF(AND($C157&lt;&gt;"",$F157=""),"Species not in the coefficient list — check the spelling against R1. ","")&amp;IF($D157="","No DBH — nothing can be calculated. ","")&amp;IF(AND($D157&lt;&gt;"",$D157&gt;QC_DBH_MAX_CM),"DBH above "&amp;QC_DBH_MAX_CM&amp;" cm — check for a transcription error. ","")&amp;IF($M157="All","Generic species: no published root:shoot applies, so below-ground biomass is the mean of the deciduous and conifer relationships. Choose a species, or Deciduous/Conifers, if you can. ","")&amp;IF(AND($O157&lt;&gt;"",$O157&gt;0,OR($N157/$O157&lt;BGB_FRACTION_MIN,$N157/$O157&gt;BGB_FRACTION_MAX)),"Below-ground share is "&amp;TEXT($N157/$O157,"0%")&amp;", outside the 18–30% the Trees guide describes. ",""))</f>
        <v/>
      </c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4" t="str">
        <f aca="false">IF($C158="","",IFERROR(12+(MATCH($C158,'R1. Tree Coefficients'!$L$12:$L$53,0)-1)*4,""))</f>
        <v/>
      </c>
      <c r="G158" s="14" t="str">
        <f aca="false">IF($F158="","",IF(AND($E158&lt;&gt;"",$E158&gt;0),"DBH + height","DBH only"))</f>
        <v/>
      </c>
      <c r="H158" s="14" t="str">
        <f aca="false">IF(OR($D158="",$F158=""),"",IF($E158&gt;0,INDEX('R1. Tree Coefficients'!$F:$F,$F158+0)*($D158^INDEX('R1. Tree Coefficients'!$G:$G,$F158+0))*($E158^INDEX('R1. Tree Coefficients'!$H:$H,$F158+0)),INDEX('R1. Tree Coefficients'!$D:$D,$F158+0)*($D158^INDEX('R1. Tree Coefficients'!$E:$E,$F158+0))))</f>
        <v/>
      </c>
      <c r="I158" s="14" t="str">
        <f aca="false">IF(OR($D158="",$F158=""),"",IF($E158&gt;0,INDEX('R1. Tree Coefficients'!$F:$F,$F158+1)*($D158^INDEX('R1. Tree Coefficients'!$G:$G,$F158+1))*($E158^INDEX('R1. Tree Coefficients'!$H:$H,$F158+1)),INDEX('R1. Tree Coefficients'!$D:$D,$F158+1)*($D158^INDEX('R1. Tree Coefficients'!$E:$E,$F158+1))))</f>
        <v/>
      </c>
      <c r="J158" s="14" t="str">
        <f aca="false">IF(OR($D158="",$F158=""),"",IF($E158&gt;0,INDEX('R1. Tree Coefficients'!$F:$F,$F158+2)*($D158^INDEX('R1. Tree Coefficients'!$G:$G,$F158+2))*($E158^INDEX('R1. Tree Coefficients'!$H:$H,$F158+2)),INDEX('R1. Tree Coefficients'!$D:$D,$F158+2)*($D158^INDEX('R1. Tree Coefficients'!$E:$E,$F158+2))))</f>
        <v/>
      </c>
      <c r="K158" s="14" t="str">
        <f aca="false">IF(OR($D158="",$F158=""),"",IF($E158&gt;0,INDEX('R1. Tree Coefficients'!$F:$F,$F158+3)*($D158^INDEX('R1. Tree Coefficients'!$G:$G,$F158+3))*($E158^INDEX('R1. Tree Coefficients'!$H:$H,$F158+3)),INDEX('R1. Tree Coefficients'!$D:$D,$F158+3)*($D158^INDEX('R1. Tree Coefficients'!$E:$E,$F158+3))))</f>
        <v/>
      </c>
      <c r="L158" s="14" t="str">
        <f aca="false">IF($F158="","",IFERROR(SUM($H158:$K158),""))</f>
        <v/>
      </c>
      <c r="M158" s="14" t="str">
        <f aca="false">IF($F158="","",INDEX('R1. Tree Coefficients'!$J:$J,$F158))</f>
        <v/>
      </c>
      <c r="N158" s="14" t="str">
        <f aca="false">IF($L158="","",IF($M158="Deciduous",BGB_RS_DECIDUOUS_a*($L158^BGB_RS_DECIDUOUS_b),IF($M158="Conifers",BGB_RS_CONIFER*$L158,AVERAGE(BGB_RS_DECIDUOUS_a*($L158^BGB_RS_DECIDUOUS_b),BGB_RS_CONIFER*$L158))))</f>
        <v/>
      </c>
      <c r="O158" s="14" t="str">
        <f aca="false">IF($L158="","",$L158+$N158)</f>
        <v/>
      </c>
      <c r="P158" s="14" t="str">
        <f aca="false">IF($O158="","",$O158*CARBON_FRACTION_BIOMASS)</f>
        <v/>
      </c>
      <c r="Q158" s="14" t="str">
        <f aca="false">IF(AND($A158="",$C158=""),"",IF(AND($A158&lt;&gt;"",COUNTIF('1. Plot &amp; Site Log'!$A$5:$A$64,$A158)=0),"Plot ID not in Plot &amp; Site Log — this tree will not reach the summary. ","")&amp;IF($A158="","No Plot ID. ","")&amp;IF(AND($C158&lt;&gt;"",$F158=""),"Species not in the coefficient list — check the spelling against R1. ","")&amp;IF($D158="","No DBH — nothing can be calculated. ","")&amp;IF(AND($D158&lt;&gt;"",$D158&gt;QC_DBH_MAX_CM),"DBH above "&amp;QC_DBH_MAX_CM&amp;" cm — check for a transcription error. ","")&amp;IF($M158="All","Generic species: no published root:shoot applies, so below-ground biomass is the mean of the deciduous and conifer relationships. Choose a species, or Deciduous/Conifers, if you can. ","")&amp;IF(AND($O158&lt;&gt;"",$O158&gt;0,OR($N158/$O158&lt;BGB_FRACTION_MIN,$N158/$O158&gt;BGB_FRACTION_MAX)),"Below-ground share is "&amp;TEXT($N158/$O158,"0%")&amp;", outside the 18–30% the Trees guide describes. ",""))</f>
        <v/>
      </c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4" t="str">
        <f aca="false">IF($C159="","",IFERROR(12+(MATCH($C159,'R1. Tree Coefficients'!$L$12:$L$53,0)-1)*4,""))</f>
        <v/>
      </c>
      <c r="G159" s="14" t="str">
        <f aca="false">IF($F159="","",IF(AND($E159&lt;&gt;"",$E159&gt;0),"DBH + height","DBH only"))</f>
        <v/>
      </c>
      <c r="H159" s="14" t="str">
        <f aca="false">IF(OR($D159="",$F159=""),"",IF($E159&gt;0,INDEX('R1. Tree Coefficients'!$F:$F,$F159+0)*($D159^INDEX('R1. Tree Coefficients'!$G:$G,$F159+0))*($E159^INDEX('R1. Tree Coefficients'!$H:$H,$F159+0)),INDEX('R1. Tree Coefficients'!$D:$D,$F159+0)*($D159^INDEX('R1. Tree Coefficients'!$E:$E,$F159+0))))</f>
        <v/>
      </c>
      <c r="I159" s="14" t="str">
        <f aca="false">IF(OR($D159="",$F159=""),"",IF($E159&gt;0,INDEX('R1. Tree Coefficients'!$F:$F,$F159+1)*($D159^INDEX('R1. Tree Coefficients'!$G:$G,$F159+1))*($E159^INDEX('R1. Tree Coefficients'!$H:$H,$F159+1)),INDEX('R1. Tree Coefficients'!$D:$D,$F159+1)*($D159^INDEX('R1. Tree Coefficients'!$E:$E,$F159+1))))</f>
        <v/>
      </c>
      <c r="J159" s="14" t="str">
        <f aca="false">IF(OR($D159="",$F159=""),"",IF($E159&gt;0,INDEX('R1. Tree Coefficients'!$F:$F,$F159+2)*($D159^INDEX('R1. Tree Coefficients'!$G:$G,$F159+2))*($E159^INDEX('R1. Tree Coefficients'!$H:$H,$F159+2)),INDEX('R1. Tree Coefficients'!$D:$D,$F159+2)*($D159^INDEX('R1. Tree Coefficients'!$E:$E,$F159+2))))</f>
        <v/>
      </c>
      <c r="K159" s="14" t="str">
        <f aca="false">IF(OR($D159="",$F159=""),"",IF($E159&gt;0,INDEX('R1. Tree Coefficients'!$F:$F,$F159+3)*($D159^INDEX('R1. Tree Coefficients'!$G:$G,$F159+3))*($E159^INDEX('R1. Tree Coefficients'!$H:$H,$F159+3)),INDEX('R1. Tree Coefficients'!$D:$D,$F159+3)*($D159^INDEX('R1. Tree Coefficients'!$E:$E,$F159+3))))</f>
        <v/>
      </c>
      <c r="L159" s="14" t="str">
        <f aca="false">IF($F159="","",IFERROR(SUM($H159:$K159),""))</f>
        <v/>
      </c>
      <c r="M159" s="14" t="str">
        <f aca="false">IF($F159="","",INDEX('R1. Tree Coefficients'!$J:$J,$F159))</f>
        <v/>
      </c>
      <c r="N159" s="14" t="str">
        <f aca="false">IF($L159="","",IF($M159="Deciduous",BGB_RS_DECIDUOUS_a*($L159^BGB_RS_DECIDUOUS_b),IF($M159="Conifers",BGB_RS_CONIFER*$L159,AVERAGE(BGB_RS_DECIDUOUS_a*($L159^BGB_RS_DECIDUOUS_b),BGB_RS_CONIFER*$L159))))</f>
        <v/>
      </c>
      <c r="O159" s="14" t="str">
        <f aca="false">IF($L159="","",$L159+$N159)</f>
        <v/>
      </c>
      <c r="P159" s="14" t="str">
        <f aca="false">IF($O159="","",$O159*CARBON_FRACTION_BIOMASS)</f>
        <v/>
      </c>
      <c r="Q159" s="14" t="str">
        <f aca="false">IF(AND($A159="",$C159=""),"",IF(AND($A159&lt;&gt;"",COUNTIF('1. Plot &amp; Site Log'!$A$5:$A$64,$A159)=0),"Plot ID not in Plot &amp; Site Log — this tree will not reach the summary. ","")&amp;IF($A159="","No Plot ID. ","")&amp;IF(AND($C159&lt;&gt;"",$F159=""),"Species not in the coefficient list — check the spelling against R1. ","")&amp;IF($D159="","No DBH — nothing can be calculated. ","")&amp;IF(AND($D159&lt;&gt;"",$D159&gt;QC_DBH_MAX_CM),"DBH above "&amp;QC_DBH_MAX_CM&amp;" cm — check for a transcription error. ","")&amp;IF($M159="All","Generic species: no published root:shoot applies, so below-ground biomass is the mean of the deciduous and conifer relationships. Choose a species, or Deciduous/Conifers, if you can. ","")&amp;IF(AND($O159&lt;&gt;"",$O159&gt;0,OR($N159/$O159&lt;BGB_FRACTION_MIN,$N159/$O159&gt;BGB_FRACTION_MAX)),"Below-ground share is "&amp;TEXT($N159/$O159,"0%")&amp;", outside the 18–30% the Trees guide describes. ",""))</f>
        <v/>
      </c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4" t="str">
        <f aca="false">IF($C160="","",IFERROR(12+(MATCH($C160,'R1. Tree Coefficients'!$L$12:$L$53,0)-1)*4,""))</f>
        <v/>
      </c>
      <c r="G160" s="14" t="str">
        <f aca="false">IF($F160="","",IF(AND($E160&lt;&gt;"",$E160&gt;0),"DBH + height","DBH only"))</f>
        <v/>
      </c>
      <c r="H160" s="14" t="str">
        <f aca="false">IF(OR($D160="",$F160=""),"",IF($E160&gt;0,INDEX('R1. Tree Coefficients'!$F:$F,$F160+0)*($D160^INDEX('R1. Tree Coefficients'!$G:$G,$F160+0))*($E160^INDEX('R1. Tree Coefficients'!$H:$H,$F160+0)),INDEX('R1. Tree Coefficients'!$D:$D,$F160+0)*($D160^INDEX('R1. Tree Coefficients'!$E:$E,$F160+0))))</f>
        <v/>
      </c>
      <c r="I160" s="14" t="str">
        <f aca="false">IF(OR($D160="",$F160=""),"",IF($E160&gt;0,INDEX('R1. Tree Coefficients'!$F:$F,$F160+1)*($D160^INDEX('R1. Tree Coefficients'!$G:$G,$F160+1))*($E160^INDEX('R1. Tree Coefficients'!$H:$H,$F160+1)),INDEX('R1. Tree Coefficients'!$D:$D,$F160+1)*($D160^INDEX('R1. Tree Coefficients'!$E:$E,$F160+1))))</f>
        <v/>
      </c>
      <c r="J160" s="14" t="str">
        <f aca="false">IF(OR($D160="",$F160=""),"",IF($E160&gt;0,INDEX('R1. Tree Coefficients'!$F:$F,$F160+2)*($D160^INDEX('R1. Tree Coefficients'!$G:$G,$F160+2))*($E160^INDEX('R1. Tree Coefficients'!$H:$H,$F160+2)),INDEX('R1. Tree Coefficients'!$D:$D,$F160+2)*($D160^INDEX('R1. Tree Coefficients'!$E:$E,$F160+2))))</f>
        <v/>
      </c>
      <c r="K160" s="14" t="str">
        <f aca="false">IF(OR($D160="",$F160=""),"",IF($E160&gt;0,INDEX('R1. Tree Coefficients'!$F:$F,$F160+3)*($D160^INDEX('R1. Tree Coefficients'!$G:$G,$F160+3))*($E160^INDEX('R1. Tree Coefficients'!$H:$H,$F160+3)),INDEX('R1. Tree Coefficients'!$D:$D,$F160+3)*($D160^INDEX('R1. Tree Coefficients'!$E:$E,$F160+3))))</f>
        <v/>
      </c>
      <c r="L160" s="14" t="str">
        <f aca="false">IF($F160="","",IFERROR(SUM($H160:$K160),""))</f>
        <v/>
      </c>
      <c r="M160" s="14" t="str">
        <f aca="false">IF($F160="","",INDEX('R1. Tree Coefficients'!$J:$J,$F160))</f>
        <v/>
      </c>
      <c r="N160" s="14" t="str">
        <f aca="false">IF($L160="","",IF($M160="Deciduous",BGB_RS_DECIDUOUS_a*($L160^BGB_RS_DECIDUOUS_b),IF($M160="Conifers",BGB_RS_CONIFER*$L160,AVERAGE(BGB_RS_DECIDUOUS_a*($L160^BGB_RS_DECIDUOUS_b),BGB_RS_CONIFER*$L160))))</f>
        <v/>
      </c>
      <c r="O160" s="14" t="str">
        <f aca="false">IF($L160="","",$L160+$N160)</f>
        <v/>
      </c>
      <c r="P160" s="14" t="str">
        <f aca="false">IF($O160="","",$O160*CARBON_FRACTION_BIOMASS)</f>
        <v/>
      </c>
      <c r="Q160" s="14" t="str">
        <f aca="false">IF(AND($A160="",$C160=""),"",IF(AND($A160&lt;&gt;"",COUNTIF('1. Plot &amp; Site Log'!$A$5:$A$64,$A160)=0),"Plot ID not in Plot &amp; Site Log — this tree will not reach the summary. ","")&amp;IF($A160="","No Plot ID. ","")&amp;IF(AND($C160&lt;&gt;"",$F160=""),"Species not in the coefficient list — check the spelling against R1. ","")&amp;IF($D160="","No DBH — nothing can be calculated. ","")&amp;IF(AND($D160&lt;&gt;"",$D160&gt;QC_DBH_MAX_CM),"DBH above "&amp;QC_DBH_MAX_CM&amp;" cm — check for a transcription error. ","")&amp;IF($M160="All","Generic species: no published root:shoot applies, so below-ground biomass is the mean of the deciduous and conifer relationships. Choose a species, or Deciduous/Conifers, if you can. ","")&amp;IF(AND($O160&lt;&gt;"",$O160&gt;0,OR($N160/$O160&lt;BGB_FRACTION_MIN,$N160/$O160&gt;BGB_FRACTION_MAX)),"Below-ground share is "&amp;TEXT($N160/$O160,"0%")&amp;", outside the 18–30% the Trees guide describes. ",""))</f>
        <v/>
      </c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4" t="str">
        <f aca="false">IF($C161="","",IFERROR(12+(MATCH($C161,'R1. Tree Coefficients'!$L$12:$L$53,0)-1)*4,""))</f>
        <v/>
      </c>
      <c r="G161" s="14" t="str">
        <f aca="false">IF($F161="","",IF(AND($E161&lt;&gt;"",$E161&gt;0),"DBH + height","DBH only"))</f>
        <v/>
      </c>
      <c r="H161" s="14" t="str">
        <f aca="false">IF(OR($D161="",$F161=""),"",IF($E161&gt;0,INDEX('R1. Tree Coefficients'!$F:$F,$F161+0)*($D161^INDEX('R1. Tree Coefficients'!$G:$G,$F161+0))*($E161^INDEX('R1. Tree Coefficients'!$H:$H,$F161+0)),INDEX('R1. Tree Coefficients'!$D:$D,$F161+0)*($D161^INDEX('R1. Tree Coefficients'!$E:$E,$F161+0))))</f>
        <v/>
      </c>
      <c r="I161" s="14" t="str">
        <f aca="false">IF(OR($D161="",$F161=""),"",IF($E161&gt;0,INDEX('R1. Tree Coefficients'!$F:$F,$F161+1)*($D161^INDEX('R1. Tree Coefficients'!$G:$G,$F161+1))*($E161^INDEX('R1. Tree Coefficients'!$H:$H,$F161+1)),INDEX('R1. Tree Coefficients'!$D:$D,$F161+1)*($D161^INDEX('R1. Tree Coefficients'!$E:$E,$F161+1))))</f>
        <v/>
      </c>
      <c r="J161" s="14" t="str">
        <f aca="false">IF(OR($D161="",$F161=""),"",IF($E161&gt;0,INDEX('R1. Tree Coefficients'!$F:$F,$F161+2)*($D161^INDEX('R1. Tree Coefficients'!$G:$G,$F161+2))*($E161^INDEX('R1. Tree Coefficients'!$H:$H,$F161+2)),INDEX('R1. Tree Coefficients'!$D:$D,$F161+2)*($D161^INDEX('R1. Tree Coefficients'!$E:$E,$F161+2))))</f>
        <v/>
      </c>
      <c r="K161" s="14" t="str">
        <f aca="false">IF(OR($D161="",$F161=""),"",IF($E161&gt;0,INDEX('R1. Tree Coefficients'!$F:$F,$F161+3)*($D161^INDEX('R1. Tree Coefficients'!$G:$G,$F161+3))*($E161^INDEX('R1. Tree Coefficients'!$H:$H,$F161+3)),INDEX('R1. Tree Coefficients'!$D:$D,$F161+3)*($D161^INDEX('R1. Tree Coefficients'!$E:$E,$F161+3))))</f>
        <v/>
      </c>
      <c r="L161" s="14" t="str">
        <f aca="false">IF($F161="","",IFERROR(SUM($H161:$K161),""))</f>
        <v/>
      </c>
      <c r="M161" s="14" t="str">
        <f aca="false">IF($F161="","",INDEX('R1. Tree Coefficients'!$J:$J,$F161))</f>
        <v/>
      </c>
      <c r="N161" s="14" t="str">
        <f aca="false">IF($L161="","",IF($M161="Deciduous",BGB_RS_DECIDUOUS_a*($L161^BGB_RS_DECIDUOUS_b),IF($M161="Conifers",BGB_RS_CONIFER*$L161,AVERAGE(BGB_RS_DECIDUOUS_a*($L161^BGB_RS_DECIDUOUS_b),BGB_RS_CONIFER*$L161))))</f>
        <v/>
      </c>
      <c r="O161" s="14" t="str">
        <f aca="false">IF($L161="","",$L161+$N161)</f>
        <v/>
      </c>
      <c r="P161" s="14" t="str">
        <f aca="false">IF($O161="","",$O161*CARBON_FRACTION_BIOMASS)</f>
        <v/>
      </c>
      <c r="Q161" s="14" t="str">
        <f aca="false">IF(AND($A161="",$C161=""),"",IF(AND($A161&lt;&gt;"",COUNTIF('1. Plot &amp; Site Log'!$A$5:$A$64,$A161)=0),"Plot ID not in Plot &amp; Site Log — this tree will not reach the summary. ","")&amp;IF($A161="","No Plot ID. ","")&amp;IF(AND($C161&lt;&gt;"",$F161=""),"Species not in the coefficient list — check the spelling against R1. ","")&amp;IF($D161="","No DBH — nothing can be calculated. ","")&amp;IF(AND($D161&lt;&gt;"",$D161&gt;QC_DBH_MAX_CM),"DBH above "&amp;QC_DBH_MAX_CM&amp;" cm — check for a transcription error. ","")&amp;IF($M161="All","Generic species: no published root:shoot applies, so below-ground biomass is the mean of the deciduous and conifer relationships. Choose a species, or Deciduous/Conifers, if you can. ","")&amp;IF(AND($O161&lt;&gt;"",$O161&gt;0,OR($N161/$O161&lt;BGB_FRACTION_MIN,$N161/$O161&gt;BGB_FRACTION_MAX)),"Below-ground share is "&amp;TEXT($N161/$O161,"0%")&amp;", outside the 18–30% the Trees guide describes. ",""))</f>
        <v/>
      </c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4" t="str">
        <f aca="false">IF($C162="","",IFERROR(12+(MATCH($C162,'R1. Tree Coefficients'!$L$12:$L$53,0)-1)*4,""))</f>
        <v/>
      </c>
      <c r="G162" s="14" t="str">
        <f aca="false">IF($F162="","",IF(AND($E162&lt;&gt;"",$E162&gt;0),"DBH + height","DBH only"))</f>
        <v/>
      </c>
      <c r="H162" s="14" t="str">
        <f aca="false">IF(OR($D162="",$F162=""),"",IF($E162&gt;0,INDEX('R1. Tree Coefficients'!$F:$F,$F162+0)*($D162^INDEX('R1. Tree Coefficients'!$G:$G,$F162+0))*($E162^INDEX('R1. Tree Coefficients'!$H:$H,$F162+0)),INDEX('R1. Tree Coefficients'!$D:$D,$F162+0)*($D162^INDEX('R1. Tree Coefficients'!$E:$E,$F162+0))))</f>
        <v/>
      </c>
      <c r="I162" s="14" t="str">
        <f aca="false">IF(OR($D162="",$F162=""),"",IF($E162&gt;0,INDEX('R1. Tree Coefficients'!$F:$F,$F162+1)*($D162^INDEX('R1. Tree Coefficients'!$G:$G,$F162+1))*($E162^INDEX('R1. Tree Coefficients'!$H:$H,$F162+1)),INDEX('R1. Tree Coefficients'!$D:$D,$F162+1)*($D162^INDEX('R1. Tree Coefficients'!$E:$E,$F162+1))))</f>
        <v/>
      </c>
      <c r="J162" s="14" t="str">
        <f aca="false">IF(OR($D162="",$F162=""),"",IF($E162&gt;0,INDEX('R1. Tree Coefficients'!$F:$F,$F162+2)*($D162^INDEX('R1. Tree Coefficients'!$G:$G,$F162+2))*($E162^INDEX('R1. Tree Coefficients'!$H:$H,$F162+2)),INDEX('R1. Tree Coefficients'!$D:$D,$F162+2)*($D162^INDEX('R1. Tree Coefficients'!$E:$E,$F162+2))))</f>
        <v/>
      </c>
      <c r="K162" s="14" t="str">
        <f aca="false">IF(OR($D162="",$F162=""),"",IF($E162&gt;0,INDEX('R1. Tree Coefficients'!$F:$F,$F162+3)*($D162^INDEX('R1. Tree Coefficients'!$G:$G,$F162+3))*($E162^INDEX('R1. Tree Coefficients'!$H:$H,$F162+3)),INDEX('R1. Tree Coefficients'!$D:$D,$F162+3)*($D162^INDEX('R1. Tree Coefficients'!$E:$E,$F162+3))))</f>
        <v/>
      </c>
      <c r="L162" s="14" t="str">
        <f aca="false">IF($F162="","",IFERROR(SUM($H162:$K162),""))</f>
        <v/>
      </c>
      <c r="M162" s="14" t="str">
        <f aca="false">IF($F162="","",INDEX('R1. Tree Coefficients'!$J:$J,$F162))</f>
        <v/>
      </c>
      <c r="N162" s="14" t="str">
        <f aca="false">IF($L162="","",IF($M162="Deciduous",BGB_RS_DECIDUOUS_a*($L162^BGB_RS_DECIDUOUS_b),IF($M162="Conifers",BGB_RS_CONIFER*$L162,AVERAGE(BGB_RS_DECIDUOUS_a*($L162^BGB_RS_DECIDUOUS_b),BGB_RS_CONIFER*$L162))))</f>
        <v/>
      </c>
      <c r="O162" s="14" t="str">
        <f aca="false">IF($L162="","",$L162+$N162)</f>
        <v/>
      </c>
      <c r="P162" s="14" t="str">
        <f aca="false">IF($O162="","",$O162*CARBON_FRACTION_BIOMASS)</f>
        <v/>
      </c>
      <c r="Q162" s="14" t="str">
        <f aca="false">IF(AND($A162="",$C162=""),"",IF(AND($A162&lt;&gt;"",COUNTIF('1. Plot &amp; Site Log'!$A$5:$A$64,$A162)=0),"Plot ID not in Plot &amp; Site Log — this tree will not reach the summary. ","")&amp;IF($A162="","No Plot ID. ","")&amp;IF(AND($C162&lt;&gt;"",$F162=""),"Species not in the coefficient list — check the spelling against R1. ","")&amp;IF($D162="","No DBH — nothing can be calculated. ","")&amp;IF(AND($D162&lt;&gt;"",$D162&gt;QC_DBH_MAX_CM),"DBH above "&amp;QC_DBH_MAX_CM&amp;" cm — check for a transcription error. ","")&amp;IF($M162="All","Generic species: no published root:shoot applies, so below-ground biomass is the mean of the deciduous and conifer relationships. Choose a species, or Deciduous/Conifers, if you can. ","")&amp;IF(AND($O162&lt;&gt;"",$O162&gt;0,OR($N162/$O162&lt;BGB_FRACTION_MIN,$N162/$O162&gt;BGB_FRACTION_MAX)),"Below-ground share is "&amp;TEXT($N162/$O162,"0%")&amp;", outside the 18–30% the Trees guide describes. ",""))</f>
        <v/>
      </c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4" t="str">
        <f aca="false">IF($C163="","",IFERROR(12+(MATCH($C163,'R1. Tree Coefficients'!$L$12:$L$53,0)-1)*4,""))</f>
        <v/>
      </c>
      <c r="G163" s="14" t="str">
        <f aca="false">IF($F163="","",IF(AND($E163&lt;&gt;"",$E163&gt;0),"DBH + height","DBH only"))</f>
        <v/>
      </c>
      <c r="H163" s="14" t="str">
        <f aca="false">IF(OR($D163="",$F163=""),"",IF($E163&gt;0,INDEX('R1. Tree Coefficients'!$F:$F,$F163+0)*($D163^INDEX('R1. Tree Coefficients'!$G:$G,$F163+0))*($E163^INDEX('R1. Tree Coefficients'!$H:$H,$F163+0)),INDEX('R1. Tree Coefficients'!$D:$D,$F163+0)*($D163^INDEX('R1. Tree Coefficients'!$E:$E,$F163+0))))</f>
        <v/>
      </c>
      <c r="I163" s="14" t="str">
        <f aca="false">IF(OR($D163="",$F163=""),"",IF($E163&gt;0,INDEX('R1. Tree Coefficients'!$F:$F,$F163+1)*($D163^INDEX('R1. Tree Coefficients'!$G:$G,$F163+1))*($E163^INDEX('R1. Tree Coefficients'!$H:$H,$F163+1)),INDEX('R1. Tree Coefficients'!$D:$D,$F163+1)*($D163^INDEX('R1. Tree Coefficients'!$E:$E,$F163+1))))</f>
        <v/>
      </c>
      <c r="J163" s="14" t="str">
        <f aca="false">IF(OR($D163="",$F163=""),"",IF($E163&gt;0,INDEX('R1. Tree Coefficients'!$F:$F,$F163+2)*($D163^INDEX('R1. Tree Coefficients'!$G:$G,$F163+2))*($E163^INDEX('R1. Tree Coefficients'!$H:$H,$F163+2)),INDEX('R1. Tree Coefficients'!$D:$D,$F163+2)*($D163^INDEX('R1. Tree Coefficients'!$E:$E,$F163+2))))</f>
        <v/>
      </c>
      <c r="K163" s="14" t="str">
        <f aca="false">IF(OR($D163="",$F163=""),"",IF($E163&gt;0,INDEX('R1. Tree Coefficients'!$F:$F,$F163+3)*($D163^INDEX('R1. Tree Coefficients'!$G:$G,$F163+3))*($E163^INDEX('R1. Tree Coefficients'!$H:$H,$F163+3)),INDEX('R1. Tree Coefficients'!$D:$D,$F163+3)*($D163^INDEX('R1. Tree Coefficients'!$E:$E,$F163+3))))</f>
        <v/>
      </c>
      <c r="L163" s="14" t="str">
        <f aca="false">IF($F163="","",IFERROR(SUM($H163:$K163),""))</f>
        <v/>
      </c>
      <c r="M163" s="14" t="str">
        <f aca="false">IF($F163="","",INDEX('R1. Tree Coefficients'!$J:$J,$F163))</f>
        <v/>
      </c>
      <c r="N163" s="14" t="str">
        <f aca="false">IF($L163="","",IF($M163="Deciduous",BGB_RS_DECIDUOUS_a*($L163^BGB_RS_DECIDUOUS_b),IF($M163="Conifers",BGB_RS_CONIFER*$L163,AVERAGE(BGB_RS_DECIDUOUS_a*($L163^BGB_RS_DECIDUOUS_b),BGB_RS_CONIFER*$L163))))</f>
        <v/>
      </c>
      <c r="O163" s="14" t="str">
        <f aca="false">IF($L163="","",$L163+$N163)</f>
        <v/>
      </c>
      <c r="P163" s="14" t="str">
        <f aca="false">IF($O163="","",$O163*CARBON_FRACTION_BIOMASS)</f>
        <v/>
      </c>
      <c r="Q163" s="14" t="str">
        <f aca="false">IF(AND($A163="",$C163=""),"",IF(AND($A163&lt;&gt;"",COUNTIF('1. Plot &amp; Site Log'!$A$5:$A$64,$A163)=0),"Plot ID not in Plot &amp; Site Log — this tree will not reach the summary. ","")&amp;IF($A163="","No Plot ID. ","")&amp;IF(AND($C163&lt;&gt;"",$F163=""),"Species not in the coefficient list — check the spelling against R1. ","")&amp;IF($D163="","No DBH — nothing can be calculated. ","")&amp;IF(AND($D163&lt;&gt;"",$D163&gt;QC_DBH_MAX_CM),"DBH above "&amp;QC_DBH_MAX_CM&amp;" cm — check for a transcription error. ","")&amp;IF($M163="All","Generic species: no published root:shoot applies, so below-ground biomass is the mean of the deciduous and conifer relationships. Choose a species, or Deciduous/Conifers, if you can. ","")&amp;IF(AND($O163&lt;&gt;"",$O163&gt;0,OR($N163/$O163&lt;BGB_FRACTION_MIN,$N163/$O163&gt;BGB_FRACTION_MAX)),"Below-ground share is "&amp;TEXT($N163/$O163,"0%")&amp;", outside the 18–30% the Trees guide describes. ",""))</f>
        <v/>
      </c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4" t="str">
        <f aca="false">IF($C164="","",IFERROR(12+(MATCH($C164,'R1. Tree Coefficients'!$L$12:$L$53,0)-1)*4,""))</f>
        <v/>
      </c>
      <c r="G164" s="14" t="str">
        <f aca="false">IF($F164="","",IF(AND($E164&lt;&gt;"",$E164&gt;0),"DBH + height","DBH only"))</f>
        <v/>
      </c>
      <c r="H164" s="14" t="str">
        <f aca="false">IF(OR($D164="",$F164=""),"",IF($E164&gt;0,INDEX('R1. Tree Coefficients'!$F:$F,$F164+0)*($D164^INDEX('R1. Tree Coefficients'!$G:$G,$F164+0))*($E164^INDEX('R1. Tree Coefficients'!$H:$H,$F164+0)),INDEX('R1. Tree Coefficients'!$D:$D,$F164+0)*($D164^INDEX('R1. Tree Coefficients'!$E:$E,$F164+0))))</f>
        <v/>
      </c>
      <c r="I164" s="14" t="str">
        <f aca="false">IF(OR($D164="",$F164=""),"",IF($E164&gt;0,INDEX('R1. Tree Coefficients'!$F:$F,$F164+1)*($D164^INDEX('R1. Tree Coefficients'!$G:$G,$F164+1))*($E164^INDEX('R1. Tree Coefficients'!$H:$H,$F164+1)),INDEX('R1. Tree Coefficients'!$D:$D,$F164+1)*($D164^INDEX('R1. Tree Coefficients'!$E:$E,$F164+1))))</f>
        <v/>
      </c>
      <c r="J164" s="14" t="str">
        <f aca="false">IF(OR($D164="",$F164=""),"",IF($E164&gt;0,INDEX('R1. Tree Coefficients'!$F:$F,$F164+2)*($D164^INDEX('R1. Tree Coefficients'!$G:$G,$F164+2))*($E164^INDEX('R1. Tree Coefficients'!$H:$H,$F164+2)),INDEX('R1. Tree Coefficients'!$D:$D,$F164+2)*($D164^INDEX('R1. Tree Coefficients'!$E:$E,$F164+2))))</f>
        <v/>
      </c>
      <c r="K164" s="14" t="str">
        <f aca="false">IF(OR($D164="",$F164=""),"",IF($E164&gt;0,INDEX('R1. Tree Coefficients'!$F:$F,$F164+3)*($D164^INDEX('R1. Tree Coefficients'!$G:$G,$F164+3))*($E164^INDEX('R1. Tree Coefficients'!$H:$H,$F164+3)),INDEX('R1. Tree Coefficients'!$D:$D,$F164+3)*($D164^INDEX('R1. Tree Coefficients'!$E:$E,$F164+3))))</f>
        <v/>
      </c>
      <c r="L164" s="14" t="str">
        <f aca="false">IF($F164="","",IFERROR(SUM($H164:$K164),""))</f>
        <v/>
      </c>
      <c r="M164" s="14" t="str">
        <f aca="false">IF($F164="","",INDEX('R1. Tree Coefficients'!$J:$J,$F164))</f>
        <v/>
      </c>
      <c r="N164" s="14" t="str">
        <f aca="false">IF($L164="","",IF($M164="Deciduous",BGB_RS_DECIDUOUS_a*($L164^BGB_RS_DECIDUOUS_b),IF($M164="Conifers",BGB_RS_CONIFER*$L164,AVERAGE(BGB_RS_DECIDUOUS_a*($L164^BGB_RS_DECIDUOUS_b),BGB_RS_CONIFER*$L164))))</f>
        <v/>
      </c>
      <c r="O164" s="14" t="str">
        <f aca="false">IF($L164="","",$L164+$N164)</f>
        <v/>
      </c>
      <c r="P164" s="14" t="str">
        <f aca="false">IF($O164="","",$O164*CARBON_FRACTION_BIOMASS)</f>
        <v/>
      </c>
      <c r="Q164" s="14" t="str">
        <f aca="false">IF(AND($A164="",$C164=""),"",IF(AND($A164&lt;&gt;"",COUNTIF('1. Plot &amp; Site Log'!$A$5:$A$64,$A164)=0),"Plot ID not in Plot &amp; Site Log — this tree will not reach the summary. ","")&amp;IF($A164="","No Plot ID. ","")&amp;IF(AND($C164&lt;&gt;"",$F164=""),"Species not in the coefficient list — check the spelling against R1. ","")&amp;IF($D164="","No DBH — nothing can be calculated. ","")&amp;IF(AND($D164&lt;&gt;"",$D164&gt;QC_DBH_MAX_CM),"DBH above "&amp;QC_DBH_MAX_CM&amp;" cm — check for a transcription error. ","")&amp;IF($M164="All","Generic species: no published root:shoot applies, so below-ground biomass is the mean of the deciduous and conifer relationships. Choose a species, or Deciduous/Conifers, if you can. ","")&amp;IF(AND($O164&lt;&gt;"",$O164&gt;0,OR($N164/$O164&lt;BGB_FRACTION_MIN,$N164/$O164&gt;BGB_FRACTION_MAX)),"Below-ground share is "&amp;TEXT($N164/$O164,"0%")&amp;", outside the 18–30% the Trees guide describes. ",""))</f>
        <v/>
      </c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4" t="str">
        <f aca="false">IF($C165="","",IFERROR(12+(MATCH($C165,'R1. Tree Coefficients'!$L$12:$L$53,0)-1)*4,""))</f>
        <v/>
      </c>
      <c r="G165" s="14" t="str">
        <f aca="false">IF($F165="","",IF(AND($E165&lt;&gt;"",$E165&gt;0),"DBH + height","DBH only"))</f>
        <v/>
      </c>
      <c r="H165" s="14" t="str">
        <f aca="false">IF(OR($D165="",$F165=""),"",IF($E165&gt;0,INDEX('R1. Tree Coefficients'!$F:$F,$F165+0)*($D165^INDEX('R1. Tree Coefficients'!$G:$G,$F165+0))*($E165^INDEX('R1. Tree Coefficients'!$H:$H,$F165+0)),INDEX('R1. Tree Coefficients'!$D:$D,$F165+0)*($D165^INDEX('R1. Tree Coefficients'!$E:$E,$F165+0))))</f>
        <v/>
      </c>
      <c r="I165" s="14" t="str">
        <f aca="false">IF(OR($D165="",$F165=""),"",IF($E165&gt;0,INDEX('R1. Tree Coefficients'!$F:$F,$F165+1)*($D165^INDEX('R1. Tree Coefficients'!$G:$G,$F165+1))*($E165^INDEX('R1. Tree Coefficients'!$H:$H,$F165+1)),INDEX('R1. Tree Coefficients'!$D:$D,$F165+1)*($D165^INDEX('R1. Tree Coefficients'!$E:$E,$F165+1))))</f>
        <v/>
      </c>
      <c r="J165" s="14" t="str">
        <f aca="false">IF(OR($D165="",$F165=""),"",IF($E165&gt;0,INDEX('R1. Tree Coefficients'!$F:$F,$F165+2)*($D165^INDEX('R1. Tree Coefficients'!$G:$G,$F165+2))*($E165^INDEX('R1. Tree Coefficients'!$H:$H,$F165+2)),INDEX('R1. Tree Coefficients'!$D:$D,$F165+2)*($D165^INDEX('R1. Tree Coefficients'!$E:$E,$F165+2))))</f>
        <v/>
      </c>
      <c r="K165" s="14" t="str">
        <f aca="false">IF(OR($D165="",$F165=""),"",IF($E165&gt;0,INDEX('R1. Tree Coefficients'!$F:$F,$F165+3)*($D165^INDEX('R1. Tree Coefficients'!$G:$G,$F165+3))*($E165^INDEX('R1. Tree Coefficients'!$H:$H,$F165+3)),INDEX('R1. Tree Coefficients'!$D:$D,$F165+3)*($D165^INDEX('R1. Tree Coefficients'!$E:$E,$F165+3))))</f>
        <v/>
      </c>
      <c r="L165" s="14" t="str">
        <f aca="false">IF($F165="","",IFERROR(SUM($H165:$K165),""))</f>
        <v/>
      </c>
      <c r="M165" s="14" t="str">
        <f aca="false">IF($F165="","",INDEX('R1. Tree Coefficients'!$J:$J,$F165))</f>
        <v/>
      </c>
      <c r="N165" s="14" t="str">
        <f aca="false">IF($L165="","",IF($M165="Deciduous",BGB_RS_DECIDUOUS_a*($L165^BGB_RS_DECIDUOUS_b),IF($M165="Conifers",BGB_RS_CONIFER*$L165,AVERAGE(BGB_RS_DECIDUOUS_a*($L165^BGB_RS_DECIDUOUS_b),BGB_RS_CONIFER*$L165))))</f>
        <v/>
      </c>
      <c r="O165" s="14" t="str">
        <f aca="false">IF($L165="","",$L165+$N165)</f>
        <v/>
      </c>
      <c r="P165" s="14" t="str">
        <f aca="false">IF($O165="","",$O165*CARBON_FRACTION_BIOMASS)</f>
        <v/>
      </c>
      <c r="Q165" s="14" t="str">
        <f aca="false">IF(AND($A165="",$C165=""),"",IF(AND($A165&lt;&gt;"",COUNTIF('1. Plot &amp; Site Log'!$A$5:$A$64,$A165)=0),"Plot ID not in Plot &amp; Site Log — this tree will not reach the summary. ","")&amp;IF($A165="","No Plot ID. ","")&amp;IF(AND($C165&lt;&gt;"",$F165=""),"Species not in the coefficient list — check the spelling against R1. ","")&amp;IF($D165="","No DBH — nothing can be calculated. ","")&amp;IF(AND($D165&lt;&gt;"",$D165&gt;QC_DBH_MAX_CM),"DBH above "&amp;QC_DBH_MAX_CM&amp;" cm — check for a transcription error. ","")&amp;IF($M165="All","Generic species: no published root:shoot applies, so below-ground biomass is the mean of the deciduous and conifer relationships. Choose a species, or Deciduous/Conifers, if you can. ","")&amp;IF(AND($O165&lt;&gt;"",$O165&gt;0,OR($N165/$O165&lt;BGB_FRACTION_MIN,$N165/$O165&gt;BGB_FRACTION_MAX)),"Below-ground share is "&amp;TEXT($N165/$O165,"0%")&amp;", outside the 18–30% the Trees guide describes. ",""))</f>
        <v/>
      </c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4" t="str">
        <f aca="false">IF($C166="","",IFERROR(12+(MATCH($C166,'R1. Tree Coefficients'!$L$12:$L$53,0)-1)*4,""))</f>
        <v/>
      </c>
      <c r="G166" s="14" t="str">
        <f aca="false">IF($F166="","",IF(AND($E166&lt;&gt;"",$E166&gt;0),"DBH + height","DBH only"))</f>
        <v/>
      </c>
      <c r="H166" s="14" t="str">
        <f aca="false">IF(OR($D166="",$F166=""),"",IF($E166&gt;0,INDEX('R1. Tree Coefficients'!$F:$F,$F166+0)*($D166^INDEX('R1. Tree Coefficients'!$G:$G,$F166+0))*($E166^INDEX('R1. Tree Coefficients'!$H:$H,$F166+0)),INDEX('R1. Tree Coefficients'!$D:$D,$F166+0)*($D166^INDEX('R1. Tree Coefficients'!$E:$E,$F166+0))))</f>
        <v/>
      </c>
      <c r="I166" s="14" t="str">
        <f aca="false">IF(OR($D166="",$F166=""),"",IF($E166&gt;0,INDEX('R1. Tree Coefficients'!$F:$F,$F166+1)*($D166^INDEX('R1. Tree Coefficients'!$G:$G,$F166+1))*($E166^INDEX('R1. Tree Coefficients'!$H:$H,$F166+1)),INDEX('R1. Tree Coefficients'!$D:$D,$F166+1)*($D166^INDEX('R1. Tree Coefficients'!$E:$E,$F166+1))))</f>
        <v/>
      </c>
      <c r="J166" s="14" t="str">
        <f aca="false">IF(OR($D166="",$F166=""),"",IF($E166&gt;0,INDEX('R1. Tree Coefficients'!$F:$F,$F166+2)*($D166^INDEX('R1. Tree Coefficients'!$G:$G,$F166+2))*($E166^INDEX('R1. Tree Coefficients'!$H:$H,$F166+2)),INDEX('R1. Tree Coefficients'!$D:$D,$F166+2)*($D166^INDEX('R1. Tree Coefficients'!$E:$E,$F166+2))))</f>
        <v/>
      </c>
      <c r="K166" s="14" t="str">
        <f aca="false">IF(OR($D166="",$F166=""),"",IF($E166&gt;0,INDEX('R1. Tree Coefficients'!$F:$F,$F166+3)*($D166^INDEX('R1. Tree Coefficients'!$G:$G,$F166+3))*($E166^INDEX('R1. Tree Coefficients'!$H:$H,$F166+3)),INDEX('R1. Tree Coefficients'!$D:$D,$F166+3)*($D166^INDEX('R1. Tree Coefficients'!$E:$E,$F166+3))))</f>
        <v/>
      </c>
      <c r="L166" s="14" t="str">
        <f aca="false">IF($F166="","",IFERROR(SUM($H166:$K166),""))</f>
        <v/>
      </c>
      <c r="M166" s="14" t="str">
        <f aca="false">IF($F166="","",INDEX('R1. Tree Coefficients'!$J:$J,$F166))</f>
        <v/>
      </c>
      <c r="N166" s="14" t="str">
        <f aca="false">IF($L166="","",IF($M166="Deciduous",BGB_RS_DECIDUOUS_a*($L166^BGB_RS_DECIDUOUS_b),IF($M166="Conifers",BGB_RS_CONIFER*$L166,AVERAGE(BGB_RS_DECIDUOUS_a*($L166^BGB_RS_DECIDUOUS_b),BGB_RS_CONIFER*$L166))))</f>
        <v/>
      </c>
      <c r="O166" s="14" t="str">
        <f aca="false">IF($L166="","",$L166+$N166)</f>
        <v/>
      </c>
      <c r="P166" s="14" t="str">
        <f aca="false">IF($O166="","",$O166*CARBON_FRACTION_BIOMASS)</f>
        <v/>
      </c>
      <c r="Q166" s="14" t="str">
        <f aca="false">IF(AND($A166="",$C166=""),"",IF(AND($A166&lt;&gt;"",COUNTIF('1. Plot &amp; Site Log'!$A$5:$A$64,$A166)=0),"Plot ID not in Plot &amp; Site Log — this tree will not reach the summary. ","")&amp;IF($A166="","No Plot ID. ","")&amp;IF(AND($C166&lt;&gt;"",$F166=""),"Species not in the coefficient list — check the spelling against R1. ","")&amp;IF($D166="","No DBH — nothing can be calculated. ","")&amp;IF(AND($D166&lt;&gt;"",$D166&gt;QC_DBH_MAX_CM),"DBH above "&amp;QC_DBH_MAX_CM&amp;" cm — check for a transcription error. ","")&amp;IF($M166="All","Generic species: no published root:shoot applies, so below-ground biomass is the mean of the deciduous and conifer relationships. Choose a species, or Deciduous/Conifers, if you can. ","")&amp;IF(AND($O166&lt;&gt;"",$O166&gt;0,OR($N166/$O166&lt;BGB_FRACTION_MIN,$N166/$O166&gt;BGB_FRACTION_MAX)),"Below-ground share is "&amp;TEXT($N166/$O166,"0%")&amp;", outside the 18–30% the Trees guide describes. ",""))</f>
        <v/>
      </c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4" t="str">
        <f aca="false">IF($C167="","",IFERROR(12+(MATCH($C167,'R1. Tree Coefficients'!$L$12:$L$53,0)-1)*4,""))</f>
        <v/>
      </c>
      <c r="G167" s="14" t="str">
        <f aca="false">IF($F167="","",IF(AND($E167&lt;&gt;"",$E167&gt;0),"DBH + height","DBH only"))</f>
        <v/>
      </c>
      <c r="H167" s="14" t="str">
        <f aca="false">IF(OR($D167="",$F167=""),"",IF($E167&gt;0,INDEX('R1. Tree Coefficients'!$F:$F,$F167+0)*($D167^INDEX('R1. Tree Coefficients'!$G:$G,$F167+0))*($E167^INDEX('R1. Tree Coefficients'!$H:$H,$F167+0)),INDEX('R1. Tree Coefficients'!$D:$D,$F167+0)*($D167^INDEX('R1. Tree Coefficients'!$E:$E,$F167+0))))</f>
        <v/>
      </c>
      <c r="I167" s="14" t="str">
        <f aca="false">IF(OR($D167="",$F167=""),"",IF($E167&gt;0,INDEX('R1. Tree Coefficients'!$F:$F,$F167+1)*($D167^INDEX('R1. Tree Coefficients'!$G:$G,$F167+1))*($E167^INDEX('R1. Tree Coefficients'!$H:$H,$F167+1)),INDEX('R1. Tree Coefficients'!$D:$D,$F167+1)*($D167^INDEX('R1. Tree Coefficients'!$E:$E,$F167+1))))</f>
        <v/>
      </c>
      <c r="J167" s="14" t="str">
        <f aca="false">IF(OR($D167="",$F167=""),"",IF($E167&gt;0,INDEX('R1. Tree Coefficients'!$F:$F,$F167+2)*($D167^INDEX('R1. Tree Coefficients'!$G:$G,$F167+2))*($E167^INDEX('R1. Tree Coefficients'!$H:$H,$F167+2)),INDEX('R1. Tree Coefficients'!$D:$D,$F167+2)*($D167^INDEX('R1. Tree Coefficients'!$E:$E,$F167+2))))</f>
        <v/>
      </c>
      <c r="K167" s="14" t="str">
        <f aca="false">IF(OR($D167="",$F167=""),"",IF($E167&gt;0,INDEX('R1. Tree Coefficients'!$F:$F,$F167+3)*($D167^INDEX('R1. Tree Coefficients'!$G:$G,$F167+3))*($E167^INDEX('R1. Tree Coefficients'!$H:$H,$F167+3)),INDEX('R1. Tree Coefficients'!$D:$D,$F167+3)*($D167^INDEX('R1. Tree Coefficients'!$E:$E,$F167+3))))</f>
        <v/>
      </c>
      <c r="L167" s="14" t="str">
        <f aca="false">IF($F167="","",IFERROR(SUM($H167:$K167),""))</f>
        <v/>
      </c>
      <c r="M167" s="14" t="str">
        <f aca="false">IF($F167="","",INDEX('R1. Tree Coefficients'!$J:$J,$F167))</f>
        <v/>
      </c>
      <c r="N167" s="14" t="str">
        <f aca="false">IF($L167="","",IF($M167="Deciduous",BGB_RS_DECIDUOUS_a*($L167^BGB_RS_DECIDUOUS_b),IF($M167="Conifers",BGB_RS_CONIFER*$L167,AVERAGE(BGB_RS_DECIDUOUS_a*($L167^BGB_RS_DECIDUOUS_b),BGB_RS_CONIFER*$L167))))</f>
        <v/>
      </c>
      <c r="O167" s="14" t="str">
        <f aca="false">IF($L167="","",$L167+$N167)</f>
        <v/>
      </c>
      <c r="P167" s="14" t="str">
        <f aca="false">IF($O167="","",$O167*CARBON_FRACTION_BIOMASS)</f>
        <v/>
      </c>
      <c r="Q167" s="14" t="str">
        <f aca="false">IF(AND($A167="",$C167=""),"",IF(AND($A167&lt;&gt;"",COUNTIF('1. Plot &amp; Site Log'!$A$5:$A$64,$A167)=0),"Plot ID not in Plot &amp; Site Log — this tree will not reach the summary. ","")&amp;IF($A167="","No Plot ID. ","")&amp;IF(AND($C167&lt;&gt;"",$F167=""),"Species not in the coefficient list — check the spelling against R1. ","")&amp;IF($D167="","No DBH — nothing can be calculated. ","")&amp;IF(AND($D167&lt;&gt;"",$D167&gt;QC_DBH_MAX_CM),"DBH above "&amp;QC_DBH_MAX_CM&amp;" cm — check for a transcription error. ","")&amp;IF($M167="All","Generic species: no published root:shoot applies, so below-ground biomass is the mean of the deciduous and conifer relationships. Choose a species, or Deciduous/Conifers, if you can. ","")&amp;IF(AND($O167&lt;&gt;"",$O167&gt;0,OR($N167/$O167&lt;BGB_FRACTION_MIN,$N167/$O167&gt;BGB_FRACTION_MAX)),"Below-ground share is "&amp;TEXT($N167/$O167,"0%")&amp;", outside the 18–30% the Trees guide describes. ",""))</f>
        <v/>
      </c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4" t="str">
        <f aca="false">IF($C168="","",IFERROR(12+(MATCH($C168,'R1. Tree Coefficients'!$L$12:$L$53,0)-1)*4,""))</f>
        <v/>
      </c>
      <c r="G168" s="14" t="str">
        <f aca="false">IF($F168="","",IF(AND($E168&lt;&gt;"",$E168&gt;0),"DBH + height","DBH only"))</f>
        <v/>
      </c>
      <c r="H168" s="14" t="str">
        <f aca="false">IF(OR($D168="",$F168=""),"",IF($E168&gt;0,INDEX('R1. Tree Coefficients'!$F:$F,$F168+0)*($D168^INDEX('R1. Tree Coefficients'!$G:$G,$F168+0))*($E168^INDEX('R1. Tree Coefficients'!$H:$H,$F168+0)),INDEX('R1. Tree Coefficients'!$D:$D,$F168+0)*($D168^INDEX('R1. Tree Coefficients'!$E:$E,$F168+0))))</f>
        <v/>
      </c>
      <c r="I168" s="14" t="str">
        <f aca="false">IF(OR($D168="",$F168=""),"",IF($E168&gt;0,INDEX('R1. Tree Coefficients'!$F:$F,$F168+1)*($D168^INDEX('R1. Tree Coefficients'!$G:$G,$F168+1))*($E168^INDEX('R1. Tree Coefficients'!$H:$H,$F168+1)),INDEX('R1. Tree Coefficients'!$D:$D,$F168+1)*($D168^INDEX('R1. Tree Coefficients'!$E:$E,$F168+1))))</f>
        <v/>
      </c>
      <c r="J168" s="14" t="str">
        <f aca="false">IF(OR($D168="",$F168=""),"",IF($E168&gt;0,INDEX('R1. Tree Coefficients'!$F:$F,$F168+2)*($D168^INDEX('R1. Tree Coefficients'!$G:$G,$F168+2))*($E168^INDEX('R1. Tree Coefficients'!$H:$H,$F168+2)),INDEX('R1. Tree Coefficients'!$D:$D,$F168+2)*($D168^INDEX('R1. Tree Coefficients'!$E:$E,$F168+2))))</f>
        <v/>
      </c>
      <c r="K168" s="14" t="str">
        <f aca="false">IF(OR($D168="",$F168=""),"",IF($E168&gt;0,INDEX('R1. Tree Coefficients'!$F:$F,$F168+3)*($D168^INDEX('R1. Tree Coefficients'!$G:$G,$F168+3))*($E168^INDEX('R1. Tree Coefficients'!$H:$H,$F168+3)),INDEX('R1. Tree Coefficients'!$D:$D,$F168+3)*($D168^INDEX('R1. Tree Coefficients'!$E:$E,$F168+3))))</f>
        <v/>
      </c>
      <c r="L168" s="14" t="str">
        <f aca="false">IF($F168="","",IFERROR(SUM($H168:$K168),""))</f>
        <v/>
      </c>
      <c r="M168" s="14" t="str">
        <f aca="false">IF($F168="","",INDEX('R1. Tree Coefficients'!$J:$J,$F168))</f>
        <v/>
      </c>
      <c r="N168" s="14" t="str">
        <f aca="false">IF($L168="","",IF($M168="Deciduous",BGB_RS_DECIDUOUS_a*($L168^BGB_RS_DECIDUOUS_b),IF($M168="Conifers",BGB_RS_CONIFER*$L168,AVERAGE(BGB_RS_DECIDUOUS_a*($L168^BGB_RS_DECIDUOUS_b),BGB_RS_CONIFER*$L168))))</f>
        <v/>
      </c>
      <c r="O168" s="14" t="str">
        <f aca="false">IF($L168="","",$L168+$N168)</f>
        <v/>
      </c>
      <c r="P168" s="14" t="str">
        <f aca="false">IF($O168="","",$O168*CARBON_FRACTION_BIOMASS)</f>
        <v/>
      </c>
      <c r="Q168" s="14" t="str">
        <f aca="false">IF(AND($A168="",$C168=""),"",IF(AND($A168&lt;&gt;"",COUNTIF('1. Plot &amp; Site Log'!$A$5:$A$64,$A168)=0),"Plot ID not in Plot &amp; Site Log — this tree will not reach the summary. ","")&amp;IF($A168="","No Plot ID. ","")&amp;IF(AND($C168&lt;&gt;"",$F168=""),"Species not in the coefficient list — check the spelling against R1. ","")&amp;IF($D168="","No DBH — nothing can be calculated. ","")&amp;IF(AND($D168&lt;&gt;"",$D168&gt;QC_DBH_MAX_CM),"DBH above "&amp;QC_DBH_MAX_CM&amp;" cm — check for a transcription error. ","")&amp;IF($M168="All","Generic species: no published root:shoot applies, so below-ground biomass is the mean of the deciduous and conifer relationships. Choose a species, or Deciduous/Conifers, if you can. ","")&amp;IF(AND($O168&lt;&gt;"",$O168&gt;0,OR($N168/$O168&lt;BGB_FRACTION_MIN,$N168/$O168&gt;BGB_FRACTION_MAX)),"Below-ground share is "&amp;TEXT($N168/$O168,"0%")&amp;", outside the 18–30% the Trees guide describes. ",""))</f>
        <v/>
      </c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4" t="str">
        <f aca="false">IF($C169="","",IFERROR(12+(MATCH($C169,'R1. Tree Coefficients'!$L$12:$L$53,0)-1)*4,""))</f>
        <v/>
      </c>
      <c r="G169" s="14" t="str">
        <f aca="false">IF($F169="","",IF(AND($E169&lt;&gt;"",$E169&gt;0),"DBH + height","DBH only"))</f>
        <v/>
      </c>
      <c r="H169" s="14" t="str">
        <f aca="false">IF(OR($D169="",$F169=""),"",IF($E169&gt;0,INDEX('R1. Tree Coefficients'!$F:$F,$F169+0)*($D169^INDEX('R1. Tree Coefficients'!$G:$G,$F169+0))*($E169^INDEX('R1. Tree Coefficients'!$H:$H,$F169+0)),INDEX('R1. Tree Coefficients'!$D:$D,$F169+0)*($D169^INDEX('R1. Tree Coefficients'!$E:$E,$F169+0))))</f>
        <v/>
      </c>
      <c r="I169" s="14" t="str">
        <f aca="false">IF(OR($D169="",$F169=""),"",IF($E169&gt;0,INDEX('R1. Tree Coefficients'!$F:$F,$F169+1)*($D169^INDEX('R1. Tree Coefficients'!$G:$G,$F169+1))*($E169^INDEX('R1. Tree Coefficients'!$H:$H,$F169+1)),INDEX('R1. Tree Coefficients'!$D:$D,$F169+1)*($D169^INDEX('R1. Tree Coefficients'!$E:$E,$F169+1))))</f>
        <v/>
      </c>
      <c r="J169" s="14" t="str">
        <f aca="false">IF(OR($D169="",$F169=""),"",IF($E169&gt;0,INDEX('R1. Tree Coefficients'!$F:$F,$F169+2)*($D169^INDEX('R1. Tree Coefficients'!$G:$G,$F169+2))*($E169^INDEX('R1. Tree Coefficients'!$H:$H,$F169+2)),INDEX('R1. Tree Coefficients'!$D:$D,$F169+2)*($D169^INDEX('R1. Tree Coefficients'!$E:$E,$F169+2))))</f>
        <v/>
      </c>
      <c r="K169" s="14" t="str">
        <f aca="false">IF(OR($D169="",$F169=""),"",IF($E169&gt;0,INDEX('R1. Tree Coefficients'!$F:$F,$F169+3)*($D169^INDEX('R1. Tree Coefficients'!$G:$G,$F169+3))*($E169^INDEX('R1. Tree Coefficients'!$H:$H,$F169+3)),INDEX('R1. Tree Coefficients'!$D:$D,$F169+3)*($D169^INDEX('R1. Tree Coefficients'!$E:$E,$F169+3))))</f>
        <v/>
      </c>
      <c r="L169" s="14" t="str">
        <f aca="false">IF($F169="","",IFERROR(SUM($H169:$K169),""))</f>
        <v/>
      </c>
      <c r="M169" s="14" t="str">
        <f aca="false">IF($F169="","",INDEX('R1. Tree Coefficients'!$J:$J,$F169))</f>
        <v/>
      </c>
      <c r="N169" s="14" t="str">
        <f aca="false">IF($L169="","",IF($M169="Deciduous",BGB_RS_DECIDUOUS_a*($L169^BGB_RS_DECIDUOUS_b),IF($M169="Conifers",BGB_RS_CONIFER*$L169,AVERAGE(BGB_RS_DECIDUOUS_a*($L169^BGB_RS_DECIDUOUS_b),BGB_RS_CONIFER*$L169))))</f>
        <v/>
      </c>
      <c r="O169" s="14" t="str">
        <f aca="false">IF($L169="","",$L169+$N169)</f>
        <v/>
      </c>
      <c r="P169" s="14" t="str">
        <f aca="false">IF($O169="","",$O169*CARBON_FRACTION_BIOMASS)</f>
        <v/>
      </c>
      <c r="Q169" s="14" t="str">
        <f aca="false">IF(AND($A169="",$C169=""),"",IF(AND($A169&lt;&gt;"",COUNTIF('1. Plot &amp; Site Log'!$A$5:$A$64,$A169)=0),"Plot ID not in Plot &amp; Site Log — this tree will not reach the summary. ","")&amp;IF($A169="","No Plot ID. ","")&amp;IF(AND($C169&lt;&gt;"",$F169=""),"Species not in the coefficient list — check the spelling against R1. ","")&amp;IF($D169="","No DBH — nothing can be calculated. ","")&amp;IF(AND($D169&lt;&gt;"",$D169&gt;QC_DBH_MAX_CM),"DBH above "&amp;QC_DBH_MAX_CM&amp;" cm — check for a transcription error. ","")&amp;IF($M169="All","Generic species: no published root:shoot applies, so below-ground biomass is the mean of the deciduous and conifer relationships. Choose a species, or Deciduous/Conifers, if you can. ","")&amp;IF(AND($O169&lt;&gt;"",$O169&gt;0,OR($N169/$O169&lt;BGB_FRACTION_MIN,$N169/$O169&gt;BGB_FRACTION_MAX)),"Below-ground share is "&amp;TEXT($N169/$O169,"0%")&amp;", outside the 18–30% the Trees guide describes. ",""))</f>
        <v/>
      </c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4" t="str">
        <f aca="false">IF($C170="","",IFERROR(12+(MATCH($C170,'R1. Tree Coefficients'!$L$12:$L$53,0)-1)*4,""))</f>
        <v/>
      </c>
      <c r="G170" s="14" t="str">
        <f aca="false">IF($F170="","",IF(AND($E170&lt;&gt;"",$E170&gt;0),"DBH + height","DBH only"))</f>
        <v/>
      </c>
      <c r="H170" s="14" t="str">
        <f aca="false">IF(OR($D170="",$F170=""),"",IF($E170&gt;0,INDEX('R1. Tree Coefficients'!$F:$F,$F170+0)*($D170^INDEX('R1. Tree Coefficients'!$G:$G,$F170+0))*($E170^INDEX('R1. Tree Coefficients'!$H:$H,$F170+0)),INDEX('R1. Tree Coefficients'!$D:$D,$F170+0)*($D170^INDEX('R1. Tree Coefficients'!$E:$E,$F170+0))))</f>
        <v/>
      </c>
      <c r="I170" s="14" t="str">
        <f aca="false">IF(OR($D170="",$F170=""),"",IF($E170&gt;0,INDEX('R1. Tree Coefficients'!$F:$F,$F170+1)*($D170^INDEX('R1. Tree Coefficients'!$G:$G,$F170+1))*($E170^INDEX('R1. Tree Coefficients'!$H:$H,$F170+1)),INDEX('R1. Tree Coefficients'!$D:$D,$F170+1)*($D170^INDEX('R1. Tree Coefficients'!$E:$E,$F170+1))))</f>
        <v/>
      </c>
      <c r="J170" s="14" t="str">
        <f aca="false">IF(OR($D170="",$F170=""),"",IF($E170&gt;0,INDEX('R1. Tree Coefficients'!$F:$F,$F170+2)*($D170^INDEX('R1. Tree Coefficients'!$G:$G,$F170+2))*($E170^INDEX('R1. Tree Coefficients'!$H:$H,$F170+2)),INDEX('R1. Tree Coefficients'!$D:$D,$F170+2)*($D170^INDEX('R1. Tree Coefficients'!$E:$E,$F170+2))))</f>
        <v/>
      </c>
      <c r="K170" s="14" t="str">
        <f aca="false">IF(OR($D170="",$F170=""),"",IF($E170&gt;0,INDEX('R1. Tree Coefficients'!$F:$F,$F170+3)*($D170^INDEX('R1. Tree Coefficients'!$G:$G,$F170+3))*($E170^INDEX('R1. Tree Coefficients'!$H:$H,$F170+3)),INDEX('R1. Tree Coefficients'!$D:$D,$F170+3)*($D170^INDEX('R1. Tree Coefficients'!$E:$E,$F170+3))))</f>
        <v/>
      </c>
      <c r="L170" s="14" t="str">
        <f aca="false">IF($F170="","",IFERROR(SUM($H170:$K170),""))</f>
        <v/>
      </c>
      <c r="M170" s="14" t="str">
        <f aca="false">IF($F170="","",INDEX('R1. Tree Coefficients'!$J:$J,$F170))</f>
        <v/>
      </c>
      <c r="N170" s="14" t="str">
        <f aca="false">IF($L170="","",IF($M170="Deciduous",BGB_RS_DECIDUOUS_a*($L170^BGB_RS_DECIDUOUS_b),IF($M170="Conifers",BGB_RS_CONIFER*$L170,AVERAGE(BGB_RS_DECIDUOUS_a*($L170^BGB_RS_DECIDUOUS_b),BGB_RS_CONIFER*$L170))))</f>
        <v/>
      </c>
      <c r="O170" s="14" t="str">
        <f aca="false">IF($L170="","",$L170+$N170)</f>
        <v/>
      </c>
      <c r="P170" s="14" t="str">
        <f aca="false">IF($O170="","",$O170*CARBON_FRACTION_BIOMASS)</f>
        <v/>
      </c>
      <c r="Q170" s="14" t="str">
        <f aca="false">IF(AND($A170="",$C170=""),"",IF(AND($A170&lt;&gt;"",COUNTIF('1. Plot &amp; Site Log'!$A$5:$A$64,$A170)=0),"Plot ID not in Plot &amp; Site Log — this tree will not reach the summary. ","")&amp;IF($A170="","No Plot ID. ","")&amp;IF(AND($C170&lt;&gt;"",$F170=""),"Species not in the coefficient list — check the spelling against R1. ","")&amp;IF($D170="","No DBH — nothing can be calculated. ","")&amp;IF(AND($D170&lt;&gt;"",$D170&gt;QC_DBH_MAX_CM),"DBH above "&amp;QC_DBH_MAX_CM&amp;" cm — check for a transcription error. ","")&amp;IF($M170="All","Generic species: no published root:shoot applies, so below-ground biomass is the mean of the deciduous and conifer relationships. Choose a species, or Deciduous/Conifers, if you can. ","")&amp;IF(AND($O170&lt;&gt;"",$O170&gt;0,OR($N170/$O170&lt;BGB_FRACTION_MIN,$N170/$O170&gt;BGB_FRACTION_MAX)),"Below-ground share is "&amp;TEXT($N170/$O170,"0%")&amp;", outside the 18–30% the Trees guide describes. ",""))</f>
        <v/>
      </c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4" t="str">
        <f aca="false">IF($C171="","",IFERROR(12+(MATCH($C171,'R1. Tree Coefficients'!$L$12:$L$53,0)-1)*4,""))</f>
        <v/>
      </c>
      <c r="G171" s="14" t="str">
        <f aca="false">IF($F171="","",IF(AND($E171&lt;&gt;"",$E171&gt;0),"DBH + height","DBH only"))</f>
        <v/>
      </c>
      <c r="H171" s="14" t="str">
        <f aca="false">IF(OR($D171="",$F171=""),"",IF($E171&gt;0,INDEX('R1. Tree Coefficients'!$F:$F,$F171+0)*($D171^INDEX('R1. Tree Coefficients'!$G:$G,$F171+0))*($E171^INDEX('R1. Tree Coefficients'!$H:$H,$F171+0)),INDEX('R1. Tree Coefficients'!$D:$D,$F171+0)*($D171^INDEX('R1. Tree Coefficients'!$E:$E,$F171+0))))</f>
        <v/>
      </c>
      <c r="I171" s="14" t="str">
        <f aca="false">IF(OR($D171="",$F171=""),"",IF($E171&gt;0,INDEX('R1. Tree Coefficients'!$F:$F,$F171+1)*($D171^INDEX('R1. Tree Coefficients'!$G:$G,$F171+1))*($E171^INDEX('R1. Tree Coefficients'!$H:$H,$F171+1)),INDEX('R1. Tree Coefficients'!$D:$D,$F171+1)*($D171^INDEX('R1. Tree Coefficients'!$E:$E,$F171+1))))</f>
        <v/>
      </c>
      <c r="J171" s="14" t="str">
        <f aca="false">IF(OR($D171="",$F171=""),"",IF($E171&gt;0,INDEX('R1. Tree Coefficients'!$F:$F,$F171+2)*($D171^INDEX('R1. Tree Coefficients'!$G:$G,$F171+2))*($E171^INDEX('R1. Tree Coefficients'!$H:$H,$F171+2)),INDEX('R1. Tree Coefficients'!$D:$D,$F171+2)*($D171^INDEX('R1. Tree Coefficients'!$E:$E,$F171+2))))</f>
        <v/>
      </c>
      <c r="K171" s="14" t="str">
        <f aca="false">IF(OR($D171="",$F171=""),"",IF($E171&gt;0,INDEX('R1. Tree Coefficients'!$F:$F,$F171+3)*($D171^INDEX('R1. Tree Coefficients'!$G:$G,$F171+3))*($E171^INDEX('R1. Tree Coefficients'!$H:$H,$F171+3)),INDEX('R1. Tree Coefficients'!$D:$D,$F171+3)*($D171^INDEX('R1. Tree Coefficients'!$E:$E,$F171+3))))</f>
        <v/>
      </c>
      <c r="L171" s="14" t="str">
        <f aca="false">IF($F171="","",IFERROR(SUM($H171:$K171),""))</f>
        <v/>
      </c>
      <c r="M171" s="14" t="str">
        <f aca="false">IF($F171="","",INDEX('R1. Tree Coefficients'!$J:$J,$F171))</f>
        <v/>
      </c>
      <c r="N171" s="14" t="str">
        <f aca="false">IF($L171="","",IF($M171="Deciduous",BGB_RS_DECIDUOUS_a*($L171^BGB_RS_DECIDUOUS_b),IF($M171="Conifers",BGB_RS_CONIFER*$L171,AVERAGE(BGB_RS_DECIDUOUS_a*($L171^BGB_RS_DECIDUOUS_b),BGB_RS_CONIFER*$L171))))</f>
        <v/>
      </c>
      <c r="O171" s="14" t="str">
        <f aca="false">IF($L171="","",$L171+$N171)</f>
        <v/>
      </c>
      <c r="P171" s="14" t="str">
        <f aca="false">IF($O171="","",$O171*CARBON_FRACTION_BIOMASS)</f>
        <v/>
      </c>
      <c r="Q171" s="14" t="str">
        <f aca="false">IF(AND($A171="",$C171=""),"",IF(AND($A171&lt;&gt;"",COUNTIF('1. Plot &amp; Site Log'!$A$5:$A$64,$A171)=0),"Plot ID not in Plot &amp; Site Log — this tree will not reach the summary. ","")&amp;IF($A171="","No Plot ID. ","")&amp;IF(AND($C171&lt;&gt;"",$F171=""),"Species not in the coefficient list — check the spelling against R1. ","")&amp;IF($D171="","No DBH — nothing can be calculated. ","")&amp;IF(AND($D171&lt;&gt;"",$D171&gt;QC_DBH_MAX_CM),"DBH above "&amp;QC_DBH_MAX_CM&amp;" cm — check for a transcription error. ","")&amp;IF($M171="All","Generic species: no published root:shoot applies, so below-ground biomass is the mean of the deciduous and conifer relationships. Choose a species, or Deciduous/Conifers, if you can. ","")&amp;IF(AND($O171&lt;&gt;"",$O171&gt;0,OR($N171/$O171&lt;BGB_FRACTION_MIN,$N171/$O171&gt;BGB_FRACTION_MAX)),"Below-ground share is "&amp;TEXT($N171/$O171,"0%")&amp;", outside the 18–30% the Trees guide describes. ",""))</f>
        <v/>
      </c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4" t="str">
        <f aca="false">IF($C172="","",IFERROR(12+(MATCH($C172,'R1. Tree Coefficients'!$L$12:$L$53,0)-1)*4,""))</f>
        <v/>
      </c>
      <c r="G172" s="14" t="str">
        <f aca="false">IF($F172="","",IF(AND($E172&lt;&gt;"",$E172&gt;0),"DBH + height","DBH only"))</f>
        <v/>
      </c>
      <c r="H172" s="14" t="str">
        <f aca="false">IF(OR($D172="",$F172=""),"",IF($E172&gt;0,INDEX('R1. Tree Coefficients'!$F:$F,$F172+0)*($D172^INDEX('R1. Tree Coefficients'!$G:$G,$F172+0))*($E172^INDEX('R1. Tree Coefficients'!$H:$H,$F172+0)),INDEX('R1. Tree Coefficients'!$D:$D,$F172+0)*($D172^INDEX('R1. Tree Coefficients'!$E:$E,$F172+0))))</f>
        <v/>
      </c>
      <c r="I172" s="14" t="str">
        <f aca="false">IF(OR($D172="",$F172=""),"",IF($E172&gt;0,INDEX('R1. Tree Coefficients'!$F:$F,$F172+1)*($D172^INDEX('R1. Tree Coefficients'!$G:$G,$F172+1))*($E172^INDEX('R1. Tree Coefficients'!$H:$H,$F172+1)),INDEX('R1. Tree Coefficients'!$D:$D,$F172+1)*($D172^INDEX('R1. Tree Coefficients'!$E:$E,$F172+1))))</f>
        <v/>
      </c>
      <c r="J172" s="14" t="str">
        <f aca="false">IF(OR($D172="",$F172=""),"",IF($E172&gt;0,INDEX('R1. Tree Coefficients'!$F:$F,$F172+2)*($D172^INDEX('R1. Tree Coefficients'!$G:$G,$F172+2))*($E172^INDEX('R1. Tree Coefficients'!$H:$H,$F172+2)),INDEX('R1. Tree Coefficients'!$D:$D,$F172+2)*($D172^INDEX('R1. Tree Coefficients'!$E:$E,$F172+2))))</f>
        <v/>
      </c>
      <c r="K172" s="14" t="str">
        <f aca="false">IF(OR($D172="",$F172=""),"",IF($E172&gt;0,INDEX('R1. Tree Coefficients'!$F:$F,$F172+3)*($D172^INDEX('R1. Tree Coefficients'!$G:$G,$F172+3))*($E172^INDEX('R1. Tree Coefficients'!$H:$H,$F172+3)),INDEX('R1. Tree Coefficients'!$D:$D,$F172+3)*($D172^INDEX('R1. Tree Coefficients'!$E:$E,$F172+3))))</f>
        <v/>
      </c>
      <c r="L172" s="14" t="str">
        <f aca="false">IF($F172="","",IFERROR(SUM($H172:$K172),""))</f>
        <v/>
      </c>
      <c r="M172" s="14" t="str">
        <f aca="false">IF($F172="","",INDEX('R1. Tree Coefficients'!$J:$J,$F172))</f>
        <v/>
      </c>
      <c r="N172" s="14" t="str">
        <f aca="false">IF($L172="","",IF($M172="Deciduous",BGB_RS_DECIDUOUS_a*($L172^BGB_RS_DECIDUOUS_b),IF($M172="Conifers",BGB_RS_CONIFER*$L172,AVERAGE(BGB_RS_DECIDUOUS_a*($L172^BGB_RS_DECIDUOUS_b),BGB_RS_CONIFER*$L172))))</f>
        <v/>
      </c>
      <c r="O172" s="14" t="str">
        <f aca="false">IF($L172="","",$L172+$N172)</f>
        <v/>
      </c>
      <c r="P172" s="14" t="str">
        <f aca="false">IF($O172="","",$O172*CARBON_FRACTION_BIOMASS)</f>
        <v/>
      </c>
      <c r="Q172" s="14" t="str">
        <f aca="false">IF(AND($A172="",$C172=""),"",IF(AND($A172&lt;&gt;"",COUNTIF('1. Plot &amp; Site Log'!$A$5:$A$64,$A172)=0),"Plot ID not in Plot &amp; Site Log — this tree will not reach the summary. ","")&amp;IF($A172="","No Plot ID. ","")&amp;IF(AND($C172&lt;&gt;"",$F172=""),"Species not in the coefficient list — check the spelling against R1. ","")&amp;IF($D172="","No DBH — nothing can be calculated. ","")&amp;IF(AND($D172&lt;&gt;"",$D172&gt;QC_DBH_MAX_CM),"DBH above "&amp;QC_DBH_MAX_CM&amp;" cm — check for a transcription error. ","")&amp;IF($M172="All","Generic species: no published root:shoot applies, so below-ground biomass is the mean of the deciduous and conifer relationships. Choose a species, or Deciduous/Conifers, if you can. ","")&amp;IF(AND($O172&lt;&gt;"",$O172&gt;0,OR($N172/$O172&lt;BGB_FRACTION_MIN,$N172/$O172&gt;BGB_FRACTION_MAX)),"Below-ground share is "&amp;TEXT($N172/$O172,"0%")&amp;", outside the 18–30% the Trees guide describes. ",""))</f>
        <v/>
      </c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4" t="str">
        <f aca="false">IF($C173="","",IFERROR(12+(MATCH($C173,'R1. Tree Coefficients'!$L$12:$L$53,0)-1)*4,""))</f>
        <v/>
      </c>
      <c r="G173" s="14" t="str">
        <f aca="false">IF($F173="","",IF(AND($E173&lt;&gt;"",$E173&gt;0),"DBH + height","DBH only"))</f>
        <v/>
      </c>
      <c r="H173" s="14" t="str">
        <f aca="false">IF(OR($D173="",$F173=""),"",IF($E173&gt;0,INDEX('R1. Tree Coefficients'!$F:$F,$F173+0)*($D173^INDEX('R1. Tree Coefficients'!$G:$G,$F173+0))*($E173^INDEX('R1. Tree Coefficients'!$H:$H,$F173+0)),INDEX('R1. Tree Coefficients'!$D:$D,$F173+0)*($D173^INDEX('R1. Tree Coefficients'!$E:$E,$F173+0))))</f>
        <v/>
      </c>
      <c r="I173" s="14" t="str">
        <f aca="false">IF(OR($D173="",$F173=""),"",IF($E173&gt;0,INDEX('R1. Tree Coefficients'!$F:$F,$F173+1)*($D173^INDEX('R1. Tree Coefficients'!$G:$G,$F173+1))*($E173^INDEX('R1. Tree Coefficients'!$H:$H,$F173+1)),INDEX('R1. Tree Coefficients'!$D:$D,$F173+1)*($D173^INDEX('R1. Tree Coefficients'!$E:$E,$F173+1))))</f>
        <v/>
      </c>
      <c r="J173" s="14" t="str">
        <f aca="false">IF(OR($D173="",$F173=""),"",IF($E173&gt;0,INDEX('R1. Tree Coefficients'!$F:$F,$F173+2)*($D173^INDEX('R1. Tree Coefficients'!$G:$G,$F173+2))*($E173^INDEX('R1. Tree Coefficients'!$H:$H,$F173+2)),INDEX('R1. Tree Coefficients'!$D:$D,$F173+2)*($D173^INDEX('R1. Tree Coefficients'!$E:$E,$F173+2))))</f>
        <v/>
      </c>
      <c r="K173" s="14" t="str">
        <f aca="false">IF(OR($D173="",$F173=""),"",IF($E173&gt;0,INDEX('R1. Tree Coefficients'!$F:$F,$F173+3)*($D173^INDEX('R1. Tree Coefficients'!$G:$G,$F173+3))*($E173^INDEX('R1. Tree Coefficients'!$H:$H,$F173+3)),INDEX('R1. Tree Coefficients'!$D:$D,$F173+3)*($D173^INDEX('R1. Tree Coefficients'!$E:$E,$F173+3))))</f>
        <v/>
      </c>
      <c r="L173" s="14" t="str">
        <f aca="false">IF($F173="","",IFERROR(SUM($H173:$K173),""))</f>
        <v/>
      </c>
      <c r="M173" s="14" t="str">
        <f aca="false">IF($F173="","",INDEX('R1. Tree Coefficients'!$J:$J,$F173))</f>
        <v/>
      </c>
      <c r="N173" s="14" t="str">
        <f aca="false">IF($L173="","",IF($M173="Deciduous",BGB_RS_DECIDUOUS_a*($L173^BGB_RS_DECIDUOUS_b),IF($M173="Conifers",BGB_RS_CONIFER*$L173,AVERAGE(BGB_RS_DECIDUOUS_a*($L173^BGB_RS_DECIDUOUS_b),BGB_RS_CONIFER*$L173))))</f>
        <v/>
      </c>
      <c r="O173" s="14" t="str">
        <f aca="false">IF($L173="","",$L173+$N173)</f>
        <v/>
      </c>
      <c r="P173" s="14" t="str">
        <f aca="false">IF($O173="","",$O173*CARBON_FRACTION_BIOMASS)</f>
        <v/>
      </c>
      <c r="Q173" s="14" t="str">
        <f aca="false">IF(AND($A173="",$C173=""),"",IF(AND($A173&lt;&gt;"",COUNTIF('1. Plot &amp; Site Log'!$A$5:$A$64,$A173)=0),"Plot ID not in Plot &amp; Site Log — this tree will not reach the summary. ","")&amp;IF($A173="","No Plot ID. ","")&amp;IF(AND($C173&lt;&gt;"",$F173=""),"Species not in the coefficient list — check the spelling against R1. ","")&amp;IF($D173="","No DBH — nothing can be calculated. ","")&amp;IF(AND($D173&lt;&gt;"",$D173&gt;QC_DBH_MAX_CM),"DBH above "&amp;QC_DBH_MAX_CM&amp;" cm — check for a transcription error. ","")&amp;IF($M173="All","Generic species: no published root:shoot applies, so below-ground biomass is the mean of the deciduous and conifer relationships. Choose a species, or Deciduous/Conifers, if you can. ","")&amp;IF(AND($O173&lt;&gt;"",$O173&gt;0,OR($N173/$O173&lt;BGB_FRACTION_MIN,$N173/$O173&gt;BGB_FRACTION_MAX)),"Below-ground share is "&amp;TEXT($N173/$O173,"0%")&amp;", outside the 18–30% the Trees guide describes. ",""))</f>
        <v/>
      </c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4" t="str">
        <f aca="false">IF($C174="","",IFERROR(12+(MATCH($C174,'R1. Tree Coefficients'!$L$12:$L$53,0)-1)*4,""))</f>
        <v/>
      </c>
      <c r="G174" s="14" t="str">
        <f aca="false">IF($F174="","",IF(AND($E174&lt;&gt;"",$E174&gt;0),"DBH + height","DBH only"))</f>
        <v/>
      </c>
      <c r="H174" s="14" t="str">
        <f aca="false">IF(OR($D174="",$F174=""),"",IF($E174&gt;0,INDEX('R1. Tree Coefficients'!$F:$F,$F174+0)*($D174^INDEX('R1. Tree Coefficients'!$G:$G,$F174+0))*($E174^INDEX('R1. Tree Coefficients'!$H:$H,$F174+0)),INDEX('R1. Tree Coefficients'!$D:$D,$F174+0)*($D174^INDEX('R1. Tree Coefficients'!$E:$E,$F174+0))))</f>
        <v/>
      </c>
      <c r="I174" s="14" t="str">
        <f aca="false">IF(OR($D174="",$F174=""),"",IF($E174&gt;0,INDEX('R1. Tree Coefficients'!$F:$F,$F174+1)*($D174^INDEX('R1. Tree Coefficients'!$G:$G,$F174+1))*($E174^INDEX('R1. Tree Coefficients'!$H:$H,$F174+1)),INDEX('R1. Tree Coefficients'!$D:$D,$F174+1)*($D174^INDEX('R1. Tree Coefficients'!$E:$E,$F174+1))))</f>
        <v/>
      </c>
      <c r="J174" s="14" t="str">
        <f aca="false">IF(OR($D174="",$F174=""),"",IF($E174&gt;0,INDEX('R1. Tree Coefficients'!$F:$F,$F174+2)*($D174^INDEX('R1. Tree Coefficients'!$G:$G,$F174+2))*($E174^INDEX('R1. Tree Coefficients'!$H:$H,$F174+2)),INDEX('R1. Tree Coefficients'!$D:$D,$F174+2)*($D174^INDEX('R1. Tree Coefficients'!$E:$E,$F174+2))))</f>
        <v/>
      </c>
      <c r="K174" s="14" t="str">
        <f aca="false">IF(OR($D174="",$F174=""),"",IF($E174&gt;0,INDEX('R1. Tree Coefficients'!$F:$F,$F174+3)*($D174^INDEX('R1. Tree Coefficients'!$G:$G,$F174+3))*($E174^INDEX('R1. Tree Coefficients'!$H:$H,$F174+3)),INDEX('R1. Tree Coefficients'!$D:$D,$F174+3)*($D174^INDEX('R1. Tree Coefficients'!$E:$E,$F174+3))))</f>
        <v/>
      </c>
      <c r="L174" s="14" t="str">
        <f aca="false">IF($F174="","",IFERROR(SUM($H174:$K174),""))</f>
        <v/>
      </c>
      <c r="M174" s="14" t="str">
        <f aca="false">IF($F174="","",INDEX('R1. Tree Coefficients'!$J:$J,$F174))</f>
        <v/>
      </c>
      <c r="N174" s="14" t="str">
        <f aca="false">IF($L174="","",IF($M174="Deciduous",BGB_RS_DECIDUOUS_a*($L174^BGB_RS_DECIDUOUS_b),IF($M174="Conifers",BGB_RS_CONIFER*$L174,AVERAGE(BGB_RS_DECIDUOUS_a*($L174^BGB_RS_DECIDUOUS_b),BGB_RS_CONIFER*$L174))))</f>
        <v/>
      </c>
      <c r="O174" s="14" t="str">
        <f aca="false">IF($L174="","",$L174+$N174)</f>
        <v/>
      </c>
      <c r="P174" s="14" t="str">
        <f aca="false">IF($O174="","",$O174*CARBON_FRACTION_BIOMASS)</f>
        <v/>
      </c>
      <c r="Q174" s="14" t="str">
        <f aca="false">IF(AND($A174="",$C174=""),"",IF(AND($A174&lt;&gt;"",COUNTIF('1. Plot &amp; Site Log'!$A$5:$A$64,$A174)=0),"Plot ID not in Plot &amp; Site Log — this tree will not reach the summary. ","")&amp;IF($A174="","No Plot ID. ","")&amp;IF(AND($C174&lt;&gt;"",$F174=""),"Species not in the coefficient list — check the spelling against R1. ","")&amp;IF($D174="","No DBH — nothing can be calculated. ","")&amp;IF(AND($D174&lt;&gt;"",$D174&gt;QC_DBH_MAX_CM),"DBH above "&amp;QC_DBH_MAX_CM&amp;" cm — check for a transcription error. ","")&amp;IF($M174="All","Generic species: no published root:shoot applies, so below-ground biomass is the mean of the deciduous and conifer relationships. Choose a species, or Deciduous/Conifers, if you can. ","")&amp;IF(AND($O174&lt;&gt;"",$O174&gt;0,OR($N174/$O174&lt;BGB_FRACTION_MIN,$N174/$O174&gt;BGB_FRACTION_MAX)),"Below-ground share is "&amp;TEXT($N174/$O174,"0%")&amp;", outside the 18–30% the Trees guide describes. ",""))</f>
        <v/>
      </c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4" t="str">
        <f aca="false">IF($C175="","",IFERROR(12+(MATCH($C175,'R1. Tree Coefficients'!$L$12:$L$53,0)-1)*4,""))</f>
        <v/>
      </c>
      <c r="G175" s="14" t="str">
        <f aca="false">IF($F175="","",IF(AND($E175&lt;&gt;"",$E175&gt;0),"DBH + height","DBH only"))</f>
        <v/>
      </c>
      <c r="H175" s="14" t="str">
        <f aca="false">IF(OR($D175="",$F175=""),"",IF($E175&gt;0,INDEX('R1. Tree Coefficients'!$F:$F,$F175+0)*($D175^INDEX('R1. Tree Coefficients'!$G:$G,$F175+0))*($E175^INDEX('R1. Tree Coefficients'!$H:$H,$F175+0)),INDEX('R1. Tree Coefficients'!$D:$D,$F175+0)*($D175^INDEX('R1. Tree Coefficients'!$E:$E,$F175+0))))</f>
        <v/>
      </c>
      <c r="I175" s="14" t="str">
        <f aca="false">IF(OR($D175="",$F175=""),"",IF($E175&gt;0,INDEX('R1. Tree Coefficients'!$F:$F,$F175+1)*($D175^INDEX('R1. Tree Coefficients'!$G:$G,$F175+1))*($E175^INDEX('R1. Tree Coefficients'!$H:$H,$F175+1)),INDEX('R1. Tree Coefficients'!$D:$D,$F175+1)*($D175^INDEX('R1. Tree Coefficients'!$E:$E,$F175+1))))</f>
        <v/>
      </c>
      <c r="J175" s="14" t="str">
        <f aca="false">IF(OR($D175="",$F175=""),"",IF($E175&gt;0,INDEX('R1. Tree Coefficients'!$F:$F,$F175+2)*($D175^INDEX('R1. Tree Coefficients'!$G:$G,$F175+2))*($E175^INDEX('R1. Tree Coefficients'!$H:$H,$F175+2)),INDEX('R1. Tree Coefficients'!$D:$D,$F175+2)*($D175^INDEX('R1. Tree Coefficients'!$E:$E,$F175+2))))</f>
        <v/>
      </c>
      <c r="K175" s="14" t="str">
        <f aca="false">IF(OR($D175="",$F175=""),"",IF($E175&gt;0,INDEX('R1. Tree Coefficients'!$F:$F,$F175+3)*($D175^INDEX('R1. Tree Coefficients'!$G:$G,$F175+3))*($E175^INDEX('R1. Tree Coefficients'!$H:$H,$F175+3)),INDEX('R1. Tree Coefficients'!$D:$D,$F175+3)*($D175^INDEX('R1. Tree Coefficients'!$E:$E,$F175+3))))</f>
        <v/>
      </c>
      <c r="L175" s="14" t="str">
        <f aca="false">IF($F175="","",IFERROR(SUM($H175:$K175),""))</f>
        <v/>
      </c>
      <c r="M175" s="14" t="str">
        <f aca="false">IF($F175="","",INDEX('R1. Tree Coefficients'!$J:$J,$F175))</f>
        <v/>
      </c>
      <c r="N175" s="14" t="str">
        <f aca="false">IF($L175="","",IF($M175="Deciduous",BGB_RS_DECIDUOUS_a*($L175^BGB_RS_DECIDUOUS_b),IF($M175="Conifers",BGB_RS_CONIFER*$L175,AVERAGE(BGB_RS_DECIDUOUS_a*($L175^BGB_RS_DECIDUOUS_b),BGB_RS_CONIFER*$L175))))</f>
        <v/>
      </c>
      <c r="O175" s="14" t="str">
        <f aca="false">IF($L175="","",$L175+$N175)</f>
        <v/>
      </c>
      <c r="P175" s="14" t="str">
        <f aca="false">IF($O175="","",$O175*CARBON_FRACTION_BIOMASS)</f>
        <v/>
      </c>
      <c r="Q175" s="14" t="str">
        <f aca="false">IF(AND($A175="",$C175=""),"",IF(AND($A175&lt;&gt;"",COUNTIF('1. Plot &amp; Site Log'!$A$5:$A$64,$A175)=0),"Plot ID not in Plot &amp; Site Log — this tree will not reach the summary. ","")&amp;IF($A175="","No Plot ID. ","")&amp;IF(AND($C175&lt;&gt;"",$F175=""),"Species not in the coefficient list — check the spelling against R1. ","")&amp;IF($D175="","No DBH — nothing can be calculated. ","")&amp;IF(AND($D175&lt;&gt;"",$D175&gt;QC_DBH_MAX_CM),"DBH above "&amp;QC_DBH_MAX_CM&amp;" cm — check for a transcription error. ","")&amp;IF($M175="All","Generic species: no published root:shoot applies, so below-ground biomass is the mean of the deciduous and conifer relationships. Choose a species, or Deciduous/Conifers, if you can. ","")&amp;IF(AND($O175&lt;&gt;"",$O175&gt;0,OR($N175/$O175&lt;BGB_FRACTION_MIN,$N175/$O175&gt;BGB_FRACTION_MAX)),"Below-ground share is "&amp;TEXT($N175/$O175,"0%")&amp;", outside the 18–30% the Trees guide describes. ",""))</f>
        <v/>
      </c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4" t="str">
        <f aca="false">IF($C176="","",IFERROR(12+(MATCH($C176,'R1. Tree Coefficients'!$L$12:$L$53,0)-1)*4,""))</f>
        <v/>
      </c>
      <c r="G176" s="14" t="str">
        <f aca="false">IF($F176="","",IF(AND($E176&lt;&gt;"",$E176&gt;0),"DBH + height","DBH only"))</f>
        <v/>
      </c>
      <c r="H176" s="14" t="str">
        <f aca="false">IF(OR($D176="",$F176=""),"",IF($E176&gt;0,INDEX('R1. Tree Coefficients'!$F:$F,$F176+0)*($D176^INDEX('R1. Tree Coefficients'!$G:$G,$F176+0))*($E176^INDEX('R1. Tree Coefficients'!$H:$H,$F176+0)),INDEX('R1. Tree Coefficients'!$D:$D,$F176+0)*($D176^INDEX('R1. Tree Coefficients'!$E:$E,$F176+0))))</f>
        <v/>
      </c>
      <c r="I176" s="14" t="str">
        <f aca="false">IF(OR($D176="",$F176=""),"",IF($E176&gt;0,INDEX('R1. Tree Coefficients'!$F:$F,$F176+1)*($D176^INDEX('R1. Tree Coefficients'!$G:$G,$F176+1))*($E176^INDEX('R1. Tree Coefficients'!$H:$H,$F176+1)),INDEX('R1. Tree Coefficients'!$D:$D,$F176+1)*($D176^INDEX('R1. Tree Coefficients'!$E:$E,$F176+1))))</f>
        <v/>
      </c>
      <c r="J176" s="14" t="str">
        <f aca="false">IF(OR($D176="",$F176=""),"",IF($E176&gt;0,INDEX('R1. Tree Coefficients'!$F:$F,$F176+2)*($D176^INDEX('R1. Tree Coefficients'!$G:$G,$F176+2))*($E176^INDEX('R1. Tree Coefficients'!$H:$H,$F176+2)),INDEX('R1. Tree Coefficients'!$D:$D,$F176+2)*($D176^INDEX('R1. Tree Coefficients'!$E:$E,$F176+2))))</f>
        <v/>
      </c>
      <c r="K176" s="14" t="str">
        <f aca="false">IF(OR($D176="",$F176=""),"",IF($E176&gt;0,INDEX('R1. Tree Coefficients'!$F:$F,$F176+3)*($D176^INDEX('R1. Tree Coefficients'!$G:$G,$F176+3))*($E176^INDEX('R1. Tree Coefficients'!$H:$H,$F176+3)),INDEX('R1. Tree Coefficients'!$D:$D,$F176+3)*($D176^INDEX('R1. Tree Coefficients'!$E:$E,$F176+3))))</f>
        <v/>
      </c>
      <c r="L176" s="14" t="str">
        <f aca="false">IF($F176="","",IFERROR(SUM($H176:$K176),""))</f>
        <v/>
      </c>
      <c r="M176" s="14" t="str">
        <f aca="false">IF($F176="","",INDEX('R1. Tree Coefficients'!$J:$J,$F176))</f>
        <v/>
      </c>
      <c r="N176" s="14" t="str">
        <f aca="false">IF($L176="","",IF($M176="Deciduous",BGB_RS_DECIDUOUS_a*($L176^BGB_RS_DECIDUOUS_b),IF($M176="Conifers",BGB_RS_CONIFER*$L176,AVERAGE(BGB_RS_DECIDUOUS_a*($L176^BGB_RS_DECIDUOUS_b),BGB_RS_CONIFER*$L176))))</f>
        <v/>
      </c>
      <c r="O176" s="14" t="str">
        <f aca="false">IF($L176="","",$L176+$N176)</f>
        <v/>
      </c>
      <c r="P176" s="14" t="str">
        <f aca="false">IF($O176="","",$O176*CARBON_FRACTION_BIOMASS)</f>
        <v/>
      </c>
      <c r="Q176" s="14" t="str">
        <f aca="false">IF(AND($A176="",$C176=""),"",IF(AND($A176&lt;&gt;"",COUNTIF('1. Plot &amp; Site Log'!$A$5:$A$64,$A176)=0),"Plot ID not in Plot &amp; Site Log — this tree will not reach the summary. ","")&amp;IF($A176="","No Plot ID. ","")&amp;IF(AND($C176&lt;&gt;"",$F176=""),"Species not in the coefficient list — check the spelling against R1. ","")&amp;IF($D176="","No DBH — nothing can be calculated. ","")&amp;IF(AND($D176&lt;&gt;"",$D176&gt;QC_DBH_MAX_CM),"DBH above "&amp;QC_DBH_MAX_CM&amp;" cm — check for a transcription error. ","")&amp;IF($M176="All","Generic species: no published root:shoot applies, so below-ground biomass is the mean of the deciduous and conifer relationships. Choose a species, or Deciduous/Conifers, if you can. ","")&amp;IF(AND($O176&lt;&gt;"",$O176&gt;0,OR($N176/$O176&lt;BGB_FRACTION_MIN,$N176/$O176&gt;BGB_FRACTION_MAX)),"Below-ground share is "&amp;TEXT($N176/$O176,"0%")&amp;", outside the 18–30% the Trees guide describes. ",""))</f>
        <v/>
      </c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4" t="str">
        <f aca="false">IF($C177="","",IFERROR(12+(MATCH($C177,'R1. Tree Coefficients'!$L$12:$L$53,0)-1)*4,""))</f>
        <v/>
      </c>
      <c r="G177" s="14" t="str">
        <f aca="false">IF($F177="","",IF(AND($E177&lt;&gt;"",$E177&gt;0),"DBH + height","DBH only"))</f>
        <v/>
      </c>
      <c r="H177" s="14" t="str">
        <f aca="false">IF(OR($D177="",$F177=""),"",IF($E177&gt;0,INDEX('R1. Tree Coefficients'!$F:$F,$F177+0)*($D177^INDEX('R1. Tree Coefficients'!$G:$G,$F177+0))*($E177^INDEX('R1. Tree Coefficients'!$H:$H,$F177+0)),INDEX('R1. Tree Coefficients'!$D:$D,$F177+0)*($D177^INDEX('R1. Tree Coefficients'!$E:$E,$F177+0))))</f>
        <v/>
      </c>
      <c r="I177" s="14" t="str">
        <f aca="false">IF(OR($D177="",$F177=""),"",IF($E177&gt;0,INDEX('R1. Tree Coefficients'!$F:$F,$F177+1)*($D177^INDEX('R1. Tree Coefficients'!$G:$G,$F177+1))*($E177^INDEX('R1. Tree Coefficients'!$H:$H,$F177+1)),INDEX('R1. Tree Coefficients'!$D:$D,$F177+1)*($D177^INDEX('R1. Tree Coefficients'!$E:$E,$F177+1))))</f>
        <v/>
      </c>
      <c r="J177" s="14" t="str">
        <f aca="false">IF(OR($D177="",$F177=""),"",IF($E177&gt;0,INDEX('R1. Tree Coefficients'!$F:$F,$F177+2)*($D177^INDEX('R1. Tree Coefficients'!$G:$G,$F177+2))*($E177^INDEX('R1. Tree Coefficients'!$H:$H,$F177+2)),INDEX('R1. Tree Coefficients'!$D:$D,$F177+2)*($D177^INDEX('R1. Tree Coefficients'!$E:$E,$F177+2))))</f>
        <v/>
      </c>
      <c r="K177" s="14" t="str">
        <f aca="false">IF(OR($D177="",$F177=""),"",IF($E177&gt;0,INDEX('R1. Tree Coefficients'!$F:$F,$F177+3)*($D177^INDEX('R1. Tree Coefficients'!$G:$G,$F177+3))*($E177^INDEX('R1. Tree Coefficients'!$H:$H,$F177+3)),INDEX('R1. Tree Coefficients'!$D:$D,$F177+3)*($D177^INDEX('R1. Tree Coefficients'!$E:$E,$F177+3))))</f>
        <v/>
      </c>
      <c r="L177" s="14" t="str">
        <f aca="false">IF($F177="","",IFERROR(SUM($H177:$K177),""))</f>
        <v/>
      </c>
      <c r="M177" s="14" t="str">
        <f aca="false">IF($F177="","",INDEX('R1. Tree Coefficients'!$J:$J,$F177))</f>
        <v/>
      </c>
      <c r="N177" s="14" t="str">
        <f aca="false">IF($L177="","",IF($M177="Deciduous",BGB_RS_DECIDUOUS_a*($L177^BGB_RS_DECIDUOUS_b),IF($M177="Conifers",BGB_RS_CONIFER*$L177,AVERAGE(BGB_RS_DECIDUOUS_a*($L177^BGB_RS_DECIDUOUS_b),BGB_RS_CONIFER*$L177))))</f>
        <v/>
      </c>
      <c r="O177" s="14" t="str">
        <f aca="false">IF($L177="","",$L177+$N177)</f>
        <v/>
      </c>
      <c r="P177" s="14" t="str">
        <f aca="false">IF($O177="","",$O177*CARBON_FRACTION_BIOMASS)</f>
        <v/>
      </c>
      <c r="Q177" s="14" t="str">
        <f aca="false">IF(AND($A177="",$C177=""),"",IF(AND($A177&lt;&gt;"",COUNTIF('1. Plot &amp; Site Log'!$A$5:$A$64,$A177)=0),"Plot ID not in Plot &amp; Site Log — this tree will not reach the summary. ","")&amp;IF($A177="","No Plot ID. ","")&amp;IF(AND($C177&lt;&gt;"",$F177=""),"Species not in the coefficient list — check the spelling against R1. ","")&amp;IF($D177="","No DBH — nothing can be calculated. ","")&amp;IF(AND($D177&lt;&gt;"",$D177&gt;QC_DBH_MAX_CM),"DBH above "&amp;QC_DBH_MAX_CM&amp;" cm — check for a transcription error. ","")&amp;IF($M177="All","Generic species: no published root:shoot applies, so below-ground biomass is the mean of the deciduous and conifer relationships. Choose a species, or Deciduous/Conifers, if you can. ","")&amp;IF(AND($O177&lt;&gt;"",$O177&gt;0,OR($N177/$O177&lt;BGB_FRACTION_MIN,$N177/$O177&gt;BGB_FRACTION_MAX)),"Below-ground share is "&amp;TEXT($N177/$O177,"0%")&amp;", outside the 18–30% the Trees guide describes. ",""))</f>
        <v/>
      </c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4" t="str">
        <f aca="false">IF($C178="","",IFERROR(12+(MATCH($C178,'R1. Tree Coefficients'!$L$12:$L$53,0)-1)*4,""))</f>
        <v/>
      </c>
      <c r="G178" s="14" t="str">
        <f aca="false">IF($F178="","",IF(AND($E178&lt;&gt;"",$E178&gt;0),"DBH + height","DBH only"))</f>
        <v/>
      </c>
      <c r="H178" s="14" t="str">
        <f aca="false">IF(OR($D178="",$F178=""),"",IF($E178&gt;0,INDEX('R1. Tree Coefficients'!$F:$F,$F178+0)*($D178^INDEX('R1. Tree Coefficients'!$G:$G,$F178+0))*($E178^INDEX('R1. Tree Coefficients'!$H:$H,$F178+0)),INDEX('R1. Tree Coefficients'!$D:$D,$F178+0)*($D178^INDEX('R1. Tree Coefficients'!$E:$E,$F178+0))))</f>
        <v/>
      </c>
      <c r="I178" s="14" t="str">
        <f aca="false">IF(OR($D178="",$F178=""),"",IF($E178&gt;0,INDEX('R1. Tree Coefficients'!$F:$F,$F178+1)*($D178^INDEX('R1. Tree Coefficients'!$G:$G,$F178+1))*($E178^INDEX('R1. Tree Coefficients'!$H:$H,$F178+1)),INDEX('R1. Tree Coefficients'!$D:$D,$F178+1)*($D178^INDEX('R1. Tree Coefficients'!$E:$E,$F178+1))))</f>
        <v/>
      </c>
      <c r="J178" s="14" t="str">
        <f aca="false">IF(OR($D178="",$F178=""),"",IF($E178&gt;0,INDEX('R1. Tree Coefficients'!$F:$F,$F178+2)*($D178^INDEX('R1. Tree Coefficients'!$G:$G,$F178+2))*($E178^INDEX('R1. Tree Coefficients'!$H:$H,$F178+2)),INDEX('R1. Tree Coefficients'!$D:$D,$F178+2)*($D178^INDEX('R1. Tree Coefficients'!$E:$E,$F178+2))))</f>
        <v/>
      </c>
      <c r="K178" s="14" t="str">
        <f aca="false">IF(OR($D178="",$F178=""),"",IF($E178&gt;0,INDEX('R1. Tree Coefficients'!$F:$F,$F178+3)*($D178^INDEX('R1. Tree Coefficients'!$G:$G,$F178+3))*($E178^INDEX('R1. Tree Coefficients'!$H:$H,$F178+3)),INDEX('R1. Tree Coefficients'!$D:$D,$F178+3)*($D178^INDEX('R1. Tree Coefficients'!$E:$E,$F178+3))))</f>
        <v/>
      </c>
      <c r="L178" s="14" t="str">
        <f aca="false">IF($F178="","",IFERROR(SUM($H178:$K178),""))</f>
        <v/>
      </c>
      <c r="M178" s="14" t="str">
        <f aca="false">IF($F178="","",INDEX('R1. Tree Coefficients'!$J:$J,$F178))</f>
        <v/>
      </c>
      <c r="N178" s="14" t="str">
        <f aca="false">IF($L178="","",IF($M178="Deciduous",BGB_RS_DECIDUOUS_a*($L178^BGB_RS_DECIDUOUS_b),IF($M178="Conifers",BGB_RS_CONIFER*$L178,AVERAGE(BGB_RS_DECIDUOUS_a*($L178^BGB_RS_DECIDUOUS_b),BGB_RS_CONIFER*$L178))))</f>
        <v/>
      </c>
      <c r="O178" s="14" t="str">
        <f aca="false">IF($L178="","",$L178+$N178)</f>
        <v/>
      </c>
      <c r="P178" s="14" t="str">
        <f aca="false">IF($O178="","",$O178*CARBON_FRACTION_BIOMASS)</f>
        <v/>
      </c>
      <c r="Q178" s="14" t="str">
        <f aca="false">IF(AND($A178="",$C178=""),"",IF(AND($A178&lt;&gt;"",COUNTIF('1. Plot &amp; Site Log'!$A$5:$A$64,$A178)=0),"Plot ID not in Plot &amp; Site Log — this tree will not reach the summary. ","")&amp;IF($A178="","No Plot ID. ","")&amp;IF(AND($C178&lt;&gt;"",$F178=""),"Species not in the coefficient list — check the spelling against R1. ","")&amp;IF($D178="","No DBH — nothing can be calculated. ","")&amp;IF(AND($D178&lt;&gt;"",$D178&gt;QC_DBH_MAX_CM),"DBH above "&amp;QC_DBH_MAX_CM&amp;" cm — check for a transcription error. ","")&amp;IF($M178="All","Generic species: no published root:shoot applies, so below-ground biomass is the mean of the deciduous and conifer relationships. Choose a species, or Deciduous/Conifers, if you can. ","")&amp;IF(AND($O178&lt;&gt;"",$O178&gt;0,OR($N178/$O178&lt;BGB_FRACTION_MIN,$N178/$O178&gt;BGB_FRACTION_MAX)),"Below-ground share is "&amp;TEXT($N178/$O178,"0%")&amp;", outside the 18–30% the Trees guide describes. ",""))</f>
        <v/>
      </c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4" t="str">
        <f aca="false">IF($C179="","",IFERROR(12+(MATCH($C179,'R1. Tree Coefficients'!$L$12:$L$53,0)-1)*4,""))</f>
        <v/>
      </c>
      <c r="G179" s="14" t="str">
        <f aca="false">IF($F179="","",IF(AND($E179&lt;&gt;"",$E179&gt;0),"DBH + height","DBH only"))</f>
        <v/>
      </c>
      <c r="H179" s="14" t="str">
        <f aca="false">IF(OR($D179="",$F179=""),"",IF($E179&gt;0,INDEX('R1. Tree Coefficients'!$F:$F,$F179+0)*($D179^INDEX('R1. Tree Coefficients'!$G:$G,$F179+0))*($E179^INDEX('R1. Tree Coefficients'!$H:$H,$F179+0)),INDEX('R1. Tree Coefficients'!$D:$D,$F179+0)*($D179^INDEX('R1. Tree Coefficients'!$E:$E,$F179+0))))</f>
        <v/>
      </c>
      <c r="I179" s="14" t="str">
        <f aca="false">IF(OR($D179="",$F179=""),"",IF($E179&gt;0,INDEX('R1. Tree Coefficients'!$F:$F,$F179+1)*($D179^INDEX('R1. Tree Coefficients'!$G:$G,$F179+1))*($E179^INDEX('R1. Tree Coefficients'!$H:$H,$F179+1)),INDEX('R1. Tree Coefficients'!$D:$D,$F179+1)*($D179^INDEX('R1. Tree Coefficients'!$E:$E,$F179+1))))</f>
        <v/>
      </c>
      <c r="J179" s="14" t="str">
        <f aca="false">IF(OR($D179="",$F179=""),"",IF($E179&gt;0,INDEX('R1. Tree Coefficients'!$F:$F,$F179+2)*($D179^INDEX('R1. Tree Coefficients'!$G:$G,$F179+2))*($E179^INDEX('R1. Tree Coefficients'!$H:$H,$F179+2)),INDEX('R1. Tree Coefficients'!$D:$D,$F179+2)*($D179^INDEX('R1. Tree Coefficients'!$E:$E,$F179+2))))</f>
        <v/>
      </c>
      <c r="K179" s="14" t="str">
        <f aca="false">IF(OR($D179="",$F179=""),"",IF($E179&gt;0,INDEX('R1. Tree Coefficients'!$F:$F,$F179+3)*($D179^INDEX('R1. Tree Coefficients'!$G:$G,$F179+3))*($E179^INDEX('R1. Tree Coefficients'!$H:$H,$F179+3)),INDEX('R1. Tree Coefficients'!$D:$D,$F179+3)*($D179^INDEX('R1. Tree Coefficients'!$E:$E,$F179+3))))</f>
        <v/>
      </c>
      <c r="L179" s="14" t="str">
        <f aca="false">IF($F179="","",IFERROR(SUM($H179:$K179),""))</f>
        <v/>
      </c>
      <c r="M179" s="14" t="str">
        <f aca="false">IF($F179="","",INDEX('R1. Tree Coefficients'!$J:$J,$F179))</f>
        <v/>
      </c>
      <c r="N179" s="14" t="str">
        <f aca="false">IF($L179="","",IF($M179="Deciduous",BGB_RS_DECIDUOUS_a*($L179^BGB_RS_DECIDUOUS_b),IF($M179="Conifers",BGB_RS_CONIFER*$L179,AVERAGE(BGB_RS_DECIDUOUS_a*($L179^BGB_RS_DECIDUOUS_b),BGB_RS_CONIFER*$L179))))</f>
        <v/>
      </c>
      <c r="O179" s="14" t="str">
        <f aca="false">IF($L179="","",$L179+$N179)</f>
        <v/>
      </c>
      <c r="P179" s="14" t="str">
        <f aca="false">IF($O179="","",$O179*CARBON_FRACTION_BIOMASS)</f>
        <v/>
      </c>
      <c r="Q179" s="14" t="str">
        <f aca="false">IF(AND($A179="",$C179=""),"",IF(AND($A179&lt;&gt;"",COUNTIF('1. Plot &amp; Site Log'!$A$5:$A$64,$A179)=0),"Plot ID not in Plot &amp; Site Log — this tree will not reach the summary. ","")&amp;IF($A179="","No Plot ID. ","")&amp;IF(AND($C179&lt;&gt;"",$F179=""),"Species not in the coefficient list — check the spelling against R1. ","")&amp;IF($D179="","No DBH — nothing can be calculated. ","")&amp;IF(AND($D179&lt;&gt;"",$D179&gt;QC_DBH_MAX_CM),"DBH above "&amp;QC_DBH_MAX_CM&amp;" cm — check for a transcription error. ","")&amp;IF($M179="All","Generic species: no published root:shoot applies, so below-ground biomass is the mean of the deciduous and conifer relationships. Choose a species, or Deciduous/Conifers, if you can. ","")&amp;IF(AND($O179&lt;&gt;"",$O179&gt;0,OR($N179/$O179&lt;BGB_FRACTION_MIN,$N179/$O179&gt;BGB_FRACTION_MAX)),"Below-ground share is "&amp;TEXT($N179/$O179,"0%")&amp;", outside the 18–30% the Trees guide describes. ",""))</f>
        <v/>
      </c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4" t="str">
        <f aca="false">IF($C180="","",IFERROR(12+(MATCH($C180,'R1. Tree Coefficients'!$L$12:$L$53,0)-1)*4,""))</f>
        <v/>
      </c>
      <c r="G180" s="14" t="str">
        <f aca="false">IF($F180="","",IF(AND($E180&lt;&gt;"",$E180&gt;0),"DBH + height","DBH only"))</f>
        <v/>
      </c>
      <c r="H180" s="14" t="str">
        <f aca="false">IF(OR($D180="",$F180=""),"",IF($E180&gt;0,INDEX('R1. Tree Coefficients'!$F:$F,$F180+0)*($D180^INDEX('R1. Tree Coefficients'!$G:$G,$F180+0))*($E180^INDEX('R1. Tree Coefficients'!$H:$H,$F180+0)),INDEX('R1. Tree Coefficients'!$D:$D,$F180+0)*($D180^INDEX('R1. Tree Coefficients'!$E:$E,$F180+0))))</f>
        <v/>
      </c>
      <c r="I180" s="14" t="str">
        <f aca="false">IF(OR($D180="",$F180=""),"",IF($E180&gt;0,INDEX('R1. Tree Coefficients'!$F:$F,$F180+1)*($D180^INDEX('R1. Tree Coefficients'!$G:$G,$F180+1))*($E180^INDEX('R1. Tree Coefficients'!$H:$H,$F180+1)),INDEX('R1. Tree Coefficients'!$D:$D,$F180+1)*($D180^INDEX('R1. Tree Coefficients'!$E:$E,$F180+1))))</f>
        <v/>
      </c>
      <c r="J180" s="14" t="str">
        <f aca="false">IF(OR($D180="",$F180=""),"",IF($E180&gt;0,INDEX('R1. Tree Coefficients'!$F:$F,$F180+2)*($D180^INDEX('R1. Tree Coefficients'!$G:$G,$F180+2))*($E180^INDEX('R1. Tree Coefficients'!$H:$H,$F180+2)),INDEX('R1. Tree Coefficients'!$D:$D,$F180+2)*($D180^INDEX('R1. Tree Coefficients'!$E:$E,$F180+2))))</f>
        <v/>
      </c>
      <c r="K180" s="14" t="str">
        <f aca="false">IF(OR($D180="",$F180=""),"",IF($E180&gt;0,INDEX('R1. Tree Coefficients'!$F:$F,$F180+3)*($D180^INDEX('R1. Tree Coefficients'!$G:$G,$F180+3))*($E180^INDEX('R1. Tree Coefficients'!$H:$H,$F180+3)),INDEX('R1. Tree Coefficients'!$D:$D,$F180+3)*($D180^INDEX('R1. Tree Coefficients'!$E:$E,$F180+3))))</f>
        <v/>
      </c>
      <c r="L180" s="14" t="str">
        <f aca="false">IF($F180="","",IFERROR(SUM($H180:$K180),""))</f>
        <v/>
      </c>
      <c r="M180" s="14" t="str">
        <f aca="false">IF($F180="","",INDEX('R1. Tree Coefficients'!$J:$J,$F180))</f>
        <v/>
      </c>
      <c r="N180" s="14" t="str">
        <f aca="false">IF($L180="","",IF($M180="Deciduous",BGB_RS_DECIDUOUS_a*($L180^BGB_RS_DECIDUOUS_b),IF($M180="Conifers",BGB_RS_CONIFER*$L180,AVERAGE(BGB_RS_DECIDUOUS_a*($L180^BGB_RS_DECIDUOUS_b),BGB_RS_CONIFER*$L180))))</f>
        <v/>
      </c>
      <c r="O180" s="14" t="str">
        <f aca="false">IF($L180="","",$L180+$N180)</f>
        <v/>
      </c>
      <c r="P180" s="14" t="str">
        <f aca="false">IF($O180="","",$O180*CARBON_FRACTION_BIOMASS)</f>
        <v/>
      </c>
      <c r="Q180" s="14" t="str">
        <f aca="false">IF(AND($A180="",$C180=""),"",IF(AND($A180&lt;&gt;"",COUNTIF('1. Plot &amp; Site Log'!$A$5:$A$64,$A180)=0),"Plot ID not in Plot &amp; Site Log — this tree will not reach the summary. ","")&amp;IF($A180="","No Plot ID. ","")&amp;IF(AND($C180&lt;&gt;"",$F180=""),"Species not in the coefficient list — check the spelling against R1. ","")&amp;IF($D180="","No DBH — nothing can be calculated. ","")&amp;IF(AND($D180&lt;&gt;"",$D180&gt;QC_DBH_MAX_CM),"DBH above "&amp;QC_DBH_MAX_CM&amp;" cm — check for a transcription error. ","")&amp;IF($M180="All","Generic species: no published root:shoot applies, so below-ground biomass is the mean of the deciduous and conifer relationships. Choose a species, or Deciduous/Conifers, if you can. ","")&amp;IF(AND($O180&lt;&gt;"",$O180&gt;0,OR($N180/$O180&lt;BGB_FRACTION_MIN,$N180/$O180&gt;BGB_FRACTION_MAX)),"Below-ground share is "&amp;TEXT($N180/$O180,"0%")&amp;", outside the 18–30% the Trees guide describes. ",""))</f>
        <v/>
      </c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4" t="str">
        <f aca="false">IF($C181="","",IFERROR(12+(MATCH($C181,'R1. Tree Coefficients'!$L$12:$L$53,0)-1)*4,""))</f>
        <v/>
      </c>
      <c r="G181" s="14" t="str">
        <f aca="false">IF($F181="","",IF(AND($E181&lt;&gt;"",$E181&gt;0),"DBH + height","DBH only"))</f>
        <v/>
      </c>
      <c r="H181" s="14" t="str">
        <f aca="false">IF(OR($D181="",$F181=""),"",IF($E181&gt;0,INDEX('R1. Tree Coefficients'!$F:$F,$F181+0)*($D181^INDEX('R1. Tree Coefficients'!$G:$G,$F181+0))*($E181^INDEX('R1. Tree Coefficients'!$H:$H,$F181+0)),INDEX('R1. Tree Coefficients'!$D:$D,$F181+0)*($D181^INDEX('R1. Tree Coefficients'!$E:$E,$F181+0))))</f>
        <v/>
      </c>
      <c r="I181" s="14" t="str">
        <f aca="false">IF(OR($D181="",$F181=""),"",IF($E181&gt;0,INDEX('R1. Tree Coefficients'!$F:$F,$F181+1)*($D181^INDEX('R1. Tree Coefficients'!$G:$G,$F181+1))*($E181^INDEX('R1. Tree Coefficients'!$H:$H,$F181+1)),INDEX('R1. Tree Coefficients'!$D:$D,$F181+1)*($D181^INDEX('R1. Tree Coefficients'!$E:$E,$F181+1))))</f>
        <v/>
      </c>
      <c r="J181" s="14" t="str">
        <f aca="false">IF(OR($D181="",$F181=""),"",IF($E181&gt;0,INDEX('R1. Tree Coefficients'!$F:$F,$F181+2)*($D181^INDEX('R1. Tree Coefficients'!$G:$G,$F181+2))*($E181^INDEX('R1. Tree Coefficients'!$H:$H,$F181+2)),INDEX('R1. Tree Coefficients'!$D:$D,$F181+2)*($D181^INDEX('R1. Tree Coefficients'!$E:$E,$F181+2))))</f>
        <v/>
      </c>
      <c r="K181" s="14" t="str">
        <f aca="false">IF(OR($D181="",$F181=""),"",IF($E181&gt;0,INDEX('R1. Tree Coefficients'!$F:$F,$F181+3)*($D181^INDEX('R1. Tree Coefficients'!$G:$G,$F181+3))*($E181^INDEX('R1. Tree Coefficients'!$H:$H,$F181+3)),INDEX('R1. Tree Coefficients'!$D:$D,$F181+3)*($D181^INDEX('R1. Tree Coefficients'!$E:$E,$F181+3))))</f>
        <v/>
      </c>
      <c r="L181" s="14" t="str">
        <f aca="false">IF($F181="","",IFERROR(SUM($H181:$K181),""))</f>
        <v/>
      </c>
      <c r="M181" s="14" t="str">
        <f aca="false">IF($F181="","",INDEX('R1. Tree Coefficients'!$J:$J,$F181))</f>
        <v/>
      </c>
      <c r="N181" s="14" t="str">
        <f aca="false">IF($L181="","",IF($M181="Deciduous",BGB_RS_DECIDUOUS_a*($L181^BGB_RS_DECIDUOUS_b),IF($M181="Conifers",BGB_RS_CONIFER*$L181,AVERAGE(BGB_RS_DECIDUOUS_a*($L181^BGB_RS_DECIDUOUS_b),BGB_RS_CONIFER*$L181))))</f>
        <v/>
      </c>
      <c r="O181" s="14" t="str">
        <f aca="false">IF($L181="","",$L181+$N181)</f>
        <v/>
      </c>
      <c r="P181" s="14" t="str">
        <f aca="false">IF($O181="","",$O181*CARBON_FRACTION_BIOMASS)</f>
        <v/>
      </c>
      <c r="Q181" s="14" t="str">
        <f aca="false">IF(AND($A181="",$C181=""),"",IF(AND($A181&lt;&gt;"",COUNTIF('1. Plot &amp; Site Log'!$A$5:$A$64,$A181)=0),"Plot ID not in Plot &amp; Site Log — this tree will not reach the summary. ","")&amp;IF($A181="","No Plot ID. ","")&amp;IF(AND($C181&lt;&gt;"",$F181=""),"Species not in the coefficient list — check the spelling against R1. ","")&amp;IF($D181="","No DBH — nothing can be calculated. ","")&amp;IF(AND($D181&lt;&gt;"",$D181&gt;QC_DBH_MAX_CM),"DBH above "&amp;QC_DBH_MAX_CM&amp;" cm — check for a transcription error. ","")&amp;IF($M181="All","Generic species: no published root:shoot applies, so below-ground biomass is the mean of the deciduous and conifer relationships. Choose a species, or Deciduous/Conifers, if you can. ","")&amp;IF(AND($O181&lt;&gt;"",$O181&gt;0,OR($N181/$O181&lt;BGB_FRACTION_MIN,$N181/$O181&gt;BGB_FRACTION_MAX)),"Below-ground share is "&amp;TEXT($N181/$O181,"0%")&amp;", outside the 18–30% the Trees guide describes. ",""))</f>
        <v/>
      </c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4" t="str">
        <f aca="false">IF($C182="","",IFERROR(12+(MATCH($C182,'R1. Tree Coefficients'!$L$12:$L$53,0)-1)*4,""))</f>
        <v/>
      </c>
      <c r="G182" s="14" t="str">
        <f aca="false">IF($F182="","",IF(AND($E182&lt;&gt;"",$E182&gt;0),"DBH + height","DBH only"))</f>
        <v/>
      </c>
      <c r="H182" s="14" t="str">
        <f aca="false">IF(OR($D182="",$F182=""),"",IF($E182&gt;0,INDEX('R1. Tree Coefficients'!$F:$F,$F182+0)*($D182^INDEX('R1. Tree Coefficients'!$G:$G,$F182+0))*($E182^INDEX('R1. Tree Coefficients'!$H:$H,$F182+0)),INDEX('R1. Tree Coefficients'!$D:$D,$F182+0)*($D182^INDEX('R1. Tree Coefficients'!$E:$E,$F182+0))))</f>
        <v/>
      </c>
      <c r="I182" s="14" t="str">
        <f aca="false">IF(OR($D182="",$F182=""),"",IF($E182&gt;0,INDEX('R1. Tree Coefficients'!$F:$F,$F182+1)*($D182^INDEX('R1. Tree Coefficients'!$G:$G,$F182+1))*($E182^INDEX('R1. Tree Coefficients'!$H:$H,$F182+1)),INDEX('R1. Tree Coefficients'!$D:$D,$F182+1)*($D182^INDEX('R1. Tree Coefficients'!$E:$E,$F182+1))))</f>
        <v/>
      </c>
      <c r="J182" s="14" t="str">
        <f aca="false">IF(OR($D182="",$F182=""),"",IF($E182&gt;0,INDEX('R1. Tree Coefficients'!$F:$F,$F182+2)*($D182^INDEX('R1. Tree Coefficients'!$G:$G,$F182+2))*($E182^INDEX('R1. Tree Coefficients'!$H:$H,$F182+2)),INDEX('R1. Tree Coefficients'!$D:$D,$F182+2)*($D182^INDEX('R1. Tree Coefficients'!$E:$E,$F182+2))))</f>
        <v/>
      </c>
      <c r="K182" s="14" t="str">
        <f aca="false">IF(OR($D182="",$F182=""),"",IF($E182&gt;0,INDEX('R1. Tree Coefficients'!$F:$F,$F182+3)*($D182^INDEX('R1. Tree Coefficients'!$G:$G,$F182+3))*($E182^INDEX('R1. Tree Coefficients'!$H:$H,$F182+3)),INDEX('R1. Tree Coefficients'!$D:$D,$F182+3)*($D182^INDEX('R1. Tree Coefficients'!$E:$E,$F182+3))))</f>
        <v/>
      </c>
      <c r="L182" s="14" t="str">
        <f aca="false">IF($F182="","",IFERROR(SUM($H182:$K182),""))</f>
        <v/>
      </c>
      <c r="M182" s="14" t="str">
        <f aca="false">IF($F182="","",INDEX('R1. Tree Coefficients'!$J:$J,$F182))</f>
        <v/>
      </c>
      <c r="N182" s="14" t="str">
        <f aca="false">IF($L182="","",IF($M182="Deciduous",BGB_RS_DECIDUOUS_a*($L182^BGB_RS_DECIDUOUS_b),IF($M182="Conifers",BGB_RS_CONIFER*$L182,AVERAGE(BGB_RS_DECIDUOUS_a*($L182^BGB_RS_DECIDUOUS_b),BGB_RS_CONIFER*$L182))))</f>
        <v/>
      </c>
      <c r="O182" s="14" t="str">
        <f aca="false">IF($L182="","",$L182+$N182)</f>
        <v/>
      </c>
      <c r="P182" s="14" t="str">
        <f aca="false">IF($O182="","",$O182*CARBON_FRACTION_BIOMASS)</f>
        <v/>
      </c>
      <c r="Q182" s="14" t="str">
        <f aca="false">IF(AND($A182="",$C182=""),"",IF(AND($A182&lt;&gt;"",COUNTIF('1. Plot &amp; Site Log'!$A$5:$A$64,$A182)=0),"Plot ID not in Plot &amp; Site Log — this tree will not reach the summary. ","")&amp;IF($A182="","No Plot ID. ","")&amp;IF(AND($C182&lt;&gt;"",$F182=""),"Species not in the coefficient list — check the spelling against R1. ","")&amp;IF($D182="","No DBH — nothing can be calculated. ","")&amp;IF(AND($D182&lt;&gt;"",$D182&gt;QC_DBH_MAX_CM),"DBH above "&amp;QC_DBH_MAX_CM&amp;" cm — check for a transcription error. ","")&amp;IF($M182="All","Generic species: no published root:shoot applies, so below-ground biomass is the mean of the deciduous and conifer relationships. Choose a species, or Deciduous/Conifers, if you can. ","")&amp;IF(AND($O182&lt;&gt;"",$O182&gt;0,OR($N182/$O182&lt;BGB_FRACTION_MIN,$N182/$O182&gt;BGB_FRACTION_MAX)),"Below-ground share is "&amp;TEXT($N182/$O182,"0%")&amp;", outside the 18–30% the Trees guide describes. ",""))</f>
        <v/>
      </c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4" t="str">
        <f aca="false">IF($C183="","",IFERROR(12+(MATCH($C183,'R1. Tree Coefficients'!$L$12:$L$53,0)-1)*4,""))</f>
        <v/>
      </c>
      <c r="G183" s="14" t="str">
        <f aca="false">IF($F183="","",IF(AND($E183&lt;&gt;"",$E183&gt;0),"DBH + height","DBH only"))</f>
        <v/>
      </c>
      <c r="H183" s="14" t="str">
        <f aca="false">IF(OR($D183="",$F183=""),"",IF($E183&gt;0,INDEX('R1. Tree Coefficients'!$F:$F,$F183+0)*($D183^INDEX('R1. Tree Coefficients'!$G:$G,$F183+0))*($E183^INDEX('R1. Tree Coefficients'!$H:$H,$F183+0)),INDEX('R1. Tree Coefficients'!$D:$D,$F183+0)*($D183^INDEX('R1. Tree Coefficients'!$E:$E,$F183+0))))</f>
        <v/>
      </c>
      <c r="I183" s="14" t="str">
        <f aca="false">IF(OR($D183="",$F183=""),"",IF($E183&gt;0,INDEX('R1. Tree Coefficients'!$F:$F,$F183+1)*($D183^INDEX('R1. Tree Coefficients'!$G:$G,$F183+1))*($E183^INDEX('R1. Tree Coefficients'!$H:$H,$F183+1)),INDEX('R1. Tree Coefficients'!$D:$D,$F183+1)*($D183^INDEX('R1. Tree Coefficients'!$E:$E,$F183+1))))</f>
        <v/>
      </c>
      <c r="J183" s="14" t="str">
        <f aca="false">IF(OR($D183="",$F183=""),"",IF($E183&gt;0,INDEX('R1. Tree Coefficients'!$F:$F,$F183+2)*($D183^INDEX('R1. Tree Coefficients'!$G:$G,$F183+2))*($E183^INDEX('R1. Tree Coefficients'!$H:$H,$F183+2)),INDEX('R1. Tree Coefficients'!$D:$D,$F183+2)*($D183^INDEX('R1. Tree Coefficients'!$E:$E,$F183+2))))</f>
        <v/>
      </c>
      <c r="K183" s="14" t="str">
        <f aca="false">IF(OR($D183="",$F183=""),"",IF($E183&gt;0,INDEX('R1. Tree Coefficients'!$F:$F,$F183+3)*($D183^INDEX('R1. Tree Coefficients'!$G:$G,$F183+3))*($E183^INDEX('R1. Tree Coefficients'!$H:$H,$F183+3)),INDEX('R1. Tree Coefficients'!$D:$D,$F183+3)*($D183^INDEX('R1. Tree Coefficients'!$E:$E,$F183+3))))</f>
        <v/>
      </c>
      <c r="L183" s="14" t="str">
        <f aca="false">IF($F183="","",IFERROR(SUM($H183:$K183),""))</f>
        <v/>
      </c>
      <c r="M183" s="14" t="str">
        <f aca="false">IF($F183="","",INDEX('R1. Tree Coefficients'!$J:$J,$F183))</f>
        <v/>
      </c>
      <c r="N183" s="14" t="str">
        <f aca="false">IF($L183="","",IF($M183="Deciduous",BGB_RS_DECIDUOUS_a*($L183^BGB_RS_DECIDUOUS_b),IF($M183="Conifers",BGB_RS_CONIFER*$L183,AVERAGE(BGB_RS_DECIDUOUS_a*($L183^BGB_RS_DECIDUOUS_b),BGB_RS_CONIFER*$L183))))</f>
        <v/>
      </c>
      <c r="O183" s="14" t="str">
        <f aca="false">IF($L183="","",$L183+$N183)</f>
        <v/>
      </c>
      <c r="P183" s="14" t="str">
        <f aca="false">IF($O183="","",$O183*CARBON_FRACTION_BIOMASS)</f>
        <v/>
      </c>
      <c r="Q183" s="14" t="str">
        <f aca="false">IF(AND($A183="",$C183=""),"",IF(AND($A183&lt;&gt;"",COUNTIF('1. Plot &amp; Site Log'!$A$5:$A$64,$A183)=0),"Plot ID not in Plot &amp; Site Log — this tree will not reach the summary. ","")&amp;IF($A183="","No Plot ID. ","")&amp;IF(AND($C183&lt;&gt;"",$F183=""),"Species not in the coefficient list — check the spelling against R1. ","")&amp;IF($D183="","No DBH — nothing can be calculated. ","")&amp;IF(AND($D183&lt;&gt;"",$D183&gt;QC_DBH_MAX_CM),"DBH above "&amp;QC_DBH_MAX_CM&amp;" cm — check for a transcription error. ","")&amp;IF($M183="All","Generic species: no published root:shoot applies, so below-ground biomass is the mean of the deciduous and conifer relationships. Choose a species, or Deciduous/Conifers, if you can. ","")&amp;IF(AND($O183&lt;&gt;"",$O183&gt;0,OR($N183/$O183&lt;BGB_FRACTION_MIN,$N183/$O183&gt;BGB_FRACTION_MAX)),"Below-ground share is "&amp;TEXT($N183/$O183,"0%")&amp;", outside the 18–30% the Trees guide describes. ",""))</f>
        <v/>
      </c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4" t="str">
        <f aca="false">IF($C184="","",IFERROR(12+(MATCH($C184,'R1. Tree Coefficients'!$L$12:$L$53,0)-1)*4,""))</f>
        <v/>
      </c>
      <c r="G184" s="14" t="str">
        <f aca="false">IF($F184="","",IF(AND($E184&lt;&gt;"",$E184&gt;0),"DBH + height","DBH only"))</f>
        <v/>
      </c>
      <c r="H184" s="14" t="str">
        <f aca="false">IF(OR($D184="",$F184=""),"",IF($E184&gt;0,INDEX('R1. Tree Coefficients'!$F:$F,$F184+0)*($D184^INDEX('R1. Tree Coefficients'!$G:$G,$F184+0))*($E184^INDEX('R1. Tree Coefficients'!$H:$H,$F184+0)),INDEX('R1. Tree Coefficients'!$D:$D,$F184+0)*($D184^INDEX('R1. Tree Coefficients'!$E:$E,$F184+0))))</f>
        <v/>
      </c>
      <c r="I184" s="14" t="str">
        <f aca="false">IF(OR($D184="",$F184=""),"",IF($E184&gt;0,INDEX('R1. Tree Coefficients'!$F:$F,$F184+1)*($D184^INDEX('R1. Tree Coefficients'!$G:$G,$F184+1))*($E184^INDEX('R1. Tree Coefficients'!$H:$H,$F184+1)),INDEX('R1. Tree Coefficients'!$D:$D,$F184+1)*($D184^INDEX('R1. Tree Coefficients'!$E:$E,$F184+1))))</f>
        <v/>
      </c>
      <c r="J184" s="14" t="str">
        <f aca="false">IF(OR($D184="",$F184=""),"",IF($E184&gt;0,INDEX('R1. Tree Coefficients'!$F:$F,$F184+2)*($D184^INDEX('R1. Tree Coefficients'!$G:$G,$F184+2))*($E184^INDEX('R1. Tree Coefficients'!$H:$H,$F184+2)),INDEX('R1. Tree Coefficients'!$D:$D,$F184+2)*($D184^INDEX('R1. Tree Coefficients'!$E:$E,$F184+2))))</f>
        <v/>
      </c>
      <c r="K184" s="14" t="str">
        <f aca="false">IF(OR($D184="",$F184=""),"",IF($E184&gt;0,INDEX('R1. Tree Coefficients'!$F:$F,$F184+3)*($D184^INDEX('R1. Tree Coefficients'!$G:$G,$F184+3))*($E184^INDEX('R1. Tree Coefficients'!$H:$H,$F184+3)),INDEX('R1. Tree Coefficients'!$D:$D,$F184+3)*($D184^INDEX('R1. Tree Coefficients'!$E:$E,$F184+3))))</f>
        <v/>
      </c>
      <c r="L184" s="14" t="str">
        <f aca="false">IF($F184="","",IFERROR(SUM($H184:$K184),""))</f>
        <v/>
      </c>
      <c r="M184" s="14" t="str">
        <f aca="false">IF($F184="","",INDEX('R1. Tree Coefficients'!$J:$J,$F184))</f>
        <v/>
      </c>
      <c r="N184" s="14" t="str">
        <f aca="false">IF($L184="","",IF($M184="Deciduous",BGB_RS_DECIDUOUS_a*($L184^BGB_RS_DECIDUOUS_b),IF($M184="Conifers",BGB_RS_CONIFER*$L184,AVERAGE(BGB_RS_DECIDUOUS_a*($L184^BGB_RS_DECIDUOUS_b),BGB_RS_CONIFER*$L184))))</f>
        <v/>
      </c>
      <c r="O184" s="14" t="str">
        <f aca="false">IF($L184="","",$L184+$N184)</f>
        <v/>
      </c>
      <c r="P184" s="14" t="str">
        <f aca="false">IF($O184="","",$O184*CARBON_FRACTION_BIOMASS)</f>
        <v/>
      </c>
      <c r="Q184" s="14" t="str">
        <f aca="false">IF(AND($A184="",$C184=""),"",IF(AND($A184&lt;&gt;"",COUNTIF('1. Plot &amp; Site Log'!$A$5:$A$64,$A184)=0),"Plot ID not in Plot &amp; Site Log — this tree will not reach the summary. ","")&amp;IF($A184="","No Plot ID. ","")&amp;IF(AND($C184&lt;&gt;"",$F184=""),"Species not in the coefficient list — check the spelling against R1. ","")&amp;IF($D184="","No DBH — nothing can be calculated. ","")&amp;IF(AND($D184&lt;&gt;"",$D184&gt;QC_DBH_MAX_CM),"DBH above "&amp;QC_DBH_MAX_CM&amp;" cm — check for a transcription error. ","")&amp;IF($M184="All","Generic species: no published root:shoot applies, so below-ground biomass is the mean of the deciduous and conifer relationships. Choose a species, or Deciduous/Conifers, if you can. ","")&amp;IF(AND($O184&lt;&gt;"",$O184&gt;0,OR($N184/$O184&lt;BGB_FRACTION_MIN,$N184/$O184&gt;BGB_FRACTION_MAX)),"Below-ground share is "&amp;TEXT($N184/$O184,"0%")&amp;", outside the 18–30% the Trees guide describes. ",""))</f>
        <v/>
      </c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4" t="str">
        <f aca="false">IF($C185="","",IFERROR(12+(MATCH($C185,'R1. Tree Coefficients'!$L$12:$L$53,0)-1)*4,""))</f>
        <v/>
      </c>
      <c r="G185" s="14" t="str">
        <f aca="false">IF($F185="","",IF(AND($E185&lt;&gt;"",$E185&gt;0),"DBH + height","DBH only"))</f>
        <v/>
      </c>
      <c r="H185" s="14" t="str">
        <f aca="false">IF(OR($D185="",$F185=""),"",IF($E185&gt;0,INDEX('R1. Tree Coefficients'!$F:$F,$F185+0)*($D185^INDEX('R1. Tree Coefficients'!$G:$G,$F185+0))*($E185^INDEX('R1. Tree Coefficients'!$H:$H,$F185+0)),INDEX('R1. Tree Coefficients'!$D:$D,$F185+0)*($D185^INDEX('R1. Tree Coefficients'!$E:$E,$F185+0))))</f>
        <v/>
      </c>
      <c r="I185" s="14" t="str">
        <f aca="false">IF(OR($D185="",$F185=""),"",IF($E185&gt;0,INDEX('R1. Tree Coefficients'!$F:$F,$F185+1)*($D185^INDEX('R1. Tree Coefficients'!$G:$G,$F185+1))*($E185^INDEX('R1. Tree Coefficients'!$H:$H,$F185+1)),INDEX('R1. Tree Coefficients'!$D:$D,$F185+1)*($D185^INDEX('R1. Tree Coefficients'!$E:$E,$F185+1))))</f>
        <v/>
      </c>
      <c r="J185" s="14" t="str">
        <f aca="false">IF(OR($D185="",$F185=""),"",IF($E185&gt;0,INDEX('R1. Tree Coefficients'!$F:$F,$F185+2)*($D185^INDEX('R1. Tree Coefficients'!$G:$G,$F185+2))*($E185^INDEX('R1. Tree Coefficients'!$H:$H,$F185+2)),INDEX('R1. Tree Coefficients'!$D:$D,$F185+2)*($D185^INDEX('R1. Tree Coefficients'!$E:$E,$F185+2))))</f>
        <v/>
      </c>
      <c r="K185" s="14" t="str">
        <f aca="false">IF(OR($D185="",$F185=""),"",IF($E185&gt;0,INDEX('R1. Tree Coefficients'!$F:$F,$F185+3)*($D185^INDEX('R1. Tree Coefficients'!$G:$G,$F185+3))*($E185^INDEX('R1. Tree Coefficients'!$H:$H,$F185+3)),INDEX('R1. Tree Coefficients'!$D:$D,$F185+3)*($D185^INDEX('R1. Tree Coefficients'!$E:$E,$F185+3))))</f>
        <v/>
      </c>
      <c r="L185" s="14" t="str">
        <f aca="false">IF($F185="","",IFERROR(SUM($H185:$K185),""))</f>
        <v/>
      </c>
      <c r="M185" s="14" t="str">
        <f aca="false">IF($F185="","",INDEX('R1. Tree Coefficients'!$J:$J,$F185))</f>
        <v/>
      </c>
      <c r="N185" s="14" t="str">
        <f aca="false">IF($L185="","",IF($M185="Deciduous",BGB_RS_DECIDUOUS_a*($L185^BGB_RS_DECIDUOUS_b),IF($M185="Conifers",BGB_RS_CONIFER*$L185,AVERAGE(BGB_RS_DECIDUOUS_a*($L185^BGB_RS_DECIDUOUS_b),BGB_RS_CONIFER*$L185))))</f>
        <v/>
      </c>
      <c r="O185" s="14" t="str">
        <f aca="false">IF($L185="","",$L185+$N185)</f>
        <v/>
      </c>
      <c r="P185" s="14" t="str">
        <f aca="false">IF($O185="","",$O185*CARBON_FRACTION_BIOMASS)</f>
        <v/>
      </c>
      <c r="Q185" s="14" t="str">
        <f aca="false">IF(AND($A185="",$C185=""),"",IF(AND($A185&lt;&gt;"",COUNTIF('1. Plot &amp; Site Log'!$A$5:$A$64,$A185)=0),"Plot ID not in Plot &amp; Site Log — this tree will not reach the summary. ","")&amp;IF($A185="","No Plot ID. ","")&amp;IF(AND($C185&lt;&gt;"",$F185=""),"Species not in the coefficient list — check the spelling against R1. ","")&amp;IF($D185="","No DBH — nothing can be calculated. ","")&amp;IF(AND($D185&lt;&gt;"",$D185&gt;QC_DBH_MAX_CM),"DBH above "&amp;QC_DBH_MAX_CM&amp;" cm — check for a transcription error. ","")&amp;IF($M185="All","Generic species: no published root:shoot applies, so below-ground biomass is the mean of the deciduous and conifer relationships. Choose a species, or Deciduous/Conifers, if you can. ","")&amp;IF(AND($O185&lt;&gt;"",$O185&gt;0,OR($N185/$O185&lt;BGB_FRACTION_MIN,$N185/$O185&gt;BGB_FRACTION_MAX)),"Below-ground share is "&amp;TEXT($N185/$O185,"0%")&amp;", outside the 18–30% the Trees guide describes. ",""))</f>
        <v/>
      </c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4" t="str">
        <f aca="false">IF($C186="","",IFERROR(12+(MATCH($C186,'R1. Tree Coefficients'!$L$12:$L$53,0)-1)*4,""))</f>
        <v/>
      </c>
      <c r="G186" s="14" t="str">
        <f aca="false">IF($F186="","",IF(AND($E186&lt;&gt;"",$E186&gt;0),"DBH + height","DBH only"))</f>
        <v/>
      </c>
      <c r="H186" s="14" t="str">
        <f aca="false">IF(OR($D186="",$F186=""),"",IF($E186&gt;0,INDEX('R1. Tree Coefficients'!$F:$F,$F186+0)*($D186^INDEX('R1. Tree Coefficients'!$G:$G,$F186+0))*($E186^INDEX('R1. Tree Coefficients'!$H:$H,$F186+0)),INDEX('R1. Tree Coefficients'!$D:$D,$F186+0)*($D186^INDEX('R1. Tree Coefficients'!$E:$E,$F186+0))))</f>
        <v/>
      </c>
      <c r="I186" s="14" t="str">
        <f aca="false">IF(OR($D186="",$F186=""),"",IF($E186&gt;0,INDEX('R1. Tree Coefficients'!$F:$F,$F186+1)*($D186^INDEX('R1. Tree Coefficients'!$G:$G,$F186+1))*($E186^INDEX('R1. Tree Coefficients'!$H:$H,$F186+1)),INDEX('R1. Tree Coefficients'!$D:$D,$F186+1)*($D186^INDEX('R1. Tree Coefficients'!$E:$E,$F186+1))))</f>
        <v/>
      </c>
      <c r="J186" s="14" t="str">
        <f aca="false">IF(OR($D186="",$F186=""),"",IF($E186&gt;0,INDEX('R1. Tree Coefficients'!$F:$F,$F186+2)*($D186^INDEX('R1. Tree Coefficients'!$G:$G,$F186+2))*($E186^INDEX('R1. Tree Coefficients'!$H:$H,$F186+2)),INDEX('R1. Tree Coefficients'!$D:$D,$F186+2)*($D186^INDEX('R1. Tree Coefficients'!$E:$E,$F186+2))))</f>
        <v/>
      </c>
      <c r="K186" s="14" t="str">
        <f aca="false">IF(OR($D186="",$F186=""),"",IF($E186&gt;0,INDEX('R1. Tree Coefficients'!$F:$F,$F186+3)*($D186^INDEX('R1. Tree Coefficients'!$G:$G,$F186+3))*($E186^INDEX('R1. Tree Coefficients'!$H:$H,$F186+3)),INDEX('R1. Tree Coefficients'!$D:$D,$F186+3)*($D186^INDEX('R1. Tree Coefficients'!$E:$E,$F186+3))))</f>
        <v/>
      </c>
      <c r="L186" s="14" t="str">
        <f aca="false">IF($F186="","",IFERROR(SUM($H186:$K186),""))</f>
        <v/>
      </c>
      <c r="M186" s="14" t="str">
        <f aca="false">IF($F186="","",INDEX('R1. Tree Coefficients'!$J:$J,$F186))</f>
        <v/>
      </c>
      <c r="N186" s="14" t="str">
        <f aca="false">IF($L186="","",IF($M186="Deciduous",BGB_RS_DECIDUOUS_a*($L186^BGB_RS_DECIDUOUS_b),IF($M186="Conifers",BGB_RS_CONIFER*$L186,AVERAGE(BGB_RS_DECIDUOUS_a*($L186^BGB_RS_DECIDUOUS_b),BGB_RS_CONIFER*$L186))))</f>
        <v/>
      </c>
      <c r="O186" s="14" t="str">
        <f aca="false">IF($L186="","",$L186+$N186)</f>
        <v/>
      </c>
      <c r="P186" s="14" t="str">
        <f aca="false">IF($O186="","",$O186*CARBON_FRACTION_BIOMASS)</f>
        <v/>
      </c>
      <c r="Q186" s="14" t="str">
        <f aca="false">IF(AND($A186="",$C186=""),"",IF(AND($A186&lt;&gt;"",COUNTIF('1. Plot &amp; Site Log'!$A$5:$A$64,$A186)=0),"Plot ID not in Plot &amp; Site Log — this tree will not reach the summary. ","")&amp;IF($A186="","No Plot ID. ","")&amp;IF(AND($C186&lt;&gt;"",$F186=""),"Species not in the coefficient list — check the spelling against R1. ","")&amp;IF($D186="","No DBH — nothing can be calculated. ","")&amp;IF(AND($D186&lt;&gt;"",$D186&gt;QC_DBH_MAX_CM),"DBH above "&amp;QC_DBH_MAX_CM&amp;" cm — check for a transcription error. ","")&amp;IF($M186="All","Generic species: no published root:shoot applies, so below-ground biomass is the mean of the deciduous and conifer relationships. Choose a species, or Deciduous/Conifers, if you can. ","")&amp;IF(AND($O186&lt;&gt;"",$O186&gt;0,OR($N186/$O186&lt;BGB_FRACTION_MIN,$N186/$O186&gt;BGB_FRACTION_MAX)),"Below-ground share is "&amp;TEXT($N186/$O186,"0%")&amp;", outside the 18–30% the Trees guide describes. ",""))</f>
        <v/>
      </c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4" t="str">
        <f aca="false">IF($C187="","",IFERROR(12+(MATCH($C187,'R1. Tree Coefficients'!$L$12:$L$53,0)-1)*4,""))</f>
        <v/>
      </c>
      <c r="G187" s="14" t="str">
        <f aca="false">IF($F187="","",IF(AND($E187&lt;&gt;"",$E187&gt;0),"DBH + height","DBH only"))</f>
        <v/>
      </c>
      <c r="H187" s="14" t="str">
        <f aca="false">IF(OR($D187="",$F187=""),"",IF($E187&gt;0,INDEX('R1. Tree Coefficients'!$F:$F,$F187+0)*($D187^INDEX('R1. Tree Coefficients'!$G:$G,$F187+0))*($E187^INDEX('R1. Tree Coefficients'!$H:$H,$F187+0)),INDEX('R1. Tree Coefficients'!$D:$D,$F187+0)*($D187^INDEX('R1. Tree Coefficients'!$E:$E,$F187+0))))</f>
        <v/>
      </c>
      <c r="I187" s="14" t="str">
        <f aca="false">IF(OR($D187="",$F187=""),"",IF($E187&gt;0,INDEX('R1. Tree Coefficients'!$F:$F,$F187+1)*($D187^INDEX('R1. Tree Coefficients'!$G:$G,$F187+1))*($E187^INDEX('R1. Tree Coefficients'!$H:$H,$F187+1)),INDEX('R1. Tree Coefficients'!$D:$D,$F187+1)*($D187^INDEX('R1. Tree Coefficients'!$E:$E,$F187+1))))</f>
        <v/>
      </c>
      <c r="J187" s="14" t="str">
        <f aca="false">IF(OR($D187="",$F187=""),"",IF($E187&gt;0,INDEX('R1. Tree Coefficients'!$F:$F,$F187+2)*($D187^INDEX('R1. Tree Coefficients'!$G:$G,$F187+2))*($E187^INDEX('R1. Tree Coefficients'!$H:$H,$F187+2)),INDEX('R1. Tree Coefficients'!$D:$D,$F187+2)*($D187^INDEX('R1. Tree Coefficients'!$E:$E,$F187+2))))</f>
        <v/>
      </c>
      <c r="K187" s="14" t="str">
        <f aca="false">IF(OR($D187="",$F187=""),"",IF($E187&gt;0,INDEX('R1. Tree Coefficients'!$F:$F,$F187+3)*($D187^INDEX('R1. Tree Coefficients'!$G:$G,$F187+3))*($E187^INDEX('R1. Tree Coefficients'!$H:$H,$F187+3)),INDEX('R1. Tree Coefficients'!$D:$D,$F187+3)*($D187^INDEX('R1. Tree Coefficients'!$E:$E,$F187+3))))</f>
        <v/>
      </c>
      <c r="L187" s="14" t="str">
        <f aca="false">IF($F187="","",IFERROR(SUM($H187:$K187),""))</f>
        <v/>
      </c>
      <c r="M187" s="14" t="str">
        <f aca="false">IF($F187="","",INDEX('R1. Tree Coefficients'!$J:$J,$F187))</f>
        <v/>
      </c>
      <c r="N187" s="14" t="str">
        <f aca="false">IF($L187="","",IF($M187="Deciduous",BGB_RS_DECIDUOUS_a*($L187^BGB_RS_DECIDUOUS_b),IF($M187="Conifers",BGB_RS_CONIFER*$L187,AVERAGE(BGB_RS_DECIDUOUS_a*($L187^BGB_RS_DECIDUOUS_b),BGB_RS_CONIFER*$L187))))</f>
        <v/>
      </c>
      <c r="O187" s="14" t="str">
        <f aca="false">IF($L187="","",$L187+$N187)</f>
        <v/>
      </c>
      <c r="P187" s="14" t="str">
        <f aca="false">IF($O187="","",$O187*CARBON_FRACTION_BIOMASS)</f>
        <v/>
      </c>
      <c r="Q187" s="14" t="str">
        <f aca="false">IF(AND($A187="",$C187=""),"",IF(AND($A187&lt;&gt;"",COUNTIF('1. Plot &amp; Site Log'!$A$5:$A$64,$A187)=0),"Plot ID not in Plot &amp; Site Log — this tree will not reach the summary. ","")&amp;IF($A187="","No Plot ID. ","")&amp;IF(AND($C187&lt;&gt;"",$F187=""),"Species not in the coefficient list — check the spelling against R1. ","")&amp;IF($D187="","No DBH — nothing can be calculated. ","")&amp;IF(AND($D187&lt;&gt;"",$D187&gt;QC_DBH_MAX_CM),"DBH above "&amp;QC_DBH_MAX_CM&amp;" cm — check for a transcription error. ","")&amp;IF($M187="All","Generic species: no published root:shoot applies, so below-ground biomass is the mean of the deciduous and conifer relationships. Choose a species, or Deciduous/Conifers, if you can. ","")&amp;IF(AND($O187&lt;&gt;"",$O187&gt;0,OR($N187/$O187&lt;BGB_FRACTION_MIN,$N187/$O187&gt;BGB_FRACTION_MAX)),"Below-ground share is "&amp;TEXT($N187/$O187,"0%")&amp;", outside the 18–30% the Trees guide describes. ",""))</f>
        <v/>
      </c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4" t="str">
        <f aca="false">IF($C188="","",IFERROR(12+(MATCH($C188,'R1. Tree Coefficients'!$L$12:$L$53,0)-1)*4,""))</f>
        <v/>
      </c>
      <c r="G188" s="14" t="str">
        <f aca="false">IF($F188="","",IF(AND($E188&lt;&gt;"",$E188&gt;0),"DBH + height","DBH only"))</f>
        <v/>
      </c>
      <c r="H188" s="14" t="str">
        <f aca="false">IF(OR($D188="",$F188=""),"",IF($E188&gt;0,INDEX('R1. Tree Coefficients'!$F:$F,$F188+0)*($D188^INDEX('R1. Tree Coefficients'!$G:$G,$F188+0))*($E188^INDEX('R1. Tree Coefficients'!$H:$H,$F188+0)),INDEX('R1. Tree Coefficients'!$D:$D,$F188+0)*($D188^INDEX('R1. Tree Coefficients'!$E:$E,$F188+0))))</f>
        <v/>
      </c>
      <c r="I188" s="14" t="str">
        <f aca="false">IF(OR($D188="",$F188=""),"",IF($E188&gt;0,INDEX('R1. Tree Coefficients'!$F:$F,$F188+1)*($D188^INDEX('R1. Tree Coefficients'!$G:$G,$F188+1))*($E188^INDEX('R1. Tree Coefficients'!$H:$H,$F188+1)),INDEX('R1. Tree Coefficients'!$D:$D,$F188+1)*($D188^INDEX('R1. Tree Coefficients'!$E:$E,$F188+1))))</f>
        <v/>
      </c>
      <c r="J188" s="14" t="str">
        <f aca="false">IF(OR($D188="",$F188=""),"",IF($E188&gt;0,INDEX('R1. Tree Coefficients'!$F:$F,$F188+2)*($D188^INDEX('R1. Tree Coefficients'!$G:$G,$F188+2))*($E188^INDEX('R1. Tree Coefficients'!$H:$H,$F188+2)),INDEX('R1. Tree Coefficients'!$D:$D,$F188+2)*($D188^INDEX('R1. Tree Coefficients'!$E:$E,$F188+2))))</f>
        <v/>
      </c>
      <c r="K188" s="14" t="str">
        <f aca="false">IF(OR($D188="",$F188=""),"",IF($E188&gt;0,INDEX('R1. Tree Coefficients'!$F:$F,$F188+3)*($D188^INDEX('R1. Tree Coefficients'!$G:$G,$F188+3))*($E188^INDEX('R1. Tree Coefficients'!$H:$H,$F188+3)),INDEX('R1. Tree Coefficients'!$D:$D,$F188+3)*($D188^INDEX('R1. Tree Coefficients'!$E:$E,$F188+3))))</f>
        <v/>
      </c>
      <c r="L188" s="14" t="str">
        <f aca="false">IF($F188="","",IFERROR(SUM($H188:$K188),""))</f>
        <v/>
      </c>
      <c r="M188" s="14" t="str">
        <f aca="false">IF($F188="","",INDEX('R1. Tree Coefficients'!$J:$J,$F188))</f>
        <v/>
      </c>
      <c r="N188" s="14" t="str">
        <f aca="false">IF($L188="","",IF($M188="Deciduous",BGB_RS_DECIDUOUS_a*($L188^BGB_RS_DECIDUOUS_b),IF($M188="Conifers",BGB_RS_CONIFER*$L188,AVERAGE(BGB_RS_DECIDUOUS_a*($L188^BGB_RS_DECIDUOUS_b),BGB_RS_CONIFER*$L188))))</f>
        <v/>
      </c>
      <c r="O188" s="14" t="str">
        <f aca="false">IF($L188="","",$L188+$N188)</f>
        <v/>
      </c>
      <c r="P188" s="14" t="str">
        <f aca="false">IF($O188="","",$O188*CARBON_FRACTION_BIOMASS)</f>
        <v/>
      </c>
      <c r="Q188" s="14" t="str">
        <f aca="false">IF(AND($A188="",$C188=""),"",IF(AND($A188&lt;&gt;"",COUNTIF('1. Plot &amp; Site Log'!$A$5:$A$64,$A188)=0),"Plot ID not in Plot &amp; Site Log — this tree will not reach the summary. ","")&amp;IF($A188="","No Plot ID. ","")&amp;IF(AND($C188&lt;&gt;"",$F188=""),"Species not in the coefficient list — check the spelling against R1. ","")&amp;IF($D188="","No DBH — nothing can be calculated. ","")&amp;IF(AND($D188&lt;&gt;"",$D188&gt;QC_DBH_MAX_CM),"DBH above "&amp;QC_DBH_MAX_CM&amp;" cm — check for a transcription error. ","")&amp;IF($M188="All","Generic species: no published root:shoot applies, so below-ground biomass is the mean of the deciduous and conifer relationships. Choose a species, or Deciduous/Conifers, if you can. ","")&amp;IF(AND($O188&lt;&gt;"",$O188&gt;0,OR($N188/$O188&lt;BGB_FRACTION_MIN,$N188/$O188&gt;BGB_FRACTION_MAX)),"Below-ground share is "&amp;TEXT($N188/$O188,"0%")&amp;", outside the 18–30% the Trees guide describes. ",""))</f>
        <v/>
      </c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4" t="str">
        <f aca="false">IF($C189="","",IFERROR(12+(MATCH($C189,'R1. Tree Coefficients'!$L$12:$L$53,0)-1)*4,""))</f>
        <v/>
      </c>
      <c r="G189" s="14" t="str">
        <f aca="false">IF($F189="","",IF(AND($E189&lt;&gt;"",$E189&gt;0),"DBH + height","DBH only"))</f>
        <v/>
      </c>
      <c r="H189" s="14" t="str">
        <f aca="false">IF(OR($D189="",$F189=""),"",IF($E189&gt;0,INDEX('R1. Tree Coefficients'!$F:$F,$F189+0)*($D189^INDEX('R1. Tree Coefficients'!$G:$G,$F189+0))*($E189^INDEX('R1. Tree Coefficients'!$H:$H,$F189+0)),INDEX('R1. Tree Coefficients'!$D:$D,$F189+0)*($D189^INDEX('R1. Tree Coefficients'!$E:$E,$F189+0))))</f>
        <v/>
      </c>
      <c r="I189" s="14" t="str">
        <f aca="false">IF(OR($D189="",$F189=""),"",IF($E189&gt;0,INDEX('R1. Tree Coefficients'!$F:$F,$F189+1)*($D189^INDEX('R1. Tree Coefficients'!$G:$G,$F189+1))*($E189^INDEX('R1. Tree Coefficients'!$H:$H,$F189+1)),INDEX('R1. Tree Coefficients'!$D:$D,$F189+1)*($D189^INDEX('R1. Tree Coefficients'!$E:$E,$F189+1))))</f>
        <v/>
      </c>
      <c r="J189" s="14" t="str">
        <f aca="false">IF(OR($D189="",$F189=""),"",IF($E189&gt;0,INDEX('R1. Tree Coefficients'!$F:$F,$F189+2)*($D189^INDEX('R1. Tree Coefficients'!$G:$G,$F189+2))*($E189^INDEX('R1. Tree Coefficients'!$H:$H,$F189+2)),INDEX('R1. Tree Coefficients'!$D:$D,$F189+2)*($D189^INDEX('R1. Tree Coefficients'!$E:$E,$F189+2))))</f>
        <v/>
      </c>
      <c r="K189" s="14" t="str">
        <f aca="false">IF(OR($D189="",$F189=""),"",IF($E189&gt;0,INDEX('R1. Tree Coefficients'!$F:$F,$F189+3)*($D189^INDEX('R1. Tree Coefficients'!$G:$G,$F189+3))*($E189^INDEX('R1. Tree Coefficients'!$H:$H,$F189+3)),INDEX('R1. Tree Coefficients'!$D:$D,$F189+3)*($D189^INDEX('R1. Tree Coefficients'!$E:$E,$F189+3))))</f>
        <v/>
      </c>
      <c r="L189" s="14" t="str">
        <f aca="false">IF($F189="","",IFERROR(SUM($H189:$K189),""))</f>
        <v/>
      </c>
      <c r="M189" s="14" t="str">
        <f aca="false">IF($F189="","",INDEX('R1. Tree Coefficients'!$J:$J,$F189))</f>
        <v/>
      </c>
      <c r="N189" s="14" t="str">
        <f aca="false">IF($L189="","",IF($M189="Deciduous",BGB_RS_DECIDUOUS_a*($L189^BGB_RS_DECIDUOUS_b),IF($M189="Conifers",BGB_RS_CONIFER*$L189,AVERAGE(BGB_RS_DECIDUOUS_a*($L189^BGB_RS_DECIDUOUS_b),BGB_RS_CONIFER*$L189))))</f>
        <v/>
      </c>
      <c r="O189" s="14" t="str">
        <f aca="false">IF($L189="","",$L189+$N189)</f>
        <v/>
      </c>
      <c r="P189" s="14" t="str">
        <f aca="false">IF($O189="","",$O189*CARBON_FRACTION_BIOMASS)</f>
        <v/>
      </c>
      <c r="Q189" s="14" t="str">
        <f aca="false">IF(AND($A189="",$C189=""),"",IF(AND($A189&lt;&gt;"",COUNTIF('1. Plot &amp; Site Log'!$A$5:$A$64,$A189)=0),"Plot ID not in Plot &amp; Site Log — this tree will not reach the summary. ","")&amp;IF($A189="","No Plot ID. ","")&amp;IF(AND($C189&lt;&gt;"",$F189=""),"Species not in the coefficient list — check the spelling against R1. ","")&amp;IF($D189="","No DBH — nothing can be calculated. ","")&amp;IF(AND($D189&lt;&gt;"",$D189&gt;QC_DBH_MAX_CM),"DBH above "&amp;QC_DBH_MAX_CM&amp;" cm — check for a transcription error. ","")&amp;IF($M189="All","Generic species: no published root:shoot applies, so below-ground biomass is the mean of the deciduous and conifer relationships. Choose a species, or Deciduous/Conifers, if you can. ","")&amp;IF(AND($O189&lt;&gt;"",$O189&gt;0,OR($N189/$O189&lt;BGB_FRACTION_MIN,$N189/$O189&gt;BGB_FRACTION_MAX)),"Below-ground share is "&amp;TEXT($N189/$O189,"0%")&amp;", outside the 18–30% the Trees guide describes. ",""))</f>
        <v/>
      </c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4" t="str">
        <f aca="false">IF($C190="","",IFERROR(12+(MATCH($C190,'R1. Tree Coefficients'!$L$12:$L$53,0)-1)*4,""))</f>
        <v/>
      </c>
      <c r="G190" s="14" t="str">
        <f aca="false">IF($F190="","",IF(AND($E190&lt;&gt;"",$E190&gt;0),"DBH + height","DBH only"))</f>
        <v/>
      </c>
      <c r="H190" s="14" t="str">
        <f aca="false">IF(OR($D190="",$F190=""),"",IF($E190&gt;0,INDEX('R1. Tree Coefficients'!$F:$F,$F190+0)*($D190^INDEX('R1. Tree Coefficients'!$G:$G,$F190+0))*($E190^INDEX('R1. Tree Coefficients'!$H:$H,$F190+0)),INDEX('R1. Tree Coefficients'!$D:$D,$F190+0)*($D190^INDEX('R1. Tree Coefficients'!$E:$E,$F190+0))))</f>
        <v/>
      </c>
      <c r="I190" s="14" t="str">
        <f aca="false">IF(OR($D190="",$F190=""),"",IF($E190&gt;0,INDEX('R1. Tree Coefficients'!$F:$F,$F190+1)*($D190^INDEX('R1. Tree Coefficients'!$G:$G,$F190+1))*($E190^INDEX('R1. Tree Coefficients'!$H:$H,$F190+1)),INDEX('R1. Tree Coefficients'!$D:$D,$F190+1)*($D190^INDEX('R1. Tree Coefficients'!$E:$E,$F190+1))))</f>
        <v/>
      </c>
      <c r="J190" s="14" t="str">
        <f aca="false">IF(OR($D190="",$F190=""),"",IF($E190&gt;0,INDEX('R1. Tree Coefficients'!$F:$F,$F190+2)*($D190^INDEX('R1. Tree Coefficients'!$G:$G,$F190+2))*($E190^INDEX('R1. Tree Coefficients'!$H:$H,$F190+2)),INDEX('R1. Tree Coefficients'!$D:$D,$F190+2)*($D190^INDEX('R1. Tree Coefficients'!$E:$E,$F190+2))))</f>
        <v/>
      </c>
      <c r="K190" s="14" t="str">
        <f aca="false">IF(OR($D190="",$F190=""),"",IF($E190&gt;0,INDEX('R1. Tree Coefficients'!$F:$F,$F190+3)*($D190^INDEX('R1. Tree Coefficients'!$G:$G,$F190+3))*($E190^INDEX('R1. Tree Coefficients'!$H:$H,$F190+3)),INDEX('R1. Tree Coefficients'!$D:$D,$F190+3)*($D190^INDEX('R1. Tree Coefficients'!$E:$E,$F190+3))))</f>
        <v/>
      </c>
      <c r="L190" s="14" t="str">
        <f aca="false">IF($F190="","",IFERROR(SUM($H190:$K190),""))</f>
        <v/>
      </c>
      <c r="M190" s="14" t="str">
        <f aca="false">IF($F190="","",INDEX('R1. Tree Coefficients'!$J:$J,$F190))</f>
        <v/>
      </c>
      <c r="N190" s="14" t="str">
        <f aca="false">IF($L190="","",IF($M190="Deciduous",BGB_RS_DECIDUOUS_a*($L190^BGB_RS_DECIDUOUS_b),IF($M190="Conifers",BGB_RS_CONIFER*$L190,AVERAGE(BGB_RS_DECIDUOUS_a*($L190^BGB_RS_DECIDUOUS_b),BGB_RS_CONIFER*$L190))))</f>
        <v/>
      </c>
      <c r="O190" s="14" t="str">
        <f aca="false">IF($L190="","",$L190+$N190)</f>
        <v/>
      </c>
      <c r="P190" s="14" t="str">
        <f aca="false">IF($O190="","",$O190*CARBON_FRACTION_BIOMASS)</f>
        <v/>
      </c>
      <c r="Q190" s="14" t="str">
        <f aca="false">IF(AND($A190="",$C190=""),"",IF(AND($A190&lt;&gt;"",COUNTIF('1. Plot &amp; Site Log'!$A$5:$A$64,$A190)=0),"Plot ID not in Plot &amp; Site Log — this tree will not reach the summary. ","")&amp;IF($A190="","No Plot ID. ","")&amp;IF(AND($C190&lt;&gt;"",$F190=""),"Species not in the coefficient list — check the spelling against R1. ","")&amp;IF($D190="","No DBH — nothing can be calculated. ","")&amp;IF(AND($D190&lt;&gt;"",$D190&gt;QC_DBH_MAX_CM),"DBH above "&amp;QC_DBH_MAX_CM&amp;" cm — check for a transcription error. ","")&amp;IF($M190="All","Generic species: no published root:shoot applies, so below-ground biomass is the mean of the deciduous and conifer relationships. Choose a species, or Deciduous/Conifers, if you can. ","")&amp;IF(AND($O190&lt;&gt;"",$O190&gt;0,OR($N190/$O190&lt;BGB_FRACTION_MIN,$N190/$O190&gt;BGB_FRACTION_MAX)),"Below-ground share is "&amp;TEXT($N190/$O190,"0%")&amp;", outside the 18–30% the Trees guide describes. ",""))</f>
        <v/>
      </c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4" t="str">
        <f aca="false">IF($C191="","",IFERROR(12+(MATCH($C191,'R1. Tree Coefficients'!$L$12:$L$53,0)-1)*4,""))</f>
        <v/>
      </c>
      <c r="G191" s="14" t="str">
        <f aca="false">IF($F191="","",IF(AND($E191&lt;&gt;"",$E191&gt;0),"DBH + height","DBH only"))</f>
        <v/>
      </c>
      <c r="H191" s="14" t="str">
        <f aca="false">IF(OR($D191="",$F191=""),"",IF($E191&gt;0,INDEX('R1. Tree Coefficients'!$F:$F,$F191+0)*($D191^INDEX('R1. Tree Coefficients'!$G:$G,$F191+0))*($E191^INDEX('R1. Tree Coefficients'!$H:$H,$F191+0)),INDEX('R1. Tree Coefficients'!$D:$D,$F191+0)*($D191^INDEX('R1. Tree Coefficients'!$E:$E,$F191+0))))</f>
        <v/>
      </c>
      <c r="I191" s="14" t="str">
        <f aca="false">IF(OR($D191="",$F191=""),"",IF($E191&gt;0,INDEX('R1. Tree Coefficients'!$F:$F,$F191+1)*($D191^INDEX('R1. Tree Coefficients'!$G:$G,$F191+1))*($E191^INDEX('R1. Tree Coefficients'!$H:$H,$F191+1)),INDEX('R1. Tree Coefficients'!$D:$D,$F191+1)*($D191^INDEX('R1. Tree Coefficients'!$E:$E,$F191+1))))</f>
        <v/>
      </c>
      <c r="J191" s="14" t="str">
        <f aca="false">IF(OR($D191="",$F191=""),"",IF($E191&gt;0,INDEX('R1. Tree Coefficients'!$F:$F,$F191+2)*($D191^INDEX('R1. Tree Coefficients'!$G:$G,$F191+2))*($E191^INDEX('R1. Tree Coefficients'!$H:$H,$F191+2)),INDEX('R1. Tree Coefficients'!$D:$D,$F191+2)*($D191^INDEX('R1. Tree Coefficients'!$E:$E,$F191+2))))</f>
        <v/>
      </c>
      <c r="K191" s="14" t="str">
        <f aca="false">IF(OR($D191="",$F191=""),"",IF($E191&gt;0,INDEX('R1. Tree Coefficients'!$F:$F,$F191+3)*($D191^INDEX('R1. Tree Coefficients'!$G:$G,$F191+3))*($E191^INDEX('R1. Tree Coefficients'!$H:$H,$F191+3)),INDEX('R1. Tree Coefficients'!$D:$D,$F191+3)*($D191^INDEX('R1. Tree Coefficients'!$E:$E,$F191+3))))</f>
        <v/>
      </c>
      <c r="L191" s="14" t="str">
        <f aca="false">IF($F191="","",IFERROR(SUM($H191:$K191),""))</f>
        <v/>
      </c>
      <c r="M191" s="14" t="str">
        <f aca="false">IF($F191="","",INDEX('R1. Tree Coefficients'!$J:$J,$F191))</f>
        <v/>
      </c>
      <c r="N191" s="14" t="str">
        <f aca="false">IF($L191="","",IF($M191="Deciduous",BGB_RS_DECIDUOUS_a*($L191^BGB_RS_DECIDUOUS_b),IF($M191="Conifers",BGB_RS_CONIFER*$L191,AVERAGE(BGB_RS_DECIDUOUS_a*($L191^BGB_RS_DECIDUOUS_b),BGB_RS_CONIFER*$L191))))</f>
        <v/>
      </c>
      <c r="O191" s="14" t="str">
        <f aca="false">IF($L191="","",$L191+$N191)</f>
        <v/>
      </c>
      <c r="P191" s="14" t="str">
        <f aca="false">IF($O191="","",$O191*CARBON_FRACTION_BIOMASS)</f>
        <v/>
      </c>
      <c r="Q191" s="14" t="str">
        <f aca="false">IF(AND($A191="",$C191=""),"",IF(AND($A191&lt;&gt;"",COUNTIF('1. Plot &amp; Site Log'!$A$5:$A$64,$A191)=0),"Plot ID not in Plot &amp; Site Log — this tree will not reach the summary. ","")&amp;IF($A191="","No Plot ID. ","")&amp;IF(AND($C191&lt;&gt;"",$F191=""),"Species not in the coefficient list — check the spelling against R1. ","")&amp;IF($D191="","No DBH — nothing can be calculated. ","")&amp;IF(AND($D191&lt;&gt;"",$D191&gt;QC_DBH_MAX_CM),"DBH above "&amp;QC_DBH_MAX_CM&amp;" cm — check for a transcription error. ","")&amp;IF($M191="All","Generic species: no published root:shoot applies, so below-ground biomass is the mean of the deciduous and conifer relationships. Choose a species, or Deciduous/Conifers, if you can. ","")&amp;IF(AND($O191&lt;&gt;"",$O191&gt;0,OR($N191/$O191&lt;BGB_FRACTION_MIN,$N191/$O191&gt;BGB_FRACTION_MAX)),"Below-ground share is "&amp;TEXT($N191/$O191,"0%")&amp;", outside the 18–30% the Trees guide describes. ",""))</f>
        <v/>
      </c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4" t="str">
        <f aca="false">IF($C192="","",IFERROR(12+(MATCH($C192,'R1. Tree Coefficients'!$L$12:$L$53,0)-1)*4,""))</f>
        <v/>
      </c>
      <c r="G192" s="14" t="str">
        <f aca="false">IF($F192="","",IF(AND($E192&lt;&gt;"",$E192&gt;0),"DBH + height","DBH only"))</f>
        <v/>
      </c>
      <c r="H192" s="14" t="str">
        <f aca="false">IF(OR($D192="",$F192=""),"",IF($E192&gt;0,INDEX('R1. Tree Coefficients'!$F:$F,$F192+0)*($D192^INDEX('R1. Tree Coefficients'!$G:$G,$F192+0))*($E192^INDEX('R1. Tree Coefficients'!$H:$H,$F192+0)),INDEX('R1. Tree Coefficients'!$D:$D,$F192+0)*($D192^INDEX('R1. Tree Coefficients'!$E:$E,$F192+0))))</f>
        <v/>
      </c>
      <c r="I192" s="14" t="str">
        <f aca="false">IF(OR($D192="",$F192=""),"",IF($E192&gt;0,INDEX('R1. Tree Coefficients'!$F:$F,$F192+1)*($D192^INDEX('R1. Tree Coefficients'!$G:$G,$F192+1))*($E192^INDEX('R1. Tree Coefficients'!$H:$H,$F192+1)),INDEX('R1. Tree Coefficients'!$D:$D,$F192+1)*($D192^INDEX('R1. Tree Coefficients'!$E:$E,$F192+1))))</f>
        <v/>
      </c>
      <c r="J192" s="14" t="str">
        <f aca="false">IF(OR($D192="",$F192=""),"",IF($E192&gt;0,INDEX('R1. Tree Coefficients'!$F:$F,$F192+2)*($D192^INDEX('R1. Tree Coefficients'!$G:$G,$F192+2))*($E192^INDEX('R1. Tree Coefficients'!$H:$H,$F192+2)),INDEX('R1. Tree Coefficients'!$D:$D,$F192+2)*($D192^INDEX('R1. Tree Coefficients'!$E:$E,$F192+2))))</f>
        <v/>
      </c>
      <c r="K192" s="14" t="str">
        <f aca="false">IF(OR($D192="",$F192=""),"",IF($E192&gt;0,INDEX('R1. Tree Coefficients'!$F:$F,$F192+3)*($D192^INDEX('R1. Tree Coefficients'!$G:$G,$F192+3))*($E192^INDEX('R1. Tree Coefficients'!$H:$H,$F192+3)),INDEX('R1. Tree Coefficients'!$D:$D,$F192+3)*($D192^INDEX('R1. Tree Coefficients'!$E:$E,$F192+3))))</f>
        <v/>
      </c>
      <c r="L192" s="14" t="str">
        <f aca="false">IF($F192="","",IFERROR(SUM($H192:$K192),""))</f>
        <v/>
      </c>
      <c r="M192" s="14" t="str">
        <f aca="false">IF($F192="","",INDEX('R1. Tree Coefficients'!$J:$J,$F192))</f>
        <v/>
      </c>
      <c r="N192" s="14" t="str">
        <f aca="false">IF($L192="","",IF($M192="Deciduous",BGB_RS_DECIDUOUS_a*($L192^BGB_RS_DECIDUOUS_b),IF($M192="Conifers",BGB_RS_CONIFER*$L192,AVERAGE(BGB_RS_DECIDUOUS_a*($L192^BGB_RS_DECIDUOUS_b),BGB_RS_CONIFER*$L192))))</f>
        <v/>
      </c>
      <c r="O192" s="14" t="str">
        <f aca="false">IF($L192="","",$L192+$N192)</f>
        <v/>
      </c>
      <c r="P192" s="14" t="str">
        <f aca="false">IF($O192="","",$O192*CARBON_FRACTION_BIOMASS)</f>
        <v/>
      </c>
      <c r="Q192" s="14" t="str">
        <f aca="false">IF(AND($A192="",$C192=""),"",IF(AND($A192&lt;&gt;"",COUNTIF('1. Plot &amp; Site Log'!$A$5:$A$64,$A192)=0),"Plot ID not in Plot &amp; Site Log — this tree will not reach the summary. ","")&amp;IF($A192="","No Plot ID. ","")&amp;IF(AND($C192&lt;&gt;"",$F192=""),"Species not in the coefficient list — check the spelling against R1. ","")&amp;IF($D192="","No DBH — nothing can be calculated. ","")&amp;IF(AND($D192&lt;&gt;"",$D192&gt;QC_DBH_MAX_CM),"DBH above "&amp;QC_DBH_MAX_CM&amp;" cm — check for a transcription error. ","")&amp;IF($M192="All","Generic species: no published root:shoot applies, so below-ground biomass is the mean of the deciduous and conifer relationships. Choose a species, or Deciduous/Conifers, if you can. ","")&amp;IF(AND($O192&lt;&gt;"",$O192&gt;0,OR($N192/$O192&lt;BGB_FRACTION_MIN,$N192/$O192&gt;BGB_FRACTION_MAX)),"Below-ground share is "&amp;TEXT($N192/$O192,"0%")&amp;", outside the 18–30% the Trees guide describes. ",""))</f>
        <v/>
      </c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4" t="str">
        <f aca="false">IF($C193="","",IFERROR(12+(MATCH($C193,'R1. Tree Coefficients'!$L$12:$L$53,0)-1)*4,""))</f>
        <v/>
      </c>
      <c r="G193" s="14" t="str">
        <f aca="false">IF($F193="","",IF(AND($E193&lt;&gt;"",$E193&gt;0),"DBH + height","DBH only"))</f>
        <v/>
      </c>
      <c r="H193" s="14" t="str">
        <f aca="false">IF(OR($D193="",$F193=""),"",IF($E193&gt;0,INDEX('R1. Tree Coefficients'!$F:$F,$F193+0)*($D193^INDEX('R1. Tree Coefficients'!$G:$G,$F193+0))*($E193^INDEX('R1. Tree Coefficients'!$H:$H,$F193+0)),INDEX('R1. Tree Coefficients'!$D:$D,$F193+0)*($D193^INDEX('R1. Tree Coefficients'!$E:$E,$F193+0))))</f>
        <v/>
      </c>
      <c r="I193" s="14" t="str">
        <f aca="false">IF(OR($D193="",$F193=""),"",IF($E193&gt;0,INDEX('R1. Tree Coefficients'!$F:$F,$F193+1)*($D193^INDEX('R1. Tree Coefficients'!$G:$G,$F193+1))*($E193^INDEX('R1. Tree Coefficients'!$H:$H,$F193+1)),INDEX('R1. Tree Coefficients'!$D:$D,$F193+1)*($D193^INDEX('R1. Tree Coefficients'!$E:$E,$F193+1))))</f>
        <v/>
      </c>
      <c r="J193" s="14" t="str">
        <f aca="false">IF(OR($D193="",$F193=""),"",IF($E193&gt;0,INDEX('R1. Tree Coefficients'!$F:$F,$F193+2)*($D193^INDEX('R1. Tree Coefficients'!$G:$G,$F193+2))*($E193^INDEX('R1. Tree Coefficients'!$H:$H,$F193+2)),INDEX('R1. Tree Coefficients'!$D:$D,$F193+2)*($D193^INDEX('R1. Tree Coefficients'!$E:$E,$F193+2))))</f>
        <v/>
      </c>
      <c r="K193" s="14" t="str">
        <f aca="false">IF(OR($D193="",$F193=""),"",IF($E193&gt;0,INDEX('R1. Tree Coefficients'!$F:$F,$F193+3)*($D193^INDEX('R1. Tree Coefficients'!$G:$G,$F193+3))*($E193^INDEX('R1. Tree Coefficients'!$H:$H,$F193+3)),INDEX('R1. Tree Coefficients'!$D:$D,$F193+3)*($D193^INDEX('R1. Tree Coefficients'!$E:$E,$F193+3))))</f>
        <v/>
      </c>
      <c r="L193" s="14" t="str">
        <f aca="false">IF($F193="","",IFERROR(SUM($H193:$K193),""))</f>
        <v/>
      </c>
      <c r="M193" s="14" t="str">
        <f aca="false">IF($F193="","",INDEX('R1. Tree Coefficients'!$J:$J,$F193))</f>
        <v/>
      </c>
      <c r="N193" s="14" t="str">
        <f aca="false">IF($L193="","",IF($M193="Deciduous",BGB_RS_DECIDUOUS_a*($L193^BGB_RS_DECIDUOUS_b),IF($M193="Conifers",BGB_RS_CONIFER*$L193,AVERAGE(BGB_RS_DECIDUOUS_a*($L193^BGB_RS_DECIDUOUS_b),BGB_RS_CONIFER*$L193))))</f>
        <v/>
      </c>
      <c r="O193" s="14" t="str">
        <f aca="false">IF($L193="","",$L193+$N193)</f>
        <v/>
      </c>
      <c r="P193" s="14" t="str">
        <f aca="false">IF($O193="","",$O193*CARBON_FRACTION_BIOMASS)</f>
        <v/>
      </c>
      <c r="Q193" s="14" t="str">
        <f aca="false">IF(AND($A193="",$C193=""),"",IF(AND($A193&lt;&gt;"",COUNTIF('1. Plot &amp; Site Log'!$A$5:$A$64,$A193)=0),"Plot ID not in Plot &amp; Site Log — this tree will not reach the summary. ","")&amp;IF($A193="","No Plot ID. ","")&amp;IF(AND($C193&lt;&gt;"",$F193=""),"Species not in the coefficient list — check the spelling against R1. ","")&amp;IF($D193="","No DBH — nothing can be calculated. ","")&amp;IF(AND($D193&lt;&gt;"",$D193&gt;QC_DBH_MAX_CM),"DBH above "&amp;QC_DBH_MAX_CM&amp;" cm — check for a transcription error. ","")&amp;IF($M193="All","Generic species: no published root:shoot applies, so below-ground biomass is the mean of the deciduous and conifer relationships. Choose a species, or Deciduous/Conifers, if you can. ","")&amp;IF(AND($O193&lt;&gt;"",$O193&gt;0,OR($N193/$O193&lt;BGB_FRACTION_MIN,$N193/$O193&gt;BGB_FRACTION_MAX)),"Below-ground share is "&amp;TEXT($N193/$O193,"0%")&amp;", outside the 18–30% the Trees guide describes. ",""))</f>
        <v/>
      </c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4" t="str">
        <f aca="false">IF($C194="","",IFERROR(12+(MATCH($C194,'R1. Tree Coefficients'!$L$12:$L$53,0)-1)*4,""))</f>
        <v/>
      </c>
      <c r="G194" s="14" t="str">
        <f aca="false">IF($F194="","",IF(AND($E194&lt;&gt;"",$E194&gt;0),"DBH + height","DBH only"))</f>
        <v/>
      </c>
      <c r="H194" s="14" t="str">
        <f aca="false">IF(OR($D194="",$F194=""),"",IF($E194&gt;0,INDEX('R1. Tree Coefficients'!$F:$F,$F194+0)*($D194^INDEX('R1. Tree Coefficients'!$G:$G,$F194+0))*($E194^INDEX('R1. Tree Coefficients'!$H:$H,$F194+0)),INDEX('R1. Tree Coefficients'!$D:$D,$F194+0)*($D194^INDEX('R1. Tree Coefficients'!$E:$E,$F194+0))))</f>
        <v/>
      </c>
      <c r="I194" s="14" t="str">
        <f aca="false">IF(OR($D194="",$F194=""),"",IF($E194&gt;0,INDEX('R1. Tree Coefficients'!$F:$F,$F194+1)*($D194^INDEX('R1. Tree Coefficients'!$G:$G,$F194+1))*($E194^INDEX('R1. Tree Coefficients'!$H:$H,$F194+1)),INDEX('R1. Tree Coefficients'!$D:$D,$F194+1)*($D194^INDEX('R1. Tree Coefficients'!$E:$E,$F194+1))))</f>
        <v/>
      </c>
      <c r="J194" s="14" t="str">
        <f aca="false">IF(OR($D194="",$F194=""),"",IF($E194&gt;0,INDEX('R1. Tree Coefficients'!$F:$F,$F194+2)*($D194^INDEX('R1. Tree Coefficients'!$G:$G,$F194+2))*($E194^INDEX('R1. Tree Coefficients'!$H:$H,$F194+2)),INDEX('R1. Tree Coefficients'!$D:$D,$F194+2)*($D194^INDEX('R1. Tree Coefficients'!$E:$E,$F194+2))))</f>
        <v/>
      </c>
      <c r="K194" s="14" t="str">
        <f aca="false">IF(OR($D194="",$F194=""),"",IF($E194&gt;0,INDEX('R1. Tree Coefficients'!$F:$F,$F194+3)*($D194^INDEX('R1. Tree Coefficients'!$G:$G,$F194+3))*($E194^INDEX('R1. Tree Coefficients'!$H:$H,$F194+3)),INDEX('R1. Tree Coefficients'!$D:$D,$F194+3)*($D194^INDEX('R1. Tree Coefficients'!$E:$E,$F194+3))))</f>
        <v/>
      </c>
      <c r="L194" s="14" t="str">
        <f aca="false">IF($F194="","",IFERROR(SUM($H194:$K194),""))</f>
        <v/>
      </c>
      <c r="M194" s="14" t="str">
        <f aca="false">IF($F194="","",INDEX('R1. Tree Coefficients'!$J:$J,$F194))</f>
        <v/>
      </c>
      <c r="N194" s="14" t="str">
        <f aca="false">IF($L194="","",IF($M194="Deciduous",BGB_RS_DECIDUOUS_a*($L194^BGB_RS_DECIDUOUS_b),IF($M194="Conifers",BGB_RS_CONIFER*$L194,AVERAGE(BGB_RS_DECIDUOUS_a*($L194^BGB_RS_DECIDUOUS_b),BGB_RS_CONIFER*$L194))))</f>
        <v/>
      </c>
      <c r="O194" s="14" t="str">
        <f aca="false">IF($L194="","",$L194+$N194)</f>
        <v/>
      </c>
      <c r="P194" s="14" t="str">
        <f aca="false">IF($O194="","",$O194*CARBON_FRACTION_BIOMASS)</f>
        <v/>
      </c>
      <c r="Q194" s="14" t="str">
        <f aca="false">IF(AND($A194="",$C194=""),"",IF(AND($A194&lt;&gt;"",COUNTIF('1. Plot &amp; Site Log'!$A$5:$A$64,$A194)=0),"Plot ID not in Plot &amp; Site Log — this tree will not reach the summary. ","")&amp;IF($A194="","No Plot ID. ","")&amp;IF(AND($C194&lt;&gt;"",$F194=""),"Species not in the coefficient list — check the spelling against R1. ","")&amp;IF($D194="","No DBH — nothing can be calculated. ","")&amp;IF(AND($D194&lt;&gt;"",$D194&gt;QC_DBH_MAX_CM),"DBH above "&amp;QC_DBH_MAX_CM&amp;" cm — check for a transcription error. ","")&amp;IF($M194="All","Generic species: no published root:shoot applies, so below-ground biomass is the mean of the deciduous and conifer relationships. Choose a species, or Deciduous/Conifers, if you can. ","")&amp;IF(AND($O194&lt;&gt;"",$O194&gt;0,OR($N194/$O194&lt;BGB_FRACTION_MIN,$N194/$O194&gt;BGB_FRACTION_MAX)),"Below-ground share is "&amp;TEXT($N194/$O194,"0%")&amp;", outside the 18–30% the Trees guide describes. ",""))</f>
        <v/>
      </c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4" t="str">
        <f aca="false">IF($C195="","",IFERROR(12+(MATCH($C195,'R1. Tree Coefficients'!$L$12:$L$53,0)-1)*4,""))</f>
        <v/>
      </c>
      <c r="G195" s="14" t="str">
        <f aca="false">IF($F195="","",IF(AND($E195&lt;&gt;"",$E195&gt;0),"DBH + height","DBH only"))</f>
        <v/>
      </c>
      <c r="H195" s="14" t="str">
        <f aca="false">IF(OR($D195="",$F195=""),"",IF($E195&gt;0,INDEX('R1. Tree Coefficients'!$F:$F,$F195+0)*($D195^INDEX('R1. Tree Coefficients'!$G:$G,$F195+0))*($E195^INDEX('R1. Tree Coefficients'!$H:$H,$F195+0)),INDEX('R1. Tree Coefficients'!$D:$D,$F195+0)*($D195^INDEX('R1. Tree Coefficients'!$E:$E,$F195+0))))</f>
        <v/>
      </c>
      <c r="I195" s="14" t="str">
        <f aca="false">IF(OR($D195="",$F195=""),"",IF($E195&gt;0,INDEX('R1. Tree Coefficients'!$F:$F,$F195+1)*($D195^INDEX('R1. Tree Coefficients'!$G:$G,$F195+1))*($E195^INDEX('R1. Tree Coefficients'!$H:$H,$F195+1)),INDEX('R1. Tree Coefficients'!$D:$D,$F195+1)*($D195^INDEX('R1. Tree Coefficients'!$E:$E,$F195+1))))</f>
        <v/>
      </c>
      <c r="J195" s="14" t="str">
        <f aca="false">IF(OR($D195="",$F195=""),"",IF($E195&gt;0,INDEX('R1. Tree Coefficients'!$F:$F,$F195+2)*($D195^INDEX('R1. Tree Coefficients'!$G:$G,$F195+2))*($E195^INDEX('R1. Tree Coefficients'!$H:$H,$F195+2)),INDEX('R1. Tree Coefficients'!$D:$D,$F195+2)*($D195^INDEX('R1. Tree Coefficients'!$E:$E,$F195+2))))</f>
        <v/>
      </c>
      <c r="K195" s="14" t="str">
        <f aca="false">IF(OR($D195="",$F195=""),"",IF($E195&gt;0,INDEX('R1. Tree Coefficients'!$F:$F,$F195+3)*($D195^INDEX('R1. Tree Coefficients'!$G:$G,$F195+3))*($E195^INDEX('R1. Tree Coefficients'!$H:$H,$F195+3)),INDEX('R1. Tree Coefficients'!$D:$D,$F195+3)*($D195^INDEX('R1. Tree Coefficients'!$E:$E,$F195+3))))</f>
        <v/>
      </c>
      <c r="L195" s="14" t="str">
        <f aca="false">IF($F195="","",IFERROR(SUM($H195:$K195),""))</f>
        <v/>
      </c>
      <c r="M195" s="14" t="str">
        <f aca="false">IF($F195="","",INDEX('R1. Tree Coefficients'!$J:$J,$F195))</f>
        <v/>
      </c>
      <c r="N195" s="14" t="str">
        <f aca="false">IF($L195="","",IF($M195="Deciduous",BGB_RS_DECIDUOUS_a*($L195^BGB_RS_DECIDUOUS_b),IF($M195="Conifers",BGB_RS_CONIFER*$L195,AVERAGE(BGB_RS_DECIDUOUS_a*($L195^BGB_RS_DECIDUOUS_b),BGB_RS_CONIFER*$L195))))</f>
        <v/>
      </c>
      <c r="O195" s="14" t="str">
        <f aca="false">IF($L195="","",$L195+$N195)</f>
        <v/>
      </c>
      <c r="P195" s="14" t="str">
        <f aca="false">IF($O195="","",$O195*CARBON_FRACTION_BIOMASS)</f>
        <v/>
      </c>
      <c r="Q195" s="14" t="str">
        <f aca="false">IF(AND($A195="",$C195=""),"",IF(AND($A195&lt;&gt;"",COUNTIF('1. Plot &amp; Site Log'!$A$5:$A$64,$A195)=0),"Plot ID not in Plot &amp; Site Log — this tree will not reach the summary. ","")&amp;IF($A195="","No Plot ID. ","")&amp;IF(AND($C195&lt;&gt;"",$F195=""),"Species not in the coefficient list — check the spelling against R1. ","")&amp;IF($D195="","No DBH — nothing can be calculated. ","")&amp;IF(AND($D195&lt;&gt;"",$D195&gt;QC_DBH_MAX_CM),"DBH above "&amp;QC_DBH_MAX_CM&amp;" cm — check for a transcription error. ","")&amp;IF($M195="All","Generic species: no published root:shoot applies, so below-ground biomass is the mean of the deciduous and conifer relationships. Choose a species, or Deciduous/Conifers, if you can. ","")&amp;IF(AND($O195&lt;&gt;"",$O195&gt;0,OR($N195/$O195&lt;BGB_FRACTION_MIN,$N195/$O195&gt;BGB_FRACTION_MAX)),"Below-ground share is "&amp;TEXT($N195/$O195,"0%")&amp;", outside the 18–30% the Trees guide describes. ",""))</f>
        <v/>
      </c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4" t="str">
        <f aca="false">IF($C196="","",IFERROR(12+(MATCH($C196,'R1. Tree Coefficients'!$L$12:$L$53,0)-1)*4,""))</f>
        <v/>
      </c>
      <c r="G196" s="14" t="str">
        <f aca="false">IF($F196="","",IF(AND($E196&lt;&gt;"",$E196&gt;0),"DBH + height","DBH only"))</f>
        <v/>
      </c>
      <c r="H196" s="14" t="str">
        <f aca="false">IF(OR($D196="",$F196=""),"",IF($E196&gt;0,INDEX('R1. Tree Coefficients'!$F:$F,$F196+0)*($D196^INDEX('R1. Tree Coefficients'!$G:$G,$F196+0))*($E196^INDEX('R1. Tree Coefficients'!$H:$H,$F196+0)),INDEX('R1. Tree Coefficients'!$D:$D,$F196+0)*($D196^INDEX('R1. Tree Coefficients'!$E:$E,$F196+0))))</f>
        <v/>
      </c>
      <c r="I196" s="14" t="str">
        <f aca="false">IF(OR($D196="",$F196=""),"",IF($E196&gt;0,INDEX('R1. Tree Coefficients'!$F:$F,$F196+1)*($D196^INDEX('R1. Tree Coefficients'!$G:$G,$F196+1))*($E196^INDEX('R1. Tree Coefficients'!$H:$H,$F196+1)),INDEX('R1. Tree Coefficients'!$D:$D,$F196+1)*($D196^INDEX('R1. Tree Coefficients'!$E:$E,$F196+1))))</f>
        <v/>
      </c>
      <c r="J196" s="14" t="str">
        <f aca="false">IF(OR($D196="",$F196=""),"",IF($E196&gt;0,INDEX('R1. Tree Coefficients'!$F:$F,$F196+2)*($D196^INDEX('R1. Tree Coefficients'!$G:$G,$F196+2))*($E196^INDEX('R1. Tree Coefficients'!$H:$H,$F196+2)),INDEX('R1. Tree Coefficients'!$D:$D,$F196+2)*($D196^INDEX('R1. Tree Coefficients'!$E:$E,$F196+2))))</f>
        <v/>
      </c>
      <c r="K196" s="14" t="str">
        <f aca="false">IF(OR($D196="",$F196=""),"",IF($E196&gt;0,INDEX('R1. Tree Coefficients'!$F:$F,$F196+3)*($D196^INDEX('R1. Tree Coefficients'!$G:$G,$F196+3))*($E196^INDEX('R1. Tree Coefficients'!$H:$H,$F196+3)),INDEX('R1. Tree Coefficients'!$D:$D,$F196+3)*($D196^INDEX('R1. Tree Coefficients'!$E:$E,$F196+3))))</f>
        <v/>
      </c>
      <c r="L196" s="14" t="str">
        <f aca="false">IF($F196="","",IFERROR(SUM($H196:$K196),""))</f>
        <v/>
      </c>
      <c r="M196" s="14" t="str">
        <f aca="false">IF($F196="","",INDEX('R1. Tree Coefficients'!$J:$J,$F196))</f>
        <v/>
      </c>
      <c r="N196" s="14" t="str">
        <f aca="false">IF($L196="","",IF($M196="Deciduous",BGB_RS_DECIDUOUS_a*($L196^BGB_RS_DECIDUOUS_b),IF($M196="Conifers",BGB_RS_CONIFER*$L196,AVERAGE(BGB_RS_DECIDUOUS_a*($L196^BGB_RS_DECIDUOUS_b),BGB_RS_CONIFER*$L196))))</f>
        <v/>
      </c>
      <c r="O196" s="14" t="str">
        <f aca="false">IF($L196="","",$L196+$N196)</f>
        <v/>
      </c>
      <c r="P196" s="14" t="str">
        <f aca="false">IF($O196="","",$O196*CARBON_FRACTION_BIOMASS)</f>
        <v/>
      </c>
      <c r="Q196" s="14" t="str">
        <f aca="false">IF(AND($A196="",$C196=""),"",IF(AND($A196&lt;&gt;"",COUNTIF('1. Plot &amp; Site Log'!$A$5:$A$64,$A196)=0),"Plot ID not in Plot &amp; Site Log — this tree will not reach the summary. ","")&amp;IF($A196="","No Plot ID. ","")&amp;IF(AND($C196&lt;&gt;"",$F196=""),"Species not in the coefficient list — check the spelling against R1. ","")&amp;IF($D196="","No DBH — nothing can be calculated. ","")&amp;IF(AND($D196&lt;&gt;"",$D196&gt;QC_DBH_MAX_CM),"DBH above "&amp;QC_DBH_MAX_CM&amp;" cm — check for a transcription error. ","")&amp;IF($M196="All","Generic species: no published root:shoot applies, so below-ground biomass is the mean of the deciduous and conifer relationships. Choose a species, or Deciduous/Conifers, if you can. ","")&amp;IF(AND($O196&lt;&gt;"",$O196&gt;0,OR($N196/$O196&lt;BGB_FRACTION_MIN,$N196/$O196&gt;BGB_FRACTION_MAX)),"Below-ground share is "&amp;TEXT($N196/$O196,"0%")&amp;", outside the 18–30% the Trees guide describes. ",""))</f>
        <v/>
      </c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4" t="str">
        <f aca="false">IF($C197="","",IFERROR(12+(MATCH($C197,'R1. Tree Coefficients'!$L$12:$L$53,0)-1)*4,""))</f>
        <v/>
      </c>
      <c r="G197" s="14" t="str">
        <f aca="false">IF($F197="","",IF(AND($E197&lt;&gt;"",$E197&gt;0),"DBH + height","DBH only"))</f>
        <v/>
      </c>
      <c r="H197" s="14" t="str">
        <f aca="false">IF(OR($D197="",$F197=""),"",IF($E197&gt;0,INDEX('R1. Tree Coefficients'!$F:$F,$F197+0)*($D197^INDEX('R1. Tree Coefficients'!$G:$G,$F197+0))*($E197^INDEX('R1. Tree Coefficients'!$H:$H,$F197+0)),INDEX('R1. Tree Coefficients'!$D:$D,$F197+0)*($D197^INDEX('R1. Tree Coefficients'!$E:$E,$F197+0))))</f>
        <v/>
      </c>
      <c r="I197" s="14" t="str">
        <f aca="false">IF(OR($D197="",$F197=""),"",IF($E197&gt;0,INDEX('R1. Tree Coefficients'!$F:$F,$F197+1)*($D197^INDEX('R1. Tree Coefficients'!$G:$G,$F197+1))*($E197^INDEX('R1. Tree Coefficients'!$H:$H,$F197+1)),INDEX('R1. Tree Coefficients'!$D:$D,$F197+1)*($D197^INDEX('R1. Tree Coefficients'!$E:$E,$F197+1))))</f>
        <v/>
      </c>
      <c r="J197" s="14" t="str">
        <f aca="false">IF(OR($D197="",$F197=""),"",IF($E197&gt;0,INDEX('R1. Tree Coefficients'!$F:$F,$F197+2)*($D197^INDEX('R1. Tree Coefficients'!$G:$G,$F197+2))*($E197^INDEX('R1. Tree Coefficients'!$H:$H,$F197+2)),INDEX('R1. Tree Coefficients'!$D:$D,$F197+2)*($D197^INDEX('R1. Tree Coefficients'!$E:$E,$F197+2))))</f>
        <v/>
      </c>
      <c r="K197" s="14" t="str">
        <f aca="false">IF(OR($D197="",$F197=""),"",IF($E197&gt;0,INDEX('R1. Tree Coefficients'!$F:$F,$F197+3)*($D197^INDEX('R1. Tree Coefficients'!$G:$G,$F197+3))*($E197^INDEX('R1. Tree Coefficients'!$H:$H,$F197+3)),INDEX('R1. Tree Coefficients'!$D:$D,$F197+3)*($D197^INDEX('R1. Tree Coefficients'!$E:$E,$F197+3))))</f>
        <v/>
      </c>
      <c r="L197" s="14" t="str">
        <f aca="false">IF($F197="","",IFERROR(SUM($H197:$K197),""))</f>
        <v/>
      </c>
      <c r="M197" s="14" t="str">
        <f aca="false">IF($F197="","",INDEX('R1. Tree Coefficients'!$J:$J,$F197))</f>
        <v/>
      </c>
      <c r="N197" s="14" t="str">
        <f aca="false">IF($L197="","",IF($M197="Deciduous",BGB_RS_DECIDUOUS_a*($L197^BGB_RS_DECIDUOUS_b),IF($M197="Conifers",BGB_RS_CONIFER*$L197,AVERAGE(BGB_RS_DECIDUOUS_a*($L197^BGB_RS_DECIDUOUS_b),BGB_RS_CONIFER*$L197))))</f>
        <v/>
      </c>
      <c r="O197" s="14" t="str">
        <f aca="false">IF($L197="","",$L197+$N197)</f>
        <v/>
      </c>
      <c r="P197" s="14" t="str">
        <f aca="false">IF($O197="","",$O197*CARBON_FRACTION_BIOMASS)</f>
        <v/>
      </c>
      <c r="Q197" s="14" t="str">
        <f aca="false">IF(AND($A197="",$C197=""),"",IF(AND($A197&lt;&gt;"",COUNTIF('1. Plot &amp; Site Log'!$A$5:$A$64,$A197)=0),"Plot ID not in Plot &amp; Site Log — this tree will not reach the summary. ","")&amp;IF($A197="","No Plot ID. ","")&amp;IF(AND($C197&lt;&gt;"",$F197=""),"Species not in the coefficient list — check the spelling against R1. ","")&amp;IF($D197="","No DBH — nothing can be calculated. ","")&amp;IF(AND($D197&lt;&gt;"",$D197&gt;QC_DBH_MAX_CM),"DBH above "&amp;QC_DBH_MAX_CM&amp;" cm — check for a transcription error. ","")&amp;IF($M197="All","Generic species: no published root:shoot applies, so below-ground biomass is the mean of the deciduous and conifer relationships. Choose a species, or Deciduous/Conifers, if you can. ","")&amp;IF(AND($O197&lt;&gt;"",$O197&gt;0,OR($N197/$O197&lt;BGB_FRACTION_MIN,$N197/$O197&gt;BGB_FRACTION_MAX)),"Below-ground share is "&amp;TEXT($N197/$O197,"0%")&amp;", outside the 18–30% the Trees guide describes. ",""))</f>
        <v/>
      </c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4" t="str">
        <f aca="false">IF($C198="","",IFERROR(12+(MATCH($C198,'R1. Tree Coefficients'!$L$12:$L$53,0)-1)*4,""))</f>
        <v/>
      </c>
      <c r="G198" s="14" t="str">
        <f aca="false">IF($F198="","",IF(AND($E198&lt;&gt;"",$E198&gt;0),"DBH + height","DBH only"))</f>
        <v/>
      </c>
      <c r="H198" s="14" t="str">
        <f aca="false">IF(OR($D198="",$F198=""),"",IF($E198&gt;0,INDEX('R1. Tree Coefficients'!$F:$F,$F198+0)*($D198^INDEX('R1. Tree Coefficients'!$G:$G,$F198+0))*($E198^INDEX('R1. Tree Coefficients'!$H:$H,$F198+0)),INDEX('R1. Tree Coefficients'!$D:$D,$F198+0)*($D198^INDEX('R1. Tree Coefficients'!$E:$E,$F198+0))))</f>
        <v/>
      </c>
      <c r="I198" s="14" t="str">
        <f aca="false">IF(OR($D198="",$F198=""),"",IF($E198&gt;0,INDEX('R1. Tree Coefficients'!$F:$F,$F198+1)*($D198^INDEX('R1. Tree Coefficients'!$G:$G,$F198+1))*($E198^INDEX('R1. Tree Coefficients'!$H:$H,$F198+1)),INDEX('R1. Tree Coefficients'!$D:$D,$F198+1)*($D198^INDEX('R1. Tree Coefficients'!$E:$E,$F198+1))))</f>
        <v/>
      </c>
      <c r="J198" s="14" t="str">
        <f aca="false">IF(OR($D198="",$F198=""),"",IF($E198&gt;0,INDEX('R1. Tree Coefficients'!$F:$F,$F198+2)*($D198^INDEX('R1. Tree Coefficients'!$G:$G,$F198+2))*($E198^INDEX('R1. Tree Coefficients'!$H:$H,$F198+2)),INDEX('R1. Tree Coefficients'!$D:$D,$F198+2)*($D198^INDEX('R1. Tree Coefficients'!$E:$E,$F198+2))))</f>
        <v/>
      </c>
      <c r="K198" s="14" t="str">
        <f aca="false">IF(OR($D198="",$F198=""),"",IF($E198&gt;0,INDEX('R1. Tree Coefficients'!$F:$F,$F198+3)*($D198^INDEX('R1. Tree Coefficients'!$G:$G,$F198+3))*($E198^INDEX('R1. Tree Coefficients'!$H:$H,$F198+3)),INDEX('R1. Tree Coefficients'!$D:$D,$F198+3)*($D198^INDEX('R1. Tree Coefficients'!$E:$E,$F198+3))))</f>
        <v/>
      </c>
      <c r="L198" s="14" t="str">
        <f aca="false">IF($F198="","",IFERROR(SUM($H198:$K198),""))</f>
        <v/>
      </c>
      <c r="M198" s="14" t="str">
        <f aca="false">IF($F198="","",INDEX('R1. Tree Coefficients'!$J:$J,$F198))</f>
        <v/>
      </c>
      <c r="N198" s="14" t="str">
        <f aca="false">IF($L198="","",IF($M198="Deciduous",BGB_RS_DECIDUOUS_a*($L198^BGB_RS_DECIDUOUS_b),IF($M198="Conifers",BGB_RS_CONIFER*$L198,AVERAGE(BGB_RS_DECIDUOUS_a*($L198^BGB_RS_DECIDUOUS_b),BGB_RS_CONIFER*$L198))))</f>
        <v/>
      </c>
      <c r="O198" s="14" t="str">
        <f aca="false">IF($L198="","",$L198+$N198)</f>
        <v/>
      </c>
      <c r="P198" s="14" t="str">
        <f aca="false">IF($O198="","",$O198*CARBON_FRACTION_BIOMASS)</f>
        <v/>
      </c>
      <c r="Q198" s="14" t="str">
        <f aca="false">IF(AND($A198="",$C198=""),"",IF(AND($A198&lt;&gt;"",COUNTIF('1. Plot &amp; Site Log'!$A$5:$A$64,$A198)=0),"Plot ID not in Plot &amp; Site Log — this tree will not reach the summary. ","")&amp;IF($A198="","No Plot ID. ","")&amp;IF(AND($C198&lt;&gt;"",$F198=""),"Species not in the coefficient list — check the spelling against R1. ","")&amp;IF($D198="","No DBH — nothing can be calculated. ","")&amp;IF(AND($D198&lt;&gt;"",$D198&gt;QC_DBH_MAX_CM),"DBH above "&amp;QC_DBH_MAX_CM&amp;" cm — check for a transcription error. ","")&amp;IF($M198="All","Generic species: no published root:shoot applies, so below-ground biomass is the mean of the deciduous and conifer relationships. Choose a species, or Deciduous/Conifers, if you can. ","")&amp;IF(AND($O198&lt;&gt;"",$O198&gt;0,OR($N198/$O198&lt;BGB_FRACTION_MIN,$N198/$O198&gt;BGB_FRACTION_MAX)),"Below-ground share is "&amp;TEXT($N198/$O198,"0%")&amp;", outside the 18–30% the Trees guide describes. ",""))</f>
        <v/>
      </c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4" t="str">
        <f aca="false">IF($C199="","",IFERROR(12+(MATCH($C199,'R1. Tree Coefficients'!$L$12:$L$53,0)-1)*4,""))</f>
        <v/>
      </c>
      <c r="G199" s="14" t="str">
        <f aca="false">IF($F199="","",IF(AND($E199&lt;&gt;"",$E199&gt;0),"DBH + height","DBH only"))</f>
        <v/>
      </c>
      <c r="H199" s="14" t="str">
        <f aca="false">IF(OR($D199="",$F199=""),"",IF($E199&gt;0,INDEX('R1. Tree Coefficients'!$F:$F,$F199+0)*($D199^INDEX('R1. Tree Coefficients'!$G:$G,$F199+0))*($E199^INDEX('R1. Tree Coefficients'!$H:$H,$F199+0)),INDEX('R1. Tree Coefficients'!$D:$D,$F199+0)*($D199^INDEX('R1. Tree Coefficients'!$E:$E,$F199+0))))</f>
        <v/>
      </c>
      <c r="I199" s="14" t="str">
        <f aca="false">IF(OR($D199="",$F199=""),"",IF($E199&gt;0,INDEX('R1. Tree Coefficients'!$F:$F,$F199+1)*($D199^INDEX('R1. Tree Coefficients'!$G:$G,$F199+1))*($E199^INDEX('R1. Tree Coefficients'!$H:$H,$F199+1)),INDEX('R1. Tree Coefficients'!$D:$D,$F199+1)*($D199^INDEX('R1. Tree Coefficients'!$E:$E,$F199+1))))</f>
        <v/>
      </c>
      <c r="J199" s="14" t="str">
        <f aca="false">IF(OR($D199="",$F199=""),"",IF($E199&gt;0,INDEX('R1. Tree Coefficients'!$F:$F,$F199+2)*($D199^INDEX('R1. Tree Coefficients'!$G:$G,$F199+2))*($E199^INDEX('R1. Tree Coefficients'!$H:$H,$F199+2)),INDEX('R1. Tree Coefficients'!$D:$D,$F199+2)*($D199^INDEX('R1. Tree Coefficients'!$E:$E,$F199+2))))</f>
        <v/>
      </c>
      <c r="K199" s="14" t="str">
        <f aca="false">IF(OR($D199="",$F199=""),"",IF($E199&gt;0,INDEX('R1. Tree Coefficients'!$F:$F,$F199+3)*($D199^INDEX('R1. Tree Coefficients'!$G:$G,$F199+3))*($E199^INDEX('R1. Tree Coefficients'!$H:$H,$F199+3)),INDEX('R1. Tree Coefficients'!$D:$D,$F199+3)*($D199^INDEX('R1. Tree Coefficients'!$E:$E,$F199+3))))</f>
        <v/>
      </c>
      <c r="L199" s="14" t="str">
        <f aca="false">IF($F199="","",IFERROR(SUM($H199:$K199),""))</f>
        <v/>
      </c>
      <c r="M199" s="14" t="str">
        <f aca="false">IF($F199="","",INDEX('R1. Tree Coefficients'!$J:$J,$F199))</f>
        <v/>
      </c>
      <c r="N199" s="14" t="str">
        <f aca="false">IF($L199="","",IF($M199="Deciduous",BGB_RS_DECIDUOUS_a*($L199^BGB_RS_DECIDUOUS_b),IF($M199="Conifers",BGB_RS_CONIFER*$L199,AVERAGE(BGB_RS_DECIDUOUS_a*($L199^BGB_RS_DECIDUOUS_b),BGB_RS_CONIFER*$L199))))</f>
        <v/>
      </c>
      <c r="O199" s="14" t="str">
        <f aca="false">IF($L199="","",$L199+$N199)</f>
        <v/>
      </c>
      <c r="P199" s="14" t="str">
        <f aca="false">IF($O199="","",$O199*CARBON_FRACTION_BIOMASS)</f>
        <v/>
      </c>
      <c r="Q199" s="14" t="str">
        <f aca="false">IF(AND($A199="",$C199=""),"",IF(AND($A199&lt;&gt;"",COUNTIF('1. Plot &amp; Site Log'!$A$5:$A$64,$A199)=0),"Plot ID not in Plot &amp; Site Log — this tree will not reach the summary. ","")&amp;IF($A199="","No Plot ID. ","")&amp;IF(AND($C199&lt;&gt;"",$F199=""),"Species not in the coefficient list — check the spelling against R1. ","")&amp;IF($D199="","No DBH — nothing can be calculated. ","")&amp;IF(AND($D199&lt;&gt;"",$D199&gt;QC_DBH_MAX_CM),"DBH above "&amp;QC_DBH_MAX_CM&amp;" cm — check for a transcription error. ","")&amp;IF($M199="All","Generic species: no published root:shoot applies, so below-ground biomass is the mean of the deciduous and conifer relationships. Choose a species, or Deciduous/Conifers, if you can. ","")&amp;IF(AND($O199&lt;&gt;"",$O199&gt;0,OR($N199/$O199&lt;BGB_FRACTION_MIN,$N199/$O199&gt;BGB_FRACTION_MAX)),"Below-ground share is "&amp;TEXT($N199/$O199,"0%")&amp;", outside the 18–30% the Trees guide describes. ",""))</f>
        <v/>
      </c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4" t="str">
        <f aca="false">IF($C200="","",IFERROR(12+(MATCH($C200,'R1. Tree Coefficients'!$L$12:$L$53,0)-1)*4,""))</f>
        <v/>
      </c>
      <c r="G200" s="14" t="str">
        <f aca="false">IF($F200="","",IF(AND($E200&lt;&gt;"",$E200&gt;0),"DBH + height","DBH only"))</f>
        <v/>
      </c>
      <c r="H200" s="14" t="str">
        <f aca="false">IF(OR($D200="",$F200=""),"",IF($E200&gt;0,INDEX('R1. Tree Coefficients'!$F:$F,$F200+0)*($D200^INDEX('R1. Tree Coefficients'!$G:$G,$F200+0))*($E200^INDEX('R1. Tree Coefficients'!$H:$H,$F200+0)),INDEX('R1. Tree Coefficients'!$D:$D,$F200+0)*($D200^INDEX('R1. Tree Coefficients'!$E:$E,$F200+0))))</f>
        <v/>
      </c>
      <c r="I200" s="14" t="str">
        <f aca="false">IF(OR($D200="",$F200=""),"",IF($E200&gt;0,INDEX('R1. Tree Coefficients'!$F:$F,$F200+1)*($D200^INDEX('R1. Tree Coefficients'!$G:$G,$F200+1))*($E200^INDEX('R1. Tree Coefficients'!$H:$H,$F200+1)),INDEX('R1. Tree Coefficients'!$D:$D,$F200+1)*($D200^INDEX('R1. Tree Coefficients'!$E:$E,$F200+1))))</f>
        <v/>
      </c>
      <c r="J200" s="14" t="str">
        <f aca="false">IF(OR($D200="",$F200=""),"",IF($E200&gt;0,INDEX('R1. Tree Coefficients'!$F:$F,$F200+2)*($D200^INDEX('R1. Tree Coefficients'!$G:$G,$F200+2))*($E200^INDEX('R1. Tree Coefficients'!$H:$H,$F200+2)),INDEX('R1. Tree Coefficients'!$D:$D,$F200+2)*($D200^INDEX('R1. Tree Coefficients'!$E:$E,$F200+2))))</f>
        <v/>
      </c>
      <c r="K200" s="14" t="str">
        <f aca="false">IF(OR($D200="",$F200=""),"",IF($E200&gt;0,INDEX('R1. Tree Coefficients'!$F:$F,$F200+3)*($D200^INDEX('R1. Tree Coefficients'!$G:$G,$F200+3))*($E200^INDEX('R1. Tree Coefficients'!$H:$H,$F200+3)),INDEX('R1. Tree Coefficients'!$D:$D,$F200+3)*($D200^INDEX('R1. Tree Coefficients'!$E:$E,$F200+3))))</f>
        <v/>
      </c>
      <c r="L200" s="14" t="str">
        <f aca="false">IF($F200="","",IFERROR(SUM($H200:$K200),""))</f>
        <v/>
      </c>
      <c r="M200" s="14" t="str">
        <f aca="false">IF($F200="","",INDEX('R1. Tree Coefficients'!$J:$J,$F200))</f>
        <v/>
      </c>
      <c r="N200" s="14" t="str">
        <f aca="false">IF($L200="","",IF($M200="Deciduous",BGB_RS_DECIDUOUS_a*($L200^BGB_RS_DECIDUOUS_b),IF($M200="Conifers",BGB_RS_CONIFER*$L200,AVERAGE(BGB_RS_DECIDUOUS_a*($L200^BGB_RS_DECIDUOUS_b),BGB_RS_CONIFER*$L200))))</f>
        <v/>
      </c>
      <c r="O200" s="14" t="str">
        <f aca="false">IF($L200="","",$L200+$N200)</f>
        <v/>
      </c>
      <c r="P200" s="14" t="str">
        <f aca="false">IF($O200="","",$O200*CARBON_FRACTION_BIOMASS)</f>
        <v/>
      </c>
      <c r="Q200" s="14" t="str">
        <f aca="false">IF(AND($A200="",$C200=""),"",IF(AND($A200&lt;&gt;"",COUNTIF('1. Plot &amp; Site Log'!$A$5:$A$64,$A200)=0),"Plot ID not in Plot &amp; Site Log — this tree will not reach the summary. ","")&amp;IF($A200="","No Plot ID. ","")&amp;IF(AND($C200&lt;&gt;"",$F200=""),"Species not in the coefficient list — check the spelling against R1. ","")&amp;IF($D200="","No DBH — nothing can be calculated. ","")&amp;IF(AND($D200&lt;&gt;"",$D200&gt;QC_DBH_MAX_CM),"DBH above "&amp;QC_DBH_MAX_CM&amp;" cm — check for a transcription error. ","")&amp;IF($M200="All","Generic species: no published root:shoot applies, so below-ground biomass is the mean of the deciduous and conifer relationships. Choose a species, or Deciduous/Conifers, if you can. ","")&amp;IF(AND($O200&lt;&gt;"",$O200&gt;0,OR($N200/$O200&lt;BGB_FRACTION_MIN,$N200/$O200&gt;BGB_FRACTION_MAX)),"Below-ground share is "&amp;TEXT($N200/$O200,"0%")&amp;", outside the 18–30% the Trees guide describes. ",""))</f>
        <v/>
      </c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4" t="str">
        <f aca="false">IF($C201="","",IFERROR(12+(MATCH($C201,'R1. Tree Coefficients'!$L$12:$L$53,0)-1)*4,""))</f>
        <v/>
      </c>
      <c r="G201" s="14" t="str">
        <f aca="false">IF($F201="","",IF(AND($E201&lt;&gt;"",$E201&gt;0),"DBH + height","DBH only"))</f>
        <v/>
      </c>
      <c r="H201" s="14" t="str">
        <f aca="false">IF(OR($D201="",$F201=""),"",IF($E201&gt;0,INDEX('R1. Tree Coefficients'!$F:$F,$F201+0)*($D201^INDEX('R1. Tree Coefficients'!$G:$G,$F201+0))*($E201^INDEX('R1. Tree Coefficients'!$H:$H,$F201+0)),INDEX('R1. Tree Coefficients'!$D:$D,$F201+0)*($D201^INDEX('R1. Tree Coefficients'!$E:$E,$F201+0))))</f>
        <v/>
      </c>
      <c r="I201" s="14" t="str">
        <f aca="false">IF(OR($D201="",$F201=""),"",IF($E201&gt;0,INDEX('R1. Tree Coefficients'!$F:$F,$F201+1)*($D201^INDEX('R1. Tree Coefficients'!$G:$G,$F201+1))*($E201^INDEX('R1. Tree Coefficients'!$H:$H,$F201+1)),INDEX('R1. Tree Coefficients'!$D:$D,$F201+1)*($D201^INDEX('R1. Tree Coefficients'!$E:$E,$F201+1))))</f>
        <v/>
      </c>
      <c r="J201" s="14" t="str">
        <f aca="false">IF(OR($D201="",$F201=""),"",IF($E201&gt;0,INDEX('R1. Tree Coefficients'!$F:$F,$F201+2)*($D201^INDEX('R1. Tree Coefficients'!$G:$G,$F201+2))*($E201^INDEX('R1. Tree Coefficients'!$H:$H,$F201+2)),INDEX('R1. Tree Coefficients'!$D:$D,$F201+2)*($D201^INDEX('R1. Tree Coefficients'!$E:$E,$F201+2))))</f>
        <v/>
      </c>
      <c r="K201" s="14" t="str">
        <f aca="false">IF(OR($D201="",$F201=""),"",IF($E201&gt;0,INDEX('R1. Tree Coefficients'!$F:$F,$F201+3)*($D201^INDEX('R1. Tree Coefficients'!$G:$G,$F201+3))*($E201^INDEX('R1. Tree Coefficients'!$H:$H,$F201+3)),INDEX('R1. Tree Coefficients'!$D:$D,$F201+3)*($D201^INDEX('R1. Tree Coefficients'!$E:$E,$F201+3))))</f>
        <v/>
      </c>
      <c r="L201" s="14" t="str">
        <f aca="false">IF($F201="","",IFERROR(SUM($H201:$K201),""))</f>
        <v/>
      </c>
      <c r="M201" s="14" t="str">
        <f aca="false">IF($F201="","",INDEX('R1. Tree Coefficients'!$J:$J,$F201))</f>
        <v/>
      </c>
      <c r="N201" s="14" t="str">
        <f aca="false">IF($L201="","",IF($M201="Deciduous",BGB_RS_DECIDUOUS_a*($L201^BGB_RS_DECIDUOUS_b),IF($M201="Conifers",BGB_RS_CONIFER*$L201,AVERAGE(BGB_RS_DECIDUOUS_a*($L201^BGB_RS_DECIDUOUS_b),BGB_RS_CONIFER*$L201))))</f>
        <v/>
      </c>
      <c r="O201" s="14" t="str">
        <f aca="false">IF($L201="","",$L201+$N201)</f>
        <v/>
      </c>
      <c r="P201" s="14" t="str">
        <f aca="false">IF($O201="","",$O201*CARBON_FRACTION_BIOMASS)</f>
        <v/>
      </c>
      <c r="Q201" s="14" t="str">
        <f aca="false">IF(AND($A201="",$C201=""),"",IF(AND($A201&lt;&gt;"",COUNTIF('1. Plot &amp; Site Log'!$A$5:$A$64,$A201)=0),"Plot ID not in Plot &amp; Site Log — this tree will not reach the summary. ","")&amp;IF($A201="","No Plot ID. ","")&amp;IF(AND($C201&lt;&gt;"",$F201=""),"Species not in the coefficient list — check the spelling against R1. ","")&amp;IF($D201="","No DBH — nothing can be calculated. ","")&amp;IF(AND($D201&lt;&gt;"",$D201&gt;QC_DBH_MAX_CM),"DBH above "&amp;QC_DBH_MAX_CM&amp;" cm — check for a transcription error. ","")&amp;IF($M201="All","Generic species: no published root:shoot applies, so below-ground biomass is the mean of the deciduous and conifer relationships. Choose a species, or Deciduous/Conifers, if you can. ","")&amp;IF(AND($O201&lt;&gt;"",$O201&gt;0,OR($N201/$O201&lt;BGB_FRACTION_MIN,$N201/$O201&gt;BGB_FRACTION_MAX)),"Below-ground share is "&amp;TEXT($N201/$O201,"0%")&amp;", outside the 18–30% the Trees guide describes. ",""))</f>
        <v/>
      </c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4" t="str">
        <f aca="false">IF($C202="","",IFERROR(12+(MATCH($C202,'R1. Tree Coefficients'!$L$12:$L$53,0)-1)*4,""))</f>
        <v/>
      </c>
      <c r="G202" s="14" t="str">
        <f aca="false">IF($F202="","",IF(AND($E202&lt;&gt;"",$E202&gt;0),"DBH + height","DBH only"))</f>
        <v/>
      </c>
      <c r="H202" s="14" t="str">
        <f aca="false">IF(OR($D202="",$F202=""),"",IF($E202&gt;0,INDEX('R1. Tree Coefficients'!$F:$F,$F202+0)*($D202^INDEX('R1. Tree Coefficients'!$G:$G,$F202+0))*($E202^INDEX('R1. Tree Coefficients'!$H:$H,$F202+0)),INDEX('R1. Tree Coefficients'!$D:$D,$F202+0)*($D202^INDEX('R1. Tree Coefficients'!$E:$E,$F202+0))))</f>
        <v/>
      </c>
      <c r="I202" s="14" t="str">
        <f aca="false">IF(OR($D202="",$F202=""),"",IF($E202&gt;0,INDEX('R1. Tree Coefficients'!$F:$F,$F202+1)*($D202^INDEX('R1. Tree Coefficients'!$G:$G,$F202+1))*($E202^INDEX('R1. Tree Coefficients'!$H:$H,$F202+1)),INDEX('R1. Tree Coefficients'!$D:$D,$F202+1)*($D202^INDEX('R1. Tree Coefficients'!$E:$E,$F202+1))))</f>
        <v/>
      </c>
      <c r="J202" s="14" t="str">
        <f aca="false">IF(OR($D202="",$F202=""),"",IF($E202&gt;0,INDEX('R1. Tree Coefficients'!$F:$F,$F202+2)*($D202^INDEX('R1. Tree Coefficients'!$G:$G,$F202+2))*($E202^INDEX('R1. Tree Coefficients'!$H:$H,$F202+2)),INDEX('R1. Tree Coefficients'!$D:$D,$F202+2)*($D202^INDEX('R1. Tree Coefficients'!$E:$E,$F202+2))))</f>
        <v/>
      </c>
      <c r="K202" s="14" t="str">
        <f aca="false">IF(OR($D202="",$F202=""),"",IF($E202&gt;0,INDEX('R1. Tree Coefficients'!$F:$F,$F202+3)*($D202^INDEX('R1. Tree Coefficients'!$G:$G,$F202+3))*($E202^INDEX('R1. Tree Coefficients'!$H:$H,$F202+3)),INDEX('R1. Tree Coefficients'!$D:$D,$F202+3)*($D202^INDEX('R1. Tree Coefficients'!$E:$E,$F202+3))))</f>
        <v/>
      </c>
      <c r="L202" s="14" t="str">
        <f aca="false">IF($F202="","",IFERROR(SUM($H202:$K202),""))</f>
        <v/>
      </c>
      <c r="M202" s="14" t="str">
        <f aca="false">IF($F202="","",INDEX('R1. Tree Coefficients'!$J:$J,$F202))</f>
        <v/>
      </c>
      <c r="N202" s="14" t="str">
        <f aca="false">IF($L202="","",IF($M202="Deciduous",BGB_RS_DECIDUOUS_a*($L202^BGB_RS_DECIDUOUS_b),IF($M202="Conifers",BGB_RS_CONIFER*$L202,AVERAGE(BGB_RS_DECIDUOUS_a*($L202^BGB_RS_DECIDUOUS_b),BGB_RS_CONIFER*$L202))))</f>
        <v/>
      </c>
      <c r="O202" s="14" t="str">
        <f aca="false">IF($L202="","",$L202+$N202)</f>
        <v/>
      </c>
      <c r="P202" s="14" t="str">
        <f aca="false">IF($O202="","",$O202*CARBON_FRACTION_BIOMASS)</f>
        <v/>
      </c>
      <c r="Q202" s="14" t="str">
        <f aca="false">IF(AND($A202="",$C202=""),"",IF(AND($A202&lt;&gt;"",COUNTIF('1. Plot &amp; Site Log'!$A$5:$A$64,$A202)=0),"Plot ID not in Plot &amp; Site Log — this tree will not reach the summary. ","")&amp;IF($A202="","No Plot ID. ","")&amp;IF(AND($C202&lt;&gt;"",$F202=""),"Species not in the coefficient list — check the spelling against R1. ","")&amp;IF($D202="","No DBH — nothing can be calculated. ","")&amp;IF(AND($D202&lt;&gt;"",$D202&gt;QC_DBH_MAX_CM),"DBH above "&amp;QC_DBH_MAX_CM&amp;" cm — check for a transcription error. ","")&amp;IF($M202="All","Generic species: no published root:shoot applies, so below-ground biomass is the mean of the deciduous and conifer relationships. Choose a species, or Deciduous/Conifers, if you can. ","")&amp;IF(AND($O202&lt;&gt;"",$O202&gt;0,OR($N202/$O202&lt;BGB_FRACTION_MIN,$N202/$O202&gt;BGB_FRACTION_MAX)),"Below-ground share is "&amp;TEXT($N202/$O202,"0%")&amp;", outside the 18–30% the Trees guide describes. ",""))</f>
        <v/>
      </c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4" t="str">
        <f aca="false">IF($C203="","",IFERROR(12+(MATCH($C203,'R1. Tree Coefficients'!$L$12:$L$53,0)-1)*4,""))</f>
        <v/>
      </c>
      <c r="G203" s="14" t="str">
        <f aca="false">IF($F203="","",IF(AND($E203&lt;&gt;"",$E203&gt;0),"DBH + height","DBH only"))</f>
        <v/>
      </c>
      <c r="H203" s="14" t="str">
        <f aca="false">IF(OR($D203="",$F203=""),"",IF($E203&gt;0,INDEX('R1. Tree Coefficients'!$F:$F,$F203+0)*($D203^INDEX('R1. Tree Coefficients'!$G:$G,$F203+0))*($E203^INDEX('R1. Tree Coefficients'!$H:$H,$F203+0)),INDEX('R1. Tree Coefficients'!$D:$D,$F203+0)*($D203^INDEX('R1. Tree Coefficients'!$E:$E,$F203+0))))</f>
        <v/>
      </c>
      <c r="I203" s="14" t="str">
        <f aca="false">IF(OR($D203="",$F203=""),"",IF($E203&gt;0,INDEX('R1. Tree Coefficients'!$F:$F,$F203+1)*($D203^INDEX('R1. Tree Coefficients'!$G:$G,$F203+1))*($E203^INDEX('R1. Tree Coefficients'!$H:$H,$F203+1)),INDEX('R1. Tree Coefficients'!$D:$D,$F203+1)*($D203^INDEX('R1. Tree Coefficients'!$E:$E,$F203+1))))</f>
        <v/>
      </c>
      <c r="J203" s="14" t="str">
        <f aca="false">IF(OR($D203="",$F203=""),"",IF($E203&gt;0,INDEX('R1. Tree Coefficients'!$F:$F,$F203+2)*($D203^INDEX('R1. Tree Coefficients'!$G:$G,$F203+2))*($E203^INDEX('R1. Tree Coefficients'!$H:$H,$F203+2)),INDEX('R1. Tree Coefficients'!$D:$D,$F203+2)*($D203^INDEX('R1. Tree Coefficients'!$E:$E,$F203+2))))</f>
        <v/>
      </c>
      <c r="K203" s="14" t="str">
        <f aca="false">IF(OR($D203="",$F203=""),"",IF($E203&gt;0,INDEX('R1. Tree Coefficients'!$F:$F,$F203+3)*($D203^INDEX('R1. Tree Coefficients'!$G:$G,$F203+3))*($E203^INDEX('R1. Tree Coefficients'!$H:$H,$F203+3)),INDEX('R1. Tree Coefficients'!$D:$D,$F203+3)*($D203^INDEX('R1. Tree Coefficients'!$E:$E,$F203+3))))</f>
        <v/>
      </c>
      <c r="L203" s="14" t="str">
        <f aca="false">IF($F203="","",IFERROR(SUM($H203:$K203),""))</f>
        <v/>
      </c>
      <c r="M203" s="14" t="str">
        <f aca="false">IF($F203="","",INDEX('R1. Tree Coefficients'!$J:$J,$F203))</f>
        <v/>
      </c>
      <c r="N203" s="14" t="str">
        <f aca="false">IF($L203="","",IF($M203="Deciduous",BGB_RS_DECIDUOUS_a*($L203^BGB_RS_DECIDUOUS_b),IF($M203="Conifers",BGB_RS_CONIFER*$L203,AVERAGE(BGB_RS_DECIDUOUS_a*($L203^BGB_RS_DECIDUOUS_b),BGB_RS_CONIFER*$L203))))</f>
        <v/>
      </c>
      <c r="O203" s="14" t="str">
        <f aca="false">IF($L203="","",$L203+$N203)</f>
        <v/>
      </c>
      <c r="P203" s="14" t="str">
        <f aca="false">IF($O203="","",$O203*CARBON_FRACTION_BIOMASS)</f>
        <v/>
      </c>
      <c r="Q203" s="14" t="str">
        <f aca="false">IF(AND($A203="",$C203=""),"",IF(AND($A203&lt;&gt;"",COUNTIF('1. Plot &amp; Site Log'!$A$5:$A$64,$A203)=0),"Plot ID not in Plot &amp; Site Log — this tree will not reach the summary. ","")&amp;IF($A203="","No Plot ID. ","")&amp;IF(AND($C203&lt;&gt;"",$F203=""),"Species not in the coefficient list — check the spelling against R1. ","")&amp;IF($D203="","No DBH — nothing can be calculated. ","")&amp;IF(AND($D203&lt;&gt;"",$D203&gt;QC_DBH_MAX_CM),"DBH above "&amp;QC_DBH_MAX_CM&amp;" cm — check for a transcription error. ","")&amp;IF($M203="All","Generic species: no published root:shoot applies, so below-ground biomass is the mean of the deciduous and conifer relationships. Choose a species, or Deciduous/Conifers, if you can. ","")&amp;IF(AND($O203&lt;&gt;"",$O203&gt;0,OR($N203/$O203&lt;BGB_FRACTION_MIN,$N203/$O203&gt;BGB_FRACTION_MAX)),"Below-ground share is "&amp;TEXT($N203/$O203,"0%")&amp;", outside the 18–30% the Trees guide describes. ",""))</f>
        <v/>
      </c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4" t="str">
        <f aca="false">IF($C204="","",IFERROR(12+(MATCH($C204,'R1. Tree Coefficients'!$L$12:$L$53,0)-1)*4,""))</f>
        <v/>
      </c>
      <c r="G204" s="14" t="str">
        <f aca="false">IF($F204="","",IF(AND($E204&lt;&gt;"",$E204&gt;0),"DBH + height","DBH only"))</f>
        <v/>
      </c>
      <c r="H204" s="14" t="str">
        <f aca="false">IF(OR($D204="",$F204=""),"",IF($E204&gt;0,INDEX('R1. Tree Coefficients'!$F:$F,$F204+0)*($D204^INDEX('R1. Tree Coefficients'!$G:$G,$F204+0))*($E204^INDEX('R1. Tree Coefficients'!$H:$H,$F204+0)),INDEX('R1. Tree Coefficients'!$D:$D,$F204+0)*($D204^INDEX('R1. Tree Coefficients'!$E:$E,$F204+0))))</f>
        <v/>
      </c>
      <c r="I204" s="14" t="str">
        <f aca="false">IF(OR($D204="",$F204=""),"",IF($E204&gt;0,INDEX('R1. Tree Coefficients'!$F:$F,$F204+1)*($D204^INDEX('R1. Tree Coefficients'!$G:$G,$F204+1))*($E204^INDEX('R1. Tree Coefficients'!$H:$H,$F204+1)),INDEX('R1. Tree Coefficients'!$D:$D,$F204+1)*($D204^INDEX('R1. Tree Coefficients'!$E:$E,$F204+1))))</f>
        <v/>
      </c>
      <c r="J204" s="14" t="str">
        <f aca="false">IF(OR($D204="",$F204=""),"",IF($E204&gt;0,INDEX('R1. Tree Coefficients'!$F:$F,$F204+2)*($D204^INDEX('R1. Tree Coefficients'!$G:$G,$F204+2))*($E204^INDEX('R1. Tree Coefficients'!$H:$H,$F204+2)),INDEX('R1. Tree Coefficients'!$D:$D,$F204+2)*($D204^INDEX('R1. Tree Coefficients'!$E:$E,$F204+2))))</f>
        <v/>
      </c>
      <c r="K204" s="14" t="str">
        <f aca="false">IF(OR($D204="",$F204=""),"",IF($E204&gt;0,INDEX('R1. Tree Coefficients'!$F:$F,$F204+3)*($D204^INDEX('R1. Tree Coefficients'!$G:$G,$F204+3))*($E204^INDEX('R1. Tree Coefficients'!$H:$H,$F204+3)),INDEX('R1. Tree Coefficients'!$D:$D,$F204+3)*($D204^INDEX('R1. Tree Coefficients'!$E:$E,$F204+3))))</f>
        <v/>
      </c>
      <c r="L204" s="14" t="str">
        <f aca="false">IF($F204="","",IFERROR(SUM($H204:$K204),""))</f>
        <v/>
      </c>
      <c r="M204" s="14" t="str">
        <f aca="false">IF($F204="","",INDEX('R1. Tree Coefficients'!$J:$J,$F204))</f>
        <v/>
      </c>
      <c r="N204" s="14" t="str">
        <f aca="false">IF($L204="","",IF($M204="Deciduous",BGB_RS_DECIDUOUS_a*($L204^BGB_RS_DECIDUOUS_b),IF($M204="Conifers",BGB_RS_CONIFER*$L204,AVERAGE(BGB_RS_DECIDUOUS_a*($L204^BGB_RS_DECIDUOUS_b),BGB_RS_CONIFER*$L204))))</f>
        <v/>
      </c>
      <c r="O204" s="14" t="str">
        <f aca="false">IF($L204="","",$L204+$N204)</f>
        <v/>
      </c>
      <c r="P204" s="14" t="str">
        <f aca="false">IF($O204="","",$O204*CARBON_FRACTION_BIOMASS)</f>
        <v/>
      </c>
      <c r="Q204" s="14" t="str">
        <f aca="false">IF(AND($A204="",$C204=""),"",IF(AND($A204&lt;&gt;"",COUNTIF('1. Plot &amp; Site Log'!$A$5:$A$64,$A204)=0),"Plot ID not in Plot &amp; Site Log — this tree will not reach the summary. ","")&amp;IF($A204="","No Plot ID. ","")&amp;IF(AND($C204&lt;&gt;"",$F204=""),"Species not in the coefficient list — check the spelling against R1. ","")&amp;IF($D204="","No DBH — nothing can be calculated. ","")&amp;IF(AND($D204&lt;&gt;"",$D204&gt;QC_DBH_MAX_CM),"DBH above "&amp;QC_DBH_MAX_CM&amp;" cm — check for a transcription error. ","")&amp;IF($M204="All","Generic species: no published root:shoot applies, so below-ground biomass is the mean of the deciduous and conifer relationships. Choose a species, or Deciduous/Conifers, if you can. ","")&amp;IF(AND($O204&lt;&gt;"",$O204&gt;0,OR($N204/$O204&lt;BGB_FRACTION_MIN,$N204/$O204&gt;BGB_FRACTION_MAX)),"Below-ground share is "&amp;TEXT($N204/$O204,"0%")&amp;", outside the 18–30% the Trees guide describes. ",""))</f>
        <v/>
      </c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4" t="str">
        <f aca="false">IF($C205="","",IFERROR(12+(MATCH($C205,'R1. Tree Coefficients'!$L$12:$L$53,0)-1)*4,""))</f>
        <v/>
      </c>
      <c r="G205" s="14" t="str">
        <f aca="false">IF($F205="","",IF(AND($E205&lt;&gt;"",$E205&gt;0),"DBH + height","DBH only"))</f>
        <v/>
      </c>
      <c r="H205" s="14" t="str">
        <f aca="false">IF(OR($D205="",$F205=""),"",IF($E205&gt;0,INDEX('R1. Tree Coefficients'!$F:$F,$F205+0)*($D205^INDEX('R1. Tree Coefficients'!$G:$G,$F205+0))*($E205^INDEX('R1. Tree Coefficients'!$H:$H,$F205+0)),INDEX('R1. Tree Coefficients'!$D:$D,$F205+0)*($D205^INDEX('R1. Tree Coefficients'!$E:$E,$F205+0))))</f>
        <v/>
      </c>
      <c r="I205" s="14" t="str">
        <f aca="false">IF(OR($D205="",$F205=""),"",IF($E205&gt;0,INDEX('R1. Tree Coefficients'!$F:$F,$F205+1)*($D205^INDEX('R1. Tree Coefficients'!$G:$G,$F205+1))*($E205^INDEX('R1. Tree Coefficients'!$H:$H,$F205+1)),INDEX('R1. Tree Coefficients'!$D:$D,$F205+1)*($D205^INDEX('R1. Tree Coefficients'!$E:$E,$F205+1))))</f>
        <v/>
      </c>
      <c r="J205" s="14" t="str">
        <f aca="false">IF(OR($D205="",$F205=""),"",IF($E205&gt;0,INDEX('R1. Tree Coefficients'!$F:$F,$F205+2)*($D205^INDEX('R1. Tree Coefficients'!$G:$G,$F205+2))*($E205^INDEX('R1. Tree Coefficients'!$H:$H,$F205+2)),INDEX('R1. Tree Coefficients'!$D:$D,$F205+2)*($D205^INDEX('R1. Tree Coefficients'!$E:$E,$F205+2))))</f>
        <v/>
      </c>
      <c r="K205" s="14" t="str">
        <f aca="false">IF(OR($D205="",$F205=""),"",IF($E205&gt;0,INDEX('R1. Tree Coefficients'!$F:$F,$F205+3)*($D205^INDEX('R1. Tree Coefficients'!$G:$G,$F205+3))*($E205^INDEX('R1. Tree Coefficients'!$H:$H,$F205+3)),INDEX('R1. Tree Coefficients'!$D:$D,$F205+3)*($D205^INDEX('R1. Tree Coefficients'!$E:$E,$F205+3))))</f>
        <v/>
      </c>
      <c r="L205" s="14" t="str">
        <f aca="false">IF($F205="","",IFERROR(SUM($H205:$K205),""))</f>
        <v/>
      </c>
      <c r="M205" s="14" t="str">
        <f aca="false">IF($F205="","",INDEX('R1. Tree Coefficients'!$J:$J,$F205))</f>
        <v/>
      </c>
      <c r="N205" s="14" t="str">
        <f aca="false">IF($L205="","",IF($M205="Deciduous",BGB_RS_DECIDUOUS_a*($L205^BGB_RS_DECIDUOUS_b),IF($M205="Conifers",BGB_RS_CONIFER*$L205,AVERAGE(BGB_RS_DECIDUOUS_a*($L205^BGB_RS_DECIDUOUS_b),BGB_RS_CONIFER*$L205))))</f>
        <v/>
      </c>
      <c r="O205" s="14" t="str">
        <f aca="false">IF($L205="","",$L205+$N205)</f>
        <v/>
      </c>
      <c r="P205" s="14" t="str">
        <f aca="false">IF($O205="","",$O205*CARBON_FRACTION_BIOMASS)</f>
        <v/>
      </c>
      <c r="Q205" s="14" t="str">
        <f aca="false">IF(AND($A205="",$C205=""),"",IF(AND($A205&lt;&gt;"",COUNTIF('1. Plot &amp; Site Log'!$A$5:$A$64,$A205)=0),"Plot ID not in Plot &amp; Site Log — this tree will not reach the summary. ","")&amp;IF($A205="","No Plot ID. ","")&amp;IF(AND($C205&lt;&gt;"",$F205=""),"Species not in the coefficient list — check the spelling against R1. ","")&amp;IF($D205="","No DBH — nothing can be calculated. ","")&amp;IF(AND($D205&lt;&gt;"",$D205&gt;QC_DBH_MAX_CM),"DBH above "&amp;QC_DBH_MAX_CM&amp;" cm — check for a transcription error. ","")&amp;IF($M205="All","Generic species: no published root:shoot applies, so below-ground biomass is the mean of the deciduous and conifer relationships. Choose a species, or Deciduous/Conifers, if you can. ","")&amp;IF(AND($O205&lt;&gt;"",$O205&gt;0,OR($N205/$O205&lt;BGB_FRACTION_MIN,$N205/$O205&gt;BGB_FRACTION_MAX)),"Below-ground share is "&amp;TEXT($N205/$O205,"0%")&amp;", outside the 18–30% the Trees guide describes. ",""))</f>
        <v/>
      </c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4" t="str">
        <f aca="false">IF($C206="","",IFERROR(12+(MATCH($C206,'R1. Tree Coefficients'!$L$12:$L$53,0)-1)*4,""))</f>
        <v/>
      </c>
      <c r="G206" s="14" t="str">
        <f aca="false">IF($F206="","",IF(AND($E206&lt;&gt;"",$E206&gt;0),"DBH + height","DBH only"))</f>
        <v/>
      </c>
      <c r="H206" s="14" t="str">
        <f aca="false">IF(OR($D206="",$F206=""),"",IF($E206&gt;0,INDEX('R1. Tree Coefficients'!$F:$F,$F206+0)*($D206^INDEX('R1. Tree Coefficients'!$G:$G,$F206+0))*($E206^INDEX('R1. Tree Coefficients'!$H:$H,$F206+0)),INDEX('R1. Tree Coefficients'!$D:$D,$F206+0)*($D206^INDEX('R1. Tree Coefficients'!$E:$E,$F206+0))))</f>
        <v/>
      </c>
      <c r="I206" s="14" t="str">
        <f aca="false">IF(OR($D206="",$F206=""),"",IF($E206&gt;0,INDEX('R1. Tree Coefficients'!$F:$F,$F206+1)*($D206^INDEX('R1. Tree Coefficients'!$G:$G,$F206+1))*($E206^INDEX('R1. Tree Coefficients'!$H:$H,$F206+1)),INDEX('R1. Tree Coefficients'!$D:$D,$F206+1)*($D206^INDEX('R1. Tree Coefficients'!$E:$E,$F206+1))))</f>
        <v/>
      </c>
      <c r="J206" s="14" t="str">
        <f aca="false">IF(OR($D206="",$F206=""),"",IF($E206&gt;0,INDEX('R1. Tree Coefficients'!$F:$F,$F206+2)*($D206^INDEX('R1. Tree Coefficients'!$G:$G,$F206+2))*($E206^INDEX('R1. Tree Coefficients'!$H:$H,$F206+2)),INDEX('R1. Tree Coefficients'!$D:$D,$F206+2)*($D206^INDEX('R1. Tree Coefficients'!$E:$E,$F206+2))))</f>
        <v/>
      </c>
      <c r="K206" s="14" t="str">
        <f aca="false">IF(OR($D206="",$F206=""),"",IF($E206&gt;0,INDEX('R1. Tree Coefficients'!$F:$F,$F206+3)*($D206^INDEX('R1. Tree Coefficients'!$G:$G,$F206+3))*($E206^INDEX('R1. Tree Coefficients'!$H:$H,$F206+3)),INDEX('R1. Tree Coefficients'!$D:$D,$F206+3)*($D206^INDEX('R1. Tree Coefficients'!$E:$E,$F206+3))))</f>
        <v/>
      </c>
      <c r="L206" s="14" t="str">
        <f aca="false">IF($F206="","",IFERROR(SUM($H206:$K206),""))</f>
        <v/>
      </c>
      <c r="M206" s="14" t="str">
        <f aca="false">IF($F206="","",INDEX('R1. Tree Coefficients'!$J:$J,$F206))</f>
        <v/>
      </c>
      <c r="N206" s="14" t="str">
        <f aca="false">IF($L206="","",IF($M206="Deciduous",BGB_RS_DECIDUOUS_a*($L206^BGB_RS_DECIDUOUS_b),IF($M206="Conifers",BGB_RS_CONIFER*$L206,AVERAGE(BGB_RS_DECIDUOUS_a*($L206^BGB_RS_DECIDUOUS_b),BGB_RS_CONIFER*$L206))))</f>
        <v/>
      </c>
      <c r="O206" s="14" t="str">
        <f aca="false">IF($L206="","",$L206+$N206)</f>
        <v/>
      </c>
      <c r="P206" s="14" t="str">
        <f aca="false">IF($O206="","",$O206*CARBON_FRACTION_BIOMASS)</f>
        <v/>
      </c>
      <c r="Q206" s="14" t="str">
        <f aca="false">IF(AND($A206="",$C206=""),"",IF(AND($A206&lt;&gt;"",COUNTIF('1. Plot &amp; Site Log'!$A$5:$A$64,$A206)=0),"Plot ID not in Plot &amp; Site Log — this tree will not reach the summary. ","")&amp;IF($A206="","No Plot ID. ","")&amp;IF(AND($C206&lt;&gt;"",$F206=""),"Species not in the coefficient list — check the spelling against R1. ","")&amp;IF($D206="","No DBH — nothing can be calculated. ","")&amp;IF(AND($D206&lt;&gt;"",$D206&gt;QC_DBH_MAX_CM),"DBH above "&amp;QC_DBH_MAX_CM&amp;" cm — check for a transcription error. ","")&amp;IF($M206="All","Generic species: no published root:shoot applies, so below-ground biomass is the mean of the deciduous and conifer relationships. Choose a species, or Deciduous/Conifers, if you can. ","")&amp;IF(AND($O206&lt;&gt;"",$O206&gt;0,OR($N206/$O206&lt;BGB_FRACTION_MIN,$N206/$O206&gt;BGB_FRACTION_MAX)),"Below-ground share is "&amp;TEXT($N206/$O206,"0%")&amp;", outside the 18–30% the Trees guide describes. ",""))</f>
        <v/>
      </c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4" t="str">
        <f aca="false">IF($C207="","",IFERROR(12+(MATCH($C207,'R1. Tree Coefficients'!$L$12:$L$53,0)-1)*4,""))</f>
        <v/>
      </c>
      <c r="G207" s="14" t="str">
        <f aca="false">IF($F207="","",IF(AND($E207&lt;&gt;"",$E207&gt;0),"DBH + height","DBH only"))</f>
        <v/>
      </c>
      <c r="H207" s="14" t="str">
        <f aca="false">IF(OR($D207="",$F207=""),"",IF($E207&gt;0,INDEX('R1. Tree Coefficients'!$F:$F,$F207+0)*($D207^INDEX('R1. Tree Coefficients'!$G:$G,$F207+0))*($E207^INDEX('R1. Tree Coefficients'!$H:$H,$F207+0)),INDEX('R1. Tree Coefficients'!$D:$D,$F207+0)*($D207^INDEX('R1. Tree Coefficients'!$E:$E,$F207+0))))</f>
        <v/>
      </c>
      <c r="I207" s="14" t="str">
        <f aca="false">IF(OR($D207="",$F207=""),"",IF($E207&gt;0,INDEX('R1. Tree Coefficients'!$F:$F,$F207+1)*($D207^INDEX('R1. Tree Coefficients'!$G:$G,$F207+1))*($E207^INDEX('R1. Tree Coefficients'!$H:$H,$F207+1)),INDEX('R1. Tree Coefficients'!$D:$D,$F207+1)*($D207^INDEX('R1. Tree Coefficients'!$E:$E,$F207+1))))</f>
        <v/>
      </c>
      <c r="J207" s="14" t="str">
        <f aca="false">IF(OR($D207="",$F207=""),"",IF($E207&gt;0,INDEX('R1. Tree Coefficients'!$F:$F,$F207+2)*($D207^INDEX('R1. Tree Coefficients'!$G:$G,$F207+2))*($E207^INDEX('R1. Tree Coefficients'!$H:$H,$F207+2)),INDEX('R1. Tree Coefficients'!$D:$D,$F207+2)*($D207^INDEX('R1. Tree Coefficients'!$E:$E,$F207+2))))</f>
        <v/>
      </c>
      <c r="K207" s="14" t="str">
        <f aca="false">IF(OR($D207="",$F207=""),"",IF($E207&gt;0,INDEX('R1. Tree Coefficients'!$F:$F,$F207+3)*($D207^INDEX('R1. Tree Coefficients'!$G:$G,$F207+3))*($E207^INDEX('R1. Tree Coefficients'!$H:$H,$F207+3)),INDEX('R1. Tree Coefficients'!$D:$D,$F207+3)*($D207^INDEX('R1. Tree Coefficients'!$E:$E,$F207+3))))</f>
        <v/>
      </c>
      <c r="L207" s="14" t="str">
        <f aca="false">IF($F207="","",IFERROR(SUM($H207:$K207),""))</f>
        <v/>
      </c>
      <c r="M207" s="14" t="str">
        <f aca="false">IF($F207="","",INDEX('R1. Tree Coefficients'!$J:$J,$F207))</f>
        <v/>
      </c>
      <c r="N207" s="14" t="str">
        <f aca="false">IF($L207="","",IF($M207="Deciduous",BGB_RS_DECIDUOUS_a*($L207^BGB_RS_DECIDUOUS_b),IF($M207="Conifers",BGB_RS_CONIFER*$L207,AVERAGE(BGB_RS_DECIDUOUS_a*($L207^BGB_RS_DECIDUOUS_b),BGB_RS_CONIFER*$L207))))</f>
        <v/>
      </c>
      <c r="O207" s="14" t="str">
        <f aca="false">IF($L207="","",$L207+$N207)</f>
        <v/>
      </c>
      <c r="P207" s="14" t="str">
        <f aca="false">IF($O207="","",$O207*CARBON_FRACTION_BIOMASS)</f>
        <v/>
      </c>
      <c r="Q207" s="14" t="str">
        <f aca="false">IF(AND($A207="",$C207=""),"",IF(AND($A207&lt;&gt;"",COUNTIF('1. Plot &amp; Site Log'!$A$5:$A$64,$A207)=0),"Plot ID not in Plot &amp; Site Log — this tree will not reach the summary. ","")&amp;IF($A207="","No Plot ID. ","")&amp;IF(AND($C207&lt;&gt;"",$F207=""),"Species not in the coefficient list — check the spelling against R1. ","")&amp;IF($D207="","No DBH — nothing can be calculated. ","")&amp;IF(AND($D207&lt;&gt;"",$D207&gt;QC_DBH_MAX_CM),"DBH above "&amp;QC_DBH_MAX_CM&amp;" cm — check for a transcription error. ","")&amp;IF($M207="All","Generic species: no published root:shoot applies, so below-ground biomass is the mean of the deciduous and conifer relationships. Choose a species, or Deciduous/Conifers, if you can. ","")&amp;IF(AND($O207&lt;&gt;"",$O207&gt;0,OR($N207/$O207&lt;BGB_FRACTION_MIN,$N207/$O207&gt;BGB_FRACTION_MAX)),"Below-ground share is "&amp;TEXT($N207/$O207,"0%")&amp;", outside the 18–30% the Trees guide describes. ",""))</f>
        <v/>
      </c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4" t="str">
        <f aca="false">IF($C208="","",IFERROR(12+(MATCH($C208,'R1. Tree Coefficients'!$L$12:$L$53,0)-1)*4,""))</f>
        <v/>
      </c>
      <c r="G208" s="14" t="str">
        <f aca="false">IF($F208="","",IF(AND($E208&lt;&gt;"",$E208&gt;0),"DBH + height","DBH only"))</f>
        <v/>
      </c>
      <c r="H208" s="14" t="str">
        <f aca="false">IF(OR($D208="",$F208=""),"",IF($E208&gt;0,INDEX('R1. Tree Coefficients'!$F:$F,$F208+0)*($D208^INDEX('R1. Tree Coefficients'!$G:$G,$F208+0))*($E208^INDEX('R1. Tree Coefficients'!$H:$H,$F208+0)),INDEX('R1. Tree Coefficients'!$D:$D,$F208+0)*($D208^INDEX('R1. Tree Coefficients'!$E:$E,$F208+0))))</f>
        <v/>
      </c>
      <c r="I208" s="14" t="str">
        <f aca="false">IF(OR($D208="",$F208=""),"",IF($E208&gt;0,INDEX('R1. Tree Coefficients'!$F:$F,$F208+1)*($D208^INDEX('R1. Tree Coefficients'!$G:$G,$F208+1))*($E208^INDEX('R1. Tree Coefficients'!$H:$H,$F208+1)),INDEX('R1. Tree Coefficients'!$D:$D,$F208+1)*($D208^INDEX('R1. Tree Coefficients'!$E:$E,$F208+1))))</f>
        <v/>
      </c>
      <c r="J208" s="14" t="str">
        <f aca="false">IF(OR($D208="",$F208=""),"",IF($E208&gt;0,INDEX('R1. Tree Coefficients'!$F:$F,$F208+2)*($D208^INDEX('R1. Tree Coefficients'!$G:$G,$F208+2))*($E208^INDEX('R1. Tree Coefficients'!$H:$H,$F208+2)),INDEX('R1. Tree Coefficients'!$D:$D,$F208+2)*($D208^INDEX('R1. Tree Coefficients'!$E:$E,$F208+2))))</f>
        <v/>
      </c>
      <c r="K208" s="14" t="str">
        <f aca="false">IF(OR($D208="",$F208=""),"",IF($E208&gt;0,INDEX('R1. Tree Coefficients'!$F:$F,$F208+3)*($D208^INDEX('R1. Tree Coefficients'!$G:$G,$F208+3))*($E208^INDEX('R1. Tree Coefficients'!$H:$H,$F208+3)),INDEX('R1. Tree Coefficients'!$D:$D,$F208+3)*($D208^INDEX('R1. Tree Coefficients'!$E:$E,$F208+3))))</f>
        <v/>
      </c>
      <c r="L208" s="14" t="str">
        <f aca="false">IF($F208="","",IFERROR(SUM($H208:$K208),""))</f>
        <v/>
      </c>
      <c r="M208" s="14" t="str">
        <f aca="false">IF($F208="","",INDEX('R1. Tree Coefficients'!$J:$J,$F208))</f>
        <v/>
      </c>
      <c r="N208" s="14" t="str">
        <f aca="false">IF($L208="","",IF($M208="Deciduous",BGB_RS_DECIDUOUS_a*($L208^BGB_RS_DECIDUOUS_b),IF($M208="Conifers",BGB_RS_CONIFER*$L208,AVERAGE(BGB_RS_DECIDUOUS_a*($L208^BGB_RS_DECIDUOUS_b),BGB_RS_CONIFER*$L208))))</f>
        <v/>
      </c>
      <c r="O208" s="14" t="str">
        <f aca="false">IF($L208="","",$L208+$N208)</f>
        <v/>
      </c>
      <c r="P208" s="14" t="str">
        <f aca="false">IF($O208="","",$O208*CARBON_FRACTION_BIOMASS)</f>
        <v/>
      </c>
      <c r="Q208" s="14" t="str">
        <f aca="false">IF(AND($A208="",$C208=""),"",IF(AND($A208&lt;&gt;"",COUNTIF('1. Plot &amp; Site Log'!$A$5:$A$64,$A208)=0),"Plot ID not in Plot &amp; Site Log — this tree will not reach the summary. ","")&amp;IF($A208="","No Plot ID. ","")&amp;IF(AND($C208&lt;&gt;"",$F208=""),"Species not in the coefficient list — check the spelling against R1. ","")&amp;IF($D208="","No DBH — nothing can be calculated. ","")&amp;IF(AND($D208&lt;&gt;"",$D208&gt;QC_DBH_MAX_CM),"DBH above "&amp;QC_DBH_MAX_CM&amp;" cm — check for a transcription error. ","")&amp;IF($M208="All","Generic species: no published root:shoot applies, so below-ground biomass is the mean of the deciduous and conifer relationships. Choose a species, or Deciduous/Conifers, if you can. ","")&amp;IF(AND($O208&lt;&gt;"",$O208&gt;0,OR($N208/$O208&lt;BGB_FRACTION_MIN,$N208/$O208&gt;BGB_FRACTION_MAX)),"Below-ground share is "&amp;TEXT($N208/$O208,"0%")&amp;", outside the 18–30% the Trees guide describes. ",""))</f>
        <v/>
      </c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4" t="str">
        <f aca="false">IF($C209="","",IFERROR(12+(MATCH($C209,'R1. Tree Coefficients'!$L$12:$L$53,0)-1)*4,""))</f>
        <v/>
      </c>
      <c r="G209" s="14" t="str">
        <f aca="false">IF($F209="","",IF(AND($E209&lt;&gt;"",$E209&gt;0),"DBH + height","DBH only"))</f>
        <v/>
      </c>
      <c r="H209" s="14" t="str">
        <f aca="false">IF(OR($D209="",$F209=""),"",IF($E209&gt;0,INDEX('R1. Tree Coefficients'!$F:$F,$F209+0)*($D209^INDEX('R1. Tree Coefficients'!$G:$G,$F209+0))*($E209^INDEX('R1. Tree Coefficients'!$H:$H,$F209+0)),INDEX('R1. Tree Coefficients'!$D:$D,$F209+0)*($D209^INDEX('R1. Tree Coefficients'!$E:$E,$F209+0))))</f>
        <v/>
      </c>
      <c r="I209" s="14" t="str">
        <f aca="false">IF(OR($D209="",$F209=""),"",IF($E209&gt;0,INDEX('R1. Tree Coefficients'!$F:$F,$F209+1)*($D209^INDEX('R1. Tree Coefficients'!$G:$G,$F209+1))*($E209^INDEX('R1. Tree Coefficients'!$H:$H,$F209+1)),INDEX('R1. Tree Coefficients'!$D:$D,$F209+1)*($D209^INDEX('R1. Tree Coefficients'!$E:$E,$F209+1))))</f>
        <v/>
      </c>
      <c r="J209" s="14" t="str">
        <f aca="false">IF(OR($D209="",$F209=""),"",IF($E209&gt;0,INDEX('R1. Tree Coefficients'!$F:$F,$F209+2)*($D209^INDEX('R1. Tree Coefficients'!$G:$G,$F209+2))*($E209^INDEX('R1. Tree Coefficients'!$H:$H,$F209+2)),INDEX('R1. Tree Coefficients'!$D:$D,$F209+2)*($D209^INDEX('R1. Tree Coefficients'!$E:$E,$F209+2))))</f>
        <v/>
      </c>
      <c r="K209" s="14" t="str">
        <f aca="false">IF(OR($D209="",$F209=""),"",IF($E209&gt;0,INDEX('R1. Tree Coefficients'!$F:$F,$F209+3)*($D209^INDEX('R1. Tree Coefficients'!$G:$G,$F209+3))*($E209^INDEX('R1. Tree Coefficients'!$H:$H,$F209+3)),INDEX('R1. Tree Coefficients'!$D:$D,$F209+3)*($D209^INDEX('R1. Tree Coefficients'!$E:$E,$F209+3))))</f>
        <v/>
      </c>
      <c r="L209" s="14" t="str">
        <f aca="false">IF($F209="","",IFERROR(SUM($H209:$K209),""))</f>
        <v/>
      </c>
      <c r="M209" s="14" t="str">
        <f aca="false">IF($F209="","",INDEX('R1. Tree Coefficients'!$J:$J,$F209))</f>
        <v/>
      </c>
      <c r="N209" s="14" t="str">
        <f aca="false">IF($L209="","",IF($M209="Deciduous",BGB_RS_DECIDUOUS_a*($L209^BGB_RS_DECIDUOUS_b),IF($M209="Conifers",BGB_RS_CONIFER*$L209,AVERAGE(BGB_RS_DECIDUOUS_a*($L209^BGB_RS_DECIDUOUS_b),BGB_RS_CONIFER*$L209))))</f>
        <v/>
      </c>
      <c r="O209" s="14" t="str">
        <f aca="false">IF($L209="","",$L209+$N209)</f>
        <v/>
      </c>
      <c r="P209" s="14" t="str">
        <f aca="false">IF($O209="","",$O209*CARBON_FRACTION_BIOMASS)</f>
        <v/>
      </c>
      <c r="Q209" s="14" t="str">
        <f aca="false">IF(AND($A209="",$C209=""),"",IF(AND($A209&lt;&gt;"",COUNTIF('1. Plot &amp; Site Log'!$A$5:$A$64,$A209)=0),"Plot ID not in Plot &amp; Site Log — this tree will not reach the summary. ","")&amp;IF($A209="","No Plot ID. ","")&amp;IF(AND($C209&lt;&gt;"",$F209=""),"Species not in the coefficient list — check the spelling against R1. ","")&amp;IF($D209="","No DBH — nothing can be calculated. ","")&amp;IF(AND($D209&lt;&gt;"",$D209&gt;QC_DBH_MAX_CM),"DBH above "&amp;QC_DBH_MAX_CM&amp;" cm — check for a transcription error. ","")&amp;IF($M209="All","Generic species: no published root:shoot applies, so below-ground biomass is the mean of the deciduous and conifer relationships. Choose a species, or Deciduous/Conifers, if you can. ","")&amp;IF(AND($O209&lt;&gt;"",$O209&gt;0,OR($N209/$O209&lt;BGB_FRACTION_MIN,$N209/$O209&gt;BGB_FRACTION_MAX)),"Below-ground share is "&amp;TEXT($N209/$O209,"0%")&amp;", outside the 18–30% the Trees guide describes. ",""))</f>
        <v/>
      </c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4" t="str">
        <f aca="false">IF($C210="","",IFERROR(12+(MATCH($C210,'R1. Tree Coefficients'!$L$12:$L$53,0)-1)*4,""))</f>
        <v/>
      </c>
      <c r="G210" s="14" t="str">
        <f aca="false">IF($F210="","",IF(AND($E210&lt;&gt;"",$E210&gt;0),"DBH + height","DBH only"))</f>
        <v/>
      </c>
      <c r="H210" s="14" t="str">
        <f aca="false">IF(OR($D210="",$F210=""),"",IF($E210&gt;0,INDEX('R1. Tree Coefficients'!$F:$F,$F210+0)*($D210^INDEX('R1. Tree Coefficients'!$G:$G,$F210+0))*($E210^INDEX('R1. Tree Coefficients'!$H:$H,$F210+0)),INDEX('R1. Tree Coefficients'!$D:$D,$F210+0)*($D210^INDEX('R1. Tree Coefficients'!$E:$E,$F210+0))))</f>
        <v/>
      </c>
      <c r="I210" s="14" t="str">
        <f aca="false">IF(OR($D210="",$F210=""),"",IF($E210&gt;0,INDEX('R1. Tree Coefficients'!$F:$F,$F210+1)*($D210^INDEX('R1. Tree Coefficients'!$G:$G,$F210+1))*($E210^INDEX('R1. Tree Coefficients'!$H:$H,$F210+1)),INDEX('R1. Tree Coefficients'!$D:$D,$F210+1)*($D210^INDEX('R1. Tree Coefficients'!$E:$E,$F210+1))))</f>
        <v/>
      </c>
      <c r="J210" s="14" t="str">
        <f aca="false">IF(OR($D210="",$F210=""),"",IF($E210&gt;0,INDEX('R1. Tree Coefficients'!$F:$F,$F210+2)*($D210^INDEX('R1. Tree Coefficients'!$G:$G,$F210+2))*($E210^INDEX('R1. Tree Coefficients'!$H:$H,$F210+2)),INDEX('R1. Tree Coefficients'!$D:$D,$F210+2)*($D210^INDEX('R1. Tree Coefficients'!$E:$E,$F210+2))))</f>
        <v/>
      </c>
      <c r="K210" s="14" t="str">
        <f aca="false">IF(OR($D210="",$F210=""),"",IF($E210&gt;0,INDEX('R1. Tree Coefficients'!$F:$F,$F210+3)*($D210^INDEX('R1. Tree Coefficients'!$G:$G,$F210+3))*($E210^INDEX('R1. Tree Coefficients'!$H:$H,$F210+3)),INDEX('R1. Tree Coefficients'!$D:$D,$F210+3)*($D210^INDEX('R1. Tree Coefficients'!$E:$E,$F210+3))))</f>
        <v/>
      </c>
      <c r="L210" s="14" t="str">
        <f aca="false">IF($F210="","",IFERROR(SUM($H210:$K210),""))</f>
        <v/>
      </c>
      <c r="M210" s="14" t="str">
        <f aca="false">IF($F210="","",INDEX('R1. Tree Coefficients'!$J:$J,$F210))</f>
        <v/>
      </c>
      <c r="N210" s="14" t="str">
        <f aca="false">IF($L210="","",IF($M210="Deciduous",BGB_RS_DECIDUOUS_a*($L210^BGB_RS_DECIDUOUS_b),IF($M210="Conifers",BGB_RS_CONIFER*$L210,AVERAGE(BGB_RS_DECIDUOUS_a*($L210^BGB_RS_DECIDUOUS_b),BGB_RS_CONIFER*$L210))))</f>
        <v/>
      </c>
      <c r="O210" s="14" t="str">
        <f aca="false">IF($L210="","",$L210+$N210)</f>
        <v/>
      </c>
      <c r="P210" s="14" t="str">
        <f aca="false">IF($O210="","",$O210*CARBON_FRACTION_BIOMASS)</f>
        <v/>
      </c>
      <c r="Q210" s="14" t="str">
        <f aca="false">IF(AND($A210="",$C210=""),"",IF(AND($A210&lt;&gt;"",COUNTIF('1. Plot &amp; Site Log'!$A$5:$A$64,$A210)=0),"Plot ID not in Plot &amp; Site Log — this tree will not reach the summary. ","")&amp;IF($A210="","No Plot ID. ","")&amp;IF(AND($C210&lt;&gt;"",$F210=""),"Species not in the coefficient list — check the spelling against R1. ","")&amp;IF($D210="","No DBH — nothing can be calculated. ","")&amp;IF(AND($D210&lt;&gt;"",$D210&gt;QC_DBH_MAX_CM),"DBH above "&amp;QC_DBH_MAX_CM&amp;" cm — check for a transcription error. ","")&amp;IF($M210="All","Generic species: no published root:shoot applies, so below-ground biomass is the mean of the deciduous and conifer relationships. Choose a species, or Deciduous/Conifers, if you can. ","")&amp;IF(AND($O210&lt;&gt;"",$O210&gt;0,OR($N210/$O210&lt;BGB_FRACTION_MIN,$N210/$O210&gt;BGB_FRACTION_MAX)),"Below-ground share is "&amp;TEXT($N210/$O210,"0%")&amp;", outside the 18–30% the Trees guide describes. ",""))</f>
        <v/>
      </c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4" t="str">
        <f aca="false">IF($C211="","",IFERROR(12+(MATCH($C211,'R1. Tree Coefficients'!$L$12:$L$53,0)-1)*4,""))</f>
        <v/>
      </c>
      <c r="G211" s="14" t="str">
        <f aca="false">IF($F211="","",IF(AND($E211&lt;&gt;"",$E211&gt;0),"DBH + height","DBH only"))</f>
        <v/>
      </c>
      <c r="H211" s="14" t="str">
        <f aca="false">IF(OR($D211="",$F211=""),"",IF($E211&gt;0,INDEX('R1. Tree Coefficients'!$F:$F,$F211+0)*($D211^INDEX('R1. Tree Coefficients'!$G:$G,$F211+0))*($E211^INDEX('R1. Tree Coefficients'!$H:$H,$F211+0)),INDEX('R1. Tree Coefficients'!$D:$D,$F211+0)*($D211^INDEX('R1. Tree Coefficients'!$E:$E,$F211+0))))</f>
        <v/>
      </c>
      <c r="I211" s="14" t="str">
        <f aca="false">IF(OR($D211="",$F211=""),"",IF($E211&gt;0,INDEX('R1. Tree Coefficients'!$F:$F,$F211+1)*($D211^INDEX('R1. Tree Coefficients'!$G:$G,$F211+1))*($E211^INDEX('R1. Tree Coefficients'!$H:$H,$F211+1)),INDEX('R1. Tree Coefficients'!$D:$D,$F211+1)*($D211^INDEX('R1. Tree Coefficients'!$E:$E,$F211+1))))</f>
        <v/>
      </c>
      <c r="J211" s="14" t="str">
        <f aca="false">IF(OR($D211="",$F211=""),"",IF($E211&gt;0,INDEX('R1. Tree Coefficients'!$F:$F,$F211+2)*($D211^INDEX('R1. Tree Coefficients'!$G:$G,$F211+2))*($E211^INDEX('R1. Tree Coefficients'!$H:$H,$F211+2)),INDEX('R1. Tree Coefficients'!$D:$D,$F211+2)*($D211^INDEX('R1. Tree Coefficients'!$E:$E,$F211+2))))</f>
        <v/>
      </c>
      <c r="K211" s="14" t="str">
        <f aca="false">IF(OR($D211="",$F211=""),"",IF($E211&gt;0,INDEX('R1. Tree Coefficients'!$F:$F,$F211+3)*($D211^INDEX('R1. Tree Coefficients'!$G:$G,$F211+3))*($E211^INDEX('R1. Tree Coefficients'!$H:$H,$F211+3)),INDEX('R1. Tree Coefficients'!$D:$D,$F211+3)*($D211^INDEX('R1. Tree Coefficients'!$E:$E,$F211+3))))</f>
        <v/>
      </c>
      <c r="L211" s="14" t="str">
        <f aca="false">IF($F211="","",IFERROR(SUM($H211:$K211),""))</f>
        <v/>
      </c>
      <c r="M211" s="14" t="str">
        <f aca="false">IF($F211="","",INDEX('R1. Tree Coefficients'!$J:$J,$F211))</f>
        <v/>
      </c>
      <c r="N211" s="14" t="str">
        <f aca="false">IF($L211="","",IF($M211="Deciduous",BGB_RS_DECIDUOUS_a*($L211^BGB_RS_DECIDUOUS_b),IF($M211="Conifers",BGB_RS_CONIFER*$L211,AVERAGE(BGB_RS_DECIDUOUS_a*($L211^BGB_RS_DECIDUOUS_b),BGB_RS_CONIFER*$L211))))</f>
        <v/>
      </c>
      <c r="O211" s="14" t="str">
        <f aca="false">IF($L211="","",$L211+$N211)</f>
        <v/>
      </c>
      <c r="P211" s="14" t="str">
        <f aca="false">IF($O211="","",$O211*CARBON_FRACTION_BIOMASS)</f>
        <v/>
      </c>
      <c r="Q211" s="14" t="str">
        <f aca="false">IF(AND($A211="",$C211=""),"",IF(AND($A211&lt;&gt;"",COUNTIF('1. Plot &amp; Site Log'!$A$5:$A$64,$A211)=0),"Plot ID not in Plot &amp; Site Log — this tree will not reach the summary. ","")&amp;IF($A211="","No Plot ID. ","")&amp;IF(AND($C211&lt;&gt;"",$F211=""),"Species not in the coefficient list — check the spelling against R1. ","")&amp;IF($D211="","No DBH — nothing can be calculated. ","")&amp;IF(AND($D211&lt;&gt;"",$D211&gt;QC_DBH_MAX_CM),"DBH above "&amp;QC_DBH_MAX_CM&amp;" cm — check for a transcription error. ","")&amp;IF($M211="All","Generic species: no published root:shoot applies, so below-ground biomass is the mean of the deciduous and conifer relationships. Choose a species, or Deciduous/Conifers, if you can. ","")&amp;IF(AND($O211&lt;&gt;"",$O211&gt;0,OR($N211/$O211&lt;BGB_FRACTION_MIN,$N211/$O211&gt;BGB_FRACTION_MAX)),"Below-ground share is "&amp;TEXT($N211/$O211,"0%")&amp;", outside the 18–30% the Trees guide describes. ",""))</f>
        <v/>
      </c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4" t="str">
        <f aca="false">IF($C212="","",IFERROR(12+(MATCH($C212,'R1. Tree Coefficients'!$L$12:$L$53,0)-1)*4,""))</f>
        <v/>
      </c>
      <c r="G212" s="14" t="str">
        <f aca="false">IF($F212="","",IF(AND($E212&lt;&gt;"",$E212&gt;0),"DBH + height","DBH only"))</f>
        <v/>
      </c>
      <c r="H212" s="14" t="str">
        <f aca="false">IF(OR($D212="",$F212=""),"",IF($E212&gt;0,INDEX('R1. Tree Coefficients'!$F:$F,$F212+0)*($D212^INDEX('R1. Tree Coefficients'!$G:$G,$F212+0))*($E212^INDEX('R1. Tree Coefficients'!$H:$H,$F212+0)),INDEX('R1. Tree Coefficients'!$D:$D,$F212+0)*($D212^INDEX('R1. Tree Coefficients'!$E:$E,$F212+0))))</f>
        <v/>
      </c>
      <c r="I212" s="14" t="str">
        <f aca="false">IF(OR($D212="",$F212=""),"",IF($E212&gt;0,INDEX('R1. Tree Coefficients'!$F:$F,$F212+1)*($D212^INDEX('R1. Tree Coefficients'!$G:$G,$F212+1))*($E212^INDEX('R1. Tree Coefficients'!$H:$H,$F212+1)),INDEX('R1. Tree Coefficients'!$D:$D,$F212+1)*($D212^INDEX('R1. Tree Coefficients'!$E:$E,$F212+1))))</f>
        <v/>
      </c>
      <c r="J212" s="14" t="str">
        <f aca="false">IF(OR($D212="",$F212=""),"",IF($E212&gt;0,INDEX('R1. Tree Coefficients'!$F:$F,$F212+2)*($D212^INDEX('R1. Tree Coefficients'!$G:$G,$F212+2))*($E212^INDEX('R1. Tree Coefficients'!$H:$H,$F212+2)),INDEX('R1. Tree Coefficients'!$D:$D,$F212+2)*($D212^INDEX('R1. Tree Coefficients'!$E:$E,$F212+2))))</f>
        <v/>
      </c>
      <c r="K212" s="14" t="str">
        <f aca="false">IF(OR($D212="",$F212=""),"",IF($E212&gt;0,INDEX('R1. Tree Coefficients'!$F:$F,$F212+3)*($D212^INDEX('R1. Tree Coefficients'!$G:$G,$F212+3))*($E212^INDEX('R1. Tree Coefficients'!$H:$H,$F212+3)),INDEX('R1. Tree Coefficients'!$D:$D,$F212+3)*($D212^INDEX('R1. Tree Coefficients'!$E:$E,$F212+3))))</f>
        <v/>
      </c>
      <c r="L212" s="14" t="str">
        <f aca="false">IF($F212="","",IFERROR(SUM($H212:$K212),""))</f>
        <v/>
      </c>
      <c r="M212" s="14" t="str">
        <f aca="false">IF($F212="","",INDEX('R1. Tree Coefficients'!$J:$J,$F212))</f>
        <v/>
      </c>
      <c r="N212" s="14" t="str">
        <f aca="false">IF($L212="","",IF($M212="Deciduous",BGB_RS_DECIDUOUS_a*($L212^BGB_RS_DECIDUOUS_b),IF($M212="Conifers",BGB_RS_CONIFER*$L212,AVERAGE(BGB_RS_DECIDUOUS_a*($L212^BGB_RS_DECIDUOUS_b),BGB_RS_CONIFER*$L212))))</f>
        <v/>
      </c>
      <c r="O212" s="14" t="str">
        <f aca="false">IF($L212="","",$L212+$N212)</f>
        <v/>
      </c>
      <c r="P212" s="14" t="str">
        <f aca="false">IF($O212="","",$O212*CARBON_FRACTION_BIOMASS)</f>
        <v/>
      </c>
      <c r="Q212" s="14" t="str">
        <f aca="false">IF(AND($A212="",$C212=""),"",IF(AND($A212&lt;&gt;"",COUNTIF('1. Plot &amp; Site Log'!$A$5:$A$64,$A212)=0),"Plot ID not in Plot &amp; Site Log — this tree will not reach the summary. ","")&amp;IF($A212="","No Plot ID. ","")&amp;IF(AND($C212&lt;&gt;"",$F212=""),"Species not in the coefficient list — check the spelling against R1. ","")&amp;IF($D212="","No DBH — nothing can be calculated. ","")&amp;IF(AND($D212&lt;&gt;"",$D212&gt;QC_DBH_MAX_CM),"DBH above "&amp;QC_DBH_MAX_CM&amp;" cm — check for a transcription error. ","")&amp;IF($M212="All","Generic species: no published root:shoot applies, so below-ground biomass is the mean of the deciduous and conifer relationships. Choose a species, or Deciduous/Conifers, if you can. ","")&amp;IF(AND($O212&lt;&gt;"",$O212&gt;0,OR($N212/$O212&lt;BGB_FRACTION_MIN,$N212/$O212&gt;BGB_FRACTION_MAX)),"Below-ground share is "&amp;TEXT($N212/$O212,"0%")&amp;", outside the 18–30% the Trees guide describes. ",""))</f>
        <v/>
      </c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4" t="str">
        <f aca="false">IF($C213="","",IFERROR(12+(MATCH($C213,'R1. Tree Coefficients'!$L$12:$L$53,0)-1)*4,""))</f>
        <v/>
      </c>
      <c r="G213" s="14" t="str">
        <f aca="false">IF($F213="","",IF(AND($E213&lt;&gt;"",$E213&gt;0),"DBH + height","DBH only"))</f>
        <v/>
      </c>
      <c r="H213" s="14" t="str">
        <f aca="false">IF(OR($D213="",$F213=""),"",IF($E213&gt;0,INDEX('R1. Tree Coefficients'!$F:$F,$F213+0)*($D213^INDEX('R1. Tree Coefficients'!$G:$G,$F213+0))*($E213^INDEX('R1. Tree Coefficients'!$H:$H,$F213+0)),INDEX('R1. Tree Coefficients'!$D:$D,$F213+0)*($D213^INDEX('R1. Tree Coefficients'!$E:$E,$F213+0))))</f>
        <v/>
      </c>
      <c r="I213" s="14" t="str">
        <f aca="false">IF(OR($D213="",$F213=""),"",IF($E213&gt;0,INDEX('R1. Tree Coefficients'!$F:$F,$F213+1)*($D213^INDEX('R1. Tree Coefficients'!$G:$G,$F213+1))*($E213^INDEX('R1. Tree Coefficients'!$H:$H,$F213+1)),INDEX('R1. Tree Coefficients'!$D:$D,$F213+1)*($D213^INDEX('R1. Tree Coefficients'!$E:$E,$F213+1))))</f>
        <v/>
      </c>
      <c r="J213" s="14" t="str">
        <f aca="false">IF(OR($D213="",$F213=""),"",IF($E213&gt;0,INDEX('R1. Tree Coefficients'!$F:$F,$F213+2)*($D213^INDEX('R1. Tree Coefficients'!$G:$G,$F213+2))*($E213^INDEX('R1. Tree Coefficients'!$H:$H,$F213+2)),INDEX('R1. Tree Coefficients'!$D:$D,$F213+2)*($D213^INDEX('R1. Tree Coefficients'!$E:$E,$F213+2))))</f>
        <v/>
      </c>
      <c r="K213" s="14" t="str">
        <f aca="false">IF(OR($D213="",$F213=""),"",IF($E213&gt;0,INDEX('R1. Tree Coefficients'!$F:$F,$F213+3)*($D213^INDEX('R1. Tree Coefficients'!$G:$G,$F213+3))*($E213^INDEX('R1. Tree Coefficients'!$H:$H,$F213+3)),INDEX('R1. Tree Coefficients'!$D:$D,$F213+3)*($D213^INDEX('R1. Tree Coefficients'!$E:$E,$F213+3))))</f>
        <v/>
      </c>
      <c r="L213" s="14" t="str">
        <f aca="false">IF($F213="","",IFERROR(SUM($H213:$K213),""))</f>
        <v/>
      </c>
      <c r="M213" s="14" t="str">
        <f aca="false">IF($F213="","",INDEX('R1. Tree Coefficients'!$J:$J,$F213))</f>
        <v/>
      </c>
      <c r="N213" s="14" t="str">
        <f aca="false">IF($L213="","",IF($M213="Deciduous",BGB_RS_DECIDUOUS_a*($L213^BGB_RS_DECIDUOUS_b),IF($M213="Conifers",BGB_RS_CONIFER*$L213,AVERAGE(BGB_RS_DECIDUOUS_a*($L213^BGB_RS_DECIDUOUS_b),BGB_RS_CONIFER*$L213))))</f>
        <v/>
      </c>
      <c r="O213" s="14" t="str">
        <f aca="false">IF($L213="","",$L213+$N213)</f>
        <v/>
      </c>
      <c r="P213" s="14" t="str">
        <f aca="false">IF($O213="","",$O213*CARBON_FRACTION_BIOMASS)</f>
        <v/>
      </c>
      <c r="Q213" s="14" t="str">
        <f aca="false">IF(AND($A213="",$C213=""),"",IF(AND($A213&lt;&gt;"",COUNTIF('1. Plot &amp; Site Log'!$A$5:$A$64,$A213)=0),"Plot ID not in Plot &amp; Site Log — this tree will not reach the summary. ","")&amp;IF($A213="","No Plot ID. ","")&amp;IF(AND($C213&lt;&gt;"",$F213=""),"Species not in the coefficient list — check the spelling against R1. ","")&amp;IF($D213="","No DBH — nothing can be calculated. ","")&amp;IF(AND($D213&lt;&gt;"",$D213&gt;QC_DBH_MAX_CM),"DBH above "&amp;QC_DBH_MAX_CM&amp;" cm — check for a transcription error. ","")&amp;IF($M213="All","Generic species: no published root:shoot applies, so below-ground biomass is the mean of the deciduous and conifer relationships. Choose a species, or Deciduous/Conifers, if you can. ","")&amp;IF(AND($O213&lt;&gt;"",$O213&gt;0,OR($N213/$O213&lt;BGB_FRACTION_MIN,$N213/$O213&gt;BGB_FRACTION_MAX)),"Below-ground share is "&amp;TEXT($N213/$O213,"0%")&amp;", outside the 18–30% the Trees guide describes. ",""))</f>
        <v/>
      </c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4" t="str">
        <f aca="false">IF($C214="","",IFERROR(12+(MATCH($C214,'R1. Tree Coefficients'!$L$12:$L$53,0)-1)*4,""))</f>
        <v/>
      </c>
      <c r="G214" s="14" t="str">
        <f aca="false">IF($F214="","",IF(AND($E214&lt;&gt;"",$E214&gt;0),"DBH + height","DBH only"))</f>
        <v/>
      </c>
      <c r="H214" s="14" t="str">
        <f aca="false">IF(OR($D214="",$F214=""),"",IF($E214&gt;0,INDEX('R1. Tree Coefficients'!$F:$F,$F214+0)*($D214^INDEX('R1. Tree Coefficients'!$G:$G,$F214+0))*($E214^INDEX('R1. Tree Coefficients'!$H:$H,$F214+0)),INDEX('R1. Tree Coefficients'!$D:$D,$F214+0)*($D214^INDEX('R1. Tree Coefficients'!$E:$E,$F214+0))))</f>
        <v/>
      </c>
      <c r="I214" s="14" t="str">
        <f aca="false">IF(OR($D214="",$F214=""),"",IF($E214&gt;0,INDEX('R1. Tree Coefficients'!$F:$F,$F214+1)*($D214^INDEX('R1. Tree Coefficients'!$G:$G,$F214+1))*($E214^INDEX('R1. Tree Coefficients'!$H:$H,$F214+1)),INDEX('R1. Tree Coefficients'!$D:$D,$F214+1)*($D214^INDEX('R1. Tree Coefficients'!$E:$E,$F214+1))))</f>
        <v/>
      </c>
      <c r="J214" s="14" t="str">
        <f aca="false">IF(OR($D214="",$F214=""),"",IF($E214&gt;0,INDEX('R1. Tree Coefficients'!$F:$F,$F214+2)*($D214^INDEX('R1. Tree Coefficients'!$G:$G,$F214+2))*($E214^INDEX('R1. Tree Coefficients'!$H:$H,$F214+2)),INDEX('R1. Tree Coefficients'!$D:$D,$F214+2)*($D214^INDEX('R1. Tree Coefficients'!$E:$E,$F214+2))))</f>
        <v/>
      </c>
      <c r="K214" s="14" t="str">
        <f aca="false">IF(OR($D214="",$F214=""),"",IF($E214&gt;0,INDEX('R1. Tree Coefficients'!$F:$F,$F214+3)*($D214^INDEX('R1. Tree Coefficients'!$G:$G,$F214+3))*($E214^INDEX('R1. Tree Coefficients'!$H:$H,$F214+3)),INDEX('R1. Tree Coefficients'!$D:$D,$F214+3)*($D214^INDEX('R1. Tree Coefficients'!$E:$E,$F214+3))))</f>
        <v/>
      </c>
      <c r="L214" s="14" t="str">
        <f aca="false">IF($F214="","",IFERROR(SUM($H214:$K214),""))</f>
        <v/>
      </c>
      <c r="M214" s="14" t="str">
        <f aca="false">IF($F214="","",INDEX('R1. Tree Coefficients'!$J:$J,$F214))</f>
        <v/>
      </c>
      <c r="N214" s="14" t="str">
        <f aca="false">IF($L214="","",IF($M214="Deciduous",BGB_RS_DECIDUOUS_a*($L214^BGB_RS_DECIDUOUS_b),IF($M214="Conifers",BGB_RS_CONIFER*$L214,AVERAGE(BGB_RS_DECIDUOUS_a*($L214^BGB_RS_DECIDUOUS_b),BGB_RS_CONIFER*$L214))))</f>
        <v/>
      </c>
      <c r="O214" s="14" t="str">
        <f aca="false">IF($L214="","",$L214+$N214)</f>
        <v/>
      </c>
      <c r="P214" s="14" t="str">
        <f aca="false">IF($O214="","",$O214*CARBON_FRACTION_BIOMASS)</f>
        <v/>
      </c>
      <c r="Q214" s="14" t="str">
        <f aca="false">IF(AND($A214="",$C214=""),"",IF(AND($A214&lt;&gt;"",COUNTIF('1. Plot &amp; Site Log'!$A$5:$A$64,$A214)=0),"Plot ID not in Plot &amp; Site Log — this tree will not reach the summary. ","")&amp;IF($A214="","No Plot ID. ","")&amp;IF(AND($C214&lt;&gt;"",$F214=""),"Species not in the coefficient list — check the spelling against R1. ","")&amp;IF($D214="","No DBH — nothing can be calculated. ","")&amp;IF(AND($D214&lt;&gt;"",$D214&gt;QC_DBH_MAX_CM),"DBH above "&amp;QC_DBH_MAX_CM&amp;" cm — check for a transcription error. ","")&amp;IF($M214="All","Generic species: no published root:shoot applies, so below-ground biomass is the mean of the deciduous and conifer relationships. Choose a species, or Deciduous/Conifers, if you can. ","")&amp;IF(AND($O214&lt;&gt;"",$O214&gt;0,OR($N214/$O214&lt;BGB_FRACTION_MIN,$N214/$O214&gt;BGB_FRACTION_MAX)),"Below-ground share is "&amp;TEXT($N214/$O214,"0%")&amp;", outside the 18–30% the Trees guide describes. ",""))</f>
        <v/>
      </c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4" t="str">
        <f aca="false">IF($C215="","",IFERROR(12+(MATCH($C215,'R1. Tree Coefficients'!$L$12:$L$53,0)-1)*4,""))</f>
        <v/>
      </c>
      <c r="G215" s="14" t="str">
        <f aca="false">IF($F215="","",IF(AND($E215&lt;&gt;"",$E215&gt;0),"DBH + height","DBH only"))</f>
        <v/>
      </c>
      <c r="H215" s="14" t="str">
        <f aca="false">IF(OR($D215="",$F215=""),"",IF($E215&gt;0,INDEX('R1. Tree Coefficients'!$F:$F,$F215+0)*($D215^INDEX('R1. Tree Coefficients'!$G:$G,$F215+0))*($E215^INDEX('R1. Tree Coefficients'!$H:$H,$F215+0)),INDEX('R1. Tree Coefficients'!$D:$D,$F215+0)*($D215^INDEX('R1. Tree Coefficients'!$E:$E,$F215+0))))</f>
        <v/>
      </c>
      <c r="I215" s="14" t="str">
        <f aca="false">IF(OR($D215="",$F215=""),"",IF($E215&gt;0,INDEX('R1. Tree Coefficients'!$F:$F,$F215+1)*($D215^INDEX('R1. Tree Coefficients'!$G:$G,$F215+1))*($E215^INDEX('R1. Tree Coefficients'!$H:$H,$F215+1)),INDEX('R1. Tree Coefficients'!$D:$D,$F215+1)*($D215^INDEX('R1. Tree Coefficients'!$E:$E,$F215+1))))</f>
        <v/>
      </c>
      <c r="J215" s="14" t="str">
        <f aca="false">IF(OR($D215="",$F215=""),"",IF($E215&gt;0,INDEX('R1. Tree Coefficients'!$F:$F,$F215+2)*($D215^INDEX('R1. Tree Coefficients'!$G:$G,$F215+2))*($E215^INDEX('R1. Tree Coefficients'!$H:$H,$F215+2)),INDEX('R1. Tree Coefficients'!$D:$D,$F215+2)*($D215^INDEX('R1. Tree Coefficients'!$E:$E,$F215+2))))</f>
        <v/>
      </c>
      <c r="K215" s="14" t="str">
        <f aca="false">IF(OR($D215="",$F215=""),"",IF($E215&gt;0,INDEX('R1. Tree Coefficients'!$F:$F,$F215+3)*($D215^INDEX('R1. Tree Coefficients'!$G:$G,$F215+3))*($E215^INDEX('R1. Tree Coefficients'!$H:$H,$F215+3)),INDEX('R1. Tree Coefficients'!$D:$D,$F215+3)*($D215^INDEX('R1. Tree Coefficients'!$E:$E,$F215+3))))</f>
        <v/>
      </c>
      <c r="L215" s="14" t="str">
        <f aca="false">IF($F215="","",IFERROR(SUM($H215:$K215),""))</f>
        <v/>
      </c>
      <c r="M215" s="14" t="str">
        <f aca="false">IF($F215="","",INDEX('R1. Tree Coefficients'!$J:$J,$F215))</f>
        <v/>
      </c>
      <c r="N215" s="14" t="str">
        <f aca="false">IF($L215="","",IF($M215="Deciduous",BGB_RS_DECIDUOUS_a*($L215^BGB_RS_DECIDUOUS_b),IF($M215="Conifers",BGB_RS_CONIFER*$L215,AVERAGE(BGB_RS_DECIDUOUS_a*($L215^BGB_RS_DECIDUOUS_b),BGB_RS_CONIFER*$L215))))</f>
        <v/>
      </c>
      <c r="O215" s="14" t="str">
        <f aca="false">IF($L215="","",$L215+$N215)</f>
        <v/>
      </c>
      <c r="P215" s="14" t="str">
        <f aca="false">IF($O215="","",$O215*CARBON_FRACTION_BIOMASS)</f>
        <v/>
      </c>
      <c r="Q215" s="14" t="str">
        <f aca="false">IF(AND($A215="",$C215=""),"",IF(AND($A215&lt;&gt;"",COUNTIF('1. Plot &amp; Site Log'!$A$5:$A$64,$A215)=0),"Plot ID not in Plot &amp; Site Log — this tree will not reach the summary. ","")&amp;IF($A215="","No Plot ID. ","")&amp;IF(AND($C215&lt;&gt;"",$F215=""),"Species not in the coefficient list — check the spelling against R1. ","")&amp;IF($D215="","No DBH — nothing can be calculated. ","")&amp;IF(AND($D215&lt;&gt;"",$D215&gt;QC_DBH_MAX_CM),"DBH above "&amp;QC_DBH_MAX_CM&amp;" cm — check for a transcription error. ","")&amp;IF($M215="All","Generic species: no published root:shoot applies, so below-ground biomass is the mean of the deciduous and conifer relationships. Choose a species, or Deciduous/Conifers, if you can. ","")&amp;IF(AND($O215&lt;&gt;"",$O215&gt;0,OR($N215/$O215&lt;BGB_FRACTION_MIN,$N215/$O215&gt;BGB_FRACTION_MAX)),"Below-ground share is "&amp;TEXT($N215/$O215,"0%")&amp;", outside the 18–30% the Trees guide describes. ",""))</f>
        <v/>
      </c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4" t="str">
        <f aca="false">IF($C216="","",IFERROR(12+(MATCH($C216,'R1. Tree Coefficients'!$L$12:$L$53,0)-1)*4,""))</f>
        <v/>
      </c>
      <c r="G216" s="14" t="str">
        <f aca="false">IF($F216="","",IF(AND($E216&lt;&gt;"",$E216&gt;0),"DBH + height","DBH only"))</f>
        <v/>
      </c>
      <c r="H216" s="14" t="str">
        <f aca="false">IF(OR($D216="",$F216=""),"",IF($E216&gt;0,INDEX('R1. Tree Coefficients'!$F:$F,$F216+0)*($D216^INDEX('R1. Tree Coefficients'!$G:$G,$F216+0))*($E216^INDEX('R1. Tree Coefficients'!$H:$H,$F216+0)),INDEX('R1. Tree Coefficients'!$D:$D,$F216+0)*($D216^INDEX('R1. Tree Coefficients'!$E:$E,$F216+0))))</f>
        <v/>
      </c>
      <c r="I216" s="14" t="str">
        <f aca="false">IF(OR($D216="",$F216=""),"",IF($E216&gt;0,INDEX('R1. Tree Coefficients'!$F:$F,$F216+1)*($D216^INDEX('R1. Tree Coefficients'!$G:$G,$F216+1))*($E216^INDEX('R1. Tree Coefficients'!$H:$H,$F216+1)),INDEX('R1. Tree Coefficients'!$D:$D,$F216+1)*($D216^INDEX('R1. Tree Coefficients'!$E:$E,$F216+1))))</f>
        <v/>
      </c>
      <c r="J216" s="14" t="str">
        <f aca="false">IF(OR($D216="",$F216=""),"",IF($E216&gt;0,INDEX('R1. Tree Coefficients'!$F:$F,$F216+2)*($D216^INDEX('R1. Tree Coefficients'!$G:$G,$F216+2))*($E216^INDEX('R1. Tree Coefficients'!$H:$H,$F216+2)),INDEX('R1. Tree Coefficients'!$D:$D,$F216+2)*($D216^INDEX('R1. Tree Coefficients'!$E:$E,$F216+2))))</f>
        <v/>
      </c>
      <c r="K216" s="14" t="str">
        <f aca="false">IF(OR($D216="",$F216=""),"",IF($E216&gt;0,INDEX('R1. Tree Coefficients'!$F:$F,$F216+3)*($D216^INDEX('R1. Tree Coefficients'!$G:$G,$F216+3))*($E216^INDEX('R1. Tree Coefficients'!$H:$H,$F216+3)),INDEX('R1. Tree Coefficients'!$D:$D,$F216+3)*($D216^INDEX('R1. Tree Coefficients'!$E:$E,$F216+3))))</f>
        <v/>
      </c>
      <c r="L216" s="14" t="str">
        <f aca="false">IF($F216="","",IFERROR(SUM($H216:$K216),""))</f>
        <v/>
      </c>
      <c r="M216" s="14" t="str">
        <f aca="false">IF($F216="","",INDEX('R1. Tree Coefficients'!$J:$J,$F216))</f>
        <v/>
      </c>
      <c r="N216" s="14" t="str">
        <f aca="false">IF($L216="","",IF($M216="Deciduous",BGB_RS_DECIDUOUS_a*($L216^BGB_RS_DECIDUOUS_b),IF($M216="Conifers",BGB_RS_CONIFER*$L216,AVERAGE(BGB_RS_DECIDUOUS_a*($L216^BGB_RS_DECIDUOUS_b),BGB_RS_CONIFER*$L216))))</f>
        <v/>
      </c>
      <c r="O216" s="14" t="str">
        <f aca="false">IF($L216="","",$L216+$N216)</f>
        <v/>
      </c>
      <c r="P216" s="14" t="str">
        <f aca="false">IF($O216="","",$O216*CARBON_FRACTION_BIOMASS)</f>
        <v/>
      </c>
      <c r="Q216" s="14" t="str">
        <f aca="false">IF(AND($A216="",$C216=""),"",IF(AND($A216&lt;&gt;"",COUNTIF('1. Plot &amp; Site Log'!$A$5:$A$64,$A216)=0),"Plot ID not in Plot &amp; Site Log — this tree will not reach the summary. ","")&amp;IF($A216="","No Plot ID. ","")&amp;IF(AND($C216&lt;&gt;"",$F216=""),"Species not in the coefficient list — check the spelling against R1. ","")&amp;IF($D216="","No DBH — nothing can be calculated. ","")&amp;IF(AND($D216&lt;&gt;"",$D216&gt;QC_DBH_MAX_CM),"DBH above "&amp;QC_DBH_MAX_CM&amp;" cm — check for a transcription error. ","")&amp;IF($M216="All","Generic species: no published root:shoot applies, so below-ground biomass is the mean of the deciduous and conifer relationships. Choose a species, or Deciduous/Conifers, if you can. ","")&amp;IF(AND($O216&lt;&gt;"",$O216&gt;0,OR($N216/$O216&lt;BGB_FRACTION_MIN,$N216/$O216&gt;BGB_FRACTION_MAX)),"Below-ground share is "&amp;TEXT($N216/$O216,"0%")&amp;", outside the 18–30% the Trees guide describes. ",""))</f>
        <v/>
      </c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4" t="str">
        <f aca="false">IF($C217="","",IFERROR(12+(MATCH($C217,'R1. Tree Coefficients'!$L$12:$L$53,0)-1)*4,""))</f>
        <v/>
      </c>
      <c r="G217" s="14" t="str">
        <f aca="false">IF($F217="","",IF(AND($E217&lt;&gt;"",$E217&gt;0),"DBH + height","DBH only"))</f>
        <v/>
      </c>
      <c r="H217" s="14" t="str">
        <f aca="false">IF(OR($D217="",$F217=""),"",IF($E217&gt;0,INDEX('R1. Tree Coefficients'!$F:$F,$F217+0)*($D217^INDEX('R1. Tree Coefficients'!$G:$G,$F217+0))*($E217^INDEX('R1. Tree Coefficients'!$H:$H,$F217+0)),INDEX('R1. Tree Coefficients'!$D:$D,$F217+0)*($D217^INDEX('R1. Tree Coefficients'!$E:$E,$F217+0))))</f>
        <v/>
      </c>
      <c r="I217" s="14" t="str">
        <f aca="false">IF(OR($D217="",$F217=""),"",IF($E217&gt;0,INDEX('R1. Tree Coefficients'!$F:$F,$F217+1)*($D217^INDEX('R1. Tree Coefficients'!$G:$G,$F217+1))*($E217^INDEX('R1. Tree Coefficients'!$H:$H,$F217+1)),INDEX('R1. Tree Coefficients'!$D:$D,$F217+1)*($D217^INDEX('R1. Tree Coefficients'!$E:$E,$F217+1))))</f>
        <v/>
      </c>
      <c r="J217" s="14" t="str">
        <f aca="false">IF(OR($D217="",$F217=""),"",IF($E217&gt;0,INDEX('R1. Tree Coefficients'!$F:$F,$F217+2)*($D217^INDEX('R1. Tree Coefficients'!$G:$G,$F217+2))*($E217^INDEX('R1. Tree Coefficients'!$H:$H,$F217+2)),INDEX('R1. Tree Coefficients'!$D:$D,$F217+2)*($D217^INDEX('R1. Tree Coefficients'!$E:$E,$F217+2))))</f>
        <v/>
      </c>
      <c r="K217" s="14" t="str">
        <f aca="false">IF(OR($D217="",$F217=""),"",IF($E217&gt;0,INDEX('R1. Tree Coefficients'!$F:$F,$F217+3)*($D217^INDEX('R1. Tree Coefficients'!$G:$G,$F217+3))*($E217^INDEX('R1. Tree Coefficients'!$H:$H,$F217+3)),INDEX('R1. Tree Coefficients'!$D:$D,$F217+3)*($D217^INDEX('R1. Tree Coefficients'!$E:$E,$F217+3))))</f>
        <v/>
      </c>
      <c r="L217" s="14" t="str">
        <f aca="false">IF($F217="","",IFERROR(SUM($H217:$K217),""))</f>
        <v/>
      </c>
      <c r="M217" s="14" t="str">
        <f aca="false">IF($F217="","",INDEX('R1. Tree Coefficients'!$J:$J,$F217))</f>
        <v/>
      </c>
      <c r="N217" s="14" t="str">
        <f aca="false">IF($L217="","",IF($M217="Deciduous",BGB_RS_DECIDUOUS_a*($L217^BGB_RS_DECIDUOUS_b),IF($M217="Conifers",BGB_RS_CONIFER*$L217,AVERAGE(BGB_RS_DECIDUOUS_a*($L217^BGB_RS_DECIDUOUS_b),BGB_RS_CONIFER*$L217))))</f>
        <v/>
      </c>
      <c r="O217" s="14" t="str">
        <f aca="false">IF($L217="","",$L217+$N217)</f>
        <v/>
      </c>
      <c r="P217" s="14" t="str">
        <f aca="false">IF($O217="","",$O217*CARBON_FRACTION_BIOMASS)</f>
        <v/>
      </c>
      <c r="Q217" s="14" t="str">
        <f aca="false">IF(AND($A217="",$C217=""),"",IF(AND($A217&lt;&gt;"",COUNTIF('1. Plot &amp; Site Log'!$A$5:$A$64,$A217)=0),"Plot ID not in Plot &amp; Site Log — this tree will not reach the summary. ","")&amp;IF($A217="","No Plot ID. ","")&amp;IF(AND($C217&lt;&gt;"",$F217=""),"Species not in the coefficient list — check the spelling against R1. ","")&amp;IF($D217="","No DBH — nothing can be calculated. ","")&amp;IF(AND($D217&lt;&gt;"",$D217&gt;QC_DBH_MAX_CM),"DBH above "&amp;QC_DBH_MAX_CM&amp;" cm — check for a transcription error. ","")&amp;IF($M217="All","Generic species: no published root:shoot applies, so below-ground biomass is the mean of the deciduous and conifer relationships. Choose a species, or Deciduous/Conifers, if you can. ","")&amp;IF(AND($O217&lt;&gt;"",$O217&gt;0,OR($N217/$O217&lt;BGB_FRACTION_MIN,$N217/$O217&gt;BGB_FRACTION_MAX)),"Below-ground share is "&amp;TEXT($N217/$O217,"0%")&amp;", outside the 18–30% the Trees guide describes. ",""))</f>
        <v/>
      </c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4" t="str">
        <f aca="false">IF($C218="","",IFERROR(12+(MATCH($C218,'R1. Tree Coefficients'!$L$12:$L$53,0)-1)*4,""))</f>
        <v/>
      </c>
      <c r="G218" s="14" t="str">
        <f aca="false">IF($F218="","",IF(AND($E218&lt;&gt;"",$E218&gt;0),"DBH + height","DBH only"))</f>
        <v/>
      </c>
      <c r="H218" s="14" t="str">
        <f aca="false">IF(OR($D218="",$F218=""),"",IF($E218&gt;0,INDEX('R1. Tree Coefficients'!$F:$F,$F218+0)*($D218^INDEX('R1. Tree Coefficients'!$G:$G,$F218+0))*($E218^INDEX('R1. Tree Coefficients'!$H:$H,$F218+0)),INDEX('R1. Tree Coefficients'!$D:$D,$F218+0)*($D218^INDEX('R1. Tree Coefficients'!$E:$E,$F218+0))))</f>
        <v/>
      </c>
      <c r="I218" s="14" t="str">
        <f aca="false">IF(OR($D218="",$F218=""),"",IF($E218&gt;0,INDEX('R1. Tree Coefficients'!$F:$F,$F218+1)*($D218^INDEX('R1. Tree Coefficients'!$G:$G,$F218+1))*($E218^INDEX('R1. Tree Coefficients'!$H:$H,$F218+1)),INDEX('R1. Tree Coefficients'!$D:$D,$F218+1)*($D218^INDEX('R1. Tree Coefficients'!$E:$E,$F218+1))))</f>
        <v/>
      </c>
      <c r="J218" s="14" t="str">
        <f aca="false">IF(OR($D218="",$F218=""),"",IF($E218&gt;0,INDEX('R1. Tree Coefficients'!$F:$F,$F218+2)*($D218^INDEX('R1. Tree Coefficients'!$G:$G,$F218+2))*($E218^INDEX('R1. Tree Coefficients'!$H:$H,$F218+2)),INDEX('R1. Tree Coefficients'!$D:$D,$F218+2)*($D218^INDEX('R1. Tree Coefficients'!$E:$E,$F218+2))))</f>
        <v/>
      </c>
      <c r="K218" s="14" t="str">
        <f aca="false">IF(OR($D218="",$F218=""),"",IF($E218&gt;0,INDEX('R1. Tree Coefficients'!$F:$F,$F218+3)*($D218^INDEX('R1. Tree Coefficients'!$G:$G,$F218+3))*($E218^INDEX('R1. Tree Coefficients'!$H:$H,$F218+3)),INDEX('R1. Tree Coefficients'!$D:$D,$F218+3)*($D218^INDEX('R1. Tree Coefficients'!$E:$E,$F218+3))))</f>
        <v/>
      </c>
      <c r="L218" s="14" t="str">
        <f aca="false">IF($F218="","",IFERROR(SUM($H218:$K218),""))</f>
        <v/>
      </c>
      <c r="M218" s="14" t="str">
        <f aca="false">IF($F218="","",INDEX('R1. Tree Coefficients'!$J:$J,$F218))</f>
        <v/>
      </c>
      <c r="N218" s="14" t="str">
        <f aca="false">IF($L218="","",IF($M218="Deciduous",BGB_RS_DECIDUOUS_a*($L218^BGB_RS_DECIDUOUS_b),IF($M218="Conifers",BGB_RS_CONIFER*$L218,AVERAGE(BGB_RS_DECIDUOUS_a*($L218^BGB_RS_DECIDUOUS_b),BGB_RS_CONIFER*$L218))))</f>
        <v/>
      </c>
      <c r="O218" s="14" t="str">
        <f aca="false">IF($L218="","",$L218+$N218)</f>
        <v/>
      </c>
      <c r="P218" s="14" t="str">
        <f aca="false">IF($O218="","",$O218*CARBON_FRACTION_BIOMASS)</f>
        <v/>
      </c>
      <c r="Q218" s="14" t="str">
        <f aca="false">IF(AND($A218="",$C218=""),"",IF(AND($A218&lt;&gt;"",COUNTIF('1. Plot &amp; Site Log'!$A$5:$A$64,$A218)=0),"Plot ID not in Plot &amp; Site Log — this tree will not reach the summary. ","")&amp;IF($A218="","No Plot ID. ","")&amp;IF(AND($C218&lt;&gt;"",$F218=""),"Species not in the coefficient list — check the spelling against R1. ","")&amp;IF($D218="","No DBH — nothing can be calculated. ","")&amp;IF(AND($D218&lt;&gt;"",$D218&gt;QC_DBH_MAX_CM),"DBH above "&amp;QC_DBH_MAX_CM&amp;" cm — check for a transcription error. ","")&amp;IF($M218="All","Generic species: no published root:shoot applies, so below-ground biomass is the mean of the deciduous and conifer relationships. Choose a species, or Deciduous/Conifers, if you can. ","")&amp;IF(AND($O218&lt;&gt;"",$O218&gt;0,OR($N218/$O218&lt;BGB_FRACTION_MIN,$N218/$O218&gt;BGB_FRACTION_MAX)),"Below-ground share is "&amp;TEXT($N218/$O218,"0%")&amp;", outside the 18–30% the Trees guide describes. ",""))</f>
        <v/>
      </c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4" t="str">
        <f aca="false">IF($C219="","",IFERROR(12+(MATCH($C219,'R1. Tree Coefficients'!$L$12:$L$53,0)-1)*4,""))</f>
        <v/>
      </c>
      <c r="G219" s="14" t="str">
        <f aca="false">IF($F219="","",IF(AND($E219&lt;&gt;"",$E219&gt;0),"DBH + height","DBH only"))</f>
        <v/>
      </c>
      <c r="H219" s="14" t="str">
        <f aca="false">IF(OR($D219="",$F219=""),"",IF($E219&gt;0,INDEX('R1. Tree Coefficients'!$F:$F,$F219+0)*($D219^INDEX('R1. Tree Coefficients'!$G:$G,$F219+0))*($E219^INDEX('R1. Tree Coefficients'!$H:$H,$F219+0)),INDEX('R1. Tree Coefficients'!$D:$D,$F219+0)*($D219^INDEX('R1. Tree Coefficients'!$E:$E,$F219+0))))</f>
        <v/>
      </c>
      <c r="I219" s="14" t="str">
        <f aca="false">IF(OR($D219="",$F219=""),"",IF($E219&gt;0,INDEX('R1. Tree Coefficients'!$F:$F,$F219+1)*($D219^INDEX('R1. Tree Coefficients'!$G:$G,$F219+1))*($E219^INDEX('R1. Tree Coefficients'!$H:$H,$F219+1)),INDEX('R1. Tree Coefficients'!$D:$D,$F219+1)*($D219^INDEX('R1. Tree Coefficients'!$E:$E,$F219+1))))</f>
        <v/>
      </c>
      <c r="J219" s="14" t="str">
        <f aca="false">IF(OR($D219="",$F219=""),"",IF($E219&gt;0,INDEX('R1. Tree Coefficients'!$F:$F,$F219+2)*($D219^INDEX('R1. Tree Coefficients'!$G:$G,$F219+2))*($E219^INDEX('R1. Tree Coefficients'!$H:$H,$F219+2)),INDEX('R1. Tree Coefficients'!$D:$D,$F219+2)*($D219^INDEX('R1. Tree Coefficients'!$E:$E,$F219+2))))</f>
        <v/>
      </c>
      <c r="K219" s="14" t="str">
        <f aca="false">IF(OR($D219="",$F219=""),"",IF($E219&gt;0,INDEX('R1. Tree Coefficients'!$F:$F,$F219+3)*($D219^INDEX('R1. Tree Coefficients'!$G:$G,$F219+3))*($E219^INDEX('R1. Tree Coefficients'!$H:$H,$F219+3)),INDEX('R1. Tree Coefficients'!$D:$D,$F219+3)*($D219^INDEX('R1. Tree Coefficients'!$E:$E,$F219+3))))</f>
        <v/>
      </c>
      <c r="L219" s="14" t="str">
        <f aca="false">IF($F219="","",IFERROR(SUM($H219:$K219),""))</f>
        <v/>
      </c>
      <c r="M219" s="14" t="str">
        <f aca="false">IF($F219="","",INDEX('R1. Tree Coefficients'!$J:$J,$F219))</f>
        <v/>
      </c>
      <c r="N219" s="14" t="str">
        <f aca="false">IF($L219="","",IF($M219="Deciduous",BGB_RS_DECIDUOUS_a*($L219^BGB_RS_DECIDUOUS_b),IF($M219="Conifers",BGB_RS_CONIFER*$L219,AVERAGE(BGB_RS_DECIDUOUS_a*($L219^BGB_RS_DECIDUOUS_b),BGB_RS_CONIFER*$L219))))</f>
        <v/>
      </c>
      <c r="O219" s="14" t="str">
        <f aca="false">IF($L219="","",$L219+$N219)</f>
        <v/>
      </c>
      <c r="P219" s="14" t="str">
        <f aca="false">IF($O219="","",$O219*CARBON_FRACTION_BIOMASS)</f>
        <v/>
      </c>
      <c r="Q219" s="14" t="str">
        <f aca="false">IF(AND($A219="",$C219=""),"",IF(AND($A219&lt;&gt;"",COUNTIF('1. Plot &amp; Site Log'!$A$5:$A$64,$A219)=0),"Plot ID not in Plot &amp; Site Log — this tree will not reach the summary. ","")&amp;IF($A219="","No Plot ID. ","")&amp;IF(AND($C219&lt;&gt;"",$F219=""),"Species not in the coefficient list — check the spelling against R1. ","")&amp;IF($D219="","No DBH — nothing can be calculated. ","")&amp;IF(AND($D219&lt;&gt;"",$D219&gt;QC_DBH_MAX_CM),"DBH above "&amp;QC_DBH_MAX_CM&amp;" cm — check for a transcription error. ","")&amp;IF($M219="All","Generic species: no published root:shoot applies, so below-ground biomass is the mean of the deciduous and conifer relationships. Choose a species, or Deciduous/Conifers, if you can. ","")&amp;IF(AND($O219&lt;&gt;"",$O219&gt;0,OR($N219/$O219&lt;BGB_FRACTION_MIN,$N219/$O219&gt;BGB_FRACTION_MAX)),"Below-ground share is "&amp;TEXT($N219/$O219,"0%")&amp;", outside the 18–30% the Trees guide describes. ",""))</f>
        <v/>
      </c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4" t="str">
        <f aca="false">IF($C220="","",IFERROR(12+(MATCH($C220,'R1. Tree Coefficients'!$L$12:$L$53,0)-1)*4,""))</f>
        <v/>
      </c>
      <c r="G220" s="14" t="str">
        <f aca="false">IF($F220="","",IF(AND($E220&lt;&gt;"",$E220&gt;0),"DBH + height","DBH only"))</f>
        <v/>
      </c>
      <c r="H220" s="14" t="str">
        <f aca="false">IF(OR($D220="",$F220=""),"",IF($E220&gt;0,INDEX('R1. Tree Coefficients'!$F:$F,$F220+0)*($D220^INDEX('R1. Tree Coefficients'!$G:$G,$F220+0))*($E220^INDEX('R1. Tree Coefficients'!$H:$H,$F220+0)),INDEX('R1. Tree Coefficients'!$D:$D,$F220+0)*($D220^INDEX('R1. Tree Coefficients'!$E:$E,$F220+0))))</f>
        <v/>
      </c>
      <c r="I220" s="14" t="str">
        <f aca="false">IF(OR($D220="",$F220=""),"",IF($E220&gt;0,INDEX('R1. Tree Coefficients'!$F:$F,$F220+1)*($D220^INDEX('R1. Tree Coefficients'!$G:$G,$F220+1))*($E220^INDEX('R1. Tree Coefficients'!$H:$H,$F220+1)),INDEX('R1. Tree Coefficients'!$D:$D,$F220+1)*($D220^INDEX('R1. Tree Coefficients'!$E:$E,$F220+1))))</f>
        <v/>
      </c>
      <c r="J220" s="14" t="str">
        <f aca="false">IF(OR($D220="",$F220=""),"",IF($E220&gt;0,INDEX('R1. Tree Coefficients'!$F:$F,$F220+2)*($D220^INDEX('R1. Tree Coefficients'!$G:$G,$F220+2))*($E220^INDEX('R1. Tree Coefficients'!$H:$H,$F220+2)),INDEX('R1. Tree Coefficients'!$D:$D,$F220+2)*($D220^INDEX('R1. Tree Coefficients'!$E:$E,$F220+2))))</f>
        <v/>
      </c>
      <c r="K220" s="14" t="str">
        <f aca="false">IF(OR($D220="",$F220=""),"",IF($E220&gt;0,INDEX('R1. Tree Coefficients'!$F:$F,$F220+3)*($D220^INDEX('R1. Tree Coefficients'!$G:$G,$F220+3))*($E220^INDEX('R1. Tree Coefficients'!$H:$H,$F220+3)),INDEX('R1. Tree Coefficients'!$D:$D,$F220+3)*($D220^INDEX('R1. Tree Coefficients'!$E:$E,$F220+3))))</f>
        <v/>
      </c>
      <c r="L220" s="14" t="str">
        <f aca="false">IF($F220="","",IFERROR(SUM($H220:$K220),""))</f>
        <v/>
      </c>
      <c r="M220" s="14" t="str">
        <f aca="false">IF($F220="","",INDEX('R1. Tree Coefficients'!$J:$J,$F220))</f>
        <v/>
      </c>
      <c r="N220" s="14" t="str">
        <f aca="false">IF($L220="","",IF($M220="Deciduous",BGB_RS_DECIDUOUS_a*($L220^BGB_RS_DECIDUOUS_b),IF($M220="Conifers",BGB_RS_CONIFER*$L220,AVERAGE(BGB_RS_DECIDUOUS_a*($L220^BGB_RS_DECIDUOUS_b),BGB_RS_CONIFER*$L220))))</f>
        <v/>
      </c>
      <c r="O220" s="14" t="str">
        <f aca="false">IF($L220="","",$L220+$N220)</f>
        <v/>
      </c>
      <c r="P220" s="14" t="str">
        <f aca="false">IF($O220="","",$O220*CARBON_FRACTION_BIOMASS)</f>
        <v/>
      </c>
      <c r="Q220" s="14" t="str">
        <f aca="false">IF(AND($A220="",$C220=""),"",IF(AND($A220&lt;&gt;"",COUNTIF('1. Plot &amp; Site Log'!$A$5:$A$64,$A220)=0),"Plot ID not in Plot &amp; Site Log — this tree will not reach the summary. ","")&amp;IF($A220="","No Plot ID. ","")&amp;IF(AND($C220&lt;&gt;"",$F220=""),"Species not in the coefficient list — check the spelling against R1. ","")&amp;IF($D220="","No DBH — nothing can be calculated. ","")&amp;IF(AND($D220&lt;&gt;"",$D220&gt;QC_DBH_MAX_CM),"DBH above "&amp;QC_DBH_MAX_CM&amp;" cm — check for a transcription error. ","")&amp;IF($M220="All","Generic species: no published root:shoot applies, so below-ground biomass is the mean of the deciduous and conifer relationships. Choose a species, or Deciduous/Conifers, if you can. ","")&amp;IF(AND($O220&lt;&gt;"",$O220&gt;0,OR($N220/$O220&lt;BGB_FRACTION_MIN,$N220/$O220&gt;BGB_FRACTION_MAX)),"Below-ground share is "&amp;TEXT($N220/$O220,"0%")&amp;", outside the 18–30% the Trees guide describes. ",""))</f>
        <v/>
      </c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4" t="str">
        <f aca="false">IF($C221="","",IFERROR(12+(MATCH($C221,'R1. Tree Coefficients'!$L$12:$L$53,0)-1)*4,""))</f>
        <v/>
      </c>
      <c r="G221" s="14" t="str">
        <f aca="false">IF($F221="","",IF(AND($E221&lt;&gt;"",$E221&gt;0),"DBH + height","DBH only"))</f>
        <v/>
      </c>
      <c r="H221" s="14" t="str">
        <f aca="false">IF(OR($D221="",$F221=""),"",IF($E221&gt;0,INDEX('R1. Tree Coefficients'!$F:$F,$F221+0)*($D221^INDEX('R1. Tree Coefficients'!$G:$G,$F221+0))*($E221^INDEX('R1. Tree Coefficients'!$H:$H,$F221+0)),INDEX('R1. Tree Coefficients'!$D:$D,$F221+0)*($D221^INDEX('R1. Tree Coefficients'!$E:$E,$F221+0))))</f>
        <v/>
      </c>
      <c r="I221" s="14" t="str">
        <f aca="false">IF(OR($D221="",$F221=""),"",IF($E221&gt;0,INDEX('R1. Tree Coefficients'!$F:$F,$F221+1)*($D221^INDEX('R1. Tree Coefficients'!$G:$G,$F221+1))*($E221^INDEX('R1. Tree Coefficients'!$H:$H,$F221+1)),INDEX('R1. Tree Coefficients'!$D:$D,$F221+1)*($D221^INDEX('R1. Tree Coefficients'!$E:$E,$F221+1))))</f>
        <v/>
      </c>
      <c r="J221" s="14" t="str">
        <f aca="false">IF(OR($D221="",$F221=""),"",IF($E221&gt;0,INDEX('R1. Tree Coefficients'!$F:$F,$F221+2)*($D221^INDEX('R1. Tree Coefficients'!$G:$G,$F221+2))*($E221^INDEX('R1. Tree Coefficients'!$H:$H,$F221+2)),INDEX('R1. Tree Coefficients'!$D:$D,$F221+2)*($D221^INDEX('R1. Tree Coefficients'!$E:$E,$F221+2))))</f>
        <v/>
      </c>
      <c r="K221" s="14" t="str">
        <f aca="false">IF(OR($D221="",$F221=""),"",IF($E221&gt;0,INDEX('R1. Tree Coefficients'!$F:$F,$F221+3)*($D221^INDEX('R1. Tree Coefficients'!$G:$G,$F221+3))*($E221^INDEX('R1. Tree Coefficients'!$H:$H,$F221+3)),INDEX('R1. Tree Coefficients'!$D:$D,$F221+3)*($D221^INDEX('R1. Tree Coefficients'!$E:$E,$F221+3))))</f>
        <v/>
      </c>
      <c r="L221" s="14" t="str">
        <f aca="false">IF($F221="","",IFERROR(SUM($H221:$K221),""))</f>
        <v/>
      </c>
      <c r="M221" s="14" t="str">
        <f aca="false">IF($F221="","",INDEX('R1. Tree Coefficients'!$J:$J,$F221))</f>
        <v/>
      </c>
      <c r="N221" s="14" t="str">
        <f aca="false">IF($L221="","",IF($M221="Deciduous",BGB_RS_DECIDUOUS_a*($L221^BGB_RS_DECIDUOUS_b),IF($M221="Conifers",BGB_RS_CONIFER*$L221,AVERAGE(BGB_RS_DECIDUOUS_a*($L221^BGB_RS_DECIDUOUS_b),BGB_RS_CONIFER*$L221))))</f>
        <v/>
      </c>
      <c r="O221" s="14" t="str">
        <f aca="false">IF($L221="","",$L221+$N221)</f>
        <v/>
      </c>
      <c r="P221" s="14" t="str">
        <f aca="false">IF($O221="","",$O221*CARBON_FRACTION_BIOMASS)</f>
        <v/>
      </c>
      <c r="Q221" s="14" t="str">
        <f aca="false">IF(AND($A221="",$C221=""),"",IF(AND($A221&lt;&gt;"",COUNTIF('1. Plot &amp; Site Log'!$A$5:$A$64,$A221)=0),"Plot ID not in Plot &amp; Site Log — this tree will not reach the summary. ","")&amp;IF($A221="","No Plot ID. ","")&amp;IF(AND($C221&lt;&gt;"",$F221=""),"Species not in the coefficient list — check the spelling against R1. ","")&amp;IF($D221="","No DBH — nothing can be calculated. ","")&amp;IF(AND($D221&lt;&gt;"",$D221&gt;QC_DBH_MAX_CM),"DBH above "&amp;QC_DBH_MAX_CM&amp;" cm — check for a transcription error. ","")&amp;IF($M221="All","Generic species: no published root:shoot applies, so below-ground biomass is the mean of the deciduous and conifer relationships. Choose a species, or Deciduous/Conifers, if you can. ","")&amp;IF(AND($O221&lt;&gt;"",$O221&gt;0,OR($N221/$O221&lt;BGB_FRACTION_MIN,$N221/$O221&gt;BGB_FRACTION_MAX)),"Below-ground share is "&amp;TEXT($N221/$O221,"0%")&amp;", outside the 18–30% the Trees guide describes. ",""))</f>
        <v/>
      </c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4" t="str">
        <f aca="false">IF($C222="","",IFERROR(12+(MATCH($C222,'R1. Tree Coefficients'!$L$12:$L$53,0)-1)*4,""))</f>
        <v/>
      </c>
      <c r="G222" s="14" t="str">
        <f aca="false">IF($F222="","",IF(AND($E222&lt;&gt;"",$E222&gt;0),"DBH + height","DBH only"))</f>
        <v/>
      </c>
      <c r="H222" s="14" t="str">
        <f aca="false">IF(OR($D222="",$F222=""),"",IF($E222&gt;0,INDEX('R1. Tree Coefficients'!$F:$F,$F222+0)*($D222^INDEX('R1. Tree Coefficients'!$G:$G,$F222+0))*($E222^INDEX('R1. Tree Coefficients'!$H:$H,$F222+0)),INDEX('R1. Tree Coefficients'!$D:$D,$F222+0)*($D222^INDEX('R1. Tree Coefficients'!$E:$E,$F222+0))))</f>
        <v/>
      </c>
      <c r="I222" s="14" t="str">
        <f aca="false">IF(OR($D222="",$F222=""),"",IF($E222&gt;0,INDEX('R1. Tree Coefficients'!$F:$F,$F222+1)*($D222^INDEX('R1. Tree Coefficients'!$G:$G,$F222+1))*($E222^INDEX('R1. Tree Coefficients'!$H:$H,$F222+1)),INDEX('R1. Tree Coefficients'!$D:$D,$F222+1)*($D222^INDEX('R1. Tree Coefficients'!$E:$E,$F222+1))))</f>
        <v/>
      </c>
      <c r="J222" s="14" t="str">
        <f aca="false">IF(OR($D222="",$F222=""),"",IF($E222&gt;0,INDEX('R1. Tree Coefficients'!$F:$F,$F222+2)*($D222^INDEX('R1. Tree Coefficients'!$G:$G,$F222+2))*($E222^INDEX('R1. Tree Coefficients'!$H:$H,$F222+2)),INDEX('R1. Tree Coefficients'!$D:$D,$F222+2)*($D222^INDEX('R1. Tree Coefficients'!$E:$E,$F222+2))))</f>
        <v/>
      </c>
      <c r="K222" s="14" t="str">
        <f aca="false">IF(OR($D222="",$F222=""),"",IF($E222&gt;0,INDEX('R1. Tree Coefficients'!$F:$F,$F222+3)*($D222^INDEX('R1. Tree Coefficients'!$G:$G,$F222+3))*($E222^INDEX('R1. Tree Coefficients'!$H:$H,$F222+3)),INDEX('R1. Tree Coefficients'!$D:$D,$F222+3)*($D222^INDEX('R1. Tree Coefficients'!$E:$E,$F222+3))))</f>
        <v/>
      </c>
      <c r="L222" s="14" t="str">
        <f aca="false">IF($F222="","",IFERROR(SUM($H222:$K222),""))</f>
        <v/>
      </c>
      <c r="M222" s="14" t="str">
        <f aca="false">IF($F222="","",INDEX('R1. Tree Coefficients'!$J:$J,$F222))</f>
        <v/>
      </c>
      <c r="N222" s="14" t="str">
        <f aca="false">IF($L222="","",IF($M222="Deciduous",BGB_RS_DECIDUOUS_a*($L222^BGB_RS_DECIDUOUS_b),IF($M222="Conifers",BGB_RS_CONIFER*$L222,AVERAGE(BGB_RS_DECIDUOUS_a*($L222^BGB_RS_DECIDUOUS_b),BGB_RS_CONIFER*$L222))))</f>
        <v/>
      </c>
      <c r="O222" s="14" t="str">
        <f aca="false">IF($L222="","",$L222+$N222)</f>
        <v/>
      </c>
      <c r="P222" s="14" t="str">
        <f aca="false">IF($O222="","",$O222*CARBON_FRACTION_BIOMASS)</f>
        <v/>
      </c>
      <c r="Q222" s="14" t="str">
        <f aca="false">IF(AND($A222="",$C222=""),"",IF(AND($A222&lt;&gt;"",COUNTIF('1. Plot &amp; Site Log'!$A$5:$A$64,$A222)=0),"Plot ID not in Plot &amp; Site Log — this tree will not reach the summary. ","")&amp;IF($A222="","No Plot ID. ","")&amp;IF(AND($C222&lt;&gt;"",$F222=""),"Species not in the coefficient list — check the spelling against R1. ","")&amp;IF($D222="","No DBH — nothing can be calculated. ","")&amp;IF(AND($D222&lt;&gt;"",$D222&gt;QC_DBH_MAX_CM),"DBH above "&amp;QC_DBH_MAX_CM&amp;" cm — check for a transcription error. ","")&amp;IF($M222="All","Generic species: no published root:shoot applies, so below-ground biomass is the mean of the deciduous and conifer relationships. Choose a species, or Deciduous/Conifers, if you can. ","")&amp;IF(AND($O222&lt;&gt;"",$O222&gt;0,OR($N222/$O222&lt;BGB_FRACTION_MIN,$N222/$O222&gt;BGB_FRACTION_MAX)),"Below-ground share is "&amp;TEXT($N222/$O222,"0%")&amp;", outside the 18–30% the Trees guide describes. ",""))</f>
        <v/>
      </c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4" t="str">
        <f aca="false">IF($C223="","",IFERROR(12+(MATCH($C223,'R1. Tree Coefficients'!$L$12:$L$53,0)-1)*4,""))</f>
        <v/>
      </c>
      <c r="G223" s="14" t="str">
        <f aca="false">IF($F223="","",IF(AND($E223&lt;&gt;"",$E223&gt;0),"DBH + height","DBH only"))</f>
        <v/>
      </c>
      <c r="H223" s="14" t="str">
        <f aca="false">IF(OR($D223="",$F223=""),"",IF($E223&gt;0,INDEX('R1. Tree Coefficients'!$F:$F,$F223+0)*($D223^INDEX('R1. Tree Coefficients'!$G:$G,$F223+0))*($E223^INDEX('R1. Tree Coefficients'!$H:$H,$F223+0)),INDEX('R1. Tree Coefficients'!$D:$D,$F223+0)*($D223^INDEX('R1. Tree Coefficients'!$E:$E,$F223+0))))</f>
        <v/>
      </c>
      <c r="I223" s="14" t="str">
        <f aca="false">IF(OR($D223="",$F223=""),"",IF($E223&gt;0,INDEX('R1. Tree Coefficients'!$F:$F,$F223+1)*($D223^INDEX('R1. Tree Coefficients'!$G:$G,$F223+1))*($E223^INDEX('R1. Tree Coefficients'!$H:$H,$F223+1)),INDEX('R1. Tree Coefficients'!$D:$D,$F223+1)*($D223^INDEX('R1. Tree Coefficients'!$E:$E,$F223+1))))</f>
        <v/>
      </c>
      <c r="J223" s="14" t="str">
        <f aca="false">IF(OR($D223="",$F223=""),"",IF($E223&gt;0,INDEX('R1. Tree Coefficients'!$F:$F,$F223+2)*($D223^INDEX('R1. Tree Coefficients'!$G:$G,$F223+2))*($E223^INDEX('R1. Tree Coefficients'!$H:$H,$F223+2)),INDEX('R1. Tree Coefficients'!$D:$D,$F223+2)*($D223^INDEX('R1. Tree Coefficients'!$E:$E,$F223+2))))</f>
        <v/>
      </c>
      <c r="K223" s="14" t="str">
        <f aca="false">IF(OR($D223="",$F223=""),"",IF($E223&gt;0,INDEX('R1. Tree Coefficients'!$F:$F,$F223+3)*($D223^INDEX('R1. Tree Coefficients'!$G:$G,$F223+3))*($E223^INDEX('R1. Tree Coefficients'!$H:$H,$F223+3)),INDEX('R1. Tree Coefficients'!$D:$D,$F223+3)*($D223^INDEX('R1. Tree Coefficients'!$E:$E,$F223+3))))</f>
        <v/>
      </c>
      <c r="L223" s="14" t="str">
        <f aca="false">IF($F223="","",IFERROR(SUM($H223:$K223),""))</f>
        <v/>
      </c>
      <c r="M223" s="14" t="str">
        <f aca="false">IF($F223="","",INDEX('R1. Tree Coefficients'!$J:$J,$F223))</f>
        <v/>
      </c>
      <c r="N223" s="14" t="str">
        <f aca="false">IF($L223="","",IF($M223="Deciduous",BGB_RS_DECIDUOUS_a*($L223^BGB_RS_DECIDUOUS_b),IF($M223="Conifers",BGB_RS_CONIFER*$L223,AVERAGE(BGB_RS_DECIDUOUS_a*($L223^BGB_RS_DECIDUOUS_b),BGB_RS_CONIFER*$L223))))</f>
        <v/>
      </c>
      <c r="O223" s="14" t="str">
        <f aca="false">IF($L223="","",$L223+$N223)</f>
        <v/>
      </c>
      <c r="P223" s="14" t="str">
        <f aca="false">IF($O223="","",$O223*CARBON_FRACTION_BIOMASS)</f>
        <v/>
      </c>
      <c r="Q223" s="14" t="str">
        <f aca="false">IF(AND($A223="",$C223=""),"",IF(AND($A223&lt;&gt;"",COUNTIF('1. Plot &amp; Site Log'!$A$5:$A$64,$A223)=0),"Plot ID not in Plot &amp; Site Log — this tree will not reach the summary. ","")&amp;IF($A223="","No Plot ID. ","")&amp;IF(AND($C223&lt;&gt;"",$F223=""),"Species not in the coefficient list — check the spelling against R1. ","")&amp;IF($D223="","No DBH — nothing can be calculated. ","")&amp;IF(AND($D223&lt;&gt;"",$D223&gt;QC_DBH_MAX_CM),"DBH above "&amp;QC_DBH_MAX_CM&amp;" cm — check for a transcription error. ","")&amp;IF($M223="All","Generic species: no published root:shoot applies, so below-ground biomass is the mean of the deciduous and conifer relationships. Choose a species, or Deciduous/Conifers, if you can. ","")&amp;IF(AND($O223&lt;&gt;"",$O223&gt;0,OR($N223/$O223&lt;BGB_FRACTION_MIN,$N223/$O223&gt;BGB_FRACTION_MAX)),"Below-ground share is "&amp;TEXT($N223/$O223,"0%")&amp;", outside the 18–30% the Trees guide describes. ",""))</f>
        <v/>
      </c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4" t="str">
        <f aca="false">IF($C224="","",IFERROR(12+(MATCH($C224,'R1. Tree Coefficients'!$L$12:$L$53,0)-1)*4,""))</f>
        <v/>
      </c>
      <c r="G224" s="14" t="str">
        <f aca="false">IF($F224="","",IF(AND($E224&lt;&gt;"",$E224&gt;0),"DBH + height","DBH only"))</f>
        <v/>
      </c>
      <c r="H224" s="14" t="str">
        <f aca="false">IF(OR($D224="",$F224=""),"",IF($E224&gt;0,INDEX('R1. Tree Coefficients'!$F:$F,$F224+0)*($D224^INDEX('R1. Tree Coefficients'!$G:$G,$F224+0))*($E224^INDEX('R1. Tree Coefficients'!$H:$H,$F224+0)),INDEX('R1. Tree Coefficients'!$D:$D,$F224+0)*($D224^INDEX('R1. Tree Coefficients'!$E:$E,$F224+0))))</f>
        <v/>
      </c>
      <c r="I224" s="14" t="str">
        <f aca="false">IF(OR($D224="",$F224=""),"",IF($E224&gt;0,INDEX('R1. Tree Coefficients'!$F:$F,$F224+1)*($D224^INDEX('R1. Tree Coefficients'!$G:$G,$F224+1))*($E224^INDEX('R1. Tree Coefficients'!$H:$H,$F224+1)),INDEX('R1. Tree Coefficients'!$D:$D,$F224+1)*($D224^INDEX('R1. Tree Coefficients'!$E:$E,$F224+1))))</f>
        <v/>
      </c>
      <c r="J224" s="14" t="str">
        <f aca="false">IF(OR($D224="",$F224=""),"",IF($E224&gt;0,INDEX('R1. Tree Coefficients'!$F:$F,$F224+2)*($D224^INDEX('R1. Tree Coefficients'!$G:$G,$F224+2))*($E224^INDEX('R1. Tree Coefficients'!$H:$H,$F224+2)),INDEX('R1. Tree Coefficients'!$D:$D,$F224+2)*($D224^INDEX('R1. Tree Coefficients'!$E:$E,$F224+2))))</f>
        <v/>
      </c>
      <c r="K224" s="14" t="str">
        <f aca="false">IF(OR($D224="",$F224=""),"",IF($E224&gt;0,INDEX('R1. Tree Coefficients'!$F:$F,$F224+3)*($D224^INDEX('R1. Tree Coefficients'!$G:$G,$F224+3))*($E224^INDEX('R1. Tree Coefficients'!$H:$H,$F224+3)),INDEX('R1. Tree Coefficients'!$D:$D,$F224+3)*($D224^INDEX('R1. Tree Coefficients'!$E:$E,$F224+3))))</f>
        <v/>
      </c>
      <c r="L224" s="14" t="str">
        <f aca="false">IF($F224="","",IFERROR(SUM($H224:$K224),""))</f>
        <v/>
      </c>
      <c r="M224" s="14" t="str">
        <f aca="false">IF($F224="","",INDEX('R1. Tree Coefficients'!$J:$J,$F224))</f>
        <v/>
      </c>
      <c r="N224" s="14" t="str">
        <f aca="false">IF($L224="","",IF($M224="Deciduous",BGB_RS_DECIDUOUS_a*($L224^BGB_RS_DECIDUOUS_b),IF($M224="Conifers",BGB_RS_CONIFER*$L224,AVERAGE(BGB_RS_DECIDUOUS_a*($L224^BGB_RS_DECIDUOUS_b),BGB_RS_CONIFER*$L224))))</f>
        <v/>
      </c>
      <c r="O224" s="14" t="str">
        <f aca="false">IF($L224="","",$L224+$N224)</f>
        <v/>
      </c>
      <c r="P224" s="14" t="str">
        <f aca="false">IF($O224="","",$O224*CARBON_FRACTION_BIOMASS)</f>
        <v/>
      </c>
      <c r="Q224" s="14" t="str">
        <f aca="false">IF(AND($A224="",$C224=""),"",IF(AND($A224&lt;&gt;"",COUNTIF('1. Plot &amp; Site Log'!$A$5:$A$64,$A224)=0),"Plot ID not in Plot &amp; Site Log — this tree will not reach the summary. ","")&amp;IF($A224="","No Plot ID. ","")&amp;IF(AND($C224&lt;&gt;"",$F224=""),"Species not in the coefficient list — check the spelling against R1. ","")&amp;IF($D224="","No DBH — nothing can be calculated. ","")&amp;IF(AND($D224&lt;&gt;"",$D224&gt;QC_DBH_MAX_CM),"DBH above "&amp;QC_DBH_MAX_CM&amp;" cm — check for a transcription error. ","")&amp;IF($M224="All","Generic species: no published root:shoot applies, so below-ground biomass is the mean of the deciduous and conifer relationships. Choose a species, or Deciduous/Conifers, if you can. ","")&amp;IF(AND($O224&lt;&gt;"",$O224&gt;0,OR($N224/$O224&lt;BGB_FRACTION_MIN,$N224/$O224&gt;BGB_FRACTION_MAX)),"Below-ground share is "&amp;TEXT($N224/$O224,"0%")&amp;", outside the 18–30% the Trees guide describes. ",""))</f>
        <v/>
      </c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4" t="str">
        <f aca="false">IF($C225="","",IFERROR(12+(MATCH($C225,'R1. Tree Coefficients'!$L$12:$L$53,0)-1)*4,""))</f>
        <v/>
      </c>
      <c r="G225" s="14" t="str">
        <f aca="false">IF($F225="","",IF(AND($E225&lt;&gt;"",$E225&gt;0),"DBH + height","DBH only"))</f>
        <v/>
      </c>
      <c r="H225" s="14" t="str">
        <f aca="false">IF(OR($D225="",$F225=""),"",IF($E225&gt;0,INDEX('R1. Tree Coefficients'!$F:$F,$F225+0)*($D225^INDEX('R1. Tree Coefficients'!$G:$G,$F225+0))*($E225^INDEX('R1. Tree Coefficients'!$H:$H,$F225+0)),INDEX('R1. Tree Coefficients'!$D:$D,$F225+0)*($D225^INDEX('R1. Tree Coefficients'!$E:$E,$F225+0))))</f>
        <v/>
      </c>
      <c r="I225" s="14" t="str">
        <f aca="false">IF(OR($D225="",$F225=""),"",IF($E225&gt;0,INDEX('R1. Tree Coefficients'!$F:$F,$F225+1)*($D225^INDEX('R1. Tree Coefficients'!$G:$G,$F225+1))*($E225^INDEX('R1. Tree Coefficients'!$H:$H,$F225+1)),INDEX('R1. Tree Coefficients'!$D:$D,$F225+1)*($D225^INDEX('R1. Tree Coefficients'!$E:$E,$F225+1))))</f>
        <v/>
      </c>
      <c r="J225" s="14" t="str">
        <f aca="false">IF(OR($D225="",$F225=""),"",IF($E225&gt;0,INDEX('R1. Tree Coefficients'!$F:$F,$F225+2)*($D225^INDEX('R1. Tree Coefficients'!$G:$G,$F225+2))*($E225^INDEX('R1. Tree Coefficients'!$H:$H,$F225+2)),INDEX('R1. Tree Coefficients'!$D:$D,$F225+2)*($D225^INDEX('R1. Tree Coefficients'!$E:$E,$F225+2))))</f>
        <v/>
      </c>
      <c r="K225" s="14" t="str">
        <f aca="false">IF(OR($D225="",$F225=""),"",IF($E225&gt;0,INDEX('R1. Tree Coefficients'!$F:$F,$F225+3)*($D225^INDEX('R1. Tree Coefficients'!$G:$G,$F225+3))*($E225^INDEX('R1. Tree Coefficients'!$H:$H,$F225+3)),INDEX('R1. Tree Coefficients'!$D:$D,$F225+3)*($D225^INDEX('R1. Tree Coefficients'!$E:$E,$F225+3))))</f>
        <v/>
      </c>
      <c r="L225" s="14" t="str">
        <f aca="false">IF($F225="","",IFERROR(SUM($H225:$K225),""))</f>
        <v/>
      </c>
      <c r="M225" s="14" t="str">
        <f aca="false">IF($F225="","",INDEX('R1. Tree Coefficients'!$J:$J,$F225))</f>
        <v/>
      </c>
      <c r="N225" s="14" t="str">
        <f aca="false">IF($L225="","",IF($M225="Deciduous",BGB_RS_DECIDUOUS_a*($L225^BGB_RS_DECIDUOUS_b),IF($M225="Conifers",BGB_RS_CONIFER*$L225,AVERAGE(BGB_RS_DECIDUOUS_a*($L225^BGB_RS_DECIDUOUS_b),BGB_RS_CONIFER*$L225))))</f>
        <v/>
      </c>
      <c r="O225" s="14" t="str">
        <f aca="false">IF($L225="","",$L225+$N225)</f>
        <v/>
      </c>
      <c r="P225" s="14" t="str">
        <f aca="false">IF($O225="","",$O225*CARBON_FRACTION_BIOMASS)</f>
        <v/>
      </c>
      <c r="Q225" s="14" t="str">
        <f aca="false">IF(AND($A225="",$C225=""),"",IF(AND($A225&lt;&gt;"",COUNTIF('1. Plot &amp; Site Log'!$A$5:$A$64,$A225)=0),"Plot ID not in Plot &amp; Site Log — this tree will not reach the summary. ","")&amp;IF($A225="","No Plot ID. ","")&amp;IF(AND($C225&lt;&gt;"",$F225=""),"Species not in the coefficient list — check the spelling against R1. ","")&amp;IF($D225="","No DBH — nothing can be calculated. ","")&amp;IF(AND($D225&lt;&gt;"",$D225&gt;QC_DBH_MAX_CM),"DBH above "&amp;QC_DBH_MAX_CM&amp;" cm — check for a transcription error. ","")&amp;IF($M225="All","Generic species: no published root:shoot applies, so below-ground biomass is the mean of the deciduous and conifer relationships. Choose a species, or Deciduous/Conifers, if you can. ","")&amp;IF(AND($O225&lt;&gt;"",$O225&gt;0,OR($N225/$O225&lt;BGB_FRACTION_MIN,$N225/$O225&gt;BGB_FRACTION_MAX)),"Below-ground share is "&amp;TEXT($N225/$O225,"0%")&amp;", outside the 18–30% the Trees guide describes. ",""))</f>
        <v/>
      </c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4" t="str">
        <f aca="false">IF($C226="","",IFERROR(12+(MATCH($C226,'R1. Tree Coefficients'!$L$12:$L$53,0)-1)*4,""))</f>
        <v/>
      </c>
      <c r="G226" s="14" t="str">
        <f aca="false">IF($F226="","",IF(AND($E226&lt;&gt;"",$E226&gt;0),"DBH + height","DBH only"))</f>
        <v/>
      </c>
      <c r="H226" s="14" t="str">
        <f aca="false">IF(OR($D226="",$F226=""),"",IF($E226&gt;0,INDEX('R1. Tree Coefficients'!$F:$F,$F226+0)*($D226^INDEX('R1. Tree Coefficients'!$G:$G,$F226+0))*($E226^INDEX('R1. Tree Coefficients'!$H:$H,$F226+0)),INDEX('R1. Tree Coefficients'!$D:$D,$F226+0)*($D226^INDEX('R1. Tree Coefficients'!$E:$E,$F226+0))))</f>
        <v/>
      </c>
      <c r="I226" s="14" t="str">
        <f aca="false">IF(OR($D226="",$F226=""),"",IF($E226&gt;0,INDEX('R1. Tree Coefficients'!$F:$F,$F226+1)*($D226^INDEX('R1. Tree Coefficients'!$G:$G,$F226+1))*($E226^INDEX('R1. Tree Coefficients'!$H:$H,$F226+1)),INDEX('R1. Tree Coefficients'!$D:$D,$F226+1)*($D226^INDEX('R1. Tree Coefficients'!$E:$E,$F226+1))))</f>
        <v/>
      </c>
      <c r="J226" s="14" t="str">
        <f aca="false">IF(OR($D226="",$F226=""),"",IF($E226&gt;0,INDEX('R1. Tree Coefficients'!$F:$F,$F226+2)*($D226^INDEX('R1. Tree Coefficients'!$G:$G,$F226+2))*($E226^INDEX('R1. Tree Coefficients'!$H:$H,$F226+2)),INDEX('R1. Tree Coefficients'!$D:$D,$F226+2)*($D226^INDEX('R1. Tree Coefficients'!$E:$E,$F226+2))))</f>
        <v/>
      </c>
      <c r="K226" s="14" t="str">
        <f aca="false">IF(OR($D226="",$F226=""),"",IF($E226&gt;0,INDEX('R1. Tree Coefficients'!$F:$F,$F226+3)*($D226^INDEX('R1. Tree Coefficients'!$G:$G,$F226+3))*($E226^INDEX('R1. Tree Coefficients'!$H:$H,$F226+3)),INDEX('R1. Tree Coefficients'!$D:$D,$F226+3)*($D226^INDEX('R1. Tree Coefficients'!$E:$E,$F226+3))))</f>
        <v/>
      </c>
      <c r="L226" s="14" t="str">
        <f aca="false">IF($F226="","",IFERROR(SUM($H226:$K226),""))</f>
        <v/>
      </c>
      <c r="M226" s="14" t="str">
        <f aca="false">IF($F226="","",INDEX('R1. Tree Coefficients'!$J:$J,$F226))</f>
        <v/>
      </c>
      <c r="N226" s="14" t="str">
        <f aca="false">IF($L226="","",IF($M226="Deciduous",BGB_RS_DECIDUOUS_a*($L226^BGB_RS_DECIDUOUS_b),IF($M226="Conifers",BGB_RS_CONIFER*$L226,AVERAGE(BGB_RS_DECIDUOUS_a*($L226^BGB_RS_DECIDUOUS_b),BGB_RS_CONIFER*$L226))))</f>
        <v/>
      </c>
      <c r="O226" s="14" t="str">
        <f aca="false">IF($L226="","",$L226+$N226)</f>
        <v/>
      </c>
      <c r="P226" s="14" t="str">
        <f aca="false">IF($O226="","",$O226*CARBON_FRACTION_BIOMASS)</f>
        <v/>
      </c>
      <c r="Q226" s="14" t="str">
        <f aca="false">IF(AND($A226="",$C226=""),"",IF(AND($A226&lt;&gt;"",COUNTIF('1. Plot &amp; Site Log'!$A$5:$A$64,$A226)=0),"Plot ID not in Plot &amp; Site Log — this tree will not reach the summary. ","")&amp;IF($A226="","No Plot ID. ","")&amp;IF(AND($C226&lt;&gt;"",$F226=""),"Species not in the coefficient list — check the spelling against R1. ","")&amp;IF($D226="","No DBH — nothing can be calculated. ","")&amp;IF(AND($D226&lt;&gt;"",$D226&gt;QC_DBH_MAX_CM),"DBH above "&amp;QC_DBH_MAX_CM&amp;" cm — check for a transcription error. ","")&amp;IF($M226="All","Generic species: no published root:shoot applies, so below-ground biomass is the mean of the deciduous and conifer relationships. Choose a species, or Deciduous/Conifers, if you can. ","")&amp;IF(AND($O226&lt;&gt;"",$O226&gt;0,OR($N226/$O226&lt;BGB_FRACTION_MIN,$N226/$O226&gt;BGB_FRACTION_MAX)),"Below-ground share is "&amp;TEXT($N226/$O226,"0%")&amp;", outside the 18–30% the Trees guide describes. ",""))</f>
        <v/>
      </c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4" t="str">
        <f aca="false">IF($C227="","",IFERROR(12+(MATCH($C227,'R1. Tree Coefficients'!$L$12:$L$53,0)-1)*4,""))</f>
        <v/>
      </c>
      <c r="G227" s="14" t="str">
        <f aca="false">IF($F227="","",IF(AND($E227&lt;&gt;"",$E227&gt;0),"DBH + height","DBH only"))</f>
        <v/>
      </c>
      <c r="H227" s="14" t="str">
        <f aca="false">IF(OR($D227="",$F227=""),"",IF($E227&gt;0,INDEX('R1. Tree Coefficients'!$F:$F,$F227+0)*($D227^INDEX('R1. Tree Coefficients'!$G:$G,$F227+0))*($E227^INDEX('R1. Tree Coefficients'!$H:$H,$F227+0)),INDEX('R1. Tree Coefficients'!$D:$D,$F227+0)*($D227^INDEX('R1. Tree Coefficients'!$E:$E,$F227+0))))</f>
        <v/>
      </c>
      <c r="I227" s="14" t="str">
        <f aca="false">IF(OR($D227="",$F227=""),"",IF($E227&gt;0,INDEX('R1. Tree Coefficients'!$F:$F,$F227+1)*($D227^INDEX('R1. Tree Coefficients'!$G:$G,$F227+1))*($E227^INDEX('R1. Tree Coefficients'!$H:$H,$F227+1)),INDEX('R1. Tree Coefficients'!$D:$D,$F227+1)*($D227^INDEX('R1. Tree Coefficients'!$E:$E,$F227+1))))</f>
        <v/>
      </c>
      <c r="J227" s="14" t="str">
        <f aca="false">IF(OR($D227="",$F227=""),"",IF($E227&gt;0,INDEX('R1. Tree Coefficients'!$F:$F,$F227+2)*($D227^INDEX('R1. Tree Coefficients'!$G:$G,$F227+2))*($E227^INDEX('R1. Tree Coefficients'!$H:$H,$F227+2)),INDEX('R1. Tree Coefficients'!$D:$D,$F227+2)*($D227^INDEX('R1. Tree Coefficients'!$E:$E,$F227+2))))</f>
        <v/>
      </c>
      <c r="K227" s="14" t="str">
        <f aca="false">IF(OR($D227="",$F227=""),"",IF($E227&gt;0,INDEX('R1. Tree Coefficients'!$F:$F,$F227+3)*($D227^INDEX('R1. Tree Coefficients'!$G:$G,$F227+3))*($E227^INDEX('R1. Tree Coefficients'!$H:$H,$F227+3)),INDEX('R1. Tree Coefficients'!$D:$D,$F227+3)*($D227^INDEX('R1. Tree Coefficients'!$E:$E,$F227+3))))</f>
        <v/>
      </c>
      <c r="L227" s="14" t="str">
        <f aca="false">IF($F227="","",IFERROR(SUM($H227:$K227),""))</f>
        <v/>
      </c>
      <c r="M227" s="14" t="str">
        <f aca="false">IF($F227="","",INDEX('R1. Tree Coefficients'!$J:$J,$F227))</f>
        <v/>
      </c>
      <c r="N227" s="14" t="str">
        <f aca="false">IF($L227="","",IF($M227="Deciduous",BGB_RS_DECIDUOUS_a*($L227^BGB_RS_DECIDUOUS_b),IF($M227="Conifers",BGB_RS_CONIFER*$L227,AVERAGE(BGB_RS_DECIDUOUS_a*($L227^BGB_RS_DECIDUOUS_b),BGB_RS_CONIFER*$L227))))</f>
        <v/>
      </c>
      <c r="O227" s="14" t="str">
        <f aca="false">IF($L227="","",$L227+$N227)</f>
        <v/>
      </c>
      <c r="P227" s="14" t="str">
        <f aca="false">IF($O227="","",$O227*CARBON_FRACTION_BIOMASS)</f>
        <v/>
      </c>
      <c r="Q227" s="14" t="str">
        <f aca="false">IF(AND($A227="",$C227=""),"",IF(AND($A227&lt;&gt;"",COUNTIF('1. Plot &amp; Site Log'!$A$5:$A$64,$A227)=0),"Plot ID not in Plot &amp; Site Log — this tree will not reach the summary. ","")&amp;IF($A227="","No Plot ID. ","")&amp;IF(AND($C227&lt;&gt;"",$F227=""),"Species not in the coefficient list — check the spelling against R1. ","")&amp;IF($D227="","No DBH — nothing can be calculated. ","")&amp;IF(AND($D227&lt;&gt;"",$D227&gt;QC_DBH_MAX_CM),"DBH above "&amp;QC_DBH_MAX_CM&amp;" cm — check for a transcription error. ","")&amp;IF($M227="All","Generic species: no published root:shoot applies, so below-ground biomass is the mean of the deciduous and conifer relationships. Choose a species, or Deciduous/Conifers, if you can. ","")&amp;IF(AND($O227&lt;&gt;"",$O227&gt;0,OR($N227/$O227&lt;BGB_FRACTION_MIN,$N227/$O227&gt;BGB_FRACTION_MAX)),"Below-ground share is "&amp;TEXT($N227/$O227,"0%")&amp;", outside the 18–30% the Trees guide describes. ",""))</f>
        <v/>
      </c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4" t="str">
        <f aca="false">IF($C228="","",IFERROR(12+(MATCH($C228,'R1. Tree Coefficients'!$L$12:$L$53,0)-1)*4,""))</f>
        <v/>
      </c>
      <c r="G228" s="14" t="str">
        <f aca="false">IF($F228="","",IF(AND($E228&lt;&gt;"",$E228&gt;0),"DBH + height","DBH only"))</f>
        <v/>
      </c>
      <c r="H228" s="14" t="str">
        <f aca="false">IF(OR($D228="",$F228=""),"",IF($E228&gt;0,INDEX('R1. Tree Coefficients'!$F:$F,$F228+0)*($D228^INDEX('R1. Tree Coefficients'!$G:$G,$F228+0))*($E228^INDEX('R1. Tree Coefficients'!$H:$H,$F228+0)),INDEX('R1. Tree Coefficients'!$D:$D,$F228+0)*($D228^INDEX('R1. Tree Coefficients'!$E:$E,$F228+0))))</f>
        <v/>
      </c>
      <c r="I228" s="14" t="str">
        <f aca="false">IF(OR($D228="",$F228=""),"",IF($E228&gt;0,INDEX('R1. Tree Coefficients'!$F:$F,$F228+1)*($D228^INDEX('R1. Tree Coefficients'!$G:$G,$F228+1))*($E228^INDEX('R1. Tree Coefficients'!$H:$H,$F228+1)),INDEX('R1. Tree Coefficients'!$D:$D,$F228+1)*($D228^INDEX('R1. Tree Coefficients'!$E:$E,$F228+1))))</f>
        <v/>
      </c>
      <c r="J228" s="14" t="str">
        <f aca="false">IF(OR($D228="",$F228=""),"",IF($E228&gt;0,INDEX('R1. Tree Coefficients'!$F:$F,$F228+2)*($D228^INDEX('R1. Tree Coefficients'!$G:$G,$F228+2))*($E228^INDEX('R1. Tree Coefficients'!$H:$H,$F228+2)),INDEX('R1. Tree Coefficients'!$D:$D,$F228+2)*($D228^INDEX('R1. Tree Coefficients'!$E:$E,$F228+2))))</f>
        <v/>
      </c>
      <c r="K228" s="14" t="str">
        <f aca="false">IF(OR($D228="",$F228=""),"",IF($E228&gt;0,INDEX('R1. Tree Coefficients'!$F:$F,$F228+3)*($D228^INDEX('R1. Tree Coefficients'!$G:$G,$F228+3))*($E228^INDEX('R1. Tree Coefficients'!$H:$H,$F228+3)),INDEX('R1. Tree Coefficients'!$D:$D,$F228+3)*($D228^INDEX('R1. Tree Coefficients'!$E:$E,$F228+3))))</f>
        <v/>
      </c>
      <c r="L228" s="14" t="str">
        <f aca="false">IF($F228="","",IFERROR(SUM($H228:$K228),""))</f>
        <v/>
      </c>
      <c r="M228" s="14" t="str">
        <f aca="false">IF($F228="","",INDEX('R1. Tree Coefficients'!$J:$J,$F228))</f>
        <v/>
      </c>
      <c r="N228" s="14" t="str">
        <f aca="false">IF($L228="","",IF($M228="Deciduous",BGB_RS_DECIDUOUS_a*($L228^BGB_RS_DECIDUOUS_b),IF($M228="Conifers",BGB_RS_CONIFER*$L228,AVERAGE(BGB_RS_DECIDUOUS_a*($L228^BGB_RS_DECIDUOUS_b),BGB_RS_CONIFER*$L228))))</f>
        <v/>
      </c>
      <c r="O228" s="14" t="str">
        <f aca="false">IF($L228="","",$L228+$N228)</f>
        <v/>
      </c>
      <c r="P228" s="14" t="str">
        <f aca="false">IF($O228="","",$O228*CARBON_FRACTION_BIOMASS)</f>
        <v/>
      </c>
      <c r="Q228" s="14" t="str">
        <f aca="false">IF(AND($A228="",$C228=""),"",IF(AND($A228&lt;&gt;"",COUNTIF('1. Plot &amp; Site Log'!$A$5:$A$64,$A228)=0),"Plot ID not in Plot &amp; Site Log — this tree will not reach the summary. ","")&amp;IF($A228="","No Plot ID. ","")&amp;IF(AND($C228&lt;&gt;"",$F228=""),"Species not in the coefficient list — check the spelling against R1. ","")&amp;IF($D228="","No DBH — nothing can be calculated. ","")&amp;IF(AND($D228&lt;&gt;"",$D228&gt;QC_DBH_MAX_CM),"DBH above "&amp;QC_DBH_MAX_CM&amp;" cm — check for a transcription error. ","")&amp;IF($M228="All","Generic species: no published root:shoot applies, so below-ground biomass is the mean of the deciduous and conifer relationships. Choose a species, or Deciduous/Conifers, if you can. ","")&amp;IF(AND($O228&lt;&gt;"",$O228&gt;0,OR($N228/$O228&lt;BGB_FRACTION_MIN,$N228/$O228&gt;BGB_FRACTION_MAX)),"Below-ground share is "&amp;TEXT($N228/$O228,"0%")&amp;", outside the 18–30% the Trees guide describes. ",""))</f>
        <v/>
      </c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4" t="str">
        <f aca="false">IF($C229="","",IFERROR(12+(MATCH($C229,'R1. Tree Coefficients'!$L$12:$L$53,0)-1)*4,""))</f>
        <v/>
      </c>
      <c r="G229" s="14" t="str">
        <f aca="false">IF($F229="","",IF(AND($E229&lt;&gt;"",$E229&gt;0),"DBH + height","DBH only"))</f>
        <v/>
      </c>
      <c r="H229" s="14" t="str">
        <f aca="false">IF(OR($D229="",$F229=""),"",IF($E229&gt;0,INDEX('R1. Tree Coefficients'!$F:$F,$F229+0)*($D229^INDEX('R1. Tree Coefficients'!$G:$G,$F229+0))*($E229^INDEX('R1. Tree Coefficients'!$H:$H,$F229+0)),INDEX('R1. Tree Coefficients'!$D:$D,$F229+0)*($D229^INDEX('R1. Tree Coefficients'!$E:$E,$F229+0))))</f>
        <v/>
      </c>
      <c r="I229" s="14" t="str">
        <f aca="false">IF(OR($D229="",$F229=""),"",IF($E229&gt;0,INDEX('R1. Tree Coefficients'!$F:$F,$F229+1)*($D229^INDEX('R1. Tree Coefficients'!$G:$G,$F229+1))*($E229^INDEX('R1. Tree Coefficients'!$H:$H,$F229+1)),INDEX('R1. Tree Coefficients'!$D:$D,$F229+1)*($D229^INDEX('R1. Tree Coefficients'!$E:$E,$F229+1))))</f>
        <v/>
      </c>
      <c r="J229" s="14" t="str">
        <f aca="false">IF(OR($D229="",$F229=""),"",IF($E229&gt;0,INDEX('R1. Tree Coefficients'!$F:$F,$F229+2)*($D229^INDEX('R1. Tree Coefficients'!$G:$G,$F229+2))*($E229^INDEX('R1. Tree Coefficients'!$H:$H,$F229+2)),INDEX('R1. Tree Coefficients'!$D:$D,$F229+2)*($D229^INDEX('R1. Tree Coefficients'!$E:$E,$F229+2))))</f>
        <v/>
      </c>
      <c r="K229" s="14" t="str">
        <f aca="false">IF(OR($D229="",$F229=""),"",IF($E229&gt;0,INDEX('R1. Tree Coefficients'!$F:$F,$F229+3)*($D229^INDEX('R1. Tree Coefficients'!$G:$G,$F229+3))*($E229^INDEX('R1. Tree Coefficients'!$H:$H,$F229+3)),INDEX('R1. Tree Coefficients'!$D:$D,$F229+3)*($D229^INDEX('R1. Tree Coefficients'!$E:$E,$F229+3))))</f>
        <v/>
      </c>
      <c r="L229" s="14" t="str">
        <f aca="false">IF($F229="","",IFERROR(SUM($H229:$K229),""))</f>
        <v/>
      </c>
      <c r="M229" s="14" t="str">
        <f aca="false">IF($F229="","",INDEX('R1. Tree Coefficients'!$J:$J,$F229))</f>
        <v/>
      </c>
      <c r="N229" s="14" t="str">
        <f aca="false">IF($L229="","",IF($M229="Deciduous",BGB_RS_DECIDUOUS_a*($L229^BGB_RS_DECIDUOUS_b),IF($M229="Conifers",BGB_RS_CONIFER*$L229,AVERAGE(BGB_RS_DECIDUOUS_a*($L229^BGB_RS_DECIDUOUS_b),BGB_RS_CONIFER*$L229))))</f>
        <v/>
      </c>
      <c r="O229" s="14" t="str">
        <f aca="false">IF($L229="","",$L229+$N229)</f>
        <v/>
      </c>
      <c r="P229" s="14" t="str">
        <f aca="false">IF($O229="","",$O229*CARBON_FRACTION_BIOMASS)</f>
        <v/>
      </c>
      <c r="Q229" s="14" t="str">
        <f aca="false">IF(AND($A229="",$C229=""),"",IF(AND($A229&lt;&gt;"",COUNTIF('1. Plot &amp; Site Log'!$A$5:$A$64,$A229)=0),"Plot ID not in Plot &amp; Site Log — this tree will not reach the summary. ","")&amp;IF($A229="","No Plot ID. ","")&amp;IF(AND($C229&lt;&gt;"",$F229=""),"Species not in the coefficient list — check the spelling against R1. ","")&amp;IF($D229="","No DBH — nothing can be calculated. ","")&amp;IF(AND($D229&lt;&gt;"",$D229&gt;QC_DBH_MAX_CM),"DBH above "&amp;QC_DBH_MAX_CM&amp;" cm — check for a transcription error. ","")&amp;IF($M229="All","Generic species: no published root:shoot applies, so below-ground biomass is the mean of the deciduous and conifer relationships. Choose a species, or Deciduous/Conifers, if you can. ","")&amp;IF(AND($O229&lt;&gt;"",$O229&gt;0,OR($N229/$O229&lt;BGB_FRACTION_MIN,$N229/$O229&gt;BGB_FRACTION_MAX)),"Below-ground share is "&amp;TEXT($N229/$O229,"0%")&amp;", outside the 18–30% the Trees guide describes. ",""))</f>
        <v/>
      </c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4" t="str">
        <f aca="false">IF($C230="","",IFERROR(12+(MATCH($C230,'R1. Tree Coefficients'!$L$12:$L$53,0)-1)*4,""))</f>
        <v/>
      </c>
      <c r="G230" s="14" t="str">
        <f aca="false">IF($F230="","",IF(AND($E230&lt;&gt;"",$E230&gt;0),"DBH + height","DBH only"))</f>
        <v/>
      </c>
      <c r="H230" s="14" t="str">
        <f aca="false">IF(OR($D230="",$F230=""),"",IF($E230&gt;0,INDEX('R1. Tree Coefficients'!$F:$F,$F230+0)*($D230^INDEX('R1. Tree Coefficients'!$G:$G,$F230+0))*($E230^INDEX('R1. Tree Coefficients'!$H:$H,$F230+0)),INDEX('R1. Tree Coefficients'!$D:$D,$F230+0)*($D230^INDEX('R1. Tree Coefficients'!$E:$E,$F230+0))))</f>
        <v/>
      </c>
      <c r="I230" s="14" t="str">
        <f aca="false">IF(OR($D230="",$F230=""),"",IF($E230&gt;0,INDEX('R1. Tree Coefficients'!$F:$F,$F230+1)*($D230^INDEX('R1. Tree Coefficients'!$G:$G,$F230+1))*($E230^INDEX('R1. Tree Coefficients'!$H:$H,$F230+1)),INDEX('R1. Tree Coefficients'!$D:$D,$F230+1)*($D230^INDEX('R1. Tree Coefficients'!$E:$E,$F230+1))))</f>
        <v/>
      </c>
      <c r="J230" s="14" t="str">
        <f aca="false">IF(OR($D230="",$F230=""),"",IF($E230&gt;0,INDEX('R1. Tree Coefficients'!$F:$F,$F230+2)*($D230^INDEX('R1. Tree Coefficients'!$G:$G,$F230+2))*($E230^INDEX('R1. Tree Coefficients'!$H:$H,$F230+2)),INDEX('R1. Tree Coefficients'!$D:$D,$F230+2)*($D230^INDEX('R1. Tree Coefficients'!$E:$E,$F230+2))))</f>
        <v/>
      </c>
      <c r="K230" s="14" t="str">
        <f aca="false">IF(OR($D230="",$F230=""),"",IF($E230&gt;0,INDEX('R1. Tree Coefficients'!$F:$F,$F230+3)*($D230^INDEX('R1. Tree Coefficients'!$G:$G,$F230+3))*($E230^INDEX('R1. Tree Coefficients'!$H:$H,$F230+3)),INDEX('R1. Tree Coefficients'!$D:$D,$F230+3)*($D230^INDEX('R1. Tree Coefficients'!$E:$E,$F230+3))))</f>
        <v/>
      </c>
      <c r="L230" s="14" t="str">
        <f aca="false">IF($F230="","",IFERROR(SUM($H230:$K230),""))</f>
        <v/>
      </c>
      <c r="M230" s="14" t="str">
        <f aca="false">IF($F230="","",INDEX('R1. Tree Coefficients'!$J:$J,$F230))</f>
        <v/>
      </c>
      <c r="N230" s="14" t="str">
        <f aca="false">IF($L230="","",IF($M230="Deciduous",BGB_RS_DECIDUOUS_a*($L230^BGB_RS_DECIDUOUS_b),IF($M230="Conifers",BGB_RS_CONIFER*$L230,AVERAGE(BGB_RS_DECIDUOUS_a*($L230^BGB_RS_DECIDUOUS_b),BGB_RS_CONIFER*$L230))))</f>
        <v/>
      </c>
      <c r="O230" s="14" t="str">
        <f aca="false">IF($L230="","",$L230+$N230)</f>
        <v/>
      </c>
      <c r="P230" s="14" t="str">
        <f aca="false">IF($O230="","",$O230*CARBON_FRACTION_BIOMASS)</f>
        <v/>
      </c>
      <c r="Q230" s="14" t="str">
        <f aca="false">IF(AND($A230="",$C230=""),"",IF(AND($A230&lt;&gt;"",COUNTIF('1. Plot &amp; Site Log'!$A$5:$A$64,$A230)=0),"Plot ID not in Plot &amp; Site Log — this tree will not reach the summary. ","")&amp;IF($A230="","No Plot ID. ","")&amp;IF(AND($C230&lt;&gt;"",$F230=""),"Species not in the coefficient list — check the spelling against R1. ","")&amp;IF($D230="","No DBH — nothing can be calculated. ","")&amp;IF(AND($D230&lt;&gt;"",$D230&gt;QC_DBH_MAX_CM),"DBH above "&amp;QC_DBH_MAX_CM&amp;" cm — check for a transcription error. ","")&amp;IF($M230="All","Generic species: no published root:shoot applies, so below-ground biomass is the mean of the deciduous and conifer relationships. Choose a species, or Deciduous/Conifers, if you can. ","")&amp;IF(AND($O230&lt;&gt;"",$O230&gt;0,OR($N230/$O230&lt;BGB_FRACTION_MIN,$N230/$O230&gt;BGB_FRACTION_MAX)),"Below-ground share is "&amp;TEXT($N230/$O230,"0%")&amp;", outside the 18–30% the Trees guide describes. ",""))</f>
        <v/>
      </c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4" t="str">
        <f aca="false">IF($C231="","",IFERROR(12+(MATCH($C231,'R1. Tree Coefficients'!$L$12:$L$53,0)-1)*4,""))</f>
        <v/>
      </c>
      <c r="G231" s="14" t="str">
        <f aca="false">IF($F231="","",IF(AND($E231&lt;&gt;"",$E231&gt;0),"DBH + height","DBH only"))</f>
        <v/>
      </c>
      <c r="H231" s="14" t="str">
        <f aca="false">IF(OR($D231="",$F231=""),"",IF($E231&gt;0,INDEX('R1. Tree Coefficients'!$F:$F,$F231+0)*($D231^INDEX('R1. Tree Coefficients'!$G:$G,$F231+0))*($E231^INDEX('R1. Tree Coefficients'!$H:$H,$F231+0)),INDEX('R1. Tree Coefficients'!$D:$D,$F231+0)*($D231^INDEX('R1. Tree Coefficients'!$E:$E,$F231+0))))</f>
        <v/>
      </c>
      <c r="I231" s="14" t="str">
        <f aca="false">IF(OR($D231="",$F231=""),"",IF($E231&gt;0,INDEX('R1. Tree Coefficients'!$F:$F,$F231+1)*($D231^INDEX('R1. Tree Coefficients'!$G:$G,$F231+1))*($E231^INDEX('R1. Tree Coefficients'!$H:$H,$F231+1)),INDEX('R1. Tree Coefficients'!$D:$D,$F231+1)*($D231^INDEX('R1. Tree Coefficients'!$E:$E,$F231+1))))</f>
        <v/>
      </c>
      <c r="J231" s="14" t="str">
        <f aca="false">IF(OR($D231="",$F231=""),"",IF($E231&gt;0,INDEX('R1. Tree Coefficients'!$F:$F,$F231+2)*($D231^INDEX('R1. Tree Coefficients'!$G:$G,$F231+2))*($E231^INDEX('R1. Tree Coefficients'!$H:$H,$F231+2)),INDEX('R1. Tree Coefficients'!$D:$D,$F231+2)*($D231^INDEX('R1. Tree Coefficients'!$E:$E,$F231+2))))</f>
        <v/>
      </c>
      <c r="K231" s="14" t="str">
        <f aca="false">IF(OR($D231="",$F231=""),"",IF($E231&gt;0,INDEX('R1. Tree Coefficients'!$F:$F,$F231+3)*($D231^INDEX('R1. Tree Coefficients'!$G:$G,$F231+3))*($E231^INDEX('R1. Tree Coefficients'!$H:$H,$F231+3)),INDEX('R1. Tree Coefficients'!$D:$D,$F231+3)*($D231^INDEX('R1. Tree Coefficients'!$E:$E,$F231+3))))</f>
        <v/>
      </c>
      <c r="L231" s="14" t="str">
        <f aca="false">IF($F231="","",IFERROR(SUM($H231:$K231),""))</f>
        <v/>
      </c>
      <c r="M231" s="14" t="str">
        <f aca="false">IF($F231="","",INDEX('R1. Tree Coefficients'!$J:$J,$F231))</f>
        <v/>
      </c>
      <c r="N231" s="14" t="str">
        <f aca="false">IF($L231="","",IF($M231="Deciduous",BGB_RS_DECIDUOUS_a*($L231^BGB_RS_DECIDUOUS_b),IF($M231="Conifers",BGB_RS_CONIFER*$L231,AVERAGE(BGB_RS_DECIDUOUS_a*($L231^BGB_RS_DECIDUOUS_b),BGB_RS_CONIFER*$L231))))</f>
        <v/>
      </c>
      <c r="O231" s="14" t="str">
        <f aca="false">IF($L231="","",$L231+$N231)</f>
        <v/>
      </c>
      <c r="P231" s="14" t="str">
        <f aca="false">IF($O231="","",$O231*CARBON_FRACTION_BIOMASS)</f>
        <v/>
      </c>
      <c r="Q231" s="14" t="str">
        <f aca="false">IF(AND($A231="",$C231=""),"",IF(AND($A231&lt;&gt;"",COUNTIF('1. Plot &amp; Site Log'!$A$5:$A$64,$A231)=0),"Plot ID not in Plot &amp; Site Log — this tree will not reach the summary. ","")&amp;IF($A231="","No Plot ID. ","")&amp;IF(AND($C231&lt;&gt;"",$F231=""),"Species not in the coefficient list — check the spelling against R1. ","")&amp;IF($D231="","No DBH — nothing can be calculated. ","")&amp;IF(AND($D231&lt;&gt;"",$D231&gt;QC_DBH_MAX_CM),"DBH above "&amp;QC_DBH_MAX_CM&amp;" cm — check for a transcription error. ","")&amp;IF($M231="All","Generic species: no published root:shoot applies, so below-ground biomass is the mean of the deciduous and conifer relationships. Choose a species, or Deciduous/Conifers, if you can. ","")&amp;IF(AND($O231&lt;&gt;"",$O231&gt;0,OR($N231/$O231&lt;BGB_FRACTION_MIN,$N231/$O231&gt;BGB_FRACTION_MAX)),"Below-ground share is "&amp;TEXT($N231/$O231,"0%")&amp;", outside the 18–30% the Trees guide describes. ",""))</f>
        <v/>
      </c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4" t="str">
        <f aca="false">IF($C232="","",IFERROR(12+(MATCH($C232,'R1. Tree Coefficients'!$L$12:$L$53,0)-1)*4,""))</f>
        <v/>
      </c>
      <c r="G232" s="14" t="str">
        <f aca="false">IF($F232="","",IF(AND($E232&lt;&gt;"",$E232&gt;0),"DBH + height","DBH only"))</f>
        <v/>
      </c>
      <c r="H232" s="14" t="str">
        <f aca="false">IF(OR($D232="",$F232=""),"",IF($E232&gt;0,INDEX('R1. Tree Coefficients'!$F:$F,$F232+0)*($D232^INDEX('R1. Tree Coefficients'!$G:$G,$F232+0))*($E232^INDEX('R1. Tree Coefficients'!$H:$H,$F232+0)),INDEX('R1. Tree Coefficients'!$D:$D,$F232+0)*($D232^INDEX('R1. Tree Coefficients'!$E:$E,$F232+0))))</f>
        <v/>
      </c>
      <c r="I232" s="14" t="str">
        <f aca="false">IF(OR($D232="",$F232=""),"",IF($E232&gt;0,INDEX('R1. Tree Coefficients'!$F:$F,$F232+1)*($D232^INDEX('R1. Tree Coefficients'!$G:$G,$F232+1))*($E232^INDEX('R1. Tree Coefficients'!$H:$H,$F232+1)),INDEX('R1. Tree Coefficients'!$D:$D,$F232+1)*($D232^INDEX('R1. Tree Coefficients'!$E:$E,$F232+1))))</f>
        <v/>
      </c>
      <c r="J232" s="14" t="str">
        <f aca="false">IF(OR($D232="",$F232=""),"",IF($E232&gt;0,INDEX('R1. Tree Coefficients'!$F:$F,$F232+2)*($D232^INDEX('R1. Tree Coefficients'!$G:$G,$F232+2))*($E232^INDEX('R1. Tree Coefficients'!$H:$H,$F232+2)),INDEX('R1. Tree Coefficients'!$D:$D,$F232+2)*($D232^INDEX('R1. Tree Coefficients'!$E:$E,$F232+2))))</f>
        <v/>
      </c>
      <c r="K232" s="14" t="str">
        <f aca="false">IF(OR($D232="",$F232=""),"",IF($E232&gt;0,INDEX('R1. Tree Coefficients'!$F:$F,$F232+3)*($D232^INDEX('R1. Tree Coefficients'!$G:$G,$F232+3))*($E232^INDEX('R1. Tree Coefficients'!$H:$H,$F232+3)),INDEX('R1. Tree Coefficients'!$D:$D,$F232+3)*($D232^INDEX('R1. Tree Coefficients'!$E:$E,$F232+3))))</f>
        <v/>
      </c>
      <c r="L232" s="14" t="str">
        <f aca="false">IF($F232="","",IFERROR(SUM($H232:$K232),""))</f>
        <v/>
      </c>
      <c r="M232" s="14" t="str">
        <f aca="false">IF($F232="","",INDEX('R1. Tree Coefficients'!$J:$J,$F232))</f>
        <v/>
      </c>
      <c r="N232" s="14" t="str">
        <f aca="false">IF($L232="","",IF($M232="Deciduous",BGB_RS_DECIDUOUS_a*($L232^BGB_RS_DECIDUOUS_b),IF($M232="Conifers",BGB_RS_CONIFER*$L232,AVERAGE(BGB_RS_DECIDUOUS_a*($L232^BGB_RS_DECIDUOUS_b),BGB_RS_CONIFER*$L232))))</f>
        <v/>
      </c>
      <c r="O232" s="14" t="str">
        <f aca="false">IF($L232="","",$L232+$N232)</f>
        <v/>
      </c>
      <c r="P232" s="14" t="str">
        <f aca="false">IF($O232="","",$O232*CARBON_FRACTION_BIOMASS)</f>
        <v/>
      </c>
      <c r="Q232" s="14" t="str">
        <f aca="false">IF(AND($A232="",$C232=""),"",IF(AND($A232&lt;&gt;"",COUNTIF('1. Plot &amp; Site Log'!$A$5:$A$64,$A232)=0),"Plot ID not in Plot &amp; Site Log — this tree will not reach the summary. ","")&amp;IF($A232="","No Plot ID. ","")&amp;IF(AND($C232&lt;&gt;"",$F232=""),"Species not in the coefficient list — check the spelling against R1. ","")&amp;IF($D232="","No DBH — nothing can be calculated. ","")&amp;IF(AND($D232&lt;&gt;"",$D232&gt;QC_DBH_MAX_CM),"DBH above "&amp;QC_DBH_MAX_CM&amp;" cm — check for a transcription error. ","")&amp;IF($M232="All","Generic species: no published root:shoot applies, so below-ground biomass is the mean of the deciduous and conifer relationships. Choose a species, or Deciduous/Conifers, if you can. ","")&amp;IF(AND($O232&lt;&gt;"",$O232&gt;0,OR($N232/$O232&lt;BGB_FRACTION_MIN,$N232/$O232&gt;BGB_FRACTION_MAX)),"Below-ground share is "&amp;TEXT($N232/$O232,"0%")&amp;", outside the 18–30% the Trees guide describes. ",""))</f>
        <v/>
      </c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4" t="str">
        <f aca="false">IF($C233="","",IFERROR(12+(MATCH($C233,'R1. Tree Coefficients'!$L$12:$L$53,0)-1)*4,""))</f>
        <v/>
      </c>
      <c r="G233" s="14" t="str">
        <f aca="false">IF($F233="","",IF(AND($E233&lt;&gt;"",$E233&gt;0),"DBH + height","DBH only"))</f>
        <v/>
      </c>
      <c r="H233" s="14" t="str">
        <f aca="false">IF(OR($D233="",$F233=""),"",IF($E233&gt;0,INDEX('R1. Tree Coefficients'!$F:$F,$F233+0)*($D233^INDEX('R1. Tree Coefficients'!$G:$G,$F233+0))*($E233^INDEX('R1. Tree Coefficients'!$H:$H,$F233+0)),INDEX('R1. Tree Coefficients'!$D:$D,$F233+0)*($D233^INDEX('R1. Tree Coefficients'!$E:$E,$F233+0))))</f>
        <v/>
      </c>
      <c r="I233" s="14" t="str">
        <f aca="false">IF(OR($D233="",$F233=""),"",IF($E233&gt;0,INDEX('R1. Tree Coefficients'!$F:$F,$F233+1)*($D233^INDEX('R1. Tree Coefficients'!$G:$G,$F233+1))*($E233^INDEX('R1. Tree Coefficients'!$H:$H,$F233+1)),INDEX('R1. Tree Coefficients'!$D:$D,$F233+1)*($D233^INDEX('R1. Tree Coefficients'!$E:$E,$F233+1))))</f>
        <v/>
      </c>
      <c r="J233" s="14" t="str">
        <f aca="false">IF(OR($D233="",$F233=""),"",IF($E233&gt;0,INDEX('R1. Tree Coefficients'!$F:$F,$F233+2)*($D233^INDEX('R1. Tree Coefficients'!$G:$G,$F233+2))*($E233^INDEX('R1. Tree Coefficients'!$H:$H,$F233+2)),INDEX('R1. Tree Coefficients'!$D:$D,$F233+2)*($D233^INDEX('R1. Tree Coefficients'!$E:$E,$F233+2))))</f>
        <v/>
      </c>
      <c r="K233" s="14" t="str">
        <f aca="false">IF(OR($D233="",$F233=""),"",IF($E233&gt;0,INDEX('R1. Tree Coefficients'!$F:$F,$F233+3)*($D233^INDEX('R1. Tree Coefficients'!$G:$G,$F233+3))*($E233^INDEX('R1. Tree Coefficients'!$H:$H,$F233+3)),INDEX('R1. Tree Coefficients'!$D:$D,$F233+3)*($D233^INDEX('R1. Tree Coefficients'!$E:$E,$F233+3))))</f>
        <v/>
      </c>
      <c r="L233" s="14" t="str">
        <f aca="false">IF($F233="","",IFERROR(SUM($H233:$K233),""))</f>
        <v/>
      </c>
      <c r="M233" s="14" t="str">
        <f aca="false">IF($F233="","",INDEX('R1. Tree Coefficients'!$J:$J,$F233))</f>
        <v/>
      </c>
      <c r="N233" s="14" t="str">
        <f aca="false">IF($L233="","",IF($M233="Deciduous",BGB_RS_DECIDUOUS_a*($L233^BGB_RS_DECIDUOUS_b),IF($M233="Conifers",BGB_RS_CONIFER*$L233,AVERAGE(BGB_RS_DECIDUOUS_a*($L233^BGB_RS_DECIDUOUS_b),BGB_RS_CONIFER*$L233))))</f>
        <v/>
      </c>
      <c r="O233" s="14" t="str">
        <f aca="false">IF($L233="","",$L233+$N233)</f>
        <v/>
      </c>
      <c r="P233" s="14" t="str">
        <f aca="false">IF($O233="","",$O233*CARBON_FRACTION_BIOMASS)</f>
        <v/>
      </c>
      <c r="Q233" s="14" t="str">
        <f aca="false">IF(AND($A233="",$C233=""),"",IF(AND($A233&lt;&gt;"",COUNTIF('1. Plot &amp; Site Log'!$A$5:$A$64,$A233)=0),"Plot ID not in Plot &amp; Site Log — this tree will not reach the summary. ","")&amp;IF($A233="","No Plot ID. ","")&amp;IF(AND($C233&lt;&gt;"",$F233=""),"Species not in the coefficient list — check the spelling against R1. ","")&amp;IF($D233="","No DBH — nothing can be calculated. ","")&amp;IF(AND($D233&lt;&gt;"",$D233&gt;QC_DBH_MAX_CM),"DBH above "&amp;QC_DBH_MAX_CM&amp;" cm — check for a transcription error. ","")&amp;IF($M233="All","Generic species: no published root:shoot applies, so below-ground biomass is the mean of the deciduous and conifer relationships. Choose a species, or Deciduous/Conifers, if you can. ","")&amp;IF(AND($O233&lt;&gt;"",$O233&gt;0,OR($N233/$O233&lt;BGB_FRACTION_MIN,$N233/$O233&gt;BGB_FRACTION_MAX)),"Below-ground share is "&amp;TEXT($N233/$O233,"0%")&amp;", outside the 18–30% the Trees guide describes. ",""))</f>
        <v/>
      </c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4" t="str">
        <f aca="false">IF($C234="","",IFERROR(12+(MATCH($C234,'R1. Tree Coefficients'!$L$12:$L$53,0)-1)*4,""))</f>
        <v/>
      </c>
      <c r="G234" s="14" t="str">
        <f aca="false">IF($F234="","",IF(AND($E234&lt;&gt;"",$E234&gt;0),"DBH + height","DBH only"))</f>
        <v/>
      </c>
      <c r="H234" s="14" t="str">
        <f aca="false">IF(OR($D234="",$F234=""),"",IF($E234&gt;0,INDEX('R1. Tree Coefficients'!$F:$F,$F234+0)*($D234^INDEX('R1. Tree Coefficients'!$G:$G,$F234+0))*($E234^INDEX('R1. Tree Coefficients'!$H:$H,$F234+0)),INDEX('R1. Tree Coefficients'!$D:$D,$F234+0)*($D234^INDEX('R1. Tree Coefficients'!$E:$E,$F234+0))))</f>
        <v/>
      </c>
      <c r="I234" s="14" t="str">
        <f aca="false">IF(OR($D234="",$F234=""),"",IF($E234&gt;0,INDEX('R1. Tree Coefficients'!$F:$F,$F234+1)*($D234^INDEX('R1. Tree Coefficients'!$G:$G,$F234+1))*($E234^INDEX('R1. Tree Coefficients'!$H:$H,$F234+1)),INDEX('R1. Tree Coefficients'!$D:$D,$F234+1)*($D234^INDEX('R1. Tree Coefficients'!$E:$E,$F234+1))))</f>
        <v/>
      </c>
      <c r="J234" s="14" t="str">
        <f aca="false">IF(OR($D234="",$F234=""),"",IF($E234&gt;0,INDEX('R1. Tree Coefficients'!$F:$F,$F234+2)*($D234^INDEX('R1. Tree Coefficients'!$G:$G,$F234+2))*($E234^INDEX('R1. Tree Coefficients'!$H:$H,$F234+2)),INDEX('R1. Tree Coefficients'!$D:$D,$F234+2)*($D234^INDEX('R1. Tree Coefficients'!$E:$E,$F234+2))))</f>
        <v/>
      </c>
      <c r="K234" s="14" t="str">
        <f aca="false">IF(OR($D234="",$F234=""),"",IF($E234&gt;0,INDEX('R1. Tree Coefficients'!$F:$F,$F234+3)*($D234^INDEX('R1. Tree Coefficients'!$G:$G,$F234+3))*($E234^INDEX('R1. Tree Coefficients'!$H:$H,$F234+3)),INDEX('R1. Tree Coefficients'!$D:$D,$F234+3)*($D234^INDEX('R1. Tree Coefficients'!$E:$E,$F234+3))))</f>
        <v/>
      </c>
      <c r="L234" s="14" t="str">
        <f aca="false">IF($F234="","",IFERROR(SUM($H234:$K234),""))</f>
        <v/>
      </c>
      <c r="M234" s="14" t="str">
        <f aca="false">IF($F234="","",INDEX('R1. Tree Coefficients'!$J:$J,$F234))</f>
        <v/>
      </c>
      <c r="N234" s="14" t="str">
        <f aca="false">IF($L234="","",IF($M234="Deciduous",BGB_RS_DECIDUOUS_a*($L234^BGB_RS_DECIDUOUS_b),IF($M234="Conifers",BGB_RS_CONIFER*$L234,AVERAGE(BGB_RS_DECIDUOUS_a*($L234^BGB_RS_DECIDUOUS_b),BGB_RS_CONIFER*$L234))))</f>
        <v/>
      </c>
      <c r="O234" s="14" t="str">
        <f aca="false">IF($L234="","",$L234+$N234)</f>
        <v/>
      </c>
      <c r="P234" s="14" t="str">
        <f aca="false">IF($O234="","",$O234*CARBON_FRACTION_BIOMASS)</f>
        <v/>
      </c>
      <c r="Q234" s="14" t="str">
        <f aca="false">IF(AND($A234="",$C234=""),"",IF(AND($A234&lt;&gt;"",COUNTIF('1. Plot &amp; Site Log'!$A$5:$A$64,$A234)=0),"Plot ID not in Plot &amp; Site Log — this tree will not reach the summary. ","")&amp;IF($A234="","No Plot ID. ","")&amp;IF(AND($C234&lt;&gt;"",$F234=""),"Species not in the coefficient list — check the spelling against R1. ","")&amp;IF($D234="","No DBH — nothing can be calculated. ","")&amp;IF(AND($D234&lt;&gt;"",$D234&gt;QC_DBH_MAX_CM),"DBH above "&amp;QC_DBH_MAX_CM&amp;" cm — check for a transcription error. ","")&amp;IF($M234="All","Generic species: no published root:shoot applies, so below-ground biomass is the mean of the deciduous and conifer relationships. Choose a species, or Deciduous/Conifers, if you can. ","")&amp;IF(AND($O234&lt;&gt;"",$O234&gt;0,OR($N234/$O234&lt;BGB_FRACTION_MIN,$N234/$O234&gt;BGB_FRACTION_MAX)),"Below-ground share is "&amp;TEXT($N234/$O234,"0%")&amp;", outside the 18–30% the Trees guide describes. ",""))</f>
        <v/>
      </c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4" t="str">
        <f aca="false">IF($C235="","",IFERROR(12+(MATCH($C235,'R1. Tree Coefficients'!$L$12:$L$53,0)-1)*4,""))</f>
        <v/>
      </c>
      <c r="G235" s="14" t="str">
        <f aca="false">IF($F235="","",IF(AND($E235&lt;&gt;"",$E235&gt;0),"DBH + height","DBH only"))</f>
        <v/>
      </c>
      <c r="H235" s="14" t="str">
        <f aca="false">IF(OR($D235="",$F235=""),"",IF($E235&gt;0,INDEX('R1. Tree Coefficients'!$F:$F,$F235+0)*($D235^INDEX('R1. Tree Coefficients'!$G:$G,$F235+0))*($E235^INDEX('R1. Tree Coefficients'!$H:$H,$F235+0)),INDEX('R1. Tree Coefficients'!$D:$D,$F235+0)*($D235^INDEX('R1. Tree Coefficients'!$E:$E,$F235+0))))</f>
        <v/>
      </c>
      <c r="I235" s="14" t="str">
        <f aca="false">IF(OR($D235="",$F235=""),"",IF($E235&gt;0,INDEX('R1. Tree Coefficients'!$F:$F,$F235+1)*($D235^INDEX('R1. Tree Coefficients'!$G:$G,$F235+1))*($E235^INDEX('R1. Tree Coefficients'!$H:$H,$F235+1)),INDEX('R1. Tree Coefficients'!$D:$D,$F235+1)*($D235^INDEX('R1. Tree Coefficients'!$E:$E,$F235+1))))</f>
        <v/>
      </c>
      <c r="J235" s="14" t="str">
        <f aca="false">IF(OR($D235="",$F235=""),"",IF($E235&gt;0,INDEX('R1. Tree Coefficients'!$F:$F,$F235+2)*($D235^INDEX('R1. Tree Coefficients'!$G:$G,$F235+2))*($E235^INDEX('R1. Tree Coefficients'!$H:$H,$F235+2)),INDEX('R1. Tree Coefficients'!$D:$D,$F235+2)*($D235^INDEX('R1. Tree Coefficients'!$E:$E,$F235+2))))</f>
        <v/>
      </c>
      <c r="K235" s="14" t="str">
        <f aca="false">IF(OR($D235="",$F235=""),"",IF($E235&gt;0,INDEX('R1. Tree Coefficients'!$F:$F,$F235+3)*($D235^INDEX('R1. Tree Coefficients'!$G:$G,$F235+3))*($E235^INDEX('R1. Tree Coefficients'!$H:$H,$F235+3)),INDEX('R1. Tree Coefficients'!$D:$D,$F235+3)*($D235^INDEX('R1. Tree Coefficients'!$E:$E,$F235+3))))</f>
        <v/>
      </c>
      <c r="L235" s="14" t="str">
        <f aca="false">IF($F235="","",IFERROR(SUM($H235:$K235),""))</f>
        <v/>
      </c>
      <c r="M235" s="14" t="str">
        <f aca="false">IF($F235="","",INDEX('R1. Tree Coefficients'!$J:$J,$F235))</f>
        <v/>
      </c>
      <c r="N235" s="14" t="str">
        <f aca="false">IF($L235="","",IF($M235="Deciduous",BGB_RS_DECIDUOUS_a*($L235^BGB_RS_DECIDUOUS_b),IF($M235="Conifers",BGB_RS_CONIFER*$L235,AVERAGE(BGB_RS_DECIDUOUS_a*($L235^BGB_RS_DECIDUOUS_b),BGB_RS_CONIFER*$L235))))</f>
        <v/>
      </c>
      <c r="O235" s="14" t="str">
        <f aca="false">IF($L235="","",$L235+$N235)</f>
        <v/>
      </c>
      <c r="P235" s="14" t="str">
        <f aca="false">IF($O235="","",$O235*CARBON_FRACTION_BIOMASS)</f>
        <v/>
      </c>
      <c r="Q235" s="14" t="str">
        <f aca="false">IF(AND($A235="",$C235=""),"",IF(AND($A235&lt;&gt;"",COUNTIF('1. Plot &amp; Site Log'!$A$5:$A$64,$A235)=0),"Plot ID not in Plot &amp; Site Log — this tree will not reach the summary. ","")&amp;IF($A235="","No Plot ID. ","")&amp;IF(AND($C235&lt;&gt;"",$F235=""),"Species not in the coefficient list — check the spelling against R1. ","")&amp;IF($D235="","No DBH — nothing can be calculated. ","")&amp;IF(AND($D235&lt;&gt;"",$D235&gt;QC_DBH_MAX_CM),"DBH above "&amp;QC_DBH_MAX_CM&amp;" cm — check for a transcription error. ","")&amp;IF($M235="All","Generic species: no published root:shoot applies, so below-ground biomass is the mean of the deciduous and conifer relationships. Choose a species, or Deciduous/Conifers, if you can. ","")&amp;IF(AND($O235&lt;&gt;"",$O235&gt;0,OR($N235/$O235&lt;BGB_FRACTION_MIN,$N235/$O235&gt;BGB_FRACTION_MAX)),"Below-ground share is "&amp;TEXT($N235/$O235,"0%")&amp;", outside the 18–30% the Trees guide describes. ",""))</f>
        <v/>
      </c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4" t="str">
        <f aca="false">IF($C236="","",IFERROR(12+(MATCH($C236,'R1. Tree Coefficients'!$L$12:$L$53,0)-1)*4,""))</f>
        <v/>
      </c>
      <c r="G236" s="14" t="str">
        <f aca="false">IF($F236="","",IF(AND($E236&lt;&gt;"",$E236&gt;0),"DBH + height","DBH only"))</f>
        <v/>
      </c>
      <c r="H236" s="14" t="str">
        <f aca="false">IF(OR($D236="",$F236=""),"",IF($E236&gt;0,INDEX('R1. Tree Coefficients'!$F:$F,$F236+0)*($D236^INDEX('R1. Tree Coefficients'!$G:$G,$F236+0))*($E236^INDEX('R1. Tree Coefficients'!$H:$H,$F236+0)),INDEX('R1. Tree Coefficients'!$D:$D,$F236+0)*($D236^INDEX('R1. Tree Coefficients'!$E:$E,$F236+0))))</f>
        <v/>
      </c>
      <c r="I236" s="14" t="str">
        <f aca="false">IF(OR($D236="",$F236=""),"",IF($E236&gt;0,INDEX('R1. Tree Coefficients'!$F:$F,$F236+1)*($D236^INDEX('R1. Tree Coefficients'!$G:$G,$F236+1))*($E236^INDEX('R1. Tree Coefficients'!$H:$H,$F236+1)),INDEX('R1. Tree Coefficients'!$D:$D,$F236+1)*($D236^INDEX('R1. Tree Coefficients'!$E:$E,$F236+1))))</f>
        <v/>
      </c>
      <c r="J236" s="14" t="str">
        <f aca="false">IF(OR($D236="",$F236=""),"",IF($E236&gt;0,INDEX('R1. Tree Coefficients'!$F:$F,$F236+2)*($D236^INDEX('R1. Tree Coefficients'!$G:$G,$F236+2))*($E236^INDEX('R1. Tree Coefficients'!$H:$H,$F236+2)),INDEX('R1. Tree Coefficients'!$D:$D,$F236+2)*($D236^INDEX('R1. Tree Coefficients'!$E:$E,$F236+2))))</f>
        <v/>
      </c>
      <c r="K236" s="14" t="str">
        <f aca="false">IF(OR($D236="",$F236=""),"",IF($E236&gt;0,INDEX('R1. Tree Coefficients'!$F:$F,$F236+3)*($D236^INDEX('R1. Tree Coefficients'!$G:$G,$F236+3))*($E236^INDEX('R1. Tree Coefficients'!$H:$H,$F236+3)),INDEX('R1. Tree Coefficients'!$D:$D,$F236+3)*($D236^INDEX('R1. Tree Coefficients'!$E:$E,$F236+3))))</f>
        <v/>
      </c>
      <c r="L236" s="14" t="str">
        <f aca="false">IF($F236="","",IFERROR(SUM($H236:$K236),""))</f>
        <v/>
      </c>
      <c r="M236" s="14" t="str">
        <f aca="false">IF($F236="","",INDEX('R1. Tree Coefficients'!$J:$J,$F236))</f>
        <v/>
      </c>
      <c r="N236" s="14" t="str">
        <f aca="false">IF($L236="","",IF($M236="Deciduous",BGB_RS_DECIDUOUS_a*($L236^BGB_RS_DECIDUOUS_b),IF($M236="Conifers",BGB_RS_CONIFER*$L236,AVERAGE(BGB_RS_DECIDUOUS_a*($L236^BGB_RS_DECIDUOUS_b),BGB_RS_CONIFER*$L236))))</f>
        <v/>
      </c>
      <c r="O236" s="14" t="str">
        <f aca="false">IF($L236="","",$L236+$N236)</f>
        <v/>
      </c>
      <c r="P236" s="14" t="str">
        <f aca="false">IF($O236="","",$O236*CARBON_FRACTION_BIOMASS)</f>
        <v/>
      </c>
      <c r="Q236" s="14" t="str">
        <f aca="false">IF(AND($A236="",$C236=""),"",IF(AND($A236&lt;&gt;"",COUNTIF('1. Plot &amp; Site Log'!$A$5:$A$64,$A236)=0),"Plot ID not in Plot &amp; Site Log — this tree will not reach the summary. ","")&amp;IF($A236="","No Plot ID. ","")&amp;IF(AND($C236&lt;&gt;"",$F236=""),"Species not in the coefficient list — check the spelling against R1. ","")&amp;IF($D236="","No DBH — nothing can be calculated. ","")&amp;IF(AND($D236&lt;&gt;"",$D236&gt;QC_DBH_MAX_CM),"DBH above "&amp;QC_DBH_MAX_CM&amp;" cm — check for a transcription error. ","")&amp;IF($M236="All","Generic species: no published root:shoot applies, so below-ground biomass is the mean of the deciduous and conifer relationships. Choose a species, or Deciduous/Conifers, if you can. ","")&amp;IF(AND($O236&lt;&gt;"",$O236&gt;0,OR($N236/$O236&lt;BGB_FRACTION_MIN,$N236/$O236&gt;BGB_FRACTION_MAX)),"Below-ground share is "&amp;TEXT($N236/$O236,"0%")&amp;", outside the 18–30% the Trees guide describes. ",""))</f>
        <v/>
      </c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4" t="str">
        <f aca="false">IF($C237="","",IFERROR(12+(MATCH($C237,'R1. Tree Coefficients'!$L$12:$L$53,0)-1)*4,""))</f>
        <v/>
      </c>
      <c r="G237" s="14" t="str">
        <f aca="false">IF($F237="","",IF(AND($E237&lt;&gt;"",$E237&gt;0),"DBH + height","DBH only"))</f>
        <v/>
      </c>
      <c r="H237" s="14" t="str">
        <f aca="false">IF(OR($D237="",$F237=""),"",IF($E237&gt;0,INDEX('R1. Tree Coefficients'!$F:$F,$F237+0)*($D237^INDEX('R1. Tree Coefficients'!$G:$G,$F237+0))*($E237^INDEX('R1. Tree Coefficients'!$H:$H,$F237+0)),INDEX('R1. Tree Coefficients'!$D:$D,$F237+0)*($D237^INDEX('R1. Tree Coefficients'!$E:$E,$F237+0))))</f>
        <v/>
      </c>
      <c r="I237" s="14" t="str">
        <f aca="false">IF(OR($D237="",$F237=""),"",IF($E237&gt;0,INDEX('R1. Tree Coefficients'!$F:$F,$F237+1)*($D237^INDEX('R1. Tree Coefficients'!$G:$G,$F237+1))*($E237^INDEX('R1. Tree Coefficients'!$H:$H,$F237+1)),INDEX('R1. Tree Coefficients'!$D:$D,$F237+1)*($D237^INDEX('R1. Tree Coefficients'!$E:$E,$F237+1))))</f>
        <v/>
      </c>
      <c r="J237" s="14" t="str">
        <f aca="false">IF(OR($D237="",$F237=""),"",IF($E237&gt;0,INDEX('R1. Tree Coefficients'!$F:$F,$F237+2)*($D237^INDEX('R1. Tree Coefficients'!$G:$G,$F237+2))*($E237^INDEX('R1. Tree Coefficients'!$H:$H,$F237+2)),INDEX('R1. Tree Coefficients'!$D:$D,$F237+2)*($D237^INDEX('R1. Tree Coefficients'!$E:$E,$F237+2))))</f>
        <v/>
      </c>
      <c r="K237" s="14" t="str">
        <f aca="false">IF(OR($D237="",$F237=""),"",IF($E237&gt;0,INDEX('R1. Tree Coefficients'!$F:$F,$F237+3)*($D237^INDEX('R1. Tree Coefficients'!$G:$G,$F237+3))*($E237^INDEX('R1. Tree Coefficients'!$H:$H,$F237+3)),INDEX('R1. Tree Coefficients'!$D:$D,$F237+3)*($D237^INDEX('R1. Tree Coefficients'!$E:$E,$F237+3))))</f>
        <v/>
      </c>
      <c r="L237" s="14" t="str">
        <f aca="false">IF($F237="","",IFERROR(SUM($H237:$K237),""))</f>
        <v/>
      </c>
      <c r="M237" s="14" t="str">
        <f aca="false">IF($F237="","",INDEX('R1. Tree Coefficients'!$J:$J,$F237))</f>
        <v/>
      </c>
      <c r="N237" s="14" t="str">
        <f aca="false">IF($L237="","",IF($M237="Deciduous",BGB_RS_DECIDUOUS_a*($L237^BGB_RS_DECIDUOUS_b),IF($M237="Conifers",BGB_RS_CONIFER*$L237,AVERAGE(BGB_RS_DECIDUOUS_a*($L237^BGB_RS_DECIDUOUS_b),BGB_RS_CONIFER*$L237))))</f>
        <v/>
      </c>
      <c r="O237" s="14" t="str">
        <f aca="false">IF($L237="","",$L237+$N237)</f>
        <v/>
      </c>
      <c r="P237" s="14" t="str">
        <f aca="false">IF($O237="","",$O237*CARBON_FRACTION_BIOMASS)</f>
        <v/>
      </c>
      <c r="Q237" s="14" t="str">
        <f aca="false">IF(AND($A237="",$C237=""),"",IF(AND($A237&lt;&gt;"",COUNTIF('1. Plot &amp; Site Log'!$A$5:$A$64,$A237)=0),"Plot ID not in Plot &amp; Site Log — this tree will not reach the summary. ","")&amp;IF($A237="","No Plot ID. ","")&amp;IF(AND($C237&lt;&gt;"",$F237=""),"Species not in the coefficient list — check the spelling against R1. ","")&amp;IF($D237="","No DBH — nothing can be calculated. ","")&amp;IF(AND($D237&lt;&gt;"",$D237&gt;QC_DBH_MAX_CM),"DBH above "&amp;QC_DBH_MAX_CM&amp;" cm — check for a transcription error. ","")&amp;IF($M237="All","Generic species: no published root:shoot applies, so below-ground biomass is the mean of the deciduous and conifer relationships. Choose a species, or Deciduous/Conifers, if you can. ","")&amp;IF(AND($O237&lt;&gt;"",$O237&gt;0,OR($N237/$O237&lt;BGB_FRACTION_MIN,$N237/$O237&gt;BGB_FRACTION_MAX)),"Below-ground share is "&amp;TEXT($N237/$O237,"0%")&amp;", outside the 18–30% the Trees guide describes. ",""))</f>
        <v/>
      </c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4" t="str">
        <f aca="false">IF($C238="","",IFERROR(12+(MATCH($C238,'R1. Tree Coefficients'!$L$12:$L$53,0)-1)*4,""))</f>
        <v/>
      </c>
      <c r="G238" s="14" t="str">
        <f aca="false">IF($F238="","",IF(AND($E238&lt;&gt;"",$E238&gt;0),"DBH + height","DBH only"))</f>
        <v/>
      </c>
      <c r="H238" s="14" t="str">
        <f aca="false">IF(OR($D238="",$F238=""),"",IF($E238&gt;0,INDEX('R1. Tree Coefficients'!$F:$F,$F238+0)*($D238^INDEX('R1. Tree Coefficients'!$G:$G,$F238+0))*($E238^INDEX('R1. Tree Coefficients'!$H:$H,$F238+0)),INDEX('R1. Tree Coefficients'!$D:$D,$F238+0)*($D238^INDEX('R1. Tree Coefficients'!$E:$E,$F238+0))))</f>
        <v/>
      </c>
      <c r="I238" s="14" t="str">
        <f aca="false">IF(OR($D238="",$F238=""),"",IF($E238&gt;0,INDEX('R1. Tree Coefficients'!$F:$F,$F238+1)*($D238^INDEX('R1. Tree Coefficients'!$G:$G,$F238+1))*($E238^INDEX('R1. Tree Coefficients'!$H:$H,$F238+1)),INDEX('R1. Tree Coefficients'!$D:$D,$F238+1)*($D238^INDEX('R1. Tree Coefficients'!$E:$E,$F238+1))))</f>
        <v/>
      </c>
      <c r="J238" s="14" t="str">
        <f aca="false">IF(OR($D238="",$F238=""),"",IF($E238&gt;0,INDEX('R1. Tree Coefficients'!$F:$F,$F238+2)*($D238^INDEX('R1. Tree Coefficients'!$G:$G,$F238+2))*($E238^INDEX('R1. Tree Coefficients'!$H:$H,$F238+2)),INDEX('R1. Tree Coefficients'!$D:$D,$F238+2)*($D238^INDEX('R1. Tree Coefficients'!$E:$E,$F238+2))))</f>
        <v/>
      </c>
      <c r="K238" s="14" t="str">
        <f aca="false">IF(OR($D238="",$F238=""),"",IF($E238&gt;0,INDEX('R1. Tree Coefficients'!$F:$F,$F238+3)*($D238^INDEX('R1. Tree Coefficients'!$G:$G,$F238+3))*($E238^INDEX('R1. Tree Coefficients'!$H:$H,$F238+3)),INDEX('R1. Tree Coefficients'!$D:$D,$F238+3)*($D238^INDEX('R1. Tree Coefficients'!$E:$E,$F238+3))))</f>
        <v/>
      </c>
      <c r="L238" s="14" t="str">
        <f aca="false">IF($F238="","",IFERROR(SUM($H238:$K238),""))</f>
        <v/>
      </c>
      <c r="M238" s="14" t="str">
        <f aca="false">IF($F238="","",INDEX('R1. Tree Coefficients'!$J:$J,$F238))</f>
        <v/>
      </c>
      <c r="N238" s="14" t="str">
        <f aca="false">IF($L238="","",IF($M238="Deciduous",BGB_RS_DECIDUOUS_a*($L238^BGB_RS_DECIDUOUS_b),IF($M238="Conifers",BGB_RS_CONIFER*$L238,AVERAGE(BGB_RS_DECIDUOUS_a*($L238^BGB_RS_DECIDUOUS_b),BGB_RS_CONIFER*$L238))))</f>
        <v/>
      </c>
      <c r="O238" s="14" t="str">
        <f aca="false">IF($L238="","",$L238+$N238)</f>
        <v/>
      </c>
      <c r="P238" s="14" t="str">
        <f aca="false">IF($O238="","",$O238*CARBON_FRACTION_BIOMASS)</f>
        <v/>
      </c>
      <c r="Q238" s="14" t="str">
        <f aca="false">IF(AND($A238="",$C238=""),"",IF(AND($A238&lt;&gt;"",COUNTIF('1. Plot &amp; Site Log'!$A$5:$A$64,$A238)=0),"Plot ID not in Plot &amp; Site Log — this tree will not reach the summary. ","")&amp;IF($A238="","No Plot ID. ","")&amp;IF(AND($C238&lt;&gt;"",$F238=""),"Species not in the coefficient list — check the spelling against R1. ","")&amp;IF($D238="","No DBH — nothing can be calculated. ","")&amp;IF(AND($D238&lt;&gt;"",$D238&gt;QC_DBH_MAX_CM),"DBH above "&amp;QC_DBH_MAX_CM&amp;" cm — check for a transcription error. ","")&amp;IF($M238="All","Generic species: no published root:shoot applies, so below-ground biomass is the mean of the deciduous and conifer relationships. Choose a species, or Deciduous/Conifers, if you can. ","")&amp;IF(AND($O238&lt;&gt;"",$O238&gt;0,OR($N238/$O238&lt;BGB_FRACTION_MIN,$N238/$O238&gt;BGB_FRACTION_MAX)),"Below-ground share is "&amp;TEXT($N238/$O238,"0%")&amp;", outside the 18–30% the Trees guide describes. ",""))</f>
        <v/>
      </c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4" t="str">
        <f aca="false">IF($C239="","",IFERROR(12+(MATCH($C239,'R1. Tree Coefficients'!$L$12:$L$53,0)-1)*4,""))</f>
        <v/>
      </c>
      <c r="G239" s="14" t="str">
        <f aca="false">IF($F239="","",IF(AND($E239&lt;&gt;"",$E239&gt;0),"DBH + height","DBH only"))</f>
        <v/>
      </c>
      <c r="H239" s="14" t="str">
        <f aca="false">IF(OR($D239="",$F239=""),"",IF($E239&gt;0,INDEX('R1. Tree Coefficients'!$F:$F,$F239+0)*($D239^INDEX('R1. Tree Coefficients'!$G:$G,$F239+0))*($E239^INDEX('R1. Tree Coefficients'!$H:$H,$F239+0)),INDEX('R1. Tree Coefficients'!$D:$D,$F239+0)*($D239^INDEX('R1. Tree Coefficients'!$E:$E,$F239+0))))</f>
        <v/>
      </c>
      <c r="I239" s="14" t="str">
        <f aca="false">IF(OR($D239="",$F239=""),"",IF($E239&gt;0,INDEX('R1. Tree Coefficients'!$F:$F,$F239+1)*($D239^INDEX('R1. Tree Coefficients'!$G:$G,$F239+1))*($E239^INDEX('R1. Tree Coefficients'!$H:$H,$F239+1)),INDEX('R1. Tree Coefficients'!$D:$D,$F239+1)*($D239^INDEX('R1. Tree Coefficients'!$E:$E,$F239+1))))</f>
        <v/>
      </c>
      <c r="J239" s="14" t="str">
        <f aca="false">IF(OR($D239="",$F239=""),"",IF($E239&gt;0,INDEX('R1. Tree Coefficients'!$F:$F,$F239+2)*($D239^INDEX('R1. Tree Coefficients'!$G:$G,$F239+2))*($E239^INDEX('R1. Tree Coefficients'!$H:$H,$F239+2)),INDEX('R1. Tree Coefficients'!$D:$D,$F239+2)*($D239^INDEX('R1. Tree Coefficients'!$E:$E,$F239+2))))</f>
        <v/>
      </c>
      <c r="K239" s="14" t="str">
        <f aca="false">IF(OR($D239="",$F239=""),"",IF($E239&gt;0,INDEX('R1. Tree Coefficients'!$F:$F,$F239+3)*($D239^INDEX('R1. Tree Coefficients'!$G:$G,$F239+3))*($E239^INDEX('R1. Tree Coefficients'!$H:$H,$F239+3)),INDEX('R1. Tree Coefficients'!$D:$D,$F239+3)*($D239^INDEX('R1. Tree Coefficients'!$E:$E,$F239+3))))</f>
        <v/>
      </c>
      <c r="L239" s="14" t="str">
        <f aca="false">IF($F239="","",IFERROR(SUM($H239:$K239),""))</f>
        <v/>
      </c>
      <c r="M239" s="14" t="str">
        <f aca="false">IF($F239="","",INDEX('R1. Tree Coefficients'!$J:$J,$F239))</f>
        <v/>
      </c>
      <c r="N239" s="14" t="str">
        <f aca="false">IF($L239="","",IF($M239="Deciduous",BGB_RS_DECIDUOUS_a*($L239^BGB_RS_DECIDUOUS_b),IF($M239="Conifers",BGB_RS_CONIFER*$L239,AVERAGE(BGB_RS_DECIDUOUS_a*($L239^BGB_RS_DECIDUOUS_b),BGB_RS_CONIFER*$L239))))</f>
        <v/>
      </c>
      <c r="O239" s="14" t="str">
        <f aca="false">IF($L239="","",$L239+$N239)</f>
        <v/>
      </c>
      <c r="P239" s="14" t="str">
        <f aca="false">IF($O239="","",$O239*CARBON_FRACTION_BIOMASS)</f>
        <v/>
      </c>
      <c r="Q239" s="14" t="str">
        <f aca="false">IF(AND($A239="",$C239=""),"",IF(AND($A239&lt;&gt;"",COUNTIF('1. Plot &amp; Site Log'!$A$5:$A$64,$A239)=0),"Plot ID not in Plot &amp; Site Log — this tree will not reach the summary. ","")&amp;IF($A239="","No Plot ID. ","")&amp;IF(AND($C239&lt;&gt;"",$F239=""),"Species not in the coefficient list — check the spelling against R1. ","")&amp;IF($D239="","No DBH — nothing can be calculated. ","")&amp;IF(AND($D239&lt;&gt;"",$D239&gt;QC_DBH_MAX_CM),"DBH above "&amp;QC_DBH_MAX_CM&amp;" cm — check for a transcription error. ","")&amp;IF($M239="All","Generic species: no published root:shoot applies, so below-ground biomass is the mean of the deciduous and conifer relationships. Choose a species, or Deciduous/Conifers, if you can. ","")&amp;IF(AND($O239&lt;&gt;"",$O239&gt;0,OR($N239/$O239&lt;BGB_FRACTION_MIN,$N239/$O239&gt;BGB_FRACTION_MAX)),"Below-ground share is "&amp;TEXT($N239/$O239,"0%")&amp;", outside the 18–30% the Trees guide describes. ",""))</f>
        <v/>
      </c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4" t="str">
        <f aca="false">IF($C240="","",IFERROR(12+(MATCH($C240,'R1. Tree Coefficients'!$L$12:$L$53,0)-1)*4,""))</f>
        <v/>
      </c>
      <c r="G240" s="14" t="str">
        <f aca="false">IF($F240="","",IF(AND($E240&lt;&gt;"",$E240&gt;0),"DBH + height","DBH only"))</f>
        <v/>
      </c>
      <c r="H240" s="14" t="str">
        <f aca="false">IF(OR($D240="",$F240=""),"",IF($E240&gt;0,INDEX('R1. Tree Coefficients'!$F:$F,$F240+0)*($D240^INDEX('R1. Tree Coefficients'!$G:$G,$F240+0))*($E240^INDEX('R1. Tree Coefficients'!$H:$H,$F240+0)),INDEX('R1. Tree Coefficients'!$D:$D,$F240+0)*($D240^INDEX('R1. Tree Coefficients'!$E:$E,$F240+0))))</f>
        <v/>
      </c>
      <c r="I240" s="14" t="str">
        <f aca="false">IF(OR($D240="",$F240=""),"",IF($E240&gt;0,INDEX('R1. Tree Coefficients'!$F:$F,$F240+1)*($D240^INDEX('R1. Tree Coefficients'!$G:$G,$F240+1))*($E240^INDEX('R1. Tree Coefficients'!$H:$H,$F240+1)),INDEX('R1. Tree Coefficients'!$D:$D,$F240+1)*($D240^INDEX('R1. Tree Coefficients'!$E:$E,$F240+1))))</f>
        <v/>
      </c>
      <c r="J240" s="14" t="str">
        <f aca="false">IF(OR($D240="",$F240=""),"",IF($E240&gt;0,INDEX('R1. Tree Coefficients'!$F:$F,$F240+2)*($D240^INDEX('R1. Tree Coefficients'!$G:$G,$F240+2))*($E240^INDEX('R1. Tree Coefficients'!$H:$H,$F240+2)),INDEX('R1. Tree Coefficients'!$D:$D,$F240+2)*($D240^INDEX('R1. Tree Coefficients'!$E:$E,$F240+2))))</f>
        <v/>
      </c>
      <c r="K240" s="14" t="str">
        <f aca="false">IF(OR($D240="",$F240=""),"",IF($E240&gt;0,INDEX('R1. Tree Coefficients'!$F:$F,$F240+3)*($D240^INDEX('R1. Tree Coefficients'!$G:$G,$F240+3))*($E240^INDEX('R1. Tree Coefficients'!$H:$H,$F240+3)),INDEX('R1. Tree Coefficients'!$D:$D,$F240+3)*($D240^INDEX('R1. Tree Coefficients'!$E:$E,$F240+3))))</f>
        <v/>
      </c>
      <c r="L240" s="14" t="str">
        <f aca="false">IF($F240="","",IFERROR(SUM($H240:$K240),""))</f>
        <v/>
      </c>
      <c r="M240" s="14" t="str">
        <f aca="false">IF($F240="","",INDEX('R1. Tree Coefficients'!$J:$J,$F240))</f>
        <v/>
      </c>
      <c r="N240" s="14" t="str">
        <f aca="false">IF($L240="","",IF($M240="Deciduous",BGB_RS_DECIDUOUS_a*($L240^BGB_RS_DECIDUOUS_b),IF($M240="Conifers",BGB_RS_CONIFER*$L240,AVERAGE(BGB_RS_DECIDUOUS_a*($L240^BGB_RS_DECIDUOUS_b),BGB_RS_CONIFER*$L240))))</f>
        <v/>
      </c>
      <c r="O240" s="14" t="str">
        <f aca="false">IF($L240="","",$L240+$N240)</f>
        <v/>
      </c>
      <c r="P240" s="14" t="str">
        <f aca="false">IF($O240="","",$O240*CARBON_FRACTION_BIOMASS)</f>
        <v/>
      </c>
      <c r="Q240" s="14" t="str">
        <f aca="false">IF(AND($A240="",$C240=""),"",IF(AND($A240&lt;&gt;"",COUNTIF('1. Plot &amp; Site Log'!$A$5:$A$64,$A240)=0),"Plot ID not in Plot &amp; Site Log — this tree will not reach the summary. ","")&amp;IF($A240="","No Plot ID. ","")&amp;IF(AND($C240&lt;&gt;"",$F240=""),"Species not in the coefficient list — check the spelling against R1. ","")&amp;IF($D240="","No DBH — nothing can be calculated. ","")&amp;IF(AND($D240&lt;&gt;"",$D240&gt;QC_DBH_MAX_CM),"DBH above "&amp;QC_DBH_MAX_CM&amp;" cm — check for a transcription error. ","")&amp;IF($M240="All","Generic species: no published root:shoot applies, so below-ground biomass is the mean of the deciduous and conifer relationships. Choose a species, or Deciduous/Conifers, if you can. ","")&amp;IF(AND($O240&lt;&gt;"",$O240&gt;0,OR($N240/$O240&lt;BGB_FRACTION_MIN,$N240/$O240&gt;BGB_FRACTION_MAX)),"Below-ground share is "&amp;TEXT($N240/$O240,"0%")&amp;", outside the 18–30% the Trees guide describes. ",""))</f>
        <v/>
      </c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4" t="str">
        <f aca="false">IF($C241="","",IFERROR(12+(MATCH($C241,'R1. Tree Coefficients'!$L$12:$L$53,0)-1)*4,""))</f>
        <v/>
      </c>
      <c r="G241" s="14" t="str">
        <f aca="false">IF($F241="","",IF(AND($E241&lt;&gt;"",$E241&gt;0),"DBH + height","DBH only"))</f>
        <v/>
      </c>
      <c r="H241" s="14" t="str">
        <f aca="false">IF(OR($D241="",$F241=""),"",IF($E241&gt;0,INDEX('R1. Tree Coefficients'!$F:$F,$F241+0)*($D241^INDEX('R1. Tree Coefficients'!$G:$G,$F241+0))*($E241^INDEX('R1. Tree Coefficients'!$H:$H,$F241+0)),INDEX('R1. Tree Coefficients'!$D:$D,$F241+0)*($D241^INDEX('R1. Tree Coefficients'!$E:$E,$F241+0))))</f>
        <v/>
      </c>
      <c r="I241" s="14" t="str">
        <f aca="false">IF(OR($D241="",$F241=""),"",IF($E241&gt;0,INDEX('R1. Tree Coefficients'!$F:$F,$F241+1)*($D241^INDEX('R1. Tree Coefficients'!$G:$G,$F241+1))*($E241^INDEX('R1. Tree Coefficients'!$H:$H,$F241+1)),INDEX('R1. Tree Coefficients'!$D:$D,$F241+1)*($D241^INDEX('R1. Tree Coefficients'!$E:$E,$F241+1))))</f>
        <v/>
      </c>
      <c r="J241" s="14" t="str">
        <f aca="false">IF(OR($D241="",$F241=""),"",IF($E241&gt;0,INDEX('R1. Tree Coefficients'!$F:$F,$F241+2)*($D241^INDEX('R1. Tree Coefficients'!$G:$G,$F241+2))*($E241^INDEX('R1. Tree Coefficients'!$H:$H,$F241+2)),INDEX('R1. Tree Coefficients'!$D:$D,$F241+2)*($D241^INDEX('R1. Tree Coefficients'!$E:$E,$F241+2))))</f>
        <v/>
      </c>
      <c r="K241" s="14" t="str">
        <f aca="false">IF(OR($D241="",$F241=""),"",IF($E241&gt;0,INDEX('R1. Tree Coefficients'!$F:$F,$F241+3)*($D241^INDEX('R1. Tree Coefficients'!$G:$G,$F241+3))*($E241^INDEX('R1. Tree Coefficients'!$H:$H,$F241+3)),INDEX('R1. Tree Coefficients'!$D:$D,$F241+3)*($D241^INDEX('R1. Tree Coefficients'!$E:$E,$F241+3))))</f>
        <v/>
      </c>
      <c r="L241" s="14" t="str">
        <f aca="false">IF($F241="","",IFERROR(SUM($H241:$K241),""))</f>
        <v/>
      </c>
      <c r="M241" s="14" t="str">
        <f aca="false">IF($F241="","",INDEX('R1. Tree Coefficients'!$J:$J,$F241))</f>
        <v/>
      </c>
      <c r="N241" s="14" t="str">
        <f aca="false">IF($L241="","",IF($M241="Deciduous",BGB_RS_DECIDUOUS_a*($L241^BGB_RS_DECIDUOUS_b),IF($M241="Conifers",BGB_RS_CONIFER*$L241,AVERAGE(BGB_RS_DECIDUOUS_a*($L241^BGB_RS_DECIDUOUS_b),BGB_RS_CONIFER*$L241))))</f>
        <v/>
      </c>
      <c r="O241" s="14" t="str">
        <f aca="false">IF($L241="","",$L241+$N241)</f>
        <v/>
      </c>
      <c r="P241" s="14" t="str">
        <f aca="false">IF($O241="","",$O241*CARBON_FRACTION_BIOMASS)</f>
        <v/>
      </c>
      <c r="Q241" s="14" t="str">
        <f aca="false">IF(AND($A241="",$C241=""),"",IF(AND($A241&lt;&gt;"",COUNTIF('1. Plot &amp; Site Log'!$A$5:$A$64,$A241)=0),"Plot ID not in Plot &amp; Site Log — this tree will not reach the summary. ","")&amp;IF($A241="","No Plot ID. ","")&amp;IF(AND($C241&lt;&gt;"",$F241=""),"Species not in the coefficient list — check the spelling against R1. ","")&amp;IF($D241="","No DBH — nothing can be calculated. ","")&amp;IF(AND($D241&lt;&gt;"",$D241&gt;QC_DBH_MAX_CM),"DBH above "&amp;QC_DBH_MAX_CM&amp;" cm — check for a transcription error. ","")&amp;IF($M241="All","Generic species: no published root:shoot applies, so below-ground biomass is the mean of the deciduous and conifer relationships. Choose a species, or Deciduous/Conifers, if you can. ","")&amp;IF(AND($O241&lt;&gt;"",$O241&gt;0,OR($N241/$O241&lt;BGB_FRACTION_MIN,$N241/$O241&gt;BGB_FRACTION_MAX)),"Below-ground share is "&amp;TEXT($N241/$O241,"0%")&amp;", outside the 18–30% the Trees guide describes. ",""))</f>
        <v/>
      </c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4" t="str">
        <f aca="false">IF($C242="","",IFERROR(12+(MATCH($C242,'R1. Tree Coefficients'!$L$12:$L$53,0)-1)*4,""))</f>
        <v/>
      </c>
      <c r="G242" s="14" t="str">
        <f aca="false">IF($F242="","",IF(AND($E242&lt;&gt;"",$E242&gt;0),"DBH + height","DBH only"))</f>
        <v/>
      </c>
      <c r="H242" s="14" t="str">
        <f aca="false">IF(OR($D242="",$F242=""),"",IF($E242&gt;0,INDEX('R1. Tree Coefficients'!$F:$F,$F242+0)*($D242^INDEX('R1. Tree Coefficients'!$G:$G,$F242+0))*($E242^INDEX('R1. Tree Coefficients'!$H:$H,$F242+0)),INDEX('R1. Tree Coefficients'!$D:$D,$F242+0)*($D242^INDEX('R1. Tree Coefficients'!$E:$E,$F242+0))))</f>
        <v/>
      </c>
      <c r="I242" s="14" t="str">
        <f aca="false">IF(OR($D242="",$F242=""),"",IF($E242&gt;0,INDEX('R1. Tree Coefficients'!$F:$F,$F242+1)*($D242^INDEX('R1. Tree Coefficients'!$G:$G,$F242+1))*($E242^INDEX('R1. Tree Coefficients'!$H:$H,$F242+1)),INDEX('R1. Tree Coefficients'!$D:$D,$F242+1)*($D242^INDEX('R1. Tree Coefficients'!$E:$E,$F242+1))))</f>
        <v/>
      </c>
      <c r="J242" s="14" t="str">
        <f aca="false">IF(OR($D242="",$F242=""),"",IF($E242&gt;0,INDEX('R1. Tree Coefficients'!$F:$F,$F242+2)*($D242^INDEX('R1. Tree Coefficients'!$G:$G,$F242+2))*($E242^INDEX('R1. Tree Coefficients'!$H:$H,$F242+2)),INDEX('R1. Tree Coefficients'!$D:$D,$F242+2)*($D242^INDEX('R1. Tree Coefficients'!$E:$E,$F242+2))))</f>
        <v/>
      </c>
      <c r="K242" s="14" t="str">
        <f aca="false">IF(OR($D242="",$F242=""),"",IF($E242&gt;0,INDEX('R1. Tree Coefficients'!$F:$F,$F242+3)*($D242^INDEX('R1. Tree Coefficients'!$G:$G,$F242+3))*($E242^INDEX('R1. Tree Coefficients'!$H:$H,$F242+3)),INDEX('R1. Tree Coefficients'!$D:$D,$F242+3)*($D242^INDEX('R1. Tree Coefficients'!$E:$E,$F242+3))))</f>
        <v/>
      </c>
      <c r="L242" s="14" t="str">
        <f aca="false">IF($F242="","",IFERROR(SUM($H242:$K242),""))</f>
        <v/>
      </c>
      <c r="M242" s="14" t="str">
        <f aca="false">IF($F242="","",INDEX('R1. Tree Coefficients'!$J:$J,$F242))</f>
        <v/>
      </c>
      <c r="N242" s="14" t="str">
        <f aca="false">IF($L242="","",IF($M242="Deciduous",BGB_RS_DECIDUOUS_a*($L242^BGB_RS_DECIDUOUS_b),IF($M242="Conifers",BGB_RS_CONIFER*$L242,AVERAGE(BGB_RS_DECIDUOUS_a*($L242^BGB_RS_DECIDUOUS_b),BGB_RS_CONIFER*$L242))))</f>
        <v/>
      </c>
      <c r="O242" s="14" t="str">
        <f aca="false">IF($L242="","",$L242+$N242)</f>
        <v/>
      </c>
      <c r="P242" s="14" t="str">
        <f aca="false">IF($O242="","",$O242*CARBON_FRACTION_BIOMASS)</f>
        <v/>
      </c>
      <c r="Q242" s="14" t="str">
        <f aca="false">IF(AND($A242="",$C242=""),"",IF(AND($A242&lt;&gt;"",COUNTIF('1. Plot &amp; Site Log'!$A$5:$A$64,$A242)=0),"Plot ID not in Plot &amp; Site Log — this tree will not reach the summary. ","")&amp;IF($A242="","No Plot ID. ","")&amp;IF(AND($C242&lt;&gt;"",$F242=""),"Species not in the coefficient list — check the spelling against R1. ","")&amp;IF($D242="","No DBH — nothing can be calculated. ","")&amp;IF(AND($D242&lt;&gt;"",$D242&gt;QC_DBH_MAX_CM),"DBH above "&amp;QC_DBH_MAX_CM&amp;" cm — check for a transcription error. ","")&amp;IF($M242="All","Generic species: no published root:shoot applies, so below-ground biomass is the mean of the deciduous and conifer relationships. Choose a species, or Deciduous/Conifers, if you can. ","")&amp;IF(AND($O242&lt;&gt;"",$O242&gt;0,OR($N242/$O242&lt;BGB_FRACTION_MIN,$N242/$O242&gt;BGB_FRACTION_MAX)),"Below-ground share is "&amp;TEXT($N242/$O242,"0%")&amp;", outside the 18–30% the Trees guide describes. ",""))</f>
        <v/>
      </c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4" t="str">
        <f aca="false">IF($C243="","",IFERROR(12+(MATCH($C243,'R1. Tree Coefficients'!$L$12:$L$53,0)-1)*4,""))</f>
        <v/>
      </c>
      <c r="G243" s="14" t="str">
        <f aca="false">IF($F243="","",IF(AND($E243&lt;&gt;"",$E243&gt;0),"DBH + height","DBH only"))</f>
        <v/>
      </c>
      <c r="H243" s="14" t="str">
        <f aca="false">IF(OR($D243="",$F243=""),"",IF($E243&gt;0,INDEX('R1. Tree Coefficients'!$F:$F,$F243+0)*($D243^INDEX('R1. Tree Coefficients'!$G:$G,$F243+0))*($E243^INDEX('R1. Tree Coefficients'!$H:$H,$F243+0)),INDEX('R1. Tree Coefficients'!$D:$D,$F243+0)*($D243^INDEX('R1. Tree Coefficients'!$E:$E,$F243+0))))</f>
        <v/>
      </c>
      <c r="I243" s="14" t="str">
        <f aca="false">IF(OR($D243="",$F243=""),"",IF($E243&gt;0,INDEX('R1. Tree Coefficients'!$F:$F,$F243+1)*($D243^INDEX('R1. Tree Coefficients'!$G:$G,$F243+1))*($E243^INDEX('R1. Tree Coefficients'!$H:$H,$F243+1)),INDEX('R1. Tree Coefficients'!$D:$D,$F243+1)*($D243^INDEX('R1. Tree Coefficients'!$E:$E,$F243+1))))</f>
        <v/>
      </c>
      <c r="J243" s="14" t="str">
        <f aca="false">IF(OR($D243="",$F243=""),"",IF($E243&gt;0,INDEX('R1. Tree Coefficients'!$F:$F,$F243+2)*($D243^INDEX('R1. Tree Coefficients'!$G:$G,$F243+2))*($E243^INDEX('R1. Tree Coefficients'!$H:$H,$F243+2)),INDEX('R1. Tree Coefficients'!$D:$D,$F243+2)*($D243^INDEX('R1. Tree Coefficients'!$E:$E,$F243+2))))</f>
        <v/>
      </c>
      <c r="K243" s="14" t="str">
        <f aca="false">IF(OR($D243="",$F243=""),"",IF($E243&gt;0,INDEX('R1. Tree Coefficients'!$F:$F,$F243+3)*($D243^INDEX('R1. Tree Coefficients'!$G:$G,$F243+3))*($E243^INDEX('R1. Tree Coefficients'!$H:$H,$F243+3)),INDEX('R1. Tree Coefficients'!$D:$D,$F243+3)*($D243^INDEX('R1. Tree Coefficients'!$E:$E,$F243+3))))</f>
        <v/>
      </c>
      <c r="L243" s="14" t="str">
        <f aca="false">IF($F243="","",IFERROR(SUM($H243:$K243),""))</f>
        <v/>
      </c>
      <c r="M243" s="14" t="str">
        <f aca="false">IF($F243="","",INDEX('R1. Tree Coefficients'!$J:$J,$F243))</f>
        <v/>
      </c>
      <c r="N243" s="14" t="str">
        <f aca="false">IF($L243="","",IF($M243="Deciduous",BGB_RS_DECIDUOUS_a*($L243^BGB_RS_DECIDUOUS_b),IF($M243="Conifers",BGB_RS_CONIFER*$L243,AVERAGE(BGB_RS_DECIDUOUS_a*($L243^BGB_RS_DECIDUOUS_b),BGB_RS_CONIFER*$L243))))</f>
        <v/>
      </c>
      <c r="O243" s="14" t="str">
        <f aca="false">IF($L243="","",$L243+$N243)</f>
        <v/>
      </c>
      <c r="P243" s="14" t="str">
        <f aca="false">IF($O243="","",$O243*CARBON_FRACTION_BIOMASS)</f>
        <v/>
      </c>
      <c r="Q243" s="14" t="str">
        <f aca="false">IF(AND($A243="",$C243=""),"",IF(AND($A243&lt;&gt;"",COUNTIF('1. Plot &amp; Site Log'!$A$5:$A$64,$A243)=0),"Plot ID not in Plot &amp; Site Log — this tree will not reach the summary. ","")&amp;IF($A243="","No Plot ID. ","")&amp;IF(AND($C243&lt;&gt;"",$F243=""),"Species not in the coefficient list — check the spelling against R1. ","")&amp;IF($D243="","No DBH — nothing can be calculated. ","")&amp;IF(AND($D243&lt;&gt;"",$D243&gt;QC_DBH_MAX_CM),"DBH above "&amp;QC_DBH_MAX_CM&amp;" cm — check for a transcription error. ","")&amp;IF($M243="All","Generic species: no published root:shoot applies, so below-ground biomass is the mean of the deciduous and conifer relationships. Choose a species, or Deciduous/Conifers, if you can. ","")&amp;IF(AND($O243&lt;&gt;"",$O243&gt;0,OR($N243/$O243&lt;BGB_FRACTION_MIN,$N243/$O243&gt;BGB_FRACTION_MAX)),"Below-ground share is "&amp;TEXT($N243/$O243,"0%")&amp;", outside the 18–30% the Trees guide describes. ",""))</f>
        <v/>
      </c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4" t="str">
        <f aca="false">IF($C244="","",IFERROR(12+(MATCH($C244,'R1. Tree Coefficients'!$L$12:$L$53,0)-1)*4,""))</f>
        <v/>
      </c>
      <c r="G244" s="14" t="str">
        <f aca="false">IF($F244="","",IF(AND($E244&lt;&gt;"",$E244&gt;0),"DBH + height","DBH only"))</f>
        <v/>
      </c>
      <c r="H244" s="14" t="str">
        <f aca="false">IF(OR($D244="",$F244=""),"",IF($E244&gt;0,INDEX('R1. Tree Coefficients'!$F:$F,$F244+0)*($D244^INDEX('R1. Tree Coefficients'!$G:$G,$F244+0))*($E244^INDEX('R1. Tree Coefficients'!$H:$H,$F244+0)),INDEX('R1. Tree Coefficients'!$D:$D,$F244+0)*($D244^INDEX('R1. Tree Coefficients'!$E:$E,$F244+0))))</f>
        <v/>
      </c>
      <c r="I244" s="14" t="str">
        <f aca="false">IF(OR($D244="",$F244=""),"",IF($E244&gt;0,INDEX('R1. Tree Coefficients'!$F:$F,$F244+1)*($D244^INDEX('R1. Tree Coefficients'!$G:$G,$F244+1))*($E244^INDEX('R1. Tree Coefficients'!$H:$H,$F244+1)),INDEX('R1. Tree Coefficients'!$D:$D,$F244+1)*($D244^INDEX('R1. Tree Coefficients'!$E:$E,$F244+1))))</f>
        <v/>
      </c>
      <c r="J244" s="14" t="str">
        <f aca="false">IF(OR($D244="",$F244=""),"",IF($E244&gt;0,INDEX('R1. Tree Coefficients'!$F:$F,$F244+2)*($D244^INDEX('R1. Tree Coefficients'!$G:$G,$F244+2))*($E244^INDEX('R1. Tree Coefficients'!$H:$H,$F244+2)),INDEX('R1. Tree Coefficients'!$D:$D,$F244+2)*($D244^INDEX('R1. Tree Coefficients'!$E:$E,$F244+2))))</f>
        <v/>
      </c>
      <c r="K244" s="14" t="str">
        <f aca="false">IF(OR($D244="",$F244=""),"",IF($E244&gt;0,INDEX('R1. Tree Coefficients'!$F:$F,$F244+3)*($D244^INDEX('R1. Tree Coefficients'!$G:$G,$F244+3))*($E244^INDEX('R1. Tree Coefficients'!$H:$H,$F244+3)),INDEX('R1. Tree Coefficients'!$D:$D,$F244+3)*($D244^INDEX('R1. Tree Coefficients'!$E:$E,$F244+3))))</f>
        <v/>
      </c>
      <c r="L244" s="14" t="str">
        <f aca="false">IF($F244="","",IFERROR(SUM($H244:$K244),""))</f>
        <v/>
      </c>
      <c r="M244" s="14" t="str">
        <f aca="false">IF($F244="","",INDEX('R1. Tree Coefficients'!$J:$J,$F244))</f>
        <v/>
      </c>
      <c r="N244" s="14" t="str">
        <f aca="false">IF($L244="","",IF($M244="Deciduous",BGB_RS_DECIDUOUS_a*($L244^BGB_RS_DECIDUOUS_b),IF($M244="Conifers",BGB_RS_CONIFER*$L244,AVERAGE(BGB_RS_DECIDUOUS_a*($L244^BGB_RS_DECIDUOUS_b),BGB_RS_CONIFER*$L244))))</f>
        <v/>
      </c>
      <c r="O244" s="14" t="str">
        <f aca="false">IF($L244="","",$L244+$N244)</f>
        <v/>
      </c>
      <c r="P244" s="14" t="str">
        <f aca="false">IF($O244="","",$O244*CARBON_FRACTION_BIOMASS)</f>
        <v/>
      </c>
      <c r="Q244" s="14" t="str">
        <f aca="false">IF(AND($A244="",$C244=""),"",IF(AND($A244&lt;&gt;"",COUNTIF('1. Plot &amp; Site Log'!$A$5:$A$64,$A244)=0),"Plot ID not in Plot &amp; Site Log — this tree will not reach the summary. ","")&amp;IF($A244="","No Plot ID. ","")&amp;IF(AND($C244&lt;&gt;"",$F244=""),"Species not in the coefficient list — check the spelling against R1. ","")&amp;IF($D244="","No DBH — nothing can be calculated. ","")&amp;IF(AND($D244&lt;&gt;"",$D244&gt;QC_DBH_MAX_CM),"DBH above "&amp;QC_DBH_MAX_CM&amp;" cm — check for a transcription error. ","")&amp;IF($M244="All","Generic species: no published root:shoot applies, so below-ground biomass is the mean of the deciduous and conifer relationships. Choose a species, or Deciduous/Conifers, if you can. ","")&amp;IF(AND($O244&lt;&gt;"",$O244&gt;0,OR($N244/$O244&lt;BGB_FRACTION_MIN,$N244/$O244&gt;BGB_FRACTION_MAX)),"Below-ground share is "&amp;TEXT($N244/$O244,"0%")&amp;", outside the 18–30% the Trees guide describes. ",""))</f>
        <v/>
      </c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4" t="str">
        <f aca="false">IF($C245="","",IFERROR(12+(MATCH($C245,'R1. Tree Coefficients'!$L$12:$L$53,0)-1)*4,""))</f>
        <v/>
      </c>
      <c r="G245" s="14" t="str">
        <f aca="false">IF($F245="","",IF(AND($E245&lt;&gt;"",$E245&gt;0),"DBH + height","DBH only"))</f>
        <v/>
      </c>
      <c r="H245" s="14" t="str">
        <f aca="false">IF(OR($D245="",$F245=""),"",IF($E245&gt;0,INDEX('R1. Tree Coefficients'!$F:$F,$F245+0)*($D245^INDEX('R1. Tree Coefficients'!$G:$G,$F245+0))*($E245^INDEX('R1. Tree Coefficients'!$H:$H,$F245+0)),INDEX('R1. Tree Coefficients'!$D:$D,$F245+0)*($D245^INDEX('R1. Tree Coefficients'!$E:$E,$F245+0))))</f>
        <v/>
      </c>
      <c r="I245" s="14" t="str">
        <f aca="false">IF(OR($D245="",$F245=""),"",IF($E245&gt;0,INDEX('R1. Tree Coefficients'!$F:$F,$F245+1)*($D245^INDEX('R1. Tree Coefficients'!$G:$G,$F245+1))*($E245^INDEX('R1. Tree Coefficients'!$H:$H,$F245+1)),INDEX('R1. Tree Coefficients'!$D:$D,$F245+1)*($D245^INDEX('R1. Tree Coefficients'!$E:$E,$F245+1))))</f>
        <v/>
      </c>
      <c r="J245" s="14" t="str">
        <f aca="false">IF(OR($D245="",$F245=""),"",IF($E245&gt;0,INDEX('R1. Tree Coefficients'!$F:$F,$F245+2)*($D245^INDEX('R1. Tree Coefficients'!$G:$G,$F245+2))*($E245^INDEX('R1. Tree Coefficients'!$H:$H,$F245+2)),INDEX('R1. Tree Coefficients'!$D:$D,$F245+2)*($D245^INDEX('R1. Tree Coefficients'!$E:$E,$F245+2))))</f>
        <v/>
      </c>
      <c r="K245" s="14" t="str">
        <f aca="false">IF(OR($D245="",$F245=""),"",IF($E245&gt;0,INDEX('R1. Tree Coefficients'!$F:$F,$F245+3)*($D245^INDEX('R1. Tree Coefficients'!$G:$G,$F245+3))*($E245^INDEX('R1. Tree Coefficients'!$H:$H,$F245+3)),INDEX('R1. Tree Coefficients'!$D:$D,$F245+3)*($D245^INDEX('R1. Tree Coefficients'!$E:$E,$F245+3))))</f>
        <v/>
      </c>
      <c r="L245" s="14" t="str">
        <f aca="false">IF($F245="","",IFERROR(SUM($H245:$K245),""))</f>
        <v/>
      </c>
      <c r="M245" s="14" t="str">
        <f aca="false">IF($F245="","",INDEX('R1. Tree Coefficients'!$J:$J,$F245))</f>
        <v/>
      </c>
      <c r="N245" s="14" t="str">
        <f aca="false">IF($L245="","",IF($M245="Deciduous",BGB_RS_DECIDUOUS_a*($L245^BGB_RS_DECIDUOUS_b),IF($M245="Conifers",BGB_RS_CONIFER*$L245,AVERAGE(BGB_RS_DECIDUOUS_a*($L245^BGB_RS_DECIDUOUS_b),BGB_RS_CONIFER*$L245))))</f>
        <v/>
      </c>
      <c r="O245" s="14" t="str">
        <f aca="false">IF($L245="","",$L245+$N245)</f>
        <v/>
      </c>
      <c r="P245" s="14" t="str">
        <f aca="false">IF($O245="","",$O245*CARBON_FRACTION_BIOMASS)</f>
        <v/>
      </c>
      <c r="Q245" s="14" t="str">
        <f aca="false">IF(AND($A245="",$C245=""),"",IF(AND($A245&lt;&gt;"",COUNTIF('1. Plot &amp; Site Log'!$A$5:$A$64,$A245)=0),"Plot ID not in Plot &amp; Site Log — this tree will not reach the summary. ","")&amp;IF($A245="","No Plot ID. ","")&amp;IF(AND($C245&lt;&gt;"",$F245=""),"Species not in the coefficient list — check the spelling against R1. ","")&amp;IF($D245="","No DBH — nothing can be calculated. ","")&amp;IF(AND($D245&lt;&gt;"",$D245&gt;QC_DBH_MAX_CM),"DBH above "&amp;QC_DBH_MAX_CM&amp;" cm — check for a transcription error. ","")&amp;IF($M245="All","Generic species: no published root:shoot applies, so below-ground biomass is the mean of the deciduous and conifer relationships. Choose a species, or Deciduous/Conifers, if you can. ","")&amp;IF(AND($O245&lt;&gt;"",$O245&gt;0,OR($N245/$O245&lt;BGB_FRACTION_MIN,$N245/$O245&gt;BGB_FRACTION_MAX)),"Below-ground share is "&amp;TEXT($N245/$O245,"0%")&amp;", outside the 18–30% the Trees guide describes. ",""))</f>
        <v/>
      </c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4" t="str">
        <f aca="false">IF($C246="","",IFERROR(12+(MATCH($C246,'R1. Tree Coefficients'!$L$12:$L$53,0)-1)*4,""))</f>
        <v/>
      </c>
      <c r="G246" s="14" t="str">
        <f aca="false">IF($F246="","",IF(AND($E246&lt;&gt;"",$E246&gt;0),"DBH + height","DBH only"))</f>
        <v/>
      </c>
      <c r="H246" s="14" t="str">
        <f aca="false">IF(OR($D246="",$F246=""),"",IF($E246&gt;0,INDEX('R1. Tree Coefficients'!$F:$F,$F246+0)*($D246^INDEX('R1. Tree Coefficients'!$G:$G,$F246+0))*($E246^INDEX('R1. Tree Coefficients'!$H:$H,$F246+0)),INDEX('R1. Tree Coefficients'!$D:$D,$F246+0)*($D246^INDEX('R1. Tree Coefficients'!$E:$E,$F246+0))))</f>
        <v/>
      </c>
      <c r="I246" s="14" t="str">
        <f aca="false">IF(OR($D246="",$F246=""),"",IF($E246&gt;0,INDEX('R1. Tree Coefficients'!$F:$F,$F246+1)*($D246^INDEX('R1. Tree Coefficients'!$G:$G,$F246+1))*($E246^INDEX('R1. Tree Coefficients'!$H:$H,$F246+1)),INDEX('R1. Tree Coefficients'!$D:$D,$F246+1)*($D246^INDEX('R1. Tree Coefficients'!$E:$E,$F246+1))))</f>
        <v/>
      </c>
      <c r="J246" s="14" t="str">
        <f aca="false">IF(OR($D246="",$F246=""),"",IF($E246&gt;0,INDEX('R1. Tree Coefficients'!$F:$F,$F246+2)*($D246^INDEX('R1. Tree Coefficients'!$G:$G,$F246+2))*($E246^INDEX('R1. Tree Coefficients'!$H:$H,$F246+2)),INDEX('R1. Tree Coefficients'!$D:$D,$F246+2)*($D246^INDEX('R1. Tree Coefficients'!$E:$E,$F246+2))))</f>
        <v/>
      </c>
      <c r="K246" s="14" t="str">
        <f aca="false">IF(OR($D246="",$F246=""),"",IF($E246&gt;0,INDEX('R1. Tree Coefficients'!$F:$F,$F246+3)*($D246^INDEX('R1. Tree Coefficients'!$G:$G,$F246+3))*($E246^INDEX('R1. Tree Coefficients'!$H:$H,$F246+3)),INDEX('R1. Tree Coefficients'!$D:$D,$F246+3)*($D246^INDEX('R1. Tree Coefficients'!$E:$E,$F246+3))))</f>
        <v/>
      </c>
      <c r="L246" s="14" t="str">
        <f aca="false">IF($F246="","",IFERROR(SUM($H246:$K246),""))</f>
        <v/>
      </c>
      <c r="M246" s="14" t="str">
        <f aca="false">IF($F246="","",INDEX('R1. Tree Coefficients'!$J:$J,$F246))</f>
        <v/>
      </c>
      <c r="N246" s="14" t="str">
        <f aca="false">IF($L246="","",IF($M246="Deciduous",BGB_RS_DECIDUOUS_a*($L246^BGB_RS_DECIDUOUS_b),IF($M246="Conifers",BGB_RS_CONIFER*$L246,AVERAGE(BGB_RS_DECIDUOUS_a*($L246^BGB_RS_DECIDUOUS_b),BGB_RS_CONIFER*$L246))))</f>
        <v/>
      </c>
      <c r="O246" s="14" t="str">
        <f aca="false">IF($L246="","",$L246+$N246)</f>
        <v/>
      </c>
      <c r="P246" s="14" t="str">
        <f aca="false">IF($O246="","",$O246*CARBON_FRACTION_BIOMASS)</f>
        <v/>
      </c>
      <c r="Q246" s="14" t="str">
        <f aca="false">IF(AND($A246="",$C246=""),"",IF(AND($A246&lt;&gt;"",COUNTIF('1. Plot &amp; Site Log'!$A$5:$A$64,$A246)=0),"Plot ID not in Plot &amp; Site Log — this tree will not reach the summary. ","")&amp;IF($A246="","No Plot ID. ","")&amp;IF(AND($C246&lt;&gt;"",$F246=""),"Species not in the coefficient list — check the spelling against R1. ","")&amp;IF($D246="","No DBH — nothing can be calculated. ","")&amp;IF(AND($D246&lt;&gt;"",$D246&gt;QC_DBH_MAX_CM),"DBH above "&amp;QC_DBH_MAX_CM&amp;" cm — check for a transcription error. ","")&amp;IF($M246="All","Generic species: no published root:shoot applies, so below-ground biomass is the mean of the deciduous and conifer relationships. Choose a species, or Deciduous/Conifers, if you can. ","")&amp;IF(AND($O246&lt;&gt;"",$O246&gt;0,OR($N246/$O246&lt;BGB_FRACTION_MIN,$N246/$O246&gt;BGB_FRACTION_MAX)),"Below-ground share is "&amp;TEXT($N246/$O246,"0%")&amp;", outside the 18–30% the Trees guide describes. ",""))</f>
        <v/>
      </c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4" t="str">
        <f aca="false">IF($C247="","",IFERROR(12+(MATCH($C247,'R1. Tree Coefficients'!$L$12:$L$53,0)-1)*4,""))</f>
        <v/>
      </c>
      <c r="G247" s="14" t="str">
        <f aca="false">IF($F247="","",IF(AND($E247&lt;&gt;"",$E247&gt;0),"DBH + height","DBH only"))</f>
        <v/>
      </c>
      <c r="H247" s="14" t="str">
        <f aca="false">IF(OR($D247="",$F247=""),"",IF($E247&gt;0,INDEX('R1. Tree Coefficients'!$F:$F,$F247+0)*($D247^INDEX('R1. Tree Coefficients'!$G:$G,$F247+0))*($E247^INDEX('R1. Tree Coefficients'!$H:$H,$F247+0)),INDEX('R1. Tree Coefficients'!$D:$D,$F247+0)*($D247^INDEX('R1. Tree Coefficients'!$E:$E,$F247+0))))</f>
        <v/>
      </c>
      <c r="I247" s="14" t="str">
        <f aca="false">IF(OR($D247="",$F247=""),"",IF($E247&gt;0,INDEX('R1. Tree Coefficients'!$F:$F,$F247+1)*($D247^INDEX('R1. Tree Coefficients'!$G:$G,$F247+1))*($E247^INDEX('R1. Tree Coefficients'!$H:$H,$F247+1)),INDEX('R1. Tree Coefficients'!$D:$D,$F247+1)*($D247^INDEX('R1. Tree Coefficients'!$E:$E,$F247+1))))</f>
        <v/>
      </c>
      <c r="J247" s="14" t="str">
        <f aca="false">IF(OR($D247="",$F247=""),"",IF($E247&gt;0,INDEX('R1. Tree Coefficients'!$F:$F,$F247+2)*($D247^INDEX('R1. Tree Coefficients'!$G:$G,$F247+2))*($E247^INDEX('R1. Tree Coefficients'!$H:$H,$F247+2)),INDEX('R1. Tree Coefficients'!$D:$D,$F247+2)*($D247^INDEX('R1. Tree Coefficients'!$E:$E,$F247+2))))</f>
        <v/>
      </c>
      <c r="K247" s="14" t="str">
        <f aca="false">IF(OR($D247="",$F247=""),"",IF($E247&gt;0,INDEX('R1. Tree Coefficients'!$F:$F,$F247+3)*($D247^INDEX('R1. Tree Coefficients'!$G:$G,$F247+3))*($E247^INDEX('R1. Tree Coefficients'!$H:$H,$F247+3)),INDEX('R1. Tree Coefficients'!$D:$D,$F247+3)*($D247^INDEX('R1. Tree Coefficients'!$E:$E,$F247+3))))</f>
        <v/>
      </c>
      <c r="L247" s="14" t="str">
        <f aca="false">IF($F247="","",IFERROR(SUM($H247:$K247),""))</f>
        <v/>
      </c>
      <c r="M247" s="14" t="str">
        <f aca="false">IF($F247="","",INDEX('R1. Tree Coefficients'!$J:$J,$F247))</f>
        <v/>
      </c>
      <c r="N247" s="14" t="str">
        <f aca="false">IF($L247="","",IF($M247="Deciduous",BGB_RS_DECIDUOUS_a*($L247^BGB_RS_DECIDUOUS_b),IF($M247="Conifers",BGB_RS_CONIFER*$L247,AVERAGE(BGB_RS_DECIDUOUS_a*($L247^BGB_RS_DECIDUOUS_b),BGB_RS_CONIFER*$L247))))</f>
        <v/>
      </c>
      <c r="O247" s="14" t="str">
        <f aca="false">IF($L247="","",$L247+$N247)</f>
        <v/>
      </c>
      <c r="P247" s="14" t="str">
        <f aca="false">IF($O247="","",$O247*CARBON_FRACTION_BIOMASS)</f>
        <v/>
      </c>
      <c r="Q247" s="14" t="str">
        <f aca="false">IF(AND($A247="",$C247=""),"",IF(AND($A247&lt;&gt;"",COUNTIF('1. Plot &amp; Site Log'!$A$5:$A$64,$A247)=0),"Plot ID not in Plot &amp; Site Log — this tree will not reach the summary. ","")&amp;IF($A247="","No Plot ID. ","")&amp;IF(AND($C247&lt;&gt;"",$F247=""),"Species not in the coefficient list — check the spelling against R1. ","")&amp;IF($D247="","No DBH — nothing can be calculated. ","")&amp;IF(AND($D247&lt;&gt;"",$D247&gt;QC_DBH_MAX_CM),"DBH above "&amp;QC_DBH_MAX_CM&amp;" cm — check for a transcription error. ","")&amp;IF($M247="All","Generic species: no published root:shoot applies, so below-ground biomass is the mean of the deciduous and conifer relationships. Choose a species, or Deciduous/Conifers, if you can. ","")&amp;IF(AND($O247&lt;&gt;"",$O247&gt;0,OR($N247/$O247&lt;BGB_FRACTION_MIN,$N247/$O247&gt;BGB_FRACTION_MAX)),"Below-ground share is "&amp;TEXT($N247/$O247,"0%")&amp;", outside the 18–30% the Trees guide describes. ",""))</f>
        <v/>
      </c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4" t="str">
        <f aca="false">IF($C248="","",IFERROR(12+(MATCH($C248,'R1. Tree Coefficients'!$L$12:$L$53,0)-1)*4,""))</f>
        <v/>
      </c>
      <c r="G248" s="14" t="str">
        <f aca="false">IF($F248="","",IF(AND($E248&lt;&gt;"",$E248&gt;0),"DBH + height","DBH only"))</f>
        <v/>
      </c>
      <c r="H248" s="14" t="str">
        <f aca="false">IF(OR($D248="",$F248=""),"",IF($E248&gt;0,INDEX('R1. Tree Coefficients'!$F:$F,$F248+0)*($D248^INDEX('R1. Tree Coefficients'!$G:$G,$F248+0))*($E248^INDEX('R1. Tree Coefficients'!$H:$H,$F248+0)),INDEX('R1. Tree Coefficients'!$D:$D,$F248+0)*($D248^INDEX('R1. Tree Coefficients'!$E:$E,$F248+0))))</f>
        <v/>
      </c>
      <c r="I248" s="14" t="str">
        <f aca="false">IF(OR($D248="",$F248=""),"",IF($E248&gt;0,INDEX('R1. Tree Coefficients'!$F:$F,$F248+1)*($D248^INDEX('R1. Tree Coefficients'!$G:$G,$F248+1))*($E248^INDEX('R1. Tree Coefficients'!$H:$H,$F248+1)),INDEX('R1. Tree Coefficients'!$D:$D,$F248+1)*($D248^INDEX('R1. Tree Coefficients'!$E:$E,$F248+1))))</f>
        <v/>
      </c>
      <c r="J248" s="14" t="str">
        <f aca="false">IF(OR($D248="",$F248=""),"",IF($E248&gt;0,INDEX('R1. Tree Coefficients'!$F:$F,$F248+2)*($D248^INDEX('R1. Tree Coefficients'!$G:$G,$F248+2))*($E248^INDEX('R1. Tree Coefficients'!$H:$H,$F248+2)),INDEX('R1. Tree Coefficients'!$D:$D,$F248+2)*($D248^INDEX('R1. Tree Coefficients'!$E:$E,$F248+2))))</f>
        <v/>
      </c>
      <c r="K248" s="14" t="str">
        <f aca="false">IF(OR($D248="",$F248=""),"",IF($E248&gt;0,INDEX('R1. Tree Coefficients'!$F:$F,$F248+3)*($D248^INDEX('R1. Tree Coefficients'!$G:$G,$F248+3))*($E248^INDEX('R1. Tree Coefficients'!$H:$H,$F248+3)),INDEX('R1. Tree Coefficients'!$D:$D,$F248+3)*($D248^INDEX('R1. Tree Coefficients'!$E:$E,$F248+3))))</f>
        <v/>
      </c>
      <c r="L248" s="14" t="str">
        <f aca="false">IF($F248="","",IFERROR(SUM($H248:$K248),""))</f>
        <v/>
      </c>
      <c r="M248" s="14" t="str">
        <f aca="false">IF($F248="","",INDEX('R1. Tree Coefficients'!$J:$J,$F248))</f>
        <v/>
      </c>
      <c r="N248" s="14" t="str">
        <f aca="false">IF($L248="","",IF($M248="Deciduous",BGB_RS_DECIDUOUS_a*($L248^BGB_RS_DECIDUOUS_b),IF($M248="Conifers",BGB_RS_CONIFER*$L248,AVERAGE(BGB_RS_DECIDUOUS_a*($L248^BGB_RS_DECIDUOUS_b),BGB_RS_CONIFER*$L248))))</f>
        <v/>
      </c>
      <c r="O248" s="14" t="str">
        <f aca="false">IF($L248="","",$L248+$N248)</f>
        <v/>
      </c>
      <c r="P248" s="14" t="str">
        <f aca="false">IF($O248="","",$O248*CARBON_FRACTION_BIOMASS)</f>
        <v/>
      </c>
      <c r="Q248" s="14" t="str">
        <f aca="false">IF(AND($A248="",$C248=""),"",IF(AND($A248&lt;&gt;"",COUNTIF('1. Plot &amp; Site Log'!$A$5:$A$64,$A248)=0),"Plot ID not in Plot &amp; Site Log — this tree will not reach the summary. ","")&amp;IF($A248="","No Plot ID. ","")&amp;IF(AND($C248&lt;&gt;"",$F248=""),"Species not in the coefficient list — check the spelling against R1. ","")&amp;IF($D248="","No DBH — nothing can be calculated. ","")&amp;IF(AND($D248&lt;&gt;"",$D248&gt;QC_DBH_MAX_CM),"DBH above "&amp;QC_DBH_MAX_CM&amp;" cm — check for a transcription error. ","")&amp;IF($M248="All","Generic species: no published root:shoot applies, so below-ground biomass is the mean of the deciduous and conifer relationships. Choose a species, or Deciduous/Conifers, if you can. ","")&amp;IF(AND($O248&lt;&gt;"",$O248&gt;0,OR($N248/$O248&lt;BGB_FRACTION_MIN,$N248/$O248&gt;BGB_FRACTION_MAX)),"Below-ground share is "&amp;TEXT($N248/$O248,"0%")&amp;", outside the 18–30% the Trees guide describes. ",""))</f>
        <v/>
      </c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4" t="str">
        <f aca="false">IF($C249="","",IFERROR(12+(MATCH($C249,'R1. Tree Coefficients'!$L$12:$L$53,0)-1)*4,""))</f>
        <v/>
      </c>
      <c r="G249" s="14" t="str">
        <f aca="false">IF($F249="","",IF(AND($E249&lt;&gt;"",$E249&gt;0),"DBH + height","DBH only"))</f>
        <v/>
      </c>
      <c r="H249" s="14" t="str">
        <f aca="false">IF(OR($D249="",$F249=""),"",IF($E249&gt;0,INDEX('R1. Tree Coefficients'!$F:$F,$F249+0)*($D249^INDEX('R1. Tree Coefficients'!$G:$G,$F249+0))*($E249^INDEX('R1. Tree Coefficients'!$H:$H,$F249+0)),INDEX('R1. Tree Coefficients'!$D:$D,$F249+0)*($D249^INDEX('R1. Tree Coefficients'!$E:$E,$F249+0))))</f>
        <v/>
      </c>
      <c r="I249" s="14" t="str">
        <f aca="false">IF(OR($D249="",$F249=""),"",IF($E249&gt;0,INDEX('R1. Tree Coefficients'!$F:$F,$F249+1)*($D249^INDEX('R1. Tree Coefficients'!$G:$G,$F249+1))*($E249^INDEX('R1. Tree Coefficients'!$H:$H,$F249+1)),INDEX('R1. Tree Coefficients'!$D:$D,$F249+1)*($D249^INDEX('R1. Tree Coefficients'!$E:$E,$F249+1))))</f>
        <v/>
      </c>
      <c r="J249" s="14" t="str">
        <f aca="false">IF(OR($D249="",$F249=""),"",IF($E249&gt;0,INDEX('R1. Tree Coefficients'!$F:$F,$F249+2)*($D249^INDEX('R1. Tree Coefficients'!$G:$G,$F249+2))*($E249^INDEX('R1. Tree Coefficients'!$H:$H,$F249+2)),INDEX('R1. Tree Coefficients'!$D:$D,$F249+2)*($D249^INDEX('R1. Tree Coefficients'!$E:$E,$F249+2))))</f>
        <v/>
      </c>
      <c r="K249" s="14" t="str">
        <f aca="false">IF(OR($D249="",$F249=""),"",IF($E249&gt;0,INDEX('R1. Tree Coefficients'!$F:$F,$F249+3)*($D249^INDEX('R1. Tree Coefficients'!$G:$G,$F249+3))*($E249^INDEX('R1. Tree Coefficients'!$H:$H,$F249+3)),INDEX('R1. Tree Coefficients'!$D:$D,$F249+3)*($D249^INDEX('R1. Tree Coefficients'!$E:$E,$F249+3))))</f>
        <v/>
      </c>
      <c r="L249" s="14" t="str">
        <f aca="false">IF($F249="","",IFERROR(SUM($H249:$K249),""))</f>
        <v/>
      </c>
      <c r="M249" s="14" t="str">
        <f aca="false">IF($F249="","",INDEX('R1. Tree Coefficients'!$J:$J,$F249))</f>
        <v/>
      </c>
      <c r="N249" s="14" t="str">
        <f aca="false">IF($L249="","",IF($M249="Deciduous",BGB_RS_DECIDUOUS_a*($L249^BGB_RS_DECIDUOUS_b),IF($M249="Conifers",BGB_RS_CONIFER*$L249,AVERAGE(BGB_RS_DECIDUOUS_a*($L249^BGB_RS_DECIDUOUS_b),BGB_RS_CONIFER*$L249))))</f>
        <v/>
      </c>
      <c r="O249" s="14" t="str">
        <f aca="false">IF($L249="","",$L249+$N249)</f>
        <v/>
      </c>
      <c r="P249" s="14" t="str">
        <f aca="false">IF($O249="","",$O249*CARBON_FRACTION_BIOMASS)</f>
        <v/>
      </c>
      <c r="Q249" s="14" t="str">
        <f aca="false">IF(AND($A249="",$C249=""),"",IF(AND($A249&lt;&gt;"",COUNTIF('1. Plot &amp; Site Log'!$A$5:$A$64,$A249)=0),"Plot ID not in Plot &amp; Site Log — this tree will not reach the summary. ","")&amp;IF($A249="","No Plot ID. ","")&amp;IF(AND($C249&lt;&gt;"",$F249=""),"Species not in the coefficient list — check the spelling against R1. ","")&amp;IF($D249="","No DBH — nothing can be calculated. ","")&amp;IF(AND($D249&lt;&gt;"",$D249&gt;QC_DBH_MAX_CM),"DBH above "&amp;QC_DBH_MAX_CM&amp;" cm — check for a transcription error. ","")&amp;IF($M249="All","Generic species: no published root:shoot applies, so below-ground biomass is the mean of the deciduous and conifer relationships. Choose a species, or Deciduous/Conifers, if you can. ","")&amp;IF(AND($O249&lt;&gt;"",$O249&gt;0,OR($N249/$O249&lt;BGB_FRACTION_MIN,$N249/$O249&gt;BGB_FRACTION_MAX)),"Below-ground share is "&amp;TEXT($N249/$O249,"0%")&amp;", outside the 18–30% the Trees guide describes. ",""))</f>
        <v/>
      </c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4" t="str">
        <f aca="false">IF($C250="","",IFERROR(12+(MATCH($C250,'R1. Tree Coefficients'!$L$12:$L$53,0)-1)*4,""))</f>
        <v/>
      </c>
      <c r="G250" s="14" t="str">
        <f aca="false">IF($F250="","",IF(AND($E250&lt;&gt;"",$E250&gt;0),"DBH + height","DBH only"))</f>
        <v/>
      </c>
      <c r="H250" s="14" t="str">
        <f aca="false">IF(OR($D250="",$F250=""),"",IF($E250&gt;0,INDEX('R1. Tree Coefficients'!$F:$F,$F250+0)*($D250^INDEX('R1. Tree Coefficients'!$G:$G,$F250+0))*($E250^INDEX('R1. Tree Coefficients'!$H:$H,$F250+0)),INDEX('R1. Tree Coefficients'!$D:$D,$F250+0)*($D250^INDEX('R1. Tree Coefficients'!$E:$E,$F250+0))))</f>
        <v/>
      </c>
      <c r="I250" s="14" t="str">
        <f aca="false">IF(OR($D250="",$F250=""),"",IF($E250&gt;0,INDEX('R1. Tree Coefficients'!$F:$F,$F250+1)*($D250^INDEX('R1. Tree Coefficients'!$G:$G,$F250+1))*($E250^INDEX('R1. Tree Coefficients'!$H:$H,$F250+1)),INDEX('R1. Tree Coefficients'!$D:$D,$F250+1)*($D250^INDEX('R1. Tree Coefficients'!$E:$E,$F250+1))))</f>
        <v/>
      </c>
      <c r="J250" s="14" t="str">
        <f aca="false">IF(OR($D250="",$F250=""),"",IF($E250&gt;0,INDEX('R1. Tree Coefficients'!$F:$F,$F250+2)*($D250^INDEX('R1. Tree Coefficients'!$G:$G,$F250+2))*($E250^INDEX('R1. Tree Coefficients'!$H:$H,$F250+2)),INDEX('R1. Tree Coefficients'!$D:$D,$F250+2)*($D250^INDEX('R1. Tree Coefficients'!$E:$E,$F250+2))))</f>
        <v/>
      </c>
      <c r="K250" s="14" t="str">
        <f aca="false">IF(OR($D250="",$F250=""),"",IF($E250&gt;0,INDEX('R1. Tree Coefficients'!$F:$F,$F250+3)*($D250^INDEX('R1. Tree Coefficients'!$G:$G,$F250+3))*($E250^INDEX('R1. Tree Coefficients'!$H:$H,$F250+3)),INDEX('R1. Tree Coefficients'!$D:$D,$F250+3)*($D250^INDEX('R1. Tree Coefficients'!$E:$E,$F250+3))))</f>
        <v/>
      </c>
      <c r="L250" s="14" t="str">
        <f aca="false">IF($F250="","",IFERROR(SUM($H250:$K250),""))</f>
        <v/>
      </c>
      <c r="M250" s="14" t="str">
        <f aca="false">IF($F250="","",INDEX('R1. Tree Coefficients'!$J:$J,$F250))</f>
        <v/>
      </c>
      <c r="N250" s="14" t="str">
        <f aca="false">IF($L250="","",IF($M250="Deciduous",BGB_RS_DECIDUOUS_a*($L250^BGB_RS_DECIDUOUS_b),IF($M250="Conifers",BGB_RS_CONIFER*$L250,AVERAGE(BGB_RS_DECIDUOUS_a*($L250^BGB_RS_DECIDUOUS_b),BGB_RS_CONIFER*$L250))))</f>
        <v/>
      </c>
      <c r="O250" s="14" t="str">
        <f aca="false">IF($L250="","",$L250+$N250)</f>
        <v/>
      </c>
      <c r="P250" s="14" t="str">
        <f aca="false">IF($O250="","",$O250*CARBON_FRACTION_BIOMASS)</f>
        <v/>
      </c>
      <c r="Q250" s="14" t="str">
        <f aca="false">IF(AND($A250="",$C250=""),"",IF(AND($A250&lt;&gt;"",COUNTIF('1. Plot &amp; Site Log'!$A$5:$A$64,$A250)=0),"Plot ID not in Plot &amp; Site Log — this tree will not reach the summary. ","")&amp;IF($A250="","No Plot ID. ","")&amp;IF(AND($C250&lt;&gt;"",$F250=""),"Species not in the coefficient list — check the spelling against R1. ","")&amp;IF($D250="","No DBH — nothing can be calculated. ","")&amp;IF(AND($D250&lt;&gt;"",$D250&gt;QC_DBH_MAX_CM),"DBH above "&amp;QC_DBH_MAX_CM&amp;" cm — check for a transcription error. ","")&amp;IF($M250="All","Generic species: no published root:shoot applies, so below-ground biomass is the mean of the deciduous and conifer relationships. Choose a species, or Deciduous/Conifers, if you can. ","")&amp;IF(AND($O250&lt;&gt;"",$O250&gt;0,OR($N250/$O250&lt;BGB_FRACTION_MIN,$N250/$O250&gt;BGB_FRACTION_MAX)),"Below-ground share is "&amp;TEXT($N250/$O250,"0%")&amp;", outside the 18–30% the Trees guide describes. ",""))</f>
        <v/>
      </c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4" t="str">
        <f aca="false">IF($C251="","",IFERROR(12+(MATCH($C251,'R1. Tree Coefficients'!$L$12:$L$53,0)-1)*4,""))</f>
        <v/>
      </c>
      <c r="G251" s="14" t="str">
        <f aca="false">IF($F251="","",IF(AND($E251&lt;&gt;"",$E251&gt;0),"DBH + height","DBH only"))</f>
        <v/>
      </c>
      <c r="H251" s="14" t="str">
        <f aca="false">IF(OR($D251="",$F251=""),"",IF($E251&gt;0,INDEX('R1. Tree Coefficients'!$F:$F,$F251+0)*($D251^INDEX('R1. Tree Coefficients'!$G:$G,$F251+0))*($E251^INDEX('R1. Tree Coefficients'!$H:$H,$F251+0)),INDEX('R1. Tree Coefficients'!$D:$D,$F251+0)*($D251^INDEX('R1. Tree Coefficients'!$E:$E,$F251+0))))</f>
        <v/>
      </c>
      <c r="I251" s="14" t="str">
        <f aca="false">IF(OR($D251="",$F251=""),"",IF($E251&gt;0,INDEX('R1. Tree Coefficients'!$F:$F,$F251+1)*($D251^INDEX('R1. Tree Coefficients'!$G:$G,$F251+1))*($E251^INDEX('R1. Tree Coefficients'!$H:$H,$F251+1)),INDEX('R1. Tree Coefficients'!$D:$D,$F251+1)*($D251^INDEX('R1. Tree Coefficients'!$E:$E,$F251+1))))</f>
        <v/>
      </c>
      <c r="J251" s="14" t="str">
        <f aca="false">IF(OR($D251="",$F251=""),"",IF($E251&gt;0,INDEX('R1. Tree Coefficients'!$F:$F,$F251+2)*($D251^INDEX('R1. Tree Coefficients'!$G:$G,$F251+2))*($E251^INDEX('R1. Tree Coefficients'!$H:$H,$F251+2)),INDEX('R1. Tree Coefficients'!$D:$D,$F251+2)*($D251^INDEX('R1. Tree Coefficients'!$E:$E,$F251+2))))</f>
        <v/>
      </c>
      <c r="K251" s="14" t="str">
        <f aca="false">IF(OR($D251="",$F251=""),"",IF($E251&gt;0,INDEX('R1. Tree Coefficients'!$F:$F,$F251+3)*($D251^INDEX('R1. Tree Coefficients'!$G:$G,$F251+3))*($E251^INDEX('R1. Tree Coefficients'!$H:$H,$F251+3)),INDEX('R1. Tree Coefficients'!$D:$D,$F251+3)*($D251^INDEX('R1. Tree Coefficients'!$E:$E,$F251+3))))</f>
        <v/>
      </c>
      <c r="L251" s="14" t="str">
        <f aca="false">IF($F251="","",IFERROR(SUM($H251:$K251),""))</f>
        <v/>
      </c>
      <c r="M251" s="14" t="str">
        <f aca="false">IF($F251="","",INDEX('R1. Tree Coefficients'!$J:$J,$F251))</f>
        <v/>
      </c>
      <c r="N251" s="14" t="str">
        <f aca="false">IF($L251="","",IF($M251="Deciduous",BGB_RS_DECIDUOUS_a*($L251^BGB_RS_DECIDUOUS_b),IF($M251="Conifers",BGB_RS_CONIFER*$L251,AVERAGE(BGB_RS_DECIDUOUS_a*($L251^BGB_RS_DECIDUOUS_b),BGB_RS_CONIFER*$L251))))</f>
        <v/>
      </c>
      <c r="O251" s="14" t="str">
        <f aca="false">IF($L251="","",$L251+$N251)</f>
        <v/>
      </c>
      <c r="P251" s="14" t="str">
        <f aca="false">IF($O251="","",$O251*CARBON_FRACTION_BIOMASS)</f>
        <v/>
      </c>
      <c r="Q251" s="14" t="str">
        <f aca="false">IF(AND($A251="",$C251=""),"",IF(AND($A251&lt;&gt;"",COUNTIF('1. Plot &amp; Site Log'!$A$5:$A$64,$A251)=0),"Plot ID not in Plot &amp; Site Log — this tree will not reach the summary. ","")&amp;IF($A251="","No Plot ID. ","")&amp;IF(AND($C251&lt;&gt;"",$F251=""),"Species not in the coefficient list — check the spelling against R1. ","")&amp;IF($D251="","No DBH — nothing can be calculated. ","")&amp;IF(AND($D251&lt;&gt;"",$D251&gt;QC_DBH_MAX_CM),"DBH above "&amp;QC_DBH_MAX_CM&amp;" cm — check for a transcription error. ","")&amp;IF($M251="All","Generic species: no published root:shoot applies, so below-ground biomass is the mean of the deciduous and conifer relationships. Choose a species, or Deciduous/Conifers, if you can. ","")&amp;IF(AND($O251&lt;&gt;"",$O251&gt;0,OR($N251/$O251&lt;BGB_FRACTION_MIN,$N251/$O251&gt;BGB_FRACTION_MAX)),"Below-ground share is "&amp;TEXT($N251/$O251,"0%")&amp;", outside the 18–30% the Trees guide describes. ",""))</f>
        <v/>
      </c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4" t="str">
        <f aca="false">IF($C252="","",IFERROR(12+(MATCH($C252,'R1. Tree Coefficients'!$L$12:$L$53,0)-1)*4,""))</f>
        <v/>
      </c>
      <c r="G252" s="14" t="str">
        <f aca="false">IF($F252="","",IF(AND($E252&lt;&gt;"",$E252&gt;0),"DBH + height","DBH only"))</f>
        <v/>
      </c>
      <c r="H252" s="14" t="str">
        <f aca="false">IF(OR($D252="",$F252=""),"",IF($E252&gt;0,INDEX('R1. Tree Coefficients'!$F:$F,$F252+0)*($D252^INDEX('R1. Tree Coefficients'!$G:$G,$F252+0))*($E252^INDEX('R1. Tree Coefficients'!$H:$H,$F252+0)),INDEX('R1. Tree Coefficients'!$D:$D,$F252+0)*($D252^INDEX('R1. Tree Coefficients'!$E:$E,$F252+0))))</f>
        <v/>
      </c>
      <c r="I252" s="14" t="str">
        <f aca="false">IF(OR($D252="",$F252=""),"",IF($E252&gt;0,INDEX('R1. Tree Coefficients'!$F:$F,$F252+1)*($D252^INDEX('R1. Tree Coefficients'!$G:$G,$F252+1))*($E252^INDEX('R1. Tree Coefficients'!$H:$H,$F252+1)),INDEX('R1. Tree Coefficients'!$D:$D,$F252+1)*($D252^INDEX('R1. Tree Coefficients'!$E:$E,$F252+1))))</f>
        <v/>
      </c>
      <c r="J252" s="14" t="str">
        <f aca="false">IF(OR($D252="",$F252=""),"",IF($E252&gt;0,INDEX('R1. Tree Coefficients'!$F:$F,$F252+2)*($D252^INDEX('R1. Tree Coefficients'!$G:$G,$F252+2))*($E252^INDEX('R1. Tree Coefficients'!$H:$H,$F252+2)),INDEX('R1. Tree Coefficients'!$D:$D,$F252+2)*($D252^INDEX('R1. Tree Coefficients'!$E:$E,$F252+2))))</f>
        <v/>
      </c>
      <c r="K252" s="14" t="str">
        <f aca="false">IF(OR($D252="",$F252=""),"",IF($E252&gt;0,INDEX('R1. Tree Coefficients'!$F:$F,$F252+3)*($D252^INDEX('R1. Tree Coefficients'!$G:$G,$F252+3))*($E252^INDEX('R1. Tree Coefficients'!$H:$H,$F252+3)),INDEX('R1. Tree Coefficients'!$D:$D,$F252+3)*($D252^INDEX('R1. Tree Coefficients'!$E:$E,$F252+3))))</f>
        <v/>
      </c>
      <c r="L252" s="14" t="str">
        <f aca="false">IF($F252="","",IFERROR(SUM($H252:$K252),""))</f>
        <v/>
      </c>
      <c r="M252" s="14" t="str">
        <f aca="false">IF($F252="","",INDEX('R1. Tree Coefficients'!$J:$J,$F252))</f>
        <v/>
      </c>
      <c r="N252" s="14" t="str">
        <f aca="false">IF($L252="","",IF($M252="Deciduous",BGB_RS_DECIDUOUS_a*($L252^BGB_RS_DECIDUOUS_b),IF($M252="Conifers",BGB_RS_CONIFER*$L252,AVERAGE(BGB_RS_DECIDUOUS_a*($L252^BGB_RS_DECIDUOUS_b),BGB_RS_CONIFER*$L252))))</f>
        <v/>
      </c>
      <c r="O252" s="14" t="str">
        <f aca="false">IF($L252="","",$L252+$N252)</f>
        <v/>
      </c>
      <c r="P252" s="14" t="str">
        <f aca="false">IF($O252="","",$O252*CARBON_FRACTION_BIOMASS)</f>
        <v/>
      </c>
      <c r="Q252" s="14" t="str">
        <f aca="false">IF(AND($A252="",$C252=""),"",IF(AND($A252&lt;&gt;"",COUNTIF('1. Plot &amp; Site Log'!$A$5:$A$64,$A252)=0),"Plot ID not in Plot &amp; Site Log — this tree will not reach the summary. ","")&amp;IF($A252="","No Plot ID. ","")&amp;IF(AND($C252&lt;&gt;"",$F252=""),"Species not in the coefficient list — check the spelling against R1. ","")&amp;IF($D252="","No DBH — nothing can be calculated. ","")&amp;IF(AND($D252&lt;&gt;"",$D252&gt;QC_DBH_MAX_CM),"DBH above "&amp;QC_DBH_MAX_CM&amp;" cm — check for a transcription error. ","")&amp;IF($M252="All","Generic species: no published root:shoot applies, so below-ground biomass is the mean of the deciduous and conifer relationships. Choose a species, or Deciduous/Conifers, if you can. ","")&amp;IF(AND($O252&lt;&gt;"",$O252&gt;0,OR($N252/$O252&lt;BGB_FRACTION_MIN,$N252/$O252&gt;BGB_FRACTION_MAX)),"Below-ground share is "&amp;TEXT($N252/$O252,"0%")&amp;", outside the 18–30% the Trees guide describes. ",""))</f>
        <v/>
      </c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4" t="str">
        <f aca="false">IF($C253="","",IFERROR(12+(MATCH($C253,'R1. Tree Coefficients'!$L$12:$L$53,0)-1)*4,""))</f>
        <v/>
      </c>
      <c r="G253" s="14" t="str">
        <f aca="false">IF($F253="","",IF(AND($E253&lt;&gt;"",$E253&gt;0),"DBH + height","DBH only"))</f>
        <v/>
      </c>
      <c r="H253" s="14" t="str">
        <f aca="false">IF(OR($D253="",$F253=""),"",IF($E253&gt;0,INDEX('R1. Tree Coefficients'!$F:$F,$F253+0)*($D253^INDEX('R1. Tree Coefficients'!$G:$G,$F253+0))*($E253^INDEX('R1. Tree Coefficients'!$H:$H,$F253+0)),INDEX('R1. Tree Coefficients'!$D:$D,$F253+0)*($D253^INDEX('R1. Tree Coefficients'!$E:$E,$F253+0))))</f>
        <v/>
      </c>
      <c r="I253" s="14" t="str">
        <f aca="false">IF(OR($D253="",$F253=""),"",IF($E253&gt;0,INDEX('R1. Tree Coefficients'!$F:$F,$F253+1)*($D253^INDEX('R1. Tree Coefficients'!$G:$G,$F253+1))*($E253^INDEX('R1. Tree Coefficients'!$H:$H,$F253+1)),INDEX('R1. Tree Coefficients'!$D:$D,$F253+1)*($D253^INDEX('R1. Tree Coefficients'!$E:$E,$F253+1))))</f>
        <v/>
      </c>
      <c r="J253" s="14" t="str">
        <f aca="false">IF(OR($D253="",$F253=""),"",IF($E253&gt;0,INDEX('R1. Tree Coefficients'!$F:$F,$F253+2)*($D253^INDEX('R1. Tree Coefficients'!$G:$G,$F253+2))*($E253^INDEX('R1. Tree Coefficients'!$H:$H,$F253+2)),INDEX('R1. Tree Coefficients'!$D:$D,$F253+2)*($D253^INDEX('R1. Tree Coefficients'!$E:$E,$F253+2))))</f>
        <v/>
      </c>
      <c r="K253" s="14" t="str">
        <f aca="false">IF(OR($D253="",$F253=""),"",IF($E253&gt;0,INDEX('R1. Tree Coefficients'!$F:$F,$F253+3)*($D253^INDEX('R1. Tree Coefficients'!$G:$G,$F253+3))*($E253^INDEX('R1. Tree Coefficients'!$H:$H,$F253+3)),INDEX('R1. Tree Coefficients'!$D:$D,$F253+3)*($D253^INDEX('R1. Tree Coefficients'!$E:$E,$F253+3))))</f>
        <v/>
      </c>
      <c r="L253" s="14" t="str">
        <f aca="false">IF($F253="","",IFERROR(SUM($H253:$K253),""))</f>
        <v/>
      </c>
      <c r="M253" s="14" t="str">
        <f aca="false">IF($F253="","",INDEX('R1. Tree Coefficients'!$J:$J,$F253))</f>
        <v/>
      </c>
      <c r="N253" s="14" t="str">
        <f aca="false">IF($L253="","",IF($M253="Deciduous",BGB_RS_DECIDUOUS_a*($L253^BGB_RS_DECIDUOUS_b),IF($M253="Conifers",BGB_RS_CONIFER*$L253,AVERAGE(BGB_RS_DECIDUOUS_a*($L253^BGB_RS_DECIDUOUS_b),BGB_RS_CONIFER*$L253))))</f>
        <v/>
      </c>
      <c r="O253" s="14" t="str">
        <f aca="false">IF($L253="","",$L253+$N253)</f>
        <v/>
      </c>
      <c r="P253" s="14" t="str">
        <f aca="false">IF($O253="","",$O253*CARBON_FRACTION_BIOMASS)</f>
        <v/>
      </c>
      <c r="Q253" s="14" t="str">
        <f aca="false">IF(AND($A253="",$C253=""),"",IF(AND($A253&lt;&gt;"",COUNTIF('1. Plot &amp; Site Log'!$A$5:$A$64,$A253)=0),"Plot ID not in Plot &amp; Site Log — this tree will not reach the summary. ","")&amp;IF($A253="","No Plot ID. ","")&amp;IF(AND($C253&lt;&gt;"",$F253=""),"Species not in the coefficient list — check the spelling against R1. ","")&amp;IF($D253="","No DBH — nothing can be calculated. ","")&amp;IF(AND($D253&lt;&gt;"",$D253&gt;QC_DBH_MAX_CM),"DBH above "&amp;QC_DBH_MAX_CM&amp;" cm — check for a transcription error. ","")&amp;IF($M253="All","Generic species: no published root:shoot applies, so below-ground biomass is the mean of the deciduous and conifer relationships. Choose a species, or Deciduous/Conifers, if you can. ","")&amp;IF(AND($O253&lt;&gt;"",$O253&gt;0,OR($N253/$O253&lt;BGB_FRACTION_MIN,$N253/$O253&gt;BGB_FRACTION_MAX)),"Below-ground share is "&amp;TEXT($N253/$O253,"0%")&amp;", outside the 18–30% the Trees guide describes. ",""))</f>
        <v/>
      </c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4" t="str">
        <f aca="false">IF($C254="","",IFERROR(12+(MATCH($C254,'R1. Tree Coefficients'!$L$12:$L$53,0)-1)*4,""))</f>
        <v/>
      </c>
      <c r="G254" s="14" t="str">
        <f aca="false">IF($F254="","",IF(AND($E254&lt;&gt;"",$E254&gt;0),"DBH + height","DBH only"))</f>
        <v/>
      </c>
      <c r="H254" s="14" t="str">
        <f aca="false">IF(OR($D254="",$F254=""),"",IF($E254&gt;0,INDEX('R1. Tree Coefficients'!$F:$F,$F254+0)*($D254^INDEX('R1. Tree Coefficients'!$G:$G,$F254+0))*($E254^INDEX('R1. Tree Coefficients'!$H:$H,$F254+0)),INDEX('R1. Tree Coefficients'!$D:$D,$F254+0)*($D254^INDEX('R1. Tree Coefficients'!$E:$E,$F254+0))))</f>
        <v/>
      </c>
      <c r="I254" s="14" t="str">
        <f aca="false">IF(OR($D254="",$F254=""),"",IF($E254&gt;0,INDEX('R1. Tree Coefficients'!$F:$F,$F254+1)*($D254^INDEX('R1. Tree Coefficients'!$G:$G,$F254+1))*($E254^INDEX('R1. Tree Coefficients'!$H:$H,$F254+1)),INDEX('R1. Tree Coefficients'!$D:$D,$F254+1)*($D254^INDEX('R1. Tree Coefficients'!$E:$E,$F254+1))))</f>
        <v/>
      </c>
      <c r="J254" s="14" t="str">
        <f aca="false">IF(OR($D254="",$F254=""),"",IF($E254&gt;0,INDEX('R1. Tree Coefficients'!$F:$F,$F254+2)*($D254^INDEX('R1. Tree Coefficients'!$G:$G,$F254+2))*($E254^INDEX('R1. Tree Coefficients'!$H:$H,$F254+2)),INDEX('R1. Tree Coefficients'!$D:$D,$F254+2)*($D254^INDEX('R1. Tree Coefficients'!$E:$E,$F254+2))))</f>
        <v/>
      </c>
      <c r="K254" s="14" t="str">
        <f aca="false">IF(OR($D254="",$F254=""),"",IF($E254&gt;0,INDEX('R1. Tree Coefficients'!$F:$F,$F254+3)*($D254^INDEX('R1. Tree Coefficients'!$G:$G,$F254+3))*($E254^INDEX('R1. Tree Coefficients'!$H:$H,$F254+3)),INDEX('R1. Tree Coefficients'!$D:$D,$F254+3)*($D254^INDEX('R1. Tree Coefficients'!$E:$E,$F254+3))))</f>
        <v/>
      </c>
      <c r="L254" s="14" t="str">
        <f aca="false">IF($F254="","",IFERROR(SUM($H254:$K254),""))</f>
        <v/>
      </c>
      <c r="M254" s="14" t="str">
        <f aca="false">IF($F254="","",INDEX('R1. Tree Coefficients'!$J:$J,$F254))</f>
        <v/>
      </c>
      <c r="N254" s="14" t="str">
        <f aca="false">IF($L254="","",IF($M254="Deciduous",BGB_RS_DECIDUOUS_a*($L254^BGB_RS_DECIDUOUS_b),IF($M254="Conifers",BGB_RS_CONIFER*$L254,AVERAGE(BGB_RS_DECIDUOUS_a*($L254^BGB_RS_DECIDUOUS_b),BGB_RS_CONIFER*$L254))))</f>
        <v/>
      </c>
      <c r="O254" s="14" t="str">
        <f aca="false">IF($L254="","",$L254+$N254)</f>
        <v/>
      </c>
      <c r="P254" s="14" t="str">
        <f aca="false">IF($O254="","",$O254*CARBON_FRACTION_BIOMASS)</f>
        <v/>
      </c>
      <c r="Q254" s="14" t="str">
        <f aca="false">IF(AND($A254="",$C254=""),"",IF(AND($A254&lt;&gt;"",COUNTIF('1. Plot &amp; Site Log'!$A$5:$A$64,$A254)=0),"Plot ID not in Plot &amp; Site Log — this tree will not reach the summary. ","")&amp;IF($A254="","No Plot ID. ","")&amp;IF(AND($C254&lt;&gt;"",$F254=""),"Species not in the coefficient list — check the spelling against R1. ","")&amp;IF($D254="","No DBH — nothing can be calculated. ","")&amp;IF(AND($D254&lt;&gt;"",$D254&gt;QC_DBH_MAX_CM),"DBH above "&amp;QC_DBH_MAX_CM&amp;" cm — check for a transcription error. ","")&amp;IF($M254="All","Generic species: no published root:shoot applies, so below-ground biomass is the mean of the deciduous and conifer relationships. Choose a species, or Deciduous/Conifers, if you can. ","")&amp;IF(AND($O254&lt;&gt;"",$O254&gt;0,OR($N254/$O254&lt;BGB_FRACTION_MIN,$N254/$O254&gt;BGB_FRACTION_MAX)),"Below-ground share is "&amp;TEXT($N254/$O254,"0%")&amp;", outside the 18–30% the Trees guide describes. ",""))</f>
        <v/>
      </c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4" t="str">
        <f aca="false">IF($C255="","",IFERROR(12+(MATCH($C255,'R1. Tree Coefficients'!$L$12:$L$53,0)-1)*4,""))</f>
        <v/>
      </c>
      <c r="G255" s="14" t="str">
        <f aca="false">IF($F255="","",IF(AND($E255&lt;&gt;"",$E255&gt;0),"DBH + height","DBH only"))</f>
        <v/>
      </c>
      <c r="H255" s="14" t="str">
        <f aca="false">IF(OR($D255="",$F255=""),"",IF($E255&gt;0,INDEX('R1. Tree Coefficients'!$F:$F,$F255+0)*($D255^INDEX('R1. Tree Coefficients'!$G:$G,$F255+0))*($E255^INDEX('R1. Tree Coefficients'!$H:$H,$F255+0)),INDEX('R1. Tree Coefficients'!$D:$D,$F255+0)*($D255^INDEX('R1. Tree Coefficients'!$E:$E,$F255+0))))</f>
        <v/>
      </c>
      <c r="I255" s="14" t="str">
        <f aca="false">IF(OR($D255="",$F255=""),"",IF($E255&gt;0,INDEX('R1. Tree Coefficients'!$F:$F,$F255+1)*($D255^INDEX('R1. Tree Coefficients'!$G:$G,$F255+1))*($E255^INDEX('R1. Tree Coefficients'!$H:$H,$F255+1)),INDEX('R1. Tree Coefficients'!$D:$D,$F255+1)*($D255^INDEX('R1. Tree Coefficients'!$E:$E,$F255+1))))</f>
        <v/>
      </c>
      <c r="J255" s="14" t="str">
        <f aca="false">IF(OR($D255="",$F255=""),"",IF($E255&gt;0,INDEX('R1. Tree Coefficients'!$F:$F,$F255+2)*($D255^INDEX('R1. Tree Coefficients'!$G:$G,$F255+2))*($E255^INDEX('R1. Tree Coefficients'!$H:$H,$F255+2)),INDEX('R1. Tree Coefficients'!$D:$D,$F255+2)*($D255^INDEX('R1. Tree Coefficients'!$E:$E,$F255+2))))</f>
        <v/>
      </c>
      <c r="K255" s="14" t="str">
        <f aca="false">IF(OR($D255="",$F255=""),"",IF($E255&gt;0,INDEX('R1. Tree Coefficients'!$F:$F,$F255+3)*($D255^INDEX('R1. Tree Coefficients'!$G:$G,$F255+3))*($E255^INDEX('R1. Tree Coefficients'!$H:$H,$F255+3)),INDEX('R1. Tree Coefficients'!$D:$D,$F255+3)*($D255^INDEX('R1. Tree Coefficients'!$E:$E,$F255+3))))</f>
        <v/>
      </c>
      <c r="L255" s="14" t="str">
        <f aca="false">IF($F255="","",IFERROR(SUM($H255:$K255),""))</f>
        <v/>
      </c>
      <c r="M255" s="14" t="str">
        <f aca="false">IF($F255="","",INDEX('R1. Tree Coefficients'!$J:$J,$F255))</f>
        <v/>
      </c>
      <c r="N255" s="14" t="str">
        <f aca="false">IF($L255="","",IF($M255="Deciduous",BGB_RS_DECIDUOUS_a*($L255^BGB_RS_DECIDUOUS_b),IF($M255="Conifers",BGB_RS_CONIFER*$L255,AVERAGE(BGB_RS_DECIDUOUS_a*($L255^BGB_RS_DECIDUOUS_b),BGB_RS_CONIFER*$L255))))</f>
        <v/>
      </c>
      <c r="O255" s="14" t="str">
        <f aca="false">IF($L255="","",$L255+$N255)</f>
        <v/>
      </c>
      <c r="P255" s="14" t="str">
        <f aca="false">IF($O255="","",$O255*CARBON_FRACTION_BIOMASS)</f>
        <v/>
      </c>
      <c r="Q255" s="14" t="str">
        <f aca="false">IF(AND($A255="",$C255=""),"",IF(AND($A255&lt;&gt;"",COUNTIF('1. Plot &amp; Site Log'!$A$5:$A$64,$A255)=0),"Plot ID not in Plot &amp; Site Log — this tree will not reach the summary. ","")&amp;IF($A255="","No Plot ID. ","")&amp;IF(AND($C255&lt;&gt;"",$F255=""),"Species not in the coefficient list — check the spelling against R1. ","")&amp;IF($D255="","No DBH — nothing can be calculated. ","")&amp;IF(AND($D255&lt;&gt;"",$D255&gt;QC_DBH_MAX_CM),"DBH above "&amp;QC_DBH_MAX_CM&amp;" cm — check for a transcription error. ","")&amp;IF($M255="All","Generic species: no published root:shoot applies, so below-ground biomass is the mean of the deciduous and conifer relationships. Choose a species, or Deciduous/Conifers, if you can. ","")&amp;IF(AND($O255&lt;&gt;"",$O255&gt;0,OR($N255/$O255&lt;BGB_FRACTION_MIN,$N255/$O255&gt;BGB_FRACTION_MAX)),"Below-ground share is "&amp;TEXT($N255/$O255,"0%")&amp;", outside the 18–30% the Trees guide describes. ",""))</f>
        <v/>
      </c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4" t="str">
        <f aca="false">IF($C256="","",IFERROR(12+(MATCH($C256,'R1. Tree Coefficients'!$L$12:$L$53,0)-1)*4,""))</f>
        <v/>
      </c>
      <c r="G256" s="14" t="str">
        <f aca="false">IF($F256="","",IF(AND($E256&lt;&gt;"",$E256&gt;0),"DBH + height","DBH only"))</f>
        <v/>
      </c>
      <c r="H256" s="14" t="str">
        <f aca="false">IF(OR($D256="",$F256=""),"",IF($E256&gt;0,INDEX('R1. Tree Coefficients'!$F:$F,$F256+0)*($D256^INDEX('R1. Tree Coefficients'!$G:$G,$F256+0))*($E256^INDEX('R1. Tree Coefficients'!$H:$H,$F256+0)),INDEX('R1. Tree Coefficients'!$D:$D,$F256+0)*($D256^INDEX('R1. Tree Coefficients'!$E:$E,$F256+0))))</f>
        <v/>
      </c>
      <c r="I256" s="14" t="str">
        <f aca="false">IF(OR($D256="",$F256=""),"",IF($E256&gt;0,INDEX('R1. Tree Coefficients'!$F:$F,$F256+1)*($D256^INDEX('R1. Tree Coefficients'!$G:$G,$F256+1))*($E256^INDEX('R1. Tree Coefficients'!$H:$H,$F256+1)),INDEX('R1. Tree Coefficients'!$D:$D,$F256+1)*($D256^INDEX('R1. Tree Coefficients'!$E:$E,$F256+1))))</f>
        <v/>
      </c>
      <c r="J256" s="14" t="str">
        <f aca="false">IF(OR($D256="",$F256=""),"",IF($E256&gt;0,INDEX('R1. Tree Coefficients'!$F:$F,$F256+2)*($D256^INDEX('R1. Tree Coefficients'!$G:$G,$F256+2))*($E256^INDEX('R1. Tree Coefficients'!$H:$H,$F256+2)),INDEX('R1. Tree Coefficients'!$D:$D,$F256+2)*($D256^INDEX('R1. Tree Coefficients'!$E:$E,$F256+2))))</f>
        <v/>
      </c>
      <c r="K256" s="14" t="str">
        <f aca="false">IF(OR($D256="",$F256=""),"",IF($E256&gt;0,INDEX('R1. Tree Coefficients'!$F:$F,$F256+3)*($D256^INDEX('R1. Tree Coefficients'!$G:$G,$F256+3))*($E256^INDEX('R1. Tree Coefficients'!$H:$H,$F256+3)),INDEX('R1. Tree Coefficients'!$D:$D,$F256+3)*($D256^INDEX('R1. Tree Coefficients'!$E:$E,$F256+3))))</f>
        <v/>
      </c>
      <c r="L256" s="14" t="str">
        <f aca="false">IF($F256="","",IFERROR(SUM($H256:$K256),""))</f>
        <v/>
      </c>
      <c r="M256" s="14" t="str">
        <f aca="false">IF($F256="","",INDEX('R1. Tree Coefficients'!$J:$J,$F256))</f>
        <v/>
      </c>
      <c r="N256" s="14" t="str">
        <f aca="false">IF($L256="","",IF($M256="Deciduous",BGB_RS_DECIDUOUS_a*($L256^BGB_RS_DECIDUOUS_b),IF($M256="Conifers",BGB_RS_CONIFER*$L256,AVERAGE(BGB_RS_DECIDUOUS_a*($L256^BGB_RS_DECIDUOUS_b),BGB_RS_CONIFER*$L256))))</f>
        <v/>
      </c>
      <c r="O256" s="14" t="str">
        <f aca="false">IF($L256="","",$L256+$N256)</f>
        <v/>
      </c>
      <c r="P256" s="14" t="str">
        <f aca="false">IF($O256="","",$O256*CARBON_FRACTION_BIOMASS)</f>
        <v/>
      </c>
      <c r="Q256" s="14" t="str">
        <f aca="false">IF(AND($A256="",$C256=""),"",IF(AND($A256&lt;&gt;"",COUNTIF('1. Plot &amp; Site Log'!$A$5:$A$64,$A256)=0),"Plot ID not in Plot &amp; Site Log — this tree will not reach the summary. ","")&amp;IF($A256="","No Plot ID. ","")&amp;IF(AND($C256&lt;&gt;"",$F256=""),"Species not in the coefficient list — check the spelling against R1. ","")&amp;IF($D256="","No DBH — nothing can be calculated. ","")&amp;IF(AND($D256&lt;&gt;"",$D256&gt;QC_DBH_MAX_CM),"DBH above "&amp;QC_DBH_MAX_CM&amp;" cm — check for a transcription error. ","")&amp;IF($M256="All","Generic species: no published root:shoot applies, so below-ground biomass is the mean of the deciduous and conifer relationships. Choose a species, or Deciduous/Conifers, if you can. ","")&amp;IF(AND($O256&lt;&gt;"",$O256&gt;0,OR($N256/$O256&lt;BGB_FRACTION_MIN,$N256/$O256&gt;BGB_FRACTION_MAX)),"Below-ground share is "&amp;TEXT($N256/$O256,"0%")&amp;", outside the 18–30% the Trees guide describes. ",""))</f>
        <v/>
      </c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4" t="str">
        <f aca="false">IF($C257="","",IFERROR(12+(MATCH($C257,'R1. Tree Coefficients'!$L$12:$L$53,0)-1)*4,""))</f>
        <v/>
      </c>
      <c r="G257" s="14" t="str">
        <f aca="false">IF($F257="","",IF(AND($E257&lt;&gt;"",$E257&gt;0),"DBH + height","DBH only"))</f>
        <v/>
      </c>
      <c r="H257" s="14" t="str">
        <f aca="false">IF(OR($D257="",$F257=""),"",IF($E257&gt;0,INDEX('R1. Tree Coefficients'!$F:$F,$F257+0)*($D257^INDEX('R1. Tree Coefficients'!$G:$G,$F257+0))*($E257^INDEX('R1. Tree Coefficients'!$H:$H,$F257+0)),INDEX('R1. Tree Coefficients'!$D:$D,$F257+0)*($D257^INDEX('R1. Tree Coefficients'!$E:$E,$F257+0))))</f>
        <v/>
      </c>
      <c r="I257" s="14" t="str">
        <f aca="false">IF(OR($D257="",$F257=""),"",IF($E257&gt;0,INDEX('R1. Tree Coefficients'!$F:$F,$F257+1)*($D257^INDEX('R1. Tree Coefficients'!$G:$G,$F257+1))*($E257^INDEX('R1. Tree Coefficients'!$H:$H,$F257+1)),INDEX('R1. Tree Coefficients'!$D:$D,$F257+1)*($D257^INDEX('R1. Tree Coefficients'!$E:$E,$F257+1))))</f>
        <v/>
      </c>
      <c r="J257" s="14" t="str">
        <f aca="false">IF(OR($D257="",$F257=""),"",IF($E257&gt;0,INDEX('R1. Tree Coefficients'!$F:$F,$F257+2)*($D257^INDEX('R1. Tree Coefficients'!$G:$G,$F257+2))*($E257^INDEX('R1. Tree Coefficients'!$H:$H,$F257+2)),INDEX('R1. Tree Coefficients'!$D:$D,$F257+2)*($D257^INDEX('R1. Tree Coefficients'!$E:$E,$F257+2))))</f>
        <v/>
      </c>
      <c r="K257" s="14" t="str">
        <f aca="false">IF(OR($D257="",$F257=""),"",IF($E257&gt;0,INDEX('R1. Tree Coefficients'!$F:$F,$F257+3)*($D257^INDEX('R1. Tree Coefficients'!$G:$G,$F257+3))*($E257^INDEX('R1. Tree Coefficients'!$H:$H,$F257+3)),INDEX('R1. Tree Coefficients'!$D:$D,$F257+3)*($D257^INDEX('R1. Tree Coefficients'!$E:$E,$F257+3))))</f>
        <v/>
      </c>
      <c r="L257" s="14" t="str">
        <f aca="false">IF($F257="","",IFERROR(SUM($H257:$K257),""))</f>
        <v/>
      </c>
      <c r="M257" s="14" t="str">
        <f aca="false">IF($F257="","",INDEX('R1. Tree Coefficients'!$J:$J,$F257))</f>
        <v/>
      </c>
      <c r="N257" s="14" t="str">
        <f aca="false">IF($L257="","",IF($M257="Deciduous",BGB_RS_DECIDUOUS_a*($L257^BGB_RS_DECIDUOUS_b),IF($M257="Conifers",BGB_RS_CONIFER*$L257,AVERAGE(BGB_RS_DECIDUOUS_a*($L257^BGB_RS_DECIDUOUS_b),BGB_RS_CONIFER*$L257))))</f>
        <v/>
      </c>
      <c r="O257" s="14" t="str">
        <f aca="false">IF($L257="","",$L257+$N257)</f>
        <v/>
      </c>
      <c r="P257" s="14" t="str">
        <f aca="false">IF($O257="","",$O257*CARBON_FRACTION_BIOMASS)</f>
        <v/>
      </c>
      <c r="Q257" s="14" t="str">
        <f aca="false">IF(AND($A257="",$C257=""),"",IF(AND($A257&lt;&gt;"",COUNTIF('1. Plot &amp; Site Log'!$A$5:$A$64,$A257)=0),"Plot ID not in Plot &amp; Site Log — this tree will not reach the summary. ","")&amp;IF($A257="","No Plot ID. ","")&amp;IF(AND($C257&lt;&gt;"",$F257=""),"Species not in the coefficient list — check the spelling against R1. ","")&amp;IF($D257="","No DBH — nothing can be calculated. ","")&amp;IF(AND($D257&lt;&gt;"",$D257&gt;QC_DBH_MAX_CM),"DBH above "&amp;QC_DBH_MAX_CM&amp;" cm — check for a transcription error. ","")&amp;IF($M257="All","Generic species: no published root:shoot applies, so below-ground biomass is the mean of the deciduous and conifer relationships. Choose a species, or Deciduous/Conifers, if you can. ","")&amp;IF(AND($O257&lt;&gt;"",$O257&gt;0,OR($N257/$O257&lt;BGB_FRACTION_MIN,$N257/$O257&gt;BGB_FRACTION_MAX)),"Below-ground share is "&amp;TEXT($N257/$O257,"0%")&amp;", outside the 18–30% the Trees guide describes. ",""))</f>
        <v/>
      </c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4" t="str">
        <f aca="false">IF($C258="","",IFERROR(12+(MATCH($C258,'R1. Tree Coefficients'!$L$12:$L$53,0)-1)*4,""))</f>
        <v/>
      </c>
      <c r="G258" s="14" t="str">
        <f aca="false">IF($F258="","",IF(AND($E258&lt;&gt;"",$E258&gt;0),"DBH + height","DBH only"))</f>
        <v/>
      </c>
      <c r="H258" s="14" t="str">
        <f aca="false">IF(OR($D258="",$F258=""),"",IF($E258&gt;0,INDEX('R1. Tree Coefficients'!$F:$F,$F258+0)*($D258^INDEX('R1. Tree Coefficients'!$G:$G,$F258+0))*($E258^INDEX('R1. Tree Coefficients'!$H:$H,$F258+0)),INDEX('R1. Tree Coefficients'!$D:$D,$F258+0)*($D258^INDEX('R1. Tree Coefficients'!$E:$E,$F258+0))))</f>
        <v/>
      </c>
      <c r="I258" s="14" t="str">
        <f aca="false">IF(OR($D258="",$F258=""),"",IF($E258&gt;0,INDEX('R1. Tree Coefficients'!$F:$F,$F258+1)*($D258^INDEX('R1. Tree Coefficients'!$G:$G,$F258+1))*($E258^INDEX('R1. Tree Coefficients'!$H:$H,$F258+1)),INDEX('R1. Tree Coefficients'!$D:$D,$F258+1)*($D258^INDEX('R1. Tree Coefficients'!$E:$E,$F258+1))))</f>
        <v/>
      </c>
      <c r="J258" s="14" t="str">
        <f aca="false">IF(OR($D258="",$F258=""),"",IF($E258&gt;0,INDEX('R1. Tree Coefficients'!$F:$F,$F258+2)*($D258^INDEX('R1. Tree Coefficients'!$G:$G,$F258+2))*($E258^INDEX('R1. Tree Coefficients'!$H:$H,$F258+2)),INDEX('R1. Tree Coefficients'!$D:$D,$F258+2)*($D258^INDEX('R1. Tree Coefficients'!$E:$E,$F258+2))))</f>
        <v/>
      </c>
      <c r="K258" s="14" t="str">
        <f aca="false">IF(OR($D258="",$F258=""),"",IF($E258&gt;0,INDEX('R1. Tree Coefficients'!$F:$F,$F258+3)*($D258^INDEX('R1. Tree Coefficients'!$G:$G,$F258+3))*($E258^INDEX('R1. Tree Coefficients'!$H:$H,$F258+3)),INDEX('R1. Tree Coefficients'!$D:$D,$F258+3)*($D258^INDEX('R1. Tree Coefficients'!$E:$E,$F258+3))))</f>
        <v/>
      </c>
      <c r="L258" s="14" t="str">
        <f aca="false">IF($F258="","",IFERROR(SUM($H258:$K258),""))</f>
        <v/>
      </c>
      <c r="M258" s="14" t="str">
        <f aca="false">IF($F258="","",INDEX('R1. Tree Coefficients'!$J:$J,$F258))</f>
        <v/>
      </c>
      <c r="N258" s="14" t="str">
        <f aca="false">IF($L258="","",IF($M258="Deciduous",BGB_RS_DECIDUOUS_a*($L258^BGB_RS_DECIDUOUS_b),IF($M258="Conifers",BGB_RS_CONIFER*$L258,AVERAGE(BGB_RS_DECIDUOUS_a*($L258^BGB_RS_DECIDUOUS_b),BGB_RS_CONIFER*$L258))))</f>
        <v/>
      </c>
      <c r="O258" s="14" t="str">
        <f aca="false">IF($L258="","",$L258+$N258)</f>
        <v/>
      </c>
      <c r="P258" s="14" t="str">
        <f aca="false">IF($O258="","",$O258*CARBON_FRACTION_BIOMASS)</f>
        <v/>
      </c>
      <c r="Q258" s="14" t="str">
        <f aca="false">IF(AND($A258="",$C258=""),"",IF(AND($A258&lt;&gt;"",COUNTIF('1. Plot &amp; Site Log'!$A$5:$A$64,$A258)=0),"Plot ID not in Plot &amp; Site Log — this tree will not reach the summary. ","")&amp;IF($A258="","No Plot ID. ","")&amp;IF(AND($C258&lt;&gt;"",$F258=""),"Species not in the coefficient list — check the spelling against R1. ","")&amp;IF($D258="","No DBH — nothing can be calculated. ","")&amp;IF(AND($D258&lt;&gt;"",$D258&gt;QC_DBH_MAX_CM),"DBH above "&amp;QC_DBH_MAX_CM&amp;" cm — check for a transcription error. ","")&amp;IF($M258="All","Generic species: no published root:shoot applies, so below-ground biomass is the mean of the deciduous and conifer relationships. Choose a species, or Deciduous/Conifers, if you can. ","")&amp;IF(AND($O258&lt;&gt;"",$O258&gt;0,OR($N258/$O258&lt;BGB_FRACTION_MIN,$N258/$O258&gt;BGB_FRACTION_MAX)),"Below-ground share is "&amp;TEXT($N258/$O258,"0%")&amp;", outside the 18–30% the Trees guide describes. ",""))</f>
        <v/>
      </c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4" t="str">
        <f aca="false">IF($C259="","",IFERROR(12+(MATCH($C259,'R1. Tree Coefficients'!$L$12:$L$53,0)-1)*4,""))</f>
        <v/>
      </c>
      <c r="G259" s="14" t="str">
        <f aca="false">IF($F259="","",IF(AND($E259&lt;&gt;"",$E259&gt;0),"DBH + height","DBH only"))</f>
        <v/>
      </c>
      <c r="H259" s="14" t="str">
        <f aca="false">IF(OR($D259="",$F259=""),"",IF($E259&gt;0,INDEX('R1. Tree Coefficients'!$F:$F,$F259+0)*($D259^INDEX('R1. Tree Coefficients'!$G:$G,$F259+0))*($E259^INDEX('R1. Tree Coefficients'!$H:$H,$F259+0)),INDEX('R1. Tree Coefficients'!$D:$D,$F259+0)*($D259^INDEX('R1. Tree Coefficients'!$E:$E,$F259+0))))</f>
        <v/>
      </c>
      <c r="I259" s="14" t="str">
        <f aca="false">IF(OR($D259="",$F259=""),"",IF($E259&gt;0,INDEX('R1. Tree Coefficients'!$F:$F,$F259+1)*($D259^INDEX('R1. Tree Coefficients'!$G:$G,$F259+1))*($E259^INDEX('R1. Tree Coefficients'!$H:$H,$F259+1)),INDEX('R1. Tree Coefficients'!$D:$D,$F259+1)*($D259^INDEX('R1. Tree Coefficients'!$E:$E,$F259+1))))</f>
        <v/>
      </c>
      <c r="J259" s="14" t="str">
        <f aca="false">IF(OR($D259="",$F259=""),"",IF($E259&gt;0,INDEX('R1. Tree Coefficients'!$F:$F,$F259+2)*($D259^INDEX('R1. Tree Coefficients'!$G:$G,$F259+2))*($E259^INDEX('R1. Tree Coefficients'!$H:$H,$F259+2)),INDEX('R1. Tree Coefficients'!$D:$D,$F259+2)*($D259^INDEX('R1. Tree Coefficients'!$E:$E,$F259+2))))</f>
        <v/>
      </c>
      <c r="K259" s="14" t="str">
        <f aca="false">IF(OR($D259="",$F259=""),"",IF($E259&gt;0,INDEX('R1. Tree Coefficients'!$F:$F,$F259+3)*($D259^INDEX('R1. Tree Coefficients'!$G:$G,$F259+3))*($E259^INDEX('R1. Tree Coefficients'!$H:$H,$F259+3)),INDEX('R1. Tree Coefficients'!$D:$D,$F259+3)*($D259^INDEX('R1. Tree Coefficients'!$E:$E,$F259+3))))</f>
        <v/>
      </c>
      <c r="L259" s="14" t="str">
        <f aca="false">IF($F259="","",IFERROR(SUM($H259:$K259),""))</f>
        <v/>
      </c>
      <c r="M259" s="14" t="str">
        <f aca="false">IF($F259="","",INDEX('R1. Tree Coefficients'!$J:$J,$F259))</f>
        <v/>
      </c>
      <c r="N259" s="14" t="str">
        <f aca="false">IF($L259="","",IF($M259="Deciduous",BGB_RS_DECIDUOUS_a*($L259^BGB_RS_DECIDUOUS_b),IF($M259="Conifers",BGB_RS_CONIFER*$L259,AVERAGE(BGB_RS_DECIDUOUS_a*($L259^BGB_RS_DECIDUOUS_b),BGB_RS_CONIFER*$L259))))</f>
        <v/>
      </c>
      <c r="O259" s="14" t="str">
        <f aca="false">IF($L259="","",$L259+$N259)</f>
        <v/>
      </c>
      <c r="P259" s="14" t="str">
        <f aca="false">IF($O259="","",$O259*CARBON_FRACTION_BIOMASS)</f>
        <v/>
      </c>
      <c r="Q259" s="14" t="str">
        <f aca="false">IF(AND($A259="",$C259=""),"",IF(AND($A259&lt;&gt;"",COUNTIF('1. Plot &amp; Site Log'!$A$5:$A$64,$A259)=0),"Plot ID not in Plot &amp; Site Log — this tree will not reach the summary. ","")&amp;IF($A259="","No Plot ID. ","")&amp;IF(AND($C259&lt;&gt;"",$F259=""),"Species not in the coefficient list — check the spelling against R1. ","")&amp;IF($D259="","No DBH — nothing can be calculated. ","")&amp;IF(AND($D259&lt;&gt;"",$D259&gt;QC_DBH_MAX_CM),"DBH above "&amp;QC_DBH_MAX_CM&amp;" cm — check for a transcription error. ","")&amp;IF($M259="All","Generic species: no published root:shoot applies, so below-ground biomass is the mean of the deciduous and conifer relationships. Choose a species, or Deciduous/Conifers, if you can. ","")&amp;IF(AND($O259&lt;&gt;"",$O259&gt;0,OR($N259/$O259&lt;BGB_FRACTION_MIN,$N259/$O259&gt;BGB_FRACTION_MAX)),"Below-ground share is "&amp;TEXT($N259/$O259,"0%")&amp;", outside the 18–30% the Trees guide describes. ",""))</f>
        <v/>
      </c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4" t="str">
        <f aca="false">IF($C260="","",IFERROR(12+(MATCH($C260,'R1. Tree Coefficients'!$L$12:$L$53,0)-1)*4,""))</f>
        <v/>
      </c>
      <c r="G260" s="14" t="str">
        <f aca="false">IF($F260="","",IF(AND($E260&lt;&gt;"",$E260&gt;0),"DBH + height","DBH only"))</f>
        <v/>
      </c>
      <c r="H260" s="14" t="str">
        <f aca="false">IF(OR($D260="",$F260=""),"",IF($E260&gt;0,INDEX('R1. Tree Coefficients'!$F:$F,$F260+0)*($D260^INDEX('R1. Tree Coefficients'!$G:$G,$F260+0))*($E260^INDEX('R1. Tree Coefficients'!$H:$H,$F260+0)),INDEX('R1. Tree Coefficients'!$D:$D,$F260+0)*($D260^INDEX('R1. Tree Coefficients'!$E:$E,$F260+0))))</f>
        <v/>
      </c>
      <c r="I260" s="14" t="str">
        <f aca="false">IF(OR($D260="",$F260=""),"",IF($E260&gt;0,INDEX('R1. Tree Coefficients'!$F:$F,$F260+1)*($D260^INDEX('R1. Tree Coefficients'!$G:$G,$F260+1))*($E260^INDEX('R1. Tree Coefficients'!$H:$H,$F260+1)),INDEX('R1. Tree Coefficients'!$D:$D,$F260+1)*($D260^INDEX('R1. Tree Coefficients'!$E:$E,$F260+1))))</f>
        <v/>
      </c>
      <c r="J260" s="14" t="str">
        <f aca="false">IF(OR($D260="",$F260=""),"",IF($E260&gt;0,INDEX('R1. Tree Coefficients'!$F:$F,$F260+2)*($D260^INDEX('R1. Tree Coefficients'!$G:$G,$F260+2))*($E260^INDEX('R1. Tree Coefficients'!$H:$H,$F260+2)),INDEX('R1. Tree Coefficients'!$D:$D,$F260+2)*($D260^INDEX('R1. Tree Coefficients'!$E:$E,$F260+2))))</f>
        <v/>
      </c>
      <c r="K260" s="14" t="str">
        <f aca="false">IF(OR($D260="",$F260=""),"",IF($E260&gt;0,INDEX('R1. Tree Coefficients'!$F:$F,$F260+3)*($D260^INDEX('R1. Tree Coefficients'!$G:$G,$F260+3))*($E260^INDEX('R1. Tree Coefficients'!$H:$H,$F260+3)),INDEX('R1. Tree Coefficients'!$D:$D,$F260+3)*($D260^INDEX('R1. Tree Coefficients'!$E:$E,$F260+3))))</f>
        <v/>
      </c>
      <c r="L260" s="14" t="str">
        <f aca="false">IF($F260="","",IFERROR(SUM($H260:$K260),""))</f>
        <v/>
      </c>
      <c r="M260" s="14" t="str">
        <f aca="false">IF($F260="","",INDEX('R1. Tree Coefficients'!$J:$J,$F260))</f>
        <v/>
      </c>
      <c r="N260" s="14" t="str">
        <f aca="false">IF($L260="","",IF($M260="Deciduous",BGB_RS_DECIDUOUS_a*($L260^BGB_RS_DECIDUOUS_b),IF($M260="Conifers",BGB_RS_CONIFER*$L260,AVERAGE(BGB_RS_DECIDUOUS_a*($L260^BGB_RS_DECIDUOUS_b),BGB_RS_CONIFER*$L260))))</f>
        <v/>
      </c>
      <c r="O260" s="14" t="str">
        <f aca="false">IF($L260="","",$L260+$N260)</f>
        <v/>
      </c>
      <c r="P260" s="14" t="str">
        <f aca="false">IF($O260="","",$O260*CARBON_FRACTION_BIOMASS)</f>
        <v/>
      </c>
      <c r="Q260" s="14" t="str">
        <f aca="false">IF(AND($A260="",$C260=""),"",IF(AND($A260&lt;&gt;"",COUNTIF('1. Plot &amp; Site Log'!$A$5:$A$64,$A260)=0),"Plot ID not in Plot &amp; Site Log — this tree will not reach the summary. ","")&amp;IF($A260="","No Plot ID. ","")&amp;IF(AND($C260&lt;&gt;"",$F260=""),"Species not in the coefficient list — check the spelling against R1. ","")&amp;IF($D260="","No DBH — nothing can be calculated. ","")&amp;IF(AND($D260&lt;&gt;"",$D260&gt;QC_DBH_MAX_CM),"DBH above "&amp;QC_DBH_MAX_CM&amp;" cm — check for a transcription error. ","")&amp;IF($M260="All","Generic species: no published root:shoot applies, so below-ground biomass is the mean of the deciduous and conifer relationships. Choose a species, or Deciduous/Conifers, if you can. ","")&amp;IF(AND($O260&lt;&gt;"",$O260&gt;0,OR($N260/$O260&lt;BGB_FRACTION_MIN,$N260/$O260&gt;BGB_FRACTION_MAX)),"Below-ground share is "&amp;TEXT($N260/$O260,"0%")&amp;", outside the 18–30% the Trees guide describes. ",""))</f>
        <v/>
      </c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4" t="str">
        <f aca="false">IF($C261="","",IFERROR(12+(MATCH($C261,'R1. Tree Coefficients'!$L$12:$L$53,0)-1)*4,""))</f>
        <v/>
      </c>
      <c r="G261" s="14" t="str">
        <f aca="false">IF($F261="","",IF(AND($E261&lt;&gt;"",$E261&gt;0),"DBH + height","DBH only"))</f>
        <v/>
      </c>
      <c r="H261" s="14" t="str">
        <f aca="false">IF(OR($D261="",$F261=""),"",IF($E261&gt;0,INDEX('R1. Tree Coefficients'!$F:$F,$F261+0)*($D261^INDEX('R1. Tree Coefficients'!$G:$G,$F261+0))*($E261^INDEX('R1. Tree Coefficients'!$H:$H,$F261+0)),INDEX('R1. Tree Coefficients'!$D:$D,$F261+0)*($D261^INDEX('R1. Tree Coefficients'!$E:$E,$F261+0))))</f>
        <v/>
      </c>
      <c r="I261" s="14" t="str">
        <f aca="false">IF(OR($D261="",$F261=""),"",IF($E261&gt;0,INDEX('R1. Tree Coefficients'!$F:$F,$F261+1)*($D261^INDEX('R1. Tree Coefficients'!$G:$G,$F261+1))*($E261^INDEX('R1. Tree Coefficients'!$H:$H,$F261+1)),INDEX('R1. Tree Coefficients'!$D:$D,$F261+1)*($D261^INDEX('R1. Tree Coefficients'!$E:$E,$F261+1))))</f>
        <v/>
      </c>
      <c r="J261" s="14" t="str">
        <f aca="false">IF(OR($D261="",$F261=""),"",IF($E261&gt;0,INDEX('R1. Tree Coefficients'!$F:$F,$F261+2)*($D261^INDEX('R1. Tree Coefficients'!$G:$G,$F261+2))*($E261^INDEX('R1. Tree Coefficients'!$H:$H,$F261+2)),INDEX('R1. Tree Coefficients'!$D:$D,$F261+2)*($D261^INDEX('R1. Tree Coefficients'!$E:$E,$F261+2))))</f>
        <v/>
      </c>
      <c r="K261" s="14" t="str">
        <f aca="false">IF(OR($D261="",$F261=""),"",IF($E261&gt;0,INDEX('R1. Tree Coefficients'!$F:$F,$F261+3)*($D261^INDEX('R1. Tree Coefficients'!$G:$G,$F261+3))*($E261^INDEX('R1. Tree Coefficients'!$H:$H,$F261+3)),INDEX('R1. Tree Coefficients'!$D:$D,$F261+3)*($D261^INDEX('R1. Tree Coefficients'!$E:$E,$F261+3))))</f>
        <v/>
      </c>
      <c r="L261" s="14" t="str">
        <f aca="false">IF($F261="","",IFERROR(SUM($H261:$K261),""))</f>
        <v/>
      </c>
      <c r="M261" s="14" t="str">
        <f aca="false">IF($F261="","",INDEX('R1. Tree Coefficients'!$J:$J,$F261))</f>
        <v/>
      </c>
      <c r="N261" s="14" t="str">
        <f aca="false">IF($L261="","",IF($M261="Deciduous",BGB_RS_DECIDUOUS_a*($L261^BGB_RS_DECIDUOUS_b),IF($M261="Conifers",BGB_RS_CONIFER*$L261,AVERAGE(BGB_RS_DECIDUOUS_a*($L261^BGB_RS_DECIDUOUS_b),BGB_RS_CONIFER*$L261))))</f>
        <v/>
      </c>
      <c r="O261" s="14" t="str">
        <f aca="false">IF($L261="","",$L261+$N261)</f>
        <v/>
      </c>
      <c r="P261" s="14" t="str">
        <f aca="false">IF($O261="","",$O261*CARBON_FRACTION_BIOMASS)</f>
        <v/>
      </c>
      <c r="Q261" s="14" t="str">
        <f aca="false">IF(AND($A261="",$C261=""),"",IF(AND($A261&lt;&gt;"",COUNTIF('1. Plot &amp; Site Log'!$A$5:$A$64,$A261)=0),"Plot ID not in Plot &amp; Site Log — this tree will not reach the summary. ","")&amp;IF($A261="","No Plot ID. ","")&amp;IF(AND($C261&lt;&gt;"",$F261=""),"Species not in the coefficient list — check the spelling against R1. ","")&amp;IF($D261="","No DBH — nothing can be calculated. ","")&amp;IF(AND($D261&lt;&gt;"",$D261&gt;QC_DBH_MAX_CM),"DBH above "&amp;QC_DBH_MAX_CM&amp;" cm — check for a transcription error. ","")&amp;IF($M261="All","Generic species: no published root:shoot applies, so below-ground biomass is the mean of the deciduous and conifer relationships. Choose a species, or Deciduous/Conifers, if you can. ","")&amp;IF(AND($O261&lt;&gt;"",$O261&gt;0,OR($N261/$O261&lt;BGB_FRACTION_MIN,$N261/$O261&gt;BGB_FRACTION_MAX)),"Below-ground share is "&amp;TEXT($N261/$O261,"0%")&amp;", outside the 18–30% the Trees guide describes. ",""))</f>
        <v/>
      </c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4" t="str">
        <f aca="false">IF($C262="","",IFERROR(12+(MATCH($C262,'R1. Tree Coefficients'!$L$12:$L$53,0)-1)*4,""))</f>
        <v/>
      </c>
      <c r="G262" s="14" t="str">
        <f aca="false">IF($F262="","",IF(AND($E262&lt;&gt;"",$E262&gt;0),"DBH + height","DBH only"))</f>
        <v/>
      </c>
      <c r="H262" s="14" t="str">
        <f aca="false">IF(OR($D262="",$F262=""),"",IF($E262&gt;0,INDEX('R1. Tree Coefficients'!$F:$F,$F262+0)*($D262^INDEX('R1. Tree Coefficients'!$G:$G,$F262+0))*($E262^INDEX('R1. Tree Coefficients'!$H:$H,$F262+0)),INDEX('R1. Tree Coefficients'!$D:$D,$F262+0)*($D262^INDEX('R1. Tree Coefficients'!$E:$E,$F262+0))))</f>
        <v/>
      </c>
      <c r="I262" s="14" t="str">
        <f aca="false">IF(OR($D262="",$F262=""),"",IF($E262&gt;0,INDEX('R1. Tree Coefficients'!$F:$F,$F262+1)*($D262^INDEX('R1. Tree Coefficients'!$G:$G,$F262+1))*($E262^INDEX('R1. Tree Coefficients'!$H:$H,$F262+1)),INDEX('R1. Tree Coefficients'!$D:$D,$F262+1)*($D262^INDEX('R1. Tree Coefficients'!$E:$E,$F262+1))))</f>
        <v/>
      </c>
      <c r="J262" s="14" t="str">
        <f aca="false">IF(OR($D262="",$F262=""),"",IF($E262&gt;0,INDEX('R1. Tree Coefficients'!$F:$F,$F262+2)*($D262^INDEX('R1. Tree Coefficients'!$G:$G,$F262+2))*($E262^INDEX('R1. Tree Coefficients'!$H:$H,$F262+2)),INDEX('R1. Tree Coefficients'!$D:$D,$F262+2)*($D262^INDEX('R1. Tree Coefficients'!$E:$E,$F262+2))))</f>
        <v/>
      </c>
      <c r="K262" s="14" t="str">
        <f aca="false">IF(OR($D262="",$F262=""),"",IF($E262&gt;0,INDEX('R1. Tree Coefficients'!$F:$F,$F262+3)*($D262^INDEX('R1. Tree Coefficients'!$G:$G,$F262+3))*($E262^INDEX('R1. Tree Coefficients'!$H:$H,$F262+3)),INDEX('R1. Tree Coefficients'!$D:$D,$F262+3)*($D262^INDEX('R1. Tree Coefficients'!$E:$E,$F262+3))))</f>
        <v/>
      </c>
      <c r="L262" s="14" t="str">
        <f aca="false">IF($F262="","",IFERROR(SUM($H262:$K262),""))</f>
        <v/>
      </c>
      <c r="M262" s="14" t="str">
        <f aca="false">IF($F262="","",INDEX('R1. Tree Coefficients'!$J:$J,$F262))</f>
        <v/>
      </c>
      <c r="N262" s="14" t="str">
        <f aca="false">IF($L262="","",IF($M262="Deciduous",BGB_RS_DECIDUOUS_a*($L262^BGB_RS_DECIDUOUS_b),IF($M262="Conifers",BGB_RS_CONIFER*$L262,AVERAGE(BGB_RS_DECIDUOUS_a*($L262^BGB_RS_DECIDUOUS_b),BGB_RS_CONIFER*$L262))))</f>
        <v/>
      </c>
      <c r="O262" s="14" t="str">
        <f aca="false">IF($L262="","",$L262+$N262)</f>
        <v/>
      </c>
      <c r="P262" s="14" t="str">
        <f aca="false">IF($O262="","",$O262*CARBON_FRACTION_BIOMASS)</f>
        <v/>
      </c>
      <c r="Q262" s="14" t="str">
        <f aca="false">IF(AND($A262="",$C262=""),"",IF(AND($A262&lt;&gt;"",COUNTIF('1. Plot &amp; Site Log'!$A$5:$A$64,$A262)=0),"Plot ID not in Plot &amp; Site Log — this tree will not reach the summary. ","")&amp;IF($A262="","No Plot ID. ","")&amp;IF(AND($C262&lt;&gt;"",$F262=""),"Species not in the coefficient list — check the spelling against R1. ","")&amp;IF($D262="","No DBH — nothing can be calculated. ","")&amp;IF(AND($D262&lt;&gt;"",$D262&gt;QC_DBH_MAX_CM),"DBH above "&amp;QC_DBH_MAX_CM&amp;" cm — check for a transcription error. ","")&amp;IF($M262="All","Generic species: no published root:shoot applies, so below-ground biomass is the mean of the deciduous and conifer relationships. Choose a species, or Deciduous/Conifers, if you can. ","")&amp;IF(AND($O262&lt;&gt;"",$O262&gt;0,OR($N262/$O262&lt;BGB_FRACTION_MIN,$N262/$O262&gt;BGB_FRACTION_MAX)),"Below-ground share is "&amp;TEXT($N262/$O262,"0%")&amp;", outside the 18–30% the Trees guide describes. ",""))</f>
        <v/>
      </c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4" t="str">
        <f aca="false">IF($C263="","",IFERROR(12+(MATCH($C263,'R1. Tree Coefficients'!$L$12:$L$53,0)-1)*4,""))</f>
        <v/>
      </c>
      <c r="G263" s="14" t="str">
        <f aca="false">IF($F263="","",IF(AND($E263&lt;&gt;"",$E263&gt;0),"DBH + height","DBH only"))</f>
        <v/>
      </c>
      <c r="H263" s="14" t="str">
        <f aca="false">IF(OR($D263="",$F263=""),"",IF($E263&gt;0,INDEX('R1. Tree Coefficients'!$F:$F,$F263+0)*($D263^INDEX('R1. Tree Coefficients'!$G:$G,$F263+0))*($E263^INDEX('R1. Tree Coefficients'!$H:$H,$F263+0)),INDEX('R1. Tree Coefficients'!$D:$D,$F263+0)*($D263^INDEX('R1. Tree Coefficients'!$E:$E,$F263+0))))</f>
        <v/>
      </c>
      <c r="I263" s="14" t="str">
        <f aca="false">IF(OR($D263="",$F263=""),"",IF($E263&gt;0,INDEX('R1. Tree Coefficients'!$F:$F,$F263+1)*($D263^INDEX('R1. Tree Coefficients'!$G:$G,$F263+1))*($E263^INDEX('R1. Tree Coefficients'!$H:$H,$F263+1)),INDEX('R1. Tree Coefficients'!$D:$D,$F263+1)*($D263^INDEX('R1. Tree Coefficients'!$E:$E,$F263+1))))</f>
        <v/>
      </c>
      <c r="J263" s="14" t="str">
        <f aca="false">IF(OR($D263="",$F263=""),"",IF($E263&gt;0,INDEX('R1. Tree Coefficients'!$F:$F,$F263+2)*($D263^INDEX('R1. Tree Coefficients'!$G:$G,$F263+2))*($E263^INDEX('R1. Tree Coefficients'!$H:$H,$F263+2)),INDEX('R1. Tree Coefficients'!$D:$D,$F263+2)*($D263^INDEX('R1. Tree Coefficients'!$E:$E,$F263+2))))</f>
        <v/>
      </c>
      <c r="K263" s="14" t="str">
        <f aca="false">IF(OR($D263="",$F263=""),"",IF($E263&gt;0,INDEX('R1. Tree Coefficients'!$F:$F,$F263+3)*($D263^INDEX('R1. Tree Coefficients'!$G:$G,$F263+3))*($E263^INDEX('R1. Tree Coefficients'!$H:$H,$F263+3)),INDEX('R1. Tree Coefficients'!$D:$D,$F263+3)*($D263^INDEX('R1. Tree Coefficients'!$E:$E,$F263+3))))</f>
        <v/>
      </c>
      <c r="L263" s="14" t="str">
        <f aca="false">IF($F263="","",IFERROR(SUM($H263:$K263),""))</f>
        <v/>
      </c>
      <c r="M263" s="14" t="str">
        <f aca="false">IF($F263="","",INDEX('R1. Tree Coefficients'!$J:$J,$F263))</f>
        <v/>
      </c>
      <c r="N263" s="14" t="str">
        <f aca="false">IF($L263="","",IF($M263="Deciduous",BGB_RS_DECIDUOUS_a*($L263^BGB_RS_DECIDUOUS_b),IF($M263="Conifers",BGB_RS_CONIFER*$L263,AVERAGE(BGB_RS_DECIDUOUS_a*($L263^BGB_RS_DECIDUOUS_b),BGB_RS_CONIFER*$L263))))</f>
        <v/>
      </c>
      <c r="O263" s="14" t="str">
        <f aca="false">IF($L263="","",$L263+$N263)</f>
        <v/>
      </c>
      <c r="P263" s="14" t="str">
        <f aca="false">IF($O263="","",$O263*CARBON_FRACTION_BIOMASS)</f>
        <v/>
      </c>
      <c r="Q263" s="14" t="str">
        <f aca="false">IF(AND($A263="",$C263=""),"",IF(AND($A263&lt;&gt;"",COUNTIF('1. Plot &amp; Site Log'!$A$5:$A$64,$A263)=0),"Plot ID not in Plot &amp; Site Log — this tree will not reach the summary. ","")&amp;IF($A263="","No Plot ID. ","")&amp;IF(AND($C263&lt;&gt;"",$F263=""),"Species not in the coefficient list — check the spelling against R1. ","")&amp;IF($D263="","No DBH — nothing can be calculated. ","")&amp;IF(AND($D263&lt;&gt;"",$D263&gt;QC_DBH_MAX_CM),"DBH above "&amp;QC_DBH_MAX_CM&amp;" cm — check for a transcription error. ","")&amp;IF($M263="All","Generic species: no published root:shoot applies, so below-ground biomass is the mean of the deciduous and conifer relationships. Choose a species, or Deciduous/Conifers, if you can. ","")&amp;IF(AND($O263&lt;&gt;"",$O263&gt;0,OR($N263/$O263&lt;BGB_FRACTION_MIN,$N263/$O263&gt;BGB_FRACTION_MAX)),"Below-ground share is "&amp;TEXT($N263/$O263,"0%")&amp;", outside the 18–30% the Trees guide describes. ",""))</f>
        <v/>
      </c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4" t="str">
        <f aca="false">IF($C264="","",IFERROR(12+(MATCH($C264,'R1. Tree Coefficients'!$L$12:$L$53,0)-1)*4,""))</f>
        <v/>
      </c>
      <c r="G264" s="14" t="str">
        <f aca="false">IF($F264="","",IF(AND($E264&lt;&gt;"",$E264&gt;0),"DBH + height","DBH only"))</f>
        <v/>
      </c>
      <c r="H264" s="14" t="str">
        <f aca="false">IF(OR($D264="",$F264=""),"",IF($E264&gt;0,INDEX('R1. Tree Coefficients'!$F:$F,$F264+0)*($D264^INDEX('R1. Tree Coefficients'!$G:$G,$F264+0))*($E264^INDEX('R1. Tree Coefficients'!$H:$H,$F264+0)),INDEX('R1. Tree Coefficients'!$D:$D,$F264+0)*($D264^INDEX('R1. Tree Coefficients'!$E:$E,$F264+0))))</f>
        <v/>
      </c>
      <c r="I264" s="14" t="str">
        <f aca="false">IF(OR($D264="",$F264=""),"",IF($E264&gt;0,INDEX('R1. Tree Coefficients'!$F:$F,$F264+1)*($D264^INDEX('R1. Tree Coefficients'!$G:$G,$F264+1))*($E264^INDEX('R1. Tree Coefficients'!$H:$H,$F264+1)),INDEX('R1. Tree Coefficients'!$D:$D,$F264+1)*($D264^INDEX('R1. Tree Coefficients'!$E:$E,$F264+1))))</f>
        <v/>
      </c>
      <c r="J264" s="14" t="str">
        <f aca="false">IF(OR($D264="",$F264=""),"",IF($E264&gt;0,INDEX('R1. Tree Coefficients'!$F:$F,$F264+2)*($D264^INDEX('R1. Tree Coefficients'!$G:$G,$F264+2))*($E264^INDEX('R1. Tree Coefficients'!$H:$H,$F264+2)),INDEX('R1. Tree Coefficients'!$D:$D,$F264+2)*($D264^INDEX('R1. Tree Coefficients'!$E:$E,$F264+2))))</f>
        <v/>
      </c>
      <c r="K264" s="14" t="str">
        <f aca="false">IF(OR($D264="",$F264=""),"",IF($E264&gt;0,INDEX('R1. Tree Coefficients'!$F:$F,$F264+3)*($D264^INDEX('R1. Tree Coefficients'!$G:$G,$F264+3))*($E264^INDEX('R1. Tree Coefficients'!$H:$H,$F264+3)),INDEX('R1. Tree Coefficients'!$D:$D,$F264+3)*($D264^INDEX('R1. Tree Coefficients'!$E:$E,$F264+3))))</f>
        <v/>
      </c>
      <c r="L264" s="14" t="str">
        <f aca="false">IF($F264="","",IFERROR(SUM($H264:$K264),""))</f>
        <v/>
      </c>
      <c r="M264" s="14" t="str">
        <f aca="false">IF($F264="","",INDEX('R1. Tree Coefficients'!$J:$J,$F264))</f>
        <v/>
      </c>
      <c r="N264" s="14" t="str">
        <f aca="false">IF($L264="","",IF($M264="Deciduous",BGB_RS_DECIDUOUS_a*($L264^BGB_RS_DECIDUOUS_b),IF($M264="Conifers",BGB_RS_CONIFER*$L264,AVERAGE(BGB_RS_DECIDUOUS_a*($L264^BGB_RS_DECIDUOUS_b),BGB_RS_CONIFER*$L264))))</f>
        <v/>
      </c>
      <c r="O264" s="14" t="str">
        <f aca="false">IF($L264="","",$L264+$N264)</f>
        <v/>
      </c>
      <c r="P264" s="14" t="str">
        <f aca="false">IF($O264="","",$O264*CARBON_FRACTION_BIOMASS)</f>
        <v/>
      </c>
      <c r="Q264" s="14" t="str">
        <f aca="false">IF(AND($A264="",$C264=""),"",IF(AND($A264&lt;&gt;"",COUNTIF('1. Plot &amp; Site Log'!$A$5:$A$64,$A264)=0),"Plot ID not in Plot &amp; Site Log — this tree will not reach the summary. ","")&amp;IF($A264="","No Plot ID. ","")&amp;IF(AND($C264&lt;&gt;"",$F264=""),"Species not in the coefficient list — check the spelling against R1. ","")&amp;IF($D264="","No DBH — nothing can be calculated. ","")&amp;IF(AND($D264&lt;&gt;"",$D264&gt;QC_DBH_MAX_CM),"DBH above "&amp;QC_DBH_MAX_CM&amp;" cm — check for a transcription error. ","")&amp;IF($M264="All","Generic species: no published root:shoot applies, so below-ground biomass is the mean of the deciduous and conifer relationships. Choose a species, or Deciduous/Conifers, if you can. ","")&amp;IF(AND($O264&lt;&gt;"",$O264&gt;0,OR($N264/$O264&lt;BGB_FRACTION_MIN,$N264/$O264&gt;BGB_FRACTION_MAX)),"Below-ground share is "&amp;TEXT($N264/$O264,"0%")&amp;", outside the 18–30% the Trees guide describes. ",""))</f>
        <v/>
      </c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4" t="str">
        <f aca="false">IF($C265="","",IFERROR(12+(MATCH($C265,'R1. Tree Coefficients'!$L$12:$L$53,0)-1)*4,""))</f>
        <v/>
      </c>
      <c r="G265" s="14" t="str">
        <f aca="false">IF($F265="","",IF(AND($E265&lt;&gt;"",$E265&gt;0),"DBH + height","DBH only"))</f>
        <v/>
      </c>
      <c r="H265" s="14" t="str">
        <f aca="false">IF(OR($D265="",$F265=""),"",IF($E265&gt;0,INDEX('R1. Tree Coefficients'!$F:$F,$F265+0)*($D265^INDEX('R1. Tree Coefficients'!$G:$G,$F265+0))*($E265^INDEX('R1. Tree Coefficients'!$H:$H,$F265+0)),INDEX('R1. Tree Coefficients'!$D:$D,$F265+0)*($D265^INDEX('R1. Tree Coefficients'!$E:$E,$F265+0))))</f>
        <v/>
      </c>
      <c r="I265" s="14" t="str">
        <f aca="false">IF(OR($D265="",$F265=""),"",IF($E265&gt;0,INDEX('R1. Tree Coefficients'!$F:$F,$F265+1)*($D265^INDEX('R1. Tree Coefficients'!$G:$G,$F265+1))*($E265^INDEX('R1. Tree Coefficients'!$H:$H,$F265+1)),INDEX('R1. Tree Coefficients'!$D:$D,$F265+1)*($D265^INDEX('R1. Tree Coefficients'!$E:$E,$F265+1))))</f>
        <v/>
      </c>
      <c r="J265" s="14" t="str">
        <f aca="false">IF(OR($D265="",$F265=""),"",IF($E265&gt;0,INDEX('R1. Tree Coefficients'!$F:$F,$F265+2)*($D265^INDEX('R1. Tree Coefficients'!$G:$G,$F265+2))*($E265^INDEX('R1. Tree Coefficients'!$H:$H,$F265+2)),INDEX('R1. Tree Coefficients'!$D:$D,$F265+2)*($D265^INDEX('R1. Tree Coefficients'!$E:$E,$F265+2))))</f>
        <v/>
      </c>
      <c r="K265" s="14" t="str">
        <f aca="false">IF(OR($D265="",$F265=""),"",IF($E265&gt;0,INDEX('R1. Tree Coefficients'!$F:$F,$F265+3)*($D265^INDEX('R1. Tree Coefficients'!$G:$G,$F265+3))*($E265^INDEX('R1. Tree Coefficients'!$H:$H,$F265+3)),INDEX('R1. Tree Coefficients'!$D:$D,$F265+3)*($D265^INDEX('R1. Tree Coefficients'!$E:$E,$F265+3))))</f>
        <v/>
      </c>
      <c r="L265" s="14" t="str">
        <f aca="false">IF($F265="","",IFERROR(SUM($H265:$K265),""))</f>
        <v/>
      </c>
      <c r="M265" s="14" t="str">
        <f aca="false">IF($F265="","",INDEX('R1. Tree Coefficients'!$J:$J,$F265))</f>
        <v/>
      </c>
      <c r="N265" s="14" t="str">
        <f aca="false">IF($L265="","",IF($M265="Deciduous",BGB_RS_DECIDUOUS_a*($L265^BGB_RS_DECIDUOUS_b),IF($M265="Conifers",BGB_RS_CONIFER*$L265,AVERAGE(BGB_RS_DECIDUOUS_a*($L265^BGB_RS_DECIDUOUS_b),BGB_RS_CONIFER*$L265))))</f>
        <v/>
      </c>
      <c r="O265" s="14" t="str">
        <f aca="false">IF($L265="","",$L265+$N265)</f>
        <v/>
      </c>
      <c r="P265" s="14" t="str">
        <f aca="false">IF($O265="","",$O265*CARBON_FRACTION_BIOMASS)</f>
        <v/>
      </c>
      <c r="Q265" s="14" t="str">
        <f aca="false">IF(AND($A265="",$C265=""),"",IF(AND($A265&lt;&gt;"",COUNTIF('1. Plot &amp; Site Log'!$A$5:$A$64,$A265)=0),"Plot ID not in Plot &amp; Site Log — this tree will not reach the summary. ","")&amp;IF($A265="","No Plot ID. ","")&amp;IF(AND($C265&lt;&gt;"",$F265=""),"Species not in the coefficient list — check the spelling against R1. ","")&amp;IF($D265="","No DBH — nothing can be calculated. ","")&amp;IF(AND($D265&lt;&gt;"",$D265&gt;QC_DBH_MAX_CM),"DBH above "&amp;QC_DBH_MAX_CM&amp;" cm — check for a transcription error. ","")&amp;IF($M265="All","Generic species: no published root:shoot applies, so below-ground biomass is the mean of the deciduous and conifer relationships. Choose a species, or Deciduous/Conifers, if you can. ","")&amp;IF(AND($O265&lt;&gt;"",$O265&gt;0,OR($N265/$O265&lt;BGB_FRACTION_MIN,$N265/$O265&gt;BGB_FRACTION_MAX)),"Below-ground share is "&amp;TEXT($N265/$O265,"0%")&amp;", outside the 18–30% the Trees guide describes. ",""))</f>
        <v/>
      </c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4" t="str">
        <f aca="false">IF($C266="","",IFERROR(12+(MATCH($C266,'R1. Tree Coefficients'!$L$12:$L$53,0)-1)*4,""))</f>
        <v/>
      </c>
      <c r="G266" s="14" t="str">
        <f aca="false">IF($F266="","",IF(AND($E266&lt;&gt;"",$E266&gt;0),"DBH + height","DBH only"))</f>
        <v/>
      </c>
      <c r="H266" s="14" t="str">
        <f aca="false">IF(OR($D266="",$F266=""),"",IF($E266&gt;0,INDEX('R1. Tree Coefficients'!$F:$F,$F266+0)*($D266^INDEX('R1. Tree Coefficients'!$G:$G,$F266+0))*($E266^INDEX('R1. Tree Coefficients'!$H:$H,$F266+0)),INDEX('R1. Tree Coefficients'!$D:$D,$F266+0)*($D266^INDEX('R1. Tree Coefficients'!$E:$E,$F266+0))))</f>
        <v/>
      </c>
      <c r="I266" s="14" t="str">
        <f aca="false">IF(OR($D266="",$F266=""),"",IF($E266&gt;0,INDEX('R1. Tree Coefficients'!$F:$F,$F266+1)*($D266^INDEX('R1. Tree Coefficients'!$G:$G,$F266+1))*($E266^INDEX('R1. Tree Coefficients'!$H:$H,$F266+1)),INDEX('R1. Tree Coefficients'!$D:$D,$F266+1)*($D266^INDEX('R1. Tree Coefficients'!$E:$E,$F266+1))))</f>
        <v/>
      </c>
      <c r="J266" s="14" t="str">
        <f aca="false">IF(OR($D266="",$F266=""),"",IF($E266&gt;0,INDEX('R1. Tree Coefficients'!$F:$F,$F266+2)*($D266^INDEX('R1. Tree Coefficients'!$G:$G,$F266+2))*($E266^INDEX('R1. Tree Coefficients'!$H:$H,$F266+2)),INDEX('R1. Tree Coefficients'!$D:$D,$F266+2)*($D266^INDEX('R1. Tree Coefficients'!$E:$E,$F266+2))))</f>
        <v/>
      </c>
      <c r="K266" s="14" t="str">
        <f aca="false">IF(OR($D266="",$F266=""),"",IF($E266&gt;0,INDEX('R1. Tree Coefficients'!$F:$F,$F266+3)*($D266^INDEX('R1. Tree Coefficients'!$G:$G,$F266+3))*($E266^INDEX('R1. Tree Coefficients'!$H:$H,$F266+3)),INDEX('R1. Tree Coefficients'!$D:$D,$F266+3)*($D266^INDEX('R1. Tree Coefficients'!$E:$E,$F266+3))))</f>
        <v/>
      </c>
      <c r="L266" s="14" t="str">
        <f aca="false">IF($F266="","",IFERROR(SUM($H266:$K266),""))</f>
        <v/>
      </c>
      <c r="M266" s="14" t="str">
        <f aca="false">IF($F266="","",INDEX('R1. Tree Coefficients'!$J:$J,$F266))</f>
        <v/>
      </c>
      <c r="N266" s="14" t="str">
        <f aca="false">IF($L266="","",IF($M266="Deciduous",BGB_RS_DECIDUOUS_a*($L266^BGB_RS_DECIDUOUS_b),IF($M266="Conifers",BGB_RS_CONIFER*$L266,AVERAGE(BGB_RS_DECIDUOUS_a*($L266^BGB_RS_DECIDUOUS_b),BGB_RS_CONIFER*$L266))))</f>
        <v/>
      </c>
      <c r="O266" s="14" t="str">
        <f aca="false">IF($L266="","",$L266+$N266)</f>
        <v/>
      </c>
      <c r="P266" s="14" t="str">
        <f aca="false">IF($O266="","",$O266*CARBON_FRACTION_BIOMASS)</f>
        <v/>
      </c>
      <c r="Q266" s="14" t="str">
        <f aca="false">IF(AND($A266="",$C266=""),"",IF(AND($A266&lt;&gt;"",COUNTIF('1. Plot &amp; Site Log'!$A$5:$A$64,$A266)=0),"Plot ID not in Plot &amp; Site Log — this tree will not reach the summary. ","")&amp;IF($A266="","No Plot ID. ","")&amp;IF(AND($C266&lt;&gt;"",$F266=""),"Species not in the coefficient list — check the spelling against R1. ","")&amp;IF($D266="","No DBH — nothing can be calculated. ","")&amp;IF(AND($D266&lt;&gt;"",$D266&gt;QC_DBH_MAX_CM),"DBH above "&amp;QC_DBH_MAX_CM&amp;" cm — check for a transcription error. ","")&amp;IF($M266="All","Generic species: no published root:shoot applies, so below-ground biomass is the mean of the deciduous and conifer relationships. Choose a species, or Deciduous/Conifers, if you can. ","")&amp;IF(AND($O266&lt;&gt;"",$O266&gt;0,OR($N266/$O266&lt;BGB_FRACTION_MIN,$N266/$O266&gt;BGB_FRACTION_MAX)),"Below-ground share is "&amp;TEXT($N266/$O266,"0%")&amp;", outside the 18–30% the Trees guide describes. ",""))</f>
        <v/>
      </c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4" t="str">
        <f aca="false">IF($C267="","",IFERROR(12+(MATCH($C267,'R1. Tree Coefficients'!$L$12:$L$53,0)-1)*4,""))</f>
        <v/>
      </c>
      <c r="G267" s="14" t="str">
        <f aca="false">IF($F267="","",IF(AND($E267&lt;&gt;"",$E267&gt;0),"DBH + height","DBH only"))</f>
        <v/>
      </c>
      <c r="H267" s="14" t="str">
        <f aca="false">IF(OR($D267="",$F267=""),"",IF($E267&gt;0,INDEX('R1. Tree Coefficients'!$F:$F,$F267+0)*($D267^INDEX('R1. Tree Coefficients'!$G:$G,$F267+0))*($E267^INDEX('R1. Tree Coefficients'!$H:$H,$F267+0)),INDEX('R1. Tree Coefficients'!$D:$D,$F267+0)*($D267^INDEX('R1. Tree Coefficients'!$E:$E,$F267+0))))</f>
        <v/>
      </c>
      <c r="I267" s="14" t="str">
        <f aca="false">IF(OR($D267="",$F267=""),"",IF($E267&gt;0,INDEX('R1. Tree Coefficients'!$F:$F,$F267+1)*($D267^INDEX('R1. Tree Coefficients'!$G:$G,$F267+1))*($E267^INDEX('R1. Tree Coefficients'!$H:$H,$F267+1)),INDEX('R1. Tree Coefficients'!$D:$D,$F267+1)*($D267^INDEX('R1. Tree Coefficients'!$E:$E,$F267+1))))</f>
        <v/>
      </c>
      <c r="J267" s="14" t="str">
        <f aca="false">IF(OR($D267="",$F267=""),"",IF($E267&gt;0,INDEX('R1. Tree Coefficients'!$F:$F,$F267+2)*($D267^INDEX('R1. Tree Coefficients'!$G:$G,$F267+2))*($E267^INDEX('R1. Tree Coefficients'!$H:$H,$F267+2)),INDEX('R1. Tree Coefficients'!$D:$D,$F267+2)*($D267^INDEX('R1. Tree Coefficients'!$E:$E,$F267+2))))</f>
        <v/>
      </c>
      <c r="K267" s="14" t="str">
        <f aca="false">IF(OR($D267="",$F267=""),"",IF($E267&gt;0,INDEX('R1. Tree Coefficients'!$F:$F,$F267+3)*($D267^INDEX('R1. Tree Coefficients'!$G:$G,$F267+3))*($E267^INDEX('R1. Tree Coefficients'!$H:$H,$F267+3)),INDEX('R1. Tree Coefficients'!$D:$D,$F267+3)*($D267^INDEX('R1. Tree Coefficients'!$E:$E,$F267+3))))</f>
        <v/>
      </c>
      <c r="L267" s="14" t="str">
        <f aca="false">IF($F267="","",IFERROR(SUM($H267:$K267),""))</f>
        <v/>
      </c>
      <c r="M267" s="14" t="str">
        <f aca="false">IF($F267="","",INDEX('R1. Tree Coefficients'!$J:$J,$F267))</f>
        <v/>
      </c>
      <c r="N267" s="14" t="str">
        <f aca="false">IF($L267="","",IF($M267="Deciduous",BGB_RS_DECIDUOUS_a*($L267^BGB_RS_DECIDUOUS_b),IF($M267="Conifers",BGB_RS_CONIFER*$L267,AVERAGE(BGB_RS_DECIDUOUS_a*($L267^BGB_RS_DECIDUOUS_b),BGB_RS_CONIFER*$L267))))</f>
        <v/>
      </c>
      <c r="O267" s="14" t="str">
        <f aca="false">IF($L267="","",$L267+$N267)</f>
        <v/>
      </c>
      <c r="P267" s="14" t="str">
        <f aca="false">IF($O267="","",$O267*CARBON_FRACTION_BIOMASS)</f>
        <v/>
      </c>
      <c r="Q267" s="14" t="str">
        <f aca="false">IF(AND($A267="",$C267=""),"",IF(AND($A267&lt;&gt;"",COUNTIF('1. Plot &amp; Site Log'!$A$5:$A$64,$A267)=0),"Plot ID not in Plot &amp; Site Log — this tree will not reach the summary. ","")&amp;IF($A267="","No Plot ID. ","")&amp;IF(AND($C267&lt;&gt;"",$F267=""),"Species not in the coefficient list — check the spelling against R1. ","")&amp;IF($D267="","No DBH — nothing can be calculated. ","")&amp;IF(AND($D267&lt;&gt;"",$D267&gt;QC_DBH_MAX_CM),"DBH above "&amp;QC_DBH_MAX_CM&amp;" cm — check for a transcription error. ","")&amp;IF($M267="All","Generic species: no published root:shoot applies, so below-ground biomass is the mean of the deciduous and conifer relationships. Choose a species, or Deciduous/Conifers, if you can. ","")&amp;IF(AND($O267&lt;&gt;"",$O267&gt;0,OR($N267/$O267&lt;BGB_FRACTION_MIN,$N267/$O267&gt;BGB_FRACTION_MAX)),"Below-ground share is "&amp;TEXT($N267/$O267,"0%")&amp;", outside the 18–30% the Trees guide describes. ",""))</f>
        <v/>
      </c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4" t="str">
        <f aca="false">IF($C268="","",IFERROR(12+(MATCH($C268,'R1. Tree Coefficients'!$L$12:$L$53,0)-1)*4,""))</f>
        <v/>
      </c>
      <c r="G268" s="14" t="str">
        <f aca="false">IF($F268="","",IF(AND($E268&lt;&gt;"",$E268&gt;0),"DBH + height","DBH only"))</f>
        <v/>
      </c>
      <c r="H268" s="14" t="str">
        <f aca="false">IF(OR($D268="",$F268=""),"",IF($E268&gt;0,INDEX('R1. Tree Coefficients'!$F:$F,$F268+0)*($D268^INDEX('R1. Tree Coefficients'!$G:$G,$F268+0))*($E268^INDEX('R1. Tree Coefficients'!$H:$H,$F268+0)),INDEX('R1. Tree Coefficients'!$D:$D,$F268+0)*($D268^INDEX('R1. Tree Coefficients'!$E:$E,$F268+0))))</f>
        <v/>
      </c>
      <c r="I268" s="14" t="str">
        <f aca="false">IF(OR($D268="",$F268=""),"",IF($E268&gt;0,INDEX('R1. Tree Coefficients'!$F:$F,$F268+1)*($D268^INDEX('R1. Tree Coefficients'!$G:$G,$F268+1))*($E268^INDEX('R1. Tree Coefficients'!$H:$H,$F268+1)),INDEX('R1. Tree Coefficients'!$D:$D,$F268+1)*($D268^INDEX('R1. Tree Coefficients'!$E:$E,$F268+1))))</f>
        <v/>
      </c>
      <c r="J268" s="14" t="str">
        <f aca="false">IF(OR($D268="",$F268=""),"",IF($E268&gt;0,INDEX('R1. Tree Coefficients'!$F:$F,$F268+2)*($D268^INDEX('R1. Tree Coefficients'!$G:$G,$F268+2))*($E268^INDEX('R1. Tree Coefficients'!$H:$H,$F268+2)),INDEX('R1. Tree Coefficients'!$D:$D,$F268+2)*($D268^INDEX('R1. Tree Coefficients'!$E:$E,$F268+2))))</f>
        <v/>
      </c>
      <c r="K268" s="14" t="str">
        <f aca="false">IF(OR($D268="",$F268=""),"",IF($E268&gt;0,INDEX('R1. Tree Coefficients'!$F:$F,$F268+3)*($D268^INDEX('R1. Tree Coefficients'!$G:$G,$F268+3))*($E268^INDEX('R1. Tree Coefficients'!$H:$H,$F268+3)),INDEX('R1. Tree Coefficients'!$D:$D,$F268+3)*($D268^INDEX('R1. Tree Coefficients'!$E:$E,$F268+3))))</f>
        <v/>
      </c>
      <c r="L268" s="14" t="str">
        <f aca="false">IF($F268="","",IFERROR(SUM($H268:$K268),""))</f>
        <v/>
      </c>
      <c r="M268" s="14" t="str">
        <f aca="false">IF($F268="","",INDEX('R1. Tree Coefficients'!$J:$J,$F268))</f>
        <v/>
      </c>
      <c r="N268" s="14" t="str">
        <f aca="false">IF($L268="","",IF($M268="Deciduous",BGB_RS_DECIDUOUS_a*($L268^BGB_RS_DECIDUOUS_b),IF($M268="Conifers",BGB_RS_CONIFER*$L268,AVERAGE(BGB_RS_DECIDUOUS_a*($L268^BGB_RS_DECIDUOUS_b),BGB_RS_CONIFER*$L268))))</f>
        <v/>
      </c>
      <c r="O268" s="14" t="str">
        <f aca="false">IF($L268="","",$L268+$N268)</f>
        <v/>
      </c>
      <c r="P268" s="14" t="str">
        <f aca="false">IF($O268="","",$O268*CARBON_FRACTION_BIOMASS)</f>
        <v/>
      </c>
      <c r="Q268" s="14" t="str">
        <f aca="false">IF(AND($A268="",$C268=""),"",IF(AND($A268&lt;&gt;"",COUNTIF('1. Plot &amp; Site Log'!$A$5:$A$64,$A268)=0),"Plot ID not in Plot &amp; Site Log — this tree will not reach the summary. ","")&amp;IF($A268="","No Plot ID. ","")&amp;IF(AND($C268&lt;&gt;"",$F268=""),"Species not in the coefficient list — check the spelling against R1. ","")&amp;IF($D268="","No DBH — nothing can be calculated. ","")&amp;IF(AND($D268&lt;&gt;"",$D268&gt;QC_DBH_MAX_CM),"DBH above "&amp;QC_DBH_MAX_CM&amp;" cm — check for a transcription error. ","")&amp;IF($M268="All","Generic species: no published root:shoot applies, so below-ground biomass is the mean of the deciduous and conifer relationships. Choose a species, or Deciduous/Conifers, if you can. ","")&amp;IF(AND($O268&lt;&gt;"",$O268&gt;0,OR($N268/$O268&lt;BGB_FRACTION_MIN,$N268/$O268&gt;BGB_FRACTION_MAX)),"Below-ground share is "&amp;TEXT($N268/$O268,"0%")&amp;", outside the 18–30% the Trees guide describes. ",""))</f>
        <v/>
      </c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4" t="str">
        <f aca="false">IF($C269="","",IFERROR(12+(MATCH($C269,'R1. Tree Coefficients'!$L$12:$L$53,0)-1)*4,""))</f>
        <v/>
      </c>
      <c r="G269" s="14" t="str">
        <f aca="false">IF($F269="","",IF(AND($E269&lt;&gt;"",$E269&gt;0),"DBH + height","DBH only"))</f>
        <v/>
      </c>
      <c r="H269" s="14" t="str">
        <f aca="false">IF(OR($D269="",$F269=""),"",IF($E269&gt;0,INDEX('R1. Tree Coefficients'!$F:$F,$F269+0)*($D269^INDEX('R1. Tree Coefficients'!$G:$G,$F269+0))*($E269^INDEX('R1. Tree Coefficients'!$H:$H,$F269+0)),INDEX('R1. Tree Coefficients'!$D:$D,$F269+0)*($D269^INDEX('R1. Tree Coefficients'!$E:$E,$F269+0))))</f>
        <v/>
      </c>
      <c r="I269" s="14" t="str">
        <f aca="false">IF(OR($D269="",$F269=""),"",IF($E269&gt;0,INDEX('R1. Tree Coefficients'!$F:$F,$F269+1)*($D269^INDEX('R1. Tree Coefficients'!$G:$G,$F269+1))*($E269^INDEX('R1. Tree Coefficients'!$H:$H,$F269+1)),INDEX('R1. Tree Coefficients'!$D:$D,$F269+1)*($D269^INDEX('R1. Tree Coefficients'!$E:$E,$F269+1))))</f>
        <v/>
      </c>
      <c r="J269" s="14" t="str">
        <f aca="false">IF(OR($D269="",$F269=""),"",IF($E269&gt;0,INDEX('R1. Tree Coefficients'!$F:$F,$F269+2)*($D269^INDEX('R1. Tree Coefficients'!$G:$G,$F269+2))*($E269^INDEX('R1. Tree Coefficients'!$H:$H,$F269+2)),INDEX('R1. Tree Coefficients'!$D:$D,$F269+2)*($D269^INDEX('R1. Tree Coefficients'!$E:$E,$F269+2))))</f>
        <v/>
      </c>
      <c r="K269" s="14" t="str">
        <f aca="false">IF(OR($D269="",$F269=""),"",IF($E269&gt;0,INDEX('R1. Tree Coefficients'!$F:$F,$F269+3)*($D269^INDEX('R1. Tree Coefficients'!$G:$G,$F269+3))*($E269^INDEX('R1. Tree Coefficients'!$H:$H,$F269+3)),INDEX('R1. Tree Coefficients'!$D:$D,$F269+3)*($D269^INDEX('R1. Tree Coefficients'!$E:$E,$F269+3))))</f>
        <v/>
      </c>
      <c r="L269" s="14" t="str">
        <f aca="false">IF($F269="","",IFERROR(SUM($H269:$K269),""))</f>
        <v/>
      </c>
      <c r="M269" s="14" t="str">
        <f aca="false">IF($F269="","",INDEX('R1. Tree Coefficients'!$J:$J,$F269))</f>
        <v/>
      </c>
      <c r="N269" s="14" t="str">
        <f aca="false">IF($L269="","",IF($M269="Deciduous",BGB_RS_DECIDUOUS_a*($L269^BGB_RS_DECIDUOUS_b),IF($M269="Conifers",BGB_RS_CONIFER*$L269,AVERAGE(BGB_RS_DECIDUOUS_a*($L269^BGB_RS_DECIDUOUS_b),BGB_RS_CONIFER*$L269))))</f>
        <v/>
      </c>
      <c r="O269" s="14" t="str">
        <f aca="false">IF($L269="","",$L269+$N269)</f>
        <v/>
      </c>
      <c r="P269" s="14" t="str">
        <f aca="false">IF($O269="","",$O269*CARBON_FRACTION_BIOMASS)</f>
        <v/>
      </c>
      <c r="Q269" s="14" t="str">
        <f aca="false">IF(AND($A269="",$C269=""),"",IF(AND($A269&lt;&gt;"",COUNTIF('1. Plot &amp; Site Log'!$A$5:$A$64,$A269)=0),"Plot ID not in Plot &amp; Site Log — this tree will not reach the summary. ","")&amp;IF($A269="","No Plot ID. ","")&amp;IF(AND($C269&lt;&gt;"",$F269=""),"Species not in the coefficient list — check the spelling against R1. ","")&amp;IF($D269="","No DBH — nothing can be calculated. ","")&amp;IF(AND($D269&lt;&gt;"",$D269&gt;QC_DBH_MAX_CM),"DBH above "&amp;QC_DBH_MAX_CM&amp;" cm — check for a transcription error. ","")&amp;IF($M269="All","Generic species: no published root:shoot applies, so below-ground biomass is the mean of the deciduous and conifer relationships. Choose a species, or Deciduous/Conifers, if you can. ","")&amp;IF(AND($O269&lt;&gt;"",$O269&gt;0,OR($N269/$O269&lt;BGB_FRACTION_MIN,$N269/$O269&gt;BGB_FRACTION_MAX)),"Below-ground share is "&amp;TEXT($N269/$O269,"0%")&amp;", outside the 18–30% the Trees guide describes. ",""))</f>
        <v/>
      </c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4" t="str">
        <f aca="false">IF($C270="","",IFERROR(12+(MATCH($C270,'R1. Tree Coefficients'!$L$12:$L$53,0)-1)*4,""))</f>
        <v/>
      </c>
      <c r="G270" s="14" t="str">
        <f aca="false">IF($F270="","",IF(AND($E270&lt;&gt;"",$E270&gt;0),"DBH + height","DBH only"))</f>
        <v/>
      </c>
      <c r="H270" s="14" t="str">
        <f aca="false">IF(OR($D270="",$F270=""),"",IF($E270&gt;0,INDEX('R1. Tree Coefficients'!$F:$F,$F270+0)*($D270^INDEX('R1. Tree Coefficients'!$G:$G,$F270+0))*($E270^INDEX('R1. Tree Coefficients'!$H:$H,$F270+0)),INDEX('R1. Tree Coefficients'!$D:$D,$F270+0)*($D270^INDEX('R1. Tree Coefficients'!$E:$E,$F270+0))))</f>
        <v/>
      </c>
      <c r="I270" s="14" t="str">
        <f aca="false">IF(OR($D270="",$F270=""),"",IF($E270&gt;0,INDEX('R1. Tree Coefficients'!$F:$F,$F270+1)*($D270^INDEX('R1. Tree Coefficients'!$G:$G,$F270+1))*($E270^INDEX('R1. Tree Coefficients'!$H:$H,$F270+1)),INDEX('R1. Tree Coefficients'!$D:$D,$F270+1)*($D270^INDEX('R1. Tree Coefficients'!$E:$E,$F270+1))))</f>
        <v/>
      </c>
      <c r="J270" s="14" t="str">
        <f aca="false">IF(OR($D270="",$F270=""),"",IF($E270&gt;0,INDEX('R1. Tree Coefficients'!$F:$F,$F270+2)*($D270^INDEX('R1. Tree Coefficients'!$G:$G,$F270+2))*($E270^INDEX('R1. Tree Coefficients'!$H:$H,$F270+2)),INDEX('R1. Tree Coefficients'!$D:$D,$F270+2)*($D270^INDEX('R1. Tree Coefficients'!$E:$E,$F270+2))))</f>
        <v/>
      </c>
      <c r="K270" s="14" t="str">
        <f aca="false">IF(OR($D270="",$F270=""),"",IF($E270&gt;0,INDEX('R1. Tree Coefficients'!$F:$F,$F270+3)*($D270^INDEX('R1. Tree Coefficients'!$G:$G,$F270+3))*($E270^INDEX('R1. Tree Coefficients'!$H:$H,$F270+3)),INDEX('R1. Tree Coefficients'!$D:$D,$F270+3)*($D270^INDEX('R1. Tree Coefficients'!$E:$E,$F270+3))))</f>
        <v/>
      </c>
      <c r="L270" s="14" t="str">
        <f aca="false">IF($F270="","",IFERROR(SUM($H270:$K270),""))</f>
        <v/>
      </c>
      <c r="M270" s="14" t="str">
        <f aca="false">IF($F270="","",INDEX('R1. Tree Coefficients'!$J:$J,$F270))</f>
        <v/>
      </c>
      <c r="N270" s="14" t="str">
        <f aca="false">IF($L270="","",IF($M270="Deciduous",BGB_RS_DECIDUOUS_a*($L270^BGB_RS_DECIDUOUS_b),IF($M270="Conifers",BGB_RS_CONIFER*$L270,AVERAGE(BGB_RS_DECIDUOUS_a*($L270^BGB_RS_DECIDUOUS_b),BGB_RS_CONIFER*$L270))))</f>
        <v/>
      </c>
      <c r="O270" s="14" t="str">
        <f aca="false">IF($L270="","",$L270+$N270)</f>
        <v/>
      </c>
      <c r="P270" s="14" t="str">
        <f aca="false">IF($O270="","",$O270*CARBON_FRACTION_BIOMASS)</f>
        <v/>
      </c>
      <c r="Q270" s="14" t="str">
        <f aca="false">IF(AND($A270="",$C270=""),"",IF(AND($A270&lt;&gt;"",COUNTIF('1. Plot &amp; Site Log'!$A$5:$A$64,$A270)=0),"Plot ID not in Plot &amp; Site Log — this tree will not reach the summary. ","")&amp;IF($A270="","No Plot ID. ","")&amp;IF(AND($C270&lt;&gt;"",$F270=""),"Species not in the coefficient list — check the spelling against R1. ","")&amp;IF($D270="","No DBH — nothing can be calculated. ","")&amp;IF(AND($D270&lt;&gt;"",$D270&gt;QC_DBH_MAX_CM),"DBH above "&amp;QC_DBH_MAX_CM&amp;" cm — check for a transcription error. ","")&amp;IF($M270="All","Generic species: no published root:shoot applies, so below-ground biomass is the mean of the deciduous and conifer relationships. Choose a species, or Deciduous/Conifers, if you can. ","")&amp;IF(AND($O270&lt;&gt;"",$O270&gt;0,OR($N270/$O270&lt;BGB_FRACTION_MIN,$N270/$O270&gt;BGB_FRACTION_MAX)),"Below-ground share is "&amp;TEXT($N270/$O270,"0%")&amp;", outside the 18–30% the Trees guide describes. ",""))</f>
        <v/>
      </c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4" t="str">
        <f aca="false">IF($C271="","",IFERROR(12+(MATCH($C271,'R1. Tree Coefficients'!$L$12:$L$53,0)-1)*4,""))</f>
        <v/>
      </c>
      <c r="G271" s="14" t="str">
        <f aca="false">IF($F271="","",IF(AND($E271&lt;&gt;"",$E271&gt;0),"DBH + height","DBH only"))</f>
        <v/>
      </c>
      <c r="H271" s="14" t="str">
        <f aca="false">IF(OR($D271="",$F271=""),"",IF($E271&gt;0,INDEX('R1. Tree Coefficients'!$F:$F,$F271+0)*($D271^INDEX('R1. Tree Coefficients'!$G:$G,$F271+0))*($E271^INDEX('R1. Tree Coefficients'!$H:$H,$F271+0)),INDEX('R1. Tree Coefficients'!$D:$D,$F271+0)*($D271^INDEX('R1. Tree Coefficients'!$E:$E,$F271+0))))</f>
        <v/>
      </c>
      <c r="I271" s="14" t="str">
        <f aca="false">IF(OR($D271="",$F271=""),"",IF($E271&gt;0,INDEX('R1. Tree Coefficients'!$F:$F,$F271+1)*($D271^INDEX('R1. Tree Coefficients'!$G:$G,$F271+1))*($E271^INDEX('R1. Tree Coefficients'!$H:$H,$F271+1)),INDEX('R1. Tree Coefficients'!$D:$D,$F271+1)*($D271^INDEX('R1. Tree Coefficients'!$E:$E,$F271+1))))</f>
        <v/>
      </c>
      <c r="J271" s="14" t="str">
        <f aca="false">IF(OR($D271="",$F271=""),"",IF($E271&gt;0,INDEX('R1. Tree Coefficients'!$F:$F,$F271+2)*($D271^INDEX('R1. Tree Coefficients'!$G:$G,$F271+2))*($E271^INDEX('R1. Tree Coefficients'!$H:$H,$F271+2)),INDEX('R1. Tree Coefficients'!$D:$D,$F271+2)*($D271^INDEX('R1. Tree Coefficients'!$E:$E,$F271+2))))</f>
        <v/>
      </c>
      <c r="K271" s="14" t="str">
        <f aca="false">IF(OR($D271="",$F271=""),"",IF($E271&gt;0,INDEX('R1. Tree Coefficients'!$F:$F,$F271+3)*($D271^INDEX('R1. Tree Coefficients'!$G:$G,$F271+3))*($E271^INDEX('R1. Tree Coefficients'!$H:$H,$F271+3)),INDEX('R1. Tree Coefficients'!$D:$D,$F271+3)*($D271^INDEX('R1. Tree Coefficients'!$E:$E,$F271+3))))</f>
        <v/>
      </c>
      <c r="L271" s="14" t="str">
        <f aca="false">IF($F271="","",IFERROR(SUM($H271:$K271),""))</f>
        <v/>
      </c>
      <c r="M271" s="14" t="str">
        <f aca="false">IF($F271="","",INDEX('R1. Tree Coefficients'!$J:$J,$F271))</f>
        <v/>
      </c>
      <c r="N271" s="14" t="str">
        <f aca="false">IF($L271="","",IF($M271="Deciduous",BGB_RS_DECIDUOUS_a*($L271^BGB_RS_DECIDUOUS_b),IF($M271="Conifers",BGB_RS_CONIFER*$L271,AVERAGE(BGB_RS_DECIDUOUS_a*($L271^BGB_RS_DECIDUOUS_b),BGB_RS_CONIFER*$L271))))</f>
        <v/>
      </c>
      <c r="O271" s="14" t="str">
        <f aca="false">IF($L271="","",$L271+$N271)</f>
        <v/>
      </c>
      <c r="P271" s="14" t="str">
        <f aca="false">IF($O271="","",$O271*CARBON_FRACTION_BIOMASS)</f>
        <v/>
      </c>
      <c r="Q271" s="14" t="str">
        <f aca="false">IF(AND($A271="",$C271=""),"",IF(AND($A271&lt;&gt;"",COUNTIF('1. Plot &amp; Site Log'!$A$5:$A$64,$A271)=0),"Plot ID not in Plot &amp; Site Log — this tree will not reach the summary. ","")&amp;IF($A271="","No Plot ID. ","")&amp;IF(AND($C271&lt;&gt;"",$F271=""),"Species not in the coefficient list — check the spelling against R1. ","")&amp;IF($D271="","No DBH — nothing can be calculated. ","")&amp;IF(AND($D271&lt;&gt;"",$D271&gt;QC_DBH_MAX_CM),"DBH above "&amp;QC_DBH_MAX_CM&amp;" cm — check for a transcription error. ","")&amp;IF($M271="All","Generic species: no published root:shoot applies, so below-ground biomass is the mean of the deciduous and conifer relationships. Choose a species, or Deciduous/Conifers, if you can. ","")&amp;IF(AND($O271&lt;&gt;"",$O271&gt;0,OR($N271/$O271&lt;BGB_FRACTION_MIN,$N271/$O271&gt;BGB_FRACTION_MAX)),"Below-ground share is "&amp;TEXT($N271/$O271,"0%")&amp;", outside the 18–30% the Trees guide describes. ",""))</f>
        <v/>
      </c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4" t="str">
        <f aca="false">IF($C272="","",IFERROR(12+(MATCH($C272,'R1. Tree Coefficients'!$L$12:$L$53,0)-1)*4,""))</f>
        <v/>
      </c>
      <c r="G272" s="14" t="str">
        <f aca="false">IF($F272="","",IF(AND($E272&lt;&gt;"",$E272&gt;0),"DBH + height","DBH only"))</f>
        <v/>
      </c>
      <c r="H272" s="14" t="str">
        <f aca="false">IF(OR($D272="",$F272=""),"",IF($E272&gt;0,INDEX('R1. Tree Coefficients'!$F:$F,$F272+0)*($D272^INDEX('R1. Tree Coefficients'!$G:$G,$F272+0))*($E272^INDEX('R1. Tree Coefficients'!$H:$H,$F272+0)),INDEX('R1. Tree Coefficients'!$D:$D,$F272+0)*($D272^INDEX('R1. Tree Coefficients'!$E:$E,$F272+0))))</f>
        <v/>
      </c>
      <c r="I272" s="14" t="str">
        <f aca="false">IF(OR($D272="",$F272=""),"",IF($E272&gt;0,INDEX('R1. Tree Coefficients'!$F:$F,$F272+1)*($D272^INDEX('R1. Tree Coefficients'!$G:$G,$F272+1))*($E272^INDEX('R1. Tree Coefficients'!$H:$H,$F272+1)),INDEX('R1. Tree Coefficients'!$D:$D,$F272+1)*($D272^INDEX('R1. Tree Coefficients'!$E:$E,$F272+1))))</f>
        <v/>
      </c>
      <c r="J272" s="14" t="str">
        <f aca="false">IF(OR($D272="",$F272=""),"",IF($E272&gt;0,INDEX('R1. Tree Coefficients'!$F:$F,$F272+2)*($D272^INDEX('R1. Tree Coefficients'!$G:$G,$F272+2))*($E272^INDEX('R1. Tree Coefficients'!$H:$H,$F272+2)),INDEX('R1. Tree Coefficients'!$D:$D,$F272+2)*($D272^INDEX('R1. Tree Coefficients'!$E:$E,$F272+2))))</f>
        <v/>
      </c>
      <c r="K272" s="14" t="str">
        <f aca="false">IF(OR($D272="",$F272=""),"",IF($E272&gt;0,INDEX('R1. Tree Coefficients'!$F:$F,$F272+3)*($D272^INDEX('R1. Tree Coefficients'!$G:$G,$F272+3))*($E272^INDEX('R1. Tree Coefficients'!$H:$H,$F272+3)),INDEX('R1. Tree Coefficients'!$D:$D,$F272+3)*($D272^INDEX('R1. Tree Coefficients'!$E:$E,$F272+3))))</f>
        <v/>
      </c>
      <c r="L272" s="14" t="str">
        <f aca="false">IF($F272="","",IFERROR(SUM($H272:$K272),""))</f>
        <v/>
      </c>
      <c r="M272" s="14" t="str">
        <f aca="false">IF($F272="","",INDEX('R1. Tree Coefficients'!$J:$J,$F272))</f>
        <v/>
      </c>
      <c r="N272" s="14" t="str">
        <f aca="false">IF($L272="","",IF($M272="Deciduous",BGB_RS_DECIDUOUS_a*($L272^BGB_RS_DECIDUOUS_b),IF($M272="Conifers",BGB_RS_CONIFER*$L272,AVERAGE(BGB_RS_DECIDUOUS_a*($L272^BGB_RS_DECIDUOUS_b),BGB_RS_CONIFER*$L272))))</f>
        <v/>
      </c>
      <c r="O272" s="14" t="str">
        <f aca="false">IF($L272="","",$L272+$N272)</f>
        <v/>
      </c>
      <c r="P272" s="14" t="str">
        <f aca="false">IF($O272="","",$O272*CARBON_FRACTION_BIOMASS)</f>
        <v/>
      </c>
      <c r="Q272" s="14" t="str">
        <f aca="false">IF(AND($A272="",$C272=""),"",IF(AND($A272&lt;&gt;"",COUNTIF('1. Plot &amp; Site Log'!$A$5:$A$64,$A272)=0),"Plot ID not in Plot &amp; Site Log — this tree will not reach the summary. ","")&amp;IF($A272="","No Plot ID. ","")&amp;IF(AND($C272&lt;&gt;"",$F272=""),"Species not in the coefficient list — check the spelling against R1. ","")&amp;IF($D272="","No DBH — nothing can be calculated. ","")&amp;IF(AND($D272&lt;&gt;"",$D272&gt;QC_DBH_MAX_CM),"DBH above "&amp;QC_DBH_MAX_CM&amp;" cm — check for a transcription error. ","")&amp;IF($M272="All","Generic species: no published root:shoot applies, so below-ground biomass is the mean of the deciduous and conifer relationships. Choose a species, or Deciduous/Conifers, if you can. ","")&amp;IF(AND($O272&lt;&gt;"",$O272&gt;0,OR($N272/$O272&lt;BGB_FRACTION_MIN,$N272/$O272&gt;BGB_FRACTION_MAX)),"Below-ground share is "&amp;TEXT($N272/$O272,"0%")&amp;", outside the 18–30% the Trees guide describes. ",""))</f>
        <v/>
      </c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4" t="str">
        <f aca="false">IF($C273="","",IFERROR(12+(MATCH($C273,'R1. Tree Coefficients'!$L$12:$L$53,0)-1)*4,""))</f>
        <v/>
      </c>
      <c r="G273" s="14" t="str">
        <f aca="false">IF($F273="","",IF(AND($E273&lt;&gt;"",$E273&gt;0),"DBH + height","DBH only"))</f>
        <v/>
      </c>
      <c r="H273" s="14" t="str">
        <f aca="false">IF(OR($D273="",$F273=""),"",IF($E273&gt;0,INDEX('R1. Tree Coefficients'!$F:$F,$F273+0)*($D273^INDEX('R1. Tree Coefficients'!$G:$G,$F273+0))*($E273^INDEX('R1. Tree Coefficients'!$H:$H,$F273+0)),INDEX('R1. Tree Coefficients'!$D:$D,$F273+0)*($D273^INDEX('R1. Tree Coefficients'!$E:$E,$F273+0))))</f>
        <v/>
      </c>
      <c r="I273" s="14" t="str">
        <f aca="false">IF(OR($D273="",$F273=""),"",IF($E273&gt;0,INDEX('R1. Tree Coefficients'!$F:$F,$F273+1)*($D273^INDEX('R1. Tree Coefficients'!$G:$G,$F273+1))*($E273^INDEX('R1. Tree Coefficients'!$H:$H,$F273+1)),INDEX('R1. Tree Coefficients'!$D:$D,$F273+1)*($D273^INDEX('R1. Tree Coefficients'!$E:$E,$F273+1))))</f>
        <v/>
      </c>
      <c r="J273" s="14" t="str">
        <f aca="false">IF(OR($D273="",$F273=""),"",IF($E273&gt;0,INDEX('R1. Tree Coefficients'!$F:$F,$F273+2)*($D273^INDEX('R1. Tree Coefficients'!$G:$G,$F273+2))*($E273^INDEX('R1. Tree Coefficients'!$H:$H,$F273+2)),INDEX('R1. Tree Coefficients'!$D:$D,$F273+2)*($D273^INDEX('R1. Tree Coefficients'!$E:$E,$F273+2))))</f>
        <v/>
      </c>
      <c r="K273" s="14" t="str">
        <f aca="false">IF(OR($D273="",$F273=""),"",IF($E273&gt;0,INDEX('R1. Tree Coefficients'!$F:$F,$F273+3)*($D273^INDEX('R1. Tree Coefficients'!$G:$G,$F273+3))*($E273^INDEX('R1. Tree Coefficients'!$H:$H,$F273+3)),INDEX('R1. Tree Coefficients'!$D:$D,$F273+3)*($D273^INDEX('R1. Tree Coefficients'!$E:$E,$F273+3))))</f>
        <v/>
      </c>
      <c r="L273" s="14" t="str">
        <f aca="false">IF($F273="","",IFERROR(SUM($H273:$K273),""))</f>
        <v/>
      </c>
      <c r="M273" s="14" t="str">
        <f aca="false">IF($F273="","",INDEX('R1. Tree Coefficients'!$J:$J,$F273))</f>
        <v/>
      </c>
      <c r="N273" s="14" t="str">
        <f aca="false">IF($L273="","",IF($M273="Deciduous",BGB_RS_DECIDUOUS_a*($L273^BGB_RS_DECIDUOUS_b),IF($M273="Conifers",BGB_RS_CONIFER*$L273,AVERAGE(BGB_RS_DECIDUOUS_a*($L273^BGB_RS_DECIDUOUS_b),BGB_RS_CONIFER*$L273))))</f>
        <v/>
      </c>
      <c r="O273" s="14" t="str">
        <f aca="false">IF($L273="","",$L273+$N273)</f>
        <v/>
      </c>
      <c r="P273" s="14" t="str">
        <f aca="false">IF($O273="","",$O273*CARBON_FRACTION_BIOMASS)</f>
        <v/>
      </c>
      <c r="Q273" s="14" t="str">
        <f aca="false">IF(AND($A273="",$C273=""),"",IF(AND($A273&lt;&gt;"",COUNTIF('1. Plot &amp; Site Log'!$A$5:$A$64,$A273)=0),"Plot ID not in Plot &amp; Site Log — this tree will not reach the summary. ","")&amp;IF($A273="","No Plot ID. ","")&amp;IF(AND($C273&lt;&gt;"",$F273=""),"Species not in the coefficient list — check the spelling against R1. ","")&amp;IF($D273="","No DBH — nothing can be calculated. ","")&amp;IF(AND($D273&lt;&gt;"",$D273&gt;QC_DBH_MAX_CM),"DBH above "&amp;QC_DBH_MAX_CM&amp;" cm — check for a transcription error. ","")&amp;IF($M273="All","Generic species: no published root:shoot applies, so below-ground biomass is the mean of the deciduous and conifer relationships. Choose a species, or Deciduous/Conifers, if you can. ","")&amp;IF(AND($O273&lt;&gt;"",$O273&gt;0,OR($N273/$O273&lt;BGB_FRACTION_MIN,$N273/$O273&gt;BGB_FRACTION_MAX)),"Below-ground share is "&amp;TEXT($N273/$O273,"0%")&amp;", outside the 18–30% the Trees guide describes. ",""))</f>
        <v/>
      </c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4" t="str">
        <f aca="false">IF($C274="","",IFERROR(12+(MATCH($C274,'R1. Tree Coefficients'!$L$12:$L$53,0)-1)*4,""))</f>
        <v/>
      </c>
      <c r="G274" s="14" t="str">
        <f aca="false">IF($F274="","",IF(AND($E274&lt;&gt;"",$E274&gt;0),"DBH + height","DBH only"))</f>
        <v/>
      </c>
      <c r="H274" s="14" t="str">
        <f aca="false">IF(OR($D274="",$F274=""),"",IF($E274&gt;0,INDEX('R1. Tree Coefficients'!$F:$F,$F274+0)*($D274^INDEX('R1. Tree Coefficients'!$G:$G,$F274+0))*($E274^INDEX('R1. Tree Coefficients'!$H:$H,$F274+0)),INDEX('R1. Tree Coefficients'!$D:$D,$F274+0)*($D274^INDEX('R1. Tree Coefficients'!$E:$E,$F274+0))))</f>
        <v/>
      </c>
      <c r="I274" s="14" t="str">
        <f aca="false">IF(OR($D274="",$F274=""),"",IF($E274&gt;0,INDEX('R1. Tree Coefficients'!$F:$F,$F274+1)*($D274^INDEX('R1. Tree Coefficients'!$G:$G,$F274+1))*($E274^INDEX('R1. Tree Coefficients'!$H:$H,$F274+1)),INDEX('R1. Tree Coefficients'!$D:$D,$F274+1)*($D274^INDEX('R1. Tree Coefficients'!$E:$E,$F274+1))))</f>
        <v/>
      </c>
      <c r="J274" s="14" t="str">
        <f aca="false">IF(OR($D274="",$F274=""),"",IF($E274&gt;0,INDEX('R1. Tree Coefficients'!$F:$F,$F274+2)*($D274^INDEX('R1. Tree Coefficients'!$G:$G,$F274+2))*($E274^INDEX('R1. Tree Coefficients'!$H:$H,$F274+2)),INDEX('R1. Tree Coefficients'!$D:$D,$F274+2)*($D274^INDEX('R1. Tree Coefficients'!$E:$E,$F274+2))))</f>
        <v/>
      </c>
      <c r="K274" s="14" t="str">
        <f aca="false">IF(OR($D274="",$F274=""),"",IF($E274&gt;0,INDEX('R1. Tree Coefficients'!$F:$F,$F274+3)*($D274^INDEX('R1. Tree Coefficients'!$G:$G,$F274+3))*($E274^INDEX('R1. Tree Coefficients'!$H:$H,$F274+3)),INDEX('R1. Tree Coefficients'!$D:$D,$F274+3)*($D274^INDEX('R1. Tree Coefficients'!$E:$E,$F274+3))))</f>
        <v/>
      </c>
      <c r="L274" s="14" t="str">
        <f aca="false">IF($F274="","",IFERROR(SUM($H274:$K274),""))</f>
        <v/>
      </c>
      <c r="M274" s="14" t="str">
        <f aca="false">IF($F274="","",INDEX('R1. Tree Coefficients'!$J:$J,$F274))</f>
        <v/>
      </c>
      <c r="N274" s="14" t="str">
        <f aca="false">IF($L274="","",IF($M274="Deciduous",BGB_RS_DECIDUOUS_a*($L274^BGB_RS_DECIDUOUS_b),IF($M274="Conifers",BGB_RS_CONIFER*$L274,AVERAGE(BGB_RS_DECIDUOUS_a*($L274^BGB_RS_DECIDUOUS_b),BGB_RS_CONIFER*$L274))))</f>
        <v/>
      </c>
      <c r="O274" s="14" t="str">
        <f aca="false">IF($L274="","",$L274+$N274)</f>
        <v/>
      </c>
      <c r="P274" s="14" t="str">
        <f aca="false">IF($O274="","",$O274*CARBON_FRACTION_BIOMASS)</f>
        <v/>
      </c>
      <c r="Q274" s="14" t="str">
        <f aca="false">IF(AND($A274="",$C274=""),"",IF(AND($A274&lt;&gt;"",COUNTIF('1. Plot &amp; Site Log'!$A$5:$A$64,$A274)=0),"Plot ID not in Plot &amp; Site Log — this tree will not reach the summary. ","")&amp;IF($A274="","No Plot ID. ","")&amp;IF(AND($C274&lt;&gt;"",$F274=""),"Species not in the coefficient list — check the spelling against R1. ","")&amp;IF($D274="","No DBH — nothing can be calculated. ","")&amp;IF(AND($D274&lt;&gt;"",$D274&gt;QC_DBH_MAX_CM),"DBH above "&amp;QC_DBH_MAX_CM&amp;" cm — check for a transcription error. ","")&amp;IF($M274="All","Generic species: no published root:shoot applies, so below-ground biomass is the mean of the deciduous and conifer relationships. Choose a species, or Deciduous/Conifers, if you can. ","")&amp;IF(AND($O274&lt;&gt;"",$O274&gt;0,OR($N274/$O274&lt;BGB_FRACTION_MIN,$N274/$O274&gt;BGB_FRACTION_MAX)),"Below-ground share is "&amp;TEXT($N274/$O274,"0%")&amp;", outside the 18–30% the Trees guide describes. ",""))</f>
        <v/>
      </c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4" t="str">
        <f aca="false">IF($C275="","",IFERROR(12+(MATCH($C275,'R1. Tree Coefficients'!$L$12:$L$53,0)-1)*4,""))</f>
        <v/>
      </c>
      <c r="G275" s="14" t="str">
        <f aca="false">IF($F275="","",IF(AND($E275&lt;&gt;"",$E275&gt;0),"DBH + height","DBH only"))</f>
        <v/>
      </c>
      <c r="H275" s="14" t="str">
        <f aca="false">IF(OR($D275="",$F275=""),"",IF($E275&gt;0,INDEX('R1. Tree Coefficients'!$F:$F,$F275+0)*($D275^INDEX('R1. Tree Coefficients'!$G:$G,$F275+0))*($E275^INDEX('R1. Tree Coefficients'!$H:$H,$F275+0)),INDEX('R1. Tree Coefficients'!$D:$D,$F275+0)*($D275^INDEX('R1. Tree Coefficients'!$E:$E,$F275+0))))</f>
        <v/>
      </c>
      <c r="I275" s="14" t="str">
        <f aca="false">IF(OR($D275="",$F275=""),"",IF($E275&gt;0,INDEX('R1. Tree Coefficients'!$F:$F,$F275+1)*($D275^INDEX('R1. Tree Coefficients'!$G:$G,$F275+1))*($E275^INDEX('R1. Tree Coefficients'!$H:$H,$F275+1)),INDEX('R1. Tree Coefficients'!$D:$D,$F275+1)*($D275^INDEX('R1. Tree Coefficients'!$E:$E,$F275+1))))</f>
        <v/>
      </c>
      <c r="J275" s="14" t="str">
        <f aca="false">IF(OR($D275="",$F275=""),"",IF($E275&gt;0,INDEX('R1. Tree Coefficients'!$F:$F,$F275+2)*($D275^INDEX('R1. Tree Coefficients'!$G:$G,$F275+2))*($E275^INDEX('R1. Tree Coefficients'!$H:$H,$F275+2)),INDEX('R1. Tree Coefficients'!$D:$D,$F275+2)*($D275^INDEX('R1. Tree Coefficients'!$E:$E,$F275+2))))</f>
        <v/>
      </c>
      <c r="K275" s="14" t="str">
        <f aca="false">IF(OR($D275="",$F275=""),"",IF($E275&gt;0,INDEX('R1. Tree Coefficients'!$F:$F,$F275+3)*($D275^INDEX('R1. Tree Coefficients'!$G:$G,$F275+3))*($E275^INDEX('R1. Tree Coefficients'!$H:$H,$F275+3)),INDEX('R1. Tree Coefficients'!$D:$D,$F275+3)*($D275^INDEX('R1. Tree Coefficients'!$E:$E,$F275+3))))</f>
        <v/>
      </c>
      <c r="L275" s="14" t="str">
        <f aca="false">IF($F275="","",IFERROR(SUM($H275:$K275),""))</f>
        <v/>
      </c>
      <c r="M275" s="14" t="str">
        <f aca="false">IF($F275="","",INDEX('R1. Tree Coefficients'!$J:$J,$F275))</f>
        <v/>
      </c>
      <c r="N275" s="14" t="str">
        <f aca="false">IF($L275="","",IF($M275="Deciduous",BGB_RS_DECIDUOUS_a*($L275^BGB_RS_DECIDUOUS_b),IF($M275="Conifers",BGB_RS_CONIFER*$L275,AVERAGE(BGB_RS_DECIDUOUS_a*($L275^BGB_RS_DECIDUOUS_b),BGB_RS_CONIFER*$L275))))</f>
        <v/>
      </c>
      <c r="O275" s="14" t="str">
        <f aca="false">IF($L275="","",$L275+$N275)</f>
        <v/>
      </c>
      <c r="P275" s="14" t="str">
        <f aca="false">IF($O275="","",$O275*CARBON_FRACTION_BIOMASS)</f>
        <v/>
      </c>
      <c r="Q275" s="14" t="str">
        <f aca="false">IF(AND($A275="",$C275=""),"",IF(AND($A275&lt;&gt;"",COUNTIF('1. Plot &amp; Site Log'!$A$5:$A$64,$A275)=0),"Plot ID not in Plot &amp; Site Log — this tree will not reach the summary. ","")&amp;IF($A275="","No Plot ID. ","")&amp;IF(AND($C275&lt;&gt;"",$F275=""),"Species not in the coefficient list — check the spelling against R1. ","")&amp;IF($D275="","No DBH — nothing can be calculated. ","")&amp;IF(AND($D275&lt;&gt;"",$D275&gt;QC_DBH_MAX_CM),"DBH above "&amp;QC_DBH_MAX_CM&amp;" cm — check for a transcription error. ","")&amp;IF($M275="All","Generic species: no published root:shoot applies, so below-ground biomass is the mean of the deciduous and conifer relationships. Choose a species, or Deciduous/Conifers, if you can. ","")&amp;IF(AND($O275&lt;&gt;"",$O275&gt;0,OR($N275/$O275&lt;BGB_FRACTION_MIN,$N275/$O275&gt;BGB_FRACTION_MAX)),"Below-ground share is "&amp;TEXT($N275/$O275,"0%")&amp;", outside the 18–30% the Trees guide describes. ",""))</f>
        <v/>
      </c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4" t="str">
        <f aca="false">IF($C276="","",IFERROR(12+(MATCH($C276,'R1. Tree Coefficients'!$L$12:$L$53,0)-1)*4,""))</f>
        <v/>
      </c>
      <c r="G276" s="14" t="str">
        <f aca="false">IF($F276="","",IF(AND($E276&lt;&gt;"",$E276&gt;0),"DBH + height","DBH only"))</f>
        <v/>
      </c>
      <c r="H276" s="14" t="str">
        <f aca="false">IF(OR($D276="",$F276=""),"",IF($E276&gt;0,INDEX('R1. Tree Coefficients'!$F:$F,$F276+0)*($D276^INDEX('R1. Tree Coefficients'!$G:$G,$F276+0))*($E276^INDEX('R1. Tree Coefficients'!$H:$H,$F276+0)),INDEX('R1. Tree Coefficients'!$D:$D,$F276+0)*($D276^INDEX('R1. Tree Coefficients'!$E:$E,$F276+0))))</f>
        <v/>
      </c>
      <c r="I276" s="14" t="str">
        <f aca="false">IF(OR($D276="",$F276=""),"",IF($E276&gt;0,INDEX('R1. Tree Coefficients'!$F:$F,$F276+1)*($D276^INDEX('R1. Tree Coefficients'!$G:$G,$F276+1))*($E276^INDEX('R1. Tree Coefficients'!$H:$H,$F276+1)),INDEX('R1. Tree Coefficients'!$D:$D,$F276+1)*($D276^INDEX('R1. Tree Coefficients'!$E:$E,$F276+1))))</f>
        <v/>
      </c>
      <c r="J276" s="14" t="str">
        <f aca="false">IF(OR($D276="",$F276=""),"",IF($E276&gt;0,INDEX('R1. Tree Coefficients'!$F:$F,$F276+2)*($D276^INDEX('R1. Tree Coefficients'!$G:$G,$F276+2))*($E276^INDEX('R1. Tree Coefficients'!$H:$H,$F276+2)),INDEX('R1. Tree Coefficients'!$D:$D,$F276+2)*($D276^INDEX('R1. Tree Coefficients'!$E:$E,$F276+2))))</f>
        <v/>
      </c>
      <c r="K276" s="14" t="str">
        <f aca="false">IF(OR($D276="",$F276=""),"",IF($E276&gt;0,INDEX('R1. Tree Coefficients'!$F:$F,$F276+3)*($D276^INDEX('R1. Tree Coefficients'!$G:$G,$F276+3))*($E276^INDEX('R1. Tree Coefficients'!$H:$H,$F276+3)),INDEX('R1. Tree Coefficients'!$D:$D,$F276+3)*($D276^INDEX('R1. Tree Coefficients'!$E:$E,$F276+3))))</f>
        <v/>
      </c>
      <c r="L276" s="14" t="str">
        <f aca="false">IF($F276="","",IFERROR(SUM($H276:$K276),""))</f>
        <v/>
      </c>
      <c r="M276" s="14" t="str">
        <f aca="false">IF($F276="","",INDEX('R1. Tree Coefficients'!$J:$J,$F276))</f>
        <v/>
      </c>
      <c r="N276" s="14" t="str">
        <f aca="false">IF($L276="","",IF($M276="Deciduous",BGB_RS_DECIDUOUS_a*($L276^BGB_RS_DECIDUOUS_b),IF($M276="Conifers",BGB_RS_CONIFER*$L276,AVERAGE(BGB_RS_DECIDUOUS_a*($L276^BGB_RS_DECIDUOUS_b),BGB_RS_CONIFER*$L276))))</f>
        <v/>
      </c>
      <c r="O276" s="14" t="str">
        <f aca="false">IF($L276="","",$L276+$N276)</f>
        <v/>
      </c>
      <c r="P276" s="14" t="str">
        <f aca="false">IF($O276="","",$O276*CARBON_FRACTION_BIOMASS)</f>
        <v/>
      </c>
      <c r="Q276" s="14" t="str">
        <f aca="false">IF(AND($A276="",$C276=""),"",IF(AND($A276&lt;&gt;"",COUNTIF('1. Plot &amp; Site Log'!$A$5:$A$64,$A276)=0),"Plot ID not in Plot &amp; Site Log — this tree will not reach the summary. ","")&amp;IF($A276="","No Plot ID. ","")&amp;IF(AND($C276&lt;&gt;"",$F276=""),"Species not in the coefficient list — check the spelling against R1. ","")&amp;IF($D276="","No DBH — nothing can be calculated. ","")&amp;IF(AND($D276&lt;&gt;"",$D276&gt;QC_DBH_MAX_CM),"DBH above "&amp;QC_DBH_MAX_CM&amp;" cm — check for a transcription error. ","")&amp;IF($M276="All","Generic species: no published root:shoot applies, so below-ground biomass is the mean of the deciduous and conifer relationships. Choose a species, or Deciduous/Conifers, if you can. ","")&amp;IF(AND($O276&lt;&gt;"",$O276&gt;0,OR($N276/$O276&lt;BGB_FRACTION_MIN,$N276/$O276&gt;BGB_FRACTION_MAX)),"Below-ground share is "&amp;TEXT($N276/$O276,"0%")&amp;", outside the 18–30% the Trees guide describes. ",""))</f>
        <v/>
      </c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4" t="str">
        <f aca="false">IF($C277="","",IFERROR(12+(MATCH($C277,'R1. Tree Coefficients'!$L$12:$L$53,0)-1)*4,""))</f>
        <v/>
      </c>
      <c r="G277" s="14" t="str">
        <f aca="false">IF($F277="","",IF(AND($E277&lt;&gt;"",$E277&gt;0),"DBH + height","DBH only"))</f>
        <v/>
      </c>
      <c r="H277" s="14" t="str">
        <f aca="false">IF(OR($D277="",$F277=""),"",IF($E277&gt;0,INDEX('R1. Tree Coefficients'!$F:$F,$F277+0)*($D277^INDEX('R1. Tree Coefficients'!$G:$G,$F277+0))*($E277^INDEX('R1. Tree Coefficients'!$H:$H,$F277+0)),INDEX('R1. Tree Coefficients'!$D:$D,$F277+0)*($D277^INDEX('R1. Tree Coefficients'!$E:$E,$F277+0))))</f>
        <v/>
      </c>
      <c r="I277" s="14" t="str">
        <f aca="false">IF(OR($D277="",$F277=""),"",IF($E277&gt;0,INDEX('R1. Tree Coefficients'!$F:$F,$F277+1)*($D277^INDEX('R1. Tree Coefficients'!$G:$G,$F277+1))*($E277^INDEX('R1. Tree Coefficients'!$H:$H,$F277+1)),INDEX('R1. Tree Coefficients'!$D:$D,$F277+1)*($D277^INDEX('R1. Tree Coefficients'!$E:$E,$F277+1))))</f>
        <v/>
      </c>
      <c r="J277" s="14" t="str">
        <f aca="false">IF(OR($D277="",$F277=""),"",IF($E277&gt;0,INDEX('R1. Tree Coefficients'!$F:$F,$F277+2)*($D277^INDEX('R1. Tree Coefficients'!$G:$G,$F277+2))*($E277^INDEX('R1. Tree Coefficients'!$H:$H,$F277+2)),INDEX('R1. Tree Coefficients'!$D:$D,$F277+2)*($D277^INDEX('R1. Tree Coefficients'!$E:$E,$F277+2))))</f>
        <v/>
      </c>
      <c r="K277" s="14" t="str">
        <f aca="false">IF(OR($D277="",$F277=""),"",IF($E277&gt;0,INDEX('R1. Tree Coefficients'!$F:$F,$F277+3)*($D277^INDEX('R1. Tree Coefficients'!$G:$G,$F277+3))*($E277^INDEX('R1. Tree Coefficients'!$H:$H,$F277+3)),INDEX('R1. Tree Coefficients'!$D:$D,$F277+3)*($D277^INDEX('R1. Tree Coefficients'!$E:$E,$F277+3))))</f>
        <v/>
      </c>
      <c r="L277" s="14" t="str">
        <f aca="false">IF($F277="","",IFERROR(SUM($H277:$K277),""))</f>
        <v/>
      </c>
      <c r="M277" s="14" t="str">
        <f aca="false">IF($F277="","",INDEX('R1. Tree Coefficients'!$J:$J,$F277))</f>
        <v/>
      </c>
      <c r="N277" s="14" t="str">
        <f aca="false">IF($L277="","",IF($M277="Deciduous",BGB_RS_DECIDUOUS_a*($L277^BGB_RS_DECIDUOUS_b),IF($M277="Conifers",BGB_RS_CONIFER*$L277,AVERAGE(BGB_RS_DECIDUOUS_a*($L277^BGB_RS_DECIDUOUS_b),BGB_RS_CONIFER*$L277))))</f>
        <v/>
      </c>
      <c r="O277" s="14" t="str">
        <f aca="false">IF($L277="","",$L277+$N277)</f>
        <v/>
      </c>
      <c r="P277" s="14" t="str">
        <f aca="false">IF($O277="","",$O277*CARBON_FRACTION_BIOMASS)</f>
        <v/>
      </c>
      <c r="Q277" s="14" t="str">
        <f aca="false">IF(AND($A277="",$C277=""),"",IF(AND($A277&lt;&gt;"",COUNTIF('1. Plot &amp; Site Log'!$A$5:$A$64,$A277)=0),"Plot ID not in Plot &amp; Site Log — this tree will not reach the summary. ","")&amp;IF($A277="","No Plot ID. ","")&amp;IF(AND($C277&lt;&gt;"",$F277=""),"Species not in the coefficient list — check the spelling against R1. ","")&amp;IF($D277="","No DBH — nothing can be calculated. ","")&amp;IF(AND($D277&lt;&gt;"",$D277&gt;QC_DBH_MAX_CM),"DBH above "&amp;QC_DBH_MAX_CM&amp;" cm — check for a transcription error. ","")&amp;IF($M277="All","Generic species: no published root:shoot applies, so below-ground biomass is the mean of the deciduous and conifer relationships. Choose a species, or Deciduous/Conifers, if you can. ","")&amp;IF(AND($O277&lt;&gt;"",$O277&gt;0,OR($N277/$O277&lt;BGB_FRACTION_MIN,$N277/$O277&gt;BGB_FRACTION_MAX)),"Below-ground share is "&amp;TEXT($N277/$O277,"0%")&amp;", outside the 18–30% the Trees guide describes. ",""))</f>
        <v/>
      </c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4" t="str">
        <f aca="false">IF($C278="","",IFERROR(12+(MATCH($C278,'R1. Tree Coefficients'!$L$12:$L$53,0)-1)*4,""))</f>
        <v/>
      </c>
      <c r="G278" s="14" t="str">
        <f aca="false">IF($F278="","",IF(AND($E278&lt;&gt;"",$E278&gt;0),"DBH + height","DBH only"))</f>
        <v/>
      </c>
      <c r="H278" s="14" t="str">
        <f aca="false">IF(OR($D278="",$F278=""),"",IF($E278&gt;0,INDEX('R1. Tree Coefficients'!$F:$F,$F278+0)*($D278^INDEX('R1. Tree Coefficients'!$G:$G,$F278+0))*($E278^INDEX('R1. Tree Coefficients'!$H:$H,$F278+0)),INDEX('R1. Tree Coefficients'!$D:$D,$F278+0)*($D278^INDEX('R1. Tree Coefficients'!$E:$E,$F278+0))))</f>
        <v/>
      </c>
      <c r="I278" s="14" t="str">
        <f aca="false">IF(OR($D278="",$F278=""),"",IF($E278&gt;0,INDEX('R1. Tree Coefficients'!$F:$F,$F278+1)*($D278^INDEX('R1. Tree Coefficients'!$G:$G,$F278+1))*($E278^INDEX('R1. Tree Coefficients'!$H:$H,$F278+1)),INDEX('R1. Tree Coefficients'!$D:$D,$F278+1)*($D278^INDEX('R1. Tree Coefficients'!$E:$E,$F278+1))))</f>
        <v/>
      </c>
      <c r="J278" s="14" t="str">
        <f aca="false">IF(OR($D278="",$F278=""),"",IF($E278&gt;0,INDEX('R1. Tree Coefficients'!$F:$F,$F278+2)*($D278^INDEX('R1. Tree Coefficients'!$G:$G,$F278+2))*($E278^INDEX('R1. Tree Coefficients'!$H:$H,$F278+2)),INDEX('R1. Tree Coefficients'!$D:$D,$F278+2)*($D278^INDEX('R1. Tree Coefficients'!$E:$E,$F278+2))))</f>
        <v/>
      </c>
      <c r="K278" s="14" t="str">
        <f aca="false">IF(OR($D278="",$F278=""),"",IF($E278&gt;0,INDEX('R1. Tree Coefficients'!$F:$F,$F278+3)*($D278^INDEX('R1. Tree Coefficients'!$G:$G,$F278+3))*($E278^INDEX('R1. Tree Coefficients'!$H:$H,$F278+3)),INDEX('R1. Tree Coefficients'!$D:$D,$F278+3)*($D278^INDEX('R1. Tree Coefficients'!$E:$E,$F278+3))))</f>
        <v/>
      </c>
      <c r="L278" s="14" t="str">
        <f aca="false">IF($F278="","",IFERROR(SUM($H278:$K278),""))</f>
        <v/>
      </c>
      <c r="M278" s="14" t="str">
        <f aca="false">IF($F278="","",INDEX('R1. Tree Coefficients'!$J:$J,$F278))</f>
        <v/>
      </c>
      <c r="N278" s="14" t="str">
        <f aca="false">IF($L278="","",IF($M278="Deciduous",BGB_RS_DECIDUOUS_a*($L278^BGB_RS_DECIDUOUS_b),IF($M278="Conifers",BGB_RS_CONIFER*$L278,AVERAGE(BGB_RS_DECIDUOUS_a*($L278^BGB_RS_DECIDUOUS_b),BGB_RS_CONIFER*$L278))))</f>
        <v/>
      </c>
      <c r="O278" s="14" t="str">
        <f aca="false">IF($L278="","",$L278+$N278)</f>
        <v/>
      </c>
      <c r="P278" s="14" t="str">
        <f aca="false">IF($O278="","",$O278*CARBON_FRACTION_BIOMASS)</f>
        <v/>
      </c>
      <c r="Q278" s="14" t="str">
        <f aca="false">IF(AND($A278="",$C278=""),"",IF(AND($A278&lt;&gt;"",COUNTIF('1. Plot &amp; Site Log'!$A$5:$A$64,$A278)=0),"Plot ID not in Plot &amp; Site Log — this tree will not reach the summary. ","")&amp;IF($A278="","No Plot ID. ","")&amp;IF(AND($C278&lt;&gt;"",$F278=""),"Species not in the coefficient list — check the spelling against R1. ","")&amp;IF($D278="","No DBH — nothing can be calculated. ","")&amp;IF(AND($D278&lt;&gt;"",$D278&gt;QC_DBH_MAX_CM),"DBH above "&amp;QC_DBH_MAX_CM&amp;" cm — check for a transcription error. ","")&amp;IF($M278="All","Generic species: no published root:shoot applies, so below-ground biomass is the mean of the deciduous and conifer relationships. Choose a species, or Deciduous/Conifers, if you can. ","")&amp;IF(AND($O278&lt;&gt;"",$O278&gt;0,OR($N278/$O278&lt;BGB_FRACTION_MIN,$N278/$O278&gt;BGB_FRACTION_MAX)),"Below-ground share is "&amp;TEXT($N278/$O278,"0%")&amp;", outside the 18–30% the Trees guide describes. ",""))</f>
        <v/>
      </c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4" t="str">
        <f aca="false">IF($C279="","",IFERROR(12+(MATCH($C279,'R1. Tree Coefficients'!$L$12:$L$53,0)-1)*4,""))</f>
        <v/>
      </c>
      <c r="G279" s="14" t="str">
        <f aca="false">IF($F279="","",IF(AND($E279&lt;&gt;"",$E279&gt;0),"DBH + height","DBH only"))</f>
        <v/>
      </c>
      <c r="H279" s="14" t="str">
        <f aca="false">IF(OR($D279="",$F279=""),"",IF($E279&gt;0,INDEX('R1. Tree Coefficients'!$F:$F,$F279+0)*($D279^INDEX('R1. Tree Coefficients'!$G:$G,$F279+0))*($E279^INDEX('R1. Tree Coefficients'!$H:$H,$F279+0)),INDEX('R1. Tree Coefficients'!$D:$D,$F279+0)*($D279^INDEX('R1. Tree Coefficients'!$E:$E,$F279+0))))</f>
        <v/>
      </c>
      <c r="I279" s="14" t="str">
        <f aca="false">IF(OR($D279="",$F279=""),"",IF($E279&gt;0,INDEX('R1. Tree Coefficients'!$F:$F,$F279+1)*($D279^INDEX('R1. Tree Coefficients'!$G:$G,$F279+1))*($E279^INDEX('R1. Tree Coefficients'!$H:$H,$F279+1)),INDEX('R1. Tree Coefficients'!$D:$D,$F279+1)*($D279^INDEX('R1. Tree Coefficients'!$E:$E,$F279+1))))</f>
        <v/>
      </c>
      <c r="J279" s="14" t="str">
        <f aca="false">IF(OR($D279="",$F279=""),"",IF($E279&gt;0,INDEX('R1. Tree Coefficients'!$F:$F,$F279+2)*($D279^INDEX('R1. Tree Coefficients'!$G:$G,$F279+2))*($E279^INDEX('R1. Tree Coefficients'!$H:$H,$F279+2)),INDEX('R1. Tree Coefficients'!$D:$D,$F279+2)*($D279^INDEX('R1. Tree Coefficients'!$E:$E,$F279+2))))</f>
        <v/>
      </c>
      <c r="K279" s="14" t="str">
        <f aca="false">IF(OR($D279="",$F279=""),"",IF($E279&gt;0,INDEX('R1. Tree Coefficients'!$F:$F,$F279+3)*($D279^INDEX('R1. Tree Coefficients'!$G:$G,$F279+3))*($E279^INDEX('R1. Tree Coefficients'!$H:$H,$F279+3)),INDEX('R1. Tree Coefficients'!$D:$D,$F279+3)*($D279^INDEX('R1. Tree Coefficients'!$E:$E,$F279+3))))</f>
        <v/>
      </c>
      <c r="L279" s="14" t="str">
        <f aca="false">IF($F279="","",IFERROR(SUM($H279:$K279),""))</f>
        <v/>
      </c>
      <c r="M279" s="14" t="str">
        <f aca="false">IF($F279="","",INDEX('R1. Tree Coefficients'!$J:$J,$F279))</f>
        <v/>
      </c>
      <c r="N279" s="14" t="str">
        <f aca="false">IF($L279="","",IF($M279="Deciduous",BGB_RS_DECIDUOUS_a*($L279^BGB_RS_DECIDUOUS_b),IF($M279="Conifers",BGB_RS_CONIFER*$L279,AVERAGE(BGB_RS_DECIDUOUS_a*($L279^BGB_RS_DECIDUOUS_b),BGB_RS_CONIFER*$L279))))</f>
        <v/>
      </c>
      <c r="O279" s="14" t="str">
        <f aca="false">IF($L279="","",$L279+$N279)</f>
        <v/>
      </c>
      <c r="P279" s="14" t="str">
        <f aca="false">IF($O279="","",$O279*CARBON_FRACTION_BIOMASS)</f>
        <v/>
      </c>
      <c r="Q279" s="14" t="str">
        <f aca="false">IF(AND($A279="",$C279=""),"",IF(AND($A279&lt;&gt;"",COUNTIF('1. Plot &amp; Site Log'!$A$5:$A$64,$A279)=0),"Plot ID not in Plot &amp; Site Log — this tree will not reach the summary. ","")&amp;IF($A279="","No Plot ID. ","")&amp;IF(AND($C279&lt;&gt;"",$F279=""),"Species not in the coefficient list — check the spelling against R1. ","")&amp;IF($D279="","No DBH — nothing can be calculated. ","")&amp;IF(AND($D279&lt;&gt;"",$D279&gt;QC_DBH_MAX_CM),"DBH above "&amp;QC_DBH_MAX_CM&amp;" cm — check for a transcription error. ","")&amp;IF($M279="All","Generic species: no published root:shoot applies, so below-ground biomass is the mean of the deciduous and conifer relationships. Choose a species, or Deciduous/Conifers, if you can. ","")&amp;IF(AND($O279&lt;&gt;"",$O279&gt;0,OR($N279/$O279&lt;BGB_FRACTION_MIN,$N279/$O279&gt;BGB_FRACTION_MAX)),"Below-ground share is "&amp;TEXT($N279/$O279,"0%")&amp;", outside the 18–30% the Trees guide describes. ",""))</f>
        <v/>
      </c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4" t="str">
        <f aca="false">IF($C280="","",IFERROR(12+(MATCH($C280,'R1. Tree Coefficients'!$L$12:$L$53,0)-1)*4,""))</f>
        <v/>
      </c>
      <c r="G280" s="14" t="str">
        <f aca="false">IF($F280="","",IF(AND($E280&lt;&gt;"",$E280&gt;0),"DBH + height","DBH only"))</f>
        <v/>
      </c>
      <c r="H280" s="14" t="str">
        <f aca="false">IF(OR($D280="",$F280=""),"",IF($E280&gt;0,INDEX('R1. Tree Coefficients'!$F:$F,$F280+0)*($D280^INDEX('R1. Tree Coefficients'!$G:$G,$F280+0))*($E280^INDEX('R1. Tree Coefficients'!$H:$H,$F280+0)),INDEX('R1. Tree Coefficients'!$D:$D,$F280+0)*($D280^INDEX('R1. Tree Coefficients'!$E:$E,$F280+0))))</f>
        <v/>
      </c>
      <c r="I280" s="14" t="str">
        <f aca="false">IF(OR($D280="",$F280=""),"",IF($E280&gt;0,INDEX('R1. Tree Coefficients'!$F:$F,$F280+1)*($D280^INDEX('R1. Tree Coefficients'!$G:$G,$F280+1))*($E280^INDEX('R1. Tree Coefficients'!$H:$H,$F280+1)),INDEX('R1. Tree Coefficients'!$D:$D,$F280+1)*($D280^INDEX('R1. Tree Coefficients'!$E:$E,$F280+1))))</f>
        <v/>
      </c>
      <c r="J280" s="14" t="str">
        <f aca="false">IF(OR($D280="",$F280=""),"",IF($E280&gt;0,INDEX('R1. Tree Coefficients'!$F:$F,$F280+2)*($D280^INDEX('R1. Tree Coefficients'!$G:$G,$F280+2))*($E280^INDEX('R1. Tree Coefficients'!$H:$H,$F280+2)),INDEX('R1. Tree Coefficients'!$D:$D,$F280+2)*($D280^INDEX('R1. Tree Coefficients'!$E:$E,$F280+2))))</f>
        <v/>
      </c>
      <c r="K280" s="14" t="str">
        <f aca="false">IF(OR($D280="",$F280=""),"",IF($E280&gt;0,INDEX('R1. Tree Coefficients'!$F:$F,$F280+3)*($D280^INDEX('R1. Tree Coefficients'!$G:$G,$F280+3))*($E280^INDEX('R1. Tree Coefficients'!$H:$H,$F280+3)),INDEX('R1. Tree Coefficients'!$D:$D,$F280+3)*($D280^INDEX('R1. Tree Coefficients'!$E:$E,$F280+3))))</f>
        <v/>
      </c>
      <c r="L280" s="14" t="str">
        <f aca="false">IF($F280="","",IFERROR(SUM($H280:$K280),""))</f>
        <v/>
      </c>
      <c r="M280" s="14" t="str">
        <f aca="false">IF($F280="","",INDEX('R1. Tree Coefficients'!$J:$J,$F280))</f>
        <v/>
      </c>
      <c r="N280" s="14" t="str">
        <f aca="false">IF($L280="","",IF($M280="Deciduous",BGB_RS_DECIDUOUS_a*($L280^BGB_RS_DECIDUOUS_b),IF($M280="Conifers",BGB_RS_CONIFER*$L280,AVERAGE(BGB_RS_DECIDUOUS_a*($L280^BGB_RS_DECIDUOUS_b),BGB_RS_CONIFER*$L280))))</f>
        <v/>
      </c>
      <c r="O280" s="14" t="str">
        <f aca="false">IF($L280="","",$L280+$N280)</f>
        <v/>
      </c>
      <c r="P280" s="14" t="str">
        <f aca="false">IF($O280="","",$O280*CARBON_FRACTION_BIOMASS)</f>
        <v/>
      </c>
      <c r="Q280" s="14" t="str">
        <f aca="false">IF(AND($A280="",$C280=""),"",IF(AND($A280&lt;&gt;"",COUNTIF('1. Plot &amp; Site Log'!$A$5:$A$64,$A280)=0),"Plot ID not in Plot &amp; Site Log — this tree will not reach the summary. ","")&amp;IF($A280="","No Plot ID. ","")&amp;IF(AND($C280&lt;&gt;"",$F280=""),"Species not in the coefficient list — check the spelling against R1. ","")&amp;IF($D280="","No DBH — nothing can be calculated. ","")&amp;IF(AND($D280&lt;&gt;"",$D280&gt;QC_DBH_MAX_CM),"DBH above "&amp;QC_DBH_MAX_CM&amp;" cm — check for a transcription error. ","")&amp;IF($M280="All","Generic species: no published root:shoot applies, so below-ground biomass is the mean of the deciduous and conifer relationships. Choose a species, or Deciduous/Conifers, if you can. ","")&amp;IF(AND($O280&lt;&gt;"",$O280&gt;0,OR($N280/$O280&lt;BGB_FRACTION_MIN,$N280/$O280&gt;BGB_FRACTION_MAX)),"Below-ground share is "&amp;TEXT($N280/$O280,"0%")&amp;", outside the 18–30% the Trees guide describes. ",""))</f>
        <v/>
      </c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4" t="str">
        <f aca="false">IF($C281="","",IFERROR(12+(MATCH($C281,'R1. Tree Coefficients'!$L$12:$L$53,0)-1)*4,""))</f>
        <v/>
      </c>
      <c r="G281" s="14" t="str">
        <f aca="false">IF($F281="","",IF(AND($E281&lt;&gt;"",$E281&gt;0),"DBH + height","DBH only"))</f>
        <v/>
      </c>
      <c r="H281" s="14" t="str">
        <f aca="false">IF(OR($D281="",$F281=""),"",IF($E281&gt;0,INDEX('R1. Tree Coefficients'!$F:$F,$F281+0)*($D281^INDEX('R1. Tree Coefficients'!$G:$G,$F281+0))*($E281^INDEX('R1. Tree Coefficients'!$H:$H,$F281+0)),INDEX('R1. Tree Coefficients'!$D:$D,$F281+0)*($D281^INDEX('R1. Tree Coefficients'!$E:$E,$F281+0))))</f>
        <v/>
      </c>
      <c r="I281" s="14" t="str">
        <f aca="false">IF(OR($D281="",$F281=""),"",IF($E281&gt;0,INDEX('R1. Tree Coefficients'!$F:$F,$F281+1)*($D281^INDEX('R1. Tree Coefficients'!$G:$G,$F281+1))*($E281^INDEX('R1. Tree Coefficients'!$H:$H,$F281+1)),INDEX('R1. Tree Coefficients'!$D:$D,$F281+1)*($D281^INDEX('R1. Tree Coefficients'!$E:$E,$F281+1))))</f>
        <v/>
      </c>
      <c r="J281" s="14" t="str">
        <f aca="false">IF(OR($D281="",$F281=""),"",IF($E281&gt;0,INDEX('R1. Tree Coefficients'!$F:$F,$F281+2)*($D281^INDEX('R1. Tree Coefficients'!$G:$G,$F281+2))*($E281^INDEX('R1. Tree Coefficients'!$H:$H,$F281+2)),INDEX('R1. Tree Coefficients'!$D:$D,$F281+2)*($D281^INDEX('R1. Tree Coefficients'!$E:$E,$F281+2))))</f>
        <v/>
      </c>
      <c r="K281" s="14" t="str">
        <f aca="false">IF(OR($D281="",$F281=""),"",IF($E281&gt;0,INDEX('R1. Tree Coefficients'!$F:$F,$F281+3)*($D281^INDEX('R1. Tree Coefficients'!$G:$G,$F281+3))*($E281^INDEX('R1. Tree Coefficients'!$H:$H,$F281+3)),INDEX('R1. Tree Coefficients'!$D:$D,$F281+3)*($D281^INDEX('R1. Tree Coefficients'!$E:$E,$F281+3))))</f>
        <v/>
      </c>
      <c r="L281" s="14" t="str">
        <f aca="false">IF($F281="","",IFERROR(SUM($H281:$K281),""))</f>
        <v/>
      </c>
      <c r="M281" s="14" t="str">
        <f aca="false">IF($F281="","",INDEX('R1. Tree Coefficients'!$J:$J,$F281))</f>
        <v/>
      </c>
      <c r="N281" s="14" t="str">
        <f aca="false">IF($L281="","",IF($M281="Deciduous",BGB_RS_DECIDUOUS_a*($L281^BGB_RS_DECIDUOUS_b),IF($M281="Conifers",BGB_RS_CONIFER*$L281,AVERAGE(BGB_RS_DECIDUOUS_a*($L281^BGB_RS_DECIDUOUS_b),BGB_RS_CONIFER*$L281))))</f>
        <v/>
      </c>
      <c r="O281" s="14" t="str">
        <f aca="false">IF($L281="","",$L281+$N281)</f>
        <v/>
      </c>
      <c r="P281" s="14" t="str">
        <f aca="false">IF($O281="","",$O281*CARBON_FRACTION_BIOMASS)</f>
        <v/>
      </c>
      <c r="Q281" s="14" t="str">
        <f aca="false">IF(AND($A281="",$C281=""),"",IF(AND($A281&lt;&gt;"",COUNTIF('1. Plot &amp; Site Log'!$A$5:$A$64,$A281)=0),"Plot ID not in Plot &amp; Site Log — this tree will not reach the summary. ","")&amp;IF($A281="","No Plot ID. ","")&amp;IF(AND($C281&lt;&gt;"",$F281=""),"Species not in the coefficient list — check the spelling against R1. ","")&amp;IF($D281="","No DBH — nothing can be calculated. ","")&amp;IF(AND($D281&lt;&gt;"",$D281&gt;QC_DBH_MAX_CM),"DBH above "&amp;QC_DBH_MAX_CM&amp;" cm — check for a transcription error. ","")&amp;IF($M281="All","Generic species: no published root:shoot applies, so below-ground biomass is the mean of the deciduous and conifer relationships. Choose a species, or Deciduous/Conifers, if you can. ","")&amp;IF(AND($O281&lt;&gt;"",$O281&gt;0,OR($N281/$O281&lt;BGB_FRACTION_MIN,$N281/$O281&gt;BGB_FRACTION_MAX)),"Below-ground share is "&amp;TEXT($N281/$O281,"0%")&amp;", outside the 18–30% the Trees guide describes. ",""))</f>
        <v/>
      </c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4" t="str">
        <f aca="false">IF($C282="","",IFERROR(12+(MATCH($C282,'R1. Tree Coefficients'!$L$12:$L$53,0)-1)*4,""))</f>
        <v/>
      </c>
      <c r="G282" s="14" t="str">
        <f aca="false">IF($F282="","",IF(AND($E282&lt;&gt;"",$E282&gt;0),"DBH + height","DBH only"))</f>
        <v/>
      </c>
      <c r="H282" s="14" t="str">
        <f aca="false">IF(OR($D282="",$F282=""),"",IF($E282&gt;0,INDEX('R1. Tree Coefficients'!$F:$F,$F282+0)*($D282^INDEX('R1. Tree Coefficients'!$G:$G,$F282+0))*($E282^INDEX('R1. Tree Coefficients'!$H:$H,$F282+0)),INDEX('R1. Tree Coefficients'!$D:$D,$F282+0)*($D282^INDEX('R1. Tree Coefficients'!$E:$E,$F282+0))))</f>
        <v/>
      </c>
      <c r="I282" s="14" t="str">
        <f aca="false">IF(OR($D282="",$F282=""),"",IF($E282&gt;0,INDEX('R1. Tree Coefficients'!$F:$F,$F282+1)*($D282^INDEX('R1. Tree Coefficients'!$G:$G,$F282+1))*($E282^INDEX('R1. Tree Coefficients'!$H:$H,$F282+1)),INDEX('R1. Tree Coefficients'!$D:$D,$F282+1)*($D282^INDEX('R1. Tree Coefficients'!$E:$E,$F282+1))))</f>
        <v/>
      </c>
      <c r="J282" s="14" t="str">
        <f aca="false">IF(OR($D282="",$F282=""),"",IF($E282&gt;0,INDEX('R1. Tree Coefficients'!$F:$F,$F282+2)*($D282^INDEX('R1. Tree Coefficients'!$G:$G,$F282+2))*($E282^INDEX('R1. Tree Coefficients'!$H:$H,$F282+2)),INDEX('R1. Tree Coefficients'!$D:$D,$F282+2)*($D282^INDEX('R1. Tree Coefficients'!$E:$E,$F282+2))))</f>
        <v/>
      </c>
      <c r="K282" s="14" t="str">
        <f aca="false">IF(OR($D282="",$F282=""),"",IF($E282&gt;0,INDEX('R1. Tree Coefficients'!$F:$F,$F282+3)*($D282^INDEX('R1. Tree Coefficients'!$G:$G,$F282+3))*($E282^INDEX('R1. Tree Coefficients'!$H:$H,$F282+3)),INDEX('R1. Tree Coefficients'!$D:$D,$F282+3)*($D282^INDEX('R1. Tree Coefficients'!$E:$E,$F282+3))))</f>
        <v/>
      </c>
      <c r="L282" s="14" t="str">
        <f aca="false">IF($F282="","",IFERROR(SUM($H282:$K282),""))</f>
        <v/>
      </c>
      <c r="M282" s="14" t="str">
        <f aca="false">IF($F282="","",INDEX('R1. Tree Coefficients'!$J:$J,$F282))</f>
        <v/>
      </c>
      <c r="N282" s="14" t="str">
        <f aca="false">IF($L282="","",IF($M282="Deciduous",BGB_RS_DECIDUOUS_a*($L282^BGB_RS_DECIDUOUS_b),IF($M282="Conifers",BGB_RS_CONIFER*$L282,AVERAGE(BGB_RS_DECIDUOUS_a*($L282^BGB_RS_DECIDUOUS_b),BGB_RS_CONIFER*$L282))))</f>
        <v/>
      </c>
      <c r="O282" s="14" t="str">
        <f aca="false">IF($L282="","",$L282+$N282)</f>
        <v/>
      </c>
      <c r="P282" s="14" t="str">
        <f aca="false">IF($O282="","",$O282*CARBON_FRACTION_BIOMASS)</f>
        <v/>
      </c>
      <c r="Q282" s="14" t="str">
        <f aca="false">IF(AND($A282="",$C282=""),"",IF(AND($A282&lt;&gt;"",COUNTIF('1. Plot &amp; Site Log'!$A$5:$A$64,$A282)=0),"Plot ID not in Plot &amp; Site Log — this tree will not reach the summary. ","")&amp;IF($A282="","No Plot ID. ","")&amp;IF(AND($C282&lt;&gt;"",$F282=""),"Species not in the coefficient list — check the spelling against R1. ","")&amp;IF($D282="","No DBH — nothing can be calculated. ","")&amp;IF(AND($D282&lt;&gt;"",$D282&gt;QC_DBH_MAX_CM),"DBH above "&amp;QC_DBH_MAX_CM&amp;" cm — check for a transcription error. ","")&amp;IF($M282="All","Generic species: no published root:shoot applies, so below-ground biomass is the mean of the deciduous and conifer relationships. Choose a species, or Deciduous/Conifers, if you can. ","")&amp;IF(AND($O282&lt;&gt;"",$O282&gt;0,OR($N282/$O282&lt;BGB_FRACTION_MIN,$N282/$O282&gt;BGB_FRACTION_MAX)),"Below-ground share is "&amp;TEXT($N282/$O282,"0%")&amp;", outside the 18–30% the Trees guide describes. ",""))</f>
        <v/>
      </c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4" t="str">
        <f aca="false">IF($C283="","",IFERROR(12+(MATCH($C283,'R1. Tree Coefficients'!$L$12:$L$53,0)-1)*4,""))</f>
        <v/>
      </c>
      <c r="G283" s="14" t="str">
        <f aca="false">IF($F283="","",IF(AND($E283&lt;&gt;"",$E283&gt;0),"DBH + height","DBH only"))</f>
        <v/>
      </c>
      <c r="H283" s="14" t="str">
        <f aca="false">IF(OR($D283="",$F283=""),"",IF($E283&gt;0,INDEX('R1. Tree Coefficients'!$F:$F,$F283+0)*($D283^INDEX('R1. Tree Coefficients'!$G:$G,$F283+0))*($E283^INDEX('R1. Tree Coefficients'!$H:$H,$F283+0)),INDEX('R1. Tree Coefficients'!$D:$D,$F283+0)*($D283^INDEX('R1. Tree Coefficients'!$E:$E,$F283+0))))</f>
        <v/>
      </c>
      <c r="I283" s="14" t="str">
        <f aca="false">IF(OR($D283="",$F283=""),"",IF($E283&gt;0,INDEX('R1. Tree Coefficients'!$F:$F,$F283+1)*($D283^INDEX('R1. Tree Coefficients'!$G:$G,$F283+1))*($E283^INDEX('R1. Tree Coefficients'!$H:$H,$F283+1)),INDEX('R1. Tree Coefficients'!$D:$D,$F283+1)*($D283^INDEX('R1. Tree Coefficients'!$E:$E,$F283+1))))</f>
        <v/>
      </c>
      <c r="J283" s="14" t="str">
        <f aca="false">IF(OR($D283="",$F283=""),"",IF($E283&gt;0,INDEX('R1. Tree Coefficients'!$F:$F,$F283+2)*($D283^INDEX('R1. Tree Coefficients'!$G:$G,$F283+2))*($E283^INDEX('R1. Tree Coefficients'!$H:$H,$F283+2)),INDEX('R1. Tree Coefficients'!$D:$D,$F283+2)*($D283^INDEX('R1. Tree Coefficients'!$E:$E,$F283+2))))</f>
        <v/>
      </c>
      <c r="K283" s="14" t="str">
        <f aca="false">IF(OR($D283="",$F283=""),"",IF($E283&gt;0,INDEX('R1. Tree Coefficients'!$F:$F,$F283+3)*($D283^INDEX('R1. Tree Coefficients'!$G:$G,$F283+3))*($E283^INDEX('R1. Tree Coefficients'!$H:$H,$F283+3)),INDEX('R1. Tree Coefficients'!$D:$D,$F283+3)*($D283^INDEX('R1. Tree Coefficients'!$E:$E,$F283+3))))</f>
        <v/>
      </c>
      <c r="L283" s="14" t="str">
        <f aca="false">IF($F283="","",IFERROR(SUM($H283:$K283),""))</f>
        <v/>
      </c>
      <c r="M283" s="14" t="str">
        <f aca="false">IF($F283="","",INDEX('R1. Tree Coefficients'!$J:$J,$F283))</f>
        <v/>
      </c>
      <c r="N283" s="14" t="str">
        <f aca="false">IF($L283="","",IF($M283="Deciduous",BGB_RS_DECIDUOUS_a*($L283^BGB_RS_DECIDUOUS_b),IF($M283="Conifers",BGB_RS_CONIFER*$L283,AVERAGE(BGB_RS_DECIDUOUS_a*($L283^BGB_RS_DECIDUOUS_b),BGB_RS_CONIFER*$L283))))</f>
        <v/>
      </c>
      <c r="O283" s="14" t="str">
        <f aca="false">IF($L283="","",$L283+$N283)</f>
        <v/>
      </c>
      <c r="P283" s="14" t="str">
        <f aca="false">IF($O283="","",$O283*CARBON_FRACTION_BIOMASS)</f>
        <v/>
      </c>
      <c r="Q283" s="14" t="str">
        <f aca="false">IF(AND($A283="",$C283=""),"",IF(AND($A283&lt;&gt;"",COUNTIF('1. Plot &amp; Site Log'!$A$5:$A$64,$A283)=0),"Plot ID not in Plot &amp; Site Log — this tree will not reach the summary. ","")&amp;IF($A283="","No Plot ID. ","")&amp;IF(AND($C283&lt;&gt;"",$F283=""),"Species not in the coefficient list — check the spelling against R1. ","")&amp;IF($D283="","No DBH — nothing can be calculated. ","")&amp;IF(AND($D283&lt;&gt;"",$D283&gt;QC_DBH_MAX_CM),"DBH above "&amp;QC_DBH_MAX_CM&amp;" cm — check for a transcription error. ","")&amp;IF($M283="All","Generic species: no published root:shoot applies, so below-ground biomass is the mean of the deciduous and conifer relationships. Choose a species, or Deciduous/Conifers, if you can. ","")&amp;IF(AND($O283&lt;&gt;"",$O283&gt;0,OR($N283/$O283&lt;BGB_FRACTION_MIN,$N283/$O283&gt;BGB_FRACTION_MAX)),"Below-ground share is "&amp;TEXT($N283/$O283,"0%")&amp;", outside the 18–30% the Trees guide describes. ",""))</f>
        <v/>
      </c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4" t="str">
        <f aca="false">IF($C284="","",IFERROR(12+(MATCH($C284,'R1. Tree Coefficients'!$L$12:$L$53,0)-1)*4,""))</f>
        <v/>
      </c>
      <c r="G284" s="14" t="str">
        <f aca="false">IF($F284="","",IF(AND($E284&lt;&gt;"",$E284&gt;0),"DBH + height","DBH only"))</f>
        <v/>
      </c>
      <c r="H284" s="14" t="str">
        <f aca="false">IF(OR($D284="",$F284=""),"",IF($E284&gt;0,INDEX('R1. Tree Coefficients'!$F:$F,$F284+0)*($D284^INDEX('R1. Tree Coefficients'!$G:$G,$F284+0))*($E284^INDEX('R1. Tree Coefficients'!$H:$H,$F284+0)),INDEX('R1. Tree Coefficients'!$D:$D,$F284+0)*($D284^INDEX('R1. Tree Coefficients'!$E:$E,$F284+0))))</f>
        <v/>
      </c>
      <c r="I284" s="14" t="str">
        <f aca="false">IF(OR($D284="",$F284=""),"",IF($E284&gt;0,INDEX('R1. Tree Coefficients'!$F:$F,$F284+1)*($D284^INDEX('R1. Tree Coefficients'!$G:$G,$F284+1))*($E284^INDEX('R1. Tree Coefficients'!$H:$H,$F284+1)),INDEX('R1. Tree Coefficients'!$D:$D,$F284+1)*($D284^INDEX('R1. Tree Coefficients'!$E:$E,$F284+1))))</f>
        <v/>
      </c>
      <c r="J284" s="14" t="str">
        <f aca="false">IF(OR($D284="",$F284=""),"",IF($E284&gt;0,INDEX('R1. Tree Coefficients'!$F:$F,$F284+2)*($D284^INDEX('R1. Tree Coefficients'!$G:$G,$F284+2))*($E284^INDEX('R1. Tree Coefficients'!$H:$H,$F284+2)),INDEX('R1. Tree Coefficients'!$D:$D,$F284+2)*($D284^INDEX('R1. Tree Coefficients'!$E:$E,$F284+2))))</f>
        <v/>
      </c>
      <c r="K284" s="14" t="str">
        <f aca="false">IF(OR($D284="",$F284=""),"",IF($E284&gt;0,INDEX('R1. Tree Coefficients'!$F:$F,$F284+3)*($D284^INDEX('R1. Tree Coefficients'!$G:$G,$F284+3))*($E284^INDEX('R1. Tree Coefficients'!$H:$H,$F284+3)),INDEX('R1. Tree Coefficients'!$D:$D,$F284+3)*($D284^INDEX('R1. Tree Coefficients'!$E:$E,$F284+3))))</f>
        <v/>
      </c>
      <c r="L284" s="14" t="str">
        <f aca="false">IF($F284="","",IFERROR(SUM($H284:$K284),""))</f>
        <v/>
      </c>
      <c r="M284" s="14" t="str">
        <f aca="false">IF($F284="","",INDEX('R1. Tree Coefficients'!$J:$J,$F284))</f>
        <v/>
      </c>
      <c r="N284" s="14" t="str">
        <f aca="false">IF($L284="","",IF($M284="Deciduous",BGB_RS_DECIDUOUS_a*($L284^BGB_RS_DECIDUOUS_b),IF($M284="Conifers",BGB_RS_CONIFER*$L284,AVERAGE(BGB_RS_DECIDUOUS_a*($L284^BGB_RS_DECIDUOUS_b),BGB_RS_CONIFER*$L284))))</f>
        <v/>
      </c>
      <c r="O284" s="14" t="str">
        <f aca="false">IF($L284="","",$L284+$N284)</f>
        <v/>
      </c>
      <c r="P284" s="14" t="str">
        <f aca="false">IF($O284="","",$O284*CARBON_FRACTION_BIOMASS)</f>
        <v/>
      </c>
      <c r="Q284" s="14" t="str">
        <f aca="false">IF(AND($A284="",$C284=""),"",IF(AND($A284&lt;&gt;"",COUNTIF('1. Plot &amp; Site Log'!$A$5:$A$64,$A284)=0),"Plot ID not in Plot &amp; Site Log — this tree will not reach the summary. ","")&amp;IF($A284="","No Plot ID. ","")&amp;IF(AND($C284&lt;&gt;"",$F284=""),"Species not in the coefficient list — check the spelling against R1. ","")&amp;IF($D284="","No DBH — nothing can be calculated. ","")&amp;IF(AND($D284&lt;&gt;"",$D284&gt;QC_DBH_MAX_CM),"DBH above "&amp;QC_DBH_MAX_CM&amp;" cm — check for a transcription error. ","")&amp;IF($M284="All","Generic species: no published root:shoot applies, so below-ground biomass is the mean of the deciduous and conifer relationships. Choose a species, or Deciduous/Conifers, if you can. ","")&amp;IF(AND($O284&lt;&gt;"",$O284&gt;0,OR($N284/$O284&lt;BGB_FRACTION_MIN,$N284/$O284&gt;BGB_FRACTION_MAX)),"Below-ground share is "&amp;TEXT($N284/$O284,"0%")&amp;", outside the 18–30% the Trees guide describes. ",""))</f>
        <v/>
      </c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4" t="str">
        <f aca="false">IF($C285="","",IFERROR(12+(MATCH($C285,'R1. Tree Coefficients'!$L$12:$L$53,0)-1)*4,""))</f>
        <v/>
      </c>
      <c r="G285" s="14" t="str">
        <f aca="false">IF($F285="","",IF(AND($E285&lt;&gt;"",$E285&gt;0),"DBH + height","DBH only"))</f>
        <v/>
      </c>
      <c r="H285" s="14" t="str">
        <f aca="false">IF(OR($D285="",$F285=""),"",IF($E285&gt;0,INDEX('R1. Tree Coefficients'!$F:$F,$F285+0)*($D285^INDEX('R1. Tree Coefficients'!$G:$G,$F285+0))*($E285^INDEX('R1. Tree Coefficients'!$H:$H,$F285+0)),INDEX('R1. Tree Coefficients'!$D:$D,$F285+0)*($D285^INDEX('R1. Tree Coefficients'!$E:$E,$F285+0))))</f>
        <v/>
      </c>
      <c r="I285" s="14" t="str">
        <f aca="false">IF(OR($D285="",$F285=""),"",IF($E285&gt;0,INDEX('R1. Tree Coefficients'!$F:$F,$F285+1)*($D285^INDEX('R1. Tree Coefficients'!$G:$G,$F285+1))*($E285^INDEX('R1. Tree Coefficients'!$H:$H,$F285+1)),INDEX('R1. Tree Coefficients'!$D:$D,$F285+1)*($D285^INDEX('R1. Tree Coefficients'!$E:$E,$F285+1))))</f>
        <v/>
      </c>
      <c r="J285" s="14" t="str">
        <f aca="false">IF(OR($D285="",$F285=""),"",IF($E285&gt;0,INDEX('R1. Tree Coefficients'!$F:$F,$F285+2)*($D285^INDEX('R1. Tree Coefficients'!$G:$G,$F285+2))*($E285^INDEX('R1. Tree Coefficients'!$H:$H,$F285+2)),INDEX('R1. Tree Coefficients'!$D:$D,$F285+2)*($D285^INDEX('R1. Tree Coefficients'!$E:$E,$F285+2))))</f>
        <v/>
      </c>
      <c r="K285" s="14" t="str">
        <f aca="false">IF(OR($D285="",$F285=""),"",IF($E285&gt;0,INDEX('R1. Tree Coefficients'!$F:$F,$F285+3)*($D285^INDEX('R1. Tree Coefficients'!$G:$G,$F285+3))*($E285^INDEX('R1. Tree Coefficients'!$H:$H,$F285+3)),INDEX('R1. Tree Coefficients'!$D:$D,$F285+3)*($D285^INDEX('R1. Tree Coefficients'!$E:$E,$F285+3))))</f>
        <v/>
      </c>
      <c r="L285" s="14" t="str">
        <f aca="false">IF($F285="","",IFERROR(SUM($H285:$K285),""))</f>
        <v/>
      </c>
      <c r="M285" s="14" t="str">
        <f aca="false">IF($F285="","",INDEX('R1. Tree Coefficients'!$J:$J,$F285))</f>
        <v/>
      </c>
      <c r="N285" s="14" t="str">
        <f aca="false">IF($L285="","",IF($M285="Deciduous",BGB_RS_DECIDUOUS_a*($L285^BGB_RS_DECIDUOUS_b),IF($M285="Conifers",BGB_RS_CONIFER*$L285,AVERAGE(BGB_RS_DECIDUOUS_a*($L285^BGB_RS_DECIDUOUS_b),BGB_RS_CONIFER*$L285))))</f>
        <v/>
      </c>
      <c r="O285" s="14" t="str">
        <f aca="false">IF($L285="","",$L285+$N285)</f>
        <v/>
      </c>
      <c r="P285" s="14" t="str">
        <f aca="false">IF($O285="","",$O285*CARBON_FRACTION_BIOMASS)</f>
        <v/>
      </c>
      <c r="Q285" s="14" t="str">
        <f aca="false">IF(AND($A285="",$C285=""),"",IF(AND($A285&lt;&gt;"",COUNTIF('1. Plot &amp; Site Log'!$A$5:$A$64,$A285)=0),"Plot ID not in Plot &amp; Site Log — this tree will not reach the summary. ","")&amp;IF($A285="","No Plot ID. ","")&amp;IF(AND($C285&lt;&gt;"",$F285=""),"Species not in the coefficient list — check the spelling against R1. ","")&amp;IF($D285="","No DBH — nothing can be calculated. ","")&amp;IF(AND($D285&lt;&gt;"",$D285&gt;QC_DBH_MAX_CM),"DBH above "&amp;QC_DBH_MAX_CM&amp;" cm — check for a transcription error. ","")&amp;IF($M285="All","Generic species: no published root:shoot applies, so below-ground biomass is the mean of the deciduous and conifer relationships. Choose a species, or Deciduous/Conifers, if you can. ","")&amp;IF(AND($O285&lt;&gt;"",$O285&gt;0,OR($N285/$O285&lt;BGB_FRACTION_MIN,$N285/$O285&gt;BGB_FRACTION_MAX)),"Below-ground share is "&amp;TEXT($N285/$O285,"0%")&amp;", outside the 18–30% the Trees guide describes. ",""))</f>
        <v/>
      </c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4" t="str">
        <f aca="false">IF($C286="","",IFERROR(12+(MATCH($C286,'R1. Tree Coefficients'!$L$12:$L$53,0)-1)*4,""))</f>
        <v/>
      </c>
      <c r="G286" s="14" t="str">
        <f aca="false">IF($F286="","",IF(AND($E286&lt;&gt;"",$E286&gt;0),"DBH + height","DBH only"))</f>
        <v/>
      </c>
      <c r="H286" s="14" t="str">
        <f aca="false">IF(OR($D286="",$F286=""),"",IF($E286&gt;0,INDEX('R1. Tree Coefficients'!$F:$F,$F286+0)*($D286^INDEX('R1. Tree Coefficients'!$G:$G,$F286+0))*($E286^INDEX('R1. Tree Coefficients'!$H:$H,$F286+0)),INDEX('R1. Tree Coefficients'!$D:$D,$F286+0)*($D286^INDEX('R1. Tree Coefficients'!$E:$E,$F286+0))))</f>
        <v/>
      </c>
      <c r="I286" s="14" t="str">
        <f aca="false">IF(OR($D286="",$F286=""),"",IF($E286&gt;0,INDEX('R1. Tree Coefficients'!$F:$F,$F286+1)*($D286^INDEX('R1. Tree Coefficients'!$G:$G,$F286+1))*($E286^INDEX('R1. Tree Coefficients'!$H:$H,$F286+1)),INDEX('R1. Tree Coefficients'!$D:$D,$F286+1)*($D286^INDEX('R1. Tree Coefficients'!$E:$E,$F286+1))))</f>
        <v/>
      </c>
      <c r="J286" s="14" t="str">
        <f aca="false">IF(OR($D286="",$F286=""),"",IF($E286&gt;0,INDEX('R1. Tree Coefficients'!$F:$F,$F286+2)*($D286^INDEX('R1. Tree Coefficients'!$G:$G,$F286+2))*($E286^INDEX('R1. Tree Coefficients'!$H:$H,$F286+2)),INDEX('R1. Tree Coefficients'!$D:$D,$F286+2)*($D286^INDEX('R1. Tree Coefficients'!$E:$E,$F286+2))))</f>
        <v/>
      </c>
      <c r="K286" s="14" t="str">
        <f aca="false">IF(OR($D286="",$F286=""),"",IF($E286&gt;0,INDEX('R1. Tree Coefficients'!$F:$F,$F286+3)*($D286^INDEX('R1. Tree Coefficients'!$G:$G,$F286+3))*($E286^INDEX('R1. Tree Coefficients'!$H:$H,$F286+3)),INDEX('R1. Tree Coefficients'!$D:$D,$F286+3)*($D286^INDEX('R1. Tree Coefficients'!$E:$E,$F286+3))))</f>
        <v/>
      </c>
      <c r="L286" s="14" t="str">
        <f aca="false">IF($F286="","",IFERROR(SUM($H286:$K286),""))</f>
        <v/>
      </c>
      <c r="M286" s="14" t="str">
        <f aca="false">IF($F286="","",INDEX('R1. Tree Coefficients'!$J:$J,$F286))</f>
        <v/>
      </c>
      <c r="N286" s="14" t="str">
        <f aca="false">IF($L286="","",IF($M286="Deciduous",BGB_RS_DECIDUOUS_a*($L286^BGB_RS_DECIDUOUS_b),IF($M286="Conifers",BGB_RS_CONIFER*$L286,AVERAGE(BGB_RS_DECIDUOUS_a*($L286^BGB_RS_DECIDUOUS_b),BGB_RS_CONIFER*$L286))))</f>
        <v/>
      </c>
      <c r="O286" s="14" t="str">
        <f aca="false">IF($L286="","",$L286+$N286)</f>
        <v/>
      </c>
      <c r="P286" s="14" t="str">
        <f aca="false">IF($O286="","",$O286*CARBON_FRACTION_BIOMASS)</f>
        <v/>
      </c>
      <c r="Q286" s="14" t="str">
        <f aca="false">IF(AND($A286="",$C286=""),"",IF(AND($A286&lt;&gt;"",COUNTIF('1. Plot &amp; Site Log'!$A$5:$A$64,$A286)=0),"Plot ID not in Plot &amp; Site Log — this tree will not reach the summary. ","")&amp;IF($A286="","No Plot ID. ","")&amp;IF(AND($C286&lt;&gt;"",$F286=""),"Species not in the coefficient list — check the spelling against R1. ","")&amp;IF($D286="","No DBH — nothing can be calculated. ","")&amp;IF(AND($D286&lt;&gt;"",$D286&gt;QC_DBH_MAX_CM),"DBH above "&amp;QC_DBH_MAX_CM&amp;" cm — check for a transcription error. ","")&amp;IF($M286="All","Generic species: no published root:shoot applies, so below-ground biomass is the mean of the deciduous and conifer relationships. Choose a species, or Deciduous/Conifers, if you can. ","")&amp;IF(AND($O286&lt;&gt;"",$O286&gt;0,OR($N286/$O286&lt;BGB_FRACTION_MIN,$N286/$O286&gt;BGB_FRACTION_MAX)),"Below-ground share is "&amp;TEXT($N286/$O286,"0%")&amp;", outside the 18–30% the Trees guide describes. ",""))</f>
        <v/>
      </c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4" t="str">
        <f aca="false">IF($C287="","",IFERROR(12+(MATCH($C287,'R1. Tree Coefficients'!$L$12:$L$53,0)-1)*4,""))</f>
        <v/>
      </c>
      <c r="G287" s="14" t="str">
        <f aca="false">IF($F287="","",IF(AND($E287&lt;&gt;"",$E287&gt;0),"DBH + height","DBH only"))</f>
        <v/>
      </c>
      <c r="H287" s="14" t="str">
        <f aca="false">IF(OR($D287="",$F287=""),"",IF($E287&gt;0,INDEX('R1. Tree Coefficients'!$F:$F,$F287+0)*($D287^INDEX('R1. Tree Coefficients'!$G:$G,$F287+0))*($E287^INDEX('R1. Tree Coefficients'!$H:$H,$F287+0)),INDEX('R1. Tree Coefficients'!$D:$D,$F287+0)*($D287^INDEX('R1. Tree Coefficients'!$E:$E,$F287+0))))</f>
        <v/>
      </c>
      <c r="I287" s="14" t="str">
        <f aca="false">IF(OR($D287="",$F287=""),"",IF($E287&gt;0,INDEX('R1. Tree Coefficients'!$F:$F,$F287+1)*($D287^INDEX('R1. Tree Coefficients'!$G:$G,$F287+1))*($E287^INDEX('R1. Tree Coefficients'!$H:$H,$F287+1)),INDEX('R1. Tree Coefficients'!$D:$D,$F287+1)*($D287^INDEX('R1. Tree Coefficients'!$E:$E,$F287+1))))</f>
        <v/>
      </c>
      <c r="J287" s="14" t="str">
        <f aca="false">IF(OR($D287="",$F287=""),"",IF($E287&gt;0,INDEX('R1. Tree Coefficients'!$F:$F,$F287+2)*($D287^INDEX('R1. Tree Coefficients'!$G:$G,$F287+2))*($E287^INDEX('R1. Tree Coefficients'!$H:$H,$F287+2)),INDEX('R1. Tree Coefficients'!$D:$D,$F287+2)*($D287^INDEX('R1. Tree Coefficients'!$E:$E,$F287+2))))</f>
        <v/>
      </c>
      <c r="K287" s="14" t="str">
        <f aca="false">IF(OR($D287="",$F287=""),"",IF($E287&gt;0,INDEX('R1. Tree Coefficients'!$F:$F,$F287+3)*($D287^INDEX('R1. Tree Coefficients'!$G:$G,$F287+3))*($E287^INDEX('R1. Tree Coefficients'!$H:$H,$F287+3)),INDEX('R1. Tree Coefficients'!$D:$D,$F287+3)*($D287^INDEX('R1. Tree Coefficients'!$E:$E,$F287+3))))</f>
        <v/>
      </c>
      <c r="L287" s="14" t="str">
        <f aca="false">IF($F287="","",IFERROR(SUM($H287:$K287),""))</f>
        <v/>
      </c>
      <c r="M287" s="14" t="str">
        <f aca="false">IF($F287="","",INDEX('R1. Tree Coefficients'!$J:$J,$F287))</f>
        <v/>
      </c>
      <c r="N287" s="14" t="str">
        <f aca="false">IF($L287="","",IF($M287="Deciduous",BGB_RS_DECIDUOUS_a*($L287^BGB_RS_DECIDUOUS_b),IF($M287="Conifers",BGB_RS_CONIFER*$L287,AVERAGE(BGB_RS_DECIDUOUS_a*($L287^BGB_RS_DECIDUOUS_b),BGB_RS_CONIFER*$L287))))</f>
        <v/>
      </c>
      <c r="O287" s="14" t="str">
        <f aca="false">IF($L287="","",$L287+$N287)</f>
        <v/>
      </c>
      <c r="P287" s="14" t="str">
        <f aca="false">IF($O287="","",$O287*CARBON_FRACTION_BIOMASS)</f>
        <v/>
      </c>
      <c r="Q287" s="14" t="str">
        <f aca="false">IF(AND($A287="",$C287=""),"",IF(AND($A287&lt;&gt;"",COUNTIF('1. Plot &amp; Site Log'!$A$5:$A$64,$A287)=0),"Plot ID not in Plot &amp; Site Log — this tree will not reach the summary. ","")&amp;IF($A287="","No Plot ID. ","")&amp;IF(AND($C287&lt;&gt;"",$F287=""),"Species not in the coefficient list — check the spelling against R1. ","")&amp;IF($D287="","No DBH — nothing can be calculated. ","")&amp;IF(AND($D287&lt;&gt;"",$D287&gt;QC_DBH_MAX_CM),"DBH above "&amp;QC_DBH_MAX_CM&amp;" cm — check for a transcription error. ","")&amp;IF($M287="All","Generic species: no published root:shoot applies, so below-ground biomass is the mean of the deciduous and conifer relationships. Choose a species, or Deciduous/Conifers, if you can. ","")&amp;IF(AND($O287&lt;&gt;"",$O287&gt;0,OR($N287/$O287&lt;BGB_FRACTION_MIN,$N287/$O287&gt;BGB_FRACTION_MAX)),"Below-ground share is "&amp;TEXT($N287/$O287,"0%")&amp;", outside the 18–30% the Trees guide describes. ",""))</f>
        <v/>
      </c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4" t="str">
        <f aca="false">IF($C288="","",IFERROR(12+(MATCH($C288,'R1. Tree Coefficients'!$L$12:$L$53,0)-1)*4,""))</f>
        <v/>
      </c>
      <c r="G288" s="14" t="str">
        <f aca="false">IF($F288="","",IF(AND($E288&lt;&gt;"",$E288&gt;0),"DBH + height","DBH only"))</f>
        <v/>
      </c>
      <c r="H288" s="14" t="str">
        <f aca="false">IF(OR($D288="",$F288=""),"",IF($E288&gt;0,INDEX('R1. Tree Coefficients'!$F:$F,$F288+0)*($D288^INDEX('R1. Tree Coefficients'!$G:$G,$F288+0))*($E288^INDEX('R1. Tree Coefficients'!$H:$H,$F288+0)),INDEX('R1. Tree Coefficients'!$D:$D,$F288+0)*($D288^INDEX('R1. Tree Coefficients'!$E:$E,$F288+0))))</f>
        <v/>
      </c>
      <c r="I288" s="14" t="str">
        <f aca="false">IF(OR($D288="",$F288=""),"",IF($E288&gt;0,INDEX('R1. Tree Coefficients'!$F:$F,$F288+1)*($D288^INDEX('R1. Tree Coefficients'!$G:$G,$F288+1))*($E288^INDEX('R1. Tree Coefficients'!$H:$H,$F288+1)),INDEX('R1. Tree Coefficients'!$D:$D,$F288+1)*($D288^INDEX('R1. Tree Coefficients'!$E:$E,$F288+1))))</f>
        <v/>
      </c>
      <c r="J288" s="14" t="str">
        <f aca="false">IF(OR($D288="",$F288=""),"",IF($E288&gt;0,INDEX('R1. Tree Coefficients'!$F:$F,$F288+2)*($D288^INDEX('R1. Tree Coefficients'!$G:$G,$F288+2))*($E288^INDEX('R1. Tree Coefficients'!$H:$H,$F288+2)),INDEX('R1. Tree Coefficients'!$D:$D,$F288+2)*($D288^INDEX('R1. Tree Coefficients'!$E:$E,$F288+2))))</f>
        <v/>
      </c>
      <c r="K288" s="14" t="str">
        <f aca="false">IF(OR($D288="",$F288=""),"",IF($E288&gt;0,INDEX('R1. Tree Coefficients'!$F:$F,$F288+3)*($D288^INDEX('R1. Tree Coefficients'!$G:$G,$F288+3))*($E288^INDEX('R1. Tree Coefficients'!$H:$H,$F288+3)),INDEX('R1. Tree Coefficients'!$D:$D,$F288+3)*($D288^INDEX('R1. Tree Coefficients'!$E:$E,$F288+3))))</f>
        <v/>
      </c>
      <c r="L288" s="14" t="str">
        <f aca="false">IF($F288="","",IFERROR(SUM($H288:$K288),""))</f>
        <v/>
      </c>
      <c r="M288" s="14" t="str">
        <f aca="false">IF($F288="","",INDEX('R1. Tree Coefficients'!$J:$J,$F288))</f>
        <v/>
      </c>
      <c r="N288" s="14" t="str">
        <f aca="false">IF($L288="","",IF($M288="Deciduous",BGB_RS_DECIDUOUS_a*($L288^BGB_RS_DECIDUOUS_b),IF($M288="Conifers",BGB_RS_CONIFER*$L288,AVERAGE(BGB_RS_DECIDUOUS_a*($L288^BGB_RS_DECIDUOUS_b),BGB_RS_CONIFER*$L288))))</f>
        <v/>
      </c>
      <c r="O288" s="14" t="str">
        <f aca="false">IF($L288="","",$L288+$N288)</f>
        <v/>
      </c>
      <c r="P288" s="14" t="str">
        <f aca="false">IF($O288="","",$O288*CARBON_FRACTION_BIOMASS)</f>
        <v/>
      </c>
      <c r="Q288" s="14" t="str">
        <f aca="false">IF(AND($A288="",$C288=""),"",IF(AND($A288&lt;&gt;"",COUNTIF('1. Plot &amp; Site Log'!$A$5:$A$64,$A288)=0),"Plot ID not in Plot &amp; Site Log — this tree will not reach the summary. ","")&amp;IF($A288="","No Plot ID. ","")&amp;IF(AND($C288&lt;&gt;"",$F288=""),"Species not in the coefficient list — check the spelling against R1. ","")&amp;IF($D288="","No DBH — nothing can be calculated. ","")&amp;IF(AND($D288&lt;&gt;"",$D288&gt;QC_DBH_MAX_CM),"DBH above "&amp;QC_DBH_MAX_CM&amp;" cm — check for a transcription error. ","")&amp;IF($M288="All","Generic species: no published root:shoot applies, so below-ground biomass is the mean of the deciduous and conifer relationships. Choose a species, or Deciduous/Conifers, if you can. ","")&amp;IF(AND($O288&lt;&gt;"",$O288&gt;0,OR($N288/$O288&lt;BGB_FRACTION_MIN,$N288/$O288&gt;BGB_FRACTION_MAX)),"Below-ground share is "&amp;TEXT($N288/$O288,"0%")&amp;", outside the 18–30% the Trees guide describes. ",""))</f>
        <v/>
      </c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4" t="str">
        <f aca="false">IF($C289="","",IFERROR(12+(MATCH($C289,'R1. Tree Coefficients'!$L$12:$L$53,0)-1)*4,""))</f>
        <v/>
      </c>
      <c r="G289" s="14" t="str">
        <f aca="false">IF($F289="","",IF(AND($E289&lt;&gt;"",$E289&gt;0),"DBH + height","DBH only"))</f>
        <v/>
      </c>
      <c r="H289" s="14" t="str">
        <f aca="false">IF(OR($D289="",$F289=""),"",IF($E289&gt;0,INDEX('R1. Tree Coefficients'!$F:$F,$F289+0)*($D289^INDEX('R1. Tree Coefficients'!$G:$G,$F289+0))*($E289^INDEX('R1. Tree Coefficients'!$H:$H,$F289+0)),INDEX('R1. Tree Coefficients'!$D:$D,$F289+0)*($D289^INDEX('R1. Tree Coefficients'!$E:$E,$F289+0))))</f>
        <v/>
      </c>
      <c r="I289" s="14" t="str">
        <f aca="false">IF(OR($D289="",$F289=""),"",IF($E289&gt;0,INDEX('R1. Tree Coefficients'!$F:$F,$F289+1)*($D289^INDEX('R1. Tree Coefficients'!$G:$G,$F289+1))*($E289^INDEX('R1. Tree Coefficients'!$H:$H,$F289+1)),INDEX('R1. Tree Coefficients'!$D:$D,$F289+1)*($D289^INDEX('R1. Tree Coefficients'!$E:$E,$F289+1))))</f>
        <v/>
      </c>
      <c r="J289" s="14" t="str">
        <f aca="false">IF(OR($D289="",$F289=""),"",IF($E289&gt;0,INDEX('R1. Tree Coefficients'!$F:$F,$F289+2)*($D289^INDEX('R1. Tree Coefficients'!$G:$G,$F289+2))*($E289^INDEX('R1. Tree Coefficients'!$H:$H,$F289+2)),INDEX('R1. Tree Coefficients'!$D:$D,$F289+2)*($D289^INDEX('R1. Tree Coefficients'!$E:$E,$F289+2))))</f>
        <v/>
      </c>
      <c r="K289" s="14" t="str">
        <f aca="false">IF(OR($D289="",$F289=""),"",IF($E289&gt;0,INDEX('R1. Tree Coefficients'!$F:$F,$F289+3)*($D289^INDEX('R1. Tree Coefficients'!$G:$G,$F289+3))*($E289^INDEX('R1. Tree Coefficients'!$H:$H,$F289+3)),INDEX('R1. Tree Coefficients'!$D:$D,$F289+3)*($D289^INDEX('R1. Tree Coefficients'!$E:$E,$F289+3))))</f>
        <v/>
      </c>
      <c r="L289" s="14" t="str">
        <f aca="false">IF($F289="","",IFERROR(SUM($H289:$K289),""))</f>
        <v/>
      </c>
      <c r="M289" s="14" t="str">
        <f aca="false">IF($F289="","",INDEX('R1. Tree Coefficients'!$J:$J,$F289))</f>
        <v/>
      </c>
      <c r="N289" s="14" t="str">
        <f aca="false">IF($L289="","",IF($M289="Deciduous",BGB_RS_DECIDUOUS_a*($L289^BGB_RS_DECIDUOUS_b),IF($M289="Conifers",BGB_RS_CONIFER*$L289,AVERAGE(BGB_RS_DECIDUOUS_a*($L289^BGB_RS_DECIDUOUS_b),BGB_RS_CONIFER*$L289))))</f>
        <v/>
      </c>
      <c r="O289" s="14" t="str">
        <f aca="false">IF($L289="","",$L289+$N289)</f>
        <v/>
      </c>
      <c r="P289" s="14" t="str">
        <f aca="false">IF($O289="","",$O289*CARBON_FRACTION_BIOMASS)</f>
        <v/>
      </c>
      <c r="Q289" s="14" t="str">
        <f aca="false">IF(AND($A289="",$C289=""),"",IF(AND($A289&lt;&gt;"",COUNTIF('1. Plot &amp; Site Log'!$A$5:$A$64,$A289)=0),"Plot ID not in Plot &amp; Site Log — this tree will not reach the summary. ","")&amp;IF($A289="","No Plot ID. ","")&amp;IF(AND($C289&lt;&gt;"",$F289=""),"Species not in the coefficient list — check the spelling against R1. ","")&amp;IF($D289="","No DBH — nothing can be calculated. ","")&amp;IF(AND($D289&lt;&gt;"",$D289&gt;QC_DBH_MAX_CM),"DBH above "&amp;QC_DBH_MAX_CM&amp;" cm — check for a transcription error. ","")&amp;IF($M289="All","Generic species: no published root:shoot applies, so below-ground biomass is the mean of the deciduous and conifer relationships. Choose a species, or Deciduous/Conifers, if you can. ","")&amp;IF(AND($O289&lt;&gt;"",$O289&gt;0,OR($N289/$O289&lt;BGB_FRACTION_MIN,$N289/$O289&gt;BGB_FRACTION_MAX)),"Below-ground share is "&amp;TEXT($N289/$O289,"0%")&amp;", outside the 18–30% the Trees guide describes. ",""))</f>
        <v/>
      </c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4" t="str">
        <f aca="false">IF($C290="","",IFERROR(12+(MATCH($C290,'R1. Tree Coefficients'!$L$12:$L$53,0)-1)*4,""))</f>
        <v/>
      </c>
      <c r="G290" s="14" t="str">
        <f aca="false">IF($F290="","",IF(AND($E290&lt;&gt;"",$E290&gt;0),"DBH + height","DBH only"))</f>
        <v/>
      </c>
      <c r="H290" s="14" t="str">
        <f aca="false">IF(OR($D290="",$F290=""),"",IF($E290&gt;0,INDEX('R1. Tree Coefficients'!$F:$F,$F290+0)*($D290^INDEX('R1. Tree Coefficients'!$G:$G,$F290+0))*($E290^INDEX('R1. Tree Coefficients'!$H:$H,$F290+0)),INDEX('R1. Tree Coefficients'!$D:$D,$F290+0)*($D290^INDEX('R1. Tree Coefficients'!$E:$E,$F290+0))))</f>
        <v/>
      </c>
      <c r="I290" s="14" t="str">
        <f aca="false">IF(OR($D290="",$F290=""),"",IF($E290&gt;0,INDEX('R1. Tree Coefficients'!$F:$F,$F290+1)*($D290^INDEX('R1. Tree Coefficients'!$G:$G,$F290+1))*($E290^INDEX('R1. Tree Coefficients'!$H:$H,$F290+1)),INDEX('R1. Tree Coefficients'!$D:$D,$F290+1)*($D290^INDEX('R1. Tree Coefficients'!$E:$E,$F290+1))))</f>
        <v/>
      </c>
      <c r="J290" s="14" t="str">
        <f aca="false">IF(OR($D290="",$F290=""),"",IF($E290&gt;0,INDEX('R1. Tree Coefficients'!$F:$F,$F290+2)*($D290^INDEX('R1. Tree Coefficients'!$G:$G,$F290+2))*($E290^INDEX('R1. Tree Coefficients'!$H:$H,$F290+2)),INDEX('R1. Tree Coefficients'!$D:$D,$F290+2)*($D290^INDEX('R1. Tree Coefficients'!$E:$E,$F290+2))))</f>
        <v/>
      </c>
      <c r="K290" s="14" t="str">
        <f aca="false">IF(OR($D290="",$F290=""),"",IF($E290&gt;0,INDEX('R1. Tree Coefficients'!$F:$F,$F290+3)*($D290^INDEX('R1. Tree Coefficients'!$G:$G,$F290+3))*($E290^INDEX('R1. Tree Coefficients'!$H:$H,$F290+3)),INDEX('R1. Tree Coefficients'!$D:$D,$F290+3)*($D290^INDEX('R1. Tree Coefficients'!$E:$E,$F290+3))))</f>
        <v/>
      </c>
      <c r="L290" s="14" t="str">
        <f aca="false">IF($F290="","",IFERROR(SUM($H290:$K290),""))</f>
        <v/>
      </c>
      <c r="M290" s="14" t="str">
        <f aca="false">IF($F290="","",INDEX('R1. Tree Coefficients'!$J:$J,$F290))</f>
        <v/>
      </c>
      <c r="N290" s="14" t="str">
        <f aca="false">IF($L290="","",IF($M290="Deciduous",BGB_RS_DECIDUOUS_a*($L290^BGB_RS_DECIDUOUS_b),IF($M290="Conifers",BGB_RS_CONIFER*$L290,AVERAGE(BGB_RS_DECIDUOUS_a*($L290^BGB_RS_DECIDUOUS_b),BGB_RS_CONIFER*$L290))))</f>
        <v/>
      </c>
      <c r="O290" s="14" t="str">
        <f aca="false">IF($L290="","",$L290+$N290)</f>
        <v/>
      </c>
      <c r="P290" s="14" t="str">
        <f aca="false">IF($O290="","",$O290*CARBON_FRACTION_BIOMASS)</f>
        <v/>
      </c>
      <c r="Q290" s="14" t="str">
        <f aca="false">IF(AND($A290="",$C290=""),"",IF(AND($A290&lt;&gt;"",COUNTIF('1. Plot &amp; Site Log'!$A$5:$A$64,$A290)=0),"Plot ID not in Plot &amp; Site Log — this tree will not reach the summary. ","")&amp;IF($A290="","No Plot ID. ","")&amp;IF(AND($C290&lt;&gt;"",$F290=""),"Species not in the coefficient list — check the spelling against R1. ","")&amp;IF($D290="","No DBH — nothing can be calculated. ","")&amp;IF(AND($D290&lt;&gt;"",$D290&gt;QC_DBH_MAX_CM),"DBH above "&amp;QC_DBH_MAX_CM&amp;" cm — check for a transcription error. ","")&amp;IF($M290="All","Generic species: no published root:shoot applies, so below-ground biomass is the mean of the deciduous and conifer relationships. Choose a species, or Deciduous/Conifers, if you can. ","")&amp;IF(AND($O290&lt;&gt;"",$O290&gt;0,OR($N290/$O290&lt;BGB_FRACTION_MIN,$N290/$O290&gt;BGB_FRACTION_MAX)),"Below-ground share is "&amp;TEXT($N290/$O290,"0%")&amp;", outside the 18–30% the Trees guide describes. ",""))</f>
        <v/>
      </c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4" t="str">
        <f aca="false">IF($C291="","",IFERROR(12+(MATCH($C291,'R1. Tree Coefficients'!$L$12:$L$53,0)-1)*4,""))</f>
        <v/>
      </c>
      <c r="G291" s="14" t="str">
        <f aca="false">IF($F291="","",IF(AND($E291&lt;&gt;"",$E291&gt;0),"DBH + height","DBH only"))</f>
        <v/>
      </c>
      <c r="H291" s="14" t="str">
        <f aca="false">IF(OR($D291="",$F291=""),"",IF($E291&gt;0,INDEX('R1. Tree Coefficients'!$F:$F,$F291+0)*($D291^INDEX('R1. Tree Coefficients'!$G:$G,$F291+0))*($E291^INDEX('R1. Tree Coefficients'!$H:$H,$F291+0)),INDEX('R1. Tree Coefficients'!$D:$D,$F291+0)*($D291^INDEX('R1. Tree Coefficients'!$E:$E,$F291+0))))</f>
        <v/>
      </c>
      <c r="I291" s="14" t="str">
        <f aca="false">IF(OR($D291="",$F291=""),"",IF($E291&gt;0,INDEX('R1. Tree Coefficients'!$F:$F,$F291+1)*($D291^INDEX('R1. Tree Coefficients'!$G:$G,$F291+1))*($E291^INDEX('R1. Tree Coefficients'!$H:$H,$F291+1)),INDEX('R1. Tree Coefficients'!$D:$D,$F291+1)*($D291^INDEX('R1. Tree Coefficients'!$E:$E,$F291+1))))</f>
        <v/>
      </c>
      <c r="J291" s="14" t="str">
        <f aca="false">IF(OR($D291="",$F291=""),"",IF($E291&gt;0,INDEX('R1. Tree Coefficients'!$F:$F,$F291+2)*($D291^INDEX('R1. Tree Coefficients'!$G:$G,$F291+2))*($E291^INDEX('R1. Tree Coefficients'!$H:$H,$F291+2)),INDEX('R1. Tree Coefficients'!$D:$D,$F291+2)*($D291^INDEX('R1. Tree Coefficients'!$E:$E,$F291+2))))</f>
        <v/>
      </c>
      <c r="K291" s="14" t="str">
        <f aca="false">IF(OR($D291="",$F291=""),"",IF($E291&gt;0,INDEX('R1. Tree Coefficients'!$F:$F,$F291+3)*($D291^INDEX('R1. Tree Coefficients'!$G:$G,$F291+3))*($E291^INDEX('R1. Tree Coefficients'!$H:$H,$F291+3)),INDEX('R1. Tree Coefficients'!$D:$D,$F291+3)*($D291^INDEX('R1. Tree Coefficients'!$E:$E,$F291+3))))</f>
        <v/>
      </c>
      <c r="L291" s="14" t="str">
        <f aca="false">IF($F291="","",IFERROR(SUM($H291:$K291),""))</f>
        <v/>
      </c>
      <c r="M291" s="14" t="str">
        <f aca="false">IF($F291="","",INDEX('R1. Tree Coefficients'!$J:$J,$F291))</f>
        <v/>
      </c>
      <c r="N291" s="14" t="str">
        <f aca="false">IF($L291="","",IF($M291="Deciduous",BGB_RS_DECIDUOUS_a*($L291^BGB_RS_DECIDUOUS_b),IF($M291="Conifers",BGB_RS_CONIFER*$L291,AVERAGE(BGB_RS_DECIDUOUS_a*($L291^BGB_RS_DECIDUOUS_b),BGB_RS_CONIFER*$L291))))</f>
        <v/>
      </c>
      <c r="O291" s="14" t="str">
        <f aca="false">IF($L291="","",$L291+$N291)</f>
        <v/>
      </c>
      <c r="P291" s="14" t="str">
        <f aca="false">IF($O291="","",$O291*CARBON_FRACTION_BIOMASS)</f>
        <v/>
      </c>
      <c r="Q291" s="14" t="str">
        <f aca="false">IF(AND($A291="",$C291=""),"",IF(AND($A291&lt;&gt;"",COUNTIF('1. Plot &amp; Site Log'!$A$5:$A$64,$A291)=0),"Plot ID not in Plot &amp; Site Log — this tree will not reach the summary. ","")&amp;IF($A291="","No Plot ID. ","")&amp;IF(AND($C291&lt;&gt;"",$F291=""),"Species not in the coefficient list — check the spelling against R1. ","")&amp;IF($D291="","No DBH — nothing can be calculated. ","")&amp;IF(AND($D291&lt;&gt;"",$D291&gt;QC_DBH_MAX_CM),"DBH above "&amp;QC_DBH_MAX_CM&amp;" cm — check for a transcription error. ","")&amp;IF($M291="All","Generic species: no published root:shoot applies, so below-ground biomass is the mean of the deciduous and conifer relationships. Choose a species, or Deciduous/Conifers, if you can. ","")&amp;IF(AND($O291&lt;&gt;"",$O291&gt;0,OR($N291/$O291&lt;BGB_FRACTION_MIN,$N291/$O291&gt;BGB_FRACTION_MAX)),"Below-ground share is "&amp;TEXT($N291/$O291,"0%")&amp;", outside the 18–30% the Trees guide describes. ",""))</f>
        <v/>
      </c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4" t="str">
        <f aca="false">IF($C292="","",IFERROR(12+(MATCH($C292,'R1. Tree Coefficients'!$L$12:$L$53,0)-1)*4,""))</f>
        <v/>
      </c>
      <c r="G292" s="14" t="str">
        <f aca="false">IF($F292="","",IF(AND($E292&lt;&gt;"",$E292&gt;0),"DBH + height","DBH only"))</f>
        <v/>
      </c>
      <c r="H292" s="14" t="str">
        <f aca="false">IF(OR($D292="",$F292=""),"",IF($E292&gt;0,INDEX('R1. Tree Coefficients'!$F:$F,$F292+0)*($D292^INDEX('R1. Tree Coefficients'!$G:$G,$F292+0))*($E292^INDEX('R1. Tree Coefficients'!$H:$H,$F292+0)),INDEX('R1. Tree Coefficients'!$D:$D,$F292+0)*($D292^INDEX('R1. Tree Coefficients'!$E:$E,$F292+0))))</f>
        <v/>
      </c>
      <c r="I292" s="14" t="str">
        <f aca="false">IF(OR($D292="",$F292=""),"",IF($E292&gt;0,INDEX('R1. Tree Coefficients'!$F:$F,$F292+1)*($D292^INDEX('R1. Tree Coefficients'!$G:$G,$F292+1))*($E292^INDEX('R1. Tree Coefficients'!$H:$H,$F292+1)),INDEX('R1. Tree Coefficients'!$D:$D,$F292+1)*($D292^INDEX('R1. Tree Coefficients'!$E:$E,$F292+1))))</f>
        <v/>
      </c>
      <c r="J292" s="14" t="str">
        <f aca="false">IF(OR($D292="",$F292=""),"",IF($E292&gt;0,INDEX('R1. Tree Coefficients'!$F:$F,$F292+2)*($D292^INDEX('R1. Tree Coefficients'!$G:$G,$F292+2))*($E292^INDEX('R1. Tree Coefficients'!$H:$H,$F292+2)),INDEX('R1. Tree Coefficients'!$D:$D,$F292+2)*($D292^INDEX('R1. Tree Coefficients'!$E:$E,$F292+2))))</f>
        <v/>
      </c>
      <c r="K292" s="14" t="str">
        <f aca="false">IF(OR($D292="",$F292=""),"",IF($E292&gt;0,INDEX('R1. Tree Coefficients'!$F:$F,$F292+3)*($D292^INDEX('R1. Tree Coefficients'!$G:$G,$F292+3))*($E292^INDEX('R1. Tree Coefficients'!$H:$H,$F292+3)),INDEX('R1. Tree Coefficients'!$D:$D,$F292+3)*($D292^INDEX('R1. Tree Coefficients'!$E:$E,$F292+3))))</f>
        <v/>
      </c>
      <c r="L292" s="14" t="str">
        <f aca="false">IF($F292="","",IFERROR(SUM($H292:$K292),""))</f>
        <v/>
      </c>
      <c r="M292" s="14" t="str">
        <f aca="false">IF($F292="","",INDEX('R1. Tree Coefficients'!$J:$J,$F292))</f>
        <v/>
      </c>
      <c r="N292" s="14" t="str">
        <f aca="false">IF($L292="","",IF($M292="Deciduous",BGB_RS_DECIDUOUS_a*($L292^BGB_RS_DECIDUOUS_b),IF($M292="Conifers",BGB_RS_CONIFER*$L292,AVERAGE(BGB_RS_DECIDUOUS_a*($L292^BGB_RS_DECIDUOUS_b),BGB_RS_CONIFER*$L292))))</f>
        <v/>
      </c>
      <c r="O292" s="14" t="str">
        <f aca="false">IF($L292="","",$L292+$N292)</f>
        <v/>
      </c>
      <c r="P292" s="14" t="str">
        <f aca="false">IF($O292="","",$O292*CARBON_FRACTION_BIOMASS)</f>
        <v/>
      </c>
      <c r="Q292" s="14" t="str">
        <f aca="false">IF(AND($A292="",$C292=""),"",IF(AND($A292&lt;&gt;"",COUNTIF('1. Plot &amp; Site Log'!$A$5:$A$64,$A292)=0),"Plot ID not in Plot &amp; Site Log — this tree will not reach the summary. ","")&amp;IF($A292="","No Plot ID. ","")&amp;IF(AND($C292&lt;&gt;"",$F292=""),"Species not in the coefficient list — check the spelling against R1. ","")&amp;IF($D292="","No DBH — nothing can be calculated. ","")&amp;IF(AND($D292&lt;&gt;"",$D292&gt;QC_DBH_MAX_CM),"DBH above "&amp;QC_DBH_MAX_CM&amp;" cm — check for a transcription error. ","")&amp;IF($M292="All","Generic species: no published root:shoot applies, so below-ground biomass is the mean of the deciduous and conifer relationships. Choose a species, or Deciduous/Conifers, if you can. ","")&amp;IF(AND($O292&lt;&gt;"",$O292&gt;0,OR($N292/$O292&lt;BGB_FRACTION_MIN,$N292/$O292&gt;BGB_FRACTION_MAX)),"Below-ground share is "&amp;TEXT($N292/$O292,"0%")&amp;", outside the 18–30% the Trees guide describes. ",""))</f>
        <v/>
      </c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4" t="str">
        <f aca="false">IF($C293="","",IFERROR(12+(MATCH($C293,'R1. Tree Coefficients'!$L$12:$L$53,0)-1)*4,""))</f>
        <v/>
      </c>
      <c r="G293" s="14" t="str">
        <f aca="false">IF($F293="","",IF(AND($E293&lt;&gt;"",$E293&gt;0),"DBH + height","DBH only"))</f>
        <v/>
      </c>
      <c r="H293" s="14" t="str">
        <f aca="false">IF(OR($D293="",$F293=""),"",IF($E293&gt;0,INDEX('R1. Tree Coefficients'!$F:$F,$F293+0)*($D293^INDEX('R1. Tree Coefficients'!$G:$G,$F293+0))*($E293^INDEX('R1. Tree Coefficients'!$H:$H,$F293+0)),INDEX('R1. Tree Coefficients'!$D:$D,$F293+0)*($D293^INDEX('R1. Tree Coefficients'!$E:$E,$F293+0))))</f>
        <v/>
      </c>
      <c r="I293" s="14" t="str">
        <f aca="false">IF(OR($D293="",$F293=""),"",IF($E293&gt;0,INDEX('R1. Tree Coefficients'!$F:$F,$F293+1)*($D293^INDEX('R1. Tree Coefficients'!$G:$G,$F293+1))*($E293^INDEX('R1. Tree Coefficients'!$H:$H,$F293+1)),INDEX('R1. Tree Coefficients'!$D:$D,$F293+1)*($D293^INDEX('R1. Tree Coefficients'!$E:$E,$F293+1))))</f>
        <v/>
      </c>
      <c r="J293" s="14" t="str">
        <f aca="false">IF(OR($D293="",$F293=""),"",IF($E293&gt;0,INDEX('R1. Tree Coefficients'!$F:$F,$F293+2)*($D293^INDEX('R1. Tree Coefficients'!$G:$G,$F293+2))*($E293^INDEX('R1. Tree Coefficients'!$H:$H,$F293+2)),INDEX('R1. Tree Coefficients'!$D:$D,$F293+2)*($D293^INDEX('R1. Tree Coefficients'!$E:$E,$F293+2))))</f>
        <v/>
      </c>
      <c r="K293" s="14" t="str">
        <f aca="false">IF(OR($D293="",$F293=""),"",IF($E293&gt;0,INDEX('R1. Tree Coefficients'!$F:$F,$F293+3)*($D293^INDEX('R1. Tree Coefficients'!$G:$G,$F293+3))*($E293^INDEX('R1. Tree Coefficients'!$H:$H,$F293+3)),INDEX('R1. Tree Coefficients'!$D:$D,$F293+3)*($D293^INDEX('R1. Tree Coefficients'!$E:$E,$F293+3))))</f>
        <v/>
      </c>
      <c r="L293" s="14" t="str">
        <f aca="false">IF($F293="","",IFERROR(SUM($H293:$K293),""))</f>
        <v/>
      </c>
      <c r="M293" s="14" t="str">
        <f aca="false">IF($F293="","",INDEX('R1. Tree Coefficients'!$J:$J,$F293))</f>
        <v/>
      </c>
      <c r="N293" s="14" t="str">
        <f aca="false">IF($L293="","",IF($M293="Deciduous",BGB_RS_DECIDUOUS_a*($L293^BGB_RS_DECIDUOUS_b),IF($M293="Conifers",BGB_RS_CONIFER*$L293,AVERAGE(BGB_RS_DECIDUOUS_a*($L293^BGB_RS_DECIDUOUS_b),BGB_RS_CONIFER*$L293))))</f>
        <v/>
      </c>
      <c r="O293" s="14" t="str">
        <f aca="false">IF($L293="","",$L293+$N293)</f>
        <v/>
      </c>
      <c r="P293" s="14" t="str">
        <f aca="false">IF($O293="","",$O293*CARBON_FRACTION_BIOMASS)</f>
        <v/>
      </c>
      <c r="Q293" s="14" t="str">
        <f aca="false">IF(AND($A293="",$C293=""),"",IF(AND($A293&lt;&gt;"",COUNTIF('1. Plot &amp; Site Log'!$A$5:$A$64,$A293)=0),"Plot ID not in Plot &amp; Site Log — this tree will not reach the summary. ","")&amp;IF($A293="","No Plot ID. ","")&amp;IF(AND($C293&lt;&gt;"",$F293=""),"Species not in the coefficient list — check the spelling against R1. ","")&amp;IF($D293="","No DBH — nothing can be calculated. ","")&amp;IF(AND($D293&lt;&gt;"",$D293&gt;QC_DBH_MAX_CM),"DBH above "&amp;QC_DBH_MAX_CM&amp;" cm — check for a transcription error. ","")&amp;IF($M293="All","Generic species: no published root:shoot applies, so below-ground biomass is the mean of the deciduous and conifer relationships. Choose a species, or Deciduous/Conifers, if you can. ","")&amp;IF(AND($O293&lt;&gt;"",$O293&gt;0,OR($N293/$O293&lt;BGB_FRACTION_MIN,$N293/$O293&gt;BGB_FRACTION_MAX)),"Below-ground share is "&amp;TEXT($N293/$O293,"0%")&amp;", outside the 18–30% the Trees guide describes. ",""))</f>
        <v/>
      </c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4" t="str">
        <f aca="false">IF($C294="","",IFERROR(12+(MATCH($C294,'R1. Tree Coefficients'!$L$12:$L$53,0)-1)*4,""))</f>
        <v/>
      </c>
      <c r="G294" s="14" t="str">
        <f aca="false">IF($F294="","",IF(AND($E294&lt;&gt;"",$E294&gt;0),"DBH + height","DBH only"))</f>
        <v/>
      </c>
      <c r="H294" s="14" t="str">
        <f aca="false">IF(OR($D294="",$F294=""),"",IF($E294&gt;0,INDEX('R1. Tree Coefficients'!$F:$F,$F294+0)*($D294^INDEX('R1. Tree Coefficients'!$G:$G,$F294+0))*($E294^INDEX('R1. Tree Coefficients'!$H:$H,$F294+0)),INDEX('R1. Tree Coefficients'!$D:$D,$F294+0)*($D294^INDEX('R1. Tree Coefficients'!$E:$E,$F294+0))))</f>
        <v/>
      </c>
      <c r="I294" s="14" t="str">
        <f aca="false">IF(OR($D294="",$F294=""),"",IF($E294&gt;0,INDEX('R1. Tree Coefficients'!$F:$F,$F294+1)*($D294^INDEX('R1. Tree Coefficients'!$G:$G,$F294+1))*($E294^INDEX('R1. Tree Coefficients'!$H:$H,$F294+1)),INDEX('R1. Tree Coefficients'!$D:$D,$F294+1)*($D294^INDEX('R1. Tree Coefficients'!$E:$E,$F294+1))))</f>
        <v/>
      </c>
      <c r="J294" s="14" t="str">
        <f aca="false">IF(OR($D294="",$F294=""),"",IF($E294&gt;0,INDEX('R1. Tree Coefficients'!$F:$F,$F294+2)*($D294^INDEX('R1. Tree Coefficients'!$G:$G,$F294+2))*($E294^INDEX('R1. Tree Coefficients'!$H:$H,$F294+2)),INDEX('R1. Tree Coefficients'!$D:$D,$F294+2)*($D294^INDEX('R1. Tree Coefficients'!$E:$E,$F294+2))))</f>
        <v/>
      </c>
      <c r="K294" s="14" t="str">
        <f aca="false">IF(OR($D294="",$F294=""),"",IF($E294&gt;0,INDEX('R1. Tree Coefficients'!$F:$F,$F294+3)*($D294^INDEX('R1. Tree Coefficients'!$G:$G,$F294+3))*($E294^INDEX('R1. Tree Coefficients'!$H:$H,$F294+3)),INDEX('R1. Tree Coefficients'!$D:$D,$F294+3)*($D294^INDEX('R1. Tree Coefficients'!$E:$E,$F294+3))))</f>
        <v/>
      </c>
      <c r="L294" s="14" t="str">
        <f aca="false">IF($F294="","",IFERROR(SUM($H294:$K294),""))</f>
        <v/>
      </c>
      <c r="M294" s="14" t="str">
        <f aca="false">IF($F294="","",INDEX('R1. Tree Coefficients'!$J:$J,$F294))</f>
        <v/>
      </c>
      <c r="N294" s="14" t="str">
        <f aca="false">IF($L294="","",IF($M294="Deciduous",BGB_RS_DECIDUOUS_a*($L294^BGB_RS_DECIDUOUS_b),IF($M294="Conifers",BGB_RS_CONIFER*$L294,AVERAGE(BGB_RS_DECIDUOUS_a*($L294^BGB_RS_DECIDUOUS_b),BGB_RS_CONIFER*$L294))))</f>
        <v/>
      </c>
      <c r="O294" s="14" t="str">
        <f aca="false">IF($L294="","",$L294+$N294)</f>
        <v/>
      </c>
      <c r="P294" s="14" t="str">
        <f aca="false">IF($O294="","",$O294*CARBON_FRACTION_BIOMASS)</f>
        <v/>
      </c>
      <c r="Q294" s="14" t="str">
        <f aca="false">IF(AND($A294="",$C294=""),"",IF(AND($A294&lt;&gt;"",COUNTIF('1. Plot &amp; Site Log'!$A$5:$A$64,$A294)=0),"Plot ID not in Plot &amp; Site Log — this tree will not reach the summary. ","")&amp;IF($A294="","No Plot ID. ","")&amp;IF(AND($C294&lt;&gt;"",$F294=""),"Species not in the coefficient list — check the spelling against R1. ","")&amp;IF($D294="","No DBH — nothing can be calculated. ","")&amp;IF(AND($D294&lt;&gt;"",$D294&gt;QC_DBH_MAX_CM),"DBH above "&amp;QC_DBH_MAX_CM&amp;" cm — check for a transcription error. ","")&amp;IF($M294="All","Generic species: no published root:shoot applies, so below-ground biomass is the mean of the deciduous and conifer relationships. Choose a species, or Deciduous/Conifers, if you can. ","")&amp;IF(AND($O294&lt;&gt;"",$O294&gt;0,OR($N294/$O294&lt;BGB_FRACTION_MIN,$N294/$O294&gt;BGB_FRACTION_MAX)),"Below-ground share is "&amp;TEXT($N294/$O294,"0%")&amp;", outside the 18–30% the Trees guide describes. ",""))</f>
        <v/>
      </c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4" t="str">
        <f aca="false">IF($C295="","",IFERROR(12+(MATCH($C295,'R1. Tree Coefficients'!$L$12:$L$53,0)-1)*4,""))</f>
        <v/>
      </c>
      <c r="G295" s="14" t="str">
        <f aca="false">IF($F295="","",IF(AND($E295&lt;&gt;"",$E295&gt;0),"DBH + height","DBH only"))</f>
        <v/>
      </c>
      <c r="H295" s="14" t="str">
        <f aca="false">IF(OR($D295="",$F295=""),"",IF($E295&gt;0,INDEX('R1. Tree Coefficients'!$F:$F,$F295+0)*($D295^INDEX('R1. Tree Coefficients'!$G:$G,$F295+0))*($E295^INDEX('R1. Tree Coefficients'!$H:$H,$F295+0)),INDEX('R1. Tree Coefficients'!$D:$D,$F295+0)*($D295^INDEX('R1. Tree Coefficients'!$E:$E,$F295+0))))</f>
        <v/>
      </c>
      <c r="I295" s="14" t="str">
        <f aca="false">IF(OR($D295="",$F295=""),"",IF($E295&gt;0,INDEX('R1. Tree Coefficients'!$F:$F,$F295+1)*($D295^INDEX('R1. Tree Coefficients'!$G:$G,$F295+1))*($E295^INDEX('R1. Tree Coefficients'!$H:$H,$F295+1)),INDEX('R1. Tree Coefficients'!$D:$D,$F295+1)*($D295^INDEX('R1. Tree Coefficients'!$E:$E,$F295+1))))</f>
        <v/>
      </c>
      <c r="J295" s="14" t="str">
        <f aca="false">IF(OR($D295="",$F295=""),"",IF($E295&gt;0,INDEX('R1. Tree Coefficients'!$F:$F,$F295+2)*($D295^INDEX('R1. Tree Coefficients'!$G:$G,$F295+2))*($E295^INDEX('R1. Tree Coefficients'!$H:$H,$F295+2)),INDEX('R1. Tree Coefficients'!$D:$D,$F295+2)*($D295^INDEX('R1. Tree Coefficients'!$E:$E,$F295+2))))</f>
        <v/>
      </c>
      <c r="K295" s="14" t="str">
        <f aca="false">IF(OR($D295="",$F295=""),"",IF($E295&gt;0,INDEX('R1. Tree Coefficients'!$F:$F,$F295+3)*($D295^INDEX('R1. Tree Coefficients'!$G:$G,$F295+3))*($E295^INDEX('R1. Tree Coefficients'!$H:$H,$F295+3)),INDEX('R1. Tree Coefficients'!$D:$D,$F295+3)*($D295^INDEX('R1. Tree Coefficients'!$E:$E,$F295+3))))</f>
        <v/>
      </c>
      <c r="L295" s="14" t="str">
        <f aca="false">IF($F295="","",IFERROR(SUM($H295:$K295),""))</f>
        <v/>
      </c>
      <c r="M295" s="14" t="str">
        <f aca="false">IF($F295="","",INDEX('R1. Tree Coefficients'!$J:$J,$F295))</f>
        <v/>
      </c>
      <c r="N295" s="14" t="str">
        <f aca="false">IF($L295="","",IF($M295="Deciduous",BGB_RS_DECIDUOUS_a*($L295^BGB_RS_DECIDUOUS_b),IF($M295="Conifers",BGB_RS_CONIFER*$L295,AVERAGE(BGB_RS_DECIDUOUS_a*($L295^BGB_RS_DECIDUOUS_b),BGB_RS_CONIFER*$L295))))</f>
        <v/>
      </c>
      <c r="O295" s="14" t="str">
        <f aca="false">IF($L295="","",$L295+$N295)</f>
        <v/>
      </c>
      <c r="P295" s="14" t="str">
        <f aca="false">IF($O295="","",$O295*CARBON_FRACTION_BIOMASS)</f>
        <v/>
      </c>
      <c r="Q295" s="14" t="str">
        <f aca="false">IF(AND($A295="",$C295=""),"",IF(AND($A295&lt;&gt;"",COUNTIF('1. Plot &amp; Site Log'!$A$5:$A$64,$A295)=0),"Plot ID not in Plot &amp; Site Log — this tree will not reach the summary. ","")&amp;IF($A295="","No Plot ID. ","")&amp;IF(AND($C295&lt;&gt;"",$F295=""),"Species not in the coefficient list — check the spelling against R1. ","")&amp;IF($D295="","No DBH — nothing can be calculated. ","")&amp;IF(AND($D295&lt;&gt;"",$D295&gt;QC_DBH_MAX_CM),"DBH above "&amp;QC_DBH_MAX_CM&amp;" cm — check for a transcription error. ","")&amp;IF($M295="All","Generic species: no published root:shoot applies, so below-ground biomass is the mean of the deciduous and conifer relationships. Choose a species, or Deciduous/Conifers, if you can. ","")&amp;IF(AND($O295&lt;&gt;"",$O295&gt;0,OR($N295/$O295&lt;BGB_FRACTION_MIN,$N295/$O295&gt;BGB_FRACTION_MAX)),"Below-ground share is "&amp;TEXT($N295/$O295,"0%")&amp;", outside the 18–30% the Trees guide describes. ",""))</f>
        <v/>
      </c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4" t="str">
        <f aca="false">IF($C296="","",IFERROR(12+(MATCH($C296,'R1. Tree Coefficients'!$L$12:$L$53,0)-1)*4,""))</f>
        <v/>
      </c>
      <c r="G296" s="14" t="str">
        <f aca="false">IF($F296="","",IF(AND($E296&lt;&gt;"",$E296&gt;0),"DBH + height","DBH only"))</f>
        <v/>
      </c>
      <c r="H296" s="14" t="str">
        <f aca="false">IF(OR($D296="",$F296=""),"",IF($E296&gt;0,INDEX('R1. Tree Coefficients'!$F:$F,$F296+0)*($D296^INDEX('R1. Tree Coefficients'!$G:$G,$F296+0))*($E296^INDEX('R1. Tree Coefficients'!$H:$H,$F296+0)),INDEX('R1. Tree Coefficients'!$D:$D,$F296+0)*($D296^INDEX('R1. Tree Coefficients'!$E:$E,$F296+0))))</f>
        <v/>
      </c>
      <c r="I296" s="14" t="str">
        <f aca="false">IF(OR($D296="",$F296=""),"",IF($E296&gt;0,INDEX('R1. Tree Coefficients'!$F:$F,$F296+1)*($D296^INDEX('R1. Tree Coefficients'!$G:$G,$F296+1))*($E296^INDEX('R1. Tree Coefficients'!$H:$H,$F296+1)),INDEX('R1. Tree Coefficients'!$D:$D,$F296+1)*($D296^INDEX('R1. Tree Coefficients'!$E:$E,$F296+1))))</f>
        <v/>
      </c>
      <c r="J296" s="14" t="str">
        <f aca="false">IF(OR($D296="",$F296=""),"",IF($E296&gt;0,INDEX('R1. Tree Coefficients'!$F:$F,$F296+2)*($D296^INDEX('R1. Tree Coefficients'!$G:$G,$F296+2))*($E296^INDEX('R1. Tree Coefficients'!$H:$H,$F296+2)),INDEX('R1. Tree Coefficients'!$D:$D,$F296+2)*($D296^INDEX('R1. Tree Coefficients'!$E:$E,$F296+2))))</f>
        <v/>
      </c>
      <c r="K296" s="14" t="str">
        <f aca="false">IF(OR($D296="",$F296=""),"",IF($E296&gt;0,INDEX('R1. Tree Coefficients'!$F:$F,$F296+3)*($D296^INDEX('R1. Tree Coefficients'!$G:$G,$F296+3))*($E296^INDEX('R1. Tree Coefficients'!$H:$H,$F296+3)),INDEX('R1. Tree Coefficients'!$D:$D,$F296+3)*($D296^INDEX('R1. Tree Coefficients'!$E:$E,$F296+3))))</f>
        <v/>
      </c>
      <c r="L296" s="14" t="str">
        <f aca="false">IF($F296="","",IFERROR(SUM($H296:$K296),""))</f>
        <v/>
      </c>
      <c r="M296" s="14" t="str">
        <f aca="false">IF($F296="","",INDEX('R1. Tree Coefficients'!$J:$J,$F296))</f>
        <v/>
      </c>
      <c r="N296" s="14" t="str">
        <f aca="false">IF($L296="","",IF($M296="Deciduous",BGB_RS_DECIDUOUS_a*($L296^BGB_RS_DECIDUOUS_b),IF($M296="Conifers",BGB_RS_CONIFER*$L296,AVERAGE(BGB_RS_DECIDUOUS_a*($L296^BGB_RS_DECIDUOUS_b),BGB_RS_CONIFER*$L296))))</f>
        <v/>
      </c>
      <c r="O296" s="14" t="str">
        <f aca="false">IF($L296="","",$L296+$N296)</f>
        <v/>
      </c>
      <c r="P296" s="14" t="str">
        <f aca="false">IF($O296="","",$O296*CARBON_FRACTION_BIOMASS)</f>
        <v/>
      </c>
      <c r="Q296" s="14" t="str">
        <f aca="false">IF(AND($A296="",$C296=""),"",IF(AND($A296&lt;&gt;"",COUNTIF('1. Plot &amp; Site Log'!$A$5:$A$64,$A296)=0),"Plot ID not in Plot &amp; Site Log — this tree will not reach the summary. ","")&amp;IF($A296="","No Plot ID. ","")&amp;IF(AND($C296&lt;&gt;"",$F296=""),"Species not in the coefficient list — check the spelling against R1. ","")&amp;IF($D296="","No DBH — nothing can be calculated. ","")&amp;IF(AND($D296&lt;&gt;"",$D296&gt;QC_DBH_MAX_CM),"DBH above "&amp;QC_DBH_MAX_CM&amp;" cm — check for a transcription error. ","")&amp;IF($M296="All","Generic species: no published root:shoot applies, so below-ground biomass is the mean of the deciduous and conifer relationships. Choose a species, or Deciduous/Conifers, if you can. ","")&amp;IF(AND($O296&lt;&gt;"",$O296&gt;0,OR($N296/$O296&lt;BGB_FRACTION_MIN,$N296/$O296&gt;BGB_FRACTION_MAX)),"Below-ground share is "&amp;TEXT($N296/$O296,"0%")&amp;", outside the 18–30% the Trees guide describes. ",""))</f>
        <v/>
      </c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4" t="str">
        <f aca="false">IF($C297="","",IFERROR(12+(MATCH($C297,'R1. Tree Coefficients'!$L$12:$L$53,0)-1)*4,""))</f>
        <v/>
      </c>
      <c r="G297" s="14" t="str">
        <f aca="false">IF($F297="","",IF(AND($E297&lt;&gt;"",$E297&gt;0),"DBH + height","DBH only"))</f>
        <v/>
      </c>
      <c r="H297" s="14" t="str">
        <f aca="false">IF(OR($D297="",$F297=""),"",IF($E297&gt;0,INDEX('R1. Tree Coefficients'!$F:$F,$F297+0)*($D297^INDEX('R1. Tree Coefficients'!$G:$G,$F297+0))*($E297^INDEX('R1. Tree Coefficients'!$H:$H,$F297+0)),INDEX('R1. Tree Coefficients'!$D:$D,$F297+0)*($D297^INDEX('R1. Tree Coefficients'!$E:$E,$F297+0))))</f>
        <v/>
      </c>
      <c r="I297" s="14" t="str">
        <f aca="false">IF(OR($D297="",$F297=""),"",IF($E297&gt;0,INDEX('R1. Tree Coefficients'!$F:$F,$F297+1)*($D297^INDEX('R1. Tree Coefficients'!$G:$G,$F297+1))*($E297^INDEX('R1. Tree Coefficients'!$H:$H,$F297+1)),INDEX('R1. Tree Coefficients'!$D:$D,$F297+1)*($D297^INDEX('R1. Tree Coefficients'!$E:$E,$F297+1))))</f>
        <v/>
      </c>
      <c r="J297" s="14" t="str">
        <f aca="false">IF(OR($D297="",$F297=""),"",IF($E297&gt;0,INDEX('R1. Tree Coefficients'!$F:$F,$F297+2)*($D297^INDEX('R1. Tree Coefficients'!$G:$G,$F297+2))*($E297^INDEX('R1. Tree Coefficients'!$H:$H,$F297+2)),INDEX('R1. Tree Coefficients'!$D:$D,$F297+2)*($D297^INDEX('R1. Tree Coefficients'!$E:$E,$F297+2))))</f>
        <v/>
      </c>
      <c r="K297" s="14" t="str">
        <f aca="false">IF(OR($D297="",$F297=""),"",IF($E297&gt;0,INDEX('R1. Tree Coefficients'!$F:$F,$F297+3)*($D297^INDEX('R1. Tree Coefficients'!$G:$G,$F297+3))*($E297^INDEX('R1. Tree Coefficients'!$H:$H,$F297+3)),INDEX('R1. Tree Coefficients'!$D:$D,$F297+3)*($D297^INDEX('R1. Tree Coefficients'!$E:$E,$F297+3))))</f>
        <v/>
      </c>
      <c r="L297" s="14" t="str">
        <f aca="false">IF($F297="","",IFERROR(SUM($H297:$K297),""))</f>
        <v/>
      </c>
      <c r="M297" s="14" t="str">
        <f aca="false">IF($F297="","",INDEX('R1. Tree Coefficients'!$J:$J,$F297))</f>
        <v/>
      </c>
      <c r="N297" s="14" t="str">
        <f aca="false">IF($L297="","",IF($M297="Deciduous",BGB_RS_DECIDUOUS_a*($L297^BGB_RS_DECIDUOUS_b),IF($M297="Conifers",BGB_RS_CONIFER*$L297,AVERAGE(BGB_RS_DECIDUOUS_a*($L297^BGB_RS_DECIDUOUS_b),BGB_RS_CONIFER*$L297))))</f>
        <v/>
      </c>
      <c r="O297" s="14" t="str">
        <f aca="false">IF($L297="","",$L297+$N297)</f>
        <v/>
      </c>
      <c r="P297" s="14" t="str">
        <f aca="false">IF($O297="","",$O297*CARBON_FRACTION_BIOMASS)</f>
        <v/>
      </c>
      <c r="Q297" s="14" t="str">
        <f aca="false">IF(AND($A297="",$C297=""),"",IF(AND($A297&lt;&gt;"",COUNTIF('1. Plot &amp; Site Log'!$A$5:$A$64,$A297)=0),"Plot ID not in Plot &amp; Site Log — this tree will not reach the summary. ","")&amp;IF($A297="","No Plot ID. ","")&amp;IF(AND($C297&lt;&gt;"",$F297=""),"Species not in the coefficient list — check the spelling against R1. ","")&amp;IF($D297="","No DBH — nothing can be calculated. ","")&amp;IF(AND($D297&lt;&gt;"",$D297&gt;QC_DBH_MAX_CM),"DBH above "&amp;QC_DBH_MAX_CM&amp;" cm — check for a transcription error. ","")&amp;IF($M297="All","Generic species: no published root:shoot applies, so below-ground biomass is the mean of the deciduous and conifer relationships. Choose a species, or Deciduous/Conifers, if you can. ","")&amp;IF(AND($O297&lt;&gt;"",$O297&gt;0,OR($N297/$O297&lt;BGB_FRACTION_MIN,$N297/$O297&gt;BGB_FRACTION_MAX)),"Below-ground share is "&amp;TEXT($N297/$O297,"0%")&amp;", outside the 18–30% the Trees guide describes. ",""))</f>
        <v/>
      </c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4" t="str">
        <f aca="false">IF($C298="","",IFERROR(12+(MATCH($C298,'R1. Tree Coefficients'!$L$12:$L$53,0)-1)*4,""))</f>
        <v/>
      </c>
      <c r="G298" s="14" t="str">
        <f aca="false">IF($F298="","",IF(AND($E298&lt;&gt;"",$E298&gt;0),"DBH + height","DBH only"))</f>
        <v/>
      </c>
      <c r="H298" s="14" t="str">
        <f aca="false">IF(OR($D298="",$F298=""),"",IF($E298&gt;0,INDEX('R1. Tree Coefficients'!$F:$F,$F298+0)*($D298^INDEX('R1. Tree Coefficients'!$G:$G,$F298+0))*($E298^INDEX('R1. Tree Coefficients'!$H:$H,$F298+0)),INDEX('R1. Tree Coefficients'!$D:$D,$F298+0)*($D298^INDEX('R1. Tree Coefficients'!$E:$E,$F298+0))))</f>
        <v/>
      </c>
      <c r="I298" s="14" t="str">
        <f aca="false">IF(OR($D298="",$F298=""),"",IF($E298&gt;0,INDEX('R1. Tree Coefficients'!$F:$F,$F298+1)*($D298^INDEX('R1. Tree Coefficients'!$G:$G,$F298+1))*($E298^INDEX('R1. Tree Coefficients'!$H:$H,$F298+1)),INDEX('R1. Tree Coefficients'!$D:$D,$F298+1)*($D298^INDEX('R1. Tree Coefficients'!$E:$E,$F298+1))))</f>
        <v/>
      </c>
      <c r="J298" s="14" t="str">
        <f aca="false">IF(OR($D298="",$F298=""),"",IF($E298&gt;0,INDEX('R1. Tree Coefficients'!$F:$F,$F298+2)*($D298^INDEX('R1. Tree Coefficients'!$G:$G,$F298+2))*($E298^INDEX('R1. Tree Coefficients'!$H:$H,$F298+2)),INDEX('R1. Tree Coefficients'!$D:$D,$F298+2)*($D298^INDEX('R1. Tree Coefficients'!$E:$E,$F298+2))))</f>
        <v/>
      </c>
      <c r="K298" s="14" t="str">
        <f aca="false">IF(OR($D298="",$F298=""),"",IF($E298&gt;0,INDEX('R1. Tree Coefficients'!$F:$F,$F298+3)*($D298^INDEX('R1. Tree Coefficients'!$G:$G,$F298+3))*($E298^INDEX('R1. Tree Coefficients'!$H:$H,$F298+3)),INDEX('R1. Tree Coefficients'!$D:$D,$F298+3)*($D298^INDEX('R1. Tree Coefficients'!$E:$E,$F298+3))))</f>
        <v/>
      </c>
      <c r="L298" s="14" t="str">
        <f aca="false">IF($F298="","",IFERROR(SUM($H298:$K298),""))</f>
        <v/>
      </c>
      <c r="M298" s="14" t="str">
        <f aca="false">IF($F298="","",INDEX('R1. Tree Coefficients'!$J:$J,$F298))</f>
        <v/>
      </c>
      <c r="N298" s="14" t="str">
        <f aca="false">IF($L298="","",IF($M298="Deciduous",BGB_RS_DECIDUOUS_a*($L298^BGB_RS_DECIDUOUS_b),IF($M298="Conifers",BGB_RS_CONIFER*$L298,AVERAGE(BGB_RS_DECIDUOUS_a*($L298^BGB_RS_DECIDUOUS_b),BGB_RS_CONIFER*$L298))))</f>
        <v/>
      </c>
      <c r="O298" s="14" t="str">
        <f aca="false">IF($L298="","",$L298+$N298)</f>
        <v/>
      </c>
      <c r="P298" s="14" t="str">
        <f aca="false">IF($O298="","",$O298*CARBON_FRACTION_BIOMASS)</f>
        <v/>
      </c>
      <c r="Q298" s="14" t="str">
        <f aca="false">IF(AND($A298="",$C298=""),"",IF(AND($A298&lt;&gt;"",COUNTIF('1. Plot &amp; Site Log'!$A$5:$A$64,$A298)=0),"Plot ID not in Plot &amp; Site Log — this tree will not reach the summary. ","")&amp;IF($A298="","No Plot ID. ","")&amp;IF(AND($C298&lt;&gt;"",$F298=""),"Species not in the coefficient list — check the spelling against R1. ","")&amp;IF($D298="","No DBH — nothing can be calculated. ","")&amp;IF(AND($D298&lt;&gt;"",$D298&gt;QC_DBH_MAX_CM),"DBH above "&amp;QC_DBH_MAX_CM&amp;" cm — check for a transcription error. ","")&amp;IF($M298="All","Generic species: no published root:shoot applies, so below-ground biomass is the mean of the deciduous and conifer relationships. Choose a species, or Deciduous/Conifers, if you can. ","")&amp;IF(AND($O298&lt;&gt;"",$O298&gt;0,OR($N298/$O298&lt;BGB_FRACTION_MIN,$N298/$O298&gt;BGB_FRACTION_MAX)),"Below-ground share is "&amp;TEXT($N298/$O298,"0%")&amp;", outside the 18–30% the Trees guide describes. ",""))</f>
        <v/>
      </c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4" t="str">
        <f aca="false">IF($C299="","",IFERROR(12+(MATCH($C299,'R1. Tree Coefficients'!$L$12:$L$53,0)-1)*4,""))</f>
        <v/>
      </c>
      <c r="G299" s="14" t="str">
        <f aca="false">IF($F299="","",IF(AND($E299&lt;&gt;"",$E299&gt;0),"DBH + height","DBH only"))</f>
        <v/>
      </c>
      <c r="H299" s="14" t="str">
        <f aca="false">IF(OR($D299="",$F299=""),"",IF($E299&gt;0,INDEX('R1. Tree Coefficients'!$F:$F,$F299+0)*($D299^INDEX('R1. Tree Coefficients'!$G:$G,$F299+0))*($E299^INDEX('R1. Tree Coefficients'!$H:$H,$F299+0)),INDEX('R1. Tree Coefficients'!$D:$D,$F299+0)*($D299^INDEX('R1. Tree Coefficients'!$E:$E,$F299+0))))</f>
        <v/>
      </c>
      <c r="I299" s="14" t="str">
        <f aca="false">IF(OR($D299="",$F299=""),"",IF($E299&gt;0,INDEX('R1. Tree Coefficients'!$F:$F,$F299+1)*($D299^INDEX('R1. Tree Coefficients'!$G:$G,$F299+1))*($E299^INDEX('R1. Tree Coefficients'!$H:$H,$F299+1)),INDEX('R1. Tree Coefficients'!$D:$D,$F299+1)*($D299^INDEX('R1. Tree Coefficients'!$E:$E,$F299+1))))</f>
        <v/>
      </c>
      <c r="J299" s="14" t="str">
        <f aca="false">IF(OR($D299="",$F299=""),"",IF($E299&gt;0,INDEX('R1. Tree Coefficients'!$F:$F,$F299+2)*($D299^INDEX('R1. Tree Coefficients'!$G:$G,$F299+2))*($E299^INDEX('R1. Tree Coefficients'!$H:$H,$F299+2)),INDEX('R1. Tree Coefficients'!$D:$D,$F299+2)*($D299^INDEX('R1. Tree Coefficients'!$E:$E,$F299+2))))</f>
        <v/>
      </c>
      <c r="K299" s="14" t="str">
        <f aca="false">IF(OR($D299="",$F299=""),"",IF($E299&gt;0,INDEX('R1. Tree Coefficients'!$F:$F,$F299+3)*($D299^INDEX('R1. Tree Coefficients'!$G:$G,$F299+3))*($E299^INDEX('R1. Tree Coefficients'!$H:$H,$F299+3)),INDEX('R1. Tree Coefficients'!$D:$D,$F299+3)*($D299^INDEX('R1. Tree Coefficients'!$E:$E,$F299+3))))</f>
        <v/>
      </c>
      <c r="L299" s="14" t="str">
        <f aca="false">IF($F299="","",IFERROR(SUM($H299:$K299),""))</f>
        <v/>
      </c>
      <c r="M299" s="14" t="str">
        <f aca="false">IF($F299="","",INDEX('R1. Tree Coefficients'!$J:$J,$F299))</f>
        <v/>
      </c>
      <c r="N299" s="14" t="str">
        <f aca="false">IF($L299="","",IF($M299="Deciduous",BGB_RS_DECIDUOUS_a*($L299^BGB_RS_DECIDUOUS_b),IF($M299="Conifers",BGB_RS_CONIFER*$L299,AVERAGE(BGB_RS_DECIDUOUS_a*($L299^BGB_RS_DECIDUOUS_b),BGB_RS_CONIFER*$L299))))</f>
        <v/>
      </c>
      <c r="O299" s="14" t="str">
        <f aca="false">IF($L299="","",$L299+$N299)</f>
        <v/>
      </c>
      <c r="P299" s="14" t="str">
        <f aca="false">IF($O299="","",$O299*CARBON_FRACTION_BIOMASS)</f>
        <v/>
      </c>
      <c r="Q299" s="14" t="str">
        <f aca="false">IF(AND($A299="",$C299=""),"",IF(AND($A299&lt;&gt;"",COUNTIF('1. Plot &amp; Site Log'!$A$5:$A$64,$A299)=0),"Plot ID not in Plot &amp; Site Log — this tree will not reach the summary. ","")&amp;IF($A299="","No Plot ID. ","")&amp;IF(AND($C299&lt;&gt;"",$F299=""),"Species not in the coefficient list — check the spelling against R1. ","")&amp;IF($D299="","No DBH — nothing can be calculated. ","")&amp;IF(AND($D299&lt;&gt;"",$D299&gt;QC_DBH_MAX_CM),"DBH above "&amp;QC_DBH_MAX_CM&amp;" cm — check for a transcription error. ","")&amp;IF($M299="All","Generic species: no published root:shoot applies, so below-ground biomass is the mean of the deciduous and conifer relationships. Choose a species, or Deciduous/Conifers, if you can. ","")&amp;IF(AND($O299&lt;&gt;"",$O299&gt;0,OR($N299/$O299&lt;BGB_FRACTION_MIN,$N299/$O299&gt;BGB_FRACTION_MAX)),"Below-ground share is "&amp;TEXT($N299/$O299,"0%")&amp;", outside the 18–30% the Trees guide describes. ",""))</f>
        <v/>
      </c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4" t="str">
        <f aca="false">IF($C300="","",IFERROR(12+(MATCH($C300,'R1. Tree Coefficients'!$L$12:$L$53,0)-1)*4,""))</f>
        <v/>
      </c>
      <c r="G300" s="14" t="str">
        <f aca="false">IF($F300="","",IF(AND($E300&lt;&gt;"",$E300&gt;0),"DBH + height","DBH only"))</f>
        <v/>
      </c>
      <c r="H300" s="14" t="str">
        <f aca="false">IF(OR($D300="",$F300=""),"",IF($E300&gt;0,INDEX('R1. Tree Coefficients'!$F:$F,$F300+0)*($D300^INDEX('R1. Tree Coefficients'!$G:$G,$F300+0))*($E300^INDEX('R1. Tree Coefficients'!$H:$H,$F300+0)),INDEX('R1. Tree Coefficients'!$D:$D,$F300+0)*($D300^INDEX('R1. Tree Coefficients'!$E:$E,$F300+0))))</f>
        <v/>
      </c>
      <c r="I300" s="14" t="str">
        <f aca="false">IF(OR($D300="",$F300=""),"",IF($E300&gt;0,INDEX('R1. Tree Coefficients'!$F:$F,$F300+1)*($D300^INDEX('R1. Tree Coefficients'!$G:$G,$F300+1))*($E300^INDEX('R1. Tree Coefficients'!$H:$H,$F300+1)),INDEX('R1. Tree Coefficients'!$D:$D,$F300+1)*($D300^INDEX('R1. Tree Coefficients'!$E:$E,$F300+1))))</f>
        <v/>
      </c>
      <c r="J300" s="14" t="str">
        <f aca="false">IF(OR($D300="",$F300=""),"",IF($E300&gt;0,INDEX('R1. Tree Coefficients'!$F:$F,$F300+2)*($D300^INDEX('R1. Tree Coefficients'!$G:$G,$F300+2))*($E300^INDEX('R1. Tree Coefficients'!$H:$H,$F300+2)),INDEX('R1. Tree Coefficients'!$D:$D,$F300+2)*($D300^INDEX('R1. Tree Coefficients'!$E:$E,$F300+2))))</f>
        <v/>
      </c>
      <c r="K300" s="14" t="str">
        <f aca="false">IF(OR($D300="",$F300=""),"",IF($E300&gt;0,INDEX('R1. Tree Coefficients'!$F:$F,$F300+3)*($D300^INDEX('R1. Tree Coefficients'!$G:$G,$F300+3))*($E300^INDEX('R1. Tree Coefficients'!$H:$H,$F300+3)),INDEX('R1. Tree Coefficients'!$D:$D,$F300+3)*($D300^INDEX('R1. Tree Coefficients'!$E:$E,$F300+3))))</f>
        <v/>
      </c>
      <c r="L300" s="14" t="str">
        <f aca="false">IF($F300="","",IFERROR(SUM($H300:$K300),""))</f>
        <v/>
      </c>
      <c r="M300" s="14" t="str">
        <f aca="false">IF($F300="","",INDEX('R1. Tree Coefficients'!$J:$J,$F300))</f>
        <v/>
      </c>
      <c r="N300" s="14" t="str">
        <f aca="false">IF($L300="","",IF($M300="Deciduous",BGB_RS_DECIDUOUS_a*($L300^BGB_RS_DECIDUOUS_b),IF($M300="Conifers",BGB_RS_CONIFER*$L300,AVERAGE(BGB_RS_DECIDUOUS_a*($L300^BGB_RS_DECIDUOUS_b),BGB_RS_CONIFER*$L300))))</f>
        <v/>
      </c>
      <c r="O300" s="14" t="str">
        <f aca="false">IF($L300="","",$L300+$N300)</f>
        <v/>
      </c>
      <c r="P300" s="14" t="str">
        <f aca="false">IF($O300="","",$O300*CARBON_FRACTION_BIOMASS)</f>
        <v/>
      </c>
      <c r="Q300" s="14" t="str">
        <f aca="false">IF(AND($A300="",$C300=""),"",IF(AND($A300&lt;&gt;"",COUNTIF('1. Plot &amp; Site Log'!$A$5:$A$64,$A300)=0),"Plot ID not in Plot &amp; Site Log — this tree will not reach the summary. ","")&amp;IF($A300="","No Plot ID. ","")&amp;IF(AND($C300&lt;&gt;"",$F300=""),"Species not in the coefficient list — check the spelling against R1. ","")&amp;IF($D300="","No DBH — nothing can be calculated. ","")&amp;IF(AND($D300&lt;&gt;"",$D300&gt;QC_DBH_MAX_CM),"DBH above "&amp;QC_DBH_MAX_CM&amp;" cm — check for a transcription error. ","")&amp;IF($M300="All","Generic species: no published root:shoot applies, so below-ground biomass is the mean of the deciduous and conifer relationships. Choose a species, or Deciduous/Conifers, if you can. ","")&amp;IF(AND($O300&lt;&gt;"",$O300&gt;0,OR($N300/$O300&lt;BGB_FRACTION_MIN,$N300/$O300&gt;BGB_FRACTION_MAX)),"Below-ground share is "&amp;TEXT($N300/$O300,"0%")&amp;", outside the 18–30% the Trees guide describes. ",""))</f>
        <v/>
      </c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4" t="str">
        <f aca="false">IF($C301="","",IFERROR(12+(MATCH($C301,'R1. Tree Coefficients'!$L$12:$L$53,0)-1)*4,""))</f>
        <v/>
      </c>
      <c r="G301" s="14" t="str">
        <f aca="false">IF($F301="","",IF(AND($E301&lt;&gt;"",$E301&gt;0),"DBH + height","DBH only"))</f>
        <v/>
      </c>
      <c r="H301" s="14" t="str">
        <f aca="false">IF(OR($D301="",$F301=""),"",IF($E301&gt;0,INDEX('R1. Tree Coefficients'!$F:$F,$F301+0)*($D301^INDEX('R1. Tree Coefficients'!$G:$G,$F301+0))*($E301^INDEX('R1. Tree Coefficients'!$H:$H,$F301+0)),INDEX('R1. Tree Coefficients'!$D:$D,$F301+0)*($D301^INDEX('R1. Tree Coefficients'!$E:$E,$F301+0))))</f>
        <v/>
      </c>
      <c r="I301" s="14" t="str">
        <f aca="false">IF(OR($D301="",$F301=""),"",IF($E301&gt;0,INDEX('R1. Tree Coefficients'!$F:$F,$F301+1)*($D301^INDEX('R1. Tree Coefficients'!$G:$G,$F301+1))*($E301^INDEX('R1. Tree Coefficients'!$H:$H,$F301+1)),INDEX('R1. Tree Coefficients'!$D:$D,$F301+1)*($D301^INDEX('R1. Tree Coefficients'!$E:$E,$F301+1))))</f>
        <v/>
      </c>
      <c r="J301" s="14" t="str">
        <f aca="false">IF(OR($D301="",$F301=""),"",IF($E301&gt;0,INDEX('R1. Tree Coefficients'!$F:$F,$F301+2)*($D301^INDEX('R1. Tree Coefficients'!$G:$G,$F301+2))*($E301^INDEX('R1. Tree Coefficients'!$H:$H,$F301+2)),INDEX('R1. Tree Coefficients'!$D:$D,$F301+2)*($D301^INDEX('R1. Tree Coefficients'!$E:$E,$F301+2))))</f>
        <v/>
      </c>
      <c r="K301" s="14" t="str">
        <f aca="false">IF(OR($D301="",$F301=""),"",IF($E301&gt;0,INDEX('R1. Tree Coefficients'!$F:$F,$F301+3)*($D301^INDEX('R1. Tree Coefficients'!$G:$G,$F301+3))*($E301^INDEX('R1. Tree Coefficients'!$H:$H,$F301+3)),INDEX('R1. Tree Coefficients'!$D:$D,$F301+3)*($D301^INDEX('R1. Tree Coefficients'!$E:$E,$F301+3))))</f>
        <v/>
      </c>
      <c r="L301" s="14" t="str">
        <f aca="false">IF($F301="","",IFERROR(SUM($H301:$K301),""))</f>
        <v/>
      </c>
      <c r="M301" s="14" t="str">
        <f aca="false">IF($F301="","",INDEX('R1. Tree Coefficients'!$J:$J,$F301))</f>
        <v/>
      </c>
      <c r="N301" s="14" t="str">
        <f aca="false">IF($L301="","",IF($M301="Deciduous",BGB_RS_DECIDUOUS_a*($L301^BGB_RS_DECIDUOUS_b),IF($M301="Conifers",BGB_RS_CONIFER*$L301,AVERAGE(BGB_RS_DECIDUOUS_a*($L301^BGB_RS_DECIDUOUS_b),BGB_RS_CONIFER*$L301))))</f>
        <v/>
      </c>
      <c r="O301" s="14" t="str">
        <f aca="false">IF($L301="","",$L301+$N301)</f>
        <v/>
      </c>
      <c r="P301" s="14" t="str">
        <f aca="false">IF($O301="","",$O301*CARBON_FRACTION_BIOMASS)</f>
        <v/>
      </c>
      <c r="Q301" s="14" t="str">
        <f aca="false">IF(AND($A301="",$C301=""),"",IF(AND($A301&lt;&gt;"",COUNTIF('1. Plot &amp; Site Log'!$A$5:$A$64,$A301)=0),"Plot ID not in Plot &amp; Site Log — this tree will not reach the summary. ","")&amp;IF($A301="","No Plot ID. ","")&amp;IF(AND($C301&lt;&gt;"",$F301=""),"Species not in the coefficient list — check the spelling against R1. ","")&amp;IF($D301="","No DBH — nothing can be calculated. ","")&amp;IF(AND($D301&lt;&gt;"",$D301&gt;QC_DBH_MAX_CM),"DBH above "&amp;QC_DBH_MAX_CM&amp;" cm — check for a transcription error. ","")&amp;IF($M301="All","Generic species: no published root:shoot applies, so below-ground biomass is the mean of the deciduous and conifer relationships. Choose a species, or Deciduous/Conifers, if you can. ","")&amp;IF(AND($O301&lt;&gt;"",$O301&gt;0,OR($N301/$O301&lt;BGB_FRACTION_MIN,$N301/$O301&gt;BGB_FRACTION_MAX)),"Below-ground share is "&amp;TEXT($N301/$O301,"0%")&amp;", outside the 18–30% the Trees guide describes. ",""))</f>
        <v/>
      </c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4" t="str">
        <f aca="false">IF($C302="","",IFERROR(12+(MATCH($C302,'R1. Tree Coefficients'!$L$12:$L$53,0)-1)*4,""))</f>
        <v/>
      </c>
      <c r="G302" s="14" t="str">
        <f aca="false">IF($F302="","",IF(AND($E302&lt;&gt;"",$E302&gt;0),"DBH + height","DBH only"))</f>
        <v/>
      </c>
      <c r="H302" s="14" t="str">
        <f aca="false">IF(OR($D302="",$F302=""),"",IF($E302&gt;0,INDEX('R1. Tree Coefficients'!$F:$F,$F302+0)*($D302^INDEX('R1. Tree Coefficients'!$G:$G,$F302+0))*($E302^INDEX('R1. Tree Coefficients'!$H:$H,$F302+0)),INDEX('R1. Tree Coefficients'!$D:$D,$F302+0)*($D302^INDEX('R1. Tree Coefficients'!$E:$E,$F302+0))))</f>
        <v/>
      </c>
      <c r="I302" s="14" t="str">
        <f aca="false">IF(OR($D302="",$F302=""),"",IF($E302&gt;0,INDEX('R1. Tree Coefficients'!$F:$F,$F302+1)*($D302^INDEX('R1. Tree Coefficients'!$G:$G,$F302+1))*($E302^INDEX('R1. Tree Coefficients'!$H:$H,$F302+1)),INDEX('R1. Tree Coefficients'!$D:$D,$F302+1)*($D302^INDEX('R1. Tree Coefficients'!$E:$E,$F302+1))))</f>
        <v/>
      </c>
      <c r="J302" s="14" t="str">
        <f aca="false">IF(OR($D302="",$F302=""),"",IF($E302&gt;0,INDEX('R1. Tree Coefficients'!$F:$F,$F302+2)*($D302^INDEX('R1. Tree Coefficients'!$G:$G,$F302+2))*($E302^INDEX('R1. Tree Coefficients'!$H:$H,$F302+2)),INDEX('R1. Tree Coefficients'!$D:$D,$F302+2)*($D302^INDEX('R1. Tree Coefficients'!$E:$E,$F302+2))))</f>
        <v/>
      </c>
      <c r="K302" s="14" t="str">
        <f aca="false">IF(OR($D302="",$F302=""),"",IF($E302&gt;0,INDEX('R1. Tree Coefficients'!$F:$F,$F302+3)*($D302^INDEX('R1. Tree Coefficients'!$G:$G,$F302+3))*($E302^INDEX('R1. Tree Coefficients'!$H:$H,$F302+3)),INDEX('R1. Tree Coefficients'!$D:$D,$F302+3)*($D302^INDEX('R1. Tree Coefficients'!$E:$E,$F302+3))))</f>
        <v/>
      </c>
      <c r="L302" s="14" t="str">
        <f aca="false">IF($F302="","",IFERROR(SUM($H302:$K302),""))</f>
        <v/>
      </c>
      <c r="M302" s="14" t="str">
        <f aca="false">IF($F302="","",INDEX('R1. Tree Coefficients'!$J:$J,$F302))</f>
        <v/>
      </c>
      <c r="N302" s="14" t="str">
        <f aca="false">IF($L302="","",IF($M302="Deciduous",BGB_RS_DECIDUOUS_a*($L302^BGB_RS_DECIDUOUS_b),IF($M302="Conifers",BGB_RS_CONIFER*$L302,AVERAGE(BGB_RS_DECIDUOUS_a*($L302^BGB_RS_DECIDUOUS_b),BGB_RS_CONIFER*$L302))))</f>
        <v/>
      </c>
      <c r="O302" s="14" t="str">
        <f aca="false">IF($L302="","",$L302+$N302)</f>
        <v/>
      </c>
      <c r="P302" s="14" t="str">
        <f aca="false">IF($O302="","",$O302*CARBON_FRACTION_BIOMASS)</f>
        <v/>
      </c>
      <c r="Q302" s="14" t="str">
        <f aca="false">IF(AND($A302="",$C302=""),"",IF(AND($A302&lt;&gt;"",COUNTIF('1. Plot &amp; Site Log'!$A$5:$A$64,$A302)=0),"Plot ID not in Plot &amp; Site Log — this tree will not reach the summary. ","")&amp;IF($A302="","No Plot ID. ","")&amp;IF(AND($C302&lt;&gt;"",$F302=""),"Species not in the coefficient list — check the spelling against R1. ","")&amp;IF($D302="","No DBH — nothing can be calculated. ","")&amp;IF(AND($D302&lt;&gt;"",$D302&gt;QC_DBH_MAX_CM),"DBH above "&amp;QC_DBH_MAX_CM&amp;" cm — check for a transcription error. ","")&amp;IF($M302="All","Generic species: no published root:shoot applies, so below-ground biomass is the mean of the deciduous and conifer relationships. Choose a species, or Deciduous/Conifers, if you can. ","")&amp;IF(AND($O302&lt;&gt;"",$O302&gt;0,OR($N302/$O302&lt;BGB_FRACTION_MIN,$N302/$O302&gt;BGB_FRACTION_MAX)),"Below-ground share is "&amp;TEXT($N302/$O302,"0%")&amp;", outside the 18–30% the Trees guide describes. ",""))</f>
        <v/>
      </c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4" t="str">
        <f aca="false">IF($C303="","",IFERROR(12+(MATCH($C303,'R1. Tree Coefficients'!$L$12:$L$53,0)-1)*4,""))</f>
        <v/>
      </c>
      <c r="G303" s="14" t="str">
        <f aca="false">IF($F303="","",IF(AND($E303&lt;&gt;"",$E303&gt;0),"DBH + height","DBH only"))</f>
        <v/>
      </c>
      <c r="H303" s="14" t="str">
        <f aca="false">IF(OR($D303="",$F303=""),"",IF($E303&gt;0,INDEX('R1. Tree Coefficients'!$F:$F,$F303+0)*($D303^INDEX('R1. Tree Coefficients'!$G:$G,$F303+0))*($E303^INDEX('R1. Tree Coefficients'!$H:$H,$F303+0)),INDEX('R1. Tree Coefficients'!$D:$D,$F303+0)*($D303^INDEX('R1. Tree Coefficients'!$E:$E,$F303+0))))</f>
        <v/>
      </c>
      <c r="I303" s="14" t="str">
        <f aca="false">IF(OR($D303="",$F303=""),"",IF($E303&gt;0,INDEX('R1. Tree Coefficients'!$F:$F,$F303+1)*($D303^INDEX('R1. Tree Coefficients'!$G:$G,$F303+1))*($E303^INDEX('R1. Tree Coefficients'!$H:$H,$F303+1)),INDEX('R1. Tree Coefficients'!$D:$D,$F303+1)*($D303^INDEX('R1. Tree Coefficients'!$E:$E,$F303+1))))</f>
        <v/>
      </c>
      <c r="J303" s="14" t="str">
        <f aca="false">IF(OR($D303="",$F303=""),"",IF($E303&gt;0,INDEX('R1. Tree Coefficients'!$F:$F,$F303+2)*($D303^INDEX('R1. Tree Coefficients'!$G:$G,$F303+2))*($E303^INDEX('R1. Tree Coefficients'!$H:$H,$F303+2)),INDEX('R1. Tree Coefficients'!$D:$D,$F303+2)*($D303^INDEX('R1. Tree Coefficients'!$E:$E,$F303+2))))</f>
        <v/>
      </c>
      <c r="K303" s="14" t="str">
        <f aca="false">IF(OR($D303="",$F303=""),"",IF($E303&gt;0,INDEX('R1. Tree Coefficients'!$F:$F,$F303+3)*($D303^INDEX('R1. Tree Coefficients'!$G:$G,$F303+3))*($E303^INDEX('R1. Tree Coefficients'!$H:$H,$F303+3)),INDEX('R1. Tree Coefficients'!$D:$D,$F303+3)*($D303^INDEX('R1. Tree Coefficients'!$E:$E,$F303+3))))</f>
        <v/>
      </c>
      <c r="L303" s="14" t="str">
        <f aca="false">IF($F303="","",IFERROR(SUM($H303:$K303),""))</f>
        <v/>
      </c>
      <c r="M303" s="14" t="str">
        <f aca="false">IF($F303="","",INDEX('R1. Tree Coefficients'!$J:$J,$F303))</f>
        <v/>
      </c>
      <c r="N303" s="14" t="str">
        <f aca="false">IF($L303="","",IF($M303="Deciduous",BGB_RS_DECIDUOUS_a*($L303^BGB_RS_DECIDUOUS_b),IF($M303="Conifers",BGB_RS_CONIFER*$L303,AVERAGE(BGB_RS_DECIDUOUS_a*($L303^BGB_RS_DECIDUOUS_b),BGB_RS_CONIFER*$L303))))</f>
        <v/>
      </c>
      <c r="O303" s="14" t="str">
        <f aca="false">IF($L303="","",$L303+$N303)</f>
        <v/>
      </c>
      <c r="P303" s="14" t="str">
        <f aca="false">IF($O303="","",$O303*CARBON_FRACTION_BIOMASS)</f>
        <v/>
      </c>
      <c r="Q303" s="14" t="str">
        <f aca="false">IF(AND($A303="",$C303=""),"",IF(AND($A303&lt;&gt;"",COUNTIF('1. Plot &amp; Site Log'!$A$5:$A$64,$A303)=0),"Plot ID not in Plot &amp; Site Log — this tree will not reach the summary. ","")&amp;IF($A303="","No Plot ID. ","")&amp;IF(AND($C303&lt;&gt;"",$F303=""),"Species not in the coefficient list — check the spelling against R1. ","")&amp;IF($D303="","No DBH — nothing can be calculated. ","")&amp;IF(AND($D303&lt;&gt;"",$D303&gt;QC_DBH_MAX_CM),"DBH above "&amp;QC_DBH_MAX_CM&amp;" cm — check for a transcription error. ","")&amp;IF($M303="All","Generic species: no published root:shoot applies, so below-ground biomass is the mean of the deciduous and conifer relationships. Choose a species, or Deciduous/Conifers, if you can. ","")&amp;IF(AND($O303&lt;&gt;"",$O303&gt;0,OR($N303/$O303&lt;BGB_FRACTION_MIN,$N303/$O303&gt;BGB_FRACTION_MAX)),"Below-ground share is "&amp;TEXT($N303/$O303,"0%")&amp;", outside the 18–30% the Trees guide describes. ",""))</f>
        <v/>
      </c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4" t="str">
        <f aca="false">IF($C304="","",IFERROR(12+(MATCH($C304,'R1. Tree Coefficients'!$L$12:$L$53,0)-1)*4,""))</f>
        <v/>
      </c>
      <c r="G304" s="14" t="str">
        <f aca="false">IF($F304="","",IF(AND($E304&lt;&gt;"",$E304&gt;0),"DBH + height","DBH only"))</f>
        <v/>
      </c>
      <c r="H304" s="14" t="str">
        <f aca="false">IF(OR($D304="",$F304=""),"",IF($E304&gt;0,INDEX('R1. Tree Coefficients'!$F:$F,$F304+0)*($D304^INDEX('R1. Tree Coefficients'!$G:$G,$F304+0))*($E304^INDEX('R1. Tree Coefficients'!$H:$H,$F304+0)),INDEX('R1. Tree Coefficients'!$D:$D,$F304+0)*($D304^INDEX('R1. Tree Coefficients'!$E:$E,$F304+0))))</f>
        <v/>
      </c>
      <c r="I304" s="14" t="str">
        <f aca="false">IF(OR($D304="",$F304=""),"",IF($E304&gt;0,INDEX('R1. Tree Coefficients'!$F:$F,$F304+1)*($D304^INDEX('R1. Tree Coefficients'!$G:$G,$F304+1))*($E304^INDEX('R1. Tree Coefficients'!$H:$H,$F304+1)),INDEX('R1. Tree Coefficients'!$D:$D,$F304+1)*($D304^INDEX('R1. Tree Coefficients'!$E:$E,$F304+1))))</f>
        <v/>
      </c>
      <c r="J304" s="14" t="str">
        <f aca="false">IF(OR($D304="",$F304=""),"",IF($E304&gt;0,INDEX('R1. Tree Coefficients'!$F:$F,$F304+2)*($D304^INDEX('R1. Tree Coefficients'!$G:$G,$F304+2))*($E304^INDEX('R1. Tree Coefficients'!$H:$H,$F304+2)),INDEX('R1. Tree Coefficients'!$D:$D,$F304+2)*($D304^INDEX('R1. Tree Coefficients'!$E:$E,$F304+2))))</f>
        <v/>
      </c>
      <c r="K304" s="14" t="str">
        <f aca="false">IF(OR($D304="",$F304=""),"",IF($E304&gt;0,INDEX('R1. Tree Coefficients'!$F:$F,$F304+3)*($D304^INDEX('R1. Tree Coefficients'!$G:$G,$F304+3))*($E304^INDEX('R1. Tree Coefficients'!$H:$H,$F304+3)),INDEX('R1. Tree Coefficients'!$D:$D,$F304+3)*($D304^INDEX('R1. Tree Coefficients'!$E:$E,$F304+3))))</f>
        <v/>
      </c>
      <c r="L304" s="14" t="str">
        <f aca="false">IF($F304="","",IFERROR(SUM($H304:$K304),""))</f>
        <v/>
      </c>
      <c r="M304" s="14" t="str">
        <f aca="false">IF($F304="","",INDEX('R1. Tree Coefficients'!$J:$J,$F304))</f>
        <v/>
      </c>
      <c r="N304" s="14" t="str">
        <f aca="false">IF($L304="","",IF($M304="Deciduous",BGB_RS_DECIDUOUS_a*($L304^BGB_RS_DECIDUOUS_b),IF($M304="Conifers",BGB_RS_CONIFER*$L304,AVERAGE(BGB_RS_DECIDUOUS_a*($L304^BGB_RS_DECIDUOUS_b),BGB_RS_CONIFER*$L304))))</f>
        <v/>
      </c>
      <c r="O304" s="14" t="str">
        <f aca="false">IF($L304="","",$L304+$N304)</f>
        <v/>
      </c>
      <c r="P304" s="14" t="str">
        <f aca="false">IF($O304="","",$O304*CARBON_FRACTION_BIOMASS)</f>
        <v/>
      </c>
      <c r="Q304" s="14" t="str">
        <f aca="false">IF(AND($A304="",$C304=""),"",IF(AND($A304&lt;&gt;"",COUNTIF('1. Plot &amp; Site Log'!$A$5:$A$64,$A304)=0),"Plot ID not in Plot &amp; Site Log — this tree will not reach the summary. ","")&amp;IF($A304="","No Plot ID. ","")&amp;IF(AND($C304&lt;&gt;"",$F304=""),"Species not in the coefficient list — check the spelling against R1. ","")&amp;IF($D304="","No DBH — nothing can be calculated. ","")&amp;IF(AND($D304&lt;&gt;"",$D304&gt;QC_DBH_MAX_CM),"DBH above "&amp;QC_DBH_MAX_CM&amp;" cm — check for a transcription error. ","")&amp;IF($M304="All","Generic species: no published root:shoot applies, so below-ground biomass is the mean of the deciduous and conifer relationships. Choose a species, or Deciduous/Conifers, if you can. ","")&amp;IF(AND($O304&lt;&gt;"",$O304&gt;0,OR($N304/$O304&lt;BGB_FRACTION_MIN,$N304/$O304&gt;BGB_FRACTION_MAX)),"Below-ground share is "&amp;TEXT($N304/$O304,"0%")&amp;", outside the 18–30% the Trees guide describes. ",""))</f>
        <v/>
      </c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4" t="str">
        <f aca="false">IF($C305="","",IFERROR(12+(MATCH($C305,'R1. Tree Coefficients'!$L$12:$L$53,0)-1)*4,""))</f>
        <v/>
      </c>
      <c r="G305" s="14" t="str">
        <f aca="false">IF($F305="","",IF(AND($E305&lt;&gt;"",$E305&gt;0),"DBH + height","DBH only"))</f>
        <v/>
      </c>
      <c r="H305" s="14" t="str">
        <f aca="false">IF(OR($D305="",$F305=""),"",IF($E305&gt;0,INDEX('R1. Tree Coefficients'!$F:$F,$F305+0)*($D305^INDEX('R1. Tree Coefficients'!$G:$G,$F305+0))*($E305^INDEX('R1. Tree Coefficients'!$H:$H,$F305+0)),INDEX('R1. Tree Coefficients'!$D:$D,$F305+0)*($D305^INDEX('R1. Tree Coefficients'!$E:$E,$F305+0))))</f>
        <v/>
      </c>
      <c r="I305" s="14" t="str">
        <f aca="false">IF(OR($D305="",$F305=""),"",IF($E305&gt;0,INDEX('R1. Tree Coefficients'!$F:$F,$F305+1)*($D305^INDEX('R1. Tree Coefficients'!$G:$G,$F305+1))*($E305^INDEX('R1. Tree Coefficients'!$H:$H,$F305+1)),INDEX('R1. Tree Coefficients'!$D:$D,$F305+1)*($D305^INDEX('R1. Tree Coefficients'!$E:$E,$F305+1))))</f>
        <v/>
      </c>
      <c r="J305" s="14" t="str">
        <f aca="false">IF(OR($D305="",$F305=""),"",IF($E305&gt;0,INDEX('R1. Tree Coefficients'!$F:$F,$F305+2)*($D305^INDEX('R1. Tree Coefficients'!$G:$G,$F305+2))*($E305^INDEX('R1. Tree Coefficients'!$H:$H,$F305+2)),INDEX('R1. Tree Coefficients'!$D:$D,$F305+2)*($D305^INDEX('R1. Tree Coefficients'!$E:$E,$F305+2))))</f>
        <v/>
      </c>
      <c r="K305" s="14" t="str">
        <f aca="false">IF(OR($D305="",$F305=""),"",IF($E305&gt;0,INDEX('R1. Tree Coefficients'!$F:$F,$F305+3)*($D305^INDEX('R1. Tree Coefficients'!$G:$G,$F305+3))*($E305^INDEX('R1. Tree Coefficients'!$H:$H,$F305+3)),INDEX('R1. Tree Coefficients'!$D:$D,$F305+3)*($D305^INDEX('R1. Tree Coefficients'!$E:$E,$F305+3))))</f>
        <v/>
      </c>
      <c r="L305" s="14" t="str">
        <f aca="false">IF($F305="","",IFERROR(SUM($H305:$K305),""))</f>
        <v/>
      </c>
      <c r="M305" s="14" t="str">
        <f aca="false">IF($F305="","",INDEX('R1. Tree Coefficients'!$J:$J,$F305))</f>
        <v/>
      </c>
      <c r="N305" s="14" t="str">
        <f aca="false">IF($L305="","",IF($M305="Deciduous",BGB_RS_DECIDUOUS_a*($L305^BGB_RS_DECIDUOUS_b),IF($M305="Conifers",BGB_RS_CONIFER*$L305,AVERAGE(BGB_RS_DECIDUOUS_a*($L305^BGB_RS_DECIDUOUS_b),BGB_RS_CONIFER*$L305))))</f>
        <v/>
      </c>
      <c r="O305" s="14" t="str">
        <f aca="false">IF($L305="","",$L305+$N305)</f>
        <v/>
      </c>
      <c r="P305" s="14" t="str">
        <f aca="false">IF($O305="","",$O305*CARBON_FRACTION_BIOMASS)</f>
        <v/>
      </c>
      <c r="Q305" s="14" t="str">
        <f aca="false">IF(AND($A305="",$C305=""),"",IF(AND($A305&lt;&gt;"",COUNTIF('1. Plot &amp; Site Log'!$A$5:$A$64,$A305)=0),"Plot ID not in Plot &amp; Site Log — this tree will not reach the summary. ","")&amp;IF($A305="","No Plot ID. ","")&amp;IF(AND($C305&lt;&gt;"",$F305=""),"Species not in the coefficient list — check the spelling against R1. ","")&amp;IF($D305="","No DBH — nothing can be calculated. ","")&amp;IF(AND($D305&lt;&gt;"",$D305&gt;QC_DBH_MAX_CM),"DBH above "&amp;QC_DBH_MAX_CM&amp;" cm — check for a transcription error. ","")&amp;IF($M305="All","Generic species: no published root:shoot applies, so below-ground biomass is the mean of the deciduous and conifer relationships. Choose a species, or Deciduous/Conifers, if you can. ","")&amp;IF(AND($O305&lt;&gt;"",$O305&gt;0,OR($N305/$O305&lt;BGB_FRACTION_MIN,$N305/$O305&gt;BGB_FRACTION_MAX)),"Below-ground share is "&amp;TEXT($N305/$O305,"0%")&amp;", outside the 18–30% the Trees guide describes. ",""))</f>
        <v/>
      </c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4" t="str">
        <f aca="false">IF($C306="","",IFERROR(12+(MATCH($C306,'R1. Tree Coefficients'!$L$12:$L$53,0)-1)*4,""))</f>
        <v/>
      </c>
      <c r="G306" s="14" t="str">
        <f aca="false">IF($F306="","",IF(AND($E306&lt;&gt;"",$E306&gt;0),"DBH + height","DBH only"))</f>
        <v/>
      </c>
      <c r="H306" s="14" t="str">
        <f aca="false">IF(OR($D306="",$F306=""),"",IF($E306&gt;0,INDEX('R1. Tree Coefficients'!$F:$F,$F306+0)*($D306^INDEX('R1. Tree Coefficients'!$G:$G,$F306+0))*($E306^INDEX('R1. Tree Coefficients'!$H:$H,$F306+0)),INDEX('R1. Tree Coefficients'!$D:$D,$F306+0)*($D306^INDEX('R1. Tree Coefficients'!$E:$E,$F306+0))))</f>
        <v/>
      </c>
      <c r="I306" s="14" t="str">
        <f aca="false">IF(OR($D306="",$F306=""),"",IF($E306&gt;0,INDEX('R1. Tree Coefficients'!$F:$F,$F306+1)*($D306^INDEX('R1. Tree Coefficients'!$G:$G,$F306+1))*($E306^INDEX('R1. Tree Coefficients'!$H:$H,$F306+1)),INDEX('R1. Tree Coefficients'!$D:$D,$F306+1)*($D306^INDEX('R1. Tree Coefficients'!$E:$E,$F306+1))))</f>
        <v/>
      </c>
      <c r="J306" s="14" t="str">
        <f aca="false">IF(OR($D306="",$F306=""),"",IF($E306&gt;0,INDEX('R1. Tree Coefficients'!$F:$F,$F306+2)*($D306^INDEX('R1. Tree Coefficients'!$G:$G,$F306+2))*($E306^INDEX('R1. Tree Coefficients'!$H:$H,$F306+2)),INDEX('R1. Tree Coefficients'!$D:$D,$F306+2)*($D306^INDEX('R1. Tree Coefficients'!$E:$E,$F306+2))))</f>
        <v/>
      </c>
      <c r="K306" s="14" t="str">
        <f aca="false">IF(OR($D306="",$F306=""),"",IF($E306&gt;0,INDEX('R1. Tree Coefficients'!$F:$F,$F306+3)*($D306^INDEX('R1. Tree Coefficients'!$G:$G,$F306+3))*($E306^INDEX('R1. Tree Coefficients'!$H:$H,$F306+3)),INDEX('R1. Tree Coefficients'!$D:$D,$F306+3)*($D306^INDEX('R1. Tree Coefficients'!$E:$E,$F306+3))))</f>
        <v/>
      </c>
      <c r="L306" s="14" t="str">
        <f aca="false">IF($F306="","",IFERROR(SUM($H306:$K306),""))</f>
        <v/>
      </c>
      <c r="M306" s="14" t="str">
        <f aca="false">IF($F306="","",INDEX('R1. Tree Coefficients'!$J:$J,$F306))</f>
        <v/>
      </c>
      <c r="N306" s="14" t="str">
        <f aca="false">IF($L306="","",IF($M306="Deciduous",BGB_RS_DECIDUOUS_a*($L306^BGB_RS_DECIDUOUS_b),IF($M306="Conifers",BGB_RS_CONIFER*$L306,AVERAGE(BGB_RS_DECIDUOUS_a*($L306^BGB_RS_DECIDUOUS_b),BGB_RS_CONIFER*$L306))))</f>
        <v/>
      </c>
      <c r="O306" s="14" t="str">
        <f aca="false">IF($L306="","",$L306+$N306)</f>
        <v/>
      </c>
      <c r="P306" s="14" t="str">
        <f aca="false">IF($O306="","",$O306*CARBON_FRACTION_BIOMASS)</f>
        <v/>
      </c>
      <c r="Q306" s="14" t="str">
        <f aca="false">IF(AND($A306="",$C306=""),"",IF(AND($A306&lt;&gt;"",COUNTIF('1. Plot &amp; Site Log'!$A$5:$A$64,$A306)=0),"Plot ID not in Plot &amp; Site Log — this tree will not reach the summary. ","")&amp;IF($A306="","No Plot ID. ","")&amp;IF(AND($C306&lt;&gt;"",$F306=""),"Species not in the coefficient list — check the spelling against R1. ","")&amp;IF($D306="","No DBH — nothing can be calculated. ","")&amp;IF(AND($D306&lt;&gt;"",$D306&gt;QC_DBH_MAX_CM),"DBH above "&amp;QC_DBH_MAX_CM&amp;" cm — check for a transcription error. ","")&amp;IF($M306="All","Generic species: no published root:shoot applies, so below-ground biomass is the mean of the deciduous and conifer relationships. Choose a species, or Deciduous/Conifers, if you can. ","")&amp;IF(AND($O306&lt;&gt;"",$O306&gt;0,OR($N306/$O306&lt;BGB_FRACTION_MIN,$N306/$O306&gt;BGB_FRACTION_MAX)),"Below-ground share is "&amp;TEXT($N306/$O306,"0%")&amp;", outside the 18–30% the Trees guide describes. ",""))</f>
        <v/>
      </c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4" t="str">
        <f aca="false">IF($C307="","",IFERROR(12+(MATCH($C307,'R1. Tree Coefficients'!$L$12:$L$53,0)-1)*4,""))</f>
        <v/>
      </c>
      <c r="G307" s="14" t="str">
        <f aca="false">IF($F307="","",IF(AND($E307&lt;&gt;"",$E307&gt;0),"DBH + height","DBH only"))</f>
        <v/>
      </c>
      <c r="H307" s="14" t="str">
        <f aca="false">IF(OR($D307="",$F307=""),"",IF($E307&gt;0,INDEX('R1. Tree Coefficients'!$F:$F,$F307+0)*($D307^INDEX('R1. Tree Coefficients'!$G:$G,$F307+0))*($E307^INDEX('R1. Tree Coefficients'!$H:$H,$F307+0)),INDEX('R1. Tree Coefficients'!$D:$D,$F307+0)*($D307^INDEX('R1. Tree Coefficients'!$E:$E,$F307+0))))</f>
        <v/>
      </c>
      <c r="I307" s="14" t="str">
        <f aca="false">IF(OR($D307="",$F307=""),"",IF($E307&gt;0,INDEX('R1. Tree Coefficients'!$F:$F,$F307+1)*($D307^INDEX('R1. Tree Coefficients'!$G:$G,$F307+1))*($E307^INDEX('R1. Tree Coefficients'!$H:$H,$F307+1)),INDEX('R1. Tree Coefficients'!$D:$D,$F307+1)*($D307^INDEX('R1. Tree Coefficients'!$E:$E,$F307+1))))</f>
        <v/>
      </c>
      <c r="J307" s="14" t="str">
        <f aca="false">IF(OR($D307="",$F307=""),"",IF($E307&gt;0,INDEX('R1. Tree Coefficients'!$F:$F,$F307+2)*($D307^INDEX('R1. Tree Coefficients'!$G:$G,$F307+2))*($E307^INDEX('R1. Tree Coefficients'!$H:$H,$F307+2)),INDEX('R1. Tree Coefficients'!$D:$D,$F307+2)*($D307^INDEX('R1. Tree Coefficients'!$E:$E,$F307+2))))</f>
        <v/>
      </c>
      <c r="K307" s="14" t="str">
        <f aca="false">IF(OR($D307="",$F307=""),"",IF($E307&gt;0,INDEX('R1. Tree Coefficients'!$F:$F,$F307+3)*($D307^INDEX('R1. Tree Coefficients'!$G:$G,$F307+3))*($E307^INDEX('R1. Tree Coefficients'!$H:$H,$F307+3)),INDEX('R1. Tree Coefficients'!$D:$D,$F307+3)*($D307^INDEX('R1. Tree Coefficients'!$E:$E,$F307+3))))</f>
        <v/>
      </c>
      <c r="L307" s="14" t="str">
        <f aca="false">IF($F307="","",IFERROR(SUM($H307:$K307),""))</f>
        <v/>
      </c>
      <c r="M307" s="14" t="str">
        <f aca="false">IF($F307="","",INDEX('R1. Tree Coefficients'!$J:$J,$F307))</f>
        <v/>
      </c>
      <c r="N307" s="14" t="str">
        <f aca="false">IF($L307="","",IF($M307="Deciduous",BGB_RS_DECIDUOUS_a*($L307^BGB_RS_DECIDUOUS_b),IF($M307="Conifers",BGB_RS_CONIFER*$L307,AVERAGE(BGB_RS_DECIDUOUS_a*($L307^BGB_RS_DECIDUOUS_b),BGB_RS_CONIFER*$L307))))</f>
        <v/>
      </c>
      <c r="O307" s="14" t="str">
        <f aca="false">IF($L307="","",$L307+$N307)</f>
        <v/>
      </c>
      <c r="P307" s="14" t="str">
        <f aca="false">IF($O307="","",$O307*CARBON_FRACTION_BIOMASS)</f>
        <v/>
      </c>
      <c r="Q307" s="14" t="str">
        <f aca="false">IF(AND($A307="",$C307=""),"",IF(AND($A307&lt;&gt;"",COUNTIF('1. Plot &amp; Site Log'!$A$5:$A$64,$A307)=0),"Plot ID not in Plot &amp; Site Log — this tree will not reach the summary. ","")&amp;IF($A307="","No Plot ID. ","")&amp;IF(AND($C307&lt;&gt;"",$F307=""),"Species not in the coefficient list — check the spelling against R1. ","")&amp;IF($D307="","No DBH — nothing can be calculated. ","")&amp;IF(AND($D307&lt;&gt;"",$D307&gt;QC_DBH_MAX_CM),"DBH above "&amp;QC_DBH_MAX_CM&amp;" cm — check for a transcription error. ","")&amp;IF($M307="All","Generic species: no published root:shoot applies, so below-ground biomass is the mean of the deciduous and conifer relationships. Choose a species, or Deciduous/Conifers, if you can. ","")&amp;IF(AND($O307&lt;&gt;"",$O307&gt;0,OR($N307/$O307&lt;BGB_FRACTION_MIN,$N307/$O307&gt;BGB_FRACTION_MAX)),"Below-ground share is "&amp;TEXT($N307/$O307,"0%")&amp;", outside the 18–30% the Trees guide describes. ",""))</f>
        <v/>
      </c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4" t="str">
        <f aca="false">IF($C308="","",IFERROR(12+(MATCH($C308,'R1. Tree Coefficients'!$L$12:$L$53,0)-1)*4,""))</f>
        <v/>
      </c>
      <c r="G308" s="14" t="str">
        <f aca="false">IF($F308="","",IF(AND($E308&lt;&gt;"",$E308&gt;0),"DBH + height","DBH only"))</f>
        <v/>
      </c>
      <c r="H308" s="14" t="str">
        <f aca="false">IF(OR($D308="",$F308=""),"",IF($E308&gt;0,INDEX('R1. Tree Coefficients'!$F:$F,$F308+0)*($D308^INDEX('R1. Tree Coefficients'!$G:$G,$F308+0))*($E308^INDEX('R1. Tree Coefficients'!$H:$H,$F308+0)),INDEX('R1. Tree Coefficients'!$D:$D,$F308+0)*($D308^INDEX('R1. Tree Coefficients'!$E:$E,$F308+0))))</f>
        <v/>
      </c>
      <c r="I308" s="14" t="str">
        <f aca="false">IF(OR($D308="",$F308=""),"",IF($E308&gt;0,INDEX('R1. Tree Coefficients'!$F:$F,$F308+1)*($D308^INDEX('R1. Tree Coefficients'!$G:$G,$F308+1))*($E308^INDEX('R1. Tree Coefficients'!$H:$H,$F308+1)),INDEX('R1. Tree Coefficients'!$D:$D,$F308+1)*($D308^INDEX('R1. Tree Coefficients'!$E:$E,$F308+1))))</f>
        <v/>
      </c>
      <c r="J308" s="14" t="str">
        <f aca="false">IF(OR($D308="",$F308=""),"",IF($E308&gt;0,INDEX('R1. Tree Coefficients'!$F:$F,$F308+2)*($D308^INDEX('R1. Tree Coefficients'!$G:$G,$F308+2))*($E308^INDEX('R1. Tree Coefficients'!$H:$H,$F308+2)),INDEX('R1. Tree Coefficients'!$D:$D,$F308+2)*($D308^INDEX('R1. Tree Coefficients'!$E:$E,$F308+2))))</f>
        <v/>
      </c>
      <c r="K308" s="14" t="str">
        <f aca="false">IF(OR($D308="",$F308=""),"",IF($E308&gt;0,INDEX('R1. Tree Coefficients'!$F:$F,$F308+3)*($D308^INDEX('R1. Tree Coefficients'!$G:$G,$F308+3))*($E308^INDEX('R1. Tree Coefficients'!$H:$H,$F308+3)),INDEX('R1. Tree Coefficients'!$D:$D,$F308+3)*($D308^INDEX('R1. Tree Coefficients'!$E:$E,$F308+3))))</f>
        <v/>
      </c>
      <c r="L308" s="14" t="str">
        <f aca="false">IF($F308="","",IFERROR(SUM($H308:$K308),""))</f>
        <v/>
      </c>
      <c r="M308" s="14" t="str">
        <f aca="false">IF($F308="","",INDEX('R1. Tree Coefficients'!$J:$J,$F308))</f>
        <v/>
      </c>
      <c r="N308" s="14" t="str">
        <f aca="false">IF($L308="","",IF($M308="Deciduous",BGB_RS_DECIDUOUS_a*($L308^BGB_RS_DECIDUOUS_b),IF($M308="Conifers",BGB_RS_CONIFER*$L308,AVERAGE(BGB_RS_DECIDUOUS_a*($L308^BGB_RS_DECIDUOUS_b),BGB_RS_CONIFER*$L308))))</f>
        <v/>
      </c>
      <c r="O308" s="14" t="str">
        <f aca="false">IF($L308="","",$L308+$N308)</f>
        <v/>
      </c>
      <c r="P308" s="14" t="str">
        <f aca="false">IF($O308="","",$O308*CARBON_FRACTION_BIOMASS)</f>
        <v/>
      </c>
      <c r="Q308" s="14" t="str">
        <f aca="false">IF(AND($A308="",$C308=""),"",IF(AND($A308&lt;&gt;"",COUNTIF('1. Plot &amp; Site Log'!$A$5:$A$64,$A308)=0),"Plot ID not in Plot &amp; Site Log — this tree will not reach the summary. ","")&amp;IF($A308="","No Plot ID. ","")&amp;IF(AND($C308&lt;&gt;"",$F308=""),"Species not in the coefficient list — check the spelling against R1. ","")&amp;IF($D308="","No DBH — nothing can be calculated. ","")&amp;IF(AND($D308&lt;&gt;"",$D308&gt;QC_DBH_MAX_CM),"DBH above "&amp;QC_DBH_MAX_CM&amp;" cm — check for a transcription error. ","")&amp;IF($M308="All","Generic species: no published root:shoot applies, so below-ground biomass is the mean of the deciduous and conifer relationships. Choose a species, or Deciduous/Conifers, if you can. ","")&amp;IF(AND($O308&lt;&gt;"",$O308&gt;0,OR($N308/$O308&lt;BGB_FRACTION_MIN,$N308/$O308&gt;BGB_FRACTION_MAX)),"Below-ground share is "&amp;TEXT($N308/$O308,"0%")&amp;", outside the 18–30% the Trees guide describes. ",""))</f>
        <v/>
      </c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4" t="str">
        <f aca="false">IF($C309="","",IFERROR(12+(MATCH($C309,'R1. Tree Coefficients'!$L$12:$L$53,0)-1)*4,""))</f>
        <v/>
      </c>
      <c r="G309" s="14" t="str">
        <f aca="false">IF($F309="","",IF(AND($E309&lt;&gt;"",$E309&gt;0),"DBH + height","DBH only"))</f>
        <v/>
      </c>
      <c r="H309" s="14" t="str">
        <f aca="false">IF(OR($D309="",$F309=""),"",IF($E309&gt;0,INDEX('R1. Tree Coefficients'!$F:$F,$F309+0)*($D309^INDEX('R1. Tree Coefficients'!$G:$G,$F309+0))*($E309^INDEX('R1. Tree Coefficients'!$H:$H,$F309+0)),INDEX('R1. Tree Coefficients'!$D:$D,$F309+0)*($D309^INDEX('R1. Tree Coefficients'!$E:$E,$F309+0))))</f>
        <v/>
      </c>
      <c r="I309" s="14" t="str">
        <f aca="false">IF(OR($D309="",$F309=""),"",IF($E309&gt;0,INDEX('R1. Tree Coefficients'!$F:$F,$F309+1)*($D309^INDEX('R1. Tree Coefficients'!$G:$G,$F309+1))*($E309^INDEX('R1. Tree Coefficients'!$H:$H,$F309+1)),INDEX('R1. Tree Coefficients'!$D:$D,$F309+1)*($D309^INDEX('R1. Tree Coefficients'!$E:$E,$F309+1))))</f>
        <v/>
      </c>
      <c r="J309" s="14" t="str">
        <f aca="false">IF(OR($D309="",$F309=""),"",IF($E309&gt;0,INDEX('R1. Tree Coefficients'!$F:$F,$F309+2)*($D309^INDEX('R1. Tree Coefficients'!$G:$G,$F309+2))*($E309^INDEX('R1. Tree Coefficients'!$H:$H,$F309+2)),INDEX('R1. Tree Coefficients'!$D:$D,$F309+2)*($D309^INDEX('R1. Tree Coefficients'!$E:$E,$F309+2))))</f>
        <v/>
      </c>
      <c r="K309" s="14" t="str">
        <f aca="false">IF(OR($D309="",$F309=""),"",IF($E309&gt;0,INDEX('R1. Tree Coefficients'!$F:$F,$F309+3)*($D309^INDEX('R1. Tree Coefficients'!$G:$G,$F309+3))*($E309^INDEX('R1. Tree Coefficients'!$H:$H,$F309+3)),INDEX('R1. Tree Coefficients'!$D:$D,$F309+3)*($D309^INDEX('R1. Tree Coefficients'!$E:$E,$F309+3))))</f>
        <v/>
      </c>
      <c r="L309" s="14" t="str">
        <f aca="false">IF($F309="","",IFERROR(SUM($H309:$K309),""))</f>
        <v/>
      </c>
      <c r="M309" s="14" t="str">
        <f aca="false">IF($F309="","",INDEX('R1. Tree Coefficients'!$J:$J,$F309))</f>
        <v/>
      </c>
      <c r="N309" s="14" t="str">
        <f aca="false">IF($L309="","",IF($M309="Deciduous",BGB_RS_DECIDUOUS_a*($L309^BGB_RS_DECIDUOUS_b),IF($M309="Conifers",BGB_RS_CONIFER*$L309,AVERAGE(BGB_RS_DECIDUOUS_a*($L309^BGB_RS_DECIDUOUS_b),BGB_RS_CONIFER*$L309))))</f>
        <v/>
      </c>
      <c r="O309" s="14" t="str">
        <f aca="false">IF($L309="","",$L309+$N309)</f>
        <v/>
      </c>
      <c r="P309" s="14" t="str">
        <f aca="false">IF($O309="","",$O309*CARBON_FRACTION_BIOMASS)</f>
        <v/>
      </c>
      <c r="Q309" s="14" t="str">
        <f aca="false">IF(AND($A309="",$C309=""),"",IF(AND($A309&lt;&gt;"",COUNTIF('1. Plot &amp; Site Log'!$A$5:$A$64,$A309)=0),"Plot ID not in Plot &amp; Site Log — this tree will not reach the summary. ","")&amp;IF($A309="","No Plot ID. ","")&amp;IF(AND($C309&lt;&gt;"",$F309=""),"Species not in the coefficient list — check the spelling against R1. ","")&amp;IF($D309="","No DBH — nothing can be calculated. ","")&amp;IF(AND($D309&lt;&gt;"",$D309&gt;QC_DBH_MAX_CM),"DBH above "&amp;QC_DBH_MAX_CM&amp;" cm — check for a transcription error. ","")&amp;IF($M309="All","Generic species: no published root:shoot applies, so below-ground biomass is the mean of the deciduous and conifer relationships. Choose a species, or Deciduous/Conifers, if you can. ","")&amp;IF(AND($O309&lt;&gt;"",$O309&gt;0,OR($N309/$O309&lt;BGB_FRACTION_MIN,$N309/$O309&gt;BGB_FRACTION_MAX)),"Below-ground share is "&amp;TEXT($N309/$O309,"0%")&amp;", outside the 18–30% the Trees guide describes. ",""))</f>
        <v/>
      </c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4" t="str">
        <f aca="false">IF($C310="","",IFERROR(12+(MATCH($C310,'R1. Tree Coefficients'!$L$12:$L$53,0)-1)*4,""))</f>
        <v/>
      </c>
      <c r="G310" s="14" t="str">
        <f aca="false">IF($F310="","",IF(AND($E310&lt;&gt;"",$E310&gt;0),"DBH + height","DBH only"))</f>
        <v/>
      </c>
      <c r="H310" s="14" t="str">
        <f aca="false">IF(OR($D310="",$F310=""),"",IF($E310&gt;0,INDEX('R1. Tree Coefficients'!$F:$F,$F310+0)*($D310^INDEX('R1. Tree Coefficients'!$G:$G,$F310+0))*($E310^INDEX('R1. Tree Coefficients'!$H:$H,$F310+0)),INDEX('R1. Tree Coefficients'!$D:$D,$F310+0)*($D310^INDEX('R1. Tree Coefficients'!$E:$E,$F310+0))))</f>
        <v/>
      </c>
      <c r="I310" s="14" t="str">
        <f aca="false">IF(OR($D310="",$F310=""),"",IF($E310&gt;0,INDEX('R1. Tree Coefficients'!$F:$F,$F310+1)*($D310^INDEX('R1. Tree Coefficients'!$G:$G,$F310+1))*($E310^INDEX('R1. Tree Coefficients'!$H:$H,$F310+1)),INDEX('R1. Tree Coefficients'!$D:$D,$F310+1)*($D310^INDEX('R1. Tree Coefficients'!$E:$E,$F310+1))))</f>
        <v/>
      </c>
      <c r="J310" s="14" t="str">
        <f aca="false">IF(OR($D310="",$F310=""),"",IF($E310&gt;0,INDEX('R1. Tree Coefficients'!$F:$F,$F310+2)*($D310^INDEX('R1. Tree Coefficients'!$G:$G,$F310+2))*($E310^INDEX('R1. Tree Coefficients'!$H:$H,$F310+2)),INDEX('R1. Tree Coefficients'!$D:$D,$F310+2)*($D310^INDEX('R1. Tree Coefficients'!$E:$E,$F310+2))))</f>
        <v/>
      </c>
      <c r="K310" s="14" t="str">
        <f aca="false">IF(OR($D310="",$F310=""),"",IF($E310&gt;0,INDEX('R1. Tree Coefficients'!$F:$F,$F310+3)*($D310^INDEX('R1. Tree Coefficients'!$G:$G,$F310+3))*($E310^INDEX('R1. Tree Coefficients'!$H:$H,$F310+3)),INDEX('R1. Tree Coefficients'!$D:$D,$F310+3)*($D310^INDEX('R1. Tree Coefficients'!$E:$E,$F310+3))))</f>
        <v/>
      </c>
      <c r="L310" s="14" t="str">
        <f aca="false">IF($F310="","",IFERROR(SUM($H310:$K310),""))</f>
        <v/>
      </c>
      <c r="M310" s="14" t="str">
        <f aca="false">IF($F310="","",INDEX('R1. Tree Coefficients'!$J:$J,$F310))</f>
        <v/>
      </c>
      <c r="N310" s="14" t="str">
        <f aca="false">IF($L310="","",IF($M310="Deciduous",BGB_RS_DECIDUOUS_a*($L310^BGB_RS_DECIDUOUS_b),IF($M310="Conifers",BGB_RS_CONIFER*$L310,AVERAGE(BGB_RS_DECIDUOUS_a*($L310^BGB_RS_DECIDUOUS_b),BGB_RS_CONIFER*$L310))))</f>
        <v/>
      </c>
      <c r="O310" s="14" t="str">
        <f aca="false">IF($L310="","",$L310+$N310)</f>
        <v/>
      </c>
      <c r="P310" s="14" t="str">
        <f aca="false">IF($O310="","",$O310*CARBON_FRACTION_BIOMASS)</f>
        <v/>
      </c>
      <c r="Q310" s="14" t="str">
        <f aca="false">IF(AND($A310="",$C310=""),"",IF(AND($A310&lt;&gt;"",COUNTIF('1. Plot &amp; Site Log'!$A$5:$A$64,$A310)=0),"Plot ID not in Plot &amp; Site Log — this tree will not reach the summary. ","")&amp;IF($A310="","No Plot ID. ","")&amp;IF(AND($C310&lt;&gt;"",$F310=""),"Species not in the coefficient list — check the spelling against R1. ","")&amp;IF($D310="","No DBH — nothing can be calculated. ","")&amp;IF(AND($D310&lt;&gt;"",$D310&gt;QC_DBH_MAX_CM),"DBH above "&amp;QC_DBH_MAX_CM&amp;" cm — check for a transcription error. ","")&amp;IF($M310="All","Generic species: no published root:shoot applies, so below-ground biomass is the mean of the deciduous and conifer relationships. Choose a species, or Deciduous/Conifers, if you can. ","")&amp;IF(AND($O310&lt;&gt;"",$O310&gt;0,OR($N310/$O310&lt;BGB_FRACTION_MIN,$N310/$O310&gt;BGB_FRACTION_MAX)),"Below-ground share is "&amp;TEXT($N310/$O310,"0%")&amp;", outside the 18–30% the Trees guide describes. ",""))</f>
        <v/>
      </c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4" t="str">
        <f aca="false">IF($C311="","",IFERROR(12+(MATCH($C311,'R1. Tree Coefficients'!$L$12:$L$53,0)-1)*4,""))</f>
        <v/>
      </c>
      <c r="G311" s="14" t="str">
        <f aca="false">IF($F311="","",IF(AND($E311&lt;&gt;"",$E311&gt;0),"DBH + height","DBH only"))</f>
        <v/>
      </c>
      <c r="H311" s="14" t="str">
        <f aca="false">IF(OR($D311="",$F311=""),"",IF($E311&gt;0,INDEX('R1. Tree Coefficients'!$F:$F,$F311+0)*($D311^INDEX('R1. Tree Coefficients'!$G:$G,$F311+0))*($E311^INDEX('R1. Tree Coefficients'!$H:$H,$F311+0)),INDEX('R1. Tree Coefficients'!$D:$D,$F311+0)*($D311^INDEX('R1. Tree Coefficients'!$E:$E,$F311+0))))</f>
        <v/>
      </c>
      <c r="I311" s="14" t="str">
        <f aca="false">IF(OR($D311="",$F311=""),"",IF($E311&gt;0,INDEX('R1. Tree Coefficients'!$F:$F,$F311+1)*($D311^INDEX('R1. Tree Coefficients'!$G:$G,$F311+1))*($E311^INDEX('R1. Tree Coefficients'!$H:$H,$F311+1)),INDEX('R1. Tree Coefficients'!$D:$D,$F311+1)*($D311^INDEX('R1. Tree Coefficients'!$E:$E,$F311+1))))</f>
        <v/>
      </c>
      <c r="J311" s="14" t="str">
        <f aca="false">IF(OR($D311="",$F311=""),"",IF($E311&gt;0,INDEX('R1. Tree Coefficients'!$F:$F,$F311+2)*($D311^INDEX('R1. Tree Coefficients'!$G:$G,$F311+2))*($E311^INDEX('R1. Tree Coefficients'!$H:$H,$F311+2)),INDEX('R1. Tree Coefficients'!$D:$D,$F311+2)*($D311^INDEX('R1. Tree Coefficients'!$E:$E,$F311+2))))</f>
        <v/>
      </c>
      <c r="K311" s="14" t="str">
        <f aca="false">IF(OR($D311="",$F311=""),"",IF($E311&gt;0,INDEX('R1. Tree Coefficients'!$F:$F,$F311+3)*($D311^INDEX('R1. Tree Coefficients'!$G:$G,$F311+3))*($E311^INDEX('R1. Tree Coefficients'!$H:$H,$F311+3)),INDEX('R1. Tree Coefficients'!$D:$D,$F311+3)*($D311^INDEX('R1. Tree Coefficients'!$E:$E,$F311+3))))</f>
        <v/>
      </c>
      <c r="L311" s="14" t="str">
        <f aca="false">IF($F311="","",IFERROR(SUM($H311:$K311),""))</f>
        <v/>
      </c>
      <c r="M311" s="14" t="str">
        <f aca="false">IF($F311="","",INDEX('R1. Tree Coefficients'!$J:$J,$F311))</f>
        <v/>
      </c>
      <c r="N311" s="14" t="str">
        <f aca="false">IF($L311="","",IF($M311="Deciduous",BGB_RS_DECIDUOUS_a*($L311^BGB_RS_DECIDUOUS_b),IF($M311="Conifers",BGB_RS_CONIFER*$L311,AVERAGE(BGB_RS_DECIDUOUS_a*($L311^BGB_RS_DECIDUOUS_b),BGB_RS_CONIFER*$L311))))</f>
        <v/>
      </c>
      <c r="O311" s="14" t="str">
        <f aca="false">IF($L311="","",$L311+$N311)</f>
        <v/>
      </c>
      <c r="P311" s="14" t="str">
        <f aca="false">IF($O311="","",$O311*CARBON_FRACTION_BIOMASS)</f>
        <v/>
      </c>
      <c r="Q311" s="14" t="str">
        <f aca="false">IF(AND($A311="",$C311=""),"",IF(AND($A311&lt;&gt;"",COUNTIF('1. Plot &amp; Site Log'!$A$5:$A$64,$A311)=0),"Plot ID not in Plot &amp; Site Log — this tree will not reach the summary. ","")&amp;IF($A311="","No Plot ID. ","")&amp;IF(AND($C311&lt;&gt;"",$F311=""),"Species not in the coefficient list — check the spelling against R1. ","")&amp;IF($D311="","No DBH — nothing can be calculated. ","")&amp;IF(AND($D311&lt;&gt;"",$D311&gt;QC_DBH_MAX_CM),"DBH above "&amp;QC_DBH_MAX_CM&amp;" cm — check for a transcription error. ","")&amp;IF($M311="All","Generic species: no published root:shoot applies, so below-ground biomass is the mean of the deciduous and conifer relationships. Choose a species, or Deciduous/Conifers, if you can. ","")&amp;IF(AND($O311&lt;&gt;"",$O311&gt;0,OR($N311/$O311&lt;BGB_FRACTION_MIN,$N311/$O311&gt;BGB_FRACTION_MAX)),"Below-ground share is "&amp;TEXT($N311/$O311,"0%")&amp;", outside the 18–30% the Trees guide describes. ",""))</f>
        <v/>
      </c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4" t="str">
        <f aca="false">IF($C312="","",IFERROR(12+(MATCH($C312,'R1. Tree Coefficients'!$L$12:$L$53,0)-1)*4,""))</f>
        <v/>
      </c>
      <c r="G312" s="14" t="str">
        <f aca="false">IF($F312="","",IF(AND($E312&lt;&gt;"",$E312&gt;0),"DBH + height","DBH only"))</f>
        <v/>
      </c>
      <c r="H312" s="14" t="str">
        <f aca="false">IF(OR($D312="",$F312=""),"",IF($E312&gt;0,INDEX('R1. Tree Coefficients'!$F:$F,$F312+0)*($D312^INDEX('R1. Tree Coefficients'!$G:$G,$F312+0))*($E312^INDEX('R1. Tree Coefficients'!$H:$H,$F312+0)),INDEX('R1. Tree Coefficients'!$D:$D,$F312+0)*($D312^INDEX('R1. Tree Coefficients'!$E:$E,$F312+0))))</f>
        <v/>
      </c>
      <c r="I312" s="14" t="str">
        <f aca="false">IF(OR($D312="",$F312=""),"",IF($E312&gt;0,INDEX('R1. Tree Coefficients'!$F:$F,$F312+1)*($D312^INDEX('R1. Tree Coefficients'!$G:$G,$F312+1))*($E312^INDEX('R1. Tree Coefficients'!$H:$H,$F312+1)),INDEX('R1. Tree Coefficients'!$D:$D,$F312+1)*($D312^INDEX('R1. Tree Coefficients'!$E:$E,$F312+1))))</f>
        <v/>
      </c>
      <c r="J312" s="14" t="str">
        <f aca="false">IF(OR($D312="",$F312=""),"",IF($E312&gt;0,INDEX('R1. Tree Coefficients'!$F:$F,$F312+2)*($D312^INDEX('R1. Tree Coefficients'!$G:$G,$F312+2))*($E312^INDEX('R1. Tree Coefficients'!$H:$H,$F312+2)),INDEX('R1. Tree Coefficients'!$D:$D,$F312+2)*($D312^INDEX('R1. Tree Coefficients'!$E:$E,$F312+2))))</f>
        <v/>
      </c>
      <c r="K312" s="14" t="str">
        <f aca="false">IF(OR($D312="",$F312=""),"",IF($E312&gt;0,INDEX('R1. Tree Coefficients'!$F:$F,$F312+3)*($D312^INDEX('R1. Tree Coefficients'!$G:$G,$F312+3))*($E312^INDEX('R1. Tree Coefficients'!$H:$H,$F312+3)),INDEX('R1. Tree Coefficients'!$D:$D,$F312+3)*($D312^INDEX('R1. Tree Coefficients'!$E:$E,$F312+3))))</f>
        <v/>
      </c>
      <c r="L312" s="14" t="str">
        <f aca="false">IF($F312="","",IFERROR(SUM($H312:$K312),""))</f>
        <v/>
      </c>
      <c r="M312" s="14" t="str">
        <f aca="false">IF($F312="","",INDEX('R1. Tree Coefficients'!$J:$J,$F312))</f>
        <v/>
      </c>
      <c r="N312" s="14" t="str">
        <f aca="false">IF($L312="","",IF($M312="Deciduous",BGB_RS_DECIDUOUS_a*($L312^BGB_RS_DECIDUOUS_b),IF($M312="Conifers",BGB_RS_CONIFER*$L312,AVERAGE(BGB_RS_DECIDUOUS_a*($L312^BGB_RS_DECIDUOUS_b),BGB_RS_CONIFER*$L312))))</f>
        <v/>
      </c>
      <c r="O312" s="14" t="str">
        <f aca="false">IF($L312="","",$L312+$N312)</f>
        <v/>
      </c>
      <c r="P312" s="14" t="str">
        <f aca="false">IF($O312="","",$O312*CARBON_FRACTION_BIOMASS)</f>
        <v/>
      </c>
      <c r="Q312" s="14" t="str">
        <f aca="false">IF(AND($A312="",$C312=""),"",IF(AND($A312&lt;&gt;"",COUNTIF('1. Plot &amp; Site Log'!$A$5:$A$64,$A312)=0),"Plot ID not in Plot &amp; Site Log — this tree will not reach the summary. ","")&amp;IF($A312="","No Plot ID. ","")&amp;IF(AND($C312&lt;&gt;"",$F312=""),"Species not in the coefficient list — check the spelling against R1. ","")&amp;IF($D312="","No DBH — nothing can be calculated. ","")&amp;IF(AND($D312&lt;&gt;"",$D312&gt;QC_DBH_MAX_CM),"DBH above "&amp;QC_DBH_MAX_CM&amp;" cm — check for a transcription error. ","")&amp;IF($M312="All","Generic species: no published root:shoot applies, so below-ground biomass is the mean of the deciduous and conifer relationships. Choose a species, or Deciduous/Conifers, if you can. ","")&amp;IF(AND($O312&lt;&gt;"",$O312&gt;0,OR($N312/$O312&lt;BGB_FRACTION_MIN,$N312/$O312&gt;BGB_FRACTION_MAX)),"Below-ground share is "&amp;TEXT($N312/$O312,"0%")&amp;", outside the 18–30% the Trees guide describes. ",""))</f>
        <v/>
      </c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4" t="str">
        <f aca="false">IF($C313="","",IFERROR(12+(MATCH($C313,'R1. Tree Coefficients'!$L$12:$L$53,0)-1)*4,""))</f>
        <v/>
      </c>
      <c r="G313" s="14" t="str">
        <f aca="false">IF($F313="","",IF(AND($E313&lt;&gt;"",$E313&gt;0),"DBH + height","DBH only"))</f>
        <v/>
      </c>
      <c r="H313" s="14" t="str">
        <f aca="false">IF(OR($D313="",$F313=""),"",IF($E313&gt;0,INDEX('R1. Tree Coefficients'!$F:$F,$F313+0)*($D313^INDEX('R1. Tree Coefficients'!$G:$G,$F313+0))*($E313^INDEX('R1. Tree Coefficients'!$H:$H,$F313+0)),INDEX('R1. Tree Coefficients'!$D:$D,$F313+0)*($D313^INDEX('R1. Tree Coefficients'!$E:$E,$F313+0))))</f>
        <v/>
      </c>
      <c r="I313" s="14" t="str">
        <f aca="false">IF(OR($D313="",$F313=""),"",IF($E313&gt;0,INDEX('R1. Tree Coefficients'!$F:$F,$F313+1)*($D313^INDEX('R1. Tree Coefficients'!$G:$G,$F313+1))*($E313^INDEX('R1. Tree Coefficients'!$H:$H,$F313+1)),INDEX('R1. Tree Coefficients'!$D:$D,$F313+1)*($D313^INDEX('R1. Tree Coefficients'!$E:$E,$F313+1))))</f>
        <v/>
      </c>
      <c r="J313" s="14" t="str">
        <f aca="false">IF(OR($D313="",$F313=""),"",IF($E313&gt;0,INDEX('R1. Tree Coefficients'!$F:$F,$F313+2)*($D313^INDEX('R1. Tree Coefficients'!$G:$G,$F313+2))*($E313^INDEX('R1. Tree Coefficients'!$H:$H,$F313+2)),INDEX('R1. Tree Coefficients'!$D:$D,$F313+2)*($D313^INDEX('R1. Tree Coefficients'!$E:$E,$F313+2))))</f>
        <v/>
      </c>
      <c r="K313" s="14" t="str">
        <f aca="false">IF(OR($D313="",$F313=""),"",IF($E313&gt;0,INDEX('R1. Tree Coefficients'!$F:$F,$F313+3)*($D313^INDEX('R1. Tree Coefficients'!$G:$G,$F313+3))*($E313^INDEX('R1. Tree Coefficients'!$H:$H,$F313+3)),INDEX('R1. Tree Coefficients'!$D:$D,$F313+3)*($D313^INDEX('R1. Tree Coefficients'!$E:$E,$F313+3))))</f>
        <v/>
      </c>
      <c r="L313" s="14" t="str">
        <f aca="false">IF($F313="","",IFERROR(SUM($H313:$K313),""))</f>
        <v/>
      </c>
      <c r="M313" s="14" t="str">
        <f aca="false">IF($F313="","",INDEX('R1. Tree Coefficients'!$J:$J,$F313))</f>
        <v/>
      </c>
      <c r="N313" s="14" t="str">
        <f aca="false">IF($L313="","",IF($M313="Deciduous",BGB_RS_DECIDUOUS_a*($L313^BGB_RS_DECIDUOUS_b),IF($M313="Conifers",BGB_RS_CONIFER*$L313,AVERAGE(BGB_RS_DECIDUOUS_a*($L313^BGB_RS_DECIDUOUS_b),BGB_RS_CONIFER*$L313))))</f>
        <v/>
      </c>
      <c r="O313" s="14" t="str">
        <f aca="false">IF($L313="","",$L313+$N313)</f>
        <v/>
      </c>
      <c r="P313" s="14" t="str">
        <f aca="false">IF($O313="","",$O313*CARBON_FRACTION_BIOMASS)</f>
        <v/>
      </c>
      <c r="Q313" s="14" t="str">
        <f aca="false">IF(AND($A313="",$C313=""),"",IF(AND($A313&lt;&gt;"",COUNTIF('1. Plot &amp; Site Log'!$A$5:$A$64,$A313)=0),"Plot ID not in Plot &amp; Site Log — this tree will not reach the summary. ","")&amp;IF($A313="","No Plot ID. ","")&amp;IF(AND($C313&lt;&gt;"",$F313=""),"Species not in the coefficient list — check the spelling against R1. ","")&amp;IF($D313="","No DBH — nothing can be calculated. ","")&amp;IF(AND($D313&lt;&gt;"",$D313&gt;QC_DBH_MAX_CM),"DBH above "&amp;QC_DBH_MAX_CM&amp;" cm — check for a transcription error. ","")&amp;IF($M313="All","Generic species: no published root:shoot applies, so below-ground biomass is the mean of the deciduous and conifer relationships. Choose a species, or Deciduous/Conifers, if you can. ","")&amp;IF(AND($O313&lt;&gt;"",$O313&gt;0,OR($N313/$O313&lt;BGB_FRACTION_MIN,$N313/$O313&gt;BGB_FRACTION_MAX)),"Below-ground share is "&amp;TEXT($N313/$O313,"0%")&amp;", outside the 18–30% the Trees guide describes. ",""))</f>
        <v/>
      </c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4" t="str">
        <f aca="false">IF($C314="","",IFERROR(12+(MATCH($C314,'R1. Tree Coefficients'!$L$12:$L$53,0)-1)*4,""))</f>
        <v/>
      </c>
      <c r="G314" s="14" t="str">
        <f aca="false">IF($F314="","",IF(AND($E314&lt;&gt;"",$E314&gt;0),"DBH + height","DBH only"))</f>
        <v/>
      </c>
      <c r="H314" s="14" t="str">
        <f aca="false">IF(OR($D314="",$F314=""),"",IF($E314&gt;0,INDEX('R1. Tree Coefficients'!$F:$F,$F314+0)*($D314^INDEX('R1. Tree Coefficients'!$G:$G,$F314+0))*($E314^INDEX('R1. Tree Coefficients'!$H:$H,$F314+0)),INDEX('R1. Tree Coefficients'!$D:$D,$F314+0)*($D314^INDEX('R1. Tree Coefficients'!$E:$E,$F314+0))))</f>
        <v/>
      </c>
      <c r="I314" s="14" t="str">
        <f aca="false">IF(OR($D314="",$F314=""),"",IF($E314&gt;0,INDEX('R1. Tree Coefficients'!$F:$F,$F314+1)*($D314^INDEX('R1. Tree Coefficients'!$G:$G,$F314+1))*($E314^INDEX('R1. Tree Coefficients'!$H:$H,$F314+1)),INDEX('R1. Tree Coefficients'!$D:$D,$F314+1)*($D314^INDEX('R1. Tree Coefficients'!$E:$E,$F314+1))))</f>
        <v/>
      </c>
      <c r="J314" s="14" t="str">
        <f aca="false">IF(OR($D314="",$F314=""),"",IF($E314&gt;0,INDEX('R1. Tree Coefficients'!$F:$F,$F314+2)*($D314^INDEX('R1. Tree Coefficients'!$G:$G,$F314+2))*($E314^INDEX('R1. Tree Coefficients'!$H:$H,$F314+2)),INDEX('R1. Tree Coefficients'!$D:$D,$F314+2)*($D314^INDEX('R1. Tree Coefficients'!$E:$E,$F314+2))))</f>
        <v/>
      </c>
      <c r="K314" s="14" t="str">
        <f aca="false">IF(OR($D314="",$F314=""),"",IF($E314&gt;0,INDEX('R1. Tree Coefficients'!$F:$F,$F314+3)*($D314^INDEX('R1. Tree Coefficients'!$G:$G,$F314+3))*($E314^INDEX('R1. Tree Coefficients'!$H:$H,$F314+3)),INDEX('R1. Tree Coefficients'!$D:$D,$F314+3)*($D314^INDEX('R1. Tree Coefficients'!$E:$E,$F314+3))))</f>
        <v/>
      </c>
      <c r="L314" s="14" t="str">
        <f aca="false">IF($F314="","",IFERROR(SUM($H314:$K314),""))</f>
        <v/>
      </c>
      <c r="M314" s="14" t="str">
        <f aca="false">IF($F314="","",INDEX('R1. Tree Coefficients'!$J:$J,$F314))</f>
        <v/>
      </c>
      <c r="N314" s="14" t="str">
        <f aca="false">IF($L314="","",IF($M314="Deciduous",BGB_RS_DECIDUOUS_a*($L314^BGB_RS_DECIDUOUS_b),IF($M314="Conifers",BGB_RS_CONIFER*$L314,AVERAGE(BGB_RS_DECIDUOUS_a*($L314^BGB_RS_DECIDUOUS_b),BGB_RS_CONIFER*$L314))))</f>
        <v/>
      </c>
      <c r="O314" s="14" t="str">
        <f aca="false">IF($L314="","",$L314+$N314)</f>
        <v/>
      </c>
      <c r="P314" s="14" t="str">
        <f aca="false">IF($O314="","",$O314*CARBON_FRACTION_BIOMASS)</f>
        <v/>
      </c>
      <c r="Q314" s="14" t="str">
        <f aca="false">IF(AND($A314="",$C314=""),"",IF(AND($A314&lt;&gt;"",COUNTIF('1. Plot &amp; Site Log'!$A$5:$A$64,$A314)=0),"Plot ID not in Plot &amp; Site Log — this tree will not reach the summary. ","")&amp;IF($A314="","No Plot ID. ","")&amp;IF(AND($C314&lt;&gt;"",$F314=""),"Species not in the coefficient list — check the spelling against R1. ","")&amp;IF($D314="","No DBH — nothing can be calculated. ","")&amp;IF(AND($D314&lt;&gt;"",$D314&gt;QC_DBH_MAX_CM),"DBH above "&amp;QC_DBH_MAX_CM&amp;" cm — check for a transcription error. ","")&amp;IF($M314="All","Generic species: no published root:shoot applies, so below-ground biomass is the mean of the deciduous and conifer relationships. Choose a species, or Deciduous/Conifers, if you can. ","")&amp;IF(AND($O314&lt;&gt;"",$O314&gt;0,OR($N314/$O314&lt;BGB_FRACTION_MIN,$N314/$O314&gt;BGB_FRACTION_MAX)),"Below-ground share is "&amp;TEXT($N314/$O314,"0%")&amp;", outside the 18–30% the Trees guide describes. ",""))</f>
        <v/>
      </c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4" t="str">
        <f aca="false">IF($C315="","",IFERROR(12+(MATCH($C315,'R1. Tree Coefficients'!$L$12:$L$53,0)-1)*4,""))</f>
        <v/>
      </c>
      <c r="G315" s="14" t="str">
        <f aca="false">IF($F315="","",IF(AND($E315&lt;&gt;"",$E315&gt;0),"DBH + height","DBH only"))</f>
        <v/>
      </c>
      <c r="H315" s="14" t="str">
        <f aca="false">IF(OR($D315="",$F315=""),"",IF($E315&gt;0,INDEX('R1. Tree Coefficients'!$F:$F,$F315+0)*($D315^INDEX('R1. Tree Coefficients'!$G:$G,$F315+0))*($E315^INDEX('R1. Tree Coefficients'!$H:$H,$F315+0)),INDEX('R1. Tree Coefficients'!$D:$D,$F315+0)*($D315^INDEX('R1. Tree Coefficients'!$E:$E,$F315+0))))</f>
        <v/>
      </c>
      <c r="I315" s="14" t="str">
        <f aca="false">IF(OR($D315="",$F315=""),"",IF($E315&gt;0,INDEX('R1. Tree Coefficients'!$F:$F,$F315+1)*($D315^INDEX('R1. Tree Coefficients'!$G:$G,$F315+1))*($E315^INDEX('R1. Tree Coefficients'!$H:$H,$F315+1)),INDEX('R1. Tree Coefficients'!$D:$D,$F315+1)*($D315^INDEX('R1. Tree Coefficients'!$E:$E,$F315+1))))</f>
        <v/>
      </c>
      <c r="J315" s="14" t="str">
        <f aca="false">IF(OR($D315="",$F315=""),"",IF($E315&gt;0,INDEX('R1. Tree Coefficients'!$F:$F,$F315+2)*($D315^INDEX('R1. Tree Coefficients'!$G:$G,$F315+2))*($E315^INDEX('R1. Tree Coefficients'!$H:$H,$F315+2)),INDEX('R1. Tree Coefficients'!$D:$D,$F315+2)*($D315^INDEX('R1. Tree Coefficients'!$E:$E,$F315+2))))</f>
        <v/>
      </c>
      <c r="K315" s="14" t="str">
        <f aca="false">IF(OR($D315="",$F315=""),"",IF($E315&gt;0,INDEX('R1. Tree Coefficients'!$F:$F,$F315+3)*($D315^INDEX('R1. Tree Coefficients'!$G:$G,$F315+3))*($E315^INDEX('R1. Tree Coefficients'!$H:$H,$F315+3)),INDEX('R1. Tree Coefficients'!$D:$D,$F315+3)*($D315^INDEX('R1. Tree Coefficients'!$E:$E,$F315+3))))</f>
        <v/>
      </c>
      <c r="L315" s="14" t="str">
        <f aca="false">IF($F315="","",IFERROR(SUM($H315:$K315),""))</f>
        <v/>
      </c>
      <c r="M315" s="14" t="str">
        <f aca="false">IF($F315="","",INDEX('R1. Tree Coefficients'!$J:$J,$F315))</f>
        <v/>
      </c>
      <c r="N315" s="14" t="str">
        <f aca="false">IF($L315="","",IF($M315="Deciduous",BGB_RS_DECIDUOUS_a*($L315^BGB_RS_DECIDUOUS_b),IF($M315="Conifers",BGB_RS_CONIFER*$L315,AVERAGE(BGB_RS_DECIDUOUS_a*($L315^BGB_RS_DECIDUOUS_b),BGB_RS_CONIFER*$L315))))</f>
        <v/>
      </c>
      <c r="O315" s="14" t="str">
        <f aca="false">IF($L315="","",$L315+$N315)</f>
        <v/>
      </c>
      <c r="P315" s="14" t="str">
        <f aca="false">IF($O315="","",$O315*CARBON_FRACTION_BIOMASS)</f>
        <v/>
      </c>
      <c r="Q315" s="14" t="str">
        <f aca="false">IF(AND($A315="",$C315=""),"",IF(AND($A315&lt;&gt;"",COUNTIF('1. Plot &amp; Site Log'!$A$5:$A$64,$A315)=0),"Plot ID not in Plot &amp; Site Log — this tree will not reach the summary. ","")&amp;IF($A315="","No Plot ID. ","")&amp;IF(AND($C315&lt;&gt;"",$F315=""),"Species not in the coefficient list — check the spelling against R1. ","")&amp;IF($D315="","No DBH — nothing can be calculated. ","")&amp;IF(AND($D315&lt;&gt;"",$D315&gt;QC_DBH_MAX_CM),"DBH above "&amp;QC_DBH_MAX_CM&amp;" cm — check for a transcription error. ","")&amp;IF($M315="All","Generic species: no published root:shoot applies, so below-ground biomass is the mean of the deciduous and conifer relationships. Choose a species, or Deciduous/Conifers, if you can. ","")&amp;IF(AND($O315&lt;&gt;"",$O315&gt;0,OR($N315/$O315&lt;BGB_FRACTION_MIN,$N315/$O315&gt;BGB_FRACTION_MAX)),"Below-ground share is "&amp;TEXT($N315/$O315,"0%")&amp;", outside the 18–30% the Trees guide describes. ",""))</f>
        <v/>
      </c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4" t="str">
        <f aca="false">IF($C316="","",IFERROR(12+(MATCH($C316,'R1. Tree Coefficients'!$L$12:$L$53,0)-1)*4,""))</f>
        <v/>
      </c>
      <c r="G316" s="14" t="str">
        <f aca="false">IF($F316="","",IF(AND($E316&lt;&gt;"",$E316&gt;0),"DBH + height","DBH only"))</f>
        <v/>
      </c>
      <c r="H316" s="14" t="str">
        <f aca="false">IF(OR($D316="",$F316=""),"",IF($E316&gt;0,INDEX('R1. Tree Coefficients'!$F:$F,$F316+0)*($D316^INDEX('R1. Tree Coefficients'!$G:$G,$F316+0))*($E316^INDEX('R1. Tree Coefficients'!$H:$H,$F316+0)),INDEX('R1. Tree Coefficients'!$D:$D,$F316+0)*($D316^INDEX('R1. Tree Coefficients'!$E:$E,$F316+0))))</f>
        <v/>
      </c>
      <c r="I316" s="14" t="str">
        <f aca="false">IF(OR($D316="",$F316=""),"",IF($E316&gt;0,INDEX('R1. Tree Coefficients'!$F:$F,$F316+1)*($D316^INDEX('R1. Tree Coefficients'!$G:$G,$F316+1))*($E316^INDEX('R1. Tree Coefficients'!$H:$H,$F316+1)),INDEX('R1. Tree Coefficients'!$D:$D,$F316+1)*($D316^INDEX('R1. Tree Coefficients'!$E:$E,$F316+1))))</f>
        <v/>
      </c>
      <c r="J316" s="14" t="str">
        <f aca="false">IF(OR($D316="",$F316=""),"",IF($E316&gt;0,INDEX('R1. Tree Coefficients'!$F:$F,$F316+2)*($D316^INDEX('R1. Tree Coefficients'!$G:$G,$F316+2))*($E316^INDEX('R1. Tree Coefficients'!$H:$H,$F316+2)),INDEX('R1. Tree Coefficients'!$D:$D,$F316+2)*($D316^INDEX('R1. Tree Coefficients'!$E:$E,$F316+2))))</f>
        <v/>
      </c>
      <c r="K316" s="14" t="str">
        <f aca="false">IF(OR($D316="",$F316=""),"",IF($E316&gt;0,INDEX('R1. Tree Coefficients'!$F:$F,$F316+3)*($D316^INDEX('R1. Tree Coefficients'!$G:$G,$F316+3))*($E316^INDEX('R1. Tree Coefficients'!$H:$H,$F316+3)),INDEX('R1. Tree Coefficients'!$D:$D,$F316+3)*($D316^INDEX('R1. Tree Coefficients'!$E:$E,$F316+3))))</f>
        <v/>
      </c>
      <c r="L316" s="14" t="str">
        <f aca="false">IF($F316="","",IFERROR(SUM($H316:$K316),""))</f>
        <v/>
      </c>
      <c r="M316" s="14" t="str">
        <f aca="false">IF($F316="","",INDEX('R1. Tree Coefficients'!$J:$J,$F316))</f>
        <v/>
      </c>
      <c r="N316" s="14" t="str">
        <f aca="false">IF($L316="","",IF($M316="Deciduous",BGB_RS_DECIDUOUS_a*($L316^BGB_RS_DECIDUOUS_b),IF($M316="Conifers",BGB_RS_CONIFER*$L316,AVERAGE(BGB_RS_DECIDUOUS_a*($L316^BGB_RS_DECIDUOUS_b),BGB_RS_CONIFER*$L316))))</f>
        <v/>
      </c>
      <c r="O316" s="14" t="str">
        <f aca="false">IF($L316="","",$L316+$N316)</f>
        <v/>
      </c>
      <c r="P316" s="14" t="str">
        <f aca="false">IF($O316="","",$O316*CARBON_FRACTION_BIOMASS)</f>
        <v/>
      </c>
      <c r="Q316" s="14" t="str">
        <f aca="false">IF(AND($A316="",$C316=""),"",IF(AND($A316&lt;&gt;"",COUNTIF('1. Plot &amp; Site Log'!$A$5:$A$64,$A316)=0),"Plot ID not in Plot &amp; Site Log — this tree will not reach the summary. ","")&amp;IF($A316="","No Plot ID. ","")&amp;IF(AND($C316&lt;&gt;"",$F316=""),"Species not in the coefficient list — check the spelling against R1. ","")&amp;IF($D316="","No DBH — nothing can be calculated. ","")&amp;IF(AND($D316&lt;&gt;"",$D316&gt;QC_DBH_MAX_CM),"DBH above "&amp;QC_DBH_MAX_CM&amp;" cm — check for a transcription error. ","")&amp;IF($M316="All","Generic species: no published root:shoot applies, so below-ground biomass is the mean of the deciduous and conifer relationships. Choose a species, or Deciduous/Conifers, if you can. ","")&amp;IF(AND($O316&lt;&gt;"",$O316&gt;0,OR($N316/$O316&lt;BGB_FRACTION_MIN,$N316/$O316&gt;BGB_FRACTION_MAX)),"Below-ground share is "&amp;TEXT($N316/$O316,"0%")&amp;", outside the 18–30% the Trees guide describes. ",""))</f>
        <v/>
      </c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4" t="str">
        <f aca="false">IF($C317="","",IFERROR(12+(MATCH($C317,'R1. Tree Coefficients'!$L$12:$L$53,0)-1)*4,""))</f>
        <v/>
      </c>
      <c r="G317" s="14" t="str">
        <f aca="false">IF($F317="","",IF(AND($E317&lt;&gt;"",$E317&gt;0),"DBH + height","DBH only"))</f>
        <v/>
      </c>
      <c r="H317" s="14" t="str">
        <f aca="false">IF(OR($D317="",$F317=""),"",IF($E317&gt;0,INDEX('R1. Tree Coefficients'!$F:$F,$F317+0)*($D317^INDEX('R1. Tree Coefficients'!$G:$G,$F317+0))*($E317^INDEX('R1. Tree Coefficients'!$H:$H,$F317+0)),INDEX('R1. Tree Coefficients'!$D:$D,$F317+0)*($D317^INDEX('R1. Tree Coefficients'!$E:$E,$F317+0))))</f>
        <v/>
      </c>
      <c r="I317" s="14" t="str">
        <f aca="false">IF(OR($D317="",$F317=""),"",IF($E317&gt;0,INDEX('R1. Tree Coefficients'!$F:$F,$F317+1)*($D317^INDEX('R1. Tree Coefficients'!$G:$G,$F317+1))*($E317^INDEX('R1. Tree Coefficients'!$H:$H,$F317+1)),INDEX('R1. Tree Coefficients'!$D:$D,$F317+1)*($D317^INDEX('R1. Tree Coefficients'!$E:$E,$F317+1))))</f>
        <v/>
      </c>
      <c r="J317" s="14" t="str">
        <f aca="false">IF(OR($D317="",$F317=""),"",IF($E317&gt;0,INDEX('R1. Tree Coefficients'!$F:$F,$F317+2)*($D317^INDEX('R1. Tree Coefficients'!$G:$G,$F317+2))*($E317^INDEX('R1. Tree Coefficients'!$H:$H,$F317+2)),INDEX('R1. Tree Coefficients'!$D:$D,$F317+2)*($D317^INDEX('R1. Tree Coefficients'!$E:$E,$F317+2))))</f>
        <v/>
      </c>
      <c r="K317" s="14" t="str">
        <f aca="false">IF(OR($D317="",$F317=""),"",IF($E317&gt;0,INDEX('R1. Tree Coefficients'!$F:$F,$F317+3)*($D317^INDEX('R1. Tree Coefficients'!$G:$G,$F317+3))*($E317^INDEX('R1. Tree Coefficients'!$H:$H,$F317+3)),INDEX('R1. Tree Coefficients'!$D:$D,$F317+3)*($D317^INDEX('R1. Tree Coefficients'!$E:$E,$F317+3))))</f>
        <v/>
      </c>
      <c r="L317" s="14" t="str">
        <f aca="false">IF($F317="","",IFERROR(SUM($H317:$K317),""))</f>
        <v/>
      </c>
      <c r="M317" s="14" t="str">
        <f aca="false">IF($F317="","",INDEX('R1. Tree Coefficients'!$J:$J,$F317))</f>
        <v/>
      </c>
      <c r="N317" s="14" t="str">
        <f aca="false">IF($L317="","",IF($M317="Deciduous",BGB_RS_DECIDUOUS_a*($L317^BGB_RS_DECIDUOUS_b),IF($M317="Conifers",BGB_RS_CONIFER*$L317,AVERAGE(BGB_RS_DECIDUOUS_a*($L317^BGB_RS_DECIDUOUS_b),BGB_RS_CONIFER*$L317))))</f>
        <v/>
      </c>
      <c r="O317" s="14" t="str">
        <f aca="false">IF($L317="","",$L317+$N317)</f>
        <v/>
      </c>
      <c r="P317" s="14" t="str">
        <f aca="false">IF($O317="","",$O317*CARBON_FRACTION_BIOMASS)</f>
        <v/>
      </c>
      <c r="Q317" s="14" t="str">
        <f aca="false">IF(AND($A317="",$C317=""),"",IF(AND($A317&lt;&gt;"",COUNTIF('1. Plot &amp; Site Log'!$A$5:$A$64,$A317)=0),"Plot ID not in Plot &amp; Site Log — this tree will not reach the summary. ","")&amp;IF($A317="","No Plot ID. ","")&amp;IF(AND($C317&lt;&gt;"",$F317=""),"Species not in the coefficient list — check the spelling against R1. ","")&amp;IF($D317="","No DBH — nothing can be calculated. ","")&amp;IF(AND($D317&lt;&gt;"",$D317&gt;QC_DBH_MAX_CM),"DBH above "&amp;QC_DBH_MAX_CM&amp;" cm — check for a transcription error. ","")&amp;IF($M317="All","Generic species: no published root:shoot applies, so below-ground biomass is the mean of the deciduous and conifer relationships. Choose a species, or Deciduous/Conifers, if you can. ","")&amp;IF(AND($O317&lt;&gt;"",$O317&gt;0,OR($N317/$O317&lt;BGB_FRACTION_MIN,$N317/$O317&gt;BGB_FRACTION_MAX)),"Below-ground share is "&amp;TEXT($N317/$O317,"0%")&amp;", outside the 18–30% the Trees guide describes. ",""))</f>
        <v/>
      </c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4" t="str">
        <f aca="false">IF($C318="","",IFERROR(12+(MATCH($C318,'R1. Tree Coefficients'!$L$12:$L$53,0)-1)*4,""))</f>
        <v/>
      </c>
      <c r="G318" s="14" t="str">
        <f aca="false">IF($F318="","",IF(AND($E318&lt;&gt;"",$E318&gt;0),"DBH + height","DBH only"))</f>
        <v/>
      </c>
      <c r="H318" s="14" t="str">
        <f aca="false">IF(OR($D318="",$F318=""),"",IF($E318&gt;0,INDEX('R1. Tree Coefficients'!$F:$F,$F318+0)*($D318^INDEX('R1. Tree Coefficients'!$G:$G,$F318+0))*($E318^INDEX('R1. Tree Coefficients'!$H:$H,$F318+0)),INDEX('R1. Tree Coefficients'!$D:$D,$F318+0)*($D318^INDEX('R1. Tree Coefficients'!$E:$E,$F318+0))))</f>
        <v/>
      </c>
      <c r="I318" s="14" t="str">
        <f aca="false">IF(OR($D318="",$F318=""),"",IF($E318&gt;0,INDEX('R1. Tree Coefficients'!$F:$F,$F318+1)*($D318^INDEX('R1. Tree Coefficients'!$G:$G,$F318+1))*($E318^INDEX('R1. Tree Coefficients'!$H:$H,$F318+1)),INDEX('R1. Tree Coefficients'!$D:$D,$F318+1)*($D318^INDEX('R1. Tree Coefficients'!$E:$E,$F318+1))))</f>
        <v/>
      </c>
      <c r="J318" s="14" t="str">
        <f aca="false">IF(OR($D318="",$F318=""),"",IF($E318&gt;0,INDEX('R1. Tree Coefficients'!$F:$F,$F318+2)*($D318^INDEX('R1. Tree Coefficients'!$G:$G,$F318+2))*($E318^INDEX('R1. Tree Coefficients'!$H:$H,$F318+2)),INDEX('R1. Tree Coefficients'!$D:$D,$F318+2)*($D318^INDEX('R1. Tree Coefficients'!$E:$E,$F318+2))))</f>
        <v/>
      </c>
      <c r="K318" s="14" t="str">
        <f aca="false">IF(OR($D318="",$F318=""),"",IF($E318&gt;0,INDEX('R1. Tree Coefficients'!$F:$F,$F318+3)*($D318^INDEX('R1. Tree Coefficients'!$G:$G,$F318+3))*($E318^INDEX('R1. Tree Coefficients'!$H:$H,$F318+3)),INDEX('R1. Tree Coefficients'!$D:$D,$F318+3)*($D318^INDEX('R1. Tree Coefficients'!$E:$E,$F318+3))))</f>
        <v/>
      </c>
      <c r="L318" s="14" t="str">
        <f aca="false">IF($F318="","",IFERROR(SUM($H318:$K318),""))</f>
        <v/>
      </c>
      <c r="M318" s="14" t="str">
        <f aca="false">IF($F318="","",INDEX('R1. Tree Coefficients'!$J:$J,$F318))</f>
        <v/>
      </c>
      <c r="N318" s="14" t="str">
        <f aca="false">IF($L318="","",IF($M318="Deciduous",BGB_RS_DECIDUOUS_a*($L318^BGB_RS_DECIDUOUS_b),IF($M318="Conifers",BGB_RS_CONIFER*$L318,AVERAGE(BGB_RS_DECIDUOUS_a*($L318^BGB_RS_DECIDUOUS_b),BGB_RS_CONIFER*$L318))))</f>
        <v/>
      </c>
      <c r="O318" s="14" t="str">
        <f aca="false">IF($L318="","",$L318+$N318)</f>
        <v/>
      </c>
      <c r="P318" s="14" t="str">
        <f aca="false">IF($O318="","",$O318*CARBON_FRACTION_BIOMASS)</f>
        <v/>
      </c>
      <c r="Q318" s="14" t="str">
        <f aca="false">IF(AND($A318="",$C318=""),"",IF(AND($A318&lt;&gt;"",COUNTIF('1. Plot &amp; Site Log'!$A$5:$A$64,$A318)=0),"Plot ID not in Plot &amp; Site Log — this tree will not reach the summary. ","")&amp;IF($A318="","No Plot ID. ","")&amp;IF(AND($C318&lt;&gt;"",$F318=""),"Species not in the coefficient list — check the spelling against R1. ","")&amp;IF($D318="","No DBH — nothing can be calculated. ","")&amp;IF(AND($D318&lt;&gt;"",$D318&gt;QC_DBH_MAX_CM),"DBH above "&amp;QC_DBH_MAX_CM&amp;" cm — check for a transcription error. ","")&amp;IF($M318="All","Generic species: no published root:shoot applies, so below-ground biomass is the mean of the deciduous and conifer relationships. Choose a species, or Deciduous/Conifers, if you can. ","")&amp;IF(AND($O318&lt;&gt;"",$O318&gt;0,OR($N318/$O318&lt;BGB_FRACTION_MIN,$N318/$O318&gt;BGB_FRACTION_MAX)),"Below-ground share is "&amp;TEXT($N318/$O318,"0%")&amp;", outside the 18–30% the Trees guide describes. ",""))</f>
        <v/>
      </c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4" t="str">
        <f aca="false">IF($C319="","",IFERROR(12+(MATCH($C319,'R1. Tree Coefficients'!$L$12:$L$53,0)-1)*4,""))</f>
        <v/>
      </c>
      <c r="G319" s="14" t="str">
        <f aca="false">IF($F319="","",IF(AND($E319&lt;&gt;"",$E319&gt;0),"DBH + height","DBH only"))</f>
        <v/>
      </c>
      <c r="H319" s="14" t="str">
        <f aca="false">IF(OR($D319="",$F319=""),"",IF($E319&gt;0,INDEX('R1. Tree Coefficients'!$F:$F,$F319+0)*($D319^INDEX('R1. Tree Coefficients'!$G:$G,$F319+0))*($E319^INDEX('R1. Tree Coefficients'!$H:$H,$F319+0)),INDEX('R1. Tree Coefficients'!$D:$D,$F319+0)*($D319^INDEX('R1. Tree Coefficients'!$E:$E,$F319+0))))</f>
        <v/>
      </c>
      <c r="I319" s="14" t="str">
        <f aca="false">IF(OR($D319="",$F319=""),"",IF($E319&gt;0,INDEX('R1. Tree Coefficients'!$F:$F,$F319+1)*($D319^INDEX('R1. Tree Coefficients'!$G:$G,$F319+1))*($E319^INDEX('R1. Tree Coefficients'!$H:$H,$F319+1)),INDEX('R1. Tree Coefficients'!$D:$D,$F319+1)*($D319^INDEX('R1. Tree Coefficients'!$E:$E,$F319+1))))</f>
        <v/>
      </c>
      <c r="J319" s="14" t="str">
        <f aca="false">IF(OR($D319="",$F319=""),"",IF($E319&gt;0,INDEX('R1. Tree Coefficients'!$F:$F,$F319+2)*($D319^INDEX('R1. Tree Coefficients'!$G:$G,$F319+2))*($E319^INDEX('R1. Tree Coefficients'!$H:$H,$F319+2)),INDEX('R1. Tree Coefficients'!$D:$D,$F319+2)*($D319^INDEX('R1. Tree Coefficients'!$E:$E,$F319+2))))</f>
        <v/>
      </c>
      <c r="K319" s="14" t="str">
        <f aca="false">IF(OR($D319="",$F319=""),"",IF($E319&gt;0,INDEX('R1. Tree Coefficients'!$F:$F,$F319+3)*($D319^INDEX('R1. Tree Coefficients'!$G:$G,$F319+3))*($E319^INDEX('R1. Tree Coefficients'!$H:$H,$F319+3)),INDEX('R1. Tree Coefficients'!$D:$D,$F319+3)*($D319^INDEX('R1. Tree Coefficients'!$E:$E,$F319+3))))</f>
        <v/>
      </c>
      <c r="L319" s="14" t="str">
        <f aca="false">IF($F319="","",IFERROR(SUM($H319:$K319),""))</f>
        <v/>
      </c>
      <c r="M319" s="14" t="str">
        <f aca="false">IF($F319="","",INDEX('R1. Tree Coefficients'!$J:$J,$F319))</f>
        <v/>
      </c>
      <c r="N319" s="14" t="str">
        <f aca="false">IF($L319="","",IF($M319="Deciduous",BGB_RS_DECIDUOUS_a*($L319^BGB_RS_DECIDUOUS_b),IF($M319="Conifers",BGB_RS_CONIFER*$L319,AVERAGE(BGB_RS_DECIDUOUS_a*($L319^BGB_RS_DECIDUOUS_b),BGB_RS_CONIFER*$L319))))</f>
        <v/>
      </c>
      <c r="O319" s="14" t="str">
        <f aca="false">IF($L319="","",$L319+$N319)</f>
        <v/>
      </c>
      <c r="P319" s="14" t="str">
        <f aca="false">IF($O319="","",$O319*CARBON_FRACTION_BIOMASS)</f>
        <v/>
      </c>
      <c r="Q319" s="14" t="str">
        <f aca="false">IF(AND($A319="",$C319=""),"",IF(AND($A319&lt;&gt;"",COUNTIF('1. Plot &amp; Site Log'!$A$5:$A$64,$A319)=0),"Plot ID not in Plot &amp; Site Log — this tree will not reach the summary. ","")&amp;IF($A319="","No Plot ID. ","")&amp;IF(AND($C319&lt;&gt;"",$F319=""),"Species not in the coefficient list — check the spelling against R1. ","")&amp;IF($D319="","No DBH — nothing can be calculated. ","")&amp;IF(AND($D319&lt;&gt;"",$D319&gt;QC_DBH_MAX_CM),"DBH above "&amp;QC_DBH_MAX_CM&amp;" cm — check for a transcription error. ","")&amp;IF($M319="All","Generic species: no published root:shoot applies, so below-ground biomass is the mean of the deciduous and conifer relationships. Choose a species, or Deciduous/Conifers, if you can. ","")&amp;IF(AND($O319&lt;&gt;"",$O319&gt;0,OR($N319/$O319&lt;BGB_FRACTION_MIN,$N319/$O319&gt;BGB_FRACTION_MAX)),"Below-ground share is "&amp;TEXT($N319/$O319,"0%")&amp;", outside the 18–30% the Trees guide describes. ",""))</f>
        <v/>
      </c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4" t="str">
        <f aca="false">IF($C320="","",IFERROR(12+(MATCH($C320,'R1. Tree Coefficients'!$L$12:$L$53,0)-1)*4,""))</f>
        <v/>
      </c>
      <c r="G320" s="14" t="str">
        <f aca="false">IF($F320="","",IF(AND($E320&lt;&gt;"",$E320&gt;0),"DBH + height","DBH only"))</f>
        <v/>
      </c>
      <c r="H320" s="14" t="str">
        <f aca="false">IF(OR($D320="",$F320=""),"",IF($E320&gt;0,INDEX('R1. Tree Coefficients'!$F:$F,$F320+0)*($D320^INDEX('R1. Tree Coefficients'!$G:$G,$F320+0))*($E320^INDEX('R1. Tree Coefficients'!$H:$H,$F320+0)),INDEX('R1. Tree Coefficients'!$D:$D,$F320+0)*($D320^INDEX('R1. Tree Coefficients'!$E:$E,$F320+0))))</f>
        <v/>
      </c>
      <c r="I320" s="14" t="str">
        <f aca="false">IF(OR($D320="",$F320=""),"",IF($E320&gt;0,INDEX('R1. Tree Coefficients'!$F:$F,$F320+1)*($D320^INDEX('R1. Tree Coefficients'!$G:$G,$F320+1))*($E320^INDEX('R1. Tree Coefficients'!$H:$H,$F320+1)),INDEX('R1. Tree Coefficients'!$D:$D,$F320+1)*($D320^INDEX('R1. Tree Coefficients'!$E:$E,$F320+1))))</f>
        <v/>
      </c>
      <c r="J320" s="14" t="str">
        <f aca="false">IF(OR($D320="",$F320=""),"",IF($E320&gt;0,INDEX('R1. Tree Coefficients'!$F:$F,$F320+2)*($D320^INDEX('R1. Tree Coefficients'!$G:$G,$F320+2))*($E320^INDEX('R1. Tree Coefficients'!$H:$H,$F320+2)),INDEX('R1. Tree Coefficients'!$D:$D,$F320+2)*($D320^INDEX('R1. Tree Coefficients'!$E:$E,$F320+2))))</f>
        <v/>
      </c>
      <c r="K320" s="14" t="str">
        <f aca="false">IF(OR($D320="",$F320=""),"",IF($E320&gt;0,INDEX('R1. Tree Coefficients'!$F:$F,$F320+3)*($D320^INDEX('R1. Tree Coefficients'!$G:$G,$F320+3))*($E320^INDEX('R1. Tree Coefficients'!$H:$H,$F320+3)),INDEX('R1. Tree Coefficients'!$D:$D,$F320+3)*($D320^INDEX('R1. Tree Coefficients'!$E:$E,$F320+3))))</f>
        <v/>
      </c>
      <c r="L320" s="14" t="str">
        <f aca="false">IF($F320="","",IFERROR(SUM($H320:$K320),""))</f>
        <v/>
      </c>
      <c r="M320" s="14" t="str">
        <f aca="false">IF($F320="","",INDEX('R1. Tree Coefficients'!$J:$J,$F320))</f>
        <v/>
      </c>
      <c r="N320" s="14" t="str">
        <f aca="false">IF($L320="","",IF($M320="Deciduous",BGB_RS_DECIDUOUS_a*($L320^BGB_RS_DECIDUOUS_b),IF($M320="Conifers",BGB_RS_CONIFER*$L320,AVERAGE(BGB_RS_DECIDUOUS_a*($L320^BGB_RS_DECIDUOUS_b),BGB_RS_CONIFER*$L320))))</f>
        <v/>
      </c>
      <c r="O320" s="14" t="str">
        <f aca="false">IF($L320="","",$L320+$N320)</f>
        <v/>
      </c>
      <c r="P320" s="14" t="str">
        <f aca="false">IF($O320="","",$O320*CARBON_FRACTION_BIOMASS)</f>
        <v/>
      </c>
      <c r="Q320" s="14" t="str">
        <f aca="false">IF(AND($A320="",$C320=""),"",IF(AND($A320&lt;&gt;"",COUNTIF('1. Plot &amp; Site Log'!$A$5:$A$64,$A320)=0),"Plot ID not in Plot &amp; Site Log — this tree will not reach the summary. ","")&amp;IF($A320="","No Plot ID. ","")&amp;IF(AND($C320&lt;&gt;"",$F320=""),"Species not in the coefficient list — check the spelling against R1. ","")&amp;IF($D320="","No DBH — nothing can be calculated. ","")&amp;IF(AND($D320&lt;&gt;"",$D320&gt;QC_DBH_MAX_CM),"DBH above "&amp;QC_DBH_MAX_CM&amp;" cm — check for a transcription error. ","")&amp;IF($M320="All","Generic species: no published root:shoot applies, so below-ground biomass is the mean of the deciduous and conifer relationships. Choose a species, or Deciduous/Conifers, if you can. ","")&amp;IF(AND($O320&lt;&gt;"",$O320&gt;0,OR($N320/$O320&lt;BGB_FRACTION_MIN,$N320/$O320&gt;BGB_FRACTION_MAX)),"Below-ground share is "&amp;TEXT($N320/$O320,"0%")&amp;", outside the 18–30% the Trees guide describes. ",""))</f>
        <v/>
      </c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4" t="str">
        <f aca="false">IF($C321="","",IFERROR(12+(MATCH($C321,'R1. Tree Coefficients'!$L$12:$L$53,0)-1)*4,""))</f>
        <v/>
      </c>
      <c r="G321" s="14" t="str">
        <f aca="false">IF($F321="","",IF(AND($E321&lt;&gt;"",$E321&gt;0),"DBH + height","DBH only"))</f>
        <v/>
      </c>
      <c r="H321" s="14" t="str">
        <f aca="false">IF(OR($D321="",$F321=""),"",IF($E321&gt;0,INDEX('R1. Tree Coefficients'!$F:$F,$F321+0)*($D321^INDEX('R1. Tree Coefficients'!$G:$G,$F321+0))*($E321^INDEX('R1. Tree Coefficients'!$H:$H,$F321+0)),INDEX('R1. Tree Coefficients'!$D:$D,$F321+0)*($D321^INDEX('R1. Tree Coefficients'!$E:$E,$F321+0))))</f>
        <v/>
      </c>
      <c r="I321" s="14" t="str">
        <f aca="false">IF(OR($D321="",$F321=""),"",IF($E321&gt;0,INDEX('R1. Tree Coefficients'!$F:$F,$F321+1)*($D321^INDEX('R1. Tree Coefficients'!$G:$G,$F321+1))*($E321^INDEX('R1. Tree Coefficients'!$H:$H,$F321+1)),INDEX('R1. Tree Coefficients'!$D:$D,$F321+1)*($D321^INDEX('R1. Tree Coefficients'!$E:$E,$F321+1))))</f>
        <v/>
      </c>
      <c r="J321" s="14" t="str">
        <f aca="false">IF(OR($D321="",$F321=""),"",IF($E321&gt;0,INDEX('R1. Tree Coefficients'!$F:$F,$F321+2)*($D321^INDEX('R1. Tree Coefficients'!$G:$G,$F321+2))*($E321^INDEX('R1. Tree Coefficients'!$H:$H,$F321+2)),INDEX('R1. Tree Coefficients'!$D:$D,$F321+2)*($D321^INDEX('R1. Tree Coefficients'!$E:$E,$F321+2))))</f>
        <v/>
      </c>
      <c r="K321" s="14" t="str">
        <f aca="false">IF(OR($D321="",$F321=""),"",IF($E321&gt;0,INDEX('R1. Tree Coefficients'!$F:$F,$F321+3)*($D321^INDEX('R1. Tree Coefficients'!$G:$G,$F321+3))*($E321^INDEX('R1. Tree Coefficients'!$H:$H,$F321+3)),INDEX('R1. Tree Coefficients'!$D:$D,$F321+3)*($D321^INDEX('R1. Tree Coefficients'!$E:$E,$F321+3))))</f>
        <v/>
      </c>
      <c r="L321" s="14" t="str">
        <f aca="false">IF($F321="","",IFERROR(SUM($H321:$K321),""))</f>
        <v/>
      </c>
      <c r="M321" s="14" t="str">
        <f aca="false">IF($F321="","",INDEX('R1. Tree Coefficients'!$J:$J,$F321))</f>
        <v/>
      </c>
      <c r="N321" s="14" t="str">
        <f aca="false">IF($L321="","",IF($M321="Deciduous",BGB_RS_DECIDUOUS_a*($L321^BGB_RS_DECIDUOUS_b),IF($M321="Conifers",BGB_RS_CONIFER*$L321,AVERAGE(BGB_RS_DECIDUOUS_a*($L321^BGB_RS_DECIDUOUS_b),BGB_RS_CONIFER*$L321))))</f>
        <v/>
      </c>
      <c r="O321" s="14" t="str">
        <f aca="false">IF($L321="","",$L321+$N321)</f>
        <v/>
      </c>
      <c r="P321" s="14" t="str">
        <f aca="false">IF($O321="","",$O321*CARBON_FRACTION_BIOMASS)</f>
        <v/>
      </c>
      <c r="Q321" s="14" t="str">
        <f aca="false">IF(AND($A321="",$C321=""),"",IF(AND($A321&lt;&gt;"",COUNTIF('1. Plot &amp; Site Log'!$A$5:$A$64,$A321)=0),"Plot ID not in Plot &amp; Site Log — this tree will not reach the summary. ","")&amp;IF($A321="","No Plot ID. ","")&amp;IF(AND($C321&lt;&gt;"",$F321=""),"Species not in the coefficient list — check the spelling against R1. ","")&amp;IF($D321="","No DBH — nothing can be calculated. ","")&amp;IF(AND($D321&lt;&gt;"",$D321&gt;QC_DBH_MAX_CM),"DBH above "&amp;QC_DBH_MAX_CM&amp;" cm — check for a transcription error. ","")&amp;IF($M321="All","Generic species: no published root:shoot applies, so below-ground biomass is the mean of the deciduous and conifer relationships. Choose a species, or Deciduous/Conifers, if you can. ","")&amp;IF(AND($O321&lt;&gt;"",$O321&gt;0,OR($N321/$O321&lt;BGB_FRACTION_MIN,$N321/$O321&gt;BGB_FRACTION_MAX)),"Below-ground share is "&amp;TEXT($N321/$O321,"0%")&amp;", outside the 18–30% the Trees guide describes. ",""))</f>
        <v/>
      </c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4" t="str">
        <f aca="false">IF($C322="","",IFERROR(12+(MATCH($C322,'R1. Tree Coefficients'!$L$12:$L$53,0)-1)*4,""))</f>
        <v/>
      </c>
      <c r="G322" s="14" t="str">
        <f aca="false">IF($F322="","",IF(AND($E322&lt;&gt;"",$E322&gt;0),"DBH + height","DBH only"))</f>
        <v/>
      </c>
      <c r="H322" s="14" t="str">
        <f aca="false">IF(OR($D322="",$F322=""),"",IF($E322&gt;0,INDEX('R1. Tree Coefficients'!$F:$F,$F322+0)*($D322^INDEX('R1. Tree Coefficients'!$G:$G,$F322+0))*($E322^INDEX('R1. Tree Coefficients'!$H:$H,$F322+0)),INDEX('R1. Tree Coefficients'!$D:$D,$F322+0)*($D322^INDEX('R1. Tree Coefficients'!$E:$E,$F322+0))))</f>
        <v/>
      </c>
      <c r="I322" s="14" t="str">
        <f aca="false">IF(OR($D322="",$F322=""),"",IF($E322&gt;0,INDEX('R1. Tree Coefficients'!$F:$F,$F322+1)*($D322^INDEX('R1. Tree Coefficients'!$G:$G,$F322+1))*($E322^INDEX('R1. Tree Coefficients'!$H:$H,$F322+1)),INDEX('R1. Tree Coefficients'!$D:$D,$F322+1)*($D322^INDEX('R1. Tree Coefficients'!$E:$E,$F322+1))))</f>
        <v/>
      </c>
      <c r="J322" s="14" t="str">
        <f aca="false">IF(OR($D322="",$F322=""),"",IF($E322&gt;0,INDEX('R1. Tree Coefficients'!$F:$F,$F322+2)*($D322^INDEX('R1. Tree Coefficients'!$G:$G,$F322+2))*($E322^INDEX('R1. Tree Coefficients'!$H:$H,$F322+2)),INDEX('R1. Tree Coefficients'!$D:$D,$F322+2)*($D322^INDEX('R1. Tree Coefficients'!$E:$E,$F322+2))))</f>
        <v/>
      </c>
      <c r="K322" s="14" t="str">
        <f aca="false">IF(OR($D322="",$F322=""),"",IF($E322&gt;0,INDEX('R1. Tree Coefficients'!$F:$F,$F322+3)*($D322^INDEX('R1. Tree Coefficients'!$G:$G,$F322+3))*($E322^INDEX('R1. Tree Coefficients'!$H:$H,$F322+3)),INDEX('R1. Tree Coefficients'!$D:$D,$F322+3)*($D322^INDEX('R1. Tree Coefficients'!$E:$E,$F322+3))))</f>
        <v/>
      </c>
      <c r="L322" s="14" t="str">
        <f aca="false">IF($F322="","",IFERROR(SUM($H322:$K322),""))</f>
        <v/>
      </c>
      <c r="M322" s="14" t="str">
        <f aca="false">IF($F322="","",INDEX('R1. Tree Coefficients'!$J:$J,$F322))</f>
        <v/>
      </c>
      <c r="N322" s="14" t="str">
        <f aca="false">IF($L322="","",IF($M322="Deciduous",BGB_RS_DECIDUOUS_a*($L322^BGB_RS_DECIDUOUS_b),IF($M322="Conifers",BGB_RS_CONIFER*$L322,AVERAGE(BGB_RS_DECIDUOUS_a*($L322^BGB_RS_DECIDUOUS_b),BGB_RS_CONIFER*$L322))))</f>
        <v/>
      </c>
      <c r="O322" s="14" t="str">
        <f aca="false">IF($L322="","",$L322+$N322)</f>
        <v/>
      </c>
      <c r="P322" s="14" t="str">
        <f aca="false">IF($O322="","",$O322*CARBON_FRACTION_BIOMASS)</f>
        <v/>
      </c>
      <c r="Q322" s="14" t="str">
        <f aca="false">IF(AND($A322="",$C322=""),"",IF(AND($A322&lt;&gt;"",COUNTIF('1. Plot &amp; Site Log'!$A$5:$A$64,$A322)=0),"Plot ID not in Plot &amp; Site Log — this tree will not reach the summary. ","")&amp;IF($A322="","No Plot ID. ","")&amp;IF(AND($C322&lt;&gt;"",$F322=""),"Species not in the coefficient list — check the spelling against R1. ","")&amp;IF($D322="","No DBH — nothing can be calculated. ","")&amp;IF(AND($D322&lt;&gt;"",$D322&gt;QC_DBH_MAX_CM),"DBH above "&amp;QC_DBH_MAX_CM&amp;" cm — check for a transcription error. ","")&amp;IF($M322="All","Generic species: no published root:shoot applies, so below-ground biomass is the mean of the deciduous and conifer relationships. Choose a species, or Deciduous/Conifers, if you can. ","")&amp;IF(AND($O322&lt;&gt;"",$O322&gt;0,OR($N322/$O322&lt;BGB_FRACTION_MIN,$N322/$O322&gt;BGB_FRACTION_MAX)),"Below-ground share is "&amp;TEXT($N322/$O322,"0%")&amp;", outside the 18–30% the Trees guide describes. ",""))</f>
        <v/>
      </c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4" t="str">
        <f aca="false">IF($C323="","",IFERROR(12+(MATCH($C323,'R1. Tree Coefficients'!$L$12:$L$53,0)-1)*4,""))</f>
        <v/>
      </c>
      <c r="G323" s="14" t="str">
        <f aca="false">IF($F323="","",IF(AND($E323&lt;&gt;"",$E323&gt;0),"DBH + height","DBH only"))</f>
        <v/>
      </c>
      <c r="H323" s="14" t="str">
        <f aca="false">IF(OR($D323="",$F323=""),"",IF($E323&gt;0,INDEX('R1. Tree Coefficients'!$F:$F,$F323+0)*($D323^INDEX('R1. Tree Coefficients'!$G:$G,$F323+0))*($E323^INDEX('R1. Tree Coefficients'!$H:$H,$F323+0)),INDEX('R1. Tree Coefficients'!$D:$D,$F323+0)*($D323^INDEX('R1. Tree Coefficients'!$E:$E,$F323+0))))</f>
        <v/>
      </c>
      <c r="I323" s="14" t="str">
        <f aca="false">IF(OR($D323="",$F323=""),"",IF($E323&gt;0,INDEX('R1. Tree Coefficients'!$F:$F,$F323+1)*($D323^INDEX('R1. Tree Coefficients'!$G:$G,$F323+1))*($E323^INDEX('R1. Tree Coefficients'!$H:$H,$F323+1)),INDEX('R1. Tree Coefficients'!$D:$D,$F323+1)*($D323^INDEX('R1. Tree Coefficients'!$E:$E,$F323+1))))</f>
        <v/>
      </c>
      <c r="J323" s="14" t="str">
        <f aca="false">IF(OR($D323="",$F323=""),"",IF($E323&gt;0,INDEX('R1. Tree Coefficients'!$F:$F,$F323+2)*($D323^INDEX('R1. Tree Coefficients'!$G:$G,$F323+2))*($E323^INDEX('R1. Tree Coefficients'!$H:$H,$F323+2)),INDEX('R1. Tree Coefficients'!$D:$D,$F323+2)*($D323^INDEX('R1. Tree Coefficients'!$E:$E,$F323+2))))</f>
        <v/>
      </c>
      <c r="K323" s="14" t="str">
        <f aca="false">IF(OR($D323="",$F323=""),"",IF($E323&gt;0,INDEX('R1. Tree Coefficients'!$F:$F,$F323+3)*($D323^INDEX('R1. Tree Coefficients'!$G:$G,$F323+3))*($E323^INDEX('R1. Tree Coefficients'!$H:$H,$F323+3)),INDEX('R1. Tree Coefficients'!$D:$D,$F323+3)*($D323^INDEX('R1. Tree Coefficients'!$E:$E,$F323+3))))</f>
        <v/>
      </c>
      <c r="L323" s="14" t="str">
        <f aca="false">IF($F323="","",IFERROR(SUM($H323:$K323),""))</f>
        <v/>
      </c>
      <c r="M323" s="14" t="str">
        <f aca="false">IF($F323="","",INDEX('R1. Tree Coefficients'!$J:$J,$F323))</f>
        <v/>
      </c>
      <c r="N323" s="14" t="str">
        <f aca="false">IF($L323="","",IF($M323="Deciduous",BGB_RS_DECIDUOUS_a*($L323^BGB_RS_DECIDUOUS_b),IF($M323="Conifers",BGB_RS_CONIFER*$L323,AVERAGE(BGB_RS_DECIDUOUS_a*($L323^BGB_RS_DECIDUOUS_b),BGB_RS_CONIFER*$L323))))</f>
        <v/>
      </c>
      <c r="O323" s="14" t="str">
        <f aca="false">IF($L323="","",$L323+$N323)</f>
        <v/>
      </c>
      <c r="P323" s="14" t="str">
        <f aca="false">IF($O323="","",$O323*CARBON_FRACTION_BIOMASS)</f>
        <v/>
      </c>
      <c r="Q323" s="14" t="str">
        <f aca="false">IF(AND($A323="",$C323=""),"",IF(AND($A323&lt;&gt;"",COUNTIF('1. Plot &amp; Site Log'!$A$5:$A$64,$A323)=0),"Plot ID not in Plot &amp; Site Log — this tree will not reach the summary. ","")&amp;IF($A323="","No Plot ID. ","")&amp;IF(AND($C323&lt;&gt;"",$F323=""),"Species not in the coefficient list — check the spelling against R1. ","")&amp;IF($D323="","No DBH — nothing can be calculated. ","")&amp;IF(AND($D323&lt;&gt;"",$D323&gt;QC_DBH_MAX_CM),"DBH above "&amp;QC_DBH_MAX_CM&amp;" cm — check for a transcription error. ","")&amp;IF($M323="All","Generic species: no published root:shoot applies, so below-ground biomass is the mean of the deciduous and conifer relationships. Choose a species, or Deciduous/Conifers, if you can. ","")&amp;IF(AND($O323&lt;&gt;"",$O323&gt;0,OR($N323/$O323&lt;BGB_FRACTION_MIN,$N323/$O323&gt;BGB_FRACTION_MAX)),"Below-ground share is "&amp;TEXT($N323/$O323,"0%")&amp;", outside the 18–30% the Trees guide describes. ",""))</f>
        <v/>
      </c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4" t="str">
        <f aca="false">IF($C324="","",IFERROR(12+(MATCH($C324,'R1. Tree Coefficients'!$L$12:$L$53,0)-1)*4,""))</f>
        <v/>
      </c>
      <c r="G324" s="14" t="str">
        <f aca="false">IF($F324="","",IF(AND($E324&lt;&gt;"",$E324&gt;0),"DBH + height","DBH only"))</f>
        <v/>
      </c>
      <c r="H324" s="14" t="str">
        <f aca="false">IF(OR($D324="",$F324=""),"",IF($E324&gt;0,INDEX('R1. Tree Coefficients'!$F:$F,$F324+0)*($D324^INDEX('R1. Tree Coefficients'!$G:$G,$F324+0))*($E324^INDEX('R1. Tree Coefficients'!$H:$H,$F324+0)),INDEX('R1. Tree Coefficients'!$D:$D,$F324+0)*($D324^INDEX('R1. Tree Coefficients'!$E:$E,$F324+0))))</f>
        <v/>
      </c>
      <c r="I324" s="14" t="str">
        <f aca="false">IF(OR($D324="",$F324=""),"",IF($E324&gt;0,INDEX('R1. Tree Coefficients'!$F:$F,$F324+1)*($D324^INDEX('R1. Tree Coefficients'!$G:$G,$F324+1))*($E324^INDEX('R1. Tree Coefficients'!$H:$H,$F324+1)),INDEX('R1. Tree Coefficients'!$D:$D,$F324+1)*($D324^INDEX('R1. Tree Coefficients'!$E:$E,$F324+1))))</f>
        <v/>
      </c>
      <c r="J324" s="14" t="str">
        <f aca="false">IF(OR($D324="",$F324=""),"",IF($E324&gt;0,INDEX('R1. Tree Coefficients'!$F:$F,$F324+2)*($D324^INDEX('R1. Tree Coefficients'!$G:$G,$F324+2))*($E324^INDEX('R1. Tree Coefficients'!$H:$H,$F324+2)),INDEX('R1. Tree Coefficients'!$D:$D,$F324+2)*($D324^INDEX('R1. Tree Coefficients'!$E:$E,$F324+2))))</f>
        <v/>
      </c>
      <c r="K324" s="14" t="str">
        <f aca="false">IF(OR($D324="",$F324=""),"",IF($E324&gt;0,INDEX('R1. Tree Coefficients'!$F:$F,$F324+3)*($D324^INDEX('R1. Tree Coefficients'!$G:$G,$F324+3))*($E324^INDEX('R1. Tree Coefficients'!$H:$H,$F324+3)),INDEX('R1. Tree Coefficients'!$D:$D,$F324+3)*($D324^INDEX('R1. Tree Coefficients'!$E:$E,$F324+3))))</f>
        <v/>
      </c>
      <c r="L324" s="14" t="str">
        <f aca="false">IF($F324="","",IFERROR(SUM($H324:$K324),""))</f>
        <v/>
      </c>
      <c r="M324" s="14" t="str">
        <f aca="false">IF($F324="","",INDEX('R1. Tree Coefficients'!$J:$J,$F324))</f>
        <v/>
      </c>
      <c r="N324" s="14" t="str">
        <f aca="false">IF($L324="","",IF($M324="Deciduous",BGB_RS_DECIDUOUS_a*($L324^BGB_RS_DECIDUOUS_b),IF($M324="Conifers",BGB_RS_CONIFER*$L324,AVERAGE(BGB_RS_DECIDUOUS_a*($L324^BGB_RS_DECIDUOUS_b),BGB_RS_CONIFER*$L324))))</f>
        <v/>
      </c>
      <c r="O324" s="14" t="str">
        <f aca="false">IF($L324="","",$L324+$N324)</f>
        <v/>
      </c>
      <c r="P324" s="14" t="str">
        <f aca="false">IF($O324="","",$O324*CARBON_FRACTION_BIOMASS)</f>
        <v/>
      </c>
      <c r="Q324" s="14" t="str">
        <f aca="false">IF(AND($A324="",$C324=""),"",IF(AND($A324&lt;&gt;"",COUNTIF('1. Plot &amp; Site Log'!$A$5:$A$64,$A324)=0),"Plot ID not in Plot &amp; Site Log — this tree will not reach the summary. ","")&amp;IF($A324="","No Plot ID. ","")&amp;IF(AND($C324&lt;&gt;"",$F324=""),"Species not in the coefficient list — check the spelling against R1. ","")&amp;IF($D324="","No DBH — nothing can be calculated. ","")&amp;IF(AND($D324&lt;&gt;"",$D324&gt;QC_DBH_MAX_CM),"DBH above "&amp;QC_DBH_MAX_CM&amp;" cm — check for a transcription error. ","")&amp;IF($M324="All","Generic species: no published root:shoot applies, so below-ground biomass is the mean of the deciduous and conifer relationships. Choose a species, or Deciduous/Conifers, if you can. ","")&amp;IF(AND($O324&lt;&gt;"",$O324&gt;0,OR($N324/$O324&lt;BGB_FRACTION_MIN,$N324/$O324&gt;BGB_FRACTION_MAX)),"Below-ground share is "&amp;TEXT($N324/$O324,"0%")&amp;", outside the 18–30% the Trees guide describes. ",""))</f>
        <v/>
      </c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4" t="str">
        <f aca="false">IF($C325="","",IFERROR(12+(MATCH($C325,'R1. Tree Coefficients'!$L$12:$L$53,0)-1)*4,""))</f>
        <v/>
      </c>
      <c r="G325" s="14" t="str">
        <f aca="false">IF($F325="","",IF(AND($E325&lt;&gt;"",$E325&gt;0),"DBH + height","DBH only"))</f>
        <v/>
      </c>
      <c r="H325" s="14" t="str">
        <f aca="false">IF(OR($D325="",$F325=""),"",IF($E325&gt;0,INDEX('R1. Tree Coefficients'!$F:$F,$F325+0)*($D325^INDEX('R1. Tree Coefficients'!$G:$G,$F325+0))*($E325^INDEX('R1. Tree Coefficients'!$H:$H,$F325+0)),INDEX('R1. Tree Coefficients'!$D:$D,$F325+0)*($D325^INDEX('R1. Tree Coefficients'!$E:$E,$F325+0))))</f>
        <v/>
      </c>
      <c r="I325" s="14" t="str">
        <f aca="false">IF(OR($D325="",$F325=""),"",IF($E325&gt;0,INDEX('R1. Tree Coefficients'!$F:$F,$F325+1)*($D325^INDEX('R1. Tree Coefficients'!$G:$G,$F325+1))*($E325^INDEX('R1. Tree Coefficients'!$H:$H,$F325+1)),INDEX('R1. Tree Coefficients'!$D:$D,$F325+1)*($D325^INDEX('R1. Tree Coefficients'!$E:$E,$F325+1))))</f>
        <v/>
      </c>
      <c r="J325" s="14" t="str">
        <f aca="false">IF(OR($D325="",$F325=""),"",IF($E325&gt;0,INDEX('R1. Tree Coefficients'!$F:$F,$F325+2)*($D325^INDEX('R1. Tree Coefficients'!$G:$G,$F325+2))*($E325^INDEX('R1. Tree Coefficients'!$H:$H,$F325+2)),INDEX('R1. Tree Coefficients'!$D:$D,$F325+2)*($D325^INDEX('R1. Tree Coefficients'!$E:$E,$F325+2))))</f>
        <v/>
      </c>
      <c r="K325" s="14" t="str">
        <f aca="false">IF(OR($D325="",$F325=""),"",IF($E325&gt;0,INDEX('R1. Tree Coefficients'!$F:$F,$F325+3)*($D325^INDEX('R1. Tree Coefficients'!$G:$G,$F325+3))*($E325^INDEX('R1. Tree Coefficients'!$H:$H,$F325+3)),INDEX('R1. Tree Coefficients'!$D:$D,$F325+3)*($D325^INDEX('R1. Tree Coefficients'!$E:$E,$F325+3))))</f>
        <v/>
      </c>
      <c r="L325" s="14" t="str">
        <f aca="false">IF($F325="","",IFERROR(SUM($H325:$K325),""))</f>
        <v/>
      </c>
      <c r="M325" s="14" t="str">
        <f aca="false">IF($F325="","",INDEX('R1. Tree Coefficients'!$J:$J,$F325))</f>
        <v/>
      </c>
      <c r="N325" s="14" t="str">
        <f aca="false">IF($L325="","",IF($M325="Deciduous",BGB_RS_DECIDUOUS_a*($L325^BGB_RS_DECIDUOUS_b),IF($M325="Conifers",BGB_RS_CONIFER*$L325,AVERAGE(BGB_RS_DECIDUOUS_a*($L325^BGB_RS_DECIDUOUS_b),BGB_RS_CONIFER*$L325))))</f>
        <v/>
      </c>
      <c r="O325" s="14" t="str">
        <f aca="false">IF($L325="","",$L325+$N325)</f>
        <v/>
      </c>
      <c r="P325" s="14" t="str">
        <f aca="false">IF($O325="","",$O325*CARBON_FRACTION_BIOMASS)</f>
        <v/>
      </c>
      <c r="Q325" s="14" t="str">
        <f aca="false">IF(AND($A325="",$C325=""),"",IF(AND($A325&lt;&gt;"",COUNTIF('1. Plot &amp; Site Log'!$A$5:$A$64,$A325)=0),"Plot ID not in Plot &amp; Site Log — this tree will not reach the summary. ","")&amp;IF($A325="","No Plot ID. ","")&amp;IF(AND($C325&lt;&gt;"",$F325=""),"Species not in the coefficient list — check the spelling against R1. ","")&amp;IF($D325="","No DBH — nothing can be calculated. ","")&amp;IF(AND($D325&lt;&gt;"",$D325&gt;QC_DBH_MAX_CM),"DBH above "&amp;QC_DBH_MAX_CM&amp;" cm — check for a transcription error. ","")&amp;IF($M325="All","Generic species: no published root:shoot applies, so below-ground biomass is the mean of the deciduous and conifer relationships. Choose a species, or Deciduous/Conifers, if you can. ","")&amp;IF(AND($O325&lt;&gt;"",$O325&gt;0,OR($N325/$O325&lt;BGB_FRACTION_MIN,$N325/$O325&gt;BGB_FRACTION_MAX)),"Below-ground share is "&amp;TEXT($N325/$O325,"0%")&amp;", outside the 18–30% the Trees guide describes. ",""))</f>
        <v/>
      </c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4" t="str">
        <f aca="false">IF($C326="","",IFERROR(12+(MATCH($C326,'R1. Tree Coefficients'!$L$12:$L$53,0)-1)*4,""))</f>
        <v/>
      </c>
      <c r="G326" s="14" t="str">
        <f aca="false">IF($F326="","",IF(AND($E326&lt;&gt;"",$E326&gt;0),"DBH + height","DBH only"))</f>
        <v/>
      </c>
      <c r="H326" s="14" t="str">
        <f aca="false">IF(OR($D326="",$F326=""),"",IF($E326&gt;0,INDEX('R1. Tree Coefficients'!$F:$F,$F326+0)*($D326^INDEX('R1. Tree Coefficients'!$G:$G,$F326+0))*($E326^INDEX('R1. Tree Coefficients'!$H:$H,$F326+0)),INDEX('R1. Tree Coefficients'!$D:$D,$F326+0)*($D326^INDEX('R1. Tree Coefficients'!$E:$E,$F326+0))))</f>
        <v/>
      </c>
      <c r="I326" s="14" t="str">
        <f aca="false">IF(OR($D326="",$F326=""),"",IF($E326&gt;0,INDEX('R1. Tree Coefficients'!$F:$F,$F326+1)*($D326^INDEX('R1. Tree Coefficients'!$G:$G,$F326+1))*($E326^INDEX('R1. Tree Coefficients'!$H:$H,$F326+1)),INDEX('R1. Tree Coefficients'!$D:$D,$F326+1)*($D326^INDEX('R1. Tree Coefficients'!$E:$E,$F326+1))))</f>
        <v/>
      </c>
      <c r="J326" s="14" t="str">
        <f aca="false">IF(OR($D326="",$F326=""),"",IF($E326&gt;0,INDEX('R1. Tree Coefficients'!$F:$F,$F326+2)*($D326^INDEX('R1. Tree Coefficients'!$G:$G,$F326+2))*($E326^INDEX('R1. Tree Coefficients'!$H:$H,$F326+2)),INDEX('R1. Tree Coefficients'!$D:$D,$F326+2)*($D326^INDEX('R1. Tree Coefficients'!$E:$E,$F326+2))))</f>
        <v/>
      </c>
      <c r="K326" s="14" t="str">
        <f aca="false">IF(OR($D326="",$F326=""),"",IF($E326&gt;0,INDEX('R1. Tree Coefficients'!$F:$F,$F326+3)*($D326^INDEX('R1. Tree Coefficients'!$G:$G,$F326+3))*($E326^INDEX('R1. Tree Coefficients'!$H:$H,$F326+3)),INDEX('R1. Tree Coefficients'!$D:$D,$F326+3)*($D326^INDEX('R1. Tree Coefficients'!$E:$E,$F326+3))))</f>
        <v/>
      </c>
      <c r="L326" s="14" t="str">
        <f aca="false">IF($F326="","",IFERROR(SUM($H326:$K326),""))</f>
        <v/>
      </c>
      <c r="M326" s="14" t="str">
        <f aca="false">IF($F326="","",INDEX('R1. Tree Coefficients'!$J:$J,$F326))</f>
        <v/>
      </c>
      <c r="N326" s="14" t="str">
        <f aca="false">IF($L326="","",IF($M326="Deciduous",BGB_RS_DECIDUOUS_a*($L326^BGB_RS_DECIDUOUS_b),IF($M326="Conifers",BGB_RS_CONIFER*$L326,AVERAGE(BGB_RS_DECIDUOUS_a*($L326^BGB_RS_DECIDUOUS_b),BGB_RS_CONIFER*$L326))))</f>
        <v/>
      </c>
      <c r="O326" s="14" t="str">
        <f aca="false">IF($L326="","",$L326+$N326)</f>
        <v/>
      </c>
      <c r="P326" s="14" t="str">
        <f aca="false">IF($O326="","",$O326*CARBON_FRACTION_BIOMASS)</f>
        <v/>
      </c>
      <c r="Q326" s="14" t="str">
        <f aca="false">IF(AND($A326="",$C326=""),"",IF(AND($A326&lt;&gt;"",COUNTIF('1. Plot &amp; Site Log'!$A$5:$A$64,$A326)=0),"Plot ID not in Plot &amp; Site Log — this tree will not reach the summary. ","")&amp;IF($A326="","No Plot ID. ","")&amp;IF(AND($C326&lt;&gt;"",$F326=""),"Species not in the coefficient list — check the spelling against R1. ","")&amp;IF($D326="","No DBH — nothing can be calculated. ","")&amp;IF(AND($D326&lt;&gt;"",$D326&gt;QC_DBH_MAX_CM),"DBH above "&amp;QC_DBH_MAX_CM&amp;" cm — check for a transcription error. ","")&amp;IF($M326="All","Generic species: no published root:shoot applies, so below-ground biomass is the mean of the deciduous and conifer relationships. Choose a species, or Deciduous/Conifers, if you can. ","")&amp;IF(AND($O326&lt;&gt;"",$O326&gt;0,OR($N326/$O326&lt;BGB_FRACTION_MIN,$N326/$O326&gt;BGB_FRACTION_MAX)),"Below-ground share is "&amp;TEXT($N326/$O326,"0%")&amp;", outside the 18–30% the Trees guide describes. ",""))</f>
        <v/>
      </c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4" t="str">
        <f aca="false">IF($C327="","",IFERROR(12+(MATCH($C327,'R1. Tree Coefficients'!$L$12:$L$53,0)-1)*4,""))</f>
        <v/>
      </c>
      <c r="G327" s="14" t="str">
        <f aca="false">IF($F327="","",IF(AND($E327&lt;&gt;"",$E327&gt;0),"DBH + height","DBH only"))</f>
        <v/>
      </c>
      <c r="H327" s="14" t="str">
        <f aca="false">IF(OR($D327="",$F327=""),"",IF($E327&gt;0,INDEX('R1. Tree Coefficients'!$F:$F,$F327+0)*($D327^INDEX('R1. Tree Coefficients'!$G:$G,$F327+0))*($E327^INDEX('R1. Tree Coefficients'!$H:$H,$F327+0)),INDEX('R1. Tree Coefficients'!$D:$D,$F327+0)*($D327^INDEX('R1. Tree Coefficients'!$E:$E,$F327+0))))</f>
        <v/>
      </c>
      <c r="I327" s="14" t="str">
        <f aca="false">IF(OR($D327="",$F327=""),"",IF($E327&gt;0,INDEX('R1. Tree Coefficients'!$F:$F,$F327+1)*($D327^INDEX('R1. Tree Coefficients'!$G:$G,$F327+1))*($E327^INDEX('R1. Tree Coefficients'!$H:$H,$F327+1)),INDEX('R1. Tree Coefficients'!$D:$D,$F327+1)*($D327^INDEX('R1. Tree Coefficients'!$E:$E,$F327+1))))</f>
        <v/>
      </c>
      <c r="J327" s="14" t="str">
        <f aca="false">IF(OR($D327="",$F327=""),"",IF($E327&gt;0,INDEX('R1. Tree Coefficients'!$F:$F,$F327+2)*($D327^INDEX('R1. Tree Coefficients'!$G:$G,$F327+2))*($E327^INDEX('R1. Tree Coefficients'!$H:$H,$F327+2)),INDEX('R1. Tree Coefficients'!$D:$D,$F327+2)*($D327^INDEX('R1. Tree Coefficients'!$E:$E,$F327+2))))</f>
        <v/>
      </c>
      <c r="K327" s="14" t="str">
        <f aca="false">IF(OR($D327="",$F327=""),"",IF($E327&gt;0,INDEX('R1. Tree Coefficients'!$F:$F,$F327+3)*($D327^INDEX('R1. Tree Coefficients'!$G:$G,$F327+3))*($E327^INDEX('R1. Tree Coefficients'!$H:$H,$F327+3)),INDEX('R1. Tree Coefficients'!$D:$D,$F327+3)*($D327^INDEX('R1. Tree Coefficients'!$E:$E,$F327+3))))</f>
        <v/>
      </c>
      <c r="L327" s="14" t="str">
        <f aca="false">IF($F327="","",IFERROR(SUM($H327:$K327),""))</f>
        <v/>
      </c>
      <c r="M327" s="14" t="str">
        <f aca="false">IF($F327="","",INDEX('R1. Tree Coefficients'!$J:$J,$F327))</f>
        <v/>
      </c>
      <c r="N327" s="14" t="str">
        <f aca="false">IF($L327="","",IF($M327="Deciduous",BGB_RS_DECIDUOUS_a*($L327^BGB_RS_DECIDUOUS_b),IF($M327="Conifers",BGB_RS_CONIFER*$L327,AVERAGE(BGB_RS_DECIDUOUS_a*($L327^BGB_RS_DECIDUOUS_b),BGB_RS_CONIFER*$L327))))</f>
        <v/>
      </c>
      <c r="O327" s="14" t="str">
        <f aca="false">IF($L327="","",$L327+$N327)</f>
        <v/>
      </c>
      <c r="P327" s="14" t="str">
        <f aca="false">IF($O327="","",$O327*CARBON_FRACTION_BIOMASS)</f>
        <v/>
      </c>
      <c r="Q327" s="14" t="str">
        <f aca="false">IF(AND($A327="",$C327=""),"",IF(AND($A327&lt;&gt;"",COUNTIF('1. Plot &amp; Site Log'!$A$5:$A$64,$A327)=0),"Plot ID not in Plot &amp; Site Log — this tree will not reach the summary. ","")&amp;IF($A327="","No Plot ID. ","")&amp;IF(AND($C327&lt;&gt;"",$F327=""),"Species not in the coefficient list — check the spelling against R1. ","")&amp;IF($D327="","No DBH — nothing can be calculated. ","")&amp;IF(AND($D327&lt;&gt;"",$D327&gt;QC_DBH_MAX_CM),"DBH above "&amp;QC_DBH_MAX_CM&amp;" cm — check for a transcription error. ","")&amp;IF($M327="All","Generic species: no published root:shoot applies, so below-ground biomass is the mean of the deciduous and conifer relationships. Choose a species, or Deciduous/Conifers, if you can. ","")&amp;IF(AND($O327&lt;&gt;"",$O327&gt;0,OR($N327/$O327&lt;BGB_FRACTION_MIN,$N327/$O327&gt;BGB_FRACTION_MAX)),"Below-ground share is "&amp;TEXT($N327/$O327,"0%")&amp;", outside the 18–30% the Trees guide describes. ",""))</f>
        <v/>
      </c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4" t="str">
        <f aca="false">IF($C328="","",IFERROR(12+(MATCH($C328,'R1. Tree Coefficients'!$L$12:$L$53,0)-1)*4,""))</f>
        <v/>
      </c>
      <c r="G328" s="14" t="str">
        <f aca="false">IF($F328="","",IF(AND($E328&lt;&gt;"",$E328&gt;0),"DBH + height","DBH only"))</f>
        <v/>
      </c>
      <c r="H328" s="14" t="str">
        <f aca="false">IF(OR($D328="",$F328=""),"",IF($E328&gt;0,INDEX('R1. Tree Coefficients'!$F:$F,$F328+0)*($D328^INDEX('R1. Tree Coefficients'!$G:$G,$F328+0))*($E328^INDEX('R1. Tree Coefficients'!$H:$H,$F328+0)),INDEX('R1. Tree Coefficients'!$D:$D,$F328+0)*($D328^INDEX('R1. Tree Coefficients'!$E:$E,$F328+0))))</f>
        <v/>
      </c>
      <c r="I328" s="14" t="str">
        <f aca="false">IF(OR($D328="",$F328=""),"",IF($E328&gt;0,INDEX('R1. Tree Coefficients'!$F:$F,$F328+1)*($D328^INDEX('R1. Tree Coefficients'!$G:$G,$F328+1))*($E328^INDEX('R1. Tree Coefficients'!$H:$H,$F328+1)),INDEX('R1. Tree Coefficients'!$D:$D,$F328+1)*($D328^INDEX('R1. Tree Coefficients'!$E:$E,$F328+1))))</f>
        <v/>
      </c>
      <c r="J328" s="14" t="str">
        <f aca="false">IF(OR($D328="",$F328=""),"",IF($E328&gt;0,INDEX('R1. Tree Coefficients'!$F:$F,$F328+2)*($D328^INDEX('R1. Tree Coefficients'!$G:$G,$F328+2))*($E328^INDEX('R1. Tree Coefficients'!$H:$H,$F328+2)),INDEX('R1. Tree Coefficients'!$D:$D,$F328+2)*($D328^INDEX('R1. Tree Coefficients'!$E:$E,$F328+2))))</f>
        <v/>
      </c>
      <c r="K328" s="14" t="str">
        <f aca="false">IF(OR($D328="",$F328=""),"",IF($E328&gt;0,INDEX('R1. Tree Coefficients'!$F:$F,$F328+3)*($D328^INDEX('R1. Tree Coefficients'!$G:$G,$F328+3))*($E328^INDEX('R1. Tree Coefficients'!$H:$H,$F328+3)),INDEX('R1. Tree Coefficients'!$D:$D,$F328+3)*($D328^INDEX('R1. Tree Coefficients'!$E:$E,$F328+3))))</f>
        <v/>
      </c>
      <c r="L328" s="14" t="str">
        <f aca="false">IF($F328="","",IFERROR(SUM($H328:$K328),""))</f>
        <v/>
      </c>
      <c r="M328" s="14" t="str">
        <f aca="false">IF($F328="","",INDEX('R1. Tree Coefficients'!$J:$J,$F328))</f>
        <v/>
      </c>
      <c r="N328" s="14" t="str">
        <f aca="false">IF($L328="","",IF($M328="Deciduous",BGB_RS_DECIDUOUS_a*($L328^BGB_RS_DECIDUOUS_b),IF($M328="Conifers",BGB_RS_CONIFER*$L328,AVERAGE(BGB_RS_DECIDUOUS_a*($L328^BGB_RS_DECIDUOUS_b),BGB_RS_CONIFER*$L328))))</f>
        <v/>
      </c>
      <c r="O328" s="14" t="str">
        <f aca="false">IF($L328="","",$L328+$N328)</f>
        <v/>
      </c>
      <c r="P328" s="14" t="str">
        <f aca="false">IF($O328="","",$O328*CARBON_FRACTION_BIOMASS)</f>
        <v/>
      </c>
      <c r="Q328" s="14" t="str">
        <f aca="false">IF(AND($A328="",$C328=""),"",IF(AND($A328&lt;&gt;"",COUNTIF('1. Plot &amp; Site Log'!$A$5:$A$64,$A328)=0),"Plot ID not in Plot &amp; Site Log — this tree will not reach the summary. ","")&amp;IF($A328="","No Plot ID. ","")&amp;IF(AND($C328&lt;&gt;"",$F328=""),"Species not in the coefficient list — check the spelling against R1. ","")&amp;IF($D328="","No DBH — nothing can be calculated. ","")&amp;IF(AND($D328&lt;&gt;"",$D328&gt;QC_DBH_MAX_CM),"DBH above "&amp;QC_DBH_MAX_CM&amp;" cm — check for a transcription error. ","")&amp;IF($M328="All","Generic species: no published root:shoot applies, so below-ground biomass is the mean of the deciduous and conifer relationships. Choose a species, or Deciduous/Conifers, if you can. ","")&amp;IF(AND($O328&lt;&gt;"",$O328&gt;0,OR($N328/$O328&lt;BGB_FRACTION_MIN,$N328/$O328&gt;BGB_FRACTION_MAX)),"Below-ground share is "&amp;TEXT($N328/$O328,"0%")&amp;", outside the 18–30% the Trees guide describes. ",""))</f>
        <v/>
      </c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4" t="str">
        <f aca="false">IF($C329="","",IFERROR(12+(MATCH($C329,'R1. Tree Coefficients'!$L$12:$L$53,0)-1)*4,""))</f>
        <v/>
      </c>
      <c r="G329" s="14" t="str">
        <f aca="false">IF($F329="","",IF(AND($E329&lt;&gt;"",$E329&gt;0),"DBH + height","DBH only"))</f>
        <v/>
      </c>
      <c r="H329" s="14" t="str">
        <f aca="false">IF(OR($D329="",$F329=""),"",IF($E329&gt;0,INDEX('R1. Tree Coefficients'!$F:$F,$F329+0)*($D329^INDEX('R1. Tree Coefficients'!$G:$G,$F329+0))*($E329^INDEX('R1. Tree Coefficients'!$H:$H,$F329+0)),INDEX('R1. Tree Coefficients'!$D:$D,$F329+0)*($D329^INDEX('R1. Tree Coefficients'!$E:$E,$F329+0))))</f>
        <v/>
      </c>
      <c r="I329" s="14" t="str">
        <f aca="false">IF(OR($D329="",$F329=""),"",IF($E329&gt;0,INDEX('R1. Tree Coefficients'!$F:$F,$F329+1)*($D329^INDEX('R1. Tree Coefficients'!$G:$G,$F329+1))*($E329^INDEX('R1. Tree Coefficients'!$H:$H,$F329+1)),INDEX('R1. Tree Coefficients'!$D:$D,$F329+1)*($D329^INDEX('R1. Tree Coefficients'!$E:$E,$F329+1))))</f>
        <v/>
      </c>
      <c r="J329" s="14" t="str">
        <f aca="false">IF(OR($D329="",$F329=""),"",IF($E329&gt;0,INDEX('R1. Tree Coefficients'!$F:$F,$F329+2)*($D329^INDEX('R1. Tree Coefficients'!$G:$G,$F329+2))*($E329^INDEX('R1. Tree Coefficients'!$H:$H,$F329+2)),INDEX('R1. Tree Coefficients'!$D:$D,$F329+2)*($D329^INDEX('R1. Tree Coefficients'!$E:$E,$F329+2))))</f>
        <v/>
      </c>
      <c r="K329" s="14" t="str">
        <f aca="false">IF(OR($D329="",$F329=""),"",IF($E329&gt;0,INDEX('R1. Tree Coefficients'!$F:$F,$F329+3)*($D329^INDEX('R1. Tree Coefficients'!$G:$G,$F329+3))*($E329^INDEX('R1. Tree Coefficients'!$H:$H,$F329+3)),INDEX('R1. Tree Coefficients'!$D:$D,$F329+3)*($D329^INDEX('R1. Tree Coefficients'!$E:$E,$F329+3))))</f>
        <v/>
      </c>
      <c r="L329" s="14" t="str">
        <f aca="false">IF($F329="","",IFERROR(SUM($H329:$K329),""))</f>
        <v/>
      </c>
      <c r="M329" s="14" t="str">
        <f aca="false">IF($F329="","",INDEX('R1. Tree Coefficients'!$J:$J,$F329))</f>
        <v/>
      </c>
      <c r="N329" s="14" t="str">
        <f aca="false">IF($L329="","",IF($M329="Deciduous",BGB_RS_DECIDUOUS_a*($L329^BGB_RS_DECIDUOUS_b),IF($M329="Conifers",BGB_RS_CONIFER*$L329,AVERAGE(BGB_RS_DECIDUOUS_a*($L329^BGB_RS_DECIDUOUS_b),BGB_RS_CONIFER*$L329))))</f>
        <v/>
      </c>
      <c r="O329" s="14" t="str">
        <f aca="false">IF($L329="","",$L329+$N329)</f>
        <v/>
      </c>
      <c r="P329" s="14" t="str">
        <f aca="false">IF($O329="","",$O329*CARBON_FRACTION_BIOMASS)</f>
        <v/>
      </c>
      <c r="Q329" s="14" t="str">
        <f aca="false">IF(AND($A329="",$C329=""),"",IF(AND($A329&lt;&gt;"",COUNTIF('1. Plot &amp; Site Log'!$A$5:$A$64,$A329)=0),"Plot ID not in Plot &amp; Site Log — this tree will not reach the summary. ","")&amp;IF($A329="","No Plot ID. ","")&amp;IF(AND($C329&lt;&gt;"",$F329=""),"Species not in the coefficient list — check the spelling against R1. ","")&amp;IF($D329="","No DBH — nothing can be calculated. ","")&amp;IF(AND($D329&lt;&gt;"",$D329&gt;QC_DBH_MAX_CM),"DBH above "&amp;QC_DBH_MAX_CM&amp;" cm — check for a transcription error. ","")&amp;IF($M329="All","Generic species: no published root:shoot applies, so below-ground biomass is the mean of the deciduous and conifer relationships. Choose a species, or Deciduous/Conifers, if you can. ","")&amp;IF(AND($O329&lt;&gt;"",$O329&gt;0,OR($N329/$O329&lt;BGB_FRACTION_MIN,$N329/$O329&gt;BGB_FRACTION_MAX)),"Below-ground share is "&amp;TEXT($N329/$O329,"0%")&amp;", outside the 18–30% the Trees guide describes. ",""))</f>
        <v/>
      </c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4" t="str">
        <f aca="false">IF($C330="","",IFERROR(12+(MATCH($C330,'R1. Tree Coefficients'!$L$12:$L$53,0)-1)*4,""))</f>
        <v/>
      </c>
      <c r="G330" s="14" t="str">
        <f aca="false">IF($F330="","",IF(AND($E330&lt;&gt;"",$E330&gt;0),"DBH + height","DBH only"))</f>
        <v/>
      </c>
      <c r="H330" s="14" t="str">
        <f aca="false">IF(OR($D330="",$F330=""),"",IF($E330&gt;0,INDEX('R1. Tree Coefficients'!$F:$F,$F330+0)*($D330^INDEX('R1. Tree Coefficients'!$G:$G,$F330+0))*($E330^INDEX('R1. Tree Coefficients'!$H:$H,$F330+0)),INDEX('R1. Tree Coefficients'!$D:$D,$F330+0)*($D330^INDEX('R1. Tree Coefficients'!$E:$E,$F330+0))))</f>
        <v/>
      </c>
      <c r="I330" s="14" t="str">
        <f aca="false">IF(OR($D330="",$F330=""),"",IF($E330&gt;0,INDEX('R1. Tree Coefficients'!$F:$F,$F330+1)*($D330^INDEX('R1. Tree Coefficients'!$G:$G,$F330+1))*($E330^INDEX('R1. Tree Coefficients'!$H:$H,$F330+1)),INDEX('R1. Tree Coefficients'!$D:$D,$F330+1)*($D330^INDEX('R1. Tree Coefficients'!$E:$E,$F330+1))))</f>
        <v/>
      </c>
      <c r="J330" s="14" t="str">
        <f aca="false">IF(OR($D330="",$F330=""),"",IF($E330&gt;0,INDEX('R1. Tree Coefficients'!$F:$F,$F330+2)*($D330^INDEX('R1. Tree Coefficients'!$G:$G,$F330+2))*($E330^INDEX('R1. Tree Coefficients'!$H:$H,$F330+2)),INDEX('R1. Tree Coefficients'!$D:$D,$F330+2)*($D330^INDEX('R1. Tree Coefficients'!$E:$E,$F330+2))))</f>
        <v/>
      </c>
      <c r="K330" s="14" t="str">
        <f aca="false">IF(OR($D330="",$F330=""),"",IF($E330&gt;0,INDEX('R1. Tree Coefficients'!$F:$F,$F330+3)*($D330^INDEX('R1. Tree Coefficients'!$G:$G,$F330+3))*($E330^INDEX('R1. Tree Coefficients'!$H:$H,$F330+3)),INDEX('R1. Tree Coefficients'!$D:$D,$F330+3)*($D330^INDEX('R1. Tree Coefficients'!$E:$E,$F330+3))))</f>
        <v/>
      </c>
      <c r="L330" s="14" t="str">
        <f aca="false">IF($F330="","",IFERROR(SUM($H330:$K330),""))</f>
        <v/>
      </c>
      <c r="M330" s="14" t="str">
        <f aca="false">IF($F330="","",INDEX('R1. Tree Coefficients'!$J:$J,$F330))</f>
        <v/>
      </c>
      <c r="N330" s="14" t="str">
        <f aca="false">IF($L330="","",IF($M330="Deciduous",BGB_RS_DECIDUOUS_a*($L330^BGB_RS_DECIDUOUS_b),IF($M330="Conifers",BGB_RS_CONIFER*$L330,AVERAGE(BGB_RS_DECIDUOUS_a*($L330^BGB_RS_DECIDUOUS_b),BGB_RS_CONIFER*$L330))))</f>
        <v/>
      </c>
      <c r="O330" s="14" t="str">
        <f aca="false">IF($L330="","",$L330+$N330)</f>
        <v/>
      </c>
      <c r="P330" s="14" t="str">
        <f aca="false">IF($O330="","",$O330*CARBON_FRACTION_BIOMASS)</f>
        <v/>
      </c>
      <c r="Q330" s="14" t="str">
        <f aca="false">IF(AND($A330="",$C330=""),"",IF(AND($A330&lt;&gt;"",COUNTIF('1. Plot &amp; Site Log'!$A$5:$A$64,$A330)=0),"Plot ID not in Plot &amp; Site Log — this tree will not reach the summary. ","")&amp;IF($A330="","No Plot ID. ","")&amp;IF(AND($C330&lt;&gt;"",$F330=""),"Species not in the coefficient list — check the spelling against R1. ","")&amp;IF($D330="","No DBH — nothing can be calculated. ","")&amp;IF(AND($D330&lt;&gt;"",$D330&gt;QC_DBH_MAX_CM),"DBH above "&amp;QC_DBH_MAX_CM&amp;" cm — check for a transcription error. ","")&amp;IF($M330="All","Generic species: no published root:shoot applies, so below-ground biomass is the mean of the deciduous and conifer relationships. Choose a species, or Deciduous/Conifers, if you can. ","")&amp;IF(AND($O330&lt;&gt;"",$O330&gt;0,OR($N330/$O330&lt;BGB_FRACTION_MIN,$N330/$O330&gt;BGB_FRACTION_MAX)),"Below-ground share is "&amp;TEXT($N330/$O330,"0%")&amp;", outside the 18–30% the Trees guide describes. ",""))</f>
        <v/>
      </c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4" t="str">
        <f aca="false">IF($C331="","",IFERROR(12+(MATCH($C331,'R1. Tree Coefficients'!$L$12:$L$53,0)-1)*4,""))</f>
        <v/>
      </c>
      <c r="G331" s="14" t="str">
        <f aca="false">IF($F331="","",IF(AND($E331&lt;&gt;"",$E331&gt;0),"DBH + height","DBH only"))</f>
        <v/>
      </c>
      <c r="H331" s="14" t="str">
        <f aca="false">IF(OR($D331="",$F331=""),"",IF($E331&gt;0,INDEX('R1. Tree Coefficients'!$F:$F,$F331+0)*($D331^INDEX('R1. Tree Coefficients'!$G:$G,$F331+0))*($E331^INDEX('R1. Tree Coefficients'!$H:$H,$F331+0)),INDEX('R1. Tree Coefficients'!$D:$D,$F331+0)*($D331^INDEX('R1. Tree Coefficients'!$E:$E,$F331+0))))</f>
        <v/>
      </c>
      <c r="I331" s="14" t="str">
        <f aca="false">IF(OR($D331="",$F331=""),"",IF($E331&gt;0,INDEX('R1. Tree Coefficients'!$F:$F,$F331+1)*($D331^INDEX('R1. Tree Coefficients'!$G:$G,$F331+1))*($E331^INDEX('R1. Tree Coefficients'!$H:$H,$F331+1)),INDEX('R1. Tree Coefficients'!$D:$D,$F331+1)*($D331^INDEX('R1. Tree Coefficients'!$E:$E,$F331+1))))</f>
        <v/>
      </c>
      <c r="J331" s="14" t="str">
        <f aca="false">IF(OR($D331="",$F331=""),"",IF($E331&gt;0,INDEX('R1. Tree Coefficients'!$F:$F,$F331+2)*($D331^INDEX('R1. Tree Coefficients'!$G:$G,$F331+2))*($E331^INDEX('R1. Tree Coefficients'!$H:$H,$F331+2)),INDEX('R1. Tree Coefficients'!$D:$D,$F331+2)*($D331^INDEX('R1. Tree Coefficients'!$E:$E,$F331+2))))</f>
        <v/>
      </c>
      <c r="K331" s="14" t="str">
        <f aca="false">IF(OR($D331="",$F331=""),"",IF($E331&gt;0,INDEX('R1. Tree Coefficients'!$F:$F,$F331+3)*($D331^INDEX('R1. Tree Coefficients'!$G:$G,$F331+3))*($E331^INDEX('R1. Tree Coefficients'!$H:$H,$F331+3)),INDEX('R1. Tree Coefficients'!$D:$D,$F331+3)*($D331^INDEX('R1. Tree Coefficients'!$E:$E,$F331+3))))</f>
        <v/>
      </c>
      <c r="L331" s="14" t="str">
        <f aca="false">IF($F331="","",IFERROR(SUM($H331:$K331),""))</f>
        <v/>
      </c>
      <c r="M331" s="14" t="str">
        <f aca="false">IF($F331="","",INDEX('R1. Tree Coefficients'!$J:$J,$F331))</f>
        <v/>
      </c>
      <c r="N331" s="14" t="str">
        <f aca="false">IF($L331="","",IF($M331="Deciduous",BGB_RS_DECIDUOUS_a*($L331^BGB_RS_DECIDUOUS_b),IF($M331="Conifers",BGB_RS_CONIFER*$L331,AVERAGE(BGB_RS_DECIDUOUS_a*($L331^BGB_RS_DECIDUOUS_b),BGB_RS_CONIFER*$L331))))</f>
        <v/>
      </c>
      <c r="O331" s="14" t="str">
        <f aca="false">IF($L331="","",$L331+$N331)</f>
        <v/>
      </c>
      <c r="P331" s="14" t="str">
        <f aca="false">IF($O331="","",$O331*CARBON_FRACTION_BIOMASS)</f>
        <v/>
      </c>
      <c r="Q331" s="14" t="str">
        <f aca="false">IF(AND($A331="",$C331=""),"",IF(AND($A331&lt;&gt;"",COUNTIF('1. Plot &amp; Site Log'!$A$5:$A$64,$A331)=0),"Plot ID not in Plot &amp; Site Log — this tree will not reach the summary. ","")&amp;IF($A331="","No Plot ID. ","")&amp;IF(AND($C331&lt;&gt;"",$F331=""),"Species not in the coefficient list — check the spelling against R1. ","")&amp;IF($D331="","No DBH — nothing can be calculated. ","")&amp;IF(AND($D331&lt;&gt;"",$D331&gt;QC_DBH_MAX_CM),"DBH above "&amp;QC_DBH_MAX_CM&amp;" cm — check for a transcription error. ","")&amp;IF($M331="All","Generic species: no published root:shoot applies, so below-ground biomass is the mean of the deciduous and conifer relationships. Choose a species, or Deciduous/Conifers, if you can. ","")&amp;IF(AND($O331&lt;&gt;"",$O331&gt;0,OR($N331/$O331&lt;BGB_FRACTION_MIN,$N331/$O331&gt;BGB_FRACTION_MAX)),"Below-ground share is "&amp;TEXT($N331/$O331,"0%")&amp;", outside the 18–30% the Trees guide describes. ",""))</f>
        <v/>
      </c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4" t="str">
        <f aca="false">IF($C332="","",IFERROR(12+(MATCH($C332,'R1. Tree Coefficients'!$L$12:$L$53,0)-1)*4,""))</f>
        <v/>
      </c>
      <c r="G332" s="14" t="str">
        <f aca="false">IF($F332="","",IF(AND($E332&lt;&gt;"",$E332&gt;0),"DBH + height","DBH only"))</f>
        <v/>
      </c>
      <c r="H332" s="14" t="str">
        <f aca="false">IF(OR($D332="",$F332=""),"",IF($E332&gt;0,INDEX('R1. Tree Coefficients'!$F:$F,$F332+0)*($D332^INDEX('R1. Tree Coefficients'!$G:$G,$F332+0))*($E332^INDEX('R1. Tree Coefficients'!$H:$H,$F332+0)),INDEX('R1. Tree Coefficients'!$D:$D,$F332+0)*($D332^INDEX('R1. Tree Coefficients'!$E:$E,$F332+0))))</f>
        <v/>
      </c>
      <c r="I332" s="14" t="str">
        <f aca="false">IF(OR($D332="",$F332=""),"",IF($E332&gt;0,INDEX('R1. Tree Coefficients'!$F:$F,$F332+1)*($D332^INDEX('R1. Tree Coefficients'!$G:$G,$F332+1))*($E332^INDEX('R1. Tree Coefficients'!$H:$H,$F332+1)),INDEX('R1. Tree Coefficients'!$D:$D,$F332+1)*($D332^INDEX('R1. Tree Coefficients'!$E:$E,$F332+1))))</f>
        <v/>
      </c>
      <c r="J332" s="14" t="str">
        <f aca="false">IF(OR($D332="",$F332=""),"",IF($E332&gt;0,INDEX('R1. Tree Coefficients'!$F:$F,$F332+2)*($D332^INDEX('R1. Tree Coefficients'!$G:$G,$F332+2))*($E332^INDEX('R1. Tree Coefficients'!$H:$H,$F332+2)),INDEX('R1. Tree Coefficients'!$D:$D,$F332+2)*($D332^INDEX('R1. Tree Coefficients'!$E:$E,$F332+2))))</f>
        <v/>
      </c>
      <c r="K332" s="14" t="str">
        <f aca="false">IF(OR($D332="",$F332=""),"",IF($E332&gt;0,INDEX('R1. Tree Coefficients'!$F:$F,$F332+3)*($D332^INDEX('R1. Tree Coefficients'!$G:$G,$F332+3))*($E332^INDEX('R1. Tree Coefficients'!$H:$H,$F332+3)),INDEX('R1. Tree Coefficients'!$D:$D,$F332+3)*($D332^INDEX('R1. Tree Coefficients'!$E:$E,$F332+3))))</f>
        <v/>
      </c>
      <c r="L332" s="14" t="str">
        <f aca="false">IF($F332="","",IFERROR(SUM($H332:$K332),""))</f>
        <v/>
      </c>
      <c r="M332" s="14" t="str">
        <f aca="false">IF($F332="","",INDEX('R1. Tree Coefficients'!$J:$J,$F332))</f>
        <v/>
      </c>
      <c r="N332" s="14" t="str">
        <f aca="false">IF($L332="","",IF($M332="Deciduous",BGB_RS_DECIDUOUS_a*($L332^BGB_RS_DECIDUOUS_b),IF($M332="Conifers",BGB_RS_CONIFER*$L332,AVERAGE(BGB_RS_DECIDUOUS_a*($L332^BGB_RS_DECIDUOUS_b),BGB_RS_CONIFER*$L332))))</f>
        <v/>
      </c>
      <c r="O332" s="14" t="str">
        <f aca="false">IF($L332="","",$L332+$N332)</f>
        <v/>
      </c>
      <c r="P332" s="14" t="str">
        <f aca="false">IF($O332="","",$O332*CARBON_FRACTION_BIOMASS)</f>
        <v/>
      </c>
      <c r="Q332" s="14" t="str">
        <f aca="false">IF(AND($A332="",$C332=""),"",IF(AND($A332&lt;&gt;"",COUNTIF('1. Plot &amp; Site Log'!$A$5:$A$64,$A332)=0),"Plot ID not in Plot &amp; Site Log — this tree will not reach the summary. ","")&amp;IF($A332="","No Plot ID. ","")&amp;IF(AND($C332&lt;&gt;"",$F332=""),"Species not in the coefficient list — check the spelling against R1. ","")&amp;IF($D332="","No DBH — nothing can be calculated. ","")&amp;IF(AND($D332&lt;&gt;"",$D332&gt;QC_DBH_MAX_CM),"DBH above "&amp;QC_DBH_MAX_CM&amp;" cm — check for a transcription error. ","")&amp;IF($M332="All","Generic species: no published root:shoot applies, so below-ground biomass is the mean of the deciduous and conifer relationships. Choose a species, or Deciduous/Conifers, if you can. ","")&amp;IF(AND($O332&lt;&gt;"",$O332&gt;0,OR($N332/$O332&lt;BGB_FRACTION_MIN,$N332/$O332&gt;BGB_FRACTION_MAX)),"Below-ground share is "&amp;TEXT($N332/$O332,"0%")&amp;", outside the 18–30% the Trees guide describes. ",""))</f>
        <v/>
      </c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4" t="str">
        <f aca="false">IF($C333="","",IFERROR(12+(MATCH($C333,'R1. Tree Coefficients'!$L$12:$L$53,0)-1)*4,""))</f>
        <v/>
      </c>
      <c r="G333" s="14" t="str">
        <f aca="false">IF($F333="","",IF(AND($E333&lt;&gt;"",$E333&gt;0),"DBH + height","DBH only"))</f>
        <v/>
      </c>
      <c r="H333" s="14" t="str">
        <f aca="false">IF(OR($D333="",$F333=""),"",IF($E333&gt;0,INDEX('R1. Tree Coefficients'!$F:$F,$F333+0)*($D333^INDEX('R1. Tree Coefficients'!$G:$G,$F333+0))*($E333^INDEX('R1. Tree Coefficients'!$H:$H,$F333+0)),INDEX('R1. Tree Coefficients'!$D:$D,$F333+0)*($D333^INDEX('R1. Tree Coefficients'!$E:$E,$F333+0))))</f>
        <v/>
      </c>
      <c r="I333" s="14" t="str">
        <f aca="false">IF(OR($D333="",$F333=""),"",IF($E333&gt;0,INDEX('R1. Tree Coefficients'!$F:$F,$F333+1)*($D333^INDEX('R1. Tree Coefficients'!$G:$G,$F333+1))*($E333^INDEX('R1. Tree Coefficients'!$H:$H,$F333+1)),INDEX('R1. Tree Coefficients'!$D:$D,$F333+1)*($D333^INDEX('R1. Tree Coefficients'!$E:$E,$F333+1))))</f>
        <v/>
      </c>
      <c r="J333" s="14" t="str">
        <f aca="false">IF(OR($D333="",$F333=""),"",IF($E333&gt;0,INDEX('R1. Tree Coefficients'!$F:$F,$F333+2)*($D333^INDEX('R1. Tree Coefficients'!$G:$G,$F333+2))*($E333^INDEX('R1. Tree Coefficients'!$H:$H,$F333+2)),INDEX('R1. Tree Coefficients'!$D:$D,$F333+2)*($D333^INDEX('R1. Tree Coefficients'!$E:$E,$F333+2))))</f>
        <v/>
      </c>
      <c r="K333" s="14" t="str">
        <f aca="false">IF(OR($D333="",$F333=""),"",IF($E333&gt;0,INDEX('R1. Tree Coefficients'!$F:$F,$F333+3)*($D333^INDEX('R1. Tree Coefficients'!$G:$G,$F333+3))*($E333^INDEX('R1. Tree Coefficients'!$H:$H,$F333+3)),INDEX('R1. Tree Coefficients'!$D:$D,$F333+3)*($D333^INDEX('R1. Tree Coefficients'!$E:$E,$F333+3))))</f>
        <v/>
      </c>
      <c r="L333" s="14" t="str">
        <f aca="false">IF($F333="","",IFERROR(SUM($H333:$K333),""))</f>
        <v/>
      </c>
      <c r="M333" s="14" t="str">
        <f aca="false">IF($F333="","",INDEX('R1. Tree Coefficients'!$J:$J,$F333))</f>
        <v/>
      </c>
      <c r="N333" s="14" t="str">
        <f aca="false">IF($L333="","",IF($M333="Deciduous",BGB_RS_DECIDUOUS_a*($L333^BGB_RS_DECIDUOUS_b),IF($M333="Conifers",BGB_RS_CONIFER*$L333,AVERAGE(BGB_RS_DECIDUOUS_a*($L333^BGB_RS_DECIDUOUS_b),BGB_RS_CONIFER*$L333))))</f>
        <v/>
      </c>
      <c r="O333" s="14" t="str">
        <f aca="false">IF($L333="","",$L333+$N333)</f>
        <v/>
      </c>
      <c r="P333" s="14" t="str">
        <f aca="false">IF($O333="","",$O333*CARBON_FRACTION_BIOMASS)</f>
        <v/>
      </c>
      <c r="Q333" s="14" t="str">
        <f aca="false">IF(AND($A333="",$C333=""),"",IF(AND($A333&lt;&gt;"",COUNTIF('1. Plot &amp; Site Log'!$A$5:$A$64,$A333)=0),"Plot ID not in Plot &amp; Site Log — this tree will not reach the summary. ","")&amp;IF($A333="","No Plot ID. ","")&amp;IF(AND($C333&lt;&gt;"",$F333=""),"Species not in the coefficient list — check the spelling against R1. ","")&amp;IF($D333="","No DBH — nothing can be calculated. ","")&amp;IF(AND($D333&lt;&gt;"",$D333&gt;QC_DBH_MAX_CM),"DBH above "&amp;QC_DBH_MAX_CM&amp;" cm — check for a transcription error. ","")&amp;IF($M333="All","Generic species: no published root:shoot applies, so below-ground biomass is the mean of the deciduous and conifer relationships. Choose a species, or Deciduous/Conifers, if you can. ","")&amp;IF(AND($O333&lt;&gt;"",$O333&gt;0,OR($N333/$O333&lt;BGB_FRACTION_MIN,$N333/$O333&gt;BGB_FRACTION_MAX)),"Below-ground share is "&amp;TEXT($N333/$O333,"0%")&amp;", outside the 18–30% the Trees guide describes. ",""))</f>
        <v/>
      </c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4" t="str">
        <f aca="false">IF($C334="","",IFERROR(12+(MATCH($C334,'R1. Tree Coefficients'!$L$12:$L$53,0)-1)*4,""))</f>
        <v/>
      </c>
      <c r="G334" s="14" t="str">
        <f aca="false">IF($F334="","",IF(AND($E334&lt;&gt;"",$E334&gt;0),"DBH + height","DBH only"))</f>
        <v/>
      </c>
      <c r="H334" s="14" t="str">
        <f aca="false">IF(OR($D334="",$F334=""),"",IF($E334&gt;0,INDEX('R1. Tree Coefficients'!$F:$F,$F334+0)*($D334^INDEX('R1. Tree Coefficients'!$G:$G,$F334+0))*($E334^INDEX('R1. Tree Coefficients'!$H:$H,$F334+0)),INDEX('R1. Tree Coefficients'!$D:$D,$F334+0)*($D334^INDEX('R1. Tree Coefficients'!$E:$E,$F334+0))))</f>
        <v/>
      </c>
      <c r="I334" s="14" t="str">
        <f aca="false">IF(OR($D334="",$F334=""),"",IF($E334&gt;0,INDEX('R1. Tree Coefficients'!$F:$F,$F334+1)*($D334^INDEX('R1. Tree Coefficients'!$G:$G,$F334+1))*($E334^INDEX('R1. Tree Coefficients'!$H:$H,$F334+1)),INDEX('R1. Tree Coefficients'!$D:$D,$F334+1)*($D334^INDEX('R1. Tree Coefficients'!$E:$E,$F334+1))))</f>
        <v/>
      </c>
      <c r="J334" s="14" t="str">
        <f aca="false">IF(OR($D334="",$F334=""),"",IF($E334&gt;0,INDEX('R1. Tree Coefficients'!$F:$F,$F334+2)*($D334^INDEX('R1. Tree Coefficients'!$G:$G,$F334+2))*($E334^INDEX('R1. Tree Coefficients'!$H:$H,$F334+2)),INDEX('R1. Tree Coefficients'!$D:$D,$F334+2)*($D334^INDEX('R1. Tree Coefficients'!$E:$E,$F334+2))))</f>
        <v/>
      </c>
      <c r="K334" s="14" t="str">
        <f aca="false">IF(OR($D334="",$F334=""),"",IF($E334&gt;0,INDEX('R1. Tree Coefficients'!$F:$F,$F334+3)*($D334^INDEX('R1. Tree Coefficients'!$G:$G,$F334+3))*($E334^INDEX('R1. Tree Coefficients'!$H:$H,$F334+3)),INDEX('R1. Tree Coefficients'!$D:$D,$F334+3)*($D334^INDEX('R1. Tree Coefficients'!$E:$E,$F334+3))))</f>
        <v/>
      </c>
      <c r="L334" s="14" t="str">
        <f aca="false">IF($F334="","",IFERROR(SUM($H334:$K334),""))</f>
        <v/>
      </c>
      <c r="M334" s="14" t="str">
        <f aca="false">IF($F334="","",INDEX('R1. Tree Coefficients'!$J:$J,$F334))</f>
        <v/>
      </c>
      <c r="N334" s="14" t="str">
        <f aca="false">IF($L334="","",IF($M334="Deciduous",BGB_RS_DECIDUOUS_a*($L334^BGB_RS_DECIDUOUS_b),IF($M334="Conifers",BGB_RS_CONIFER*$L334,AVERAGE(BGB_RS_DECIDUOUS_a*($L334^BGB_RS_DECIDUOUS_b),BGB_RS_CONIFER*$L334))))</f>
        <v/>
      </c>
      <c r="O334" s="14" t="str">
        <f aca="false">IF($L334="","",$L334+$N334)</f>
        <v/>
      </c>
      <c r="P334" s="14" t="str">
        <f aca="false">IF($O334="","",$O334*CARBON_FRACTION_BIOMASS)</f>
        <v/>
      </c>
      <c r="Q334" s="14" t="str">
        <f aca="false">IF(AND($A334="",$C334=""),"",IF(AND($A334&lt;&gt;"",COUNTIF('1. Plot &amp; Site Log'!$A$5:$A$64,$A334)=0),"Plot ID not in Plot &amp; Site Log — this tree will not reach the summary. ","")&amp;IF($A334="","No Plot ID. ","")&amp;IF(AND($C334&lt;&gt;"",$F334=""),"Species not in the coefficient list — check the spelling against R1. ","")&amp;IF($D334="","No DBH — nothing can be calculated. ","")&amp;IF(AND($D334&lt;&gt;"",$D334&gt;QC_DBH_MAX_CM),"DBH above "&amp;QC_DBH_MAX_CM&amp;" cm — check for a transcription error. ","")&amp;IF($M334="All","Generic species: no published root:shoot applies, so below-ground biomass is the mean of the deciduous and conifer relationships. Choose a species, or Deciduous/Conifers, if you can. ","")&amp;IF(AND($O334&lt;&gt;"",$O334&gt;0,OR($N334/$O334&lt;BGB_FRACTION_MIN,$N334/$O334&gt;BGB_FRACTION_MAX)),"Below-ground share is "&amp;TEXT($N334/$O334,"0%")&amp;", outside the 18–30% the Trees guide describes. ",""))</f>
        <v/>
      </c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4" t="str">
        <f aca="false">IF($C335="","",IFERROR(12+(MATCH($C335,'R1. Tree Coefficients'!$L$12:$L$53,0)-1)*4,""))</f>
        <v/>
      </c>
      <c r="G335" s="14" t="str">
        <f aca="false">IF($F335="","",IF(AND($E335&lt;&gt;"",$E335&gt;0),"DBH + height","DBH only"))</f>
        <v/>
      </c>
      <c r="H335" s="14" t="str">
        <f aca="false">IF(OR($D335="",$F335=""),"",IF($E335&gt;0,INDEX('R1. Tree Coefficients'!$F:$F,$F335+0)*($D335^INDEX('R1. Tree Coefficients'!$G:$G,$F335+0))*($E335^INDEX('R1. Tree Coefficients'!$H:$H,$F335+0)),INDEX('R1. Tree Coefficients'!$D:$D,$F335+0)*($D335^INDEX('R1. Tree Coefficients'!$E:$E,$F335+0))))</f>
        <v/>
      </c>
      <c r="I335" s="14" t="str">
        <f aca="false">IF(OR($D335="",$F335=""),"",IF($E335&gt;0,INDEX('R1. Tree Coefficients'!$F:$F,$F335+1)*($D335^INDEX('R1. Tree Coefficients'!$G:$G,$F335+1))*($E335^INDEX('R1. Tree Coefficients'!$H:$H,$F335+1)),INDEX('R1. Tree Coefficients'!$D:$D,$F335+1)*($D335^INDEX('R1. Tree Coefficients'!$E:$E,$F335+1))))</f>
        <v/>
      </c>
      <c r="J335" s="14" t="str">
        <f aca="false">IF(OR($D335="",$F335=""),"",IF($E335&gt;0,INDEX('R1. Tree Coefficients'!$F:$F,$F335+2)*($D335^INDEX('R1. Tree Coefficients'!$G:$G,$F335+2))*($E335^INDEX('R1. Tree Coefficients'!$H:$H,$F335+2)),INDEX('R1. Tree Coefficients'!$D:$D,$F335+2)*($D335^INDEX('R1. Tree Coefficients'!$E:$E,$F335+2))))</f>
        <v/>
      </c>
      <c r="K335" s="14" t="str">
        <f aca="false">IF(OR($D335="",$F335=""),"",IF($E335&gt;0,INDEX('R1. Tree Coefficients'!$F:$F,$F335+3)*($D335^INDEX('R1. Tree Coefficients'!$G:$G,$F335+3))*($E335^INDEX('R1. Tree Coefficients'!$H:$H,$F335+3)),INDEX('R1. Tree Coefficients'!$D:$D,$F335+3)*($D335^INDEX('R1. Tree Coefficients'!$E:$E,$F335+3))))</f>
        <v/>
      </c>
      <c r="L335" s="14" t="str">
        <f aca="false">IF($F335="","",IFERROR(SUM($H335:$K335),""))</f>
        <v/>
      </c>
      <c r="M335" s="14" t="str">
        <f aca="false">IF($F335="","",INDEX('R1. Tree Coefficients'!$J:$J,$F335))</f>
        <v/>
      </c>
      <c r="N335" s="14" t="str">
        <f aca="false">IF($L335="","",IF($M335="Deciduous",BGB_RS_DECIDUOUS_a*($L335^BGB_RS_DECIDUOUS_b),IF($M335="Conifers",BGB_RS_CONIFER*$L335,AVERAGE(BGB_RS_DECIDUOUS_a*($L335^BGB_RS_DECIDUOUS_b),BGB_RS_CONIFER*$L335))))</f>
        <v/>
      </c>
      <c r="O335" s="14" t="str">
        <f aca="false">IF($L335="","",$L335+$N335)</f>
        <v/>
      </c>
      <c r="P335" s="14" t="str">
        <f aca="false">IF($O335="","",$O335*CARBON_FRACTION_BIOMASS)</f>
        <v/>
      </c>
      <c r="Q335" s="14" t="str">
        <f aca="false">IF(AND($A335="",$C335=""),"",IF(AND($A335&lt;&gt;"",COUNTIF('1. Plot &amp; Site Log'!$A$5:$A$64,$A335)=0),"Plot ID not in Plot &amp; Site Log — this tree will not reach the summary. ","")&amp;IF($A335="","No Plot ID. ","")&amp;IF(AND($C335&lt;&gt;"",$F335=""),"Species not in the coefficient list — check the spelling against R1. ","")&amp;IF($D335="","No DBH — nothing can be calculated. ","")&amp;IF(AND($D335&lt;&gt;"",$D335&gt;QC_DBH_MAX_CM),"DBH above "&amp;QC_DBH_MAX_CM&amp;" cm — check for a transcription error. ","")&amp;IF($M335="All","Generic species: no published root:shoot applies, so below-ground biomass is the mean of the deciduous and conifer relationships. Choose a species, or Deciduous/Conifers, if you can. ","")&amp;IF(AND($O335&lt;&gt;"",$O335&gt;0,OR($N335/$O335&lt;BGB_FRACTION_MIN,$N335/$O335&gt;BGB_FRACTION_MAX)),"Below-ground share is "&amp;TEXT($N335/$O335,"0%")&amp;", outside the 18–30% the Trees guide describes. ",""))</f>
        <v/>
      </c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4" t="str">
        <f aca="false">IF($C336="","",IFERROR(12+(MATCH($C336,'R1. Tree Coefficients'!$L$12:$L$53,0)-1)*4,""))</f>
        <v/>
      </c>
      <c r="G336" s="14" t="str">
        <f aca="false">IF($F336="","",IF(AND($E336&lt;&gt;"",$E336&gt;0),"DBH + height","DBH only"))</f>
        <v/>
      </c>
      <c r="H336" s="14" t="str">
        <f aca="false">IF(OR($D336="",$F336=""),"",IF($E336&gt;0,INDEX('R1. Tree Coefficients'!$F:$F,$F336+0)*($D336^INDEX('R1. Tree Coefficients'!$G:$G,$F336+0))*($E336^INDEX('R1. Tree Coefficients'!$H:$H,$F336+0)),INDEX('R1. Tree Coefficients'!$D:$D,$F336+0)*($D336^INDEX('R1. Tree Coefficients'!$E:$E,$F336+0))))</f>
        <v/>
      </c>
      <c r="I336" s="14" t="str">
        <f aca="false">IF(OR($D336="",$F336=""),"",IF($E336&gt;0,INDEX('R1. Tree Coefficients'!$F:$F,$F336+1)*($D336^INDEX('R1. Tree Coefficients'!$G:$G,$F336+1))*($E336^INDEX('R1. Tree Coefficients'!$H:$H,$F336+1)),INDEX('R1. Tree Coefficients'!$D:$D,$F336+1)*($D336^INDEX('R1. Tree Coefficients'!$E:$E,$F336+1))))</f>
        <v/>
      </c>
      <c r="J336" s="14" t="str">
        <f aca="false">IF(OR($D336="",$F336=""),"",IF($E336&gt;0,INDEX('R1. Tree Coefficients'!$F:$F,$F336+2)*($D336^INDEX('R1. Tree Coefficients'!$G:$G,$F336+2))*($E336^INDEX('R1. Tree Coefficients'!$H:$H,$F336+2)),INDEX('R1. Tree Coefficients'!$D:$D,$F336+2)*($D336^INDEX('R1. Tree Coefficients'!$E:$E,$F336+2))))</f>
        <v/>
      </c>
      <c r="K336" s="14" t="str">
        <f aca="false">IF(OR($D336="",$F336=""),"",IF($E336&gt;0,INDEX('R1. Tree Coefficients'!$F:$F,$F336+3)*($D336^INDEX('R1. Tree Coefficients'!$G:$G,$F336+3))*($E336^INDEX('R1. Tree Coefficients'!$H:$H,$F336+3)),INDEX('R1. Tree Coefficients'!$D:$D,$F336+3)*($D336^INDEX('R1. Tree Coefficients'!$E:$E,$F336+3))))</f>
        <v/>
      </c>
      <c r="L336" s="14" t="str">
        <f aca="false">IF($F336="","",IFERROR(SUM($H336:$K336),""))</f>
        <v/>
      </c>
      <c r="M336" s="14" t="str">
        <f aca="false">IF($F336="","",INDEX('R1. Tree Coefficients'!$J:$J,$F336))</f>
        <v/>
      </c>
      <c r="N336" s="14" t="str">
        <f aca="false">IF($L336="","",IF($M336="Deciduous",BGB_RS_DECIDUOUS_a*($L336^BGB_RS_DECIDUOUS_b),IF($M336="Conifers",BGB_RS_CONIFER*$L336,AVERAGE(BGB_RS_DECIDUOUS_a*($L336^BGB_RS_DECIDUOUS_b),BGB_RS_CONIFER*$L336))))</f>
        <v/>
      </c>
      <c r="O336" s="14" t="str">
        <f aca="false">IF($L336="","",$L336+$N336)</f>
        <v/>
      </c>
      <c r="P336" s="14" t="str">
        <f aca="false">IF($O336="","",$O336*CARBON_FRACTION_BIOMASS)</f>
        <v/>
      </c>
      <c r="Q336" s="14" t="str">
        <f aca="false">IF(AND($A336="",$C336=""),"",IF(AND($A336&lt;&gt;"",COUNTIF('1. Plot &amp; Site Log'!$A$5:$A$64,$A336)=0),"Plot ID not in Plot &amp; Site Log — this tree will not reach the summary. ","")&amp;IF($A336="","No Plot ID. ","")&amp;IF(AND($C336&lt;&gt;"",$F336=""),"Species not in the coefficient list — check the spelling against R1. ","")&amp;IF($D336="","No DBH — nothing can be calculated. ","")&amp;IF(AND($D336&lt;&gt;"",$D336&gt;QC_DBH_MAX_CM),"DBH above "&amp;QC_DBH_MAX_CM&amp;" cm — check for a transcription error. ","")&amp;IF($M336="All","Generic species: no published root:shoot applies, so below-ground biomass is the mean of the deciduous and conifer relationships. Choose a species, or Deciduous/Conifers, if you can. ","")&amp;IF(AND($O336&lt;&gt;"",$O336&gt;0,OR($N336/$O336&lt;BGB_FRACTION_MIN,$N336/$O336&gt;BGB_FRACTION_MAX)),"Below-ground share is "&amp;TEXT($N336/$O336,"0%")&amp;", outside the 18–30% the Trees guide describes. ",""))</f>
        <v/>
      </c>
    </row>
    <row r="337" customFormat="false" ht="15" hidden="false" customHeight="false" outlineLevel="0" collapsed="false">
      <c r="A337" s="13"/>
      <c r="B337" s="13"/>
      <c r="C337" s="13"/>
      <c r="D337" s="13"/>
      <c r="E337" s="13"/>
      <c r="F337" s="14" t="str">
        <f aca="false">IF($C337="","",IFERROR(12+(MATCH($C337,'R1. Tree Coefficients'!$L$12:$L$53,0)-1)*4,""))</f>
        <v/>
      </c>
      <c r="G337" s="14" t="str">
        <f aca="false">IF($F337="","",IF(AND($E337&lt;&gt;"",$E337&gt;0),"DBH + height","DBH only"))</f>
        <v/>
      </c>
      <c r="H337" s="14" t="str">
        <f aca="false">IF(OR($D337="",$F337=""),"",IF($E337&gt;0,INDEX('R1. Tree Coefficients'!$F:$F,$F337+0)*($D337^INDEX('R1. Tree Coefficients'!$G:$G,$F337+0))*($E337^INDEX('R1. Tree Coefficients'!$H:$H,$F337+0)),INDEX('R1. Tree Coefficients'!$D:$D,$F337+0)*($D337^INDEX('R1. Tree Coefficients'!$E:$E,$F337+0))))</f>
        <v/>
      </c>
      <c r="I337" s="14" t="str">
        <f aca="false">IF(OR($D337="",$F337=""),"",IF($E337&gt;0,INDEX('R1. Tree Coefficients'!$F:$F,$F337+1)*($D337^INDEX('R1. Tree Coefficients'!$G:$G,$F337+1))*($E337^INDEX('R1. Tree Coefficients'!$H:$H,$F337+1)),INDEX('R1. Tree Coefficients'!$D:$D,$F337+1)*($D337^INDEX('R1. Tree Coefficients'!$E:$E,$F337+1))))</f>
        <v/>
      </c>
      <c r="J337" s="14" t="str">
        <f aca="false">IF(OR($D337="",$F337=""),"",IF($E337&gt;0,INDEX('R1. Tree Coefficients'!$F:$F,$F337+2)*($D337^INDEX('R1. Tree Coefficients'!$G:$G,$F337+2))*($E337^INDEX('R1. Tree Coefficients'!$H:$H,$F337+2)),INDEX('R1. Tree Coefficients'!$D:$D,$F337+2)*($D337^INDEX('R1. Tree Coefficients'!$E:$E,$F337+2))))</f>
        <v/>
      </c>
      <c r="K337" s="14" t="str">
        <f aca="false">IF(OR($D337="",$F337=""),"",IF($E337&gt;0,INDEX('R1. Tree Coefficients'!$F:$F,$F337+3)*($D337^INDEX('R1. Tree Coefficients'!$G:$G,$F337+3))*($E337^INDEX('R1. Tree Coefficients'!$H:$H,$F337+3)),INDEX('R1. Tree Coefficients'!$D:$D,$F337+3)*($D337^INDEX('R1. Tree Coefficients'!$E:$E,$F337+3))))</f>
        <v/>
      </c>
      <c r="L337" s="14" t="str">
        <f aca="false">IF($F337="","",IFERROR(SUM($H337:$K337),""))</f>
        <v/>
      </c>
      <c r="M337" s="14" t="str">
        <f aca="false">IF($F337="","",INDEX('R1. Tree Coefficients'!$J:$J,$F337))</f>
        <v/>
      </c>
      <c r="N337" s="14" t="str">
        <f aca="false">IF($L337="","",IF($M337="Deciduous",BGB_RS_DECIDUOUS_a*($L337^BGB_RS_DECIDUOUS_b),IF($M337="Conifers",BGB_RS_CONIFER*$L337,AVERAGE(BGB_RS_DECIDUOUS_a*($L337^BGB_RS_DECIDUOUS_b),BGB_RS_CONIFER*$L337))))</f>
        <v/>
      </c>
      <c r="O337" s="14" t="str">
        <f aca="false">IF($L337="","",$L337+$N337)</f>
        <v/>
      </c>
      <c r="P337" s="14" t="str">
        <f aca="false">IF($O337="","",$O337*CARBON_FRACTION_BIOMASS)</f>
        <v/>
      </c>
      <c r="Q337" s="14" t="str">
        <f aca="false">IF(AND($A337="",$C337=""),"",IF(AND($A337&lt;&gt;"",COUNTIF('1. Plot &amp; Site Log'!$A$5:$A$64,$A337)=0),"Plot ID not in Plot &amp; Site Log — this tree will not reach the summary. ","")&amp;IF($A337="","No Plot ID. ","")&amp;IF(AND($C337&lt;&gt;"",$F337=""),"Species not in the coefficient list — check the spelling against R1. ","")&amp;IF($D337="","No DBH — nothing can be calculated. ","")&amp;IF(AND($D337&lt;&gt;"",$D337&gt;QC_DBH_MAX_CM),"DBH above "&amp;QC_DBH_MAX_CM&amp;" cm — check for a transcription error. ","")&amp;IF($M337="All","Generic species: no published root:shoot applies, so below-ground biomass is the mean of the deciduous and conifer relationships. Choose a species, or Deciduous/Conifers, if you can. ","")&amp;IF(AND($O337&lt;&gt;"",$O337&gt;0,OR($N337/$O337&lt;BGB_FRACTION_MIN,$N337/$O337&gt;BGB_FRACTION_MAX)),"Below-ground share is "&amp;TEXT($N337/$O337,"0%")&amp;", outside the 18–30% the Trees guide describes. ",""))</f>
        <v/>
      </c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4" t="str">
        <f aca="false">IF($C338="","",IFERROR(12+(MATCH($C338,'R1. Tree Coefficients'!$L$12:$L$53,0)-1)*4,""))</f>
        <v/>
      </c>
      <c r="G338" s="14" t="str">
        <f aca="false">IF($F338="","",IF(AND($E338&lt;&gt;"",$E338&gt;0),"DBH + height","DBH only"))</f>
        <v/>
      </c>
      <c r="H338" s="14" t="str">
        <f aca="false">IF(OR($D338="",$F338=""),"",IF($E338&gt;0,INDEX('R1. Tree Coefficients'!$F:$F,$F338+0)*($D338^INDEX('R1. Tree Coefficients'!$G:$G,$F338+0))*($E338^INDEX('R1. Tree Coefficients'!$H:$H,$F338+0)),INDEX('R1. Tree Coefficients'!$D:$D,$F338+0)*($D338^INDEX('R1. Tree Coefficients'!$E:$E,$F338+0))))</f>
        <v/>
      </c>
      <c r="I338" s="14" t="str">
        <f aca="false">IF(OR($D338="",$F338=""),"",IF($E338&gt;0,INDEX('R1. Tree Coefficients'!$F:$F,$F338+1)*($D338^INDEX('R1. Tree Coefficients'!$G:$G,$F338+1))*($E338^INDEX('R1. Tree Coefficients'!$H:$H,$F338+1)),INDEX('R1. Tree Coefficients'!$D:$D,$F338+1)*($D338^INDEX('R1. Tree Coefficients'!$E:$E,$F338+1))))</f>
        <v/>
      </c>
      <c r="J338" s="14" t="str">
        <f aca="false">IF(OR($D338="",$F338=""),"",IF($E338&gt;0,INDEX('R1. Tree Coefficients'!$F:$F,$F338+2)*($D338^INDEX('R1. Tree Coefficients'!$G:$G,$F338+2))*($E338^INDEX('R1. Tree Coefficients'!$H:$H,$F338+2)),INDEX('R1. Tree Coefficients'!$D:$D,$F338+2)*($D338^INDEX('R1. Tree Coefficients'!$E:$E,$F338+2))))</f>
        <v/>
      </c>
      <c r="K338" s="14" t="str">
        <f aca="false">IF(OR($D338="",$F338=""),"",IF($E338&gt;0,INDEX('R1. Tree Coefficients'!$F:$F,$F338+3)*($D338^INDEX('R1. Tree Coefficients'!$G:$G,$F338+3))*($E338^INDEX('R1. Tree Coefficients'!$H:$H,$F338+3)),INDEX('R1. Tree Coefficients'!$D:$D,$F338+3)*($D338^INDEX('R1. Tree Coefficients'!$E:$E,$F338+3))))</f>
        <v/>
      </c>
      <c r="L338" s="14" t="str">
        <f aca="false">IF($F338="","",IFERROR(SUM($H338:$K338),""))</f>
        <v/>
      </c>
      <c r="M338" s="14" t="str">
        <f aca="false">IF($F338="","",INDEX('R1. Tree Coefficients'!$J:$J,$F338))</f>
        <v/>
      </c>
      <c r="N338" s="14" t="str">
        <f aca="false">IF($L338="","",IF($M338="Deciduous",BGB_RS_DECIDUOUS_a*($L338^BGB_RS_DECIDUOUS_b),IF($M338="Conifers",BGB_RS_CONIFER*$L338,AVERAGE(BGB_RS_DECIDUOUS_a*($L338^BGB_RS_DECIDUOUS_b),BGB_RS_CONIFER*$L338))))</f>
        <v/>
      </c>
      <c r="O338" s="14" t="str">
        <f aca="false">IF($L338="","",$L338+$N338)</f>
        <v/>
      </c>
      <c r="P338" s="14" t="str">
        <f aca="false">IF($O338="","",$O338*CARBON_FRACTION_BIOMASS)</f>
        <v/>
      </c>
      <c r="Q338" s="14" t="str">
        <f aca="false">IF(AND($A338="",$C338=""),"",IF(AND($A338&lt;&gt;"",COUNTIF('1. Plot &amp; Site Log'!$A$5:$A$64,$A338)=0),"Plot ID not in Plot &amp; Site Log — this tree will not reach the summary. ","")&amp;IF($A338="","No Plot ID. ","")&amp;IF(AND($C338&lt;&gt;"",$F338=""),"Species not in the coefficient list — check the spelling against R1. ","")&amp;IF($D338="","No DBH — nothing can be calculated. ","")&amp;IF(AND($D338&lt;&gt;"",$D338&gt;QC_DBH_MAX_CM),"DBH above "&amp;QC_DBH_MAX_CM&amp;" cm — check for a transcription error. ","")&amp;IF($M338="All","Generic species: no published root:shoot applies, so below-ground biomass is the mean of the deciduous and conifer relationships. Choose a species, or Deciduous/Conifers, if you can. ","")&amp;IF(AND($O338&lt;&gt;"",$O338&gt;0,OR($N338/$O338&lt;BGB_FRACTION_MIN,$N338/$O338&gt;BGB_FRACTION_MAX)),"Below-ground share is "&amp;TEXT($N338/$O338,"0%")&amp;", outside the 18–30% the Trees guide describes. ",""))</f>
        <v/>
      </c>
    </row>
    <row r="339" customFormat="false" ht="15" hidden="false" customHeight="false" outlineLevel="0" collapsed="false">
      <c r="A339" s="13"/>
      <c r="B339" s="13"/>
      <c r="C339" s="13"/>
      <c r="D339" s="13"/>
      <c r="E339" s="13"/>
      <c r="F339" s="14" t="str">
        <f aca="false">IF($C339="","",IFERROR(12+(MATCH($C339,'R1. Tree Coefficients'!$L$12:$L$53,0)-1)*4,""))</f>
        <v/>
      </c>
      <c r="G339" s="14" t="str">
        <f aca="false">IF($F339="","",IF(AND($E339&lt;&gt;"",$E339&gt;0),"DBH + height","DBH only"))</f>
        <v/>
      </c>
      <c r="H339" s="14" t="str">
        <f aca="false">IF(OR($D339="",$F339=""),"",IF($E339&gt;0,INDEX('R1. Tree Coefficients'!$F:$F,$F339+0)*($D339^INDEX('R1. Tree Coefficients'!$G:$G,$F339+0))*($E339^INDEX('R1. Tree Coefficients'!$H:$H,$F339+0)),INDEX('R1. Tree Coefficients'!$D:$D,$F339+0)*($D339^INDEX('R1. Tree Coefficients'!$E:$E,$F339+0))))</f>
        <v/>
      </c>
      <c r="I339" s="14" t="str">
        <f aca="false">IF(OR($D339="",$F339=""),"",IF($E339&gt;0,INDEX('R1. Tree Coefficients'!$F:$F,$F339+1)*($D339^INDEX('R1. Tree Coefficients'!$G:$G,$F339+1))*($E339^INDEX('R1. Tree Coefficients'!$H:$H,$F339+1)),INDEX('R1. Tree Coefficients'!$D:$D,$F339+1)*($D339^INDEX('R1. Tree Coefficients'!$E:$E,$F339+1))))</f>
        <v/>
      </c>
      <c r="J339" s="14" t="str">
        <f aca="false">IF(OR($D339="",$F339=""),"",IF($E339&gt;0,INDEX('R1. Tree Coefficients'!$F:$F,$F339+2)*($D339^INDEX('R1. Tree Coefficients'!$G:$G,$F339+2))*($E339^INDEX('R1. Tree Coefficients'!$H:$H,$F339+2)),INDEX('R1. Tree Coefficients'!$D:$D,$F339+2)*($D339^INDEX('R1. Tree Coefficients'!$E:$E,$F339+2))))</f>
        <v/>
      </c>
      <c r="K339" s="14" t="str">
        <f aca="false">IF(OR($D339="",$F339=""),"",IF($E339&gt;0,INDEX('R1. Tree Coefficients'!$F:$F,$F339+3)*($D339^INDEX('R1. Tree Coefficients'!$G:$G,$F339+3))*($E339^INDEX('R1. Tree Coefficients'!$H:$H,$F339+3)),INDEX('R1. Tree Coefficients'!$D:$D,$F339+3)*($D339^INDEX('R1. Tree Coefficients'!$E:$E,$F339+3))))</f>
        <v/>
      </c>
      <c r="L339" s="14" t="str">
        <f aca="false">IF($F339="","",IFERROR(SUM($H339:$K339),""))</f>
        <v/>
      </c>
      <c r="M339" s="14" t="str">
        <f aca="false">IF($F339="","",INDEX('R1. Tree Coefficients'!$J:$J,$F339))</f>
        <v/>
      </c>
      <c r="N339" s="14" t="str">
        <f aca="false">IF($L339="","",IF($M339="Deciduous",BGB_RS_DECIDUOUS_a*($L339^BGB_RS_DECIDUOUS_b),IF($M339="Conifers",BGB_RS_CONIFER*$L339,AVERAGE(BGB_RS_DECIDUOUS_a*($L339^BGB_RS_DECIDUOUS_b),BGB_RS_CONIFER*$L339))))</f>
        <v/>
      </c>
      <c r="O339" s="14" t="str">
        <f aca="false">IF($L339="","",$L339+$N339)</f>
        <v/>
      </c>
      <c r="P339" s="14" t="str">
        <f aca="false">IF($O339="","",$O339*CARBON_FRACTION_BIOMASS)</f>
        <v/>
      </c>
      <c r="Q339" s="14" t="str">
        <f aca="false">IF(AND($A339="",$C339=""),"",IF(AND($A339&lt;&gt;"",COUNTIF('1. Plot &amp; Site Log'!$A$5:$A$64,$A339)=0),"Plot ID not in Plot &amp; Site Log — this tree will not reach the summary. ","")&amp;IF($A339="","No Plot ID. ","")&amp;IF(AND($C339&lt;&gt;"",$F339=""),"Species not in the coefficient list — check the spelling against R1. ","")&amp;IF($D339="","No DBH — nothing can be calculated. ","")&amp;IF(AND($D339&lt;&gt;"",$D339&gt;QC_DBH_MAX_CM),"DBH above "&amp;QC_DBH_MAX_CM&amp;" cm — check for a transcription error. ","")&amp;IF($M339="All","Generic species: no published root:shoot applies, so below-ground biomass is the mean of the deciduous and conifer relationships. Choose a species, or Deciduous/Conifers, if you can. ","")&amp;IF(AND($O339&lt;&gt;"",$O339&gt;0,OR($N339/$O339&lt;BGB_FRACTION_MIN,$N339/$O339&gt;BGB_FRACTION_MAX)),"Below-ground share is "&amp;TEXT($N339/$O339,"0%")&amp;", outside the 18–30% the Trees guide describes. ",""))</f>
        <v/>
      </c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4" t="str">
        <f aca="false">IF($C340="","",IFERROR(12+(MATCH($C340,'R1. Tree Coefficients'!$L$12:$L$53,0)-1)*4,""))</f>
        <v/>
      </c>
      <c r="G340" s="14" t="str">
        <f aca="false">IF($F340="","",IF(AND($E340&lt;&gt;"",$E340&gt;0),"DBH + height","DBH only"))</f>
        <v/>
      </c>
      <c r="H340" s="14" t="str">
        <f aca="false">IF(OR($D340="",$F340=""),"",IF($E340&gt;0,INDEX('R1. Tree Coefficients'!$F:$F,$F340+0)*($D340^INDEX('R1. Tree Coefficients'!$G:$G,$F340+0))*($E340^INDEX('R1. Tree Coefficients'!$H:$H,$F340+0)),INDEX('R1. Tree Coefficients'!$D:$D,$F340+0)*($D340^INDEX('R1. Tree Coefficients'!$E:$E,$F340+0))))</f>
        <v/>
      </c>
      <c r="I340" s="14" t="str">
        <f aca="false">IF(OR($D340="",$F340=""),"",IF($E340&gt;0,INDEX('R1. Tree Coefficients'!$F:$F,$F340+1)*($D340^INDEX('R1. Tree Coefficients'!$G:$G,$F340+1))*($E340^INDEX('R1. Tree Coefficients'!$H:$H,$F340+1)),INDEX('R1. Tree Coefficients'!$D:$D,$F340+1)*($D340^INDEX('R1. Tree Coefficients'!$E:$E,$F340+1))))</f>
        <v/>
      </c>
      <c r="J340" s="14" t="str">
        <f aca="false">IF(OR($D340="",$F340=""),"",IF($E340&gt;0,INDEX('R1. Tree Coefficients'!$F:$F,$F340+2)*($D340^INDEX('R1. Tree Coefficients'!$G:$G,$F340+2))*($E340^INDEX('R1. Tree Coefficients'!$H:$H,$F340+2)),INDEX('R1. Tree Coefficients'!$D:$D,$F340+2)*($D340^INDEX('R1. Tree Coefficients'!$E:$E,$F340+2))))</f>
        <v/>
      </c>
      <c r="K340" s="14" t="str">
        <f aca="false">IF(OR($D340="",$F340=""),"",IF($E340&gt;0,INDEX('R1. Tree Coefficients'!$F:$F,$F340+3)*($D340^INDEX('R1. Tree Coefficients'!$G:$G,$F340+3))*($E340^INDEX('R1. Tree Coefficients'!$H:$H,$F340+3)),INDEX('R1. Tree Coefficients'!$D:$D,$F340+3)*($D340^INDEX('R1. Tree Coefficients'!$E:$E,$F340+3))))</f>
        <v/>
      </c>
      <c r="L340" s="14" t="str">
        <f aca="false">IF($F340="","",IFERROR(SUM($H340:$K340),""))</f>
        <v/>
      </c>
      <c r="M340" s="14" t="str">
        <f aca="false">IF($F340="","",INDEX('R1. Tree Coefficients'!$J:$J,$F340))</f>
        <v/>
      </c>
      <c r="N340" s="14" t="str">
        <f aca="false">IF($L340="","",IF($M340="Deciduous",BGB_RS_DECIDUOUS_a*($L340^BGB_RS_DECIDUOUS_b),IF($M340="Conifers",BGB_RS_CONIFER*$L340,AVERAGE(BGB_RS_DECIDUOUS_a*($L340^BGB_RS_DECIDUOUS_b),BGB_RS_CONIFER*$L340))))</f>
        <v/>
      </c>
      <c r="O340" s="14" t="str">
        <f aca="false">IF($L340="","",$L340+$N340)</f>
        <v/>
      </c>
      <c r="P340" s="14" t="str">
        <f aca="false">IF($O340="","",$O340*CARBON_FRACTION_BIOMASS)</f>
        <v/>
      </c>
      <c r="Q340" s="14" t="str">
        <f aca="false">IF(AND($A340="",$C340=""),"",IF(AND($A340&lt;&gt;"",COUNTIF('1. Plot &amp; Site Log'!$A$5:$A$64,$A340)=0),"Plot ID not in Plot &amp; Site Log — this tree will not reach the summary. ","")&amp;IF($A340="","No Plot ID. ","")&amp;IF(AND($C340&lt;&gt;"",$F340=""),"Species not in the coefficient list — check the spelling against R1. ","")&amp;IF($D340="","No DBH — nothing can be calculated. ","")&amp;IF(AND($D340&lt;&gt;"",$D340&gt;QC_DBH_MAX_CM),"DBH above "&amp;QC_DBH_MAX_CM&amp;" cm — check for a transcription error. ","")&amp;IF($M340="All","Generic species: no published root:shoot applies, so below-ground biomass is the mean of the deciduous and conifer relationships. Choose a species, or Deciduous/Conifers, if you can. ","")&amp;IF(AND($O340&lt;&gt;"",$O340&gt;0,OR($N340/$O340&lt;BGB_FRACTION_MIN,$N340/$O340&gt;BGB_FRACTION_MAX)),"Below-ground share is "&amp;TEXT($N340/$O340,"0%")&amp;", outside the 18–30% the Trees guide describes. ",""))</f>
        <v/>
      </c>
    </row>
    <row r="341" customFormat="false" ht="15" hidden="false" customHeight="false" outlineLevel="0" collapsed="false">
      <c r="A341" s="13"/>
      <c r="B341" s="13"/>
      <c r="C341" s="13"/>
      <c r="D341" s="13"/>
      <c r="E341" s="13"/>
      <c r="F341" s="14" t="str">
        <f aca="false">IF($C341="","",IFERROR(12+(MATCH($C341,'R1. Tree Coefficients'!$L$12:$L$53,0)-1)*4,""))</f>
        <v/>
      </c>
      <c r="G341" s="14" t="str">
        <f aca="false">IF($F341="","",IF(AND($E341&lt;&gt;"",$E341&gt;0),"DBH + height","DBH only"))</f>
        <v/>
      </c>
      <c r="H341" s="14" t="str">
        <f aca="false">IF(OR($D341="",$F341=""),"",IF($E341&gt;0,INDEX('R1. Tree Coefficients'!$F:$F,$F341+0)*($D341^INDEX('R1. Tree Coefficients'!$G:$G,$F341+0))*($E341^INDEX('R1. Tree Coefficients'!$H:$H,$F341+0)),INDEX('R1. Tree Coefficients'!$D:$D,$F341+0)*($D341^INDEX('R1. Tree Coefficients'!$E:$E,$F341+0))))</f>
        <v/>
      </c>
      <c r="I341" s="14" t="str">
        <f aca="false">IF(OR($D341="",$F341=""),"",IF($E341&gt;0,INDEX('R1. Tree Coefficients'!$F:$F,$F341+1)*($D341^INDEX('R1. Tree Coefficients'!$G:$G,$F341+1))*($E341^INDEX('R1. Tree Coefficients'!$H:$H,$F341+1)),INDEX('R1. Tree Coefficients'!$D:$D,$F341+1)*($D341^INDEX('R1. Tree Coefficients'!$E:$E,$F341+1))))</f>
        <v/>
      </c>
      <c r="J341" s="14" t="str">
        <f aca="false">IF(OR($D341="",$F341=""),"",IF($E341&gt;0,INDEX('R1. Tree Coefficients'!$F:$F,$F341+2)*($D341^INDEX('R1. Tree Coefficients'!$G:$G,$F341+2))*($E341^INDEX('R1. Tree Coefficients'!$H:$H,$F341+2)),INDEX('R1. Tree Coefficients'!$D:$D,$F341+2)*($D341^INDEX('R1. Tree Coefficients'!$E:$E,$F341+2))))</f>
        <v/>
      </c>
      <c r="K341" s="14" t="str">
        <f aca="false">IF(OR($D341="",$F341=""),"",IF($E341&gt;0,INDEX('R1. Tree Coefficients'!$F:$F,$F341+3)*($D341^INDEX('R1. Tree Coefficients'!$G:$G,$F341+3))*($E341^INDEX('R1. Tree Coefficients'!$H:$H,$F341+3)),INDEX('R1. Tree Coefficients'!$D:$D,$F341+3)*($D341^INDEX('R1. Tree Coefficients'!$E:$E,$F341+3))))</f>
        <v/>
      </c>
      <c r="L341" s="14" t="str">
        <f aca="false">IF($F341="","",IFERROR(SUM($H341:$K341),""))</f>
        <v/>
      </c>
      <c r="M341" s="14" t="str">
        <f aca="false">IF($F341="","",INDEX('R1. Tree Coefficients'!$J:$J,$F341))</f>
        <v/>
      </c>
      <c r="N341" s="14" t="str">
        <f aca="false">IF($L341="","",IF($M341="Deciduous",BGB_RS_DECIDUOUS_a*($L341^BGB_RS_DECIDUOUS_b),IF($M341="Conifers",BGB_RS_CONIFER*$L341,AVERAGE(BGB_RS_DECIDUOUS_a*($L341^BGB_RS_DECIDUOUS_b),BGB_RS_CONIFER*$L341))))</f>
        <v/>
      </c>
      <c r="O341" s="14" t="str">
        <f aca="false">IF($L341="","",$L341+$N341)</f>
        <v/>
      </c>
      <c r="P341" s="14" t="str">
        <f aca="false">IF($O341="","",$O341*CARBON_FRACTION_BIOMASS)</f>
        <v/>
      </c>
      <c r="Q341" s="14" t="str">
        <f aca="false">IF(AND($A341="",$C341=""),"",IF(AND($A341&lt;&gt;"",COUNTIF('1. Plot &amp; Site Log'!$A$5:$A$64,$A341)=0),"Plot ID not in Plot &amp; Site Log — this tree will not reach the summary. ","")&amp;IF($A341="","No Plot ID. ","")&amp;IF(AND($C341&lt;&gt;"",$F341=""),"Species not in the coefficient list — check the spelling against R1. ","")&amp;IF($D341="","No DBH — nothing can be calculated. ","")&amp;IF(AND($D341&lt;&gt;"",$D341&gt;QC_DBH_MAX_CM),"DBH above "&amp;QC_DBH_MAX_CM&amp;" cm — check for a transcription error. ","")&amp;IF($M341="All","Generic species: no published root:shoot applies, so below-ground biomass is the mean of the deciduous and conifer relationships. Choose a species, or Deciduous/Conifers, if you can. ","")&amp;IF(AND($O341&lt;&gt;"",$O341&gt;0,OR($N341/$O341&lt;BGB_FRACTION_MIN,$N341/$O341&gt;BGB_FRACTION_MAX)),"Below-ground share is "&amp;TEXT($N341/$O341,"0%")&amp;", outside the 18–30% the Trees guide describes. ",""))</f>
        <v/>
      </c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4" t="str">
        <f aca="false">IF($C342="","",IFERROR(12+(MATCH($C342,'R1. Tree Coefficients'!$L$12:$L$53,0)-1)*4,""))</f>
        <v/>
      </c>
      <c r="G342" s="14" t="str">
        <f aca="false">IF($F342="","",IF(AND($E342&lt;&gt;"",$E342&gt;0),"DBH + height","DBH only"))</f>
        <v/>
      </c>
      <c r="H342" s="14" t="str">
        <f aca="false">IF(OR($D342="",$F342=""),"",IF($E342&gt;0,INDEX('R1. Tree Coefficients'!$F:$F,$F342+0)*($D342^INDEX('R1. Tree Coefficients'!$G:$G,$F342+0))*($E342^INDEX('R1. Tree Coefficients'!$H:$H,$F342+0)),INDEX('R1. Tree Coefficients'!$D:$D,$F342+0)*($D342^INDEX('R1. Tree Coefficients'!$E:$E,$F342+0))))</f>
        <v/>
      </c>
      <c r="I342" s="14" t="str">
        <f aca="false">IF(OR($D342="",$F342=""),"",IF($E342&gt;0,INDEX('R1. Tree Coefficients'!$F:$F,$F342+1)*($D342^INDEX('R1. Tree Coefficients'!$G:$G,$F342+1))*($E342^INDEX('R1. Tree Coefficients'!$H:$H,$F342+1)),INDEX('R1. Tree Coefficients'!$D:$D,$F342+1)*($D342^INDEX('R1. Tree Coefficients'!$E:$E,$F342+1))))</f>
        <v/>
      </c>
      <c r="J342" s="14" t="str">
        <f aca="false">IF(OR($D342="",$F342=""),"",IF($E342&gt;0,INDEX('R1. Tree Coefficients'!$F:$F,$F342+2)*($D342^INDEX('R1. Tree Coefficients'!$G:$G,$F342+2))*($E342^INDEX('R1. Tree Coefficients'!$H:$H,$F342+2)),INDEX('R1. Tree Coefficients'!$D:$D,$F342+2)*($D342^INDEX('R1. Tree Coefficients'!$E:$E,$F342+2))))</f>
        <v/>
      </c>
      <c r="K342" s="14" t="str">
        <f aca="false">IF(OR($D342="",$F342=""),"",IF($E342&gt;0,INDEX('R1. Tree Coefficients'!$F:$F,$F342+3)*($D342^INDEX('R1. Tree Coefficients'!$G:$G,$F342+3))*($E342^INDEX('R1. Tree Coefficients'!$H:$H,$F342+3)),INDEX('R1. Tree Coefficients'!$D:$D,$F342+3)*($D342^INDEX('R1. Tree Coefficients'!$E:$E,$F342+3))))</f>
        <v/>
      </c>
      <c r="L342" s="14" t="str">
        <f aca="false">IF($F342="","",IFERROR(SUM($H342:$K342),""))</f>
        <v/>
      </c>
      <c r="M342" s="14" t="str">
        <f aca="false">IF($F342="","",INDEX('R1. Tree Coefficients'!$J:$J,$F342))</f>
        <v/>
      </c>
      <c r="N342" s="14" t="str">
        <f aca="false">IF($L342="","",IF($M342="Deciduous",BGB_RS_DECIDUOUS_a*($L342^BGB_RS_DECIDUOUS_b),IF($M342="Conifers",BGB_RS_CONIFER*$L342,AVERAGE(BGB_RS_DECIDUOUS_a*($L342^BGB_RS_DECIDUOUS_b),BGB_RS_CONIFER*$L342))))</f>
        <v/>
      </c>
      <c r="O342" s="14" t="str">
        <f aca="false">IF($L342="","",$L342+$N342)</f>
        <v/>
      </c>
      <c r="P342" s="14" t="str">
        <f aca="false">IF($O342="","",$O342*CARBON_FRACTION_BIOMASS)</f>
        <v/>
      </c>
      <c r="Q342" s="14" t="str">
        <f aca="false">IF(AND($A342="",$C342=""),"",IF(AND($A342&lt;&gt;"",COUNTIF('1. Plot &amp; Site Log'!$A$5:$A$64,$A342)=0),"Plot ID not in Plot &amp; Site Log — this tree will not reach the summary. ","")&amp;IF($A342="","No Plot ID. ","")&amp;IF(AND($C342&lt;&gt;"",$F342=""),"Species not in the coefficient list — check the spelling against R1. ","")&amp;IF($D342="","No DBH — nothing can be calculated. ","")&amp;IF(AND($D342&lt;&gt;"",$D342&gt;QC_DBH_MAX_CM),"DBH above "&amp;QC_DBH_MAX_CM&amp;" cm — check for a transcription error. ","")&amp;IF($M342="All","Generic species: no published root:shoot applies, so below-ground biomass is the mean of the deciduous and conifer relationships. Choose a species, or Deciduous/Conifers, if you can. ","")&amp;IF(AND($O342&lt;&gt;"",$O342&gt;0,OR($N342/$O342&lt;BGB_FRACTION_MIN,$N342/$O342&gt;BGB_FRACTION_MAX)),"Below-ground share is "&amp;TEXT($N342/$O342,"0%")&amp;", outside the 18–30% the Trees guide describes. ",""))</f>
        <v/>
      </c>
    </row>
    <row r="343" customFormat="false" ht="15" hidden="false" customHeight="false" outlineLevel="0" collapsed="false">
      <c r="A343" s="13"/>
      <c r="B343" s="13"/>
      <c r="C343" s="13"/>
      <c r="D343" s="13"/>
      <c r="E343" s="13"/>
      <c r="F343" s="14" t="str">
        <f aca="false">IF($C343="","",IFERROR(12+(MATCH($C343,'R1. Tree Coefficients'!$L$12:$L$53,0)-1)*4,""))</f>
        <v/>
      </c>
      <c r="G343" s="14" t="str">
        <f aca="false">IF($F343="","",IF(AND($E343&lt;&gt;"",$E343&gt;0),"DBH + height","DBH only"))</f>
        <v/>
      </c>
      <c r="H343" s="14" t="str">
        <f aca="false">IF(OR($D343="",$F343=""),"",IF($E343&gt;0,INDEX('R1. Tree Coefficients'!$F:$F,$F343+0)*($D343^INDEX('R1. Tree Coefficients'!$G:$G,$F343+0))*($E343^INDEX('R1. Tree Coefficients'!$H:$H,$F343+0)),INDEX('R1. Tree Coefficients'!$D:$D,$F343+0)*($D343^INDEX('R1. Tree Coefficients'!$E:$E,$F343+0))))</f>
        <v/>
      </c>
      <c r="I343" s="14" t="str">
        <f aca="false">IF(OR($D343="",$F343=""),"",IF($E343&gt;0,INDEX('R1. Tree Coefficients'!$F:$F,$F343+1)*($D343^INDEX('R1. Tree Coefficients'!$G:$G,$F343+1))*($E343^INDEX('R1. Tree Coefficients'!$H:$H,$F343+1)),INDEX('R1. Tree Coefficients'!$D:$D,$F343+1)*($D343^INDEX('R1. Tree Coefficients'!$E:$E,$F343+1))))</f>
        <v/>
      </c>
      <c r="J343" s="14" t="str">
        <f aca="false">IF(OR($D343="",$F343=""),"",IF($E343&gt;0,INDEX('R1. Tree Coefficients'!$F:$F,$F343+2)*($D343^INDEX('R1. Tree Coefficients'!$G:$G,$F343+2))*($E343^INDEX('R1. Tree Coefficients'!$H:$H,$F343+2)),INDEX('R1. Tree Coefficients'!$D:$D,$F343+2)*($D343^INDEX('R1. Tree Coefficients'!$E:$E,$F343+2))))</f>
        <v/>
      </c>
      <c r="K343" s="14" t="str">
        <f aca="false">IF(OR($D343="",$F343=""),"",IF($E343&gt;0,INDEX('R1. Tree Coefficients'!$F:$F,$F343+3)*($D343^INDEX('R1. Tree Coefficients'!$G:$G,$F343+3))*($E343^INDEX('R1. Tree Coefficients'!$H:$H,$F343+3)),INDEX('R1. Tree Coefficients'!$D:$D,$F343+3)*($D343^INDEX('R1. Tree Coefficients'!$E:$E,$F343+3))))</f>
        <v/>
      </c>
      <c r="L343" s="14" t="str">
        <f aca="false">IF($F343="","",IFERROR(SUM($H343:$K343),""))</f>
        <v/>
      </c>
      <c r="M343" s="14" t="str">
        <f aca="false">IF($F343="","",INDEX('R1. Tree Coefficients'!$J:$J,$F343))</f>
        <v/>
      </c>
      <c r="N343" s="14" t="str">
        <f aca="false">IF($L343="","",IF($M343="Deciduous",BGB_RS_DECIDUOUS_a*($L343^BGB_RS_DECIDUOUS_b),IF($M343="Conifers",BGB_RS_CONIFER*$L343,AVERAGE(BGB_RS_DECIDUOUS_a*($L343^BGB_RS_DECIDUOUS_b),BGB_RS_CONIFER*$L343))))</f>
        <v/>
      </c>
      <c r="O343" s="14" t="str">
        <f aca="false">IF($L343="","",$L343+$N343)</f>
        <v/>
      </c>
      <c r="P343" s="14" t="str">
        <f aca="false">IF($O343="","",$O343*CARBON_FRACTION_BIOMASS)</f>
        <v/>
      </c>
      <c r="Q343" s="14" t="str">
        <f aca="false">IF(AND($A343="",$C343=""),"",IF(AND($A343&lt;&gt;"",COUNTIF('1. Plot &amp; Site Log'!$A$5:$A$64,$A343)=0),"Plot ID not in Plot &amp; Site Log — this tree will not reach the summary. ","")&amp;IF($A343="","No Plot ID. ","")&amp;IF(AND($C343&lt;&gt;"",$F343=""),"Species not in the coefficient list — check the spelling against R1. ","")&amp;IF($D343="","No DBH — nothing can be calculated. ","")&amp;IF(AND($D343&lt;&gt;"",$D343&gt;QC_DBH_MAX_CM),"DBH above "&amp;QC_DBH_MAX_CM&amp;" cm — check for a transcription error. ","")&amp;IF($M343="All","Generic species: no published root:shoot applies, so below-ground biomass is the mean of the deciduous and conifer relationships. Choose a species, or Deciduous/Conifers, if you can. ","")&amp;IF(AND($O343&lt;&gt;"",$O343&gt;0,OR($N343/$O343&lt;BGB_FRACTION_MIN,$N343/$O343&gt;BGB_FRACTION_MAX)),"Below-ground share is "&amp;TEXT($N343/$O343,"0%")&amp;", outside the 18–30% the Trees guide describes. ",""))</f>
        <v/>
      </c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4" t="str">
        <f aca="false">IF($C344="","",IFERROR(12+(MATCH($C344,'R1. Tree Coefficients'!$L$12:$L$53,0)-1)*4,""))</f>
        <v/>
      </c>
      <c r="G344" s="14" t="str">
        <f aca="false">IF($F344="","",IF(AND($E344&lt;&gt;"",$E344&gt;0),"DBH + height","DBH only"))</f>
        <v/>
      </c>
      <c r="H344" s="14" t="str">
        <f aca="false">IF(OR($D344="",$F344=""),"",IF($E344&gt;0,INDEX('R1. Tree Coefficients'!$F:$F,$F344+0)*($D344^INDEX('R1. Tree Coefficients'!$G:$G,$F344+0))*($E344^INDEX('R1. Tree Coefficients'!$H:$H,$F344+0)),INDEX('R1. Tree Coefficients'!$D:$D,$F344+0)*($D344^INDEX('R1. Tree Coefficients'!$E:$E,$F344+0))))</f>
        <v/>
      </c>
      <c r="I344" s="14" t="str">
        <f aca="false">IF(OR($D344="",$F344=""),"",IF($E344&gt;0,INDEX('R1. Tree Coefficients'!$F:$F,$F344+1)*($D344^INDEX('R1. Tree Coefficients'!$G:$G,$F344+1))*($E344^INDEX('R1. Tree Coefficients'!$H:$H,$F344+1)),INDEX('R1. Tree Coefficients'!$D:$D,$F344+1)*($D344^INDEX('R1. Tree Coefficients'!$E:$E,$F344+1))))</f>
        <v/>
      </c>
      <c r="J344" s="14" t="str">
        <f aca="false">IF(OR($D344="",$F344=""),"",IF($E344&gt;0,INDEX('R1. Tree Coefficients'!$F:$F,$F344+2)*($D344^INDEX('R1. Tree Coefficients'!$G:$G,$F344+2))*($E344^INDEX('R1. Tree Coefficients'!$H:$H,$F344+2)),INDEX('R1. Tree Coefficients'!$D:$D,$F344+2)*($D344^INDEX('R1. Tree Coefficients'!$E:$E,$F344+2))))</f>
        <v/>
      </c>
      <c r="K344" s="14" t="str">
        <f aca="false">IF(OR($D344="",$F344=""),"",IF($E344&gt;0,INDEX('R1. Tree Coefficients'!$F:$F,$F344+3)*($D344^INDEX('R1. Tree Coefficients'!$G:$G,$F344+3))*($E344^INDEX('R1. Tree Coefficients'!$H:$H,$F344+3)),INDEX('R1. Tree Coefficients'!$D:$D,$F344+3)*($D344^INDEX('R1. Tree Coefficients'!$E:$E,$F344+3))))</f>
        <v/>
      </c>
      <c r="L344" s="14" t="str">
        <f aca="false">IF($F344="","",IFERROR(SUM($H344:$K344),""))</f>
        <v/>
      </c>
      <c r="M344" s="14" t="str">
        <f aca="false">IF($F344="","",INDEX('R1. Tree Coefficients'!$J:$J,$F344))</f>
        <v/>
      </c>
      <c r="N344" s="14" t="str">
        <f aca="false">IF($L344="","",IF($M344="Deciduous",BGB_RS_DECIDUOUS_a*($L344^BGB_RS_DECIDUOUS_b),IF($M344="Conifers",BGB_RS_CONIFER*$L344,AVERAGE(BGB_RS_DECIDUOUS_a*($L344^BGB_RS_DECIDUOUS_b),BGB_RS_CONIFER*$L344))))</f>
        <v/>
      </c>
      <c r="O344" s="14" t="str">
        <f aca="false">IF($L344="","",$L344+$N344)</f>
        <v/>
      </c>
      <c r="P344" s="14" t="str">
        <f aca="false">IF($O344="","",$O344*CARBON_FRACTION_BIOMASS)</f>
        <v/>
      </c>
      <c r="Q344" s="14" t="str">
        <f aca="false">IF(AND($A344="",$C344=""),"",IF(AND($A344&lt;&gt;"",COUNTIF('1. Plot &amp; Site Log'!$A$5:$A$64,$A344)=0),"Plot ID not in Plot &amp; Site Log — this tree will not reach the summary. ","")&amp;IF($A344="","No Plot ID. ","")&amp;IF(AND($C344&lt;&gt;"",$F344=""),"Species not in the coefficient list — check the spelling against R1. ","")&amp;IF($D344="","No DBH — nothing can be calculated. ","")&amp;IF(AND($D344&lt;&gt;"",$D344&gt;QC_DBH_MAX_CM),"DBH above "&amp;QC_DBH_MAX_CM&amp;" cm — check for a transcription error. ","")&amp;IF($M344="All","Generic species: no published root:shoot applies, so below-ground biomass is the mean of the deciduous and conifer relationships. Choose a species, or Deciduous/Conifers, if you can. ","")&amp;IF(AND($O344&lt;&gt;"",$O344&gt;0,OR($N344/$O344&lt;BGB_FRACTION_MIN,$N344/$O344&gt;BGB_FRACTION_MAX)),"Below-ground share is "&amp;TEXT($N344/$O344,"0%")&amp;", outside the 18–30% the Trees guide describes. ",""))</f>
        <v/>
      </c>
    </row>
    <row r="345" customFormat="false" ht="15" hidden="false" customHeight="false" outlineLevel="0" collapsed="false">
      <c r="A345" s="13"/>
      <c r="B345" s="13"/>
      <c r="C345" s="13"/>
      <c r="D345" s="13"/>
      <c r="E345" s="13"/>
      <c r="F345" s="14" t="str">
        <f aca="false">IF($C345="","",IFERROR(12+(MATCH($C345,'R1. Tree Coefficients'!$L$12:$L$53,0)-1)*4,""))</f>
        <v/>
      </c>
      <c r="G345" s="14" t="str">
        <f aca="false">IF($F345="","",IF(AND($E345&lt;&gt;"",$E345&gt;0),"DBH + height","DBH only"))</f>
        <v/>
      </c>
      <c r="H345" s="14" t="str">
        <f aca="false">IF(OR($D345="",$F345=""),"",IF($E345&gt;0,INDEX('R1. Tree Coefficients'!$F:$F,$F345+0)*($D345^INDEX('R1. Tree Coefficients'!$G:$G,$F345+0))*($E345^INDEX('R1. Tree Coefficients'!$H:$H,$F345+0)),INDEX('R1. Tree Coefficients'!$D:$D,$F345+0)*($D345^INDEX('R1. Tree Coefficients'!$E:$E,$F345+0))))</f>
        <v/>
      </c>
      <c r="I345" s="14" t="str">
        <f aca="false">IF(OR($D345="",$F345=""),"",IF($E345&gt;0,INDEX('R1. Tree Coefficients'!$F:$F,$F345+1)*($D345^INDEX('R1. Tree Coefficients'!$G:$G,$F345+1))*($E345^INDEX('R1. Tree Coefficients'!$H:$H,$F345+1)),INDEX('R1. Tree Coefficients'!$D:$D,$F345+1)*($D345^INDEX('R1. Tree Coefficients'!$E:$E,$F345+1))))</f>
        <v/>
      </c>
      <c r="J345" s="14" t="str">
        <f aca="false">IF(OR($D345="",$F345=""),"",IF($E345&gt;0,INDEX('R1. Tree Coefficients'!$F:$F,$F345+2)*($D345^INDEX('R1. Tree Coefficients'!$G:$G,$F345+2))*($E345^INDEX('R1. Tree Coefficients'!$H:$H,$F345+2)),INDEX('R1. Tree Coefficients'!$D:$D,$F345+2)*($D345^INDEX('R1. Tree Coefficients'!$E:$E,$F345+2))))</f>
        <v/>
      </c>
      <c r="K345" s="14" t="str">
        <f aca="false">IF(OR($D345="",$F345=""),"",IF($E345&gt;0,INDEX('R1. Tree Coefficients'!$F:$F,$F345+3)*($D345^INDEX('R1. Tree Coefficients'!$G:$G,$F345+3))*($E345^INDEX('R1. Tree Coefficients'!$H:$H,$F345+3)),INDEX('R1. Tree Coefficients'!$D:$D,$F345+3)*($D345^INDEX('R1. Tree Coefficients'!$E:$E,$F345+3))))</f>
        <v/>
      </c>
      <c r="L345" s="14" t="str">
        <f aca="false">IF($F345="","",IFERROR(SUM($H345:$K345),""))</f>
        <v/>
      </c>
      <c r="M345" s="14" t="str">
        <f aca="false">IF($F345="","",INDEX('R1. Tree Coefficients'!$J:$J,$F345))</f>
        <v/>
      </c>
      <c r="N345" s="14" t="str">
        <f aca="false">IF($L345="","",IF($M345="Deciduous",BGB_RS_DECIDUOUS_a*($L345^BGB_RS_DECIDUOUS_b),IF($M345="Conifers",BGB_RS_CONIFER*$L345,AVERAGE(BGB_RS_DECIDUOUS_a*($L345^BGB_RS_DECIDUOUS_b),BGB_RS_CONIFER*$L345))))</f>
        <v/>
      </c>
      <c r="O345" s="14" t="str">
        <f aca="false">IF($L345="","",$L345+$N345)</f>
        <v/>
      </c>
      <c r="P345" s="14" t="str">
        <f aca="false">IF($O345="","",$O345*CARBON_FRACTION_BIOMASS)</f>
        <v/>
      </c>
      <c r="Q345" s="14" t="str">
        <f aca="false">IF(AND($A345="",$C345=""),"",IF(AND($A345&lt;&gt;"",COUNTIF('1. Plot &amp; Site Log'!$A$5:$A$64,$A345)=0),"Plot ID not in Plot &amp; Site Log — this tree will not reach the summary. ","")&amp;IF($A345="","No Plot ID. ","")&amp;IF(AND($C345&lt;&gt;"",$F345=""),"Species not in the coefficient list — check the spelling against R1. ","")&amp;IF($D345="","No DBH — nothing can be calculated. ","")&amp;IF(AND($D345&lt;&gt;"",$D345&gt;QC_DBH_MAX_CM),"DBH above "&amp;QC_DBH_MAX_CM&amp;" cm — check for a transcription error. ","")&amp;IF($M345="All","Generic species: no published root:shoot applies, so below-ground biomass is the mean of the deciduous and conifer relationships. Choose a species, or Deciduous/Conifers, if you can. ","")&amp;IF(AND($O345&lt;&gt;"",$O345&gt;0,OR($N345/$O345&lt;BGB_FRACTION_MIN,$N345/$O345&gt;BGB_FRACTION_MAX)),"Below-ground share is "&amp;TEXT($N345/$O345,"0%")&amp;", outside the 18–30% the Trees guide describes. ",""))</f>
        <v/>
      </c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4" t="str">
        <f aca="false">IF($C346="","",IFERROR(12+(MATCH($C346,'R1. Tree Coefficients'!$L$12:$L$53,0)-1)*4,""))</f>
        <v/>
      </c>
      <c r="G346" s="14" t="str">
        <f aca="false">IF($F346="","",IF(AND($E346&lt;&gt;"",$E346&gt;0),"DBH + height","DBH only"))</f>
        <v/>
      </c>
      <c r="H346" s="14" t="str">
        <f aca="false">IF(OR($D346="",$F346=""),"",IF($E346&gt;0,INDEX('R1. Tree Coefficients'!$F:$F,$F346+0)*($D346^INDEX('R1. Tree Coefficients'!$G:$G,$F346+0))*($E346^INDEX('R1. Tree Coefficients'!$H:$H,$F346+0)),INDEX('R1. Tree Coefficients'!$D:$D,$F346+0)*($D346^INDEX('R1. Tree Coefficients'!$E:$E,$F346+0))))</f>
        <v/>
      </c>
      <c r="I346" s="14" t="str">
        <f aca="false">IF(OR($D346="",$F346=""),"",IF($E346&gt;0,INDEX('R1. Tree Coefficients'!$F:$F,$F346+1)*($D346^INDEX('R1. Tree Coefficients'!$G:$G,$F346+1))*($E346^INDEX('R1. Tree Coefficients'!$H:$H,$F346+1)),INDEX('R1. Tree Coefficients'!$D:$D,$F346+1)*($D346^INDEX('R1. Tree Coefficients'!$E:$E,$F346+1))))</f>
        <v/>
      </c>
      <c r="J346" s="14" t="str">
        <f aca="false">IF(OR($D346="",$F346=""),"",IF($E346&gt;0,INDEX('R1. Tree Coefficients'!$F:$F,$F346+2)*($D346^INDEX('R1. Tree Coefficients'!$G:$G,$F346+2))*($E346^INDEX('R1. Tree Coefficients'!$H:$H,$F346+2)),INDEX('R1. Tree Coefficients'!$D:$D,$F346+2)*($D346^INDEX('R1. Tree Coefficients'!$E:$E,$F346+2))))</f>
        <v/>
      </c>
      <c r="K346" s="14" t="str">
        <f aca="false">IF(OR($D346="",$F346=""),"",IF($E346&gt;0,INDEX('R1. Tree Coefficients'!$F:$F,$F346+3)*($D346^INDEX('R1. Tree Coefficients'!$G:$G,$F346+3))*($E346^INDEX('R1. Tree Coefficients'!$H:$H,$F346+3)),INDEX('R1. Tree Coefficients'!$D:$D,$F346+3)*($D346^INDEX('R1. Tree Coefficients'!$E:$E,$F346+3))))</f>
        <v/>
      </c>
      <c r="L346" s="14" t="str">
        <f aca="false">IF($F346="","",IFERROR(SUM($H346:$K346),""))</f>
        <v/>
      </c>
      <c r="M346" s="14" t="str">
        <f aca="false">IF($F346="","",INDEX('R1. Tree Coefficients'!$J:$J,$F346))</f>
        <v/>
      </c>
      <c r="N346" s="14" t="str">
        <f aca="false">IF($L346="","",IF($M346="Deciduous",BGB_RS_DECIDUOUS_a*($L346^BGB_RS_DECIDUOUS_b),IF($M346="Conifers",BGB_RS_CONIFER*$L346,AVERAGE(BGB_RS_DECIDUOUS_a*($L346^BGB_RS_DECIDUOUS_b),BGB_RS_CONIFER*$L346))))</f>
        <v/>
      </c>
      <c r="O346" s="14" t="str">
        <f aca="false">IF($L346="","",$L346+$N346)</f>
        <v/>
      </c>
      <c r="P346" s="14" t="str">
        <f aca="false">IF($O346="","",$O346*CARBON_FRACTION_BIOMASS)</f>
        <v/>
      </c>
      <c r="Q346" s="14" t="str">
        <f aca="false">IF(AND($A346="",$C346=""),"",IF(AND($A346&lt;&gt;"",COUNTIF('1. Plot &amp; Site Log'!$A$5:$A$64,$A346)=0),"Plot ID not in Plot &amp; Site Log — this tree will not reach the summary. ","")&amp;IF($A346="","No Plot ID. ","")&amp;IF(AND($C346&lt;&gt;"",$F346=""),"Species not in the coefficient list — check the spelling against R1. ","")&amp;IF($D346="","No DBH — nothing can be calculated. ","")&amp;IF(AND($D346&lt;&gt;"",$D346&gt;QC_DBH_MAX_CM),"DBH above "&amp;QC_DBH_MAX_CM&amp;" cm — check for a transcription error. ","")&amp;IF($M346="All","Generic species: no published root:shoot applies, so below-ground biomass is the mean of the deciduous and conifer relationships. Choose a species, or Deciduous/Conifers, if you can. ","")&amp;IF(AND($O346&lt;&gt;"",$O346&gt;0,OR($N346/$O346&lt;BGB_FRACTION_MIN,$N346/$O346&gt;BGB_FRACTION_MAX)),"Below-ground share is "&amp;TEXT($N346/$O346,"0%")&amp;", outside the 18–30% the Trees guide describes. ",""))</f>
        <v/>
      </c>
    </row>
    <row r="347" customFormat="false" ht="15" hidden="false" customHeight="false" outlineLevel="0" collapsed="false">
      <c r="A347" s="13"/>
      <c r="B347" s="13"/>
      <c r="C347" s="13"/>
      <c r="D347" s="13"/>
      <c r="E347" s="13"/>
      <c r="F347" s="14" t="str">
        <f aca="false">IF($C347="","",IFERROR(12+(MATCH($C347,'R1. Tree Coefficients'!$L$12:$L$53,0)-1)*4,""))</f>
        <v/>
      </c>
      <c r="G347" s="14" t="str">
        <f aca="false">IF($F347="","",IF(AND($E347&lt;&gt;"",$E347&gt;0),"DBH + height","DBH only"))</f>
        <v/>
      </c>
      <c r="H347" s="14" t="str">
        <f aca="false">IF(OR($D347="",$F347=""),"",IF($E347&gt;0,INDEX('R1. Tree Coefficients'!$F:$F,$F347+0)*($D347^INDEX('R1. Tree Coefficients'!$G:$G,$F347+0))*($E347^INDEX('R1. Tree Coefficients'!$H:$H,$F347+0)),INDEX('R1. Tree Coefficients'!$D:$D,$F347+0)*($D347^INDEX('R1. Tree Coefficients'!$E:$E,$F347+0))))</f>
        <v/>
      </c>
      <c r="I347" s="14" t="str">
        <f aca="false">IF(OR($D347="",$F347=""),"",IF($E347&gt;0,INDEX('R1. Tree Coefficients'!$F:$F,$F347+1)*($D347^INDEX('R1. Tree Coefficients'!$G:$G,$F347+1))*($E347^INDEX('R1. Tree Coefficients'!$H:$H,$F347+1)),INDEX('R1. Tree Coefficients'!$D:$D,$F347+1)*($D347^INDEX('R1. Tree Coefficients'!$E:$E,$F347+1))))</f>
        <v/>
      </c>
      <c r="J347" s="14" t="str">
        <f aca="false">IF(OR($D347="",$F347=""),"",IF($E347&gt;0,INDEX('R1. Tree Coefficients'!$F:$F,$F347+2)*($D347^INDEX('R1. Tree Coefficients'!$G:$G,$F347+2))*($E347^INDEX('R1. Tree Coefficients'!$H:$H,$F347+2)),INDEX('R1. Tree Coefficients'!$D:$D,$F347+2)*($D347^INDEX('R1. Tree Coefficients'!$E:$E,$F347+2))))</f>
        <v/>
      </c>
      <c r="K347" s="14" t="str">
        <f aca="false">IF(OR($D347="",$F347=""),"",IF($E347&gt;0,INDEX('R1. Tree Coefficients'!$F:$F,$F347+3)*($D347^INDEX('R1. Tree Coefficients'!$G:$G,$F347+3))*($E347^INDEX('R1. Tree Coefficients'!$H:$H,$F347+3)),INDEX('R1. Tree Coefficients'!$D:$D,$F347+3)*($D347^INDEX('R1. Tree Coefficients'!$E:$E,$F347+3))))</f>
        <v/>
      </c>
      <c r="L347" s="14" t="str">
        <f aca="false">IF($F347="","",IFERROR(SUM($H347:$K347),""))</f>
        <v/>
      </c>
      <c r="M347" s="14" t="str">
        <f aca="false">IF($F347="","",INDEX('R1. Tree Coefficients'!$J:$J,$F347))</f>
        <v/>
      </c>
      <c r="N347" s="14" t="str">
        <f aca="false">IF($L347="","",IF($M347="Deciduous",BGB_RS_DECIDUOUS_a*($L347^BGB_RS_DECIDUOUS_b),IF($M347="Conifers",BGB_RS_CONIFER*$L347,AVERAGE(BGB_RS_DECIDUOUS_a*($L347^BGB_RS_DECIDUOUS_b),BGB_RS_CONIFER*$L347))))</f>
        <v/>
      </c>
      <c r="O347" s="14" t="str">
        <f aca="false">IF($L347="","",$L347+$N347)</f>
        <v/>
      </c>
      <c r="P347" s="14" t="str">
        <f aca="false">IF($O347="","",$O347*CARBON_FRACTION_BIOMASS)</f>
        <v/>
      </c>
      <c r="Q347" s="14" t="str">
        <f aca="false">IF(AND($A347="",$C347=""),"",IF(AND($A347&lt;&gt;"",COUNTIF('1. Plot &amp; Site Log'!$A$5:$A$64,$A347)=0),"Plot ID not in Plot &amp; Site Log — this tree will not reach the summary. ","")&amp;IF($A347="","No Plot ID. ","")&amp;IF(AND($C347&lt;&gt;"",$F347=""),"Species not in the coefficient list — check the spelling against R1. ","")&amp;IF($D347="","No DBH — nothing can be calculated. ","")&amp;IF(AND($D347&lt;&gt;"",$D347&gt;QC_DBH_MAX_CM),"DBH above "&amp;QC_DBH_MAX_CM&amp;" cm — check for a transcription error. ","")&amp;IF($M347="All","Generic species: no published root:shoot applies, so below-ground biomass is the mean of the deciduous and conifer relationships. Choose a species, or Deciduous/Conifers, if you can. ","")&amp;IF(AND($O347&lt;&gt;"",$O347&gt;0,OR($N347/$O347&lt;BGB_FRACTION_MIN,$N347/$O347&gt;BGB_FRACTION_MAX)),"Below-ground share is "&amp;TEXT($N347/$O347,"0%")&amp;", outside the 18–30% the Trees guide describes. ",""))</f>
        <v/>
      </c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4" t="str">
        <f aca="false">IF($C348="","",IFERROR(12+(MATCH($C348,'R1. Tree Coefficients'!$L$12:$L$53,0)-1)*4,""))</f>
        <v/>
      </c>
      <c r="G348" s="14" t="str">
        <f aca="false">IF($F348="","",IF(AND($E348&lt;&gt;"",$E348&gt;0),"DBH + height","DBH only"))</f>
        <v/>
      </c>
      <c r="H348" s="14" t="str">
        <f aca="false">IF(OR($D348="",$F348=""),"",IF($E348&gt;0,INDEX('R1. Tree Coefficients'!$F:$F,$F348+0)*($D348^INDEX('R1. Tree Coefficients'!$G:$G,$F348+0))*($E348^INDEX('R1. Tree Coefficients'!$H:$H,$F348+0)),INDEX('R1. Tree Coefficients'!$D:$D,$F348+0)*($D348^INDEX('R1. Tree Coefficients'!$E:$E,$F348+0))))</f>
        <v/>
      </c>
      <c r="I348" s="14" t="str">
        <f aca="false">IF(OR($D348="",$F348=""),"",IF($E348&gt;0,INDEX('R1. Tree Coefficients'!$F:$F,$F348+1)*($D348^INDEX('R1. Tree Coefficients'!$G:$G,$F348+1))*($E348^INDEX('R1. Tree Coefficients'!$H:$H,$F348+1)),INDEX('R1. Tree Coefficients'!$D:$D,$F348+1)*($D348^INDEX('R1. Tree Coefficients'!$E:$E,$F348+1))))</f>
        <v/>
      </c>
      <c r="J348" s="14" t="str">
        <f aca="false">IF(OR($D348="",$F348=""),"",IF($E348&gt;0,INDEX('R1. Tree Coefficients'!$F:$F,$F348+2)*($D348^INDEX('R1. Tree Coefficients'!$G:$G,$F348+2))*($E348^INDEX('R1. Tree Coefficients'!$H:$H,$F348+2)),INDEX('R1. Tree Coefficients'!$D:$D,$F348+2)*($D348^INDEX('R1. Tree Coefficients'!$E:$E,$F348+2))))</f>
        <v/>
      </c>
      <c r="K348" s="14" t="str">
        <f aca="false">IF(OR($D348="",$F348=""),"",IF($E348&gt;0,INDEX('R1. Tree Coefficients'!$F:$F,$F348+3)*($D348^INDEX('R1. Tree Coefficients'!$G:$G,$F348+3))*($E348^INDEX('R1. Tree Coefficients'!$H:$H,$F348+3)),INDEX('R1. Tree Coefficients'!$D:$D,$F348+3)*($D348^INDEX('R1. Tree Coefficients'!$E:$E,$F348+3))))</f>
        <v/>
      </c>
      <c r="L348" s="14" t="str">
        <f aca="false">IF($F348="","",IFERROR(SUM($H348:$K348),""))</f>
        <v/>
      </c>
      <c r="M348" s="14" t="str">
        <f aca="false">IF($F348="","",INDEX('R1. Tree Coefficients'!$J:$J,$F348))</f>
        <v/>
      </c>
      <c r="N348" s="14" t="str">
        <f aca="false">IF($L348="","",IF($M348="Deciduous",BGB_RS_DECIDUOUS_a*($L348^BGB_RS_DECIDUOUS_b),IF($M348="Conifers",BGB_RS_CONIFER*$L348,AVERAGE(BGB_RS_DECIDUOUS_a*($L348^BGB_RS_DECIDUOUS_b),BGB_RS_CONIFER*$L348))))</f>
        <v/>
      </c>
      <c r="O348" s="14" t="str">
        <f aca="false">IF($L348="","",$L348+$N348)</f>
        <v/>
      </c>
      <c r="P348" s="14" t="str">
        <f aca="false">IF($O348="","",$O348*CARBON_FRACTION_BIOMASS)</f>
        <v/>
      </c>
      <c r="Q348" s="14" t="str">
        <f aca="false">IF(AND($A348="",$C348=""),"",IF(AND($A348&lt;&gt;"",COUNTIF('1. Plot &amp; Site Log'!$A$5:$A$64,$A348)=0),"Plot ID not in Plot &amp; Site Log — this tree will not reach the summary. ","")&amp;IF($A348="","No Plot ID. ","")&amp;IF(AND($C348&lt;&gt;"",$F348=""),"Species not in the coefficient list — check the spelling against R1. ","")&amp;IF($D348="","No DBH — nothing can be calculated. ","")&amp;IF(AND($D348&lt;&gt;"",$D348&gt;QC_DBH_MAX_CM),"DBH above "&amp;QC_DBH_MAX_CM&amp;" cm — check for a transcription error. ","")&amp;IF($M348="All","Generic species: no published root:shoot applies, so below-ground biomass is the mean of the deciduous and conifer relationships. Choose a species, or Deciduous/Conifers, if you can. ","")&amp;IF(AND($O348&lt;&gt;"",$O348&gt;0,OR($N348/$O348&lt;BGB_FRACTION_MIN,$N348/$O348&gt;BGB_FRACTION_MAX)),"Below-ground share is "&amp;TEXT($N348/$O348,"0%")&amp;", outside the 18–30% the Trees guide describes. ",""))</f>
        <v/>
      </c>
    </row>
    <row r="349" customFormat="false" ht="15" hidden="false" customHeight="false" outlineLevel="0" collapsed="false">
      <c r="A349" s="13"/>
      <c r="B349" s="13"/>
      <c r="C349" s="13"/>
      <c r="D349" s="13"/>
      <c r="E349" s="13"/>
      <c r="F349" s="14" t="str">
        <f aca="false">IF($C349="","",IFERROR(12+(MATCH($C349,'R1. Tree Coefficients'!$L$12:$L$53,0)-1)*4,""))</f>
        <v/>
      </c>
      <c r="G349" s="14" t="str">
        <f aca="false">IF($F349="","",IF(AND($E349&lt;&gt;"",$E349&gt;0),"DBH + height","DBH only"))</f>
        <v/>
      </c>
      <c r="H349" s="14" t="str">
        <f aca="false">IF(OR($D349="",$F349=""),"",IF($E349&gt;0,INDEX('R1. Tree Coefficients'!$F:$F,$F349+0)*($D349^INDEX('R1. Tree Coefficients'!$G:$G,$F349+0))*($E349^INDEX('R1. Tree Coefficients'!$H:$H,$F349+0)),INDEX('R1. Tree Coefficients'!$D:$D,$F349+0)*($D349^INDEX('R1. Tree Coefficients'!$E:$E,$F349+0))))</f>
        <v/>
      </c>
      <c r="I349" s="14" t="str">
        <f aca="false">IF(OR($D349="",$F349=""),"",IF($E349&gt;0,INDEX('R1. Tree Coefficients'!$F:$F,$F349+1)*($D349^INDEX('R1. Tree Coefficients'!$G:$G,$F349+1))*($E349^INDEX('R1. Tree Coefficients'!$H:$H,$F349+1)),INDEX('R1. Tree Coefficients'!$D:$D,$F349+1)*($D349^INDEX('R1. Tree Coefficients'!$E:$E,$F349+1))))</f>
        <v/>
      </c>
      <c r="J349" s="14" t="str">
        <f aca="false">IF(OR($D349="",$F349=""),"",IF($E349&gt;0,INDEX('R1. Tree Coefficients'!$F:$F,$F349+2)*($D349^INDEX('R1. Tree Coefficients'!$G:$G,$F349+2))*($E349^INDEX('R1. Tree Coefficients'!$H:$H,$F349+2)),INDEX('R1. Tree Coefficients'!$D:$D,$F349+2)*($D349^INDEX('R1. Tree Coefficients'!$E:$E,$F349+2))))</f>
        <v/>
      </c>
      <c r="K349" s="14" t="str">
        <f aca="false">IF(OR($D349="",$F349=""),"",IF($E349&gt;0,INDEX('R1. Tree Coefficients'!$F:$F,$F349+3)*($D349^INDEX('R1. Tree Coefficients'!$G:$G,$F349+3))*($E349^INDEX('R1. Tree Coefficients'!$H:$H,$F349+3)),INDEX('R1. Tree Coefficients'!$D:$D,$F349+3)*($D349^INDEX('R1. Tree Coefficients'!$E:$E,$F349+3))))</f>
        <v/>
      </c>
      <c r="L349" s="14" t="str">
        <f aca="false">IF($F349="","",IFERROR(SUM($H349:$K349),""))</f>
        <v/>
      </c>
      <c r="M349" s="14" t="str">
        <f aca="false">IF($F349="","",INDEX('R1. Tree Coefficients'!$J:$J,$F349))</f>
        <v/>
      </c>
      <c r="N349" s="14" t="str">
        <f aca="false">IF($L349="","",IF($M349="Deciduous",BGB_RS_DECIDUOUS_a*($L349^BGB_RS_DECIDUOUS_b),IF($M349="Conifers",BGB_RS_CONIFER*$L349,AVERAGE(BGB_RS_DECIDUOUS_a*($L349^BGB_RS_DECIDUOUS_b),BGB_RS_CONIFER*$L349))))</f>
        <v/>
      </c>
      <c r="O349" s="14" t="str">
        <f aca="false">IF($L349="","",$L349+$N349)</f>
        <v/>
      </c>
      <c r="P349" s="14" t="str">
        <f aca="false">IF($O349="","",$O349*CARBON_FRACTION_BIOMASS)</f>
        <v/>
      </c>
      <c r="Q349" s="14" t="str">
        <f aca="false">IF(AND($A349="",$C349=""),"",IF(AND($A349&lt;&gt;"",COUNTIF('1. Plot &amp; Site Log'!$A$5:$A$64,$A349)=0),"Plot ID not in Plot &amp; Site Log — this tree will not reach the summary. ","")&amp;IF($A349="","No Plot ID. ","")&amp;IF(AND($C349&lt;&gt;"",$F349=""),"Species not in the coefficient list — check the spelling against R1. ","")&amp;IF($D349="","No DBH — nothing can be calculated. ","")&amp;IF(AND($D349&lt;&gt;"",$D349&gt;QC_DBH_MAX_CM),"DBH above "&amp;QC_DBH_MAX_CM&amp;" cm — check for a transcription error. ","")&amp;IF($M349="All","Generic species: no published root:shoot applies, so below-ground biomass is the mean of the deciduous and conifer relationships. Choose a species, or Deciduous/Conifers, if you can. ","")&amp;IF(AND($O349&lt;&gt;"",$O349&gt;0,OR($N349/$O349&lt;BGB_FRACTION_MIN,$N349/$O349&gt;BGB_FRACTION_MAX)),"Below-ground share is "&amp;TEXT($N349/$O349,"0%")&amp;", outside the 18–30% the Trees guide describes. ",""))</f>
        <v/>
      </c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4" t="str">
        <f aca="false">IF($C350="","",IFERROR(12+(MATCH($C350,'R1. Tree Coefficients'!$L$12:$L$53,0)-1)*4,""))</f>
        <v/>
      </c>
      <c r="G350" s="14" t="str">
        <f aca="false">IF($F350="","",IF(AND($E350&lt;&gt;"",$E350&gt;0),"DBH + height","DBH only"))</f>
        <v/>
      </c>
      <c r="H350" s="14" t="str">
        <f aca="false">IF(OR($D350="",$F350=""),"",IF($E350&gt;0,INDEX('R1. Tree Coefficients'!$F:$F,$F350+0)*($D350^INDEX('R1. Tree Coefficients'!$G:$G,$F350+0))*($E350^INDEX('R1. Tree Coefficients'!$H:$H,$F350+0)),INDEX('R1. Tree Coefficients'!$D:$D,$F350+0)*($D350^INDEX('R1. Tree Coefficients'!$E:$E,$F350+0))))</f>
        <v/>
      </c>
      <c r="I350" s="14" t="str">
        <f aca="false">IF(OR($D350="",$F350=""),"",IF($E350&gt;0,INDEX('R1. Tree Coefficients'!$F:$F,$F350+1)*($D350^INDEX('R1. Tree Coefficients'!$G:$G,$F350+1))*($E350^INDEX('R1. Tree Coefficients'!$H:$H,$F350+1)),INDEX('R1. Tree Coefficients'!$D:$D,$F350+1)*($D350^INDEX('R1. Tree Coefficients'!$E:$E,$F350+1))))</f>
        <v/>
      </c>
      <c r="J350" s="14" t="str">
        <f aca="false">IF(OR($D350="",$F350=""),"",IF($E350&gt;0,INDEX('R1. Tree Coefficients'!$F:$F,$F350+2)*($D350^INDEX('R1. Tree Coefficients'!$G:$G,$F350+2))*($E350^INDEX('R1. Tree Coefficients'!$H:$H,$F350+2)),INDEX('R1. Tree Coefficients'!$D:$D,$F350+2)*($D350^INDEX('R1. Tree Coefficients'!$E:$E,$F350+2))))</f>
        <v/>
      </c>
      <c r="K350" s="14" t="str">
        <f aca="false">IF(OR($D350="",$F350=""),"",IF($E350&gt;0,INDEX('R1. Tree Coefficients'!$F:$F,$F350+3)*($D350^INDEX('R1. Tree Coefficients'!$G:$G,$F350+3))*($E350^INDEX('R1. Tree Coefficients'!$H:$H,$F350+3)),INDEX('R1. Tree Coefficients'!$D:$D,$F350+3)*($D350^INDEX('R1. Tree Coefficients'!$E:$E,$F350+3))))</f>
        <v/>
      </c>
      <c r="L350" s="14" t="str">
        <f aca="false">IF($F350="","",IFERROR(SUM($H350:$K350),""))</f>
        <v/>
      </c>
      <c r="M350" s="14" t="str">
        <f aca="false">IF($F350="","",INDEX('R1. Tree Coefficients'!$J:$J,$F350))</f>
        <v/>
      </c>
      <c r="N350" s="14" t="str">
        <f aca="false">IF($L350="","",IF($M350="Deciduous",BGB_RS_DECIDUOUS_a*($L350^BGB_RS_DECIDUOUS_b),IF($M350="Conifers",BGB_RS_CONIFER*$L350,AVERAGE(BGB_RS_DECIDUOUS_a*($L350^BGB_RS_DECIDUOUS_b),BGB_RS_CONIFER*$L350))))</f>
        <v/>
      </c>
      <c r="O350" s="14" t="str">
        <f aca="false">IF($L350="","",$L350+$N350)</f>
        <v/>
      </c>
      <c r="P350" s="14" t="str">
        <f aca="false">IF($O350="","",$O350*CARBON_FRACTION_BIOMASS)</f>
        <v/>
      </c>
      <c r="Q350" s="14" t="str">
        <f aca="false">IF(AND($A350="",$C350=""),"",IF(AND($A350&lt;&gt;"",COUNTIF('1. Plot &amp; Site Log'!$A$5:$A$64,$A350)=0),"Plot ID not in Plot &amp; Site Log — this tree will not reach the summary. ","")&amp;IF($A350="","No Plot ID. ","")&amp;IF(AND($C350&lt;&gt;"",$F350=""),"Species not in the coefficient list — check the spelling against R1. ","")&amp;IF($D350="","No DBH — nothing can be calculated. ","")&amp;IF(AND($D350&lt;&gt;"",$D350&gt;QC_DBH_MAX_CM),"DBH above "&amp;QC_DBH_MAX_CM&amp;" cm — check for a transcription error. ","")&amp;IF($M350="All","Generic species: no published root:shoot applies, so below-ground biomass is the mean of the deciduous and conifer relationships. Choose a species, or Deciduous/Conifers, if you can. ","")&amp;IF(AND($O350&lt;&gt;"",$O350&gt;0,OR($N350/$O350&lt;BGB_FRACTION_MIN,$N350/$O350&gt;BGB_FRACTION_MAX)),"Below-ground share is "&amp;TEXT($N350/$O350,"0%")&amp;", outside the 18–30% the Trees guide describes. ",""))</f>
        <v/>
      </c>
    </row>
    <row r="351" customFormat="false" ht="15" hidden="false" customHeight="false" outlineLevel="0" collapsed="false">
      <c r="A351" s="13"/>
      <c r="B351" s="13"/>
      <c r="C351" s="13"/>
      <c r="D351" s="13"/>
      <c r="E351" s="13"/>
      <c r="F351" s="14" t="str">
        <f aca="false">IF($C351="","",IFERROR(12+(MATCH($C351,'R1. Tree Coefficients'!$L$12:$L$53,0)-1)*4,""))</f>
        <v/>
      </c>
      <c r="G351" s="14" t="str">
        <f aca="false">IF($F351="","",IF(AND($E351&lt;&gt;"",$E351&gt;0),"DBH + height","DBH only"))</f>
        <v/>
      </c>
      <c r="H351" s="14" t="str">
        <f aca="false">IF(OR($D351="",$F351=""),"",IF($E351&gt;0,INDEX('R1. Tree Coefficients'!$F:$F,$F351+0)*($D351^INDEX('R1. Tree Coefficients'!$G:$G,$F351+0))*($E351^INDEX('R1. Tree Coefficients'!$H:$H,$F351+0)),INDEX('R1. Tree Coefficients'!$D:$D,$F351+0)*($D351^INDEX('R1. Tree Coefficients'!$E:$E,$F351+0))))</f>
        <v/>
      </c>
      <c r="I351" s="14" t="str">
        <f aca="false">IF(OR($D351="",$F351=""),"",IF($E351&gt;0,INDEX('R1. Tree Coefficients'!$F:$F,$F351+1)*($D351^INDEX('R1. Tree Coefficients'!$G:$G,$F351+1))*($E351^INDEX('R1. Tree Coefficients'!$H:$H,$F351+1)),INDEX('R1. Tree Coefficients'!$D:$D,$F351+1)*($D351^INDEX('R1. Tree Coefficients'!$E:$E,$F351+1))))</f>
        <v/>
      </c>
      <c r="J351" s="14" t="str">
        <f aca="false">IF(OR($D351="",$F351=""),"",IF($E351&gt;0,INDEX('R1. Tree Coefficients'!$F:$F,$F351+2)*($D351^INDEX('R1. Tree Coefficients'!$G:$G,$F351+2))*($E351^INDEX('R1. Tree Coefficients'!$H:$H,$F351+2)),INDEX('R1. Tree Coefficients'!$D:$D,$F351+2)*($D351^INDEX('R1. Tree Coefficients'!$E:$E,$F351+2))))</f>
        <v/>
      </c>
      <c r="K351" s="14" t="str">
        <f aca="false">IF(OR($D351="",$F351=""),"",IF($E351&gt;0,INDEX('R1. Tree Coefficients'!$F:$F,$F351+3)*($D351^INDEX('R1. Tree Coefficients'!$G:$G,$F351+3))*($E351^INDEX('R1. Tree Coefficients'!$H:$H,$F351+3)),INDEX('R1. Tree Coefficients'!$D:$D,$F351+3)*($D351^INDEX('R1. Tree Coefficients'!$E:$E,$F351+3))))</f>
        <v/>
      </c>
      <c r="L351" s="14" t="str">
        <f aca="false">IF($F351="","",IFERROR(SUM($H351:$K351),""))</f>
        <v/>
      </c>
      <c r="M351" s="14" t="str">
        <f aca="false">IF($F351="","",INDEX('R1. Tree Coefficients'!$J:$J,$F351))</f>
        <v/>
      </c>
      <c r="N351" s="14" t="str">
        <f aca="false">IF($L351="","",IF($M351="Deciduous",BGB_RS_DECIDUOUS_a*($L351^BGB_RS_DECIDUOUS_b),IF($M351="Conifers",BGB_RS_CONIFER*$L351,AVERAGE(BGB_RS_DECIDUOUS_a*($L351^BGB_RS_DECIDUOUS_b),BGB_RS_CONIFER*$L351))))</f>
        <v/>
      </c>
      <c r="O351" s="14" t="str">
        <f aca="false">IF($L351="","",$L351+$N351)</f>
        <v/>
      </c>
      <c r="P351" s="14" t="str">
        <f aca="false">IF($O351="","",$O351*CARBON_FRACTION_BIOMASS)</f>
        <v/>
      </c>
      <c r="Q351" s="14" t="str">
        <f aca="false">IF(AND($A351="",$C351=""),"",IF(AND($A351&lt;&gt;"",COUNTIF('1. Plot &amp; Site Log'!$A$5:$A$64,$A351)=0),"Plot ID not in Plot &amp; Site Log — this tree will not reach the summary. ","")&amp;IF($A351="","No Plot ID. ","")&amp;IF(AND($C351&lt;&gt;"",$F351=""),"Species not in the coefficient list — check the spelling against R1. ","")&amp;IF($D351="","No DBH — nothing can be calculated. ","")&amp;IF(AND($D351&lt;&gt;"",$D351&gt;QC_DBH_MAX_CM),"DBH above "&amp;QC_DBH_MAX_CM&amp;" cm — check for a transcription error. ","")&amp;IF($M351="All","Generic species: no published root:shoot applies, so below-ground biomass is the mean of the deciduous and conifer relationships. Choose a species, or Deciduous/Conifers, if you can. ","")&amp;IF(AND($O351&lt;&gt;"",$O351&gt;0,OR($N351/$O351&lt;BGB_FRACTION_MIN,$N351/$O351&gt;BGB_FRACTION_MAX)),"Below-ground share is "&amp;TEXT($N351/$O351,"0%")&amp;", outside the 18–30% the Trees guide describes. ",""))</f>
        <v/>
      </c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4" t="str">
        <f aca="false">IF($C352="","",IFERROR(12+(MATCH($C352,'R1. Tree Coefficients'!$L$12:$L$53,0)-1)*4,""))</f>
        <v/>
      </c>
      <c r="G352" s="14" t="str">
        <f aca="false">IF($F352="","",IF(AND($E352&lt;&gt;"",$E352&gt;0),"DBH + height","DBH only"))</f>
        <v/>
      </c>
      <c r="H352" s="14" t="str">
        <f aca="false">IF(OR($D352="",$F352=""),"",IF($E352&gt;0,INDEX('R1. Tree Coefficients'!$F:$F,$F352+0)*($D352^INDEX('R1. Tree Coefficients'!$G:$G,$F352+0))*($E352^INDEX('R1. Tree Coefficients'!$H:$H,$F352+0)),INDEX('R1. Tree Coefficients'!$D:$D,$F352+0)*($D352^INDEX('R1. Tree Coefficients'!$E:$E,$F352+0))))</f>
        <v/>
      </c>
      <c r="I352" s="14" t="str">
        <f aca="false">IF(OR($D352="",$F352=""),"",IF($E352&gt;0,INDEX('R1. Tree Coefficients'!$F:$F,$F352+1)*($D352^INDEX('R1. Tree Coefficients'!$G:$G,$F352+1))*($E352^INDEX('R1. Tree Coefficients'!$H:$H,$F352+1)),INDEX('R1. Tree Coefficients'!$D:$D,$F352+1)*($D352^INDEX('R1. Tree Coefficients'!$E:$E,$F352+1))))</f>
        <v/>
      </c>
      <c r="J352" s="14" t="str">
        <f aca="false">IF(OR($D352="",$F352=""),"",IF($E352&gt;0,INDEX('R1. Tree Coefficients'!$F:$F,$F352+2)*($D352^INDEX('R1. Tree Coefficients'!$G:$G,$F352+2))*($E352^INDEX('R1. Tree Coefficients'!$H:$H,$F352+2)),INDEX('R1. Tree Coefficients'!$D:$D,$F352+2)*($D352^INDEX('R1. Tree Coefficients'!$E:$E,$F352+2))))</f>
        <v/>
      </c>
      <c r="K352" s="14" t="str">
        <f aca="false">IF(OR($D352="",$F352=""),"",IF($E352&gt;0,INDEX('R1. Tree Coefficients'!$F:$F,$F352+3)*($D352^INDEX('R1. Tree Coefficients'!$G:$G,$F352+3))*($E352^INDEX('R1. Tree Coefficients'!$H:$H,$F352+3)),INDEX('R1. Tree Coefficients'!$D:$D,$F352+3)*($D352^INDEX('R1. Tree Coefficients'!$E:$E,$F352+3))))</f>
        <v/>
      </c>
      <c r="L352" s="14" t="str">
        <f aca="false">IF($F352="","",IFERROR(SUM($H352:$K352),""))</f>
        <v/>
      </c>
      <c r="M352" s="14" t="str">
        <f aca="false">IF($F352="","",INDEX('R1. Tree Coefficients'!$J:$J,$F352))</f>
        <v/>
      </c>
      <c r="N352" s="14" t="str">
        <f aca="false">IF($L352="","",IF($M352="Deciduous",BGB_RS_DECIDUOUS_a*($L352^BGB_RS_DECIDUOUS_b),IF($M352="Conifers",BGB_RS_CONIFER*$L352,AVERAGE(BGB_RS_DECIDUOUS_a*($L352^BGB_RS_DECIDUOUS_b),BGB_RS_CONIFER*$L352))))</f>
        <v/>
      </c>
      <c r="O352" s="14" t="str">
        <f aca="false">IF($L352="","",$L352+$N352)</f>
        <v/>
      </c>
      <c r="P352" s="14" t="str">
        <f aca="false">IF($O352="","",$O352*CARBON_FRACTION_BIOMASS)</f>
        <v/>
      </c>
      <c r="Q352" s="14" t="str">
        <f aca="false">IF(AND($A352="",$C352=""),"",IF(AND($A352&lt;&gt;"",COUNTIF('1. Plot &amp; Site Log'!$A$5:$A$64,$A352)=0),"Plot ID not in Plot &amp; Site Log — this tree will not reach the summary. ","")&amp;IF($A352="","No Plot ID. ","")&amp;IF(AND($C352&lt;&gt;"",$F352=""),"Species not in the coefficient list — check the spelling against R1. ","")&amp;IF($D352="","No DBH — nothing can be calculated. ","")&amp;IF(AND($D352&lt;&gt;"",$D352&gt;QC_DBH_MAX_CM),"DBH above "&amp;QC_DBH_MAX_CM&amp;" cm — check for a transcription error. ","")&amp;IF($M352="All","Generic species: no published root:shoot applies, so below-ground biomass is the mean of the deciduous and conifer relationships. Choose a species, or Deciduous/Conifers, if you can. ","")&amp;IF(AND($O352&lt;&gt;"",$O352&gt;0,OR($N352/$O352&lt;BGB_FRACTION_MIN,$N352/$O352&gt;BGB_FRACTION_MAX)),"Below-ground share is "&amp;TEXT($N352/$O352,"0%")&amp;", outside the 18–30% the Trees guide describes. ",""))</f>
        <v/>
      </c>
    </row>
    <row r="353" customFormat="false" ht="15" hidden="false" customHeight="false" outlineLevel="0" collapsed="false">
      <c r="A353" s="13"/>
      <c r="B353" s="13"/>
      <c r="C353" s="13"/>
      <c r="D353" s="13"/>
      <c r="E353" s="13"/>
      <c r="F353" s="14" t="str">
        <f aca="false">IF($C353="","",IFERROR(12+(MATCH($C353,'R1. Tree Coefficients'!$L$12:$L$53,0)-1)*4,""))</f>
        <v/>
      </c>
      <c r="G353" s="14" t="str">
        <f aca="false">IF($F353="","",IF(AND($E353&lt;&gt;"",$E353&gt;0),"DBH + height","DBH only"))</f>
        <v/>
      </c>
      <c r="H353" s="14" t="str">
        <f aca="false">IF(OR($D353="",$F353=""),"",IF($E353&gt;0,INDEX('R1. Tree Coefficients'!$F:$F,$F353+0)*($D353^INDEX('R1. Tree Coefficients'!$G:$G,$F353+0))*($E353^INDEX('R1. Tree Coefficients'!$H:$H,$F353+0)),INDEX('R1. Tree Coefficients'!$D:$D,$F353+0)*($D353^INDEX('R1. Tree Coefficients'!$E:$E,$F353+0))))</f>
        <v/>
      </c>
      <c r="I353" s="14" t="str">
        <f aca="false">IF(OR($D353="",$F353=""),"",IF($E353&gt;0,INDEX('R1. Tree Coefficients'!$F:$F,$F353+1)*($D353^INDEX('R1. Tree Coefficients'!$G:$G,$F353+1))*($E353^INDEX('R1. Tree Coefficients'!$H:$H,$F353+1)),INDEX('R1. Tree Coefficients'!$D:$D,$F353+1)*($D353^INDEX('R1. Tree Coefficients'!$E:$E,$F353+1))))</f>
        <v/>
      </c>
      <c r="J353" s="14" t="str">
        <f aca="false">IF(OR($D353="",$F353=""),"",IF($E353&gt;0,INDEX('R1. Tree Coefficients'!$F:$F,$F353+2)*($D353^INDEX('R1. Tree Coefficients'!$G:$G,$F353+2))*($E353^INDEX('R1. Tree Coefficients'!$H:$H,$F353+2)),INDEX('R1. Tree Coefficients'!$D:$D,$F353+2)*($D353^INDEX('R1. Tree Coefficients'!$E:$E,$F353+2))))</f>
        <v/>
      </c>
      <c r="K353" s="14" t="str">
        <f aca="false">IF(OR($D353="",$F353=""),"",IF($E353&gt;0,INDEX('R1. Tree Coefficients'!$F:$F,$F353+3)*($D353^INDEX('R1. Tree Coefficients'!$G:$G,$F353+3))*($E353^INDEX('R1. Tree Coefficients'!$H:$H,$F353+3)),INDEX('R1. Tree Coefficients'!$D:$D,$F353+3)*($D353^INDEX('R1. Tree Coefficients'!$E:$E,$F353+3))))</f>
        <v/>
      </c>
      <c r="L353" s="14" t="str">
        <f aca="false">IF($F353="","",IFERROR(SUM($H353:$K353),""))</f>
        <v/>
      </c>
      <c r="M353" s="14" t="str">
        <f aca="false">IF($F353="","",INDEX('R1. Tree Coefficients'!$J:$J,$F353))</f>
        <v/>
      </c>
      <c r="N353" s="14" t="str">
        <f aca="false">IF($L353="","",IF($M353="Deciduous",BGB_RS_DECIDUOUS_a*($L353^BGB_RS_DECIDUOUS_b),IF($M353="Conifers",BGB_RS_CONIFER*$L353,AVERAGE(BGB_RS_DECIDUOUS_a*($L353^BGB_RS_DECIDUOUS_b),BGB_RS_CONIFER*$L353))))</f>
        <v/>
      </c>
      <c r="O353" s="14" t="str">
        <f aca="false">IF($L353="","",$L353+$N353)</f>
        <v/>
      </c>
      <c r="P353" s="14" t="str">
        <f aca="false">IF($O353="","",$O353*CARBON_FRACTION_BIOMASS)</f>
        <v/>
      </c>
      <c r="Q353" s="14" t="str">
        <f aca="false">IF(AND($A353="",$C353=""),"",IF(AND($A353&lt;&gt;"",COUNTIF('1. Plot &amp; Site Log'!$A$5:$A$64,$A353)=0),"Plot ID not in Plot &amp; Site Log — this tree will not reach the summary. ","")&amp;IF($A353="","No Plot ID. ","")&amp;IF(AND($C353&lt;&gt;"",$F353=""),"Species not in the coefficient list — check the spelling against R1. ","")&amp;IF($D353="","No DBH — nothing can be calculated. ","")&amp;IF(AND($D353&lt;&gt;"",$D353&gt;QC_DBH_MAX_CM),"DBH above "&amp;QC_DBH_MAX_CM&amp;" cm — check for a transcription error. ","")&amp;IF($M353="All","Generic species: no published root:shoot applies, so below-ground biomass is the mean of the deciduous and conifer relationships. Choose a species, or Deciduous/Conifers, if you can. ","")&amp;IF(AND($O353&lt;&gt;"",$O353&gt;0,OR($N353/$O353&lt;BGB_FRACTION_MIN,$N353/$O353&gt;BGB_FRACTION_MAX)),"Below-ground share is "&amp;TEXT($N353/$O353,"0%")&amp;", outside the 18–30% the Trees guide describes. ",""))</f>
        <v/>
      </c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4" t="str">
        <f aca="false">IF($C354="","",IFERROR(12+(MATCH($C354,'R1. Tree Coefficients'!$L$12:$L$53,0)-1)*4,""))</f>
        <v/>
      </c>
      <c r="G354" s="14" t="str">
        <f aca="false">IF($F354="","",IF(AND($E354&lt;&gt;"",$E354&gt;0),"DBH + height","DBH only"))</f>
        <v/>
      </c>
      <c r="H354" s="14" t="str">
        <f aca="false">IF(OR($D354="",$F354=""),"",IF($E354&gt;0,INDEX('R1. Tree Coefficients'!$F:$F,$F354+0)*($D354^INDEX('R1. Tree Coefficients'!$G:$G,$F354+0))*($E354^INDEX('R1. Tree Coefficients'!$H:$H,$F354+0)),INDEX('R1. Tree Coefficients'!$D:$D,$F354+0)*($D354^INDEX('R1. Tree Coefficients'!$E:$E,$F354+0))))</f>
        <v/>
      </c>
      <c r="I354" s="14" t="str">
        <f aca="false">IF(OR($D354="",$F354=""),"",IF($E354&gt;0,INDEX('R1. Tree Coefficients'!$F:$F,$F354+1)*($D354^INDEX('R1. Tree Coefficients'!$G:$G,$F354+1))*($E354^INDEX('R1. Tree Coefficients'!$H:$H,$F354+1)),INDEX('R1. Tree Coefficients'!$D:$D,$F354+1)*($D354^INDEX('R1. Tree Coefficients'!$E:$E,$F354+1))))</f>
        <v/>
      </c>
      <c r="J354" s="14" t="str">
        <f aca="false">IF(OR($D354="",$F354=""),"",IF($E354&gt;0,INDEX('R1. Tree Coefficients'!$F:$F,$F354+2)*($D354^INDEX('R1. Tree Coefficients'!$G:$G,$F354+2))*($E354^INDEX('R1. Tree Coefficients'!$H:$H,$F354+2)),INDEX('R1. Tree Coefficients'!$D:$D,$F354+2)*($D354^INDEX('R1. Tree Coefficients'!$E:$E,$F354+2))))</f>
        <v/>
      </c>
      <c r="K354" s="14" t="str">
        <f aca="false">IF(OR($D354="",$F354=""),"",IF($E354&gt;0,INDEX('R1. Tree Coefficients'!$F:$F,$F354+3)*($D354^INDEX('R1. Tree Coefficients'!$G:$G,$F354+3))*($E354^INDEX('R1. Tree Coefficients'!$H:$H,$F354+3)),INDEX('R1. Tree Coefficients'!$D:$D,$F354+3)*($D354^INDEX('R1. Tree Coefficients'!$E:$E,$F354+3))))</f>
        <v/>
      </c>
      <c r="L354" s="14" t="str">
        <f aca="false">IF($F354="","",IFERROR(SUM($H354:$K354),""))</f>
        <v/>
      </c>
      <c r="M354" s="14" t="str">
        <f aca="false">IF($F354="","",INDEX('R1. Tree Coefficients'!$J:$J,$F354))</f>
        <v/>
      </c>
      <c r="N354" s="14" t="str">
        <f aca="false">IF($L354="","",IF($M354="Deciduous",BGB_RS_DECIDUOUS_a*($L354^BGB_RS_DECIDUOUS_b),IF($M354="Conifers",BGB_RS_CONIFER*$L354,AVERAGE(BGB_RS_DECIDUOUS_a*($L354^BGB_RS_DECIDUOUS_b),BGB_RS_CONIFER*$L354))))</f>
        <v/>
      </c>
      <c r="O354" s="14" t="str">
        <f aca="false">IF($L354="","",$L354+$N354)</f>
        <v/>
      </c>
      <c r="P354" s="14" t="str">
        <f aca="false">IF($O354="","",$O354*CARBON_FRACTION_BIOMASS)</f>
        <v/>
      </c>
      <c r="Q354" s="14" t="str">
        <f aca="false">IF(AND($A354="",$C354=""),"",IF(AND($A354&lt;&gt;"",COUNTIF('1. Plot &amp; Site Log'!$A$5:$A$64,$A354)=0),"Plot ID not in Plot &amp; Site Log — this tree will not reach the summary. ","")&amp;IF($A354="","No Plot ID. ","")&amp;IF(AND($C354&lt;&gt;"",$F354=""),"Species not in the coefficient list — check the spelling against R1. ","")&amp;IF($D354="","No DBH — nothing can be calculated. ","")&amp;IF(AND($D354&lt;&gt;"",$D354&gt;QC_DBH_MAX_CM),"DBH above "&amp;QC_DBH_MAX_CM&amp;" cm — check for a transcription error. ","")&amp;IF($M354="All","Generic species: no published root:shoot applies, so below-ground biomass is the mean of the deciduous and conifer relationships. Choose a species, or Deciduous/Conifers, if you can. ","")&amp;IF(AND($O354&lt;&gt;"",$O354&gt;0,OR($N354/$O354&lt;BGB_FRACTION_MIN,$N354/$O354&gt;BGB_FRACTION_MAX)),"Below-ground share is "&amp;TEXT($N354/$O354,"0%")&amp;", outside the 18–30% the Trees guide describes. ",""))</f>
        <v/>
      </c>
    </row>
    <row r="355" customFormat="false" ht="15" hidden="false" customHeight="false" outlineLevel="0" collapsed="false">
      <c r="A355" s="13"/>
      <c r="B355" s="13"/>
      <c r="C355" s="13"/>
      <c r="D355" s="13"/>
      <c r="E355" s="13"/>
      <c r="F355" s="14" t="str">
        <f aca="false">IF($C355="","",IFERROR(12+(MATCH($C355,'R1. Tree Coefficients'!$L$12:$L$53,0)-1)*4,""))</f>
        <v/>
      </c>
      <c r="G355" s="14" t="str">
        <f aca="false">IF($F355="","",IF(AND($E355&lt;&gt;"",$E355&gt;0),"DBH + height","DBH only"))</f>
        <v/>
      </c>
      <c r="H355" s="14" t="str">
        <f aca="false">IF(OR($D355="",$F355=""),"",IF($E355&gt;0,INDEX('R1. Tree Coefficients'!$F:$F,$F355+0)*($D355^INDEX('R1. Tree Coefficients'!$G:$G,$F355+0))*($E355^INDEX('R1. Tree Coefficients'!$H:$H,$F355+0)),INDEX('R1. Tree Coefficients'!$D:$D,$F355+0)*($D355^INDEX('R1. Tree Coefficients'!$E:$E,$F355+0))))</f>
        <v/>
      </c>
      <c r="I355" s="14" t="str">
        <f aca="false">IF(OR($D355="",$F355=""),"",IF($E355&gt;0,INDEX('R1. Tree Coefficients'!$F:$F,$F355+1)*($D355^INDEX('R1. Tree Coefficients'!$G:$G,$F355+1))*($E355^INDEX('R1. Tree Coefficients'!$H:$H,$F355+1)),INDEX('R1. Tree Coefficients'!$D:$D,$F355+1)*($D355^INDEX('R1. Tree Coefficients'!$E:$E,$F355+1))))</f>
        <v/>
      </c>
      <c r="J355" s="14" t="str">
        <f aca="false">IF(OR($D355="",$F355=""),"",IF($E355&gt;0,INDEX('R1. Tree Coefficients'!$F:$F,$F355+2)*($D355^INDEX('R1. Tree Coefficients'!$G:$G,$F355+2))*($E355^INDEX('R1. Tree Coefficients'!$H:$H,$F355+2)),INDEX('R1. Tree Coefficients'!$D:$D,$F355+2)*($D355^INDEX('R1. Tree Coefficients'!$E:$E,$F355+2))))</f>
        <v/>
      </c>
      <c r="K355" s="14" t="str">
        <f aca="false">IF(OR($D355="",$F355=""),"",IF($E355&gt;0,INDEX('R1. Tree Coefficients'!$F:$F,$F355+3)*($D355^INDEX('R1. Tree Coefficients'!$G:$G,$F355+3))*($E355^INDEX('R1. Tree Coefficients'!$H:$H,$F355+3)),INDEX('R1. Tree Coefficients'!$D:$D,$F355+3)*($D355^INDEX('R1. Tree Coefficients'!$E:$E,$F355+3))))</f>
        <v/>
      </c>
      <c r="L355" s="14" t="str">
        <f aca="false">IF($F355="","",IFERROR(SUM($H355:$K355),""))</f>
        <v/>
      </c>
      <c r="M355" s="14" t="str">
        <f aca="false">IF($F355="","",INDEX('R1. Tree Coefficients'!$J:$J,$F355))</f>
        <v/>
      </c>
      <c r="N355" s="14" t="str">
        <f aca="false">IF($L355="","",IF($M355="Deciduous",BGB_RS_DECIDUOUS_a*($L355^BGB_RS_DECIDUOUS_b),IF($M355="Conifers",BGB_RS_CONIFER*$L355,AVERAGE(BGB_RS_DECIDUOUS_a*($L355^BGB_RS_DECIDUOUS_b),BGB_RS_CONIFER*$L355))))</f>
        <v/>
      </c>
      <c r="O355" s="14" t="str">
        <f aca="false">IF($L355="","",$L355+$N355)</f>
        <v/>
      </c>
      <c r="P355" s="14" t="str">
        <f aca="false">IF($O355="","",$O355*CARBON_FRACTION_BIOMASS)</f>
        <v/>
      </c>
      <c r="Q355" s="14" t="str">
        <f aca="false">IF(AND($A355="",$C355=""),"",IF(AND($A355&lt;&gt;"",COUNTIF('1. Plot &amp; Site Log'!$A$5:$A$64,$A355)=0),"Plot ID not in Plot &amp; Site Log — this tree will not reach the summary. ","")&amp;IF($A355="","No Plot ID. ","")&amp;IF(AND($C355&lt;&gt;"",$F355=""),"Species not in the coefficient list — check the spelling against R1. ","")&amp;IF($D355="","No DBH — nothing can be calculated. ","")&amp;IF(AND($D355&lt;&gt;"",$D355&gt;QC_DBH_MAX_CM),"DBH above "&amp;QC_DBH_MAX_CM&amp;" cm — check for a transcription error. ","")&amp;IF($M355="All","Generic species: no published root:shoot applies, so below-ground biomass is the mean of the deciduous and conifer relationships. Choose a species, or Deciduous/Conifers, if you can. ","")&amp;IF(AND($O355&lt;&gt;"",$O355&gt;0,OR($N355/$O355&lt;BGB_FRACTION_MIN,$N355/$O355&gt;BGB_FRACTION_MAX)),"Below-ground share is "&amp;TEXT($N355/$O355,"0%")&amp;", outside the 18–30% the Trees guide describes. ",""))</f>
        <v/>
      </c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4" t="str">
        <f aca="false">IF($C356="","",IFERROR(12+(MATCH($C356,'R1. Tree Coefficients'!$L$12:$L$53,0)-1)*4,""))</f>
        <v/>
      </c>
      <c r="G356" s="14" t="str">
        <f aca="false">IF($F356="","",IF(AND($E356&lt;&gt;"",$E356&gt;0),"DBH + height","DBH only"))</f>
        <v/>
      </c>
      <c r="H356" s="14" t="str">
        <f aca="false">IF(OR($D356="",$F356=""),"",IF($E356&gt;0,INDEX('R1. Tree Coefficients'!$F:$F,$F356+0)*($D356^INDEX('R1. Tree Coefficients'!$G:$G,$F356+0))*($E356^INDEX('R1. Tree Coefficients'!$H:$H,$F356+0)),INDEX('R1. Tree Coefficients'!$D:$D,$F356+0)*($D356^INDEX('R1. Tree Coefficients'!$E:$E,$F356+0))))</f>
        <v/>
      </c>
      <c r="I356" s="14" t="str">
        <f aca="false">IF(OR($D356="",$F356=""),"",IF($E356&gt;0,INDEX('R1. Tree Coefficients'!$F:$F,$F356+1)*($D356^INDEX('R1. Tree Coefficients'!$G:$G,$F356+1))*($E356^INDEX('R1. Tree Coefficients'!$H:$H,$F356+1)),INDEX('R1. Tree Coefficients'!$D:$D,$F356+1)*($D356^INDEX('R1. Tree Coefficients'!$E:$E,$F356+1))))</f>
        <v/>
      </c>
      <c r="J356" s="14" t="str">
        <f aca="false">IF(OR($D356="",$F356=""),"",IF($E356&gt;0,INDEX('R1. Tree Coefficients'!$F:$F,$F356+2)*($D356^INDEX('R1. Tree Coefficients'!$G:$G,$F356+2))*($E356^INDEX('R1. Tree Coefficients'!$H:$H,$F356+2)),INDEX('R1. Tree Coefficients'!$D:$D,$F356+2)*($D356^INDEX('R1. Tree Coefficients'!$E:$E,$F356+2))))</f>
        <v/>
      </c>
      <c r="K356" s="14" t="str">
        <f aca="false">IF(OR($D356="",$F356=""),"",IF($E356&gt;0,INDEX('R1. Tree Coefficients'!$F:$F,$F356+3)*($D356^INDEX('R1. Tree Coefficients'!$G:$G,$F356+3))*($E356^INDEX('R1. Tree Coefficients'!$H:$H,$F356+3)),INDEX('R1. Tree Coefficients'!$D:$D,$F356+3)*($D356^INDEX('R1. Tree Coefficients'!$E:$E,$F356+3))))</f>
        <v/>
      </c>
      <c r="L356" s="14" t="str">
        <f aca="false">IF($F356="","",IFERROR(SUM($H356:$K356),""))</f>
        <v/>
      </c>
      <c r="M356" s="14" t="str">
        <f aca="false">IF($F356="","",INDEX('R1. Tree Coefficients'!$J:$J,$F356))</f>
        <v/>
      </c>
      <c r="N356" s="14" t="str">
        <f aca="false">IF($L356="","",IF($M356="Deciduous",BGB_RS_DECIDUOUS_a*($L356^BGB_RS_DECIDUOUS_b),IF($M356="Conifers",BGB_RS_CONIFER*$L356,AVERAGE(BGB_RS_DECIDUOUS_a*($L356^BGB_RS_DECIDUOUS_b),BGB_RS_CONIFER*$L356))))</f>
        <v/>
      </c>
      <c r="O356" s="14" t="str">
        <f aca="false">IF($L356="","",$L356+$N356)</f>
        <v/>
      </c>
      <c r="P356" s="14" t="str">
        <f aca="false">IF($O356="","",$O356*CARBON_FRACTION_BIOMASS)</f>
        <v/>
      </c>
      <c r="Q356" s="14" t="str">
        <f aca="false">IF(AND($A356="",$C356=""),"",IF(AND($A356&lt;&gt;"",COUNTIF('1. Plot &amp; Site Log'!$A$5:$A$64,$A356)=0),"Plot ID not in Plot &amp; Site Log — this tree will not reach the summary. ","")&amp;IF($A356="","No Plot ID. ","")&amp;IF(AND($C356&lt;&gt;"",$F356=""),"Species not in the coefficient list — check the spelling against R1. ","")&amp;IF($D356="","No DBH — nothing can be calculated. ","")&amp;IF(AND($D356&lt;&gt;"",$D356&gt;QC_DBH_MAX_CM),"DBH above "&amp;QC_DBH_MAX_CM&amp;" cm — check for a transcription error. ","")&amp;IF($M356="All","Generic species: no published root:shoot applies, so below-ground biomass is the mean of the deciduous and conifer relationships. Choose a species, or Deciduous/Conifers, if you can. ","")&amp;IF(AND($O356&lt;&gt;"",$O356&gt;0,OR($N356/$O356&lt;BGB_FRACTION_MIN,$N356/$O356&gt;BGB_FRACTION_MAX)),"Below-ground share is "&amp;TEXT($N356/$O356,"0%")&amp;", outside the 18–30% the Trees guide describes. ",""))</f>
        <v/>
      </c>
    </row>
    <row r="357" customFormat="false" ht="15" hidden="false" customHeight="false" outlineLevel="0" collapsed="false">
      <c r="A357" s="13"/>
      <c r="B357" s="13"/>
      <c r="C357" s="13"/>
      <c r="D357" s="13"/>
      <c r="E357" s="13"/>
      <c r="F357" s="14" t="str">
        <f aca="false">IF($C357="","",IFERROR(12+(MATCH($C357,'R1. Tree Coefficients'!$L$12:$L$53,0)-1)*4,""))</f>
        <v/>
      </c>
      <c r="G357" s="14" t="str">
        <f aca="false">IF($F357="","",IF(AND($E357&lt;&gt;"",$E357&gt;0),"DBH + height","DBH only"))</f>
        <v/>
      </c>
      <c r="H357" s="14" t="str">
        <f aca="false">IF(OR($D357="",$F357=""),"",IF($E357&gt;0,INDEX('R1. Tree Coefficients'!$F:$F,$F357+0)*($D357^INDEX('R1. Tree Coefficients'!$G:$G,$F357+0))*($E357^INDEX('R1. Tree Coefficients'!$H:$H,$F357+0)),INDEX('R1. Tree Coefficients'!$D:$D,$F357+0)*($D357^INDEX('R1. Tree Coefficients'!$E:$E,$F357+0))))</f>
        <v/>
      </c>
      <c r="I357" s="14" t="str">
        <f aca="false">IF(OR($D357="",$F357=""),"",IF($E357&gt;0,INDEX('R1. Tree Coefficients'!$F:$F,$F357+1)*($D357^INDEX('R1. Tree Coefficients'!$G:$G,$F357+1))*($E357^INDEX('R1. Tree Coefficients'!$H:$H,$F357+1)),INDEX('R1. Tree Coefficients'!$D:$D,$F357+1)*($D357^INDEX('R1. Tree Coefficients'!$E:$E,$F357+1))))</f>
        <v/>
      </c>
      <c r="J357" s="14" t="str">
        <f aca="false">IF(OR($D357="",$F357=""),"",IF($E357&gt;0,INDEX('R1. Tree Coefficients'!$F:$F,$F357+2)*($D357^INDEX('R1. Tree Coefficients'!$G:$G,$F357+2))*($E357^INDEX('R1. Tree Coefficients'!$H:$H,$F357+2)),INDEX('R1. Tree Coefficients'!$D:$D,$F357+2)*($D357^INDEX('R1. Tree Coefficients'!$E:$E,$F357+2))))</f>
        <v/>
      </c>
      <c r="K357" s="14" t="str">
        <f aca="false">IF(OR($D357="",$F357=""),"",IF($E357&gt;0,INDEX('R1. Tree Coefficients'!$F:$F,$F357+3)*($D357^INDEX('R1. Tree Coefficients'!$G:$G,$F357+3))*($E357^INDEX('R1. Tree Coefficients'!$H:$H,$F357+3)),INDEX('R1. Tree Coefficients'!$D:$D,$F357+3)*($D357^INDEX('R1. Tree Coefficients'!$E:$E,$F357+3))))</f>
        <v/>
      </c>
      <c r="L357" s="14" t="str">
        <f aca="false">IF($F357="","",IFERROR(SUM($H357:$K357),""))</f>
        <v/>
      </c>
      <c r="M357" s="14" t="str">
        <f aca="false">IF($F357="","",INDEX('R1. Tree Coefficients'!$J:$J,$F357))</f>
        <v/>
      </c>
      <c r="N357" s="14" t="str">
        <f aca="false">IF($L357="","",IF($M357="Deciduous",BGB_RS_DECIDUOUS_a*($L357^BGB_RS_DECIDUOUS_b),IF($M357="Conifers",BGB_RS_CONIFER*$L357,AVERAGE(BGB_RS_DECIDUOUS_a*($L357^BGB_RS_DECIDUOUS_b),BGB_RS_CONIFER*$L357))))</f>
        <v/>
      </c>
      <c r="O357" s="14" t="str">
        <f aca="false">IF($L357="","",$L357+$N357)</f>
        <v/>
      </c>
      <c r="P357" s="14" t="str">
        <f aca="false">IF($O357="","",$O357*CARBON_FRACTION_BIOMASS)</f>
        <v/>
      </c>
      <c r="Q357" s="14" t="str">
        <f aca="false">IF(AND($A357="",$C357=""),"",IF(AND($A357&lt;&gt;"",COUNTIF('1. Plot &amp; Site Log'!$A$5:$A$64,$A357)=0),"Plot ID not in Plot &amp; Site Log — this tree will not reach the summary. ","")&amp;IF($A357="","No Plot ID. ","")&amp;IF(AND($C357&lt;&gt;"",$F357=""),"Species not in the coefficient list — check the spelling against R1. ","")&amp;IF($D357="","No DBH — nothing can be calculated. ","")&amp;IF(AND($D357&lt;&gt;"",$D357&gt;QC_DBH_MAX_CM),"DBH above "&amp;QC_DBH_MAX_CM&amp;" cm — check for a transcription error. ","")&amp;IF($M357="All","Generic species: no published root:shoot applies, so below-ground biomass is the mean of the deciduous and conifer relationships. Choose a species, or Deciduous/Conifers, if you can. ","")&amp;IF(AND($O357&lt;&gt;"",$O357&gt;0,OR($N357/$O357&lt;BGB_FRACTION_MIN,$N357/$O357&gt;BGB_FRACTION_MAX)),"Below-ground share is "&amp;TEXT($N357/$O357,"0%")&amp;", outside the 18–30% the Trees guide describes. ",""))</f>
        <v/>
      </c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4" t="str">
        <f aca="false">IF($C358="","",IFERROR(12+(MATCH($C358,'R1. Tree Coefficients'!$L$12:$L$53,0)-1)*4,""))</f>
        <v/>
      </c>
      <c r="G358" s="14" t="str">
        <f aca="false">IF($F358="","",IF(AND($E358&lt;&gt;"",$E358&gt;0),"DBH + height","DBH only"))</f>
        <v/>
      </c>
      <c r="H358" s="14" t="str">
        <f aca="false">IF(OR($D358="",$F358=""),"",IF($E358&gt;0,INDEX('R1. Tree Coefficients'!$F:$F,$F358+0)*($D358^INDEX('R1. Tree Coefficients'!$G:$G,$F358+0))*($E358^INDEX('R1. Tree Coefficients'!$H:$H,$F358+0)),INDEX('R1. Tree Coefficients'!$D:$D,$F358+0)*($D358^INDEX('R1. Tree Coefficients'!$E:$E,$F358+0))))</f>
        <v/>
      </c>
      <c r="I358" s="14" t="str">
        <f aca="false">IF(OR($D358="",$F358=""),"",IF($E358&gt;0,INDEX('R1. Tree Coefficients'!$F:$F,$F358+1)*($D358^INDEX('R1. Tree Coefficients'!$G:$G,$F358+1))*($E358^INDEX('R1. Tree Coefficients'!$H:$H,$F358+1)),INDEX('R1. Tree Coefficients'!$D:$D,$F358+1)*($D358^INDEX('R1. Tree Coefficients'!$E:$E,$F358+1))))</f>
        <v/>
      </c>
      <c r="J358" s="14" t="str">
        <f aca="false">IF(OR($D358="",$F358=""),"",IF($E358&gt;0,INDEX('R1. Tree Coefficients'!$F:$F,$F358+2)*($D358^INDEX('R1. Tree Coefficients'!$G:$G,$F358+2))*($E358^INDEX('R1. Tree Coefficients'!$H:$H,$F358+2)),INDEX('R1. Tree Coefficients'!$D:$D,$F358+2)*($D358^INDEX('R1. Tree Coefficients'!$E:$E,$F358+2))))</f>
        <v/>
      </c>
      <c r="K358" s="14" t="str">
        <f aca="false">IF(OR($D358="",$F358=""),"",IF($E358&gt;0,INDEX('R1. Tree Coefficients'!$F:$F,$F358+3)*($D358^INDEX('R1. Tree Coefficients'!$G:$G,$F358+3))*($E358^INDEX('R1. Tree Coefficients'!$H:$H,$F358+3)),INDEX('R1. Tree Coefficients'!$D:$D,$F358+3)*($D358^INDEX('R1. Tree Coefficients'!$E:$E,$F358+3))))</f>
        <v/>
      </c>
      <c r="L358" s="14" t="str">
        <f aca="false">IF($F358="","",IFERROR(SUM($H358:$K358),""))</f>
        <v/>
      </c>
      <c r="M358" s="14" t="str">
        <f aca="false">IF($F358="","",INDEX('R1. Tree Coefficients'!$J:$J,$F358))</f>
        <v/>
      </c>
      <c r="N358" s="14" t="str">
        <f aca="false">IF($L358="","",IF($M358="Deciduous",BGB_RS_DECIDUOUS_a*($L358^BGB_RS_DECIDUOUS_b),IF($M358="Conifers",BGB_RS_CONIFER*$L358,AVERAGE(BGB_RS_DECIDUOUS_a*($L358^BGB_RS_DECIDUOUS_b),BGB_RS_CONIFER*$L358))))</f>
        <v/>
      </c>
      <c r="O358" s="14" t="str">
        <f aca="false">IF($L358="","",$L358+$N358)</f>
        <v/>
      </c>
      <c r="P358" s="14" t="str">
        <f aca="false">IF($O358="","",$O358*CARBON_FRACTION_BIOMASS)</f>
        <v/>
      </c>
      <c r="Q358" s="14" t="str">
        <f aca="false">IF(AND($A358="",$C358=""),"",IF(AND($A358&lt;&gt;"",COUNTIF('1. Plot &amp; Site Log'!$A$5:$A$64,$A358)=0),"Plot ID not in Plot &amp; Site Log — this tree will not reach the summary. ","")&amp;IF($A358="","No Plot ID. ","")&amp;IF(AND($C358&lt;&gt;"",$F358=""),"Species not in the coefficient list — check the spelling against R1. ","")&amp;IF($D358="","No DBH — nothing can be calculated. ","")&amp;IF(AND($D358&lt;&gt;"",$D358&gt;QC_DBH_MAX_CM),"DBH above "&amp;QC_DBH_MAX_CM&amp;" cm — check for a transcription error. ","")&amp;IF($M358="All","Generic species: no published root:shoot applies, so below-ground biomass is the mean of the deciduous and conifer relationships. Choose a species, or Deciduous/Conifers, if you can. ","")&amp;IF(AND($O358&lt;&gt;"",$O358&gt;0,OR($N358/$O358&lt;BGB_FRACTION_MIN,$N358/$O358&gt;BGB_FRACTION_MAX)),"Below-ground share is "&amp;TEXT($N358/$O358,"0%")&amp;", outside the 18–30% the Trees guide describes. ",""))</f>
        <v/>
      </c>
    </row>
    <row r="359" customFormat="false" ht="15" hidden="false" customHeight="false" outlineLevel="0" collapsed="false">
      <c r="A359" s="13"/>
      <c r="B359" s="13"/>
      <c r="C359" s="13"/>
      <c r="D359" s="13"/>
      <c r="E359" s="13"/>
      <c r="F359" s="14" t="str">
        <f aca="false">IF($C359="","",IFERROR(12+(MATCH($C359,'R1. Tree Coefficients'!$L$12:$L$53,0)-1)*4,""))</f>
        <v/>
      </c>
      <c r="G359" s="14" t="str">
        <f aca="false">IF($F359="","",IF(AND($E359&lt;&gt;"",$E359&gt;0),"DBH + height","DBH only"))</f>
        <v/>
      </c>
      <c r="H359" s="14" t="str">
        <f aca="false">IF(OR($D359="",$F359=""),"",IF($E359&gt;0,INDEX('R1. Tree Coefficients'!$F:$F,$F359+0)*($D359^INDEX('R1. Tree Coefficients'!$G:$G,$F359+0))*($E359^INDEX('R1. Tree Coefficients'!$H:$H,$F359+0)),INDEX('R1. Tree Coefficients'!$D:$D,$F359+0)*($D359^INDEX('R1. Tree Coefficients'!$E:$E,$F359+0))))</f>
        <v/>
      </c>
      <c r="I359" s="14" t="str">
        <f aca="false">IF(OR($D359="",$F359=""),"",IF($E359&gt;0,INDEX('R1. Tree Coefficients'!$F:$F,$F359+1)*($D359^INDEX('R1. Tree Coefficients'!$G:$G,$F359+1))*($E359^INDEX('R1. Tree Coefficients'!$H:$H,$F359+1)),INDEX('R1. Tree Coefficients'!$D:$D,$F359+1)*($D359^INDEX('R1. Tree Coefficients'!$E:$E,$F359+1))))</f>
        <v/>
      </c>
      <c r="J359" s="14" t="str">
        <f aca="false">IF(OR($D359="",$F359=""),"",IF($E359&gt;0,INDEX('R1. Tree Coefficients'!$F:$F,$F359+2)*($D359^INDEX('R1. Tree Coefficients'!$G:$G,$F359+2))*($E359^INDEX('R1. Tree Coefficients'!$H:$H,$F359+2)),INDEX('R1. Tree Coefficients'!$D:$D,$F359+2)*($D359^INDEX('R1. Tree Coefficients'!$E:$E,$F359+2))))</f>
        <v/>
      </c>
      <c r="K359" s="14" t="str">
        <f aca="false">IF(OR($D359="",$F359=""),"",IF($E359&gt;0,INDEX('R1. Tree Coefficients'!$F:$F,$F359+3)*($D359^INDEX('R1. Tree Coefficients'!$G:$G,$F359+3))*($E359^INDEX('R1. Tree Coefficients'!$H:$H,$F359+3)),INDEX('R1. Tree Coefficients'!$D:$D,$F359+3)*($D359^INDEX('R1. Tree Coefficients'!$E:$E,$F359+3))))</f>
        <v/>
      </c>
      <c r="L359" s="14" t="str">
        <f aca="false">IF($F359="","",IFERROR(SUM($H359:$K359),""))</f>
        <v/>
      </c>
      <c r="M359" s="14" t="str">
        <f aca="false">IF($F359="","",INDEX('R1. Tree Coefficients'!$J:$J,$F359))</f>
        <v/>
      </c>
      <c r="N359" s="14" t="str">
        <f aca="false">IF($L359="","",IF($M359="Deciduous",BGB_RS_DECIDUOUS_a*($L359^BGB_RS_DECIDUOUS_b),IF($M359="Conifers",BGB_RS_CONIFER*$L359,AVERAGE(BGB_RS_DECIDUOUS_a*($L359^BGB_RS_DECIDUOUS_b),BGB_RS_CONIFER*$L359))))</f>
        <v/>
      </c>
      <c r="O359" s="14" t="str">
        <f aca="false">IF($L359="","",$L359+$N359)</f>
        <v/>
      </c>
      <c r="P359" s="14" t="str">
        <f aca="false">IF($O359="","",$O359*CARBON_FRACTION_BIOMASS)</f>
        <v/>
      </c>
      <c r="Q359" s="14" t="str">
        <f aca="false">IF(AND($A359="",$C359=""),"",IF(AND($A359&lt;&gt;"",COUNTIF('1. Plot &amp; Site Log'!$A$5:$A$64,$A359)=0),"Plot ID not in Plot &amp; Site Log — this tree will not reach the summary. ","")&amp;IF($A359="","No Plot ID. ","")&amp;IF(AND($C359&lt;&gt;"",$F359=""),"Species not in the coefficient list — check the spelling against R1. ","")&amp;IF($D359="","No DBH — nothing can be calculated. ","")&amp;IF(AND($D359&lt;&gt;"",$D359&gt;QC_DBH_MAX_CM),"DBH above "&amp;QC_DBH_MAX_CM&amp;" cm — check for a transcription error. ","")&amp;IF($M359="All","Generic species: no published root:shoot applies, so below-ground biomass is the mean of the deciduous and conifer relationships. Choose a species, or Deciduous/Conifers, if you can. ","")&amp;IF(AND($O359&lt;&gt;"",$O359&gt;0,OR($N359/$O359&lt;BGB_FRACTION_MIN,$N359/$O359&gt;BGB_FRACTION_MAX)),"Below-ground share is "&amp;TEXT($N359/$O359,"0%")&amp;", outside the 18–30% the Trees guide describes. ",""))</f>
        <v/>
      </c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4" t="str">
        <f aca="false">IF($C360="","",IFERROR(12+(MATCH($C360,'R1. Tree Coefficients'!$L$12:$L$53,0)-1)*4,""))</f>
        <v/>
      </c>
      <c r="G360" s="14" t="str">
        <f aca="false">IF($F360="","",IF(AND($E360&lt;&gt;"",$E360&gt;0),"DBH + height","DBH only"))</f>
        <v/>
      </c>
      <c r="H360" s="14" t="str">
        <f aca="false">IF(OR($D360="",$F360=""),"",IF($E360&gt;0,INDEX('R1. Tree Coefficients'!$F:$F,$F360+0)*($D360^INDEX('R1. Tree Coefficients'!$G:$G,$F360+0))*($E360^INDEX('R1. Tree Coefficients'!$H:$H,$F360+0)),INDEX('R1. Tree Coefficients'!$D:$D,$F360+0)*($D360^INDEX('R1. Tree Coefficients'!$E:$E,$F360+0))))</f>
        <v/>
      </c>
      <c r="I360" s="14" t="str">
        <f aca="false">IF(OR($D360="",$F360=""),"",IF($E360&gt;0,INDEX('R1. Tree Coefficients'!$F:$F,$F360+1)*($D360^INDEX('R1. Tree Coefficients'!$G:$G,$F360+1))*($E360^INDEX('R1. Tree Coefficients'!$H:$H,$F360+1)),INDEX('R1. Tree Coefficients'!$D:$D,$F360+1)*($D360^INDEX('R1. Tree Coefficients'!$E:$E,$F360+1))))</f>
        <v/>
      </c>
      <c r="J360" s="14" t="str">
        <f aca="false">IF(OR($D360="",$F360=""),"",IF($E360&gt;0,INDEX('R1. Tree Coefficients'!$F:$F,$F360+2)*($D360^INDEX('R1. Tree Coefficients'!$G:$G,$F360+2))*($E360^INDEX('R1. Tree Coefficients'!$H:$H,$F360+2)),INDEX('R1. Tree Coefficients'!$D:$D,$F360+2)*($D360^INDEX('R1. Tree Coefficients'!$E:$E,$F360+2))))</f>
        <v/>
      </c>
      <c r="K360" s="14" t="str">
        <f aca="false">IF(OR($D360="",$F360=""),"",IF($E360&gt;0,INDEX('R1. Tree Coefficients'!$F:$F,$F360+3)*($D360^INDEX('R1. Tree Coefficients'!$G:$G,$F360+3))*($E360^INDEX('R1. Tree Coefficients'!$H:$H,$F360+3)),INDEX('R1. Tree Coefficients'!$D:$D,$F360+3)*($D360^INDEX('R1. Tree Coefficients'!$E:$E,$F360+3))))</f>
        <v/>
      </c>
      <c r="L360" s="14" t="str">
        <f aca="false">IF($F360="","",IFERROR(SUM($H360:$K360),""))</f>
        <v/>
      </c>
      <c r="M360" s="14" t="str">
        <f aca="false">IF($F360="","",INDEX('R1. Tree Coefficients'!$J:$J,$F360))</f>
        <v/>
      </c>
      <c r="N360" s="14" t="str">
        <f aca="false">IF($L360="","",IF($M360="Deciduous",BGB_RS_DECIDUOUS_a*($L360^BGB_RS_DECIDUOUS_b),IF($M360="Conifers",BGB_RS_CONIFER*$L360,AVERAGE(BGB_RS_DECIDUOUS_a*($L360^BGB_RS_DECIDUOUS_b),BGB_RS_CONIFER*$L360))))</f>
        <v/>
      </c>
      <c r="O360" s="14" t="str">
        <f aca="false">IF($L360="","",$L360+$N360)</f>
        <v/>
      </c>
      <c r="P360" s="14" t="str">
        <f aca="false">IF($O360="","",$O360*CARBON_FRACTION_BIOMASS)</f>
        <v/>
      </c>
      <c r="Q360" s="14" t="str">
        <f aca="false">IF(AND($A360="",$C360=""),"",IF(AND($A360&lt;&gt;"",COUNTIF('1. Plot &amp; Site Log'!$A$5:$A$64,$A360)=0),"Plot ID not in Plot &amp; Site Log — this tree will not reach the summary. ","")&amp;IF($A360="","No Plot ID. ","")&amp;IF(AND($C360&lt;&gt;"",$F360=""),"Species not in the coefficient list — check the spelling against R1. ","")&amp;IF($D360="","No DBH — nothing can be calculated. ","")&amp;IF(AND($D360&lt;&gt;"",$D360&gt;QC_DBH_MAX_CM),"DBH above "&amp;QC_DBH_MAX_CM&amp;" cm — check for a transcription error. ","")&amp;IF($M360="All","Generic species: no published root:shoot applies, so below-ground biomass is the mean of the deciduous and conifer relationships. Choose a species, or Deciduous/Conifers, if you can. ","")&amp;IF(AND($O360&lt;&gt;"",$O360&gt;0,OR($N360/$O360&lt;BGB_FRACTION_MIN,$N360/$O360&gt;BGB_FRACTION_MAX)),"Below-ground share is "&amp;TEXT($N360/$O360,"0%")&amp;", outside the 18–30% the Trees guide describes. ",""))</f>
        <v/>
      </c>
    </row>
    <row r="361" customFormat="false" ht="15" hidden="false" customHeight="false" outlineLevel="0" collapsed="false">
      <c r="A361" s="13"/>
      <c r="B361" s="13"/>
      <c r="C361" s="13"/>
      <c r="D361" s="13"/>
      <c r="E361" s="13"/>
      <c r="F361" s="14" t="str">
        <f aca="false">IF($C361="","",IFERROR(12+(MATCH($C361,'R1. Tree Coefficients'!$L$12:$L$53,0)-1)*4,""))</f>
        <v/>
      </c>
      <c r="G361" s="14" t="str">
        <f aca="false">IF($F361="","",IF(AND($E361&lt;&gt;"",$E361&gt;0),"DBH + height","DBH only"))</f>
        <v/>
      </c>
      <c r="H361" s="14" t="str">
        <f aca="false">IF(OR($D361="",$F361=""),"",IF($E361&gt;0,INDEX('R1. Tree Coefficients'!$F:$F,$F361+0)*($D361^INDEX('R1. Tree Coefficients'!$G:$G,$F361+0))*($E361^INDEX('R1. Tree Coefficients'!$H:$H,$F361+0)),INDEX('R1. Tree Coefficients'!$D:$D,$F361+0)*($D361^INDEX('R1. Tree Coefficients'!$E:$E,$F361+0))))</f>
        <v/>
      </c>
      <c r="I361" s="14" t="str">
        <f aca="false">IF(OR($D361="",$F361=""),"",IF($E361&gt;0,INDEX('R1. Tree Coefficients'!$F:$F,$F361+1)*($D361^INDEX('R1. Tree Coefficients'!$G:$G,$F361+1))*($E361^INDEX('R1. Tree Coefficients'!$H:$H,$F361+1)),INDEX('R1. Tree Coefficients'!$D:$D,$F361+1)*($D361^INDEX('R1. Tree Coefficients'!$E:$E,$F361+1))))</f>
        <v/>
      </c>
      <c r="J361" s="14" t="str">
        <f aca="false">IF(OR($D361="",$F361=""),"",IF($E361&gt;0,INDEX('R1. Tree Coefficients'!$F:$F,$F361+2)*($D361^INDEX('R1. Tree Coefficients'!$G:$G,$F361+2))*($E361^INDEX('R1. Tree Coefficients'!$H:$H,$F361+2)),INDEX('R1. Tree Coefficients'!$D:$D,$F361+2)*($D361^INDEX('R1. Tree Coefficients'!$E:$E,$F361+2))))</f>
        <v/>
      </c>
      <c r="K361" s="14" t="str">
        <f aca="false">IF(OR($D361="",$F361=""),"",IF($E361&gt;0,INDEX('R1. Tree Coefficients'!$F:$F,$F361+3)*($D361^INDEX('R1. Tree Coefficients'!$G:$G,$F361+3))*($E361^INDEX('R1. Tree Coefficients'!$H:$H,$F361+3)),INDEX('R1. Tree Coefficients'!$D:$D,$F361+3)*($D361^INDEX('R1. Tree Coefficients'!$E:$E,$F361+3))))</f>
        <v/>
      </c>
      <c r="L361" s="14" t="str">
        <f aca="false">IF($F361="","",IFERROR(SUM($H361:$K361),""))</f>
        <v/>
      </c>
      <c r="M361" s="14" t="str">
        <f aca="false">IF($F361="","",INDEX('R1. Tree Coefficients'!$J:$J,$F361))</f>
        <v/>
      </c>
      <c r="N361" s="14" t="str">
        <f aca="false">IF($L361="","",IF($M361="Deciduous",BGB_RS_DECIDUOUS_a*($L361^BGB_RS_DECIDUOUS_b),IF($M361="Conifers",BGB_RS_CONIFER*$L361,AVERAGE(BGB_RS_DECIDUOUS_a*($L361^BGB_RS_DECIDUOUS_b),BGB_RS_CONIFER*$L361))))</f>
        <v/>
      </c>
      <c r="O361" s="14" t="str">
        <f aca="false">IF($L361="","",$L361+$N361)</f>
        <v/>
      </c>
      <c r="P361" s="14" t="str">
        <f aca="false">IF($O361="","",$O361*CARBON_FRACTION_BIOMASS)</f>
        <v/>
      </c>
      <c r="Q361" s="14" t="str">
        <f aca="false">IF(AND($A361="",$C361=""),"",IF(AND($A361&lt;&gt;"",COUNTIF('1. Plot &amp; Site Log'!$A$5:$A$64,$A361)=0),"Plot ID not in Plot &amp; Site Log — this tree will not reach the summary. ","")&amp;IF($A361="","No Plot ID. ","")&amp;IF(AND($C361&lt;&gt;"",$F361=""),"Species not in the coefficient list — check the spelling against R1. ","")&amp;IF($D361="","No DBH — nothing can be calculated. ","")&amp;IF(AND($D361&lt;&gt;"",$D361&gt;QC_DBH_MAX_CM),"DBH above "&amp;QC_DBH_MAX_CM&amp;" cm — check for a transcription error. ","")&amp;IF($M361="All","Generic species: no published root:shoot applies, so below-ground biomass is the mean of the deciduous and conifer relationships. Choose a species, or Deciduous/Conifers, if you can. ","")&amp;IF(AND($O361&lt;&gt;"",$O361&gt;0,OR($N361/$O361&lt;BGB_FRACTION_MIN,$N361/$O361&gt;BGB_FRACTION_MAX)),"Below-ground share is "&amp;TEXT($N361/$O361,"0%")&amp;", outside the 18–30% the Trees guide describes. ",""))</f>
        <v/>
      </c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4" t="str">
        <f aca="false">IF($C362="","",IFERROR(12+(MATCH($C362,'R1. Tree Coefficients'!$L$12:$L$53,0)-1)*4,""))</f>
        <v/>
      </c>
      <c r="G362" s="14" t="str">
        <f aca="false">IF($F362="","",IF(AND($E362&lt;&gt;"",$E362&gt;0),"DBH + height","DBH only"))</f>
        <v/>
      </c>
      <c r="H362" s="14" t="str">
        <f aca="false">IF(OR($D362="",$F362=""),"",IF($E362&gt;0,INDEX('R1. Tree Coefficients'!$F:$F,$F362+0)*($D362^INDEX('R1. Tree Coefficients'!$G:$G,$F362+0))*($E362^INDEX('R1. Tree Coefficients'!$H:$H,$F362+0)),INDEX('R1. Tree Coefficients'!$D:$D,$F362+0)*($D362^INDEX('R1. Tree Coefficients'!$E:$E,$F362+0))))</f>
        <v/>
      </c>
      <c r="I362" s="14" t="str">
        <f aca="false">IF(OR($D362="",$F362=""),"",IF($E362&gt;0,INDEX('R1. Tree Coefficients'!$F:$F,$F362+1)*($D362^INDEX('R1. Tree Coefficients'!$G:$G,$F362+1))*($E362^INDEX('R1. Tree Coefficients'!$H:$H,$F362+1)),INDEX('R1. Tree Coefficients'!$D:$D,$F362+1)*($D362^INDEX('R1. Tree Coefficients'!$E:$E,$F362+1))))</f>
        <v/>
      </c>
      <c r="J362" s="14" t="str">
        <f aca="false">IF(OR($D362="",$F362=""),"",IF($E362&gt;0,INDEX('R1. Tree Coefficients'!$F:$F,$F362+2)*($D362^INDEX('R1. Tree Coefficients'!$G:$G,$F362+2))*($E362^INDEX('R1. Tree Coefficients'!$H:$H,$F362+2)),INDEX('R1. Tree Coefficients'!$D:$D,$F362+2)*($D362^INDEX('R1. Tree Coefficients'!$E:$E,$F362+2))))</f>
        <v/>
      </c>
      <c r="K362" s="14" t="str">
        <f aca="false">IF(OR($D362="",$F362=""),"",IF($E362&gt;0,INDEX('R1. Tree Coefficients'!$F:$F,$F362+3)*($D362^INDEX('R1. Tree Coefficients'!$G:$G,$F362+3))*($E362^INDEX('R1. Tree Coefficients'!$H:$H,$F362+3)),INDEX('R1. Tree Coefficients'!$D:$D,$F362+3)*($D362^INDEX('R1. Tree Coefficients'!$E:$E,$F362+3))))</f>
        <v/>
      </c>
      <c r="L362" s="14" t="str">
        <f aca="false">IF($F362="","",IFERROR(SUM($H362:$K362),""))</f>
        <v/>
      </c>
      <c r="M362" s="14" t="str">
        <f aca="false">IF($F362="","",INDEX('R1. Tree Coefficients'!$J:$J,$F362))</f>
        <v/>
      </c>
      <c r="N362" s="14" t="str">
        <f aca="false">IF($L362="","",IF($M362="Deciduous",BGB_RS_DECIDUOUS_a*($L362^BGB_RS_DECIDUOUS_b),IF($M362="Conifers",BGB_RS_CONIFER*$L362,AVERAGE(BGB_RS_DECIDUOUS_a*($L362^BGB_RS_DECIDUOUS_b),BGB_RS_CONIFER*$L362))))</f>
        <v/>
      </c>
      <c r="O362" s="14" t="str">
        <f aca="false">IF($L362="","",$L362+$N362)</f>
        <v/>
      </c>
      <c r="P362" s="14" t="str">
        <f aca="false">IF($O362="","",$O362*CARBON_FRACTION_BIOMASS)</f>
        <v/>
      </c>
      <c r="Q362" s="14" t="str">
        <f aca="false">IF(AND($A362="",$C362=""),"",IF(AND($A362&lt;&gt;"",COUNTIF('1. Plot &amp; Site Log'!$A$5:$A$64,$A362)=0),"Plot ID not in Plot &amp; Site Log — this tree will not reach the summary. ","")&amp;IF($A362="","No Plot ID. ","")&amp;IF(AND($C362&lt;&gt;"",$F362=""),"Species not in the coefficient list — check the spelling against R1. ","")&amp;IF($D362="","No DBH — nothing can be calculated. ","")&amp;IF(AND($D362&lt;&gt;"",$D362&gt;QC_DBH_MAX_CM),"DBH above "&amp;QC_DBH_MAX_CM&amp;" cm — check for a transcription error. ","")&amp;IF($M362="All","Generic species: no published root:shoot applies, so below-ground biomass is the mean of the deciduous and conifer relationships. Choose a species, or Deciduous/Conifers, if you can. ","")&amp;IF(AND($O362&lt;&gt;"",$O362&gt;0,OR($N362/$O362&lt;BGB_FRACTION_MIN,$N362/$O362&gt;BGB_FRACTION_MAX)),"Below-ground share is "&amp;TEXT($N362/$O362,"0%")&amp;", outside the 18–30% the Trees guide describes. ",""))</f>
        <v/>
      </c>
    </row>
    <row r="363" customFormat="false" ht="15" hidden="false" customHeight="false" outlineLevel="0" collapsed="false">
      <c r="A363" s="13"/>
      <c r="B363" s="13"/>
      <c r="C363" s="13"/>
      <c r="D363" s="13"/>
      <c r="E363" s="13"/>
      <c r="F363" s="14" t="str">
        <f aca="false">IF($C363="","",IFERROR(12+(MATCH($C363,'R1. Tree Coefficients'!$L$12:$L$53,0)-1)*4,""))</f>
        <v/>
      </c>
      <c r="G363" s="14" t="str">
        <f aca="false">IF($F363="","",IF(AND($E363&lt;&gt;"",$E363&gt;0),"DBH + height","DBH only"))</f>
        <v/>
      </c>
      <c r="H363" s="14" t="str">
        <f aca="false">IF(OR($D363="",$F363=""),"",IF($E363&gt;0,INDEX('R1. Tree Coefficients'!$F:$F,$F363+0)*($D363^INDEX('R1. Tree Coefficients'!$G:$G,$F363+0))*($E363^INDEX('R1. Tree Coefficients'!$H:$H,$F363+0)),INDEX('R1. Tree Coefficients'!$D:$D,$F363+0)*($D363^INDEX('R1. Tree Coefficients'!$E:$E,$F363+0))))</f>
        <v/>
      </c>
      <c r="I363" s="14" t="str">
        <f aca="false">IF(OR($D363="",$F363=""),"",IF($E363&gt;0,INDEX('R1. Tree Coefficients'!$F:$F,$F363+1)*($D363^INDEX('R1. Tree Coefficients'!$G:$G,$F363+1))*($E363^INDEX('R1. Tree Coefficients'!$H:$H,$F363+1)),INDEX('R1. Tree Coefficients'!$D:$D,$F363+1)*($D363^INDEX('R1. Tree Coefficients'!$E:$E,$F363+1))))</f>
        <v/>
      </c>
      <c r="J363" s="14" t="str">
        <f aca="false">IF(OR($D363="",$F363=""),"",IF($E363&gt;0,INDEX('R1. Tree Coefficients'!$F:$F,$F363+2)*($D363^INDEX('R1. Tree Coefficients'!$G:$G,$F363+2))*($E363^INDEX('R1. Tree Coefficients'!$H:$H,$F363+2)),INDEX('R1. Tree Coefficients'!$D:$D,$F363+2)*($D363^INDEX('R1. Tree Coefficients'!$E:$E,$F363+2))))</f>
        <v/>
      </c>
      <c r="K363" s="14" t="str">
        <f aca="false">IF(OR($D363="",$F363=""),"",IF($E363&gt;0,INDEX('R1. Tree Coefficients'!$F:$F,$F363+3)*($D363^INDEX('R1. Tree Coefficients'!$G:$G,$F363+3))*($E363^INDEX('R1. Tree Coefficients'!$H:$H,$F363+3)),INDEX('R1. Tree Coefficients'!$D:$D,$F363+3)*($D363^INDEX('R1. Tree Coefficients'!$E:$E,$F363+3))))</f>
        <v/>
      </c>
      <c r="L363" s="14" t="str">
        <f aca="false">IF($F363="","",IFERROR(SUM($H363:$K363),""))</f>
        <v/>
      </c>
      <c r="M363" s="14" t="str">
        <f aca="false">IF($F363="","",INDEX('R1. Tree Coefficients'!$J:$J,$F363))</f>
        <v/>
      </c>
      <c r="N363" s="14" t="str">
        <f aca="false">IF($L363="","",IF($M363="Deciduous",BGB_RS_DECIDUOUS_a*($L363^BGB_RS_DECIDUOUS_b),IF($M363="Conifers",BGB_RS_CONIFER*$L363,AVERAGE(BGB_RS_DECIDUOUS_a*($L363^BGB_RS_DECIDUOUS_b),BGB_RS_CONIFER*$L363))))</f>
        <v/>
      </c>
      <c r="O363" s="14" t="str">
        <f aca="false">IF($L363="","",$L363+$N363)</f>
        <v/>
      </c>
      <c r="P363" s="14" t="str">
        <f aca="false">IF($O363="","",$O363*CARBON_FRACTION_BIOMASS)</f>
        <v/>
      </c>
      <c r="Q363" s="14" t="str">
        <f aca="false">IF(AND($A363="",$C363=""),"",IF(AND($A363&lt;&gt;"",COUNTIF('1. Plot &amp; Site Log'!$A$5:$A$64,$A363)=0),"Plot ID not in Plot &amp; Site Log — this tree will not reach the summary. ","")&amp;IF($A363="","No Plot ID. ","")&amp;IF(AND($C363&lt;&gt;"",$F363=""),"Species not in the coefficient list — check the spelling against R1. ","")&amp;IF($D363="","No DBH — nothing can be calculated. ","")&amp;IF(AND($D363&lt;&gt;"",$D363&gt;QC_DBH_MAX_CM),"DBH above "&amp;QC_DBH_MAX_CM&amp;" cm — check for a transcription error. ","")&amp;IF($M363="All","Generic species: no published root:shoot applies, so below-ground biomass is the mean of the deciduous and conifer relationships. Choose a species, or Deciduous/Conifers, if you can. ","")&amp;IF(AND($O363&lt;&gt;"",$O363&gt;0,OR($N363/$O363&lt;BGB_FRACTION_MIN,$N363/$O363&gt;BGB_FRACTION_MAX)),"Below-ground share is "&amp;TEXT($N363/$O363,"0%")&amp;", outside the 18–30% the Trees guide describes. ",""))</f>
        <v/>
      </c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4" t="str">
        <f aca="false">IF($C364="","",IFERROR(12+(MATCH($C364,'R1. Tree Coefficients'!$L$12:$L$53,0)-1)*4,""))</f>
        <v/>
      </c>
      <c r="G364" s="14" t="str">
        <f aca="false">IF($F364="","",IF(AND($E364&lt;&gt;"",$E364&gt;0),"DBH + height","DBH only"))</f>
        <v/>
      </c>
      <c r="H364" s="14" t="str">
        <f aca="false">IF(OR($D364="",$F364=""),"",IF($E364&gt;0,INDEX('R1. Tree Coefficients'!$F:$F,$F364+0)*($D364^INDEX('R1. Tree Coefficients'!$G:$G,$F364+0))*($E364^INDEX('R1. Tree Coefficients'!$H:$H,$F364+0)),INDEX('R1. Tree Coefficients'!$D:$D,$F364+0)*($D364^INDEX('R1. Tree Coefficients'!$E:$E,$F364+0))))</f>
        <v/>
      </c>
      <c r="I364" s="14" t="str">
        <f aca="false">IF(OR($D364="",$F364=""),"",IF($E364&gt;0,INDEX('R1. Tree Coefficients'!$F:$F,$F364+1)*($D364^INDEX('R1. Tree Coefficients'!$G:$G,$F364+1))*($E364^INDEX('R1. Tree Coefficients'!$H:$H,$F364+1)),INDEX('R1. Tree Coefficients'!$D:$D,$F364+1)*($D364^INDEX('R1. Tree Coefficients'!$E:$E,$F364+1))))</f>
        <v/>
      </c>
      <c r="J364" s="14" t="str">
        <f aca="false">IF(OR($D364="",$F364=""),"",IF($E364&gt;0,INDEX('R1. Tree Coefficients'!$F:$F,$F364+2)*($D364^INDEX('R1. Tree Coefficients'!$G:$G,$F364+2))*($E364^INDEX('R1. Tree Coefficients'!$H:$H,$F364+2)),INDEX('R1. Tree Coefficients'!$D:$D,$F364+2)*($D364^INDEX('R1. Tree Coefficients'!$E:$E,$F364+2))))</f>
        <v/>
      </c>
      <c r="K364" s="14" t="str">
        <f aca="false">IF(OR($D364="",$F364=""),"",IF($E364&gt;0,INDEX('R1. Tree Coefficients'!$F:$F,$F364+3)*($D364^INDEX('R1. Tree Coefficients'!$G:$G,$F364+3))*($E364^INDEX('R1. Tree Coefficients'!$H:$H,$F364+3)),INDEX('R1. Tree Coefficients'!$D:$D,$F364+3)*($D364^INDEX('R1. Tree Coefficients'!$E:$E,$F364+3))))</f>
        <v/>
      </c>
      <c r="L364" s="14" t="str">
        <f aca="false">IF($F364="","",IFERROR(SUM($H364:$K364),""))</f>
        <v/>
      </c>
      <c r="M364" s="14" t="str">
        <f aca="false">IF($F364="","",INDEX('R1. Tree Coefficients'!$J:$J,$F364))</f>
        <v/>
      </c>
      <c r="N364" s="14" t="str">
        <f aca="false">IF($L364="","",IF($M364="Deciduous",BGB_RS_DECIDUOUS_a*($L364^BGB_RS_DECIDUOUS_b),IF($M364="Conifers",BGB_RS_CONIFER*$L364,AVERAGE(BGB_RS_DECIDUOUS_a*($L364^BGB_RS_DECIDUOUS_b),BGB_RS_CONIFER*$L364))))</f>
        <v/>
      </c>
      <c r="O364" s="14" t="str">
        <f aca="false">IF($L364="","",$L364+$N364)</f>
        <v/>
      </c>
      <c r="P364" s="14" t="str">
        <f aca="false">IF($O364="","",$O364*CARBON_FRACTION_BIOMASS)</f>
        <v/>
      </c>
      <c r="Q364" s="14" t="str">
        <f aca="false">IF(AND($A364="",$C364=""),"",IF(AND($A364&lt;&gt;"",COUNTIF('1. Plot &amp; Site Log'!$A$5:$A$64,$A364)=0),"Plot ID not in Plot &amp; Site Log — this tree will not reach the summary. ","")&amp;IF($A364="","No Plot ID. ","")&amp;IF(AND($C364&lt;&gt;"",$F364=""),"Species not in the coefficient list — check the spelling against R1. ","")&amp;IF($D364="","No DBH — nothing can be calculated. ","")&amp;IF(AND($D364&lt;&gt;"",$D364&gt;QC_DBH_MAX_CM),"DBH above "&amp;QC_DBH_MAX_CM&amp;" cm — check for a transcription error. ","")&amp;IF($M364="All","Generic species: no published root:shoot applies, so below-ground biomass is the mean of the deciduous and conifer relationships. Choose a species, or Deciduous/Conifers, if you can. ","")&amp;IF(AND($O364&lt;&gt;"",$O364&gt;0,OR($N364/$O364&lt;BGB_FRACTION_MIN,$N364/$O364&gt;BGB_FRACTION_MAX)),"Below-ground share is "&amp;TEXT($N364/$O364,"0%")&amp;", outside the 18–30% the Trees guide describes. ",""))</f>
        <v/>
      </c>
    </row>
    <row r="365" customFormat="false" ht="15" hidden="false" customHeight="false" outlineLevel="0" collapsed="false">
      <c r="A365" s="13"/>
      <c r="B365" s="13"/>
      <c r="C365" s="13"/>
      <c r="D365" s="13"/>
      <c r="E365" s="13"/>
      <c r="F365" s="14" t="str">
        <f aca="false">IF($C365="","",IFERROR(12+(MATCH($C365,'R1. Tree Coefficients'!$L$12:$L$53,0)-1)*4,""))</f>
        <v/>
      </c>
      <c r="G365" s="14" t="str">
        <f aca="false">IF($F365="","",IF(AND($E365&lt;&gt;"",$E365&gt;0),"DBH + height","DBH only"))</f>
        <v/>
      </c>
      <c r="H365" s="14" t="str">
        <f aca="false">IF(OR($D365="",$F365=""),"",IF($E365&gt;0,INDEX('R1. Tree Coefficients'!$F:$F,$F365+0)*($D365^INDEX('R1. Tree Coefficients'!$G:$G,$F365+0))*($E365^INDEX('R1. Tree Coefficients'!$H:$H,$F365+0)),INDEX('R1. Tree Coefficients'!$D:$D,$F365+0)*($D365^INDEX('R1. Tree Coefficients'!$E:$E,$F365+0))))</f>
        <v/>
      </c>
      <c r="I365" s="14" t="str">
        <f aca="false">IF(OR($D365="",$F365=""),"",IF($E365&gt;0,INDEX('R1. Tree Coefficients'!$F:$F,$F365+1)*($D365^INDEX('R1. Tree Coefficients'!$G:$G,$F365+1))*($E365^INDEX('R1. Tree Coefficients'!$H:$H,$F365+1)),INDEX('R1. Tree Coefficients'!$D:$D,$F365+1)*($D365^INDEX('R1. Tree Coefficients'!$E:$E,$F365+1))))</f>
        <v/>
      </c>
      <c r="J365" s="14" t="str">
        <f aca="false">IF(OR($D365="",$F365=""),"",IF($E365&gt;0,INDEX('R1. Tree Coefficients'!$F:$F,$F365+2)*($D365^INDEX('R1. Tree Coefficients'!$G:$G,$F365+2))*($E365^INDEX('R1. Tree Coefficients'!$H:$H,$F365+2)),INDEX('R1. Tree Coefficients'!$D:$D,$F365+2)*($D365^INDEX('R1. Tree Coefficients'!$E:$E,$F365+2))))</f>
        <v/>
      </c>
      <c r="K365" s="14" t="str">
        <f aca="false">IF(OR($D365="",$F365=""),"",IF($E365&gt;0,INDEX('R1. Tree Coefficients'!$F:$F,$F365+3)*($D365^INDEX('R1. Tree Coefficients'!$G:$G,$F365+3))*($E365^INDEX('R1. Tree Coefficients'!$H:$H,$F365+3)),INDEX('R1. Tree Coefficients'!$D:$D,$F365+3)*($D365^INDEX('R1. Tree Coefficients'!$E:$E,$F365+3))))</f>
        <v/>
      </c>
      <c r="L365" s="14" t="str">
        <f aca="false">IF($F365="","",IFERROR(SUM($H365:$K365),""))</f>
        <v/>
      </c>
      <c r="M365" s="14" t="str">
        <f aca="false">IF($F365="","",INDEX('R1. Tree Coefficients'!$J:$J,$F365))</f>
        <v/>
      </c>
      <c r="N365" s="14" t="str">
        <f aca="false">IF($L365="","",IF($M365="Deciduous",BGB_RS_DECIDUOUS_a*($L365^BGB_RS_DECIDUOUS_b),IF($M365="Conifers",BGB_RS_CONIFER*$L365,AVERAGE(BGB_RS_DECIDUOUS_a*($L365^BGB_RS_DECIDUOUS_b),BGB_RS_CONIFER*$L365))))</f>
        <v/>
      </c>
      <c r="O365" s="14" t="str">
        <f aca="false">IF($L365="","",$L365+$N365)</f>
        <v/>
      </c>
      <c r="P365" s="14" t="str">
        <f aca="false">IF($O365="","",$O365*CARBON_FRACTION_BIOMASS)</f>
        <v/>
      </c>
      <c r="Q365" s="14" t="str">
        <f aca="false">IF(AND($A365="",$C365=""),"",IF(AND($A365&lt;&gt;"",COUNTIF('1. Plot &amp; Site Log'!$A$5:$A$64,$A365)=0),"Plot ID not in Plot &amp; Site Log — this tree will not reach the summary. ","")&amp;IF($A365="","No Plot ID. ","")&amp;IF(AND($C365&lt;&gt;"",$F365=""),"Species not in the coefficient list — check the spelling against R1. ","")&amp;IF($D365="","No DBH — nothing can be calculated. ","")&amp;IF(AND($D365&lt;&gt;"",$D365&gt;QC_DBH_MAX_CM),"DBH above "&amp;QC_DBH_MAX_CM&amp;" cm — check for a transcription error. ","")&amp;IF($M365="All","Generic species: no published root:shoot applies, so below-ground biomass is the mean of the deciduous and conifer relationships. Choose a species, or Deciduous/Conifers, if you can. ","")&amp;IF(AND($O365&lt;&gt;"",$O365&gt;0,OR($N365/$O365&lt;BGB_FRACTION_MIN,$N365/$O365&gt;BGB_FRACTION_MAX)),"Below-ground share is "&amp;TEXT($N365/$O365,"0%")&amp;", outside the 18–30% the Trees guide describes. ",""))</f>
        <v/>
      </c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4" t="str">
        <f aca="false">IF($C366="","",IFERROR(12+(MATCH($C366,'R1. Tree Coefficients'!$L$12:$L$53,0)-1)*4,""))</f>
        <v/>
      </c>
      <c r="G366" s="14" t="str">
        <f aca="false">IF($F366="","",IF(AND($E366&lt;&gt;"",$E366&gt;0),"DBH + height","DBH only"))</f>
        <v/>
      </c>
      <c r="H366" s="14" t="str">
        <f aca="false">IF(OR($D366="",$F366=""),"",IF($E366&gt;0,INDEX('R1. Tree Coefficients'!$F:$F,$F366+0)*($D366^INDEX('R1. Tree Coefficients'!$G:$G,$F366+0))*($E366^INDEX('R1. Tree Coefficients'!$H:$H,$F366+0)),INDEX('R1. Tree Coefficients'!$D:$D,$F366+0)*($D366^INDEX('R1. Tree Coefficients'!$E:$E,$F366+0))))</f>
        <v/>
      </c>
      <c r="I366" s="14" t="str">
        <f aca="false">IF(OR($D366="",$F366=""),"",IF($E366&gt;0,INDEX('R1. Tree Coefficients'!$F:$F,$F366+1)*($D366^INDEX('R1. Tree Coefficients'!$G:$G,$F366+1))*($E366^INDEX('R1. Tree Coefficients'!$H:$H,$F366+1)),INDEX('R1. Tree Coefficients'!$D:$D,$F366+1)*($D366^INDEX('R1. Tree Coefficients'!$E:$E,$F366+1))))</f>
        <v/>
      </c>
      <c r="J366" s="14" t="str">
        <f aca="false">IF(OR($D366="",$F366=""),"",IF($E366&gt;0,INDEX('R1. Tree Coefficients'!$F:$F,$F366+2)*($D366^INDEX('R1. Tree Coefficients'!$G:$G,$F366+2))*($E366^INDEX('R1. Tree Coefficients'!$H:$H,$F366+2)),INDEX('R1. Tree Coefficients'!$D:$D,$F366+2)*($D366^INDEX('R1. Tree Coefficients'!$E:$E,$F366+2))))</f>
        <v/>
      </c>
      <c r="K366" s="14" t="str">
        <f aca="false">IF(OR($D366="",$F366=""),"",IF($E366&gt;0,INDEX('R1. Tree Coefficients'!$F:$F,$F366+3)*($D366^INDEX('R1. Tree Coefficients'!$G:$G,$F366+3))*($E366^INDEX('R1. Tree Coefficients'!$H:$H,$F366+3)),INDEX('R1. Tree Coefficients'!$D:$D,$F366+3)*($D366^INDEX('R1. Tree Coefficients'!$E:$E,$F366+3))))</f>
        <v/>
      </c>
      <c r="L366" s="14" t="str">
        <f aca="false">IF($F366="","",IFERROR(SUM($H366:$K366),""))</f>
        <v/>
      </c>
      <c r="M366" s="14" t="str">
        <f aca="false">IF($F366="","",INDEX('R1. Tree Coefficients'!$J:$J,$F366))</f>
        <v/>
      </c>
      <c r="N366" s="14" t="str">
        <f aca="false">IF($L366="","",IF($M366="Deciduous",BGB_RS_DECIDUOUS_a*($L366^BGB_RS_DECIDUOUS_b),IF($M366="Conifers",BGB_RS_CONIFER*$L366,AVERAGE(BGB_RS_DECIDUOUS_a*($L366^BGB_RS_DECIDUOUS_b),BGB_RS_CONIFER*$L366))))</f>
        <v/>
      </c>
      <c r="O366" s="14" t="str">
        <f aca="false">IF($L366="","",$L366+$N366)</f>
        <v/>
      </c>
      <c r="P366" s="14" t="str">
        <f aca="false">IF($O366="","",$O366*CARBON_FRACTION_BIOMASS)</f>
        <v/>
      </c>
      <c r="Q366" s="14" t="str">
        <f aca="false">IF(AND($A366="",$C366=""),"",IF(AND($A366&lt;&gt;"",COUNTIF('1. Plot &amp; Site Log'!$A$5:$A$64,$A366)=0),"Plot ID not in Plot &amp; Site Log — this tree will not reach the summary. ","")&amp;IF($A366="","No Plot ID. ","")&amp;IF(AND($C366&lt;&gt;"",$F366=""),"Species not in the coefficient list — check the spelling against R1. ","")&amp;IF($D366="","No DBH — nothing can be calculated. ","")&amp;IF(AND($D366&lt;&gt;"",$D366&gt;QC_DBH_MAX_CM),"DBH above "&amp;QC_DBH_MAX_CM&amp;" cm — check for a transcription error. ","")&amp;IF($M366="All","Generic species: no published root:shoot applies, so below-ground biomass is the mean of the deciduous and conifer relationships. Choose a species, or Deciduous/Conifers, if you can. ","")&amp;IF(AND($O366&lt;&gt;"",$O366&gt;0,OR($N366/$O366&lt;BGB_FRACTION_MIN,$N366/$O366&gt;BGB_FRACTION_MAX)),"Below-ground share is "&amp;TEXT($N366/$O366,"0%")&amp;", outside the 18–30% the Trees guide describes. ",""))</f>
        <v/>
      </c>
    </row>
    <row r="367" customFormat="false" ht="15" hidden="false" customHeight="false" outlineLevel="0" collapsed="false">
      <c r="A367" s="13"/>
      <c r="B367" s="13"/>
      <c r="C367" s="13"/>
      <c r="D367" s="13"/>
      <c r="E367" s="13"/>
      <c r="F367" s="14" t="str">
        <f aca="false">IF($C367="","",IFERROR(12+(MATCH($C367,'R1. Tree Coefficients'!$L$12:$L$53,0)-1)*4,""))</f>
        <v/>
      </c>
      <c r="G367" s="14" t="str">
        <f aca="false">IF($F367="","",IF(AND($E367&lt;&gt;"",$E367&gt;0),"DBH + height","DBH only"))</f>
        <v/>
      </c>
      <c r="H367" s="14" t="str">
        <f aca="false">IF(OR($D367="",$F367=""),"",IF($E367&gt;0,INDEX('R1. Tree Coefficients'!$F:$F,$F367+0)*($D367^INDEX('R1. Tree Coefficients'!$G:$G,$F367+0))*($E367^INDEX('R1. Tree Coefficients'!$H:$H,$F367+0)),INDEX('R1. Tree Coefficients'!$D:$D,$F367+0)*($D367^INDEX('R1. Tree Coefficients'!$E:$E,$F367+0))))</f>
        <v/>
      </c>
      <c r="I367" s="14" t="str">
        <f aca="false">IF(OR($D367="",$F367=""),"",IF($E367&gt;0,INDEX('R1. Tree Coefficients'!$F:$F,$F367+1)*($D367^INDEX('R1. Tree Coefficients'!$G:$G,$F367+1))*($E367^INDEX('R1. Tree Coefficients'!$H:$H,$F367+1)),INDEX('R1. Tree Coefficients'!$D:$D,$F367+1)*($D367^INDEX('R1. Tree Coefficients'!$E:$E,$F367+1))))</f>
        <v/>
      </c>
      <c r="J367" s="14" t="str">
        <f aca="false">IF(OR($D367="",$F367=""),"",IF($E367&gt;0,INDEX('R1. Tree Coefficients'!$F:$F,$F367+2)*($D367^INDEX('R1. Tree Coefficients'!$G:$G,$F367+2))*($E367^INDEX('R1. Tree Coefficients'!$H:$H,$F367+2)),INDEX('R1. Tree Coefficients'!$D:$D,$F367+2)*($D367^INDEX('R1. Tree Coefficients'!$E:$E,$F367+2))))</f>
        <v/>
      </c>
      <c r="K367" s="14" t="str">
        <f aca="false">IF(OR($D367="",$F367=""),"",IF($E367&gt;0,INDEX('R1. Tree Coefficients'!$F:$F,$F367+3)*($D367^INDEX('R1. Tree Coefficients'!$G:$G,$F367+3))*($E367^INDEX('R1. Tree Coefficients'!$H:$H,$F367+3)),INDEX('R1. Tree Coefficients'!$D:$D,$F367+3)*($D367^INDEX('R1. Tree Coefficients'!$E:$E,$F367+3))))</f>
        <v/>
      </c>
      <c r="L367" s="14" t="str">
        <f aca="false">IF($F367="","",IFERROR(SUM($H367:$K367),""))</f>
        <v/>
      </c>
      <c r="M367" s="14" t="str">
        <f aca="false">IF($F367="","",INDEX('R1. Tree Coefficients'!$J:$J,$F367))</f>
        <v/>
      </c>
      <c r="N367" s="14" t="str">
        <f aca="false">IF($L367="","",IF($M367="Deciduous",BGB_RS_DECIDUOUS_a*($L367^BGB_RS_DECIDUOUS_b),IF($M367="Conifers",BGB_RS_CONIFER*$L367,AVERAGE(BGB_RS_DECIDUOUS_a*($L367^BGB_RS_DECIDUOUS_b),BGB_RS_CONIFER*$L367))))</f>
        <v/>
      </c>
      <c r="O367" s="14" t="str">
        <f aca="false">IF($L367="","",$L367+$N367)</f>
        <v/>
      </c>
      <c r="P367" s="14" t="str">
        <f aca="false">IF($O367="","",$O367*CARBON_FRACTION_BIOMASS)</f>
        <v/>
      </c>
      <c r="Q367" s="14" t="str">
        <f aca="false">IF(AND($A367="",$C367=""),"",IF(AND($A367&lt;&gt;"",COUNTIF('1. Plot &amp; Site Log'!$A$5:$A$64,$A367)=0),"Plot ID not in Plot &amp; Site Log — this tree will not reach the summary. ","")&amp;IF($A367="","No Plot ID. ","")&amp;IF(AND($C367&lt;&gt;"",$F367=""),"Species not in the coefficient list — check the spelling against R1. ","")&amp;IF($D367="","No DBH — nothing can be calculated. ","")&amp;IF(AND($D367&lt;&gt;"",$D367&gt;QC_DBH_MAX_CM),"DBH above "&amp;QC_DBH_MAX_CM&amp;" cm — check for a transcription error. ","")&amp;IF($M367="All","Generic species: no published root:shoot applies, so below-ground biomass is the mean of the deciduous and conifer relationships. Choose a species, or Deciduous/Conifers, if you can. ","")&amp;IF(AND($O367&lt;&gt;"",$O367&gt;0,OR($N367/$O367&lt;BGB_FRACTION_MIN,$N367/$O367&gt;BGB_FRACTION_MAX)),"Below-ground share is "&amp;TEXT($N367/$O367,"0%")&amp;", outside the 18–30% the Trees guide describes. ",""))</f>
        <v/>
      </c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4" t="str">
        <f aca="false">IF($C368="","",IFERROR(12+(MATCH($C368,'R1. Tree Coefficients'!$L$12:$L$53,0)-1)*4,""))</f>
        <v/>
      </c>
      <c r="G368" s="14" t="str">
        <f aca="false">IF($F368="","",IF(AND($E368&lt;&gt;"",$E368&gt;0),"DBH + height","DBH only"))</f>
        <v/>
      </c>
      <c r="H368" s="14" t="str">
        <f aca="false">IF(OR($D368="",$F368=""),"",IF($E368&gt;0,INDEX('R1. Tree Coefficients'!$F:$F,$F368+0)*($D368^INDEX('R1. Tree Coefficients'!$G:$G,$F368+0))*($E368^INDEX('R1. Tree Coefficients'!$H:$H,$F368+0)),INDEX('R1. Tree Coefficients'!$D:$D,$F368+0)*($D368^INDEX('R1. Tree Coefficients'!$E:$E,$F368+0))))</f>
        <v/>
      </c>
      <c r="I368" s="14" t="str">
        <f aca="false">IF(OR($D368="",$F368=""),"",IF($E368&gt;0,INDEX('R1. Tree Coefficients'!$F:$F,$F368+1)*($D368^INDEX('R1. Tree Coefficients'!$G:$G,$F368+1))*($E368^INDEX('R1. Tree Coefficients'!$H:$H,$F368+1)),INDEX('R1. Tree Coefficients'!$D:$D,$F368+1)*($D368^INDEX('R1. Tree Coefficients'!$E:$E,$F368+1))))</f>
        <v/>
      </c>
      <c r="J368" s="14" t="str">
        <f aca="false">IF(OR($D368="",$F368=""),"",IF($E368&gt;0,INDEX('R1. Tree Coefficients'!$F:$F,$F368+2)*($D368^INDEX('R1. Tree Coefficients'!$G:$G,$F368+2))*($E368^INDEX('R1. Tree Coefficients'!$H:$H,$F368+2)),INDEX('R1. Tree Coefficients'!$D:$D,$F368+2)*($D368^INDEX('R1. Tree Coefficients'!$E:$E,$F368+2))))</f>
        <v/>
      </c>
      <c r="K368" s="14" t="str">
        <f aca="false">IF(OR($D368="",$F368=""),"",IF($E368&gt;0,INDEX('R1. Tree Coefficients'!$F:$F,$F368+3)*($D368^INDEX('R1. Tree Coefficients'!$G:$G,$F368+3))*($E368^INDEX('R1. Tree Coefficients'!$H:$H,$F368+3)),INDEX('R1. Tree Coefficients'!$D:$D,$F368+3)*($D368^INDEX('R1. Tree Coefficients'!$E:$E,$F368+3))))</f>
        <v/>
      </c>
      <c r="L368" s="14" t="str">
        <f aca="false">IF($F368="","",IFERROR(SUM($H368:$K368),""))</f>
        <v/>
      </c>
      <c r="M368" s="14" t="str">
        <f aca="false">IF($F368="","",INDEX('R1. Tree Coefficients'!$J:$J,$F368))</f>
        <v/>
      </c>
      <c r="N368" s="14" t="str">
        <f aca="false">IF($L368="","",IF($M368="Deciduous",BGB_RS_DECIDUOUS_a*($L368^BGB_RS_DECIDUOUS_b),IF($M368="Conifers",BGB_RS_CONIFER*$L368,AVERAGE(BGB_RS_DECIDUOUS_a*($L368^BGB_RS_DECIDUOUS_b),BGB_RS_CONIFER*$L368))))</f>
        <v/>
      </c>
      <c r="O368" s="14" t="str">
        <f aca="false">IF($L368="","",$L368+$N368)</f>
        <v/>
      </c>
      <c r="P368" s="14" t="str">
        <f aca="false">IF($O368="","",$O368*CARBON_FRACTION_BIOMASS)</f>
        <v/>
      </c>
      <c r="Q368" s="14" t="str">
        <f aca="false">IF(AND($A368="",$C368=""),"",IF(AND($A368&lt;&gt;"",COUNTIF('1. Plot &amp; Site Log'!$A$5:$A$64,$A368)=0),"Plot ID not in Plot &amp; Site Log — this tree will not reach the summary. ","")&amp;IF($A368="","No Plot ID. ","")&amp;IF(AND($C368&lt;&gt;"",$F368=""),"Species not in the coefficient list — check the spelling against R1. ","")&amp;IF($D368="","No DBH — nothing can be calculated. ","")&amp;IF(AND($D368&lt;&gt;"",$D368&gt;QC_DBH_MAX_CM),"DBH above "&amp;QC_DBH_MAX_CM&amp;" cm — check for a transcription error. ","")&amp;IF($M368="All","Generic species: no published root:shoot applies, so below-ground biomass is the mean of the deciduous and conifer relationships. Choose a species, or Deciduous/Conifers, if you can. ","")&amp;IF(AND($O368&lt;&gt;"",$O368&gt;0,OR($N368/$O368&lt;BGB_FRACTION_MIN,$N368/$O368&gt;BGB_FRACTION_MAX)),"Below-ground share is "&amp;TEXT($N368/$O368,"0%")&amp;", outside the 18–30% the Trees guide describes. ",""))</f>
        <v/>
      </c>
    </row>
    <row r="369" customFormat="false" ht="15" hidden="false" customHeight="false" outlineLevel="0" collapsed="false">
      <c r="A369" s="13"/>
      <c r="B369" s="13"/>
      <c r="C369" s="13"/>
      <c r="D369" s="13"/>
      <c r="E369" s="13"/>
      <c r="F369" s="14" t="str">
        <f aca="false">IF($C369="","",IFERROR(12+(MATCH($C369,'R1. Tree Coefficients'!$L$12:$L$53,0)-1)*4,""))</f>
        <v/>
      </c>
      <c r="G369" s="14" t="str">
        <f aca="false">IF($F369="","",IF(AND($E369&lt;&gt;"",$E369&gt;0),"DBH + height","DBH only"))</f>
        <v/>
      </c>
      <c r="H369" s="14" t="str">
        <f aca="false">IF(OR($D369="",$F369=""),"",IF($E369&gt;0,INDEX('R1. Tree Coefficients'!$F:$F,$F369+0)*($D369^INDEX('R1. Tree Coefficients'!$G:$G,$F369+0))*($E369^INDEX('R1. Tree Coefficients'!$H:$H,$F369+0)),INDEX('R1. Tree Coefficients'!$D:$D,$F369+0)*($D369^INDEX('R1. Tree Coefficients'!$E:$E,$F369+0))))</f>
        <v/>
      </c>
      <c r="I369" s="14" t="str">
        <f aca="false">IF(OR($D369="",$F369=""),"",IF($E369&gt;0,INDEX('R1. Tree Coefficients'!$F:$F,$F369+1)*($D369^INDEX('R1. Tree Coefficients'!$G:$G,$F369+1))*($E369^INDEX('R1. Tree Coefficients'!$H:$H,$F369+1)),INDEX('R1. Tree Coefficients'!$D:$D,$F369+1)*($D369^INDEX('R1. Tree Coefficients'!$E:$E,$F369+1))))</f>
        <v/>
      </c>
      <c r="J369" s="14" t="str">
        <f aca="false">IF(OR($D369="",$F369=""),"",IF($E369&gt;0,INDEX('R1. Tree Coefficients'!$F:$F,$F369+2)*($D369^INDEX('R1. Tree Coefficients'!$G:$G,$F369+2))*($E369^INDEX('R1. Tree Coefficients'!$H:$H,$F369+2)),INDEX('R1. Tree Coefficients'!$D:$D,$F369+2)*($D369^INDEX('R1. Tree Coefficients'!$E:$E,$F369+2))))</f>
        <v/>
      </c>
      <c r="K369" s="14" t="str">
        <f aca="false">IF(OR($D369="",$F369=""),"",IF($E369&gt;0,INDEX('R1. Tree Coefficients'!$F:$F,$F369+3)*($D369^INDEX('R1. Tree Coefficients'!$G:$G,$F369+3))*($E369^INDEX('R1. Tree Coefficients'!$H:$H,$F369+3)),INDEX('R1. Tree Coefficients'!$D:$D,$F369+3)*($D369^INDEX('R1. Tree Coefficients'!$E:$E,$F369+3))))</f>
        <v/>
      </c>
      <c r="L369" s="14" t="str">
        <f aca="false">IF($F369="","",IFERROR(SUM($H369:$K369),""))</f>
        <v/>
      </c>
      <c r="M369" s="14" t="str">
        <f aca="false">IF($F369="","",INDEX('R1. Tree Coefficients'!$J:$J,$F369))</f>
        <v/>
      </c>
      <c r="N369" s="14" t="str">
        <f aca="false">IF($L369="","",IF($M369="Deciduous",BGB_RS_DECIDUOUS_a*($L369^BGB_RS_DECIDUOUS_b),IF($M369="Conifers",BGB_RS_CONIFER*$L369,AVERAGE(BGB_RS_DECIDUOUS_a*($L369^BGB_RS_DECIDUOUS_b),BGB_RS_CONIFER*$L369))))</f>
        <v/>
      </c>
      <c r="O369" s="14" t="str">
        <f aca="false">IF($L369="","",$L369+$N369)</f>
        <v/>
      </c>
      <c r="P369" s="14" t="str">
        <f aca="false">IF($O369="","",$O369*CARBON_FRACTION_BIOMASS)</f>
        <v/>
      </c>
      <c r="Q369" s="14" t="str">
        <f aca="false">IF(AND($A369="",$C369=""),"",IF(AND($A369&lt;&gt;"",COUNTIF('1. Plot &amp; Site Log'!$A$5:$A$64,$A369)=0),"Plot ID not in Plot &amp; Site Log — this tree will not reach the summary. ","")&amp;IF($A369="","No Plot ID. ","")&amp;IF(AND($C369&lt;&gt;"",$F369=""),"Species not in the coefficient list — check the spelling against R1. ","")&amp;IF($D369="","No DBH — nothing can be calculated. ","")&amp;IF(AND($D369&lt;&gt;"",$D369&gt;QC_DBH_MAX_CM),"DBH above "&amp;QC_DBH_MAX_CM&amp;" cm — check for a transcription error. ","")&amp;IF($M369="All","Generic species: no published root:shoot applies, so below-ground biomass is the mean of the deciduous and conifer relationships. Choose a species, or Deciduous/Conifers, if you can. ","")&amp;IF(AND($O369&lt;&gt;"",$O369&gt;0,OR($N369/$O369&lt;BGB_FRACTION_MIN,$N369/$O369&gt;BGB_FRACTION_MAX)),"Below-ground share is "&amp;TEXT($N369/$O369,"0%")&amp;", outside the 18–30% the Trees guide describes. ",""))</f>
        <v/>
      </c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4" t="str">
        <f aca="false">IF($C370="","",IFERROR(12+(MATCH($C370,'R1. Tree Coefficients'!$L$12:$L$53,0)-1)*4,""))</f>
        <v/>
      </c>
      <c r="G370" s="14" t="str">
        <f aca="false">IF($F370="","",IF(AND($E370&lt;&gt;"",$E370&gt;0),"DBH + height","DBH only"))</f>
        <v/>
      </c>
      <c r="H370" s="14" t="str">
        <f aca="false">IF(OR($D370="",$F370=""),"",IF($E370&gt;0,INDEX('R1. Tree Coefficients'!$F:$F,$F370+0)*($D370^INDEX('R1. Tree Coefficients'!$G:$G,$F370+0))*($E370^INDEX('R1. Tree Coefficients'!$H:$H,$F370+0)),INDEX('R1. Tree Coefficients'!$D:$D,$F370+0)*($D370^INDEX('R1. Tree Coefficients'!$E:$E,$F370+0))))</f>
        <v/>
      </c>
      <c r="I370" s="14" t="str">
        <f aca="false">IF(OR($D370="",$F370=""),"",IF($E370&gt;0,INDEX('R1. Tree Coefficients'!$F:$F,$F370+1)*($D370^INDEX('R1. Tree Coefficients'!$G:$G,$F370+1))*($E370^INDEX('R1. Tree Coefficients'!$H:$H,$F370+1)),INDEX('R1. Tree Coefficients'!$D:$D,$F370+1)*($D370^INDEX('R1. Tree Coefficients'!$E:$E,$F370+1))))</f>
        <v/>
      </c>
      <c r="J370" s="14" t="str">
        <f aca="false">IF(OR($D370="",$F370=""),"",IF($E370&gt;0,INDEX('R1. Tree Coefficients'!$F:$F,$F370+2)*($D370^INDEX('R1. Tree Coefficients'!$G:$G,$F370+2))*($E370^INDEX('R1. Tree Coefficients'!$H:$H,$F370+2)),INDEX('R1. Tree Coefficients'!$D:$D,$F370+2)*($D370^INDEX('R1. Tree Coefficients'!$E:$E,$F370+2))))</f>
        <v/>
      </c>
      <c r="K370" s="14" t="str">
        <f aca="false">IF(OR($D370="",$F370=""),"",IF($E370&gt;0,INDEX('R1. Tree Coefficients'!$F:$F,$F370+3)*($D370^INDEX('R1. Tree Coefficients'!$G:$G,$F370+3))*($E370^INDEX('R1. Tree Coefficients'!$H:$H,$F370+3)),INDEX('R1. Tree Coefficients'!$D:$D,$F370+3)*($D370^INDEX('R1. Tree Coefficients'!$E:$E,$F370+3))))</f>
        <v/>
      </c>
      <c r="L370" s="14" t="str">
        <f aca="false">IF($F370="","",IFERROR(SUM($H370:$K370),""))</f>
        <v/>
      </c>
      <c r="M370" s="14" t="str">
        <f aca="false">IF($F370="","",INDEX('R1. Tree Coefficients'!$J:$J,$F370))</f>
        <v/>
      </c>
      <c r="N370" s="14" t="str">
        <f aca="false">IF($L370="","",IF($M370="Deciduous",BGB_RS_DECIDUOUS_a*($L370^BGB_RS_DECIDUOUS_b),IF($M370="Conifers",BGB_RS_CONIFER*$L370,AVERAGE(BGB_RS_DECIDUOUS_a*($L370^BGB_RS_DECIDUOUS_b),BGB_RS_CONIFER*$L370))))</f>
        <v/>
      </c>
      <c r="O370" s="14" t="str">
        <f aca="false">IF($L370="","",$L370+$N370)</f>
        <v/>
      </c>
      <c r="P370" s="14" t="str">
        <f aca="false">IF($O370="","",$O370*CARBON_FRACTION_BIOMASS)</f>
        <v/>
      </c>
      <c r="Q370" s="14" t="str">
        <f aca="false">IF(AND($A370="",$C370=""),"",IF(AND($A370&lt;&gt;"",COUNTIF('1. Plot &amp; Site Log'!$A$5:$A$64,$A370)=0),"Plot ID not in Plot &amp; Site Log — this tree will not reach the summary. ","")&amp;IF($A370="","No Plot ID. ","")&amp;IF(AND($C370&lt;&gt;"",$F370=""),"Species not in the coefficient list — check the spelling against R1. ","")&amp;IF($D370="","No DBH — nothing can be calculated. ","")&amp;IF(AND($D370&lt;&gt;"",$D370&gt;QC_DBH_MAX_CM),"DBH above "&amp;QC_DBH_MAX_CM&amp;" cm — check for a transcription error. ","")&amp;IF($M370="All","Generic species: no published root:shoot applies, so below-ground biomass is the mean of the deciduous and conifer relationships. Choose a species, or Deciduous/Conifers, if you can. ","")&amp;IF(AND($O370&lt;&gt;"",$O370&gt;0,OR($N370/$O370&lt;BGB_FRACTION_MIN,$N370/$O370&gt;BGB_FRACTION_MAX)),"Below-ground share is "&amp;TEXT($N370/$O370,"0%")&amp;", outside the 18–30% the Trees guide describes. ",""))</f>
        <v/>
      </c>
    </row>
    <row r="371" customFormat="false" ht="15" hidden="false" customHeight="false" outlineLevel="0" collapsed="false">
      <c r="A371" s="13"/>
      <c r="B371" s="13"/>
      <c r="C371" s="13"/>
      <c r="D371" s="13"/>
      <c r="E371" s="13"/>
      <c r="F371" s="14" t="str">
        <f aca="false">IF($C371="","",IFERROR(12+(MATCH($C371,'R1. Tree Coefficients'!$L$12:$L$53,0)-1)*4,""))</f>
        <v/>
      </c>
      <c r="G371" s="14" t="str">
        <f aca="false">IF($F371="","",IF(AND($E371&lt;&gt;"",$E371&gt;0),"DBH + height","DBH only"))</f>
        <v/>
      </c>
      <c r="H371" s="14" t="str">
        <f aca="false">IF(OR($D371="",$F371=""),"",IF($E371&gt;0,INDEX('R1. Tree Coefficients'!$F:$F,$F371+0)*($D371^INDEX('R1. Tree Coefficients'!$G:$G,$F371+0))*($E371^INDEX('R1. Tree Coefficients'!$H:$H,$F371+0)),INDEX('R1. Tree Coefficients'!$D:$D,$F371+0)*($D371^INDEX('R1. Tree Coefficients'!$E:$E,$F371+0))))</f>
        <v/>
      </c>
      <c r="I371" s="14" t="str">
        <f aca="false">IF(OR($D371="",$F371=""),"",IF($E371&gt;0,INDEX('R1. Tree Coefficients'!$F:$F,$F371+1)*($D371^INDEX('R1. Tree Coefficients'!$G:$G,$F371+1))*($E371^INDEX('R1. Tree Coefficients'!$H:$H,$F371+1)),INDEX('R1. Tree Coefficients'!$D:$D,$F371+1)*($D371^INDEX('R1. Tree Coefficients'!$E:$E,$F371+1))))</f>
        <v/>
      </c>
      <c r="J371" s="14" t="str">
        <f aca="false">IF(OR($D371="",$F371=""),"",IF($E371&gt;0,INDEX('R1. Tree Coefficients'!$F:$F,$F371+2)*($D371^INDEX('R1. Tree Coefficients'!$G:$G,$F371+2))*($E371^INDEX('R1. Tree Coefficients'!$H:$H,$F371+2)),INDEX('R1. Tree Coefficients'!$D:$D,$F371+2)*($D371^INDEX('R1. Tree Coefficients'!$E:$E,$F371+2))))</f>
        <v/>
      </c>
      <c r="K371" s="14" t="str">
        <f aca="false">IF(OR($D371="",$F371=""),"",IF($E371&gt;0,INDEX('R1. Tree Coefficients'!$F:$F,$F371+3)*($D371^INDEX('R1. Tree Coefficients'!$G:$G,$F371+3))*($E371^INDEX('R1. Tree Coefficients'!$H:$H,$F371+3)),INDEX('R1. Tree Coefficients'!$D:$D,$F371+3)*($D371^INDEX('R1. Tree Coefficients'!$E:$E,$F371+3))))</f>
        <v/>
      </c>
      <c r="L371" s="14" t="str">
        <f aca="false">IF($F371="","",IFERROR(SUM($H371:$K371),""))</f>
        <v/>
      </c>
      <c r="M371" s="14" t="str">
        <f aca="false">IF($F371="","",INDEX('R1. Tree Coefficients'!$J:$J,$F371))</f>
        <v/>
      </c>
      <c r="N371" s="14" t="str">
        <f aca="false">IF($L371="","",IF($M371="Deciduous",BGB_RS_DECIDUOUS_a*($L371^BGB_RS_DECIDUOUS_b),IF($M371="Conifers",BGB_RS_CONIFER*$L371,AVERAGE(BGB_RS_DECIDUOUS_a*($L371^BGB_RS_DECIDUOUS_b),BGB_RS_CONIFER*$L371))))</f>
        <v/>
      </c>
      <c r="O371" s="14" t="str">
        <f aca="false">IF($L371="","",$L371+$N371)</f>
        <v/>
      </c>
      <c r="P371" s="14" t="str">
        <f aca="false">IF($O371="","",$O371*CARBON_FRACTION_BIOMASS)</f>
        <v/>
      </c>
      <c r="Q371" s="14" t="str">
        <f aca="false">IF(AND($A371="",$C371=""),"",IF(AND($A371&lt;&gt;"",COUNTIF('1. Plot &amp; Site Log'!$A$5:$A$64,$A371)=0),"Plot ID not in Plot &amp; Site Log — this tree will not reach the summary. ","")&amp;IF($A371="","No Plot ID. ","")&amp;IF(AND($C371&lt;&gt;"",$F371=""),"Species not in the coefficient list — check the spelling against R1. ","")&amp;IF($D371="","No DBH — nothing can be calculated. ","")&amp;IF(AND($D371&lt;&gt;"",$D371&gt;QC_DBH_MAX_CM),"DBH above "&amp;QC_DBH_MAX_CM&amp;" cm — check for a transcription error. ","")&amp;IF($M371="All","Generic species: no published root:shoot applies, so below-ground biomass is the mean of the deciduous and conifer relationships. Choose a species, or Deciduous/Conifers, if you can. ","")&amp;IF(AND($O371&lt;&gt;"",$O371&gt;0,OR($N371/$O371&lt;BGB_FRACTION_MIN,$N371/$O371&gt;BGB_FRACTION_MAX)),"Below-ground share is "&amp;TEXT($N371/$O371,"0%")&amp;", outside the 18–30% the Trees guide describes. ",""))</f>
        <v/>
      </c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4" t="str">
        <f aca="false">IF($C372="","",IFERROR(12+(MATCH($C372,'R1. Tree Coefficients'!$L$12:$L$53,0)-1)*4,""))</f>
        <v/>
      </c>
      <c r="G372" s="14" t="str">
        <f aca="false">IF($F372="","",IF(AND($E372&lt;&gt;"",$E372&gt;0),"DBH + height","DBH only"))</f>
        <v/>
      </c>
      <c r="H372" s="14" t="str">
        <f aca="false">IF(OR($D372="",$F372=""),"",IF($E372&gt;0,INDEX('R1. Tree Coefficients'!$F:$F,$F372+0)*($D372^INDEX('R1. Tree Coefficients'!$G:$G,$F372+0))*($E372^INDEX('R1. Tree Coefficients'!$H:$H,$F372+0)),INDEX('R1. Tree Coefficients'!$D:$D,$F372+0)*($D372^INDEX('R1. Tree Coefficients'!$E:$E,$F372+0))))</f>
        <v/>
      </c>
      <c r="I372" s="14" t="str">
        <f aca="false">IF(OR($D372="",$F372=""),"",IF($E372&gt;0,INDEX('R1. Tree Coefficients'!$F:$F,$F372+1)*($D372^INDEX('R1. Tree Coefficients'!$G:$G,$F372+1))*($E372^INDEX('R1. Tree Coefficients'!$H:$H,$F372+1)),INDEX('R1. Tree Coefficients'!$D:$D,$F372+1)*($D372^INDEX('R1. Tree Coefficients'!$E:$E,$F372+1))))</f>
        <v/>
      </c>
      <c r="J372" s="14" t="str">
        <f aca="false">IF(OR($D372="",$F372=""),"",IF($E372&gt;0,INDEX('R1. Tree Coefficients'!$F:$F,$F372+2)*($D372^INDEX('R1. Tree Coefficients'!$G:$G,$F372+2))*($E372^INDEX('R1. Tree Coefficients'!$H:$H,$F372+2)),INDEX('R1. Tree Coefficients'!$D:$D,$F372+2)*($D372^INDEX('R1. Tree Coefficients'!$E:$E,$F372+2))))</f>
        <v/>
      </c>
      <c r="K372" s="14" t="str">
        <f aca="false">IF(OR($D372="",$F372=""),"",IF($E372&gt;0,INDEX('R1. Tree Coefficients'!$F:$F,$F372+3)*($D372^INDEX('R1. Tree Coefficients'!$G:$G,$F372+3))*($E372^INDEX('R1. Tree Coefficients'!$H:$H,$F372+3)),INDEX('R1. Tree Coefficients'!$D:$D,$F372+3)*($D372^INDEX('R1. Tree Coefficients'!$E:$E,$F372+3))))</f>
        <v/>
      </c>
      <c r="L372" s="14" t="str">
        <f aca="false">IF($F372="","",IFERROR(SUM($H372:$K372),""))</f>
        <v/>
      </c>
      <c r="M372" s="14" t="str">
        <f aca="false">IF($F372="","",INDEX('R1. Tree Coefficients'!$J:$J,$F372))</f>
        <v/>
      </c>
      <c r="N372" s="14" t="str">
        <f aca="false">IF($L372="","",IF($M372="Deciduous",BGB_RS_DECIDUOUS_a*($L372^BGB_RS_DECIDUOUS_b),IF($M372="Conifers",BGB_RS_CONIFER*$L372,AVERAGE(BGB_RS_DECIDUOUS_a*($L372^BGB_RS_DECIDUOUS_b),BGB_RS_CONIFER*$L372))))</f>
        <v/>
      </c>
      <c r="O372" s="14" t="str">
        <f aca="false">IF($L372="","",$L372+$N372)</f>
        <v/>
      </c>
      <c r="P372" s="14" t="str">
        <f aca="false">IF($O372="","",$O372*CARBON_FRACTION_BIOMASS)</f>
        <v/>
      </c>
      <c r="Q372" s="14" t="str">
        <f aca="false">IF(AND($A372="",$C372=""),"",IF(AND($A372&lt;&gt;"",COUNTIF('1. Plot &amp; Site Log'!$A$5:$A$64,$A372)=0),"Plot ID not in Plot &amp; Site Log — this tree will not reach the summary. ","")&amp;IF($A372="","No Plot ID. ","")&amp;IF(AND($C372&lt;&gt;"",$F372=""),"Species not in the coefficient list — check the spelling against R1. ","")&amp;IF($D372="","No DBH — nothing can be calculated. ","")&amp;IF(AND($D372&lt;&gt;"",$D372&gt;QC_DBH_MAX_CM),"DBH above "&amp;QC_DBH_MAX_CM&amp;" cm — check for a transcription error. ","")&amp;IF($M372="All","Generic species: no published root:shoot applies, so below-ground biomass is the mean of the deciduous and conifer relationships. Choose a species, or Deciduous/Conifers, if you can. ","")&amp;IF(AND($O372&lt;&gt;"",$O372&gt;0,OR($N372/$O372&lt;BGB_FRACTION_MIN,$N372/$O372&gt;BGB_FRACTION_MAX)),"Below-ground share is "&amp;TEXT($N372/$O372,"0%")&amp;", outside the 18–30% the Trees guide describes. ",""))</f>
        <v/>
      </c>
    </row>
    <row r="373" customFormat="false" ht="15" hidden="false" customHeight="false" outlineLevel="0" collapsed="false">
      <c r="A373" s="13"/>
      <c r="B373" s="13"/>
      <c r="C373" s="13"/>
      <c r="D373" s="13"/>
      <c r="E373" s="13"/>
      <c r="F373" s="14" t="str">
        <f aca="false">IF($C373="","",IFERROR(12+(MATCH($C373,'R1. Tree Coefficients'!$L$12:$L$53,0)-1)*4,""))</f>
        <v/>
      </c>
      <c r="G373" s="14" t="str">
        <f aca="false">IF($F373="","",IF(AND($E373&lt;&gt;"",$E373&gt;0),"DBH + height","DBH only"))</f>
        <v/>
      </c>
      <c r="H373" s="14" t="str">
        <f aca="false">IF(OR($D373="",$F373=""),"",IF($E373&gt;0,INDEX('R1. Tree Coefficients'!$F:$F,$F373+0)*($D373^INDEX('R1. Tree Coefficients'!$G:$G,$F373+0))*($E373^INDEX('R1. Tree Coefficients'!$H:$H,$F373+0)),INDEX('R1. Tree Coefficients'!$D:$D,$F373+0)*($D373^INDEX('R1. Tree Coefficients'!$E:$E,$F373+0))))</f>
        <v/>
      </c>
      <c r="I373" s="14" t="str">
        <f aca="false">IF(OR($D373="",$F373=""),"",IF($E373&gt;0,INDEX('R1. Tree Coefficients'!$F:$F,$F373+1)*($D373^INDEX('R1. Tree Coefficients'!$G:$G,$F373+1))*($E373^INDEX('R1. Tree Coefficients'!$H:$H,$F373+1)),INDEX('R1. Tree Coefficients'!$D:$D,$F373+1)*($D373^INDEX('R1. Tree Coefficients'!$E:$E,$F373+1))))</f>
        <v/>
      </c>
      <c r="J373" s="14" t="str">
        <f aca="false">IF(OR($D373="",$F373=""),"",IF($E373&gt;0,INDEX('R1. Tree Coefficients'!$F:$F,$F373+2)*($D373^INDEX('R1. Tree Coefficients'!$G:$G,$F373+2))*($E373^INDEX('R1. Tree Coefficients'!$H:$H,$F373+2)),INDEX('R1. Tree Coefficients'!$D:$D,$F373+2)*($D373^INDEX('R1. Tree Coefficients'!$E:$E,$F373+2))))</f>
        <v/>
      </c>
      <c r="K373" s="14" t="str">
        <f aca="false">IF(OR($D373="",$F373=""),"",IF($E373&gt;0,INDEX('R1. Tree Coefficients'!$F:$F,$F373+3)*($D373^INDEX('R1. Tree Coefficients'!$G:$G,$F373+3))*($E373^INDEX('R1. Tree Coefficients'!$H:$H,$F373+3)),INDEX('R1. Tree Coefficients'!$D:$D,$F373+3)*($D373^INDEX('R1. Tree Coefficients'!$E:$E,$F373+3))))</f>
        <v/>
      </c>
      <c r="L373" s="14" t="str">
        <f aca="false">IF($F373="","",IFERROR(SUM($H373:$K373),""))</f>
        <v/>
      </c>
      <c r="M373" s="14" t="str">
        <f aca="false">IF($F373="","",INDEX('R1. Tree Coefficients'!$J:$J,$F373))</f>
        <v/>
      </c>
      <c r="N373" s="14" t="str">
        <f aca="false">IF($L373="","",IF($M373="Deciduous",BGB_RS_DECIDUOUS_a*($L373^BGB_RS_DECIDUOUS_b),IF($M373="Conifers",BGB_RS_CONIFER*$L373,AVERAGE(BGB_RS_DECIDUOUS_a*($L373^BGB_RS_DECIDUOUS_b),BGB_RS_CONIFER*$L373))))</f>
        <v/>
      </c>
      <c r="O373" s="14" t="str">
        <f aca="false">IF($L373="","",$L373+$N373)</f>
        <v/>
      </c>
      <c r="P373" s="14" t="str">
        <f aca="false">IF($O373="","",$O373*CARBON_FRACTION_BIOMASS)</f>
        <v/>
      </c>
      <c r="Q373" s="14" t="str">
        <f aca="false">IF(AND($A373="",$C373=""),"",IF(AND($A373&lt;&gt;"",COUNTIF('1. Plot &amp; Site Log'!$A$5:$A$64,$A373)=0),"Plot ID not in Plot &amp; Site Log — this tree will not reach the summary. ","")&amp;IF($A373="","No Plot ID. ","")&amp;IF(AND($C373&lt;&gt;"",$F373=""),"Species not in the coefficient list — check the spelling against R1. ","")&amp;IF($D373="","No DBH — nothing can be calculated. ","")&amp;IF(AND($D373&lt;&gt;"",$D373&gt;QC_DBH_MAX_CM),"DBH above "&amp;QC_DBH_MAX_CM&amp;" cm — check for a transcription error. ","")&amp;IF($M373="All","Generic species: no published root:shoot applies, so below-ground biomass is the mean of the deciduous and conifer relationships. Choose a species, or Deciduous/Conifers, if you can. ","")&amp;IF(AND($O373&lt;&gt;"",$O373&gt;0,OR($N373/$O373&lt;BGB_FRACTION_MIN,$N373/$O373&gt;BGB_FRACTION_MAX)),"Below-ground share is "&amp;TEXT($N373/$O373,"0%")&amp;", outside the 18–30% the Trees guide describes. ",""))</f>
        <v/>
      </c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4" t="str">
        <f aca="false">IF($C374="","",IFERROR(12+(MATCH($C374,'R1. Tree Coefficients'!$L$12:$L$53,0)-1)*4,""))</f>
        <v/>
      </c>
      <c r="G374" s="14" t="str">
        <f aca="false">IF($F374="","",IF(AND($E374&lt;&gt;"",$E374&gt;0),"DBH + height","DBH only"))</f>
        <v/>
      </c>
      <c r="H374" s="14" t="str">
        <f aca="false">IF(OR($D374="",$F374=""),"",IF($E374&gt;0,INDEX('R1. Tree Coefficients'!$F:$F,$F374+0)*($D374^INDEX('R1. Tree Coefficients'!$G:$G,$F374+0))*($E374^INDEX('R1. Tree Coefficients'!$H:$H,$F374+0)),INDEX('R1. Tree Coefficients'!$D:$D,$F374+0)*($D374^INDEX('R1. Tree Coefficients'!$E:$E,$F374+0))))</f>
        <v/>
      </c>
      <c r="I374" s="14" t="str">
        <f aca="false">IF(OR($D374="",$F374=""),"",IF($E374&gt;0,INDEX('R1. Tree Coefficients'!$F:$F,$F374+1)*($D374^INDEX('R1. Tree Coefficients'!$G:$G,$F374+1))*($E374^INDEX('R1. Tree Coefficients'!$H:$H,$F374+1)),INDEX('R1. Tree Coefficients'!$D:$D,$F374+1)*($D374^INDEX('R1. Tree Coefficients'!$E:$E,$F374+1))))</f>
        <v/>
      </c>
      <c r="J374" s="14" t="str">
        <f aca="false">IF(OR($D374="",$F374=""),"",IF($E374&gt;0,INDEX('R1. Tree Coefficients'!$F:$F,$F374+2)*($D374^INDEX('R1. Tree Coefficients'!$G:$G,$F374+2))*($E374^INDEX('R1. Tree Coefficients'!$H:$H,$F374+2)),INDEX('R1. Tree Coefficients'!$D:$D,$F374+2)*($D374^INDEX('R1. Tree Coefficients'!$E:$E,$F374+2))))</f>
        <v/>
      </c>
      <c r="K374" s="14" t="str">
        <f aca="false">IF(OR($D374="",$F374=""),"",IF($E374&gt;0,INDEX('R1. Tree Coefficients'!$F:$F,$F374+3)*($D374^INDEX('R1. Tree Coefficients'!$G:$G,$F374+3))*($E374^INDEX('R1. Tree Coefficients'!$H:$H,$F374+3)),INDEX('R1. Tree Coefficients'!$D:$D,$F374+3)*($D374^INDEX('R1. Tree Coefficients'!$E:$E,$F374+3))))</f>
        <v/>
      </c>
      <c r="L374" s="14" t="str">
        <f aca="false">IF($F374="","",IFERROR(SUM($H374:$K374),""))</f>
        <v/>
      </c>
      <c r="M374" s="14" t="str">
        <f aca="false">IF($F374="","",INDEX('R1. Tree Coefficients'!$J:$J,$F374))</f>
        <v/>
      </c>
      <c r="N374" s="14" t="str">
        <f aca="false">IF($L374="","",IF($M374="Deciduous",BGB_RS_DECIDUOUS_a*($L374^BGB_RS_DECIDUOUS_b),IF($M374="Conifers",BGB_RS_CONIFER*$L374,AVERAGE(BGB_RS_DECIDUOUS_a*($L374^BGB_RS_DECIDUOUS_b),BGB_RS_CONIFER*$L374))))</f>
        <v/>
      </c>
      <c r="O374" s="14" t="str">
        <f aca="false">IF($L374="","",$L374+$N374)</f>
        <v/>
      </c>
      <c r="P374" s="14" t="str">
        <f aca="false">IF($O374="","",$O374*CARBON_FRACTION_BIOMASS)</f>
        <v/>
      </c>
      <c r="Q374" s="14" t="str">
        <f aca="false">IF(AND($A374="",$C374=""),"",IF(AND($A374&lt;&gt;"",COUNTIF('1. Plot &amp; Site Log'!$A$5:$A$64,$A374)=0),"Plot ID not in Plot &amp; Site Log — this tree will not reach the summary. ","")&amp;IF($A374="","No Plot ID. ","")&amp;IF(AND($C374&lt;&gt;"",$F374=""),"Species not in the coefficient list — check the spelling against R1. ","")&amp;IF($D374="","No DBH — nothing can be calculated. ","")&amp;IF(AND($D374&lt;&gt;"",$D374&gt;QC_DBH_MAX_CM),"DBH above "&amp;QC_DBH_MAX_CM&amp;" cm — check for a transcription error. ","")&amp;IF($M374="All","Generic species: no published root:shoot applies, so below-ground biomass is the mean of the deciduous and conifer relationships. Choose a species, or Deciduous/Conifers, if you can. ","")&amp;IF(AND($O374&lt;&gt;"",$O374&gt;0,OR($N374/$O374&lt;BGB_FRACTION_MIN,$N374/$O374&gt;BGB_FRACTION_MAX)),"Below-ground share is "&amp;TEXT($N374/$O374,"0%")&amp;", outside the 18–30% the Trees guide describes. ",""))</f>
        <v/>
      </c>
    </row>
    <row r="375" customFormat="false" ht="15" hidden="false" customHeight="false" outlineLevel="0" collapsed="false">
      <c r="A375" s="13"/>
      <c r="B375" s="13"/>
      <c r="C375" s="13"/>
      <c r="D375" s="13"/>
      <c r="E375" s="13"/>
      <c r="F375" s="14" t="str">
        <f aca="false">IF($C375="","",IFERROR(12+(MATCH($C375,'R1. Tree Coefficients'!$L$12:$L$53,0)-1)*4,""))</f>
        <v/>
      </c>
      <c r="G375" s="14" t="str">
        <f aca="false">IF($F375="","",IF(AND($E375&lt;&gt;"",$E375&gt;0),"DBH + height","DBH only"))</f>
        <v/>
      </c>
      <c r="H375" s="14" t="str">
        <f aca="false">IF(OR($D375="",$F375=""),"",IF($E375&gt;0,INDEX('R1. Tree Coefficients'!$F:$F,$F375+0)*($D375^INDEX('R1. Tree Coefficients'!$G:$G,$F375+0))*($E375^INDEX('R1. Tree Coefficients'!$H:$H,$F375+0)),INDEX('R1. Tree Coefficients'!$D:$D,$F375+0)*($D375^INDEX('R1. Tree Coefficients'!$E:$E,$F375+0))))</f>
        <v/>
      </c>
      <c r="I375" s="14" t="str">
        <f aca="false">IF(OR($D375="",$F375=""),"",IF($E375&gt;0,INDEX('R1. Tree Coefficients'!$F:$F,$F375+1)*($D375^INDEX('R1. Tree Coefficients'!$G:$G,$F375+1))*($E375^INDEX('R1. Tree Coefficients'!$H:$H,$F375+1)),INDEX('R1. Tree Coefficients'!$D:$D,$F375+1)*($D375^INDEX('R1. Tree Coefficients'!$E:$E,$F375+1))))</f>
        <v/>
      </c>
      <c r="J375" s="14" t="str">
        <f aca="false">IF(OR($D375="",$F375=""),"",IF($E375&gt;0,INDEX('R1. Tree Coefficients'!$F:$F,$F375+2)*($D375^INDEX('R1. Tree Coefficients'!$G:$G,$F375+2))*($E375^INDEX('R1. Tree Coefficients'!$H:$H,$F375+2)),INDEX('R1. Tree Coefficients'!$D:$D,$F375+2)*($D375^INDEX('R1. Tree Coefficients'!$E:$E,$F375+2))))</f>
        <v/>
      </c>
      <c r="K375" s="14" t="str">
        <f aca="false">IF(OR($D375="",$F375=""),"",IF($E375&gt;0,INDEX('R1. Tree Coefficients'!$F:$F,$F375+3)*($D375^INDEX('R1. Tree Coefficients'!$G:$G,$F375+3))*($E375^INDEX('R1. Tree Coefficients'!$H:$H,$F375+3)),INDEX('R1. Tree Coefficients'!$D:$D,$F375+3)*($D375^INDEX('R1. Tree Coefficients'!$E:$E,$F375+3))))</f>
        <v/>
      </c>
      <c r="L375" s="14" t="str">
        <f aca="false">IF($F375="","",IFERROR(SUM($H375:$K375),""))</f>
        <v/>
      </c>
      <c r="M375" s="14" t="str">
        <f aca="false">IF($F375="","",INDEX('R1. Tree Coefficients'!$J:$J,$F375))</f>
        <v/>
      </c>
      <c r="N375" s="14" t="str">
        <f aca="false">IF($L375="","",IF($M375="Deciduous",BGB_RS_DECIDUOUS_a*($L375^BGB_RS_DECIDUOUS_b),IF($M375="Conifers",BGB_RS_CONIFER*$L375,AVERAGE(BGB_RS_DECIDUOUS_a*($L375^BGB_RS_DECIDUOUS_b),BGB_RS_CONIFER*$L375))))</f>
        <v/>
      </c>
      <c r="O375" s="14" t="str">
        <f aca="false">IF($L375="","",$L375+$N375)</f>
        <v/>
      </c>
      <c r="P375" s="14" t="str">
        <f aca="false">IF($O375="","",$O375*CARBON_FRACTION_BIOMASS)</f>
        <v/>
      </c>
      <c r="Q375" s="14" t="str">
        <f aca="false">IF(AND($A375="",$C375=""),"",IF(AND($A375&lt;&gt;"",COUNTIF('1. Plot &amp; Site Log'!$A$5:$A$64,$A375)=0),"Plot ID not in Plot &amp; Site Log — this tree will not reach the summary. ","")&amp;IF($A375="","No Plot ID. ","")&amp;IF(AND($C375&lt;&gt;"",$F375=""),"Species not in the coefficient list — check the spelling against R1. ","")&amp;IF($D375="","No DBH — nothing can be calculated. ","")&amp;IF(AND($D375&lt;&gt;"",$D375&gt;QC_DBH_MAX_CM),"DBH above "&amp;QC_DBH_MAX_CM&amp;" cm — check for a transcription error. ","")&amp;IF($M375="All","Generic species: no published root:shoot applies, so below-ground biomass is the mean of the deciduous and conifer relationships. Choose a species, or Deciduous/Conifers, if you can. ","")&amp;IF(AND($O375&lt;&gt;"",$O375&gt;0,OR($N375/$O375&lt;BGB_FRACTION_MIN,$N375/$O375&gt;BGB_FRACTION_MAX)),"Below-ground share is "&amp;TEXT($N375/$O375,"0%")&amp;", outside the 18–30% the Trees guide describes. ",""))</f>
        <v/>
      </c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4" t="str">
        <f aca="false">IF($C376="","",IFERROR(12+(MATCH($C376,'R1. Tree Coefficients'!$L$12:$L$53,0)-1)*4,""))</f>
        <v/>
      </c>
      <c r="G376" s="14" t="str">
        <f aca="false">IF($F376="","",IF(AND($E376&lt;&gt;"",$E376&gt;0),"DBH + height","DBH only"))</f>
        <v/>
      </c>
      <c r="H376" s="14" t="str">
        <f aca="false">IF(OR($D376="",$F376=""),"",IF($E376&gt;0,INDEX('R1. Tree Coefficients'!$F:$F,$F376+0)*($D376^INDEX('R1. Tree Coefficients'!$G:$G,$F376+0))*($E376^INDEX('R1. Tree Coefficients'!$H:$H,$F376+0)),INDEX('R1. Tree Coefficients'!$D:$D,$F376+0)*($D376^INDEX('R1. Tree Coefficients'!$E:$E,$F376+0))))</f>
        <v/>
      </c>
      <c r="I376" s="14" t="str">
        <f aca="false">IF(OR($D376="",$F376=""),"",IF($E376&gt;0,INDEX('R1. Tree Coefficients'!$F:$F,$F376+1)*($D376^INDEX('R1. Tree Coefficients'!$G:$G,$F376+1))*($E376^INDEX('R1. Tree Coefficients'!$H:$H,$F376+1)),INDEX('R1. Tree Coefficients'!$D:$D,$F376+1)*($D376^INDEX('R1. Tree Coefficients'!$E:$E,$F376+1))))</f>
        <v/>
      </c>
      <c r="J376" s="14" t="str">
        <f aca="false">IF(OR($D376="",$F376=""),"",IF($E376&gt;0,INDEX('R1. Tree Coefficients'!$F:$F,$F376+2)*($D376^INDEX('R1. Tree Coefficients'!$G:$G,$F376+2))*($E376^INDEX('R1. Tree Coefficients'!$H:$H,$F376+2)),INDEX('R1. Tree Coefficients'!$D:$D,$F376+2)*($D376^INDEX('R1. Tree Coefficients'!$E:$E,$F376+2))))</f>
        <v/>
      </c>
      <c r="K376" s="14" t="str">
        <f aca="false">IF(OR($D376="",$F376=""),"",IF($E376&gt;0,INDEX('R1. Tree Coefficients'!$F:$F,$F376+3)*($D376^INDEX('R1. Tree Coefficients'!$G:$G,$F376+3))*($E376^INDEX('R1. Tree Coefficients'!$H:$H,$F376+3)),INDEX('R1. Tree Coefficients'!$D:$D,$F376+3)*($D376^INDEX('R1. Tree Coefficients'!$E:$E,$F376+3))))</f>
        <v/>
      </c>
      <c r="L376" s="14" t="str">
        <f aca="false">IF($F376="","",IFERROR(SUM($H376:$K376),""))</f>
        <v/>
      </c>
      <c r="M376" s="14" t="str">
        <f aca="false">IF($F376="","",INDEX('R1. Tree Coefficients'!$J:$J,$F376))</f>
        <v/>
      </c>
      <c r="N376" s="14" t="str">
        <f aca="false">IF($L376="","",IF($M376="Deciduous",BGB_RS_DECIDUOUS_a*($L376^BGB_RS_DECIDUOUS_b),IF($M376="Conifers",BGB_RS_CONIFER*$L376,AVERAGE(BGB_RS_DECIDUOUS_a*($L376^BGB_RS_DECIDUOUS_b),BGB_RS_CONIFER*$L376))))</f>
        <v/>
      </c>
      <c r="O376" s="14" t="str">
        <f aca="false">IF($L376="","",$L376+$N376)</f>
        <v/>
      </c>
      <c r="P376" s="14" t="str">
        <f aca="false">IF($O376="","",$O376*CARBON_FRACTION_BIOMASS)</f>
        <v/>
      </c>
      <c r="Q376" s="14" t="str">
        <f aca="false">IF(AND($A376="",$C376=""),"",IF(AND($A376&lt;&gt;"",COUNTIF('1. Plot &amp; Site Log'!$A$5:$A$64,$A376)=0),"Plot ID not in Plot &amp; Site Log — this tree will not reach the summary. ","")&amp;IF($A376="","No Plot ID. ","")&amp;IF(AND($C376&lt;&gt;"",$F376=""),"Species not in the coefficient list — check the spelling against R1. ","")&amp;IF($D376="","No DBH — nothing can be calculated. ","")&amp;IF(AND($D376&lt;&gt;"",$D376&gt;QC_DBH_MAX_CM),"DBH above "&amp;QC_DBH_MAX_CM&amp;" cm — check for a transcription error. ","")&amp;IF($M376="All","Generic species: no published root:shoot applies, so below-ground biomass is the mean of the deciduous and conifer relationships. Choose a species, or Deciduous/Conifers, if you can. ","")&amp;IF(AND($O376&lt;&gt;"",$O376&gt;0,OR($N376/$O376&lt;BGB_FRACTION_MIN,$N376/$O376&gt;BGB_FRACTION_MAX)),"Below-ground share is "&amp;TEXT($N376/$O376,"0%")&amp;", outside the 18–30% the Trees guide describes. ",""))</f>
        <v/>
      </c>
    </row>
    <row r="377" customFormat="false" ht="15" hidden="false" customHeight="false" outlineLevel="0" collapsed="false">
      <c r="A377" s="13"/>
      <c r="B377" s="13"/>
      <c r="C377" s="13"/>
      <c r="D377" s="13"/>
      <c r="E377" s="13"/>
      <c r="F377" s="14" t="str">
        <f aca="false">IF($C377="","",IFERROR(12+(MATCH($C377,'R1. Tree Coefficients'!$L$12:$L$53,0)-1)*4,""))</f>
        <v/>
      </c>
      <c r="G377" s="14" t="str">
        <f aca="false">IF($F377="","",IF(AND($E377&lt;&gt;"",$E377&gt;0),"DBH + height","DBH only"))</f>
        <v/>
      </c>
      <c r="H377" s="14" t="str">
        <f aca="false">IF(OR($D377="",$F377=""),"",IF($E377&gt;0,INDEX('R1. Tree Coefficients'!$F:$F,$F377+0)*($D377^INDEX('R1. Tree Coefficients'!$G:$G,$F377+0))*($E377^INDEX('R1. Tree Coefficients'!$H:$H,$F377+0)),INDEX('R1. Tree Coefficients'!$D:$D,$F377+0)*($D377^INDEX('R1. Tree Coefficients'!$E:$E,$F377+0))))</f>
        <v/>
      </c>
      <c r="I377" s="14" t="str">
        <f aca="false">IF(OR($D377="",$F377=""),"",IF($E377&gt;0,INDEX('R1. Tree Coefficients'!$F:$F,$F377+1)*($D377^INDEX('R1. Tree Coefficients'!$G:$G,$F377+1))*($E377^INDEX('R1. Tree Coefficients'!$H:$H,$F377+1)),INDEX('R1. Tree Coefficients'!$D:$D,$F377+1)*($D377^INDEX('R1. Tree Coefficients'!$E:$E,$F377+1))))</f>
        <v/>
      </c>
      <c r="J377" s="14" t="str">
        <f aca="false">IF(OR($D377="",$F377=""),"",IF($E377&gt;0,INDEX('R1. Tree Coefficients'!$F:$F,$F377+2)*($D377^INDEX('R1. Tree Coefficients'!$G:$G,$F377+2))*($E377^INDEX('R1. Tree Coefficients'!$H:$H,$F377+2)),INDEX('R1. Tree Coefficients'!$D:$D,$F377+2)*($D377^INDEX('R1. Tree Coefficients'!$E:$E,$F377+2))))</f>
        <v/>
      </c>
      <c r="K377" s="14" t="str">
        <f aca="false">IF(OR($D377="",$F377=""),"",IF($E377&gt;0,INDEX('R1. Tree Coefficients'!$F:$F,$F377+3)*($D377^INDEX('R1. Tree Coefficients'!$G:$G,$F377+3))*($E377^INDEX('R1. Tree Coefficients'!$H:$H,$F377+3)),INDEX('R1. Tree Coefficients'!$D:$D,$F377+3)*($D377^INDEX('R1. Tree Coefficients'!$E:$E,$F377+3))))</f>
        <v/>
      </c>
      <c r="L377" s="14" t="str">
        <f aca="false">IF($F377="","",IFERROR(SUM($H377:$K377),""))</f>
        <v/>
      </c>
      <c r="M377" s="14" t="str">
        <f aca="false">IF($F377="","",INDEX('R1. Tree Coefficients'!$J:$J,$F377))</f>
        <v/>
      </c>
      <c r="N377" s="14" t="str">
        <f aca="false">IF($L377="","",IF($M377="Deciduous",BGB_RS_DECIDUOUS_a*($L377^BGB_RS_DECIDUOUS_b),IF($M377="Conifers",BGB_RS_CONIFER*$L377,AVERAGE(BGB_RS_DECIDUOUS_a*($L377^BGB_RS_DECIDUOUS_b),BGB_RS_CONIFER*$L377))))</f>
        <v/>
      </c>
      <c r="O377" s="14" t="str">
        <f aca="false">IF($L377="","",$L377+$N377)</f>
        <v/>
      </c>
      <c r="P377" s="14" t="str">
        <f aca="false">IF($O377="","",$O377*CARBON_FRACTION_BIOMASS)</f>
        <v/>
      </c>
      <c r="Q377" s="14" t="str">
        <f aca="false">IF(AND($A377="",$C377=""),"",IF(AND($A377&lt;&gt;"",COUNTIF('1. Plot &amp; Site Log'!$A$5:$A$64,$A377)=0),"Plot ID not in Plot &amp; Site Log — this tree will not reach the summary. ","")&amp;IF($A377="","No Plot ID. ","")&amp;IF(AND($C377&lt;&gt;"",$F377=""),"Species not in the coefficient list — check the spelling against R1. ","")&amp;IF($D377="","No DBH — nothing can be calculated. ","")&amp;IF(AND($D377&lt;&gt;"",$D377&gt;QC_DBH_MAX_CM),"DBH above "&amp;QC_DBH_MAX_CM&amp;" cm — check for a transcription error. ","")&amp;IF($M377="All","Generic species: no published root:shoot applies, so below-ground biomass is the mean of the deciduous and conifer relationships. Choose a species, or Deciduous/Conifers, if you can. ","")&amp;IF(AND($O377&lt;&gt;"",$O377&gt;0,OR($N377/$O377&lt;BGB_FRACTION_MIN,$N377/$O377&gt;BGB_FRACTION_MAX)),"Below-ground share is "&amp;TEXT($N377/$O377,"0%")&amp;", outside the 18–30% the Trees guide describes. ",""))</f>
        <v/>
      </c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4" t="str">
        <f aca="false">IF($C378="","",IFERROR(12+(MATCH($C378,'R1. Tree Coefficients'!$L$12:$L$53,0)-1)*4,""))</f>
        <v/>
      </c>
      <c r="G378" s="14" t="str">
        <f aca="false">IF($F378="","",IF(AND($E378&lt;&gt;"",$E378&gt;0),"DBH + height","DBH only"))</f>
        <v/>
      </c>
      <c r="H378" s="14" t="str">
        <f aca="false">IF(OR($D378="",$F378=""),"",IF($E378&gt;0,INDEX('R1. Tree Coefficients'!$F:$F,$F378+0)*($D378^INDEX('R1. Tree Coefficients'!$G:$G,$F378+0))*($E378^INDEX('R1. Tree Coefficients'!$H:$H,$F378+0)),INDEX('R1. Tree Coefficients'!$D:$D,$F378+0)*($D378^INDEX('R1. Tree Coefficients'!$E:$E,$F378+0))))</f>
        <v/>
      </c>
      <c r="I378" s="14" t="str">
        <f aca="false">IF(OR($D378="",$F378=""),"",IF($E378&gt;0,INDEX('R1. Tree Coefficients'!$F:$F,$F378+1)*($D378^INDEX('R1. Tree Coefficients'!$G:$G,$F378+1))*($E378^INDEX('R1. Tree Coefficients'!$H:$H,$F378+1)),INDEX('R1. Tree Coefficients'!$D:$D,$F378+1)*($D378^INDEX('R1. Tree Coefficients'!$E:$E,$F378+1))))</f>
        <v/>
      </c>
      <c r="J378" s="14" t="str">
        <f aca="false">IF(OR($D378="",$F378=""),"",IF($E378&gt;0,INDEX('R1. Tree Coefficients'!$F:$F,$F378+2)*($D378^INDEX('R1. Tree Coefficients'!$G:$G,$F378+2))*($E378^INDEX('R1. Tree Coefficients'!$H:$H,$F378+2)),INDEX('R1. Tree Coefficients'!$D:$D,$F378+2)*($D378^INDEX('R1. Tree Coefficients'!$E:$E,$F378+2))))</f>
        <v/>
      </c>
      <c r="K378" s="14" t="str">
        <f aca="false">IF(OR($D378="",$F378=""),"",IF($E378&gt;0,INDEX('R1. Tree Coefficients'!$F:$F,$F378+3)*($D378^INDEX('R1. Tree Coefficients'!$G:$G,$F378+3))*($E378^INDEX('R1. Tree Coefficients'!$H:$H,$F378+3)),INDEX('R1. Tree Coefficients'!$D:$D,$F378+3)*($D378^INDEX('R1. Tree Coefficients'!$E:$E,$F378+3))))</f>
        <v/>
      </c>
      <c r="L378" s="14" t="str">
        <f aca="false">IF($F378="","",IFERROR(SUM($H378:$K378),""))</f>
        <v/>
      </c>
      <c r="M378" s="14" t="str">
        <f aca="false">IF($F378="","",INDEX('R1. Tree Coefficients'!$J:$J,$F378))</f>
        <v/>
      </c>
      <c r="N378" s="14" t="str">
        <f aca="false">IF($L378="","",IF($M378="Deciduous",BGB_RS_DECIDUOUS_a*($L378^BGB_RS_DECIDUOUS_b),IF($M378="Conifers",BGB_RS_CONIFER*$L378,AVERAGE(BGB_RS_DECIDUOUS_a*($L378^BGB_RS_DECIDUOUS_b),BGB_RS_CONIFER*$L378))))</f>
        <v/>
      </c>
      <c r="O378" s="14" t="str">
        <f aca="false">IF($L378="","",$L378+$N378)</f>
        <v/>
      </c>
      <c r="P378" s="14" t="str">
        <f aca="false">IF($O378="","",$O378*CARBON_FRACTION_BIOMASS)</f>
        <v/>
      </c>
      <c r="Q378" s="14" t="str">
        <f aca="false">IF(AND($A378="",$C378=""),"",IF(AND($A378&lt;&gt;"",COUNTIF('1. Plot &amp; Site Log'!$A$5:$A$64,$A378)=0),"Plot ID not in Plot &amp; Site Log — this tree will not reach the summary. ","")&amp;IF($A378="","No Plot ID. ","")&amp;IF(AND($C378&lt;&gt;"",$F378=""),"Species not in the coefficient list — check the spelling against R1. ","")&amp;IF($D378="","No DBH — nothing can be calculated. ","")&amp;IF(AND($D378&lt;&gt;"",$D378&gt;QC_DBH_MAX_CM),"DBH above "&amp;QC_DBH_MAX_CM&amp;" cm — check for a transcription error. ","")&amp;IF($M378="All","Generic species: no published root:shoot applies, so below-ground biomass is the mean of the deciduous and conifer relationships. Choose a species, or Deciduous/Conifers, if you can. ","")&amp;IF(AND($O378&lt;&gt;"",$O378&gt;0,OR($N378/$O378&lt;BGB_FRACTION_MIN,$N378/$O378&gt;BGB_FRACTION_MAX)),"Below-ground share is "&amp;TEXT($N378/$O378,"0%")&amp;", outside the 18–30% the Trees guide describes. ",""))</f>
        <v/>
      </c>
    </row>
    <row r="379" customFormat="false" ht="15" hidden="false" customHeight="false" outlineLevel="0" collapsed="false">
      <c r="A379" s="13"/>
      <c r="B379" s="13"/>
      <c r="C379" s="13"/>
      <c r="D379" s="13"/>
      <c r="E379" s="13"/>
      <c r="F379" s="14" t="str">
        <f aca="false">IF($C379="","",IFERROR(12+(MATCH($C379,'R1. Tree Coefficients'!$L$12:$L$53,0)-1)*4,""))</f>
        <v/>
      </c>
      <c r="G379" s="14" t="str">
        <f aca="false">IF($F379="","",IF(AND($E379&lt;&gt;"",$E379&gt;0),"DBH + height","DBH only"))</f>
        <v/>
      </c>
      <c r="H379" s="14" t="str">
        <f aca="false">IF(OR($D379="",$F379=""),"",IF($E379&gt;0,INDEX('R1. Tree Coefficients'!$F:$F,$F379+0)*($D379^INDEX('R1. Tree Coefficients'!$G:$G,$F379+0))*($E379^INDEX('R1. Tree Coefficients'!$H:$H,$F379+0)),INDEX('R1. Tree Coefficients'!$D:$D,$F379+0)*($D379^INDEX('R1. Tree Coefficients'!$E:$E,$F379+0))))</f>
        <v/>
      </c>
      <c r="I379" s="14" t="str">
        <f aca="false">IF(OR($D379="",$F379=""),"",IF($E379&gt;0,INDEX('R1. Tree Coefficients'!$F:$F,$F379+1)*($D379^INDEX('R1. Tree Coefficients'!$G:$G,$F379+1))*($E379^INDEX('R1. Tree Coefficients'!$H:$H,$F379+1)),INDEX('R1. Tree Coefficients'!$D:$D,$F379+1)*($D379^INDEX('R1. Tree Coefficients'!$E:$E,$F379+1))))</f>
        <v/>
      </c>
      <c r="J379" s="14" t="str">
        <f aca="false">IF(OR($D379="",$F379=""),"",IF($E379&gt;0,INDEX('R1. Tree Coefficients'!$F:$F,$F379+2)*($D379^INDEX('R1. Tree Coefficients'!$G:$G,$F379+2))*($E379^INDEX('R1. Tree Coefficients'!$H:$H,$F379+2)),INDEX('R1. Tree Coefficients'!$D:$D,$F379+2)*($D379^INDEX('R1. Tree Coefficients'!$E:$E,$F379+2))))</f>
        <v/>
      </c>
      <c r="K379" s="14" t="str">
        <f aca="false">IF(OR($D379="",$F379=""),"",IF($E379&gt;0,INDEX('R1. Tree Coefficients'!$F:$F,$F379+3)*($D379^INDEX('R1. Tree Coefficients'!$G:$G,$F379+3))*($E379^INDEX('R1. Tree Coefficients'!$H:$H,$F379+3)),INDEX('R1. Tree Coefficients'!$D:$D,$F379+3)*($D379^INDEX('R1. Tree Coefficients'!$E:$E,$F379+3))))</f>
        <v/>
      </c>
      <c r="L379" s="14" t="str">
        <f aca="false">IF($F379="","",IFERROR(SUM($H379:$K379),""))</f>
        <v/>
      </c>
      <c r="M379" s="14" t="str">
        <f aca="false">IF($F379="","",INDEX('R1. Tree Coefficients'!$J:$J,$F379))</f>
        <v/>
      </c>
      <c r="N379" s="14" t="str">
        <f aca="false">IF($L379="","",IF($M379="Deciduous",BGB_RS_DECIDUOUS_a*($L379^BGB_RS_DECIDUOUS_b),IF($M379="Conifers",BGB_RS_CONIFER*$L379,AVERAGE(BGB_RS_DECIDUOUS_a*($L379^BGB_RS_DECIDUOUS_b),BGB_RS_CONIFER*$L379))))</f>
        <v/>
      </c>
      <c r="O379" s="14" t="str">
        <f aca="false">IF($L379="","",$L379+$N379)</f>
        <v/>
      </c>
      <c r="P379" s="14" t="str">
        <f aca="false">IF($O379="","",$O379*CARBON_FRACTION_BIOMASS)</f>
        <v/>
      </c>
      <c r="Q379" s="14" t="str">
        <f aca="false">IF(AND($A379="",$C379=""),"",IF(AND($A379&lt;&gt;"",COUNTIF('1. Plot &amp; Site Log'!$A$5:$A$64,$A379)=0),"Plot ID not in Plot &amp; Site Log — this tree will not reach the summary. ","")&amp;IF($A379="","No Plot ID. ","")&amp;IF(AND($C379&lt;&gt;"",$F379=""),"Species not in the coefficient list — check the spelling against R1. ","")&amp;IF($D379="","No DBH — nothing can be calculated. ","")&amp;IF(AND($D379&lt;&gt;"",$D379&gt;QC_DBH_MAX_CM),"DBH above "&amp;QC_DBH_MAX_CM&amp;" cm — check for a transcription error. ","")&amp;IF($M379="All","Generic species: no published root:shoot applies, so below-ground biomass is the mean of the deciduous and conifer relationships. Choose a species, or Deciduous/Conifers, if you can. ","")&amp;IF(AND($O379&lt;&gt;"",$O379&gt;0,OR($N379/$O379&lt;BGB_FRACTION_MIN,$N379/$O379&gt;BGB_FRACTION_MAX)),"Below-ground share is "&amp;TEXT($N379/$O379,"0%")&amp;", outside the 18–30% the Trees guide describes. ",""))</f>
        <v/>
      </c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4" t="str">
        <f aca="false">IF($C380="","",IFERROR(12+(MATCH($C380,'R1. Tree Coefficients'!$L$12:$L$53,0)-1)*4,""))</f>
        <v/>
      </c>
      <c r="G380" s="14" t="str">
        <f aca="false">IF($F380="","",IF(AND($E380&lt;&gt;"",$E380&gt;0),"DBH + height","DBH only"))</f>
        <v/>
      </c>
      <c r="H380" s="14" t="str">
        <f aca="false">IF(OR($D380="",$F380=""),"",IF($E380&gt;0,INDEX('R1. Tree Coefficients'!$F:$F,$F380+0)*($D380^INDEX('R1. Tree Coefficients'!$G:$G,$F380+0))*($E380^INDEX('R1. Tree Coefficients'!$H:$H,$F380+0)),INDEX('R1. Tree Coefficients'!$D:$D,$F380+0)*($D380^INDEX('R1. Tree Coefficients'!$E:$E,$F380+0))))</f>
        <v/>
      </c>
      <c r="I380" s="14" t="str">
        <f aca="false">IF(OR($D380="",$F380=""),"",IF($E380&gt;0,INDEX('R1. Tree Coefficients'!$F:$F,$F380+1)*($D380^INDEX('R1. Tree Coefficients'!$G:$G,$F380+1))*($E380^INDEX('R1. Tree Coefficients'!$H:$H,$F380+1)),INDEX('R1. Tree Coefficients'!$D:$D,$F380+1)*($D380^INDEX('R1. Tree Coefficients'!$E:$E,$F380+1))))</f>
        <v/>
      </c>
      <c r="J380" s="14" t="str">
        <f aca="false">IF(OR($D380="",$F380=""),"",IF($E380&gt;0,INDEX('R1. Tree Coefficients'!$F:$F,$F380+2)*($D380^INDEX('R1. Tree Coefficients'!$G:$G,$F380+2))*($E380^INDEX('R1. Tree Coefficients'!$H:$H,$F380+2)),INDEX('R1. Tree Coefficients'!$D:$D,$F380+2)*($D380^INDEX('R1. Tree Coefficients'!$E:$E,$F380+2))))</f>
        <v/>
      </c>
      <c r="K380" s="14" t="str">
        <f aca="false">IF(OR($D380="",$F380=""),"",IF($E380&gt;0,INDEX('R1. Tree Coefficients'!$F:$F,$F380+3)*($D380^INDEX('R1. Tree Coefficients'!$G:$G,$F380+3))*($E380^INDEX('R1. Tree Coefficients'!$H:$H,$F380+3)),INDEX('R1. Tree Coefficients'!$D:$D,$F380+3)*($D380^INDEX('R1. Tree Coefficients'!$E:$E,$F380+3))))</f>
        <v/>
      </c>
      <c r="L380" s="14" t="str">
        <f aca="false">IF($F380="","",IFERROR(SUM($H380:$K380),""))</f>
        <v/>
      </c>
      <c r="M380" s="14" t="str">
        <f aca="false">IF($F380="","",INDEX('R1. Tree Coefficients'!$J:$J,$F380))</f>
        <v/>
      </c>
      <c r="N380" s="14" t="str">
        <f aca="false">IF($L380="","",IF($M380="Deciduous",BGB_RS_DECIDUOUS_a*($L380^BGB_RS_DECIDUOUS_b),IF($M380="Conifers",BGB_RS_CONIFER*$L380,AVERAGE(BGB_RS_DECIDUOUS_a*($L380^BGB_RS_DECIDUOUS_b),BGB_RS_CONIFER*$L380))))</f>
        <v/>
      </c>
      <c r="O380" s="14" t="str">
        <f aca="false">IF($L380="","",$L380+$N380)</f>
        <v/>
      </c>
      <c r="P380" s="14" t="str">
        <f aca="false">IF($O380="","",$O380*CARBON_FRACTION_BIOMASS)</f>
        <v/>
      </c>
      <c r="Q380" s="14" t="str">
        <f aca="false">IF(AND($A380="",$C380=""),"",IF(AND($A380&lt;&gt;"",COUNTIF('1. Plot &amp; Site Log'!$A$5:$A$64,$A380)=0),"Plot ID not in Plot &amp; Site Log — this tree will not reach the summary. ","")&amp;IF($A380="","No Plot ID. ","")&amp;IF(AND($C380&lt;&gt;"",$F380=""),"Species not in the coefficient list — check the spelling against R1. ","")&amp;IF($D380="","No DBH — nothing can be calculated. ","")&amp;IF(AND($D380&lt;&gt;"",$D380&gt;QC_DBH_MAX_CM),"DBH above "&amp;QC_DBH_MAX_CM&amp;" cm — check for a transcription error. ","")&amp;IF($M380="All","Generic species: no published root:shoot applies, so below-ground biomass is the mean of the deciduous and conifer relationships. Choose a species, or Deciduous/Conifers, if you can. ","")&amp;IF(AND($O380&lt;&gt;"",$O380&gt;0,OR($N380/$O380&lt;BGB_FRACTION_MIN,$N380/$O380&gt;BGB_FRACTION_MAX)),"Below-ground share is "&amp;TEXT($N380/$O380,"0%")&amp;", outside the 18–30% the Trees guide describes. ",""))</f>
        <v/>
      </c>
    </row>
    <row r="381" customFormat="false" ht="15" hidden="false" customHeight="false" outlineLevel="0" collapsed="false">
      <c r="A381" s="13"/>
      <c r="B381" s="13"/>
      <c r="C381" s="13"/>
      <c r="D381" s="13"/>
      <c r="E381" s="13"/>
      <c r="F381" s="14" t="str">
        <f aca="false">IF($C381="","",IFERROR(12+(MATCH($C381,'R1. Tree Coefficients'!$L$12:$L$53,0)-1)*4,""))</f>
        <v/>
      </c>
      <c r="G381" s="14" t="str">
        <f aca="false">IF($F381="","",IF(AND($E381&lt;&gt;"",$E381&gt;0),"DBH + height","DBH only"))</f>
        <v/>
      </c>
      <c r="H381" s="14" t="str">
        <f aca="false">IF(OR($D381="",$F381=""),"",IF($E381&gt;0,INDEX('R1. Tree Coefficients'!$F:$F,$F381+0)*($D381^INDEX('R1. Tree Coefficients'!$G:$G,$F381+0))*($E381^INDEX('R1. Tree Coefficients'!$H:$H,$F381+0)),INDEX('R1. Tree Coefficients'!$D:$D,$F381+0)*($D381^INDEX('R1. Tree Coefficients'!$E:$E,$F381+0))))</f>
        <v/>
      </c>
      <c r="I381" s="14" t="str">
        <f aca="false">IF(OR($D381="",$F381=""),"",IF($E381&gt;0,INDEX('R1. Tree Coefficients'!$F:$F,$F381+1)*($D381^INDEX('R1. Tree Coefficients'!$G:$G,$F381+1))*($E381^INDEX('R1. Tree Coefficients'!$H:$H,$F381+1)),INDEX('R1. Tree Coefficients'!$D:$D,$F381+1)*($D381^INDEX('R1. Tree Coefficients'!$E:$E,$F381+1))))</f>
        <v/>
      </c>
      <c r="J381" s="14" t="str">
        <f aca="false">IF(OR($D381="",$F381=""),"",IF($E381&gt;0,INDEX('R1. Tree Coefficients'!$F:$F,$F381+2)*($D381^INDEX('R1. Tree Coefficients'!$G:$G,$F381+2))*($E381^INDEX('R1. Tree Coefficients'!$H:$H,$F381+2)),INDEX('R1. Tree Coefficients'!$D:$D,$F381+2)*($D381^INDEX('R1. Tree Coefficients'!$E:$E,$F381+2))))</f>
        <v/>
      </c>
      <c r="K381" s="14" t="str">
        <f aca="false">IF(OR($D381="",$F381=""),"",IF($E381&gt;0,INDEX('R1. Tree Coefficients'!$F:$F,$F381+3)*($D381^INDEX('R1. Tree Coefficients'!$G:$G,$F381+3))*($E381^INDEX('R1. Tree Coefficients'!$H:$H,$F381+3)),INDEX('R1. Tree Coefficients'!$D:$D,$F381+3)*($D381^INDEX('R1. Tree Coefficients'!$E:$E,$F381+3))))</f>
        <v/>
      </c>
      <c r="L381" s="14" t="str">
        <f aca="false">IF($F381="","",IFERROR(SUM($H381:$K381),""))</f>
        <v/>
      </c>
      <c r="M381" s="14" t="str">
        <f aca="false">IF($F381="","",INDEX('R1. Tree Coefficients'!$J:$J,$F381))</f>
        <v/>
      </c>
      <c r="N381" s="14" t="str">
        <f aca="false">IF($L381="","",IF($M381="Deciduous",BGB_RS_DECIDUOUS_a*($L381^BGB_RS_DECIDUOUS_b),IF($M381="Conifers",BGB_RS_CONIFER*$L381,AVERAGE(BGB_RS_DECIDUOUS_a*($L381^BGB_RS_DECIDUOUS_b),BGB_RS_CONIFER*$L381))))</f>
        <v/>
      </c>
      <c r="O381" s="14" t="str">
        <f aca="false">IF($L381="","",$L381+$N381)</f>
        <v/>
      </c>
      <c r="P381" s="14" t="str">
        <f aca="false">IF($O381="","",$O381*CARBON_FRACTION_BIOMASS)</f>
        <v/>
      </c>
      <c r="Q381" s="14" t="str">
        <f aca="false">IF(AND($A381="",$C381=""),"",IF(AND($A381&lt;&gt;"",COUNTIF('1. Plot &amp; Site Log'!$A$5:$A$64,$A381)=0),"Plot ID not in Plot &amp; Site Log — this tree will not reach the summary. ","")&amp;IF($A381="","No Plot ID. ","")&amp;IF(AND($C381&lt;&gt;"",$F381=""),"Species not in the coefficient list — check the spelling against R1. ","")&amp;IF($D381="","No DBH — nothing can be calculated. ","")&amp;IF(AND($D381&lt;&gt;"",$D381&gt;QC_DBH_MAX_CM),"DBH above "&amp;QC_DBH_MAX_CM&amp;" cm — check for a transcription error. ","")&amp;IF($M381="All","Generic species: no published root:shoot applies, so below-ground biomass is the mean of the deciduous and conifer relationships. Choose a species, or Deciduous/Conifers, if you can. ","")&amp;IF(AND($O381&lt;&gt;"",$O381&gt;0,OR($N381/$O381&lt;BGB_FRACTION_MIN,$N381/$O381&gt;BGB_FRACTION_MAX)),"Below-ground share is "&amp;TEXT($N381/$O381,"0%")&amp;", outside the 18–30% the Trees guide describes. ",""))</f>
        <v/>
      </c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4" t="str">
        <f aca="false">IF($C382="","",IFERROR(12+(MATCH($C382,'R1. Tree Coefficients'!$L$12:$L$53,0)-1)*4,""))</f>
        <v/>
      </c>
      <c r="G382" s="14" t="str">
        <f aca="false">IF($F382="","",IF(AND($E382&lt;&gt;"",$E382&gt;0),"DBH + height","DBH only"))</f>
        <v/>
      </c>
      <c r="H382" s="14" t="str">
        <f aca="false">IF(OR($D382="",$F382=""),"",IF($E382&gt;0,INDEX('R1. Tree Coefficients'!$F:$F,$F382+0)*($D382^INDEX('R1. Tree Coefficients'!$G:$G,$F382+0))*($E382^INDEX('R1. Tree Coefficients'!$H:$H,$F382+0)),INDEX('R1. Tree Coefficients'!$D:$D,$F382+0)*($D382^INDEX('R1. Tree Coefficients'!$E:$E,$F382+0))))</f>
        <v/>
      </c>
      <c r="I382" s="14" t="str">
        <f aca="false">IF(OR($D382="",$F382=""),"",IF($E382&gt;0,INDEX('R1. Tree Coefficients'!$F:$F,$F382+1)*($D382^INDEX('R1. Tree Coefficients'!$G:$G,$F382+1))*($E382^INDEX('R1. Tree Coefficients'!$H:$H,$F382+1)),INDEX('R1. Tree Coefficients'!$D:$D,$F382+1)*($D382^INDEX('R1. Tree Coefficients'!$E:$E,$F382+1))))</f>
        <v/>
      </c>
      <c r="J382" s="14" t="str">
        <f aca="false">IF(OR($D382="",$F382=""),"",IF($E382&gt;0,INDEX('R1. Tree Coefficients'!$F:$F,$F382+2)*($D382^INDEX('R1. Tree Coefficients'!$G:$G,$F382+2))*($E382^INDEX('R1. Tree Coefficients'!$H:$H,$F382+2)),INDEX('R1. Tree Coefficients'!$D:$D,$F382+2)*($D382^INDEX('R1. Tree Coefficients'!$E:$E,$F382+2))))</f>
        <v/>
      </c>
      <c r="K382" s="14" t="str">
        <f aca="false">IF(OR($D382="",$F382=""),"",IF($E382&gt;0,INDEX('R1. Tree Coefficients'!$F:$F,$F382+3)*($D382^INDEX('R1. Tree Coefficients'!$G:$G,$F382+3))*($E382^INDEX('R1. Tree Coefficients'!$H:$H,$F382+3)),INDEX('R1. Tree Coefficients'!$D:$D,$F382+3)*($D382^INDEX('R1. Tree Coefficients'!$E:$E,$F382+3))))</f>
        <v/>
      </c>
      <c r="L382" s="14" t="str">
        <f aca="false">IF($F382="","",IFERROR(SUM($H382:$K382),""))</f>
        <v/>
      </c>
      <c r="M382" s="14" t="str">
        <f aca="false">IF($F382="","",INDEX('R1. Tree Coefficients'!$J:$J,$F382))</f>
        <v/>
      </c>
      <c r="N382" s="14" t="str">
        <f aca="false">IF($L382="","",IF($M382="Deciduous",BGB_RS_DECIDUOUS_a*($L382^BGB_RS_DECIDUOUS_b),IF($M382="Conifers",BGB_RS_CONIFER*$L382,AVERAGE(BGB_RS_DECIDUOUS_a*($L382^BGB_RS_DECIDUOUS_b),BGB_RS_CONIFER*$L382))))</f>
        <v/>
      </c>
      <c r="O382" s="14" t="str">
        <f aca="false">IF($L382="","",$L382+$N382)</f>
        <v/>
      </c>
      <c r="P382" s="14" t="str">
        <f aca="false">IF($O382="","",$O382*CARBON_FRACTION_BIOMASS)</f>
        <v/>
      </c>
      <c r="Q382" s="14" t="str">
        <f aca="false">IF(AND($A382="",$C382=""),"",IF(AND($A382&lt;&gt;"",COUNTIF('1. Plot &amp; Site Log'!$A$5:$A$64,$A382)=0),"Plot ID not in Plot &amp; Site Log — this tree will not reach the summary. ","")&amp;IF($A382="","No Plot ID. ","")&amp;IF(AND($C382&lt;&gt;"",$F382=""),"Species not in the coefficient list — check the spelling against R1. ","")&amp;IF($D382="","No DBH — nothing can be calculated. ","")&amp;IF(AND($D382&lt;&gt;"",$D382&gt;QC_DBH_MAX_CM),"DBH above "&amp;QC_DBH_MAX_CM&amp;" cm — check for a transcription error. ","")&amp;IF($M382="All","Generic species: no published root:shoot applies, so below-ground biomass is the mean of the deciduous and conifer relationships. Choose a species, or Deciduous/Conifers, if you can. ","")&amp;IF(AND($O382&lt;&gt;"",$O382&gt;0,OR($N382/$O382&lt;BGB_FRACTION_MIN,$N382/$O382&gt;BGB_FRACTION_MAX)),"Below-ground share is "&amp;TEXT($N382/$O382,"0%")&amp;", outside the 18–30% the Trees guide describes. ",""))</f>
        <v/>
      </c>
    </row>
    <row r="383" customFormat="false" ht="15" hidden="false" customHeight="false" outlineLevel="0" collapsed="false">
      <c r="A383" s="13"/>
      <c r="B383" s="13"/>
      <c r="C383" s="13"/>
      <c r="D383" s="13"/>
      <c r="E383" s="13"/>
      <c r="F383" s="14" t="str">
        <f aca="false">IF($C383="","",IFERROR(12+(MATCH($C383,'R1. Tree Coefficients'!$L$12:$L$53,0)-1)*4,""))</f>
        <v/>
      </c>
      <c r="G383" s="14" t="str">
        <f aca="false">IF($F383="","",IF(AND($E383&lt;&gt;"",$E383&gt;0),"DBH + height","DBH only"))</f>
        <v/>
      </c>
      <c r="H383" s="14" t="str">
        <f aca="false">IF(OR($D383="",$F383=""),"",IF($E383&gt;0,INDEX('R1. Tree Coefficients'!$F:$F,$F383+0)*($D383^INDEX('R1. Tree Coefficients'!$G:$G,$F383+0))*($E383^INDEX('R1. Tree Coefficients'!$H:$H,$F383+0)),INDEX('R1. Tree Coefficients'!$D:$D,$F383+0)*($D383^INDEX('R1. Tree Coefficients'!$E:$E,$F383+0))))</f>
        <v/>
      </c>
      <c r="I383" s="14" t="str">
        <f aca="false">IF(OR($D383="",$F383=""),"",IF($E383&gt;0,INDEX('R1. Tree Coefficients'!$F:$F,$F383+1)*($D383^INDEX('R1. Tree Coefficients'!$G:$G,$F383+1))*($E383^INDEX('R1. Tree Coefficients'!$H:$H,$F383+1)),INDEX('R1. Tree Coefficients'!$D:$D,$F383+1)*($D383^INDEX('R1. Tree Coefficients'!$E:$E,$F383+1))))</f>
        <v/>
      </c>
      <c r="J383" s="14" t="str">
        <f aca="false">IF(OR($D383="",$F383=""),"",IF($E383&gt;0,INDEX('R1. Tree Coefficients'!$F:$F,$F383+2)*($D383^INDEX('R1. Tree Coefficients'!$G:$G,$F383+2))*($E383^INDEX('R1. Tree Coefficients'!$H:$H,$F383+2)),INDEX('R1. Tree Coefficients'!$D:$D,$F383+2)*($D383^INDEX('R1. Tree Coefficients'!$E:$E,$F383+2))))</f>
        <v/>
      </c>
      <c r="K383" s="14" t="str">
        <f aca="false">IF(OR($D383="",$F383=""),"",IF($E383&gt;0,INDEX('R1. Tree Coefficients'!$F:$F,$F383+3)*($D383^INDEX('R1. Tree Coefficients'!$G:$G,$F383+3))*($E383^INDEX('R1. Tree Coefficients'!$H:$H,$F383+3)),INDEX('R1. Tree Coefficients'!$D:$D,$F383+3)*($D383^INDEX('R1. Tree Coefficients'!$E:$E,$F383+3))))</f>
        <v/>
      </c>
      <c r="L383" s="14" t="str">
        <f aca="false">IF($F383="","",IFERROR(SUM($H383:$K383),""))</f>
        <v/>
      </c>
      <c r="M383" s="14" t="str">
        <f aca="false">IF($F383="","",INDEX('R1. Tree Coefficients'!$J:$J,$F383))</f>
        <v/>
      </c>
      <c r="N383" s="14" t="str">
        <f aca="false">IF($L383="","",IF($M383="Deciduous",BGB_RS_DECIDUOUS_a*($L383^BGB_RS_DECIDUOUS_b),IF($M383="Conifers",BGB_RS_CONIFER*$L383,AVERAGE(BGB_RS_DECIDUOUS_a*($L383^BGB_RS_DECIDUOUS_b),BGB_RS_CONIFER*$L383))))</f>
        <v/>
      </c>
      <c r="O383" s="14" t="str">
        <f aca="false">IF($L383="","",$L383+$N383)</f>
        <v/>
      </c>
      <c r="P383" s="14" t="str">
        <f aca="false">IF($O383="","",$O383*CARBON_FRACTION_BIOMASS)</f>
        <v/>
      </c>
      <c r="Q383" s="14" t="str">
        <f aca="false">IF(AND($A383="",$C383=""),"",IF(AND($A383&lt;&gt;"",COUNTIF('1. Plot &amp; Site Log'!$A$5:$A$64,$A383)=0),"Plot ID not in Plot &amp; Site Log — this tree will not reach the summary. ","")&amp;IF($A383="","No Plot ID. ","")&amp;IF(AND($C383&lt;&gt;"",$F383=""),"Species not in the coefficient list — check the spelling against R1. ","")&amp;IF($D383="","No DBH — nothing can be calculated. ","")&amp;IF(AND($D383&lt;&gt;"",$D383&gt;QC_DBH_MAX_CM),"DBH above "&amp;QC_DBH_MAX_CM&amp;" cm — check for a transcription error. ","")&amp;IF($M383="All","Generic species: no published root:shoot applies, so below-ground biomass is the mean of the deciduous and conifer relationships. Choose a species, or Deciduous/Conifers, if you can. ","")&amp;IF(AND($O383&lt;&gt;"",$O383&gt;0,OR($N383/$O383&lt;BGB_FRACTION_MIN,$N383/$O383&gt;BGB_FRACTION_MAX)),"Below-ground share is "&amp;TEXT($N383/$O383,"0%")&amp;", outside the 18–30% the Trees guide describes. ",""))</f>
        <v/>
      </c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4" t="str">
        <f aca="false">IF($C384="","",IFERROR(12+(MATCH($C384,'R1. Tree Coefficients'!$L$12:$L$53,0)-1)*4,""))</f>
        <v/>
      </c>
      <c r="G384" s="14" t="str">
        <f aca="false">IF($F384="","",IF(AND($E384&lt;&gt;"",$E384&gt;0),"DBH + height","DBH only"))</f>
        <v/>
      </c>
      <c r="H384" s="14" t="str">
        <f aca="false">IF(OR($D384="",$F384=""),"",IF($E384&gt;0,INDEX('R1. Tree Coefficients'!$F:$F,$F384+0)*($D384^INDEX('R1. Tree Coefficients'!$G:$G,$F384+0))*($E384^INDEX('R1. Tree Coefficients'!$H:$H,$F384+0)),INDEX('R1. Tree Coefficients'!$D:$D,$F384+0)*($D384^INDEX('R1. Tree Coefficients'!$E:$E,$F384+0))))</f>
        <v/>
      </c>
      <c r="I384" s="14" t="str">
        <f aca="false">IF(OR($D384="",$F384=""),"",IF($E384&gt;0,INDEX('R1. Tree Coefficients'!$F:$F,$F384+1)*($D384^INDEX('R1. Tree Coefficients'!$G:$G,$F384+1))*($E384^INDEX('R1. Tree Coefficients'!$H:$H,$F384+1)),INDEX('R1. Tree Coefficients'!$D:$D,$F384+1)*($D384^INDEX('R1. Tree Coefficients'!$E:$E,$F384+1))))</f>
        <v/>
      </c>
      <c r="J384" s="14" t="str">
        <f aca="false">IF(OR($D384="",$F384=""),"",IF($E384&gt;0,INDEX('R1. Tree Coefficients'!$F:$F,$F384+2)*($D384^INDEX('R1. Tree Coefficients'!$G:$G,$F384+2))*($E384^INDEX('R1. Tree Coefficients'!$H:$H,$F384+2)),INDEX('R1. Tree Coefficients'!$D:$D,$F384+2)*($D384^INDEX('R1. Tree Coefficients'!$E:$E,$F384+2))))</f>
        <v/>
      </c>
      <c r="K384" s="14" t="str">
        <f aca="false">IF(OR($D384="",$F384=""),"",IF($E384&gt;0,INDEX('R1. Tree Coefficients'!$F:$F,$F384+3)*($D384^INDEX('R1. Tree Coefficients'!$G:$G,$F384+3))*($E384^INDEX('R1. Tree Coefficients'!$H:$H,$F384+3)),INDEX('R1. Tree Coefficients'!$D:$D,$F384+3)*($D384^INDEX('R1. Tree Coefficients'!$E:$E,$F384+3))))</f>
        <v/>
      </c>
      <c r="L384" s="14" t="str">
        <f aca="false">IF($F384="","",IFERROR(SUM($H384:$K384),""))</f>
        <v/>
      </c>
      <c r="M384" s="14" t="str">
        <f aca="false">IF($F384="","",INDEX('R1. Tree Coefficients'!$J:$J,$F384))</f>
        <v/>
      </c>
      <c r="N384" s="14" t="str">
        <f aca="false">IF($L384="","",IF($M384="Deciduous",BGB_RS_DECIDUOUS_a*($L384^BGB_RS_DECIDUOUS_b),IF($M384="Conifers",BGB_RS_CONIFER*$L384,AVERAGE(BGB_RS_DECIDUOUS_a*($L384^BGB_RS_DECIDUOUS_b),BGB_RS_CONIFER*$L384))))</f>
        <v/>
      </c>
      <c r="O384" s="14" t="str">
        <f aca="false">IF($L384="","",$L384+$N384)</f>
        <v/>
      </c>
      <c r="P384" s="14" t="str">
        <f aca="false">IF($O384="","",$O384*CARBON_FRACTION_BIOMASS)</f>
        <v/>
      </c>
      <c r="Q384" s="14" t="str">
        <f aca="false">IF(AND($A384="",$C384=""),"",IF(AND($A384&lt;&gt;"",COUNTIF('1. Plot &amp; Site Log'!$A$5:$A$64,$A384)=0),"Plot ID not in Plot &amp; Site Log — this tree will not reach the summary. ","")&amp;IF($A384="","No Plot ID. ","")&amp;IF(AND($C384&lt;&gt;"",$F384=""),"Species not in the coefficient list — check the spelling against R1. ","")&amp;IF($D384="","No DBH — nothing can be calculated. ","")&amp;IF(AND($D384&lt;&gt;"",$D384&gt;QC_DBH_MAX_CM),"DBH above "&amp;QC_DBH_MAX_CM&amp;" cm — check for a transcription error. ","")&amp;IF($M384="All","Generic species: no published root:shoot applies, so below-ground biomass is the mean of the deciduous and conifer relationships. Choose a species, or Deciduous/Conifers, if you can. ","")&amp;IF(AND($O384&lt;&gt;"",$O384&gt;0,OR($N384/$O384&lt;BGB_FRACTION_MIN,$N384/$O384&gt;BGB_FRACTION_MAX)),"Below-ground share is "&amp;TEXT($N384/$O384,"0%")&amp;", outside the 18–30% the Trees guide describes. ",""))</f>
        <v/>
      </c>
    </row>
    <row r="385" customFormat="false" ht="15" hidden="false" customHeight="false" outlineLevel="0" collapsed="false">
      <c r="A385" s="13"/>
      <c r="B385" s="13"/>
      <c r="C385" s="13"/>
      <c r="D385" s="13"/>
      <c r="E385" s="13"/>
      <c r="F385" s="14" t="str">
        <f aca="false">IF($C385="","",IFERROR(12+(MATCH($C385,'R1. Tree Coefficients'!$L$12:$L$53,0)-1)*4,""))</f>
        <v/>
      </c>
      <c r="G385" s="14" t="str">
        <f aca="false">IF($F385="","",IF(AND($E385&lt;&gt;"",$E385&gt;0),"DBH + height","DBH only"))</f>
        <v/>
      </c>
      <c r="H385" s="14" t="str">
        <f aca="false">IF(OR($D385="",$F385=""),"",IF($E385&gt;0,INDEX('R1. Tree Coefficients'!$F:$F,$F385+0)*($D385^INDEX('R1. Tree Coefficients'!$G:$G,$F385+0))*($E385^INDEX('R1. Tree Coefficients'!$H:$H,$F385+0)),INDEX('R1. Tree Coefficients'!$D:$D,$F385+0)*($D385^INDEX('R1. Tree Coefficients'!$E:$E,$F385+0))))</f>
        <v/>
      </c>
      <c r="I385" s="14" t="str">
        <f aca="false">IF(OR($D385="",$F385=""),"",IF($E385&gt;0,INDEX('R1. Tree Coefficients'!$F:$F,$F385+1)*($D385^INDEX('R1. Tree Coefficients'!$G:$G,$F385+1))*($E385^INDEX('R1. Tree Coefficients'!$H:$H,$F385+1)),INDEX('R1. Tree Coefficients'!$D:$D,$F385+1)*($D385^INDEX('R1. Tree Coefficients'!$E:$E,$F385+1))))</f>
        <v/>
      </c>
      <c r="J385" s="14" t="str">
        <f aca="false">IF(OR($D385="",$F385=""),"",IF($E385&gt;0,INDEX('R1. Tree Coefficients'!$F:$F,$F385+2)*($D385^INDEX('R1. Tree Coefficients'!$G:$G,$F385+2))*($E385^INDEX('R1. Tree Coefficients'!$H:$H,$F385+2)),INDEX('R1. Tree Coefficients'!$D:$D,$F385+2)*($D385^INDEX('R1. Tree Coefficients'!$E:$E,$F385+2))))</f>
        <v/>
      </c>
      <c r="K385" s="14" t="str">
        <f aca="false">IF(OR($D385="",$F385=""),"",IF($E385&gt;0,INDEX('R1. Tree Coefficients'!$F:$F,$F385+3)*($D385^INDEX('R1. Tree Coefficients'!$G:$G,$F385+3))*($E385^INDEX('R1. Tree Coefficients'!$H:$H,$F385+3)),INDEX('R1. Tree Coefficients'!$D:$D,$F385+3)*($D385^INDEX('R1. Tree Coefficients'!$E:$E,$F385+3))))</f>
        <v/>
      </c>
      <c r="L385" s="14" t="str">
        <f aca="false">IF($F385="","",IFERROR(SUM($H385:$K385),""))</f>
        <v/>
      </c>
      <c r="M385" s="14" t="str">
        <f aca="false">IF($F385="","",INDEX('R1. Tree Coefficients'!$J:$J,$F385))</f>
        <v/>
      </c>
      <c r="N385" s="14" t="str">
        <f aca="false">IF($L385="","",IF($M385="Deciduous",BGB_RS_DECIDUOUS_a*($L385^BGB_RS_DECIDUOUS_b),IF($M385="Conifers",BGB_RS_CONIFER*$L385,AVERAGE(BGB_RS_DECIDUOUS_a*($L385^BGB_RS_DECIDUOUS_b),BGB_RS_CONIFER*$L385))))</f>
        <v/>
      </c>
      <c r="O385" s="14" t="str">
        <f aca="false">IF($L385="","",$L385+$N385)</f>
        <v/>
      </c>
      <c r="P385" s="14" t="str">
        <f aca="false">IF($O385="","",$O385*CARBON_FRACTION_BIOMASS)</f>
        <v/>
      </c>
      <c r="Q385" s="14" t="str">
        <f aca="false">IF(AND($A385="",$C385=""),"",IF(AND($A385&lt;&gt;"",COUNTIF('1. Plot &amp; Site Log'!$A$5:$A$64,$A385)=0),"Plot ID not in Plot &amp; Site Log — this tree will not reach the summary. ","")&amp;IF($A385="","No Plot ID. ","")&amp;IF(AND($C385&lt;&gt;"",$F385=""),"Species not in the coefficient list — check the spelling against R1. ","")&amp;IF($D385="","No DBH — nothing can be calculated. ","")&amp;IF(AND($D385&lt;&gt;"",$D385&gt;QC_DBH_MAX_CM),"DBH above "&amp;QC_DBH_MAX_CM&amp;" cm — check for a transcription error. ","")&amp;IF($M385="All","Generic species: no published root:shoot applies, so below-ground biomass is the mean of the deciduous and conifer relationships. Choose a species, or Deciduous/Conifers, if you can. ","")&amp;IF(AND($O385&lt;&gt;"",$O385&gt;0,OR($N385/$O385&lt;BGB_FRACTION_MIN,$N385/$O385&gt;BGB_FRACTION_MAX)),"Below-ground share is "&amp;TEXT($N385/$O385,"0%")&amp;", outside the 18–30% the Trees guide describes. ",""))</f>
        <v/>
      </c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4" t="str">
        <f aca="false">IF($C386="","",IFERROR(12+(MATCH($C386,'R1. Tree Coefficients'!$L$12:$L$53,0)-1)*4,""))</f>
        <v/>
      </c>
      <c r="G386" s="14" t="str">
        <f aca="false">IF($F386="","",IF(AND($E386&lt;&gt;"",$E386&gt;0),"DBH + height","DBH only"))</f>
        <v/>
      </c>
      <c r="H386" s="14" t="str">
        <f aca="false">IF(OR($D386="",$F386=""),"",IF($E386&gt;0,INDEX('R1. Tree Coefficients'!$F:$F,$F386+0)*($D386^INDEX('R1. Tree Coefficients'!$G:$G,$F386+0))*($E386^INDEX('R1. Tree Coefficients'!$H:$H,$F386+0)),INDEX('R1. Tree Coefficients'!$D:$D,$F386+0)*($D386^INDEX('R1. Tree Coefficients'!$E:$E,$F386+0))))</f>
        <v/>
      </c>
      <c r="I386" s="14" t="str">
        <f aca="false">IF(OR($D386="",$F386=""),"",IF($E386&gt;0,INDEX('R1. Tree Coefficients'!$F:$F,$F386+1)*($D386^INDEX('R1. Tree Coefficients'!$G:$G,$F386+1))*($E386^INDEX('R1. Tree Coefficients'!$H:$H,$F386+1)),INDEX('R1. Tree Coefficients'!$D:$D,$F386+1)*($D386^INDEX('R1. Tree Coefficients'!$E:$E,$F386+1))))</f>
        <v/>
      </c>
      <c r="J386" s="14" t="str">
        <f aca="false">IF(OR($D386="",$F386=""),"",IF($E386&gt;0,INDEX('R1. Tree Coefficients'!$F:$F,$F386+2)*($D386^INDEX('R1. Tree Coefficients'!$G:$G,$F386+2))*($E386^INDEX('R1. Tree Coefficients'!$H:$H,$F386+2)),INDEX('R1. Tree Coefficients'!$D:$D,$F386+2)*($D386^INDEX('R1. Tree Coefficients'!$E:$E,$F386+2))))</f>
        <v/>
      </c>
      <c r="K386" s="14" t="str">
        <f aca="false">IF(OR($D386="",$F386=""),"",IF($E386&gt;0,INDEX('R1. Tree Coefficients'!$F:$F,$F386+3)*($D386^INDEX('R1. Tree Coefficients'!$G:$G,$F386+3))*($E386^INDEX('R1. Tree Coefficients'!$H:$H,$F386+3)),INDEX('R1. Tree Coefficients'!$D:$D,$F386+3)*($D386^INDEX('R1. Tree Coefficients'!$E:$E,$F386+3))))</f>
        <v/>
      </c>
      <c r="L386" s="14" t="str">
        <f aca="false">IF($F386="","",IFERROR(SUM($H386:$K386),""))</f>
        <v/>
      </c>
      <c r="M386" s="14" t="str">
        <f aca="false">IF($F386="","",INDEX('R1. Tree Coefficients'!$J:$J,$F386))</f>
        <v/>
      </c>
      <c r="N386" s="14" t="str">
        <f aca="false">IF($L386="","",IF($M386="Deciduous",BGB_RS_DECIDUOUS_a*($L386^BGB_RS_DECIDUOUS_b),IF($M386="Conifers",BGB_RS_CONIFER*$L386,AVERAGE(BGB_RS_DECIDUOUS_a*($L386^BGB_RS_DECIDUOUS_b),BGB_RS_CONIFER*$L386))))</f>
        <v/>
      </c>
      <c r="O386" s="14" t="str">
        <f aca="false">IF($L386="","",$L386+$N386)</f>
        <v/>
      </c>
      <c r="P386" s="14" t="str">
        <f aca="false">IF($O386="","",$O386*CARBON_FRACTION_BIOMASS)</f>
        <v/>
      </c>
      <c r="Q386" s="14" t="str">
        <f aca="false">IF(AND($A386="",$C386=""),"",IF(AND($A386&lt;&gt;"",COUNTIF('1. Plot &amp; Site Log'!$A$5:$A$64,$A386)=0),"Plot ID not in Plot &amp; Site Log — this tree will not reach the summary. ","")&amp;IF($A386="","No Plot ID. ","")&amp;IF(AND($C386&lt;&gt;"",$F386=""),"Species not in the coefficient list — check the spelling against R1. ","")&amp;IF($D386="","No DBH — nothing can be calculated. ","")&amp;IF(AND($D386&lt;&gt;"",$D386&gt;QC_DBH_MAX_CM),"DBH above "&amp;QC_DBH_MAX_CM&amp;" cm — check for a transcription error. ","")&amp;IF($M386="All","Generic species: no published root:shoot applies, so below-ground biomass is the mean of the deciduous and conifer relationships. Choose a species, or Deciduous/Conifers, if you can. ","")&amp;IF(AND($O386&lt;&gt;"",$O386&gt;0,OR($N386/$O386&lt;BGB_FRACTION_MIN,$N386/$O386&gt;BGB_FRACTION_MAX)),"Below-ground share is "&amp;TEXT($N386/$O386,"0%")&amp;", outside the 18–30% the Trees guide describes. ",""))</f>
        <v/>
      </c>
    </row>
    <row r="387" customFormat="false" ht="15" hidden="false" customHeight="false" outlineLevel="0" collapsed="false">
      <c r="A387" s="13"/>
      <c r="B387" s="13"/>
      <c r="C387" s="13"/>
      <c r="D387" s="13"/>
      <c r="E387" s="13"/>
      <c r="F387" s="14" t="str">
        <f aca="false">IF($C387="","",IFERROR(12+(MATCH($C387,'R1. Tree Coefficients'!$L$12:$L$53,0)-1)*4,""))</f>
        <v/>
      </c>
      <c r="G387" s="14" t="str">
        <f aca="false">IF($F387="","",IF(AND($E387&lt;&gt;"",$E387&gt;0),"DBH + height","DBH only"))</f>
        <v/>
      </c>
      <c r="H387" s="14" t="str">
        <f aca="false">IF(OR($D387="",$F387=""),"",IF($E387&gt;0,INDEX('R1. Tree Coefficients'!$F:$F,$F387+0)*($D387^INDEX('R1. Tree Coefficients'!$G:$G,$F387+0))*($E387^INDEX('R1. Tree Coefficients'!$H:$H,$F387+0)),INDEX('R1. Tree Coefficients'!$D:$D,$F387+0)*($D387^INDEX('R1. Tree Coefficients'!$E:$E,$F387+0))))</f>
        <v/>
      </c>
      <c r="I387" s="14" t="str">
        <f aca="false">IF(OR($D387="",$F387=""),"",IF($E387&gt;0,INDEX('R1. Tree Coefficients'!$F:$F,$F387+1)*($D387^INDEX('R1. Tree Coefficients'!$G:$G,$F387+1))*($E387^INDEX('R1. Tree Coefficients'!$H:$H,$F387+1)),INDEX('R1. Tree Coefficients'!$D:$D,$F387+1)*($D387^INDEX('R1. Tree Coefficients'!$E:$E,$F387+1))))</f>
        <v/>
      </c>
      <c r="J387" s="14" t="str">
        <f aca="false">IF(OR($D387="",$F387=""),"",IF($E387&gt;0,INDEX('R1. Tree Coefficients'!$F:$F,$F387+2)*($D387^INDEX('R1. Tree Coefficients'!$G:$G,$F387+2))*($E387^INDEX('R1. Tree Coefficients'!$H:$H,$F387+2)),INDEX('R1. Tree Coefficients'!$D:$D,$F387+2)*($D387^INDEX('R1. Tree Coefficients'!$E:$E,$F387+2))))</f>
        <v/>
      </c>
      <c r="K387" s="14" t="str">
        <f aca="false">IF(OR($D387="",$F387=""),"",IF($E387&gt;0,INDEX('R1. Tree Coefficients'!$F:$F,$F387+3)*($D387^INDEX('R1. Tree Coefficients'!$G:$G,$F387+3))*($E387^INDEX('R1. Tree Coefficients'!$H:$H,$F387+3)),INDEX('R1. Tree Coefficients'!$D:$D,$F387+3)*($D387^INDEX('R1. Tree Coefficients'!$E:$E,$F387+3))))</f>
        <v/>
      </c>
      <c r="L387" s="14" t="str">
        <f aca="false">IF($F387="","",IFERROR(SUM($H387:$K387),""))</f>
        <v/>
      </c>
      <c r="M387" s="14" t="str">
        <f aca="false">IF($F387="","",INDEX('R1. Tree Coefficients'!$J:$J,$F387))</f>
        <v/>
      </c>
      <c r="N387" s="14" t="str">
        <f aca="false">IF($L387="","",IF($M387="Deciduous",BGB_RS_DECIDUOUS_a*($L387^BGB_RS_DECIDUOUS_b),IF($M387="Conifers",BGB_RS_CONIFER*$L387,AVERAGE(BGB_RS_DECIDUOUS_a*($L387^BGB_RS_DECIDUOUS_b),BGB_RS_CONIFER*$L387))))</f>
        <v/>
      </c>
      <c r="O387" s="14" t="str">
        <f aca="false">IF($L387="","",$L387+$N387)</f>
        <v/>
      </c>
      <c r="P387" s="14" t="str">
        <f aca="false">IF($O387="","",$O387*CARBON_FRACTION_BIOMASS)</f>
        <v/>
      </c>
      <c r="Q387" s="14" t="str">
        <f aca="false">IF(AND($A387="",$C387=""),"",IF(AND($A387&lt;&gt;"",COUNTIF('1. Plot &amp; Site Log'!$A$5:$A$64,$A387)=0),"Plot ID not in Plot &amp; Site Log — this tree will not reach the summary. ","")&amp;IF($A387="","No Plot ID. ","")&amp;IF(AND($C387&lt;&gt;"",$F387=""),"Species not in the coefficient list — check the spelling against R1. ","")&amp;IF($D387="","No DBH — nothing can be calculated. ","")&amp;IF(AND($D387&lt;&gt;"",$D387&gt;QC_DBH_MAX_CM),"DBH above "&amp;QC_DBH_MAX_CM&amp;" cm — check for a transcription error. ","")&amp;IF($M387="All","Generic species: no published root:shoot applies, so below-ground biomass is the mean of the deciduous and conifer relationships. Choose a species, or Deciduous/Conifers, if you can. ","")&amp;IF(AND($O387&lt;&gt;"",$O387&gt;0,OR($N387/$O387&lt;BGB_FRACTION_MIN,$N387/$O387&gt;BGB_FRACTION_MAX)),"Below-ground share is "&amp;TEXT($N387/$O387,"0%")&amp;", outside the 18–30% the Trees guide describes. ",""))</f>
        <v/>
      </c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4" t="str">
        <f aca="false">IF($C388="","",IFERROR(12+(MATCH($C388,'R1. Tree Coefficients'!$L$12:$L$53,0)-1)*4,""))</f>
        <v/>
      </c>
      <c r="G388" s="14" t="str">
        <f aca="false">IF($F388="","",IF(AND($E388&lt;&gt;"",$E388&gt;0),"DBH + height","DBH only"))</f>
        <v/>
      </c>
      <c r="H388" s="14" t="str">
        <f aca="false">IF(OR($D388="",$F388=""),"",IF($E388&gt;0,INDEX('R1. Tree Coefficients'!$F:$F,$F388+0)*($D388^INDEX('R1. Tree Coefficients'!$G:$G,$F388+0))*($E388^INDEX('R1. Tree Coefficients'!$H:$H,$F388+0)),INDEX('R1. Tree Coefficients'!$D:$D,$F388+0)*($D388^INDEX('R1. Tree Coefficients'!$E:$E,$F388+0))))</f>
        <v/>
      </c>
      <c r="I388" s="14" t="str">
        <f aca="false">IF(OR($D388="",$F388=""),"",IF($E388&gt;0,INDEX('R1. Tree Coefficients'!$F:$F,$F388+1)*($D388^INDEX('R1. Tree Coefficients'!$G:$G,$F388+1))*($E388^INDEX('R1. Tree Coefficients'!$H:$H,$F388+1)),INDEX('R1. Tree Coefficients'!$D:$D,$F388+1)*($D388^INDEX('R1. Tree Coefficients'!$E:$E,$F388+1))))</f>
        <v/>
      </c>
      <c r="J388" s="14" t="str">
        <f aca="false">IF(OR($D388="",$F388=""),"",IF($E388&gt;0,INDEX('R1. Tree Coefficients'!$F:$F,$F388+2)*($D388^INDEX('R1. Tree Coefficients'!$G:$G,$F388+2))*($E388^INDEX('R1. Tree Coefficients'!$H:$H,$F388+2)),INDEX('R1. Tree Coefficients'!$D:$D,$F388+2)*($D388^INDEX('R1. Tree Coefficients'!$E:$E,$F388+2))))</f>
        <v/>
      </c>
      <c r="K388" s="14" t="str">
        <f aca="false">IF(OR($D388="",$F388=""),"",IF($E388&gt;0,INDEX('R1. Tree Coefficients'!$F:$F,$F388+3)*($D388^INDEX('R1. Tree Coefficients'!$G:$G,$F388+3))*($E388^INDEX('R1. Tree Coefficients'!$H:$H,$F388+3)),INDEX('R1. Tree Coefficients'!$D:$D,$F388+3)*($D388^INDEX('R1. Tree Coefficients'!$E:$E,$F388+3))))</f>
        <v/>
      </c>
      <c r="L388" s="14" t="str">
        <f aca="false">IF($F388="","",IFERROR(SUM($H388:$K388),""))</f>
        <v/>
      </c>
      <c r="M388" s="14" t="str">
        <f aca="false">IF($F388="","",INDEX('R1. Tree Coefficients'!$J:$J,$F388))</f>
        <v/>
      </c>
      <c r="N388" s="14" t="str">
        <f aca="false">IF($L388="","",IF($M388="Deciduous",BGB_RS_DECIDUOUS_a*($L388^BGB_RS_DECIDUOUS_b),IF($M388="Conifers",BGB_RS_CONIFER*$L388,AVERAGE(BGB_RS_DECIDUOUS_a*($L388^BGB_RS_DECIDUOUS_b),BGB_RS_CONIFER*$L388))))</f>
        <v/>
      </c>
      <c r="O388" s="14" t="str">
        <f aca="false">IF($L388="","",$L388+$N388)</f>
        <v/>
      </c>
      <c r="P388" s="14" t="str">
        <f aca="false">IF($O388="","",$O388*CARBON_FRACTION_BIOMASS)</f>
        <v/>
      </c>
      <c r="Q388" s="14" t="str">
        <f aca="false">IF(AND($A388="",$C388=""),"",IF(AND($A388&lt;&gt;"",COUNTIF('1. Plot &amp; Site Log'!$A$5:$A$64,$A388)=0),"Plot ID not in Plot &amp; Site Log — this tree will not reach the summary. ","")&amp;IF($A388="","No Plot ID. ","")&amp;IF(AND($C388&lt;&gt;"",$F388=""),"Species not in the coefficient list — check the spelling against R1. ","")&amp;IF($D388="","No DBH — nothing can be calculated. ","")&amp;IF(AND($D388&lt;&gt;"",$D388&gt;QC_DBH_MAX_CM),"DBH above "&amp;QC_DBH_MAX_CM&amp;" cm — check for a transcription error. ","")&amp;IF($M388="All","Generic species: no published root:shoot applies, so below-ground biomass is the mean of the deciduous and conifer relationships. Choose a species, or Deciduous/Conifers, if you can. ","")&amp;IF(AND($O388&lt;&gt;"",$O388&gt;0,OR($N388/$O388&lt;BGB_FRACTION_MIN,$N388/$O388&gt;BGB_FRACTION_MAX)),"Below-ground share is "&amp;TEXT($N388/$O388,"0%")&amp;", outside the 18–30% the Trees guide describes. ",""))</f>
        <v/>
      </c>
    </row>
    <row r="389" customFormat="false" ht="15" hidden="false" customHeight="false" outlineLevel="0" collapsed="false">
      <c r="A389" s="13"/>
      <c r="B389" s="13"/>
      <c r="C389" s="13"/>
      <c r="D389" s="13"/>
      <c r="E389" s="13"/>
      <c r="F389" s="14" t="str">
        <f aca="false">IF($C389="","",IFERROR(12+(MATCH($C389,'R1. Tree Coefficients'!$L$12:$L$53,0)-1)*4,""))</f>
        <v/>
      </c>
      <c r="G389" s="14" t="str">
        <f aca="false">IF($F389="","",IF(AND($E389&lt;&gt;"",$E389&gt;0),"DBH + height","DBH only"))</f>
        <v/>
      </c>
      <c r="H389" s="14" t="str">
        <f aca="false">IF(OR($D389="",$F389=""),"",IF($E389&gt;0,INDEX('R1. Tree Coefficients'!$F:$F,$F389+0)*($D389^INDEX('R1. Tree Coefficients'!$G:$G,$F389+0))*($E389^INDEX('R1. Tree Coefficients'!$H:$H,$F389+0)),INDEX('R1. Tree Coefficients'!$D:$D,$F389+0)*($D389^INDEX('R1. Tree Coefficients'!$E:$E,$F389+0))))</f>
        <v/>
      </c>
      <c r="I389" s="14" t="str">
        <f aca="false">IF(OR($D389="",$F389=""),"",IF($E389&gt;0,INDEX('R1. Tree Coefficients'!$F:$F,$F389+1)*($D389^INDEX('R1. Tree Coefficients'!$G:$G,$F389+1))*($E389^INDEX('R1. Tree Coefficients'!$H:$H,$F389+1)),INDEX('R1. Tree Coefficients'!$D:$D,$F389+1)*($D389^INDEX('R1. Tree Coefficients'!$E:$E,$F389+1))))</f>
        <v/>
      </c>
      <c r="J389" s="14" t="str">
        <f aca="false">IF(OR($D389="",$F389=""),"",IF($E389&gt;0,INDEX('R1. Tree Coefficients'!$F:$F,$F389+2)*($D389^INDEX('R1. Tree Coefficients'!$G:$G,$F389+2))*($E389^INDEX('R1. Tree Coefficients'!$H:$H,$F389+2)),INDEX('R1. Tree Coefficients'!$D:$D,$F389+2)*($D389^INDEX('R1. Tree Coefficients'!$E:$E,$F389+2))))</f>
        <v/>
      </c>
      <c r="K389" s="14" t="str">
        <f aca="false">IF(OR($D389="",$F389=""),"",IF($E389&gt;0,INDEX('R1. Tree Coefficients'!$F:$F,$F389+3)*($D389^INDEX('R1. Tree Coefficients'!$G:$G,$F389+3))*($E389^INDEX('R1. Tree Coefficients'!$H:$H,$F389+3)),INDEX('R1. Tree Coefficients'!$D:$D,$F389+3)*($D389^INDEX('R1. Tree Coefficients'!$E:$E,$F389+3))))</f>
        <v/>
      </c>
      <c r="L389" s="14" t="str">
        <f aca="false">IF($F389="","",IFERROR(SUM($H389:$K389),""))</f>
        <v/>
      </c>
      <c r="M389" s="14" t="str">
        <f aca="false">IF($F389="","",INDEX('R1. Tree Coefficients'!$J:$J,$F389))</f>
        <v/>
      </c>
      <c r="N389" s="14" t="str">
        <f aca="false">IF($L389="","",IF($M389="Deciduous",BGB_RS_DECIDUOUS_a*($L389^BGB_RS_DECIDUOUS_b),IF($M389="Conifers",BGB_RS_CONIFER*$L389,AVERAGE(BGB_RS_DECIDUOUS_a*($L389^BGB_RS_DECIDUOUS_b),BGB_RS_CONIFER*$L389))))</f>
        <v/>
      </c>
      <c r="O389" s="14" t="str">
        <f aca="false">IF($L389="","",$L389+$N389)</f>
        <v/>
      </c>
      <c r="P389" s="14" t="str">
        <f aca="false">IF($O389="","",$O389*CARBON_FRACTION_BIOMASS)</f>
        <v/>
      </c>
      <c r="Q389" s="14" t="str">
        <f aca="false">IF(AND($A389="",$C389=""),"",IF(AND($A389&lt;&gt;"",COUNTIF('1. Plot &amp; Site Log'!$A$5:$A$64,$A389)=0),"Plot ID not in Plot &amp; Site Log — this tree will not reach the summary. ","")&amp;IF($A389="","No Plot ID. ","")&amp;IF(AND($C389&lt;&gt;"",$F389=""),"Species not in the coefficient list — check the spelling against R1. ","")&amp;IF($D389="","No DBH — nothing can be calculated. ","")&amp;IF(AND($D389&lt;&gt;"",$D389&gt;QC_DBH_MAX_CM),"DBH above "&amp;QC_DBH_MAX_CM&amp;" cm — check for a transcription error. ","")&amp;IF($M389="All","Generic species: no published root:shoot applies, so below-ground biomass is the mean of the deciduous and conifer relationships. Choose a species, or Deciduous/Conifers, if you can. ","")&amp;IF(AND($O389&lt;&gt;"",$O389&gt;0,OR($N389/$O389&lt;BGB_FRACTION_MIN,$N389/$O389&gt;BGB_FRACTION_MAX)),"Below-ground share is "&amp;TEXT($N389/$O389,"0%")&amp;", outside the 18–30% the Trees guide describes. ",""))</f>
        <v/>
      </c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4" t="str">
        <f aca="false">IF($C390="","",IFERROR(12+(MATCH($C390,'R1. Tree Coefficients'!$L$12:$L$53,0)-1)*4,""))</f>
        <v/>
      </c>
      <c r="G390" s="14" t="str">
        <f aca="false">IF($F390="","",IF(AND($E390&lt;&gt;"",$E390&gt;0),"DBH + height","DBH only"))</f>
        <v/>
      </c>
      <c r="H390" s="14" t="str">
        <f aca="false">IF(OR($D390="",$F390=""),"",IF($E390&gt;0,INDEX('R1. Tree Coefficients'!$F:$F,$F390+0)*($D390^INDEX('R1. Tree Coefficients'!$G:$G,$F390+0))*($E390^INDEX('R1. Tree Coefficients'!$H:$H,$F390+0)),INDEX('R1. Tree Coefficients'!$D:$D,$F390+0)*($D390^INDEX('R1. Tree Coefficients'!$E:$E,$F390+0))))</f>
        <v/>
      </c>
      <c r="I390" s="14" t="str">
        <f aca="false">IF(OR($D390="",$F390=""),"",IF($E390&gt;0,INDEX('R1. Tree Coefficients'!$F:$F,$F390+1)*($D390^INDEX('R1. Tree Coefficients'!$G:$G,$F390+1))*($E390^INDEX('R1. Tree Coefficients'!$H:$H,$F390+1)),INDEX('R1. Tree Coefficients'!$D:$D,$F390+1)*($D390^INDEX('R1. Tree Coefficients'!$E:$E,$F390+1))))</f>
        <v/>
      </c>
      <c r="J390" s="14" t="str">
        <f aca="false">IF(OR($D390="",$F390=""),"",IF($E390&gt;0,INDEX('R1. Tree Coefficients'!$F:$F,$F390+2)*($D390^INDEX('R1. Tree Coefficients'!$G:$G,$F390+2))*($E390^INDEX('R1. Tree Coefficients'!$H:$H,$F390+2)),INDEX('R1. Tree Coefficients'!$D:$D,$F390+2)*($D390^INDEX('R1. Tree Coefficients'!$E:$E,$F390+2))))</f>
        <v/>
      </c>
      <c r="K390" s="14" t="str">
        <f aca="false">IF(OR($D390="",$F390=""),"",IF($E390&gt;0,INDEX('R1. Tree Coefficients'!$F:$F,$F390+3)*($D390^INDEX('R1. Tree Coefficients'!$G:$G,$F390+3))*($E390^INDEX('R1. Tree Coefficients'!$H:$H,$F390+3)),INDEX('R1. Tree Coefficients'!$D:$D,$F390+3)*($D390^INDEX('R1. Tree Coefficients'!$E:$E,$F390+3))))</f>
        <v/>
      </c>
      <c r="L390" s="14" t="str">
        <f aca="false">IF($F390="","",IFERROR(SUM($H390:$K390),""))</f>
        <v/>
      </c>
      <c r="M390" s="14" t="str">
        <f aca="false">IF($F390="","",INDEX('R1. Tree Coefficients'!$J:$J,$F390))</f>
        <v/>
      </c>
      <c r="N390" s="14" t="str">
        <f aca="false">IF($L390="","",IF($M390="Deciduous",BGB_RS_DECIDUOUS_a*($L390^BGB_RS_DECIDUOUS_b),IF($M390="Conifers",BGB_RS_CONIFER*$L390,AVERAGE(BGB_RS_DECIDUOUS_a*($L390^BGB_RS_DECIDUOUS_b),BGB_RS_CONIFER*$L390))))</f>
        <v/>
      </c>
      <c r="O390" s="14" t="str">
        <f aca="false">IF($L390="","",$L390+$N390)</f>
        <v/>
      </c>
      <c r="P390" s="14" t="str">
        <f aca="false">IF($O390="","",$O390*CARBON_FRACTION_BIOMASS)</f>
        <v/>
      </c>
      <c r="Q390" s="14" t="str">
        <f aca="false">IF(AND($A390="",$C390=""),"",IF(AND($A390&lt;&gt;"",COUNTIF('1. Plot &amp; Site Log'!$A$5:$A$64,$A390)=0),"Plot ID not in Plot &amp; Site Log — this tree will not reach the summary. ","")&amp;IF($A390="","No Plot ID. ","")&amp;IF(AND($C390&lt;&gt;"",$F390=""),"Species not in the coefficient list — check the spelling against R1. ","")&amp;IF($D390="","No DBH — nothing can be calculated. ","")&amp;IF(AND($D390&lt;&gt;"",$D390&gt;QC_DBH_MAX_CM),"DBH above "&amp;QC_DBH_MAX_CM&amp;" cm — check for a transcription error. ","")&amp;IF($M390="All","Generic species: no published root:shoot applies, so below-ground biomass is the mean of the deciduous and conifer relationships. Choose a species, or Deciduous/Conifers, if you can. ","")&amp;IF(AND($O390&lt;&gt;"",$O390&gt;0,OR($N390/$O390&lt;BGB_FRACTION_MIN,$N390/$O390&gt;BGB_FRACTION_MAX)),"Below-ground share is "&amp;TEXT($N390/$O390,"0%")&amp;", outside the 18–30% the Trees guide describes. ",""))</f>
        <v/>
      </c>
    </row>
    <row r="391" customFormat="false" ht="15" hidden="false" customHeight="false" outlineLevel="0" collapsed="false">
      <c r="A391" s="13"/>
      <c r="B391" s="13"/>
      <c r="C391" s="13"/>
      <c r="D391" s="13"/>
      <c r="E391" s="13"/>
      <c r="F391" s="14" t="str">
        <f aca="false">IF($C391="","",IFERROR(12+(MATCH($C391,'R1. Tree Coefficients'!$L$12:$L$53,0)-1)*4,""))</f>
        <v/>
      </c>
      <c r="G391" s="14" t="str">
        <f aca="false">IF($F391="","",IF(AND($E391&lt;&gt;"",$E391&gt;0),"DBH + height","DBH only"))</f>
        <v/>
      </c>
      <c r="H391" s="14" t="str">
        <f aca="false">IF(OR($D391="",$F391=""),"",IF($E391&gt;0,INDEX('R1. Tree Coefficients'!$F:$F,$F391+0)*($D391^INDEX('R1. Tree Coefficients'!$G:$G,$F391+0))*($E391^INDEX('R1. Tree Coefficients'!$H:$H,$F391+0)),INDEX('R1. Tree Coefficients'!$D:$D,$F391+0)*($D391^INDEX('R1. Tree Coefficients'!$E:$E,$F391+0))))</f>
        <v/>
      </c>
      <c r="I391" s="14" t="str">
        <f aca="false">IF(OR($D391="",$F391=""),"",IF($E391&gt;0,INDEX('R1. Tree Coefficients'!$F:$F,$F391+1)*($D391^INDEX('R1. Tree Coefficients'!$G:$G,$F391+1))*($E391^INDEX('R1. Tree Coefficients'!$H:$H,$F391+1)),INDEX('R1. Tree Coefficients'!$D:$D,$F391+1)*($D391^INDEX('R1. Tree Coefficients'!$E:$E,$F391+1))))</f>
        <v/>
      </c>
      <c r="J391" s="14" t="str">
        <f aca="false">IF(OR($D391="",$F391=""),"",IF($E391&gt;0,INDEX('R1. Tree Coefficients'!$F:$F,$F391+2)*($D391^INDEX('R1. Tree Coefficients'!$G:$G,$F391+2))*($E391^INDEX('R1. Tree Coefficients'!$H:$H,$F391+2)),INDEX('R1. Tree Coefficients'!$D:$D,$F391+2)*($D391^INDEX('R1. Tree Coefficients'!$E:$E,$F391+2))))</f>
        <v/>
      </c>
      <c r="K391" s="14" t="str">
        <f aca="false">IF(OR($D391="",$F391=""),"",IF($E391&gt;0,INDEX('R1. Tree Coefficients'!$F:$F,$F391+3)*($D391^INDEX('R1. Tree Coefficients'!$G:$G,$F391+3))*($E391^INDEX('R1. Tree Coefficients'!$H:$H,$F391+3)),INDEX('R1. Tree Coefficients'!$D:$D,$F391+3)*($D391^INDEX('R1. Tree Coefficients'!$E:$E,$F391+3))))</f>
        <v/>
      </c>
      <c r="L391" s="14" t="str">
        <f aca="false">IF($F391="","",IFERROR(SUM($H391:$K391),""))</f>
        <v/>
      </c>
      <c r="M391" s="14" t="str">
        <f aca="false">IF($F391="","",INDEX('R1. Tree Coefficients'!$J:$J,$F391))</f>
        <v/>
      </c>
      <c r="N391" s="14" t="str">
        <f aca="false">IF($L391="","",IF($M391="Deciduous",BGB_RS_DECIDUOUS_a*($L391^BGB_RS_DECIDUOUS_b),IF($M391="Conifers",BGB_RS_CONIFER*$L391,AVERAGE(BGB_RS_DECIDUOUS_a*($L391^BGB_RS_DECIDUOUS_b),BGB_RS_CONIFER*$L391))))</f>
        <v/>
      </c>
      <c r="O391" s="14" t="str">
        <f aca="false">IF($L391="","",$L391+$N391)</f>
        <v/>
      </c>
      <c r="P391" s="14" t="str">
        <f aca="false">IF($O391="","",$O391*CARBON_FRACTION_BIOMASS)</f>
        <v/>
      </c>
      <c r="Q391" s="14" t="str">
        <f aca="false">IF(AND($A391="",$C391=""),"",IF(AND($A391&lt;&gt;"",COUNTIF('1. Plot &amp; Site Log'!$A$5:$A$64,$A391)=0),"Plot ID not in Plot &amp; Site Log — this tree will not reach the summary. ","")&amp;IF($A391="","No Plot ID. ","")&amp;IF(AND($C391&lt;&gt;"",$F391=""),"Species not in the coefficient list — check the spelling against R1. ","")&amp;IF($D391="","No DBH — nothing can be calculated. ","")&amp;IF(AND($D391&lt;&gt;"",$D391&gt;QC_DBH_MAX_CM),"DBH above "&amp;QC_DBH_MAX_CM&amp;" cm — check for a transcription error. ","")&amp;IF($M391="All","Generic species: no published root:shoot applies, so below-ground biomass is the mean of the deciduous and conifer relationships. Choose a species, or Deciduous/Conifers, if you can. ","")&amp;IF(AND($O391&lt;&gt;"",$O391&gt;0,OR($N391/$O391&lt;BGB_FRACTION_MIN,$N391/$O391&gt;BGB_FRACTION_MAX)),"Below-ground share is "&amp;TEXT($N391/$O391,"0%")&amp;", outside the 18–30% the Trees guide describes. ",""))</f>
        <v/>
      </c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4" t="str">
        <f aca="false">IF($C392="","",IFERROR(12+(MATCH($C392,'R1. Tree Coefficients'!$L$12:$L$53,0)-1)*4,""))</f>
        <v/>
      </c>
      <c r="G392" s="14" t="str">
        <f aca="false">IF($F392="","",IF(AND($E392&lt;&gt;"",$E392&gt;0),"DBH + height","DBH only"))</f>
        <v/>
      </c>
      <c r="H392" s="14" t="str">
        <f aca="false">IF(OR($D392="",$F392=""),"",IF($E392&gt;0,INDEX('R1. Tree Coefficients'!$F:$F,$F392+0)*($D392^INDEX('R1. Tree Coefficients'!$G:$G,$F392+0))*($E392^INDEX('R1. Tree Coefficients'!$H:$H,$F392+0)),INDEX('R1. Tree Coefficients'!$D:$D,$F392+0)*($D392^INDEX('R1. Tree Coefficients'!$E:$E,$F392+0))))</f>
        <v/>
      </c>
      <c r="I392" s="14" t="str">
        <f aca="false">IF(OR($D392="",$F392=""),"",IF($E392&gt;0,INDEX('R1. Tree Coefficients'!$F:$F,$F392+1)*($D392^INDEX('R1. Tree Coefficients'!$G:$G,$F392+1))*($E392^INDEX('R1. Tree Coefficients'!$H:$H,$F392+1)),INDEX('R1. Tree Coefficients'!$D:$D,$F392+1)*($D392^INDEX('R1. Tree Coefficients'!$E:$E,$F392+1))))</f>
        <v/>
      </c>
      <c r="J392" s="14" t="str">
        <f aca="false">IF(OR($D392="",$F392=""),"",IF($E392&gt;0,INDEX('R1. Tree Coefficients'!$F:$F,$F392+2)*($D392^INDEX('R1. Tree Coefficients'!$G:$G,$F392+2))*($E392^INDEX('R1. Tree Coefficients'!$H:$H,$F392+2)),INDEX('R1. Tree Coefficients'!$D:$D,$F392+2)*($D392^INDEX('R1. Tree Coefficients'!$E:$E,$F392+2))))</f>
        <v/>
      </c>
      <c r="K392" s="14" t="str">
        <f aca="false">IF(OR($D392="",$F392=""),"",IF($E392&gt;0,INDEX('R1. Tree Coefficients'!$F:$F,$F392+3)*($D392^INDEX('R1. Tree Coefficients'!$G:$G,$F392+3))*($E392^INDEX('R1. Tree Coefficients'!$H:$H,$F392+3)),INDEX('R1. Tree Coefficients'!$D:$D,$F392+3)*($D392^INDEX('R1. Tree Coefficients'!$E:$E,$F392+3))))</f>
        <v/>
      </c>
      <c r="L392" s="14" t="str">
        <f aca="false">IF($F392="","",IFERROR(SUM($H392:$K392),""))</f>
        <v/>
      </c>
      <c r="M392" s="14" t="str">
        <f aca="false">IF($F392="","",INDEX('R1. Tree Coefficients'!$J:$J,$F392))</f>
        <v/>
      </c>
      <c r="N392" s="14" t="str">
        <f aca="false">IF($L392="","",IF($M392="Deciduous",BGB_RS_DECIDUOUS_a*($L392^BGB_RS_DECIDUOUS_b),IF($M392="Conifers",BGB_RS_CONIFER*$L392,AVERAGE(BGB_RS_DECIDUOUS_a*($L392^BGB_RS_DECIDUOUS_b),BGB_RS_CONIFER*$L392))))</f>
        <v/>
      </c>
      <c r="O392" s="14" t="str">
        <f aca="false">IF($L392="","",$L392+$N392)</f>
        <v/>
      </c>
      <c r="P392" s="14" t="str">
        <f aca="false">IF($O392="","",$O392*CARBON_FRACTION_BIOMASS)</f>
        <v/>
      </c>
      <c r="Q392" s="14" t="str">
        <f aca="false">IF(AND($A392="",$C392=""),"",IF(AND($A392&lt;&gt;"",COUNTIF('1. Plot &amp; Site Log'!$A$5:$A$64,$A392)=0),"Plot ID not in Plot &amp; Site Log — this tree will not reach the summary. ","")&amp;IF($A392="","No Plot ID. ","")&amp;IF(AND($C392&lt;&gt;"",$F392=""),"Species not in the coefficient list — check the spelling against R1. ","")&amp;IF($D392="","No DBH — nothing can be calculated. ","")&amp;IF(AND($D392&lt;&gt;"",$D392&gt;QC_DBH_MAX_CM),"DBH above "&amp;QC_DBH_MAX_CM&amp;" cm — check for a transcription error. ","")&amp;IF($M392="All","Generic species: no published root:shoot applies, so below-ground biomass is the mean of the deciduous and conifer relationships. Choose a species, or Deciduous/Conifers, if you can. ","")&amp;IF(AND($O392&lt;&gt;"",$O392&gt;0,OR($N392/$O392&lt;BGB_FRACTION_MIN,$N392/$O392&gt;BGB_FRACTION_MAX)),"Below-ground share is "&amp;TEXT($N392/$O392,"0%")&amp;", outside the 18–30% the Trees guide describes. ",""))</f>
        <v/>
      </c>
    </row>
    <row r="393" customFormat="false" ht="15" hidden="false" customHeight="false" outlineLevel="0" collapsed="false">
      <c r="A393" s="13"/>
      <c r="B393" s="13"/>
      <c r="C393" s="13"/>
      <c r="D393" s="13"/>
      <c r="E393" s="13"/>
      <c r="F393" s="14" t="str">
        <f aca="false">IF($C393="","",IFERROR(12+(MATCH($C393,'R1. Tree Coefficients'!$L$12:$L$53,0)-1)*4,""))</f>
        <v/>
      </c>
      <c r="G393" s="14" t="str">
        <f aca="false">IF($F393="","",IF(AND($E393&lt;&gt;"",$E393&gt;0),"DBH + height","DBH only"))</f>
        <v/>
      </c>
      <c r="H393" s="14" t="str">
        <f aca="false">IF(OR($D393="",$F393=""),"",IF($E393&gt;0,INDEX('R1. Tree Coefficients'!$F:$F,$F393+0)*($D393^INDEX('R1. Tree Coefficients'!$G:$G,$F393+0))*($E393^INDEX('R1. Tree Coefficients'!$H:$H,$F393+0)),INDEX('R1. Tree Coefficients'!$D:$D,$F393+0)*($D393^INDEX('R1. Tree Coefficients'!$E:$E,$F393+0))))</f>
        <v/>
      </c>
      <c r="I393" s="14" t="str">
        <f aca="false">IF(OR($D393="",$F393=""),"",IF($E393&gt;0,INDEX('R1. Tree Coefficients'!$F:$F,$F393+1)*($D393^INDEX('R1. Tree Coefficients'!$G:$G,$F393+1))*($E393^INDEX('R1. Tree Coefficients'!$H:$H,$F393+1)),INDEX('R1. Tree Coefficients'!$D:$D,$F393+1)*($D393^INDEX('R1. Tree Coefficients'!$E:$E,$F393+1))))</f>
        <v/>
      </c>
      <c r="J393" s="14" t="str">
        <f aca="false">IF(OR($D393="",$F393=""),"",IF($E393&gt;0,INDEX('R1. Tree Coefficients'!$F:$F,$F393+2)*($D393^INDEX('R1. Tree Coefficients'!$G:$G,$F393+2))*($E393^INDEX('R1. Tree Coefficients'!$H:$H,$F393+2)),INDEX('R1. Tree Coefficients'!$D:$D,$F393+2)*($D393^INDEX('R1. Tree Coefficients'!$E:$E,$F393+2))))</f>
        <v/>
      </c>
      <c r="K393" s="14" t="str">
        <f aca="false">IF(OR($D393="",$F393=""),"",IF($E393&gt;0,INDEX('R1. Tree Coefficients'!$F:$F,$F393+3)*($D393^INDEX('R1. Tree Coefficients'!$G:$G,$F393+3))*($E393^INDEX('R1. Tree Coefficients'!$H:$H,$F393+3)),INDEX('R1. Tree Coefficients'!$D:$D,$F393+3)*($D393^INDEX('R1. Tree Coefficients'!$E:$E,$F393+3))))</f>
        <v/>
      </c>
      <c r="L393" s="14" t="str">
        <f aca="false">IF($F393="","",IFERROR(SUM($H393:$K393),""))</f>
        <v/>
      </c>
      <c r="M393" s="14" t="str">
        <f aca="false">IF($F393="","",INDEX('R1. Tree Coefficients'!$J:$J,$F393))</f>
        <v/>
      </c>
      <c r="N393" s="14" t="str">
        <f aca="false">IF($L393="","",IF($M393="Deciduous",BGB_RS_DECIDUOUS_a*($L393^BGB_RS_DECIDUOUS_b),IF($M393="Conifers",BGB_RS_CONIFER*$L393,AVERAGE(BGB_RS_DECIDUOUS_a*($L393^BGB_RS_DECIDUOUS_b),BGB_RS_CONIFER*$L393))))</f>
        <v/>
      </c>
      <c r="O393" s="14" t="str">
        <f aca="false">IF($L393="","",$L393+$N393)</f>
        <v/>
      </c>
      <c r="P393" s="14" t="str">
        <f aca="false">IF($O393="","",$O393*CARBON_FRACTION_BIOMASS)</f>
        <v/>
      </c>
      <c r="Q393" s="14" t="str">
        <f aca="false">IF(AND($A393="",$C393=""),"",IF(AND($A393&lt;&gt;"",COUNTIF('1. Plot &amp; Site Log'!$A$5:$A$64,$A393)=0),"Plot ID not in Plot &amp; Site Log — this tree will not reach the summary. ","")&amp;IF($A393="","No Plot ID. ","")&amp;IF(AND($C393&lt;&gt;"",$F393=""),"Species not in the coefficient list — check the spelling against R1. ","")&amp;IF($D393="","No DBH — nothing can be calculated. ","")&amp;IF(AND($D393&lt;&gt;"",$D393&gt;QC_DBH_MAX_CM),"DBH above "&amp;QC_DBH_MAX_CM&amp;" cm — check for a transcription error. ","")&amp;IF($M393="All","Generic species: no published root:shoot applies, so below-ground biomass is the mean of the deciduous and conifer relationships. Choose a species, or Deciduous/Conifers, if you can. ","")&amp;IF(AND($O393&lt;&gt;"",$O393&gt;0,OR($N393/$O393&lt;BGB_FRACTION_MIN,$N393/$O393&gt;BGB_FRACTION_MAX)),"Below-ground share is "&amp;TEXT($N393/$O393,"0%")&amp;", outside the 18–30% the Trees guide describes. ",""))</f>
        <v/>
      </c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4" t="str">
        <f aca="false">IF($C394="","",IFERROR(12+(MATCH($C394,'R1. Tree Coefficients'!$L$12:$L$53,0)-1)*4,""))</f>
        <v/>
      </c>
      <c r="G394" s="14" t="str">
        <f aca="false">IF($F394="","",IF(AND($E394&lt;&gt;"",$E394&gt;0),"DBH + height","DBH only"))</f>
        <v/>
      </c>
      <c r="H394" s="14" t="str">
        <f aca="false">IF(OR($D394="",$F394=""),"",IF($E394&gt;0,INDEX('R1. Tree Coefficients'!$F:$F,$F394+0)*($D394^INDEX('R1. Tree Coefficients'!$G:$G,$F394+0))*($E394^INDEX('R1. Tree Coefficients'!$H:$H,$F394+0)),INDEX('R1. Tree Coefficients'!$D:$D,$F394+0)*($D394^INDEX('R1. Tree Coefficients'!$E:$E,$F394+0))))</f>
        <v/>
      </c>
      <c r="I394" s="14" t="str">
        <f aca="false">IF(OR($D394="",$F394=""),"",IF($E394&gt;0,INDEX('R1. Tree Coefficients'!$F:$F,$F394+1)*($D394^INDEX('R1. Tree Coefficients'!$G:$G,$F394+1))*($E394^INDEX('R1. Tree Coefficients'!$H:$H,$F394+1)),INDEX('R1. Tree Coefficients'!$D:$D,$F394+1)*($D394^INDEX('R1. Tree Coefficients'!$E:$E,$F394+1))))</f>
        <v/>
      </c>
      <c r="J394" s="14" t="str">
        <f aca="false">IF(OR($D394="",$F394=""),"",IF($E394&gt;0,INDEX('R1. Tree Coefficients'!$F:$F,$F394+2)*($D394^INDEX('R1. Tree Coefficients'!$G:$G,$F394+2))*($E394^INDEX('R1. Tree Coefficients'!$H:$H,$F394+2)),INDEX('R1. Tree Coefficients'!$D:$D,$F394+2)*($D394^INDEX('R1. Tree Coefficients'!$E:$E,$F394+2))))</f>
        <v/>
      </c>
      <c r="K394" s="14" t="str">
        <f aca="false">IF(OR($D394="",$F394=""),"",IF($E394&gt;0,INDEX('R1. Tree Coefficients'!$F:$F,$F394+3)*($D394^INDEX('R1. Tree Coefficients'!$G:$G,$F394+3))*($E394^INDEX('R1. Tree Coefficients'!$H:$H,$F394+3)),INDEX('R1. Tree Coefficients'!$D:$D,$F394+3)*($D394^INDEX('R1. Tree Coefficients'!$E:$E,$F394+3))))</f>
        <v/>
      </c>
      <c r="L394" s="14" t="str">
        <f aca="false">IF($F394="","",IFERROR(SUM($H394:$K394),""))</f>
        <v/>
      </c>
      <c r="M394" s="14" t="str">
        <f aca="false">IF($F394="","",INDEX('R1. Tree Coefficients'!$J:$J,$F394))</f>
        <v/>
      </c>
      <c r="N394" s="14" t="str">
        <f aca="false">IF($L394="","",IF($M394="Deciduous",BGB_RS_DECIDUOUS_a*($L394^BGB_RS_DECIDUOUS_b),IF($M394="Conifers",BGB_RS_CONIFER*$L394,AVERAGE(BGB_RS_DECIDUOUS_a*($L394^BGB_RS_DECIDUOUS_b),BGB_RS_CONIFER*$L394))))</f>
        <v/>
      </c>
      <c r="O394" s="14" t="str">
        <f aca="false">IF($L394="","",$L394+$N394)</f>
        <v/>
      </c>
      <c r="P394" s="14" t="str">
        <f aca="false">IF($O394="","",$O394*CARBON_FRACTION_BIOMASS)</f>
        <v/>
      </c>
      <c r="Q394" s="14" t="str">
        <f aca="false">IF(AND($A394="",$C394=""),"",IF(AND($A394&lt;&gt;"",COUNTIF('1. Plot &amp; Site Log'!$A$5:$A$64,$A394)=0),"Plot ID not in Plot &amp; Site Log — this tree will not reach the summary. ","")&amp;IF($A394="","No Plot ID. ","")&amp;IF(AND($C394&lt;&gt;"",$F394=""),"Species not in the coefficient list — check the spelling against R1. ","")&amp;IF($D394="","No DBH — nothing can be calculated. ","")&amp;IF(AND($D394&lt;&gt;"",$D394&gt;QC_DBH_MAX_CM),"DBH above "&amp;QC_DBH_MAX_CM&amp;" cm — check for a transcription error. ","")&amp;IF($M394="All","Generic species: no published root:shoot applies, so below-ground biomass is the mean of the deciduous and conifer relationships. Choose a species, or Deciduous/Conifers, if you can. ","")&amp;IF(AND($O394&lt;&gt;"",$O394&gt;0,OR($N394/$O394&lt;BGB_FRACTION_MIN,$N394/$O394&gt;BGB_FRACTION_MAX)),"Below-ground share is "&amp;TEXT($N394/$O394,"0%")&amp;", outside the 18–30% the Trees guide describes. ",""))</f>
        <v/>
      </c>
    </row>
    <row r="395" customFormat="false" ht="15" hidden="false" customHeight="false" outlineLevel="0" collapsed="false">
      <c r="A395" s="13"/>
      <c r="B395" s="13"/>
      <c r="C395" s="13"/>
      <c r="D395" s="13"/>
      <c r="E395" s="13"/>
      <c r="F395" s="14" t="str">
        <f aca="false">IF($C395="","",IFERROR(12+(MATCH($C395,'R1. Tree Coefficients'!$L$12:$L$53,0)-1)*4,""))</f>
        <v/>
      </c>
      <c r="G395" s="14" t="str">
        <f aca="false">IF($F395="","",IF(AND($E395&lt;&gt;"",$E395&gt;0),"DBH + height","DBH only"))</f>
        <v/>
      </c>
      <c r="H395" s="14" t="str">
        <f aca="false">IF(OR($D395="",$F395=""),"",IF($E395&gt;0,INDEX('R1. Tree Coefficients'!$F:$F,$F395+0)*($D395^INDEX('R1. Tree Coefficients'!$G:$G,$F395+0))*($E395^INDEX('R1. Tree Coefficients'!$H:$H,$F395+0)),INDEX('R1. Tree Coefficients'!$D:$D,$F395+0)*($D395^INDEX('R1. Tree Coefficients'!$E:$E,$F395+0))))</f>
        <v/>
      </c>
      <c r="I395" s="14" t="str">
        <f aca="false">IF(OR($D395="",$F395=""),"",IF($E395&gt;0,INDEX('R1. Tree Coefficients'!$F:$F,$F395+1)*($D395^INDEX('R1. Tree Coefficients'!$G:$G,$F395+1))*($E395^INDEX('R1. Tree Coefficients'!$H:$H,$F395+1)),INDEX('R1. Tree Coefficients'!$D:$D,$F395+1)*($D395^INDEX('R1. Tree Coefficients'!$E:$E,$F395+1))))</f>
        <v/>
      </c>
      <c r="J395" s="14" t="str">
        <f aca="false">IF(OR($D395="",$F395=""),"",IF($E395&gt;0,INDEX('R1. Tree Coefficients'!$F:$F,$F395+2)*($D395^INDEX('R1. Tree Coefficients'!$G:$G,$F395+2))*($E395^INDEX('R1. Tree Coefficients'!$H:$H,$F395+2)),INDEX('R1. Tree Coefficients'!$D:$D,$F395+2)*($D395^INDEX('R1. Tree Coefficients'!$E:$E,$F395+2))))</f>
        <v/>
      </c>
      <c r="K395" s="14" t="str">
        <f aca="false">IF(OR($D395="",$F395=""),"",IF($E395&gt;0,INDEX('R1. Tree Coefficients'!$F:$F,$F395+3)*($D395^INDEX('R1. Tree Coefficients'!$G:$G,$F395+3))*($E395^INDEX('R1. Tree Coefficients'!$H:$H,$F395+3)),INDEX('R1. Tree Coefficients'!$D:$D,$F395+3)*($D395^INDEX('R1. Tree Coefficients'!$E:$E,$F395+3))))</f>
        <v/>
      </c>
      <c r="L395" s="14" t="str">
        <f aca="false">IF($F395="","",IFERROR(SUM($H395:$K395),""))</f>
        <v/>
      </c>
      <c r="M395" s="14" t="str">
        <f aca="false">IF($F395="","",INDEX('R1. Tree Coefficients'!$J:$J,$F395))</f>
        <v/>
      </c>
      <c r="N395" s="14" t="str">
        <f aca="false">IF($L395="","",IF($M395="Deciduous",BGB_RS_DECIDUOUS_a*($L395^BGB_RS_DECIDUOUS_b),IF($M395="Conifers",BGB_RS_CONIFER*$L395,AVERAGE(BGB_RS_DECIDUOUS_a*($L395^BGB_RS_DECIDUOUS_b),BGB_RS_CONIFER*$L395))))</f>
        <v/>
      </c>
      <c r="O395" s="14" t="str">
        <f aca="false">IF($L395="","",$L395+$N395)</f>
        <v/>
      </c>
      <c r="P395" s="14" t="str">
        <f aca="false">IF($O395="","",$O395*CARBON_FRACTION_BIOMASS)</f>
        <v/>
      </c>
      <c r="Q395" s="14" t="str">
        <f aca="false">IF(AND($A395="",$C395=""),"",IF(AND($A395&lt;&gt;"",COUNTIF('1. Plot &amp; Site Log'!$A$5:$A$64,$A395)=0),"Plot ID not in Plot &amp; Site Log — this tree will not reach the summary. ","")&amp;IF($A395="","No Plot ID. ","")&amp;IF(AND($C395&lt;&gt;"",$F395=""),"Species not in the coefficient list — check the spelling against R1. ","")&amp;IF($D395="","No DBH — nothing can be calculated. ","")&amp;IF(AND($D395&lt;&gt;"",$D395&gt;QC_DBH_MAX_CM),"DBH above "&amp;QC_DBH_MAX_CM&amp;" cm — check for a transcription error. ","")&amp;IF($M395="All","Generic species: no published root:shoot applies, so below-ground biomass is the mean of the deciduous and conifer relationships. Choose a species, or Deciduous/Conifers, if you can. ","")&amp;IF(AND($O395&lt;&gt;"",$O395&gt;0,OR($N395/$O395&lt;BGB_FRACTION_MIN,$N395/$O395&gt;BGB_FRACTION_MAX)),"Below-ground share is "&amp;TEXT($N395/$O395,"0%")&amp;", outside the 18–30% the Trees guide describes. ",""))</f>
        <v/>
      </c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4" t="str">
        <f aca="false">IF($C396="","",IFERROR(12+(MATCH($C396,'R1. Tree Coefficients'!$L$12:$L$53,0)-1)*4,""))</f>
        <v/>
      </c>
      <c r="G396" s="14" t="str">
        <f aca="false">IF($F396="","",IF(AND($E396&lt;&gt;"",$E396&gt;0),"DBH + height","DBH only"))</f>
        <v/>
      </c>
      <c r="H396" s="14" t="str">
        <f aca="false">IF(OR($D396="",$F396=""),"",IF($E396&gt;0,INDEX('R1. Tree Coefficients'!$F:$F,$F396+0)*($D396^INDEX('R1. Tree Coefficients'!$G:$G,$F396+0))*($E396^INDEX('R1. Tree Coefficients'!$H:$H,$F396+0)),INDEX('R1. Tree Coefficients'!$D:$D,$F396+0)*($D396^INDEX('R1. Tree Coefficients'!$E:$E,$F396+0))))</f>
        <v/>
      </c>
      <c r="I396" s="14" t="str">
        <f aca="false">IF(OR($D396="",$F396=""),"",IF($E396&gt;0,INDEX('R1. Tree Coefficients'!$F:$F,$F396+1)*($D396^INDEX('R1. Tree Coefficients'!$G:$G,$F396+1))*($E396^INDEX('R1. Tree Coefficients'!$H:$H,$F396+1)),INDEX('R1. Tree Coefficients'!$D:$D,$F396+1)*($D396^INDEX('R1. Tree Coefficients'!$E:$E,$F396+1))))</f>
        <v/>
      </c>
      <c r="J396" s="14" t="str">
        <f aca="false">IF(OR($D396="",$F396=""),"",IF($E396&gt;0,INDEX('R1. Tree Coefficients'!$F:$F,$F396+2)*($D396^INDEX('R1. Tree Coefficients'!$G:$G,$F396+2))*($E396^INDEX('R1. Tree Coefficients'!$H:$H,$F396+2)),INDEX('R1. Tree Coefficients'!$D:$D,$F396+2)*($D396^INDEX('R1. Tree Coefficients'!$E:$E,$F396+2))))</f>
        <v/>
      </c>
      <c r="K396" s="14" t="str">
        <f aca="false">IF(OR($D396="",$F396=""),"",IF($E396&gt;0,INDEX('R1. Tree Coefficients'!$F:$F,$F396+3)*($D396^INDEX('R1. Tree Coefficients'!$G:$G,$F396+3))*($E396^INDEX('R1. Tree Coefficients'!$H:$H,$F396+3)),INDEX('R1. Tree Coefficients'!$D:$D,$F396+3)*($D396^INDEX('R1. Tree Coefficients'!$E:$E,$F396+3))))</f>
        <v/>
      </c>
      <c r="L396" s="14" t="str">
        <f aca="false">IF($F396="","",IFERROR(SUM($H396:$K396),""))</f>
        <v/>
      </c>
      <c r="M396" s="14" t="str">
        <f aca="false">IF($F396="","",INDEX('R1. Tree Coefficients'!$J:$J,$F396))</f>
        <v/>
      </c>
      <c r="N396" s="14" t="str">
        <f aca="false">IF($L396="","",IF($M396="Deciduous",BGB_RS_DECIDUOUS_a*($L396^BGB_RS_DECIDUOUS_b),IF($M396="Conifers",BGB_RS_CONIFER*$L396,AVERAGE(BGB_RS_DECIDUOUS_a*($L396^BGB_RS_DECIDUOUS_b),BGB_RS_CONIFER*$L396))))</f>
        <v/>
      </c>
      <c r="O396" s="14" t="str">
        <f aca="false">IF($L396="","",$L396+$N396)</f>
        <v/>
      </c>
      <c r="P396" s="14" t="str">
        <f aca="false">IF($O396="","",$O396*CARBON_FRACTION_BIOMASS)</f>
        <v/>
      </c>
      <c r="Q396" s="14" t="str">
        <f aca="false">IF(AND($A396="",$C396=""),"",IF(AND($A396&lt;&gt;"",COUNTIF('1. Plot &amp; Site Log'!$A$5:$A$64,$A396)=0),"Plot ID not in Plot &amp; Site Log — this tree will not reach the summary. ","")&amp;IF($A396="","No Plot ID. ","")&amp;IF(AND($C396&lt;&gt;"",$F396=""),"Species not in the coefficient list — check the spelling against R1. ","")&amp;IF($D396="","No DBH — nothing can be calculated. ","")&amp;IF(AND($D396&lt;&gt;"",$D396&gt;QC_DBH_MAX_CM),"DBH above "&amp;QC_DBH_MAX_CM&amp;" cm — check for a transcription error. ","")&amp;IF($M396="All","Generic species: no published root:shoot applies, so below-ground biomass is the mean of the deciduous and conifer relationships. Choose a species, or Deciduous/Conifers, if you can. ","")&amp;IF(AND($O396&lt;&gt;"",$O396&gt;0,OR($N396/$O396&lt;BGB_FRACTION_MIN,$N396/$O396&gt;BGB_FRACTION_MAX)),"Below-ground share is "&amp;TEXT($N396/$O396,"0%")&amp;", outside the 18–30% the Trees guide describes. ",""))</f>
        <v/>
      </c>
    </row>
    <row r="397" customFormat="false" ht="15" hidden="false" customHeight="false" outlineLevel="0" collapsed="false">
      <c r="A397" s="13"/>
      <c r="B397" s="13"/>
      <c r="C397" s="13"/>
      <c r="D397" s="13"/>
      <c r="E397" s="13"/>
      <c r="F397" s="14" t="str">
        <f aca="false">IF($C397="","",IFERROR(12+(MATCH($C397,'R1. Tree Coefficients'!$L$12:$L$53,0)-1)*4,""))</f>
        <v/>
      </c>
      <c r="G397" s="14" t="str">
        <f aca="false">IF($F397="","",IF(AND($E397&lt;&gt;"",$E397&gt;0),"DBH + height","DBH only"))</f>
        <v/>
      </c>
      <c r="H397" s="14" t="str">
        <f aca="false">IF(OR($D397="",$F397=""),"",IF($E397&gt;0,INDEX('R1. Tree Coefficients'!$F:$F,$F397+0)*($D397^INDEX('R1. Tree Coefficients'!$G:$G,$F397+0))*($E397^INDEX('R1. Tree Coefficients'!$H:$H,$F397+0)),INDEX('R1. Tree Coefficients'!$D:$D,$F397+0)*($D397^INDEX('R1. Tree Coefficients'!$E:$E,$F397+0))))</f>
        <v/>
      </c>
      <c r="I397" s="14" t="str">
        <f aca="false">IF(OR($D397="",$F397=""),"",IF($E397&gt;0,INDEX('R1. Tree Coefficients'!$F:$F,$F397+1)*($D397^INDEX('R1. Tree Coefficients'!$G:$G,$F397+1))*($E397^INDEX('R1. Tree Coefficients'!$H:$H,$F397+1)),INDEX('R1. Tree Coefficients'!$D:$D,$F397+1)*($D397^INDEX('R1. Tree Coefficients'!$E:$E,$F397+1))))</f>
        <v/>
      </c>
      <c r="J397" s="14" t="str">
        <f aca="false">IF(OR($D397="",$F397=""),"",IF($E397&gt;0,INDEX('R1. Tree Coefficients'!$F:$F,$F397+2)*($D397^INDEX('R1. Tree Coefficients'!$G:$G,$F397+2))*($E397^INDEX('R1. Tree Coefficients'!$H:$H,$F397+2)),INDEX('R1. Tree Coefficients'!$D:$D,$F397+2)*($D397^INDEX('R1. Tree Coefficients'!$E:$E,$F397+2))))</f>
        <v/>
      </c>
      <c r="K397" s="14" t="str">
        <f aca="false">IF(OR($D397="",$F397=""),"",IF($E397&gt;0,INDEX('R1. Tree Coefficients'!$F:$F,$F397+3)*($D397^INDEX('R1. Tree Coefficients'!$G:$G,$F397+3))*($E397^INDEX('R1. Tree Coefficients'!$H:$H,$F397+3)),INDEX('R1. Tree Coefficients'!$D:$D,$F397+3)*($D397^INDEX('R1. Tree Coefficients'!$E:$E,$F397+3))))</f>
        <v/>
      </c>
      <c r="L397" s="14" t="str">
        <f aca="false">IF($F397="","",IFERROR(SUM($H397:$K397),""))</f>
        <v/>
      </c>
      <c r="M397" s="14" t="str">
        <f aca="false">IF($F397="","",INDEX('R1. Tree Coefficients'!$J:$J,$F397))</f>
        <v/>
      </c>
      <c r="N397" s="14" t="str">
        <f aca="false">IF($L397="","",IF($M397="Deciduous",BGB_RS_DECIDUOUS_a*($L397^BGB_RS_DECIDUOUS_b),IF($M397="Conifers",BGB_RS_CONIFER*$L397,AVERAGE(BGB_RS_DECIDUOUS_a*($L397^BGB_RS_DECIDUOUS_b),BGB_RS_CONIFER*$L397))))</f>
        <v/>
      </c>
      <c r="O397" s="14" t="str">
        <f aca="false">IF($L397="","",$L397+$N397)</f>
        <v/>
      </c>
      <c r="P397" s="14" t="str">
        <f aca="false">IF($O397="","",$O397*CARBON_FRACTION_BIOMASS)</f>
        <v/>
      </c>
      <c r="Q397" s="14" t="str">
        <f aca="false">IF(AND($A397="",$C397=""),"",IF(AND($A397&lt;&gt;"",COUNTIF('1. Plot &amp; Site Log'!$A$5:$A$64,$A397)=0),"Plot ID not in Plot &amp; Site Log — this tree will not reach the summary. ","")&amp;IF($A397="","No Plot ID. ","")&amp;IF(AND($C397&lt;&gt;"",$F397=""),"Species not in the coefficient list — check the spelling against R1. ","")&amp;IF($D397="","No DBH — nothing can be calculated. ","")&amp;IF(AND($D397&lt;&gt;"",$D397&gt;QC_DBH_MAX_CM),"DBH above "&amp;QC_DBH_MAX_CM&amp;" cm — check for a transcription error. ","")&amp;IF($M397="All","Generic species: no published root:shoot applies, so below-ground biomass is the mean of the deciduous and conifer relationships. Choose a species, or Deciduous/Conifers, if you can. ","")&amp;IF(AND($O397&lt;&gt;"",$O397&gt;0,OR($N397/$O397&lt;BGB_FRACTION_MIN,$N397/$O397&gt;BGB_FRACTION_MAX)),"Below-ground share is "&amp;TEXT($N397/$O397,"0%")&amp;", outside the 18–30% the Trees guide describes. ",""))</f>
        <v/>
      </c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4" t="str">
        <f aca="false">IF($C398="","",IFERROR(12+(MATCH($C398,'R1. Tree Coefficients'!$L$12:$L$53,0)-1)*4,""))</f>
        <v/>
      </c>
      <c r="G398" s="14" t="str">
        <f aca="false">IF($F398="","",IF(AND($E398&lt;&gt;"",$E398&gt;0),"DBH + height","DBH only"))</f>
        <v/>
      </c>
      <c r="H398" s="14" t="str">
        <f aca="false">IF(OR($D398="",$F398=""),"",IF($E398&gt;0,INDEX('R1. Tree Coefficients'!$F:$F,$F398+0)*($D398^INDEX('R1. Tree Coefficients'!$G:$G,$F398+0))*($E398^INDEX('R1. Tree Coefficients'!$H:$H,$F398+0)),INDEX('R1. Tree Coefficients'!$D:$D,$F398+0)*($D398^INDEX('R1. Tree Coefficients'!$E:$E,$F398+0))))</f>
        <v/>
      </c>
      <c r="I398" s="14" t="str">
        <f aca="false">IF(OR($D398="",$F398=""),"",IF($E398&gt;0,INDEX('R1. Tree Coefficients'!$F:$F,$F398+1)*($D398^INDEX('R1. Tree Coefficients'!$G:$G,$F398+1))*($E398^INDEX('R1. Tree Coefficients'!$H:$H,$F398+1)),INDEX('R1. Tree Coefficients'!$D:$D,$F398+1)*($D398^INDEX('R1. Tree Coefficients'!$E:$E,$F398+1))))</f>
        <v/>
      </c>
      <c r="J398" s="14" t="str">
        <f aca="false">IF(OR($D398="",$F398=""),"",IF($E398&gt;0,INDEX('R1. Tree Coefficients'!$F:$F,$F398+2)*($D398^INDEX('R1. Tree Coefficients'!$G:$G,$F398+2))*($E398^INDEX('R1. Tree Coefficients'!$H:$H,$F398+2)),INDEX('R1. Tree Coefficients'!$D:$D,$F398+2)*($D398^INDEX('R1. Tree Coefficients'!$E:$E,$F398+2))))</f>
        <v/>
      </c>
      <c r="K398" s="14" t="str">
        <f aca="false">IF(OR($D398="",$F398=""),"",IF($E398&gt;0,INDEX('R1. Tree Coefficients'!$F:$F,$F398+3)*($D398^INDEX('R1. Tree Coefficients'!$G:$G,$F398+3))*($E398^INDEX('R1. Tree Coefficients'!$H:$H,$F398+3)),INDEX('R1. Tree Coefficients'!$D:$D,$F398+3)*($D398^INDEX('R1. Tree Coefficients'!$E:$E,$F398+3))))</f>
        <v/>
      </c>
      <c r="L398" s="14" t="str">
        <f aca="false">IF($F398="","",IFERROR(SUM($H398:$K398),""))</f>
        <v/>
      </c>
      <c r="M398" s="14" t="str">
        <f aca="false">IF($F398="","",INDEX('R1. Tree Coefficients'!$J:$J,$F398))</f>
        <v/>
      </c>
      <c r="N398" s="14" t="str">
        <f aca="false">IF($L398="","",IF($M398="Deciduous",BGB_RS_DECIDUOUS_a*($L398^BGB_RS_DECIDUOUS_b),IF($M398="Conifers",BGB_RS_CONIFER*$L398,AVERAGE(BGB_RS_DECIDUOUS_a*($L398^BGB_RS_DECIDUOUS_b),BGB_RS_CONIFER*$L398))))</f>
        <v/>
      </c>
      <c r="O398" s="14" t="str">
        <f aca="false">IF($L398="","",$L398+$N398)</f>
        <v/>
      </c>
      <c r="P398" s="14" t="str">
        <f aca="false">IF($O398="","",$O398*CARBON_FRACTION_BIOMASS)</f>
        <v/>
      </c>
      <c r="Q398" s="14" t="str">
        <f aca="false">IF(AND($A398="",$C398=""),"",IF(AND($A398&lt;&gt;"",COUNTIF('1. Plot &amp; Site Log'!$A$5:$A$64,$A398)=0),"Plot ID not in Plot &amp; Site Log — this tree will not reach the summary. ","")&amp;IF($A398="","No Plot ID. ","")&amp;IF(AND($C398&lt;&gt;"",$F398=""),"Species not in the coefficient list — check the spelling against R1. ","")&amp;IF($D398="","No DBH — nothing can be calculated. ","")&amp;IF(AND($D398&lt;&gt;"",$D398&gt;QC_DBH_MAX_CM),"DBH above "&amp;QC_DBH_MAX_CM&amp;" cm — check for a transcription error. ","")&amp;IF($M398="All","Generic species: no published root:shoot applies, so below-ground biomass is the mean of the deciduous and conifer relationships. Choose a species, or Deciduous/Conifers, if you can. ","")&amp;IF(AND($O398&lt;&gt;"",$O398&gt;0,OR($N398/$O398&lt;BGB_FRACTION_MIN,$N398/$O398&gt;BGB_FRACTION_MAX)),"Below-ground share is "&amp;TEXT($N398/$O398,"0%")&amp;", outside the 18–30% the Trees guide describes. ",""))</f>
        <v/>
      </c>
    </row>
    <row r="399" customFormat="false" ht="15" hidden="false" customHeight="false" outlineLevel="0" collapsed="false">
      <c r="A399" s="13"/>
      <c r="B399" s="13"/>
      <c r="C399" s="13"/>
      <c r="D399" s="13"/>
      <c r="E399" s="13"/>
      <c r="F399" s="14" t="str">
        <f aca="false">IF($C399="","",IFERROR(12+(MATCH($C399,'R1. Tree Coefficients'!$L$12:$L$53,0)-1)*4,""))</f>
        <v/>
      </c>
      <c r="G399" s="14" t="str">
        <f aca="false">IF($F399="","",IF(AND($E399&lt;&gt;"",$E399&gt;0),"DBH + height","DBH only"))</f>
        <v/>
      </c>
      <c r="H399" s="14" t="str">
        <f aca="false">IF(OR($D399="",$F399=""),"",IF($E399&gt;0,INDEX('R1. Tree Coefficients'!$F:$F,$F399+0)*($D399^INDEX('R1. Tree Coefficients'!$G:$G,$F399+0))*($E399^INDEX('R1. Tree Coefficients'!$H:$H,$F399+0)),INDEX('R1. Tree Coefficients'!$D:$D,$F399+0)*($D399^INDEX('R1. Tree Coefficients'!$E:$E,$F399+0))))</f>
        <v/>
      </c>
      <c r="I399" s="14" t="str">
        <f aca="false">IF(OR($D399="",$F399=""),"",IF($E399&gt;0,INDEX('R1. Tree Coefficients'!$F:$F,$F399+1)*($D399^INDEX('R1. Tree Coefficients'!$G:$G,$F399+1))*($E399^INDEX('R1. Tree Coefficients'!$H:$H,$F399+1)),INDEX('R1. Tree Coefficients'!$D:$D,$F399+1)*($D399^INDEX('R1. Tree Coefficients'!$E:$E,$F399+1))))</f>
        <v/>
      </c>
      <c r="J399" s="14" t="str">
        <f aca="false">IF(OR($D399="",$F399=""),"",IF($E399&gt;0,INDEX('R1. Tree Coefficients'!$F:$F,$F399+2)*($D399^INDEX('R1. Tree Coefficients'!$G:$G,$F399+2))*($E399^INDEX('R1. Tree Coefficients'!$H:$H,$F399+2)),INDEX('R1. Tree Coefficients'!$D:$D,$F399+2)*($D399^INDEX('R1. Tree Coefficients'!$E:$E,$F399+2))))</f>
        <v/>
      </c>
      <c r="K399" s="14" t="str">
        <f aca="false">IF(OR($D399="",$F399=""),"",IF($E399&gt;0,INDEX('R1. Tree Coefficients'!$F:$F,$F399+3)*($D399^INDEX('R1. Tree Coefficients'!$G:$G,$F399+3))*($E399^INDEX('R1. Tree Coefficients'!$H:$H,$F399+3)),INDEX('R1. Tree Coefficients'!$D:$D,$F399+3)*($D399^INDEX('R1. Tree Coefficients'!$E:$E,$F399+3))))</f>
        <v/>
      </c>
      <c r="L399" s="14" t="str">
        <f aca="false">IF($F399="","",IFERROR(SUM($H399:$K399),""))</f>
        <v/>
      </c>
      <c r="M399" s="14" t="str">
        <f aca="false">IF($F399="","",INDEX('R1. Tree Coefficients'!$J:$J,$F399))</f>
        <v/>
      </c>
      <c r="N399" s="14" t="str">
        <f aca="false">IF($L399="","",IF($M399="Deciduous",BGB_RS_DECIDUOUS_a*($L399^BGB_RS_DECIDUOUS_b),IF($M399="Conifers",BGB_RS_CONIFER*$L399,AVERAGE(BGB_RS_DECIDUOUS_a*($L399^BGB_RS_DECIDUOUS_b),BGB_RS_CONIFER*$L399))))</f>
        <v/>
      </c>
      <c r="O399" s="14" t="str">
        <f aca="false">IF($L399="","",$L399+$N399)</f>
        <v/>
      </c>
      <c r="P399" s="14" t="str">
        <f aca="false">IF($O399="","",$O399*CARBON_FRACTION_BIOMASS)</f>
        <v/>
      </c>
      <c r="Q399" s="14" t="str">
        <f aca="false">IF(AND($A399="",$C399=""),"",IF(AND($A399&lt;&gt;"",COUNTIF('1. Plot &amp; Site Log'!$A$5:$A$64,$A399)=0),"Plot ID not in Plot &amp; Site Log — this tree will not reach the summary. ","")&amp;IF($A399="","No Plot ID. ","")&amp;IF(AND($C399&lt;&gt;"",$F399=""),"Species not in the coefficient list — check the spelling against R1. ","")&amp;IF($D399="","No DBH — nothing can be calculated. ","")&amp;IF(AND($D399&lt;&gt;"",$D399&gt;QC_DBH_MAX_CM),"DBH above "&amp;QC_DBH_MAX_CM&amp;" cm — check for a transcription error. ","")&amp;IF($M399="All","Generic species: no published root:shoot applies, so below-ground biomass is the mean of the deciduous and conifer relationships. Choose a species, or Deciduous/Conifers, if you can. ","")&amp;IF(AND($O399&lt;&gt;"",$O399&gt;0,OR($N399/$O399&lt;BGB_FRACTION_MIN,$N399/$O399&gt;BGB_FRACTION_MAX)),"Below-ground share is "&amp;TEXT($N399/$O399,"0%")&amp;", outside the 18–30% the Trees guide describes. ",""))</f>
        <v/>
      </c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4" t="str">
        <f aca="false">IF($C400="","",IFERROR(12+(MATCH($C400,'R1. Tree Coefficients'!$L$12:$L$53,0)-1)*4,""))</f>
        <v/>
      </c>
      <c r="G400" s="14" t="str">
        <f aca="false">IF($F400="","",IF(AND($E400&lt;&gt;"",$E400&gt;0),"DBH + height","DBH only"))</f>
        <v/>
      </c>
      <c r="H400" s="14" t="str">
        <f aca="false">IF(OR($D400="",$F400=""),"",IF($E400&gt;0,INDEX('R1. Tree Coefficients'!$F:$F,$F400+0)*($D400^INDEX('R1. Tree Coefficients'!$G:$G,$F400+0))*($E400^INDEX('R1. Tree Coefficients'!$H:$H,$F400+0)),INDEX('R1. Tree Coefficients'!$D:$D,$F400+0)*($D400^INDEX('R1. Tree Coefficients'!$E:$E,$F400+0))))</f>
        <v/>
      </c>
      <c r="I400" s="14" t="str">
        <f aca="false">IF(OR($D400="",$F400=""),"",IF($E400&gt;0,INDEX('R1. Tree Coefficients'!$F:$F,$F400+1)*($D400^INDEX('R1. Tree Coefficients'!$G:$G,$F400+1))*($E400^INDEX('R1. Tree Coefficients'!$H:$H,$F400+1)),INDEX('R1. Tree Coefficients'!$D:$D,$F400+1)*($D400^INDEX('R1. Tree Coefficients'!$E:$E,$F400+1))))</f>
        <v/>
      </c>
      <c r="J400" s="14" t="str">
        <f aca="false">IF(OR($D400="",$F400=""),"",IF($E400&gt;0,INDEX('R1. Tree Coefficients'!$F:$F,$F400+2)*($D400^INDEX('R1. Tree Coefficients'!$G:$G,$F400+2))*($E400^INDEX('R1. Tree Coefficients'!$H:$H,$F400+2)),INDEX('R1. Tree Coefficients'!$D:$D,$F400+2)*($D400^INDEX('R1. Tree Coefficients'!$E:$E,$F400+2))))</f>
        <v/>
      </c>
      <c r="K400" s="14" t="str">
        <f aca="false">IF(OR($D400="",$F400=""),"",IF($E400&gt;0,INDEX('R1. Tree Coefficients'!$F:$F,$F400+3)*($D400^INDEX('R1. Tree Coefficients'!$G:$G,$F400+3))*($E400^INDEX('R1. Tree Coefficients'!$H:$H,$F400+3)),INDEX('R1. Tree Coefficients'!$D:$D,$F400+3)*($D400^INDEX('R1. Tree Coefficients'!$E:$E,$F400+3))))</f>
        <v/>
      </c>
      <c r="L400" s="14" t="str">
        <f aca="false">IF($F400="","",IFERROR(SUM($H400:$K400),""))</f>
        <v/>
      </c>
      <c r="M400" s="14" t="str">
        <f aca="false">IF($F400="","",INDEX('R1. Tree Coefficients'!$J:$J,$F400))</f>
        <v/>
      </c>
      <c r="N400" s="14" t="str">
        <f aca="false">IF($L400="","",IF($M400="Deciduous",BGB_RS_DECIDUOUS_a*($L400^BGB_RS_DECIDUOUS_b),IF($M400="Conifers",BGB_RS_CONIFER*$L400,AVERAGE(BGB_RS_DECIDUOUS_a*($L400^BGB_RS_DECIDUOUS_b),BGB_RS_CONIFER*$L400))))</f>
        <v/>
      </c>
      <c r="O400" s="14" t="str">
        <f aca="false">IF($L400="","",$L400+$N400)</f>
        <v/>
      </c>
      <c r="P400" s="14" t="str">
        <f aca="false">IF($O400="","",$O400*CARBON_FRACTION_BIOMASS)</f>
        <v/>
      </c>
      <c r="Q400" s="14" t="str">
        <f aca="false">IF(AND($A400="",$C400=""),"",IF(AND($A400&lt;&gt;"",COUNTIF('1. Plot &amp; Site Log'!$A$5:$A$64,$A400)=0),"Plot ID not in Plot &amp; Site Log — this tree will not reach the summary. ","")&amp;IF($A400="","No Plot ID. ","")&amp;IF(AND($C400&lt;&gt;"",$F400=""),"Species not in the coefficient list — check the spelling against R1. ","")&amp;IF($D400="","No DBH — nothing can be calculated. ","")&amp;IF(AND($D400&lt;&gt;"",$D400&gt;QC_DBH_MAX_CM),"DBH above "&amp;QC_DBH_MAX_CM&amp;" cm — check for a transcription error. ","")&amp;IF($M400="All","Generic species: no published root:shoot applies, so below-ground biomass is the mean of the deciduous and conifer relationships. Choose a species, or Deciduous/Conifers, if you can. ","")&amp;IF(AND($O400&lt;&gt;"",$O400&gt;0,OR($N400/$O400&lt;BGB_FRACTION_MIN,$N400/$O400&gt;BGB_FRACTION_MAX)),"Below-ground share is "&amp;TEXT($N400/$O400,"0%")&amp;", outside the 18–30% the Trees guide describes. ",""))</f>
        <v/>
      </c>
    </row>
    <row r="401" customFormat="false" ht="15" hidden="false" customHeight="false" outlineLevel="0" collapsed="false">
      <c r="A401" s="13"/>
      <c r="B401" s="13"/>
      <c r="C401" s="13"/>
      <c r="D401" s="13"/>
      <c r="E401" s="13"/>
      <c r="F401" s="14" t="str">
        <f aca="false">IF($C401="","",IFERROR(12+(MATCH($C401,'R1. Tree Coefficients'!$L$12:$L$53,0)-1)*4,""))</f>
        <v/>
      </c>
      <c r="G401" s="14" t="str">
        <f aca="false">IF($F401="","",IF(AND($E401&lt;&gt;"",$E401&gt;0),"DBH + height","DBH only"))</f>
        <v/>
      </c>
      <c r="H401" s="14" t="str">
        <f aca="false">IF(OR($D401="",$F401=""),"",IF($E401&gt;0,INDEX('R1. Tree Coefficients'!$F:$F,$F401+0)*($D401^INDEX('R1. Tree Coefficients'!$G:$G,$F401+0))*($E401^INDEX('R1. Tree Coefficients'!$H:$H,$F401+0)),INDEX('R1. Tree Coefficients'!$D:$D,$F401+0)*($D401^INDEX('R1. Tree Coefficients'!$E:$E,$F401+0))))</f>
        <v/>
      </c>
      <c r="I401" s="14" t="str">
        <f aca="false">IF(OR($D401="",$F401=""),"",IF($E401&gt;0,INDEX('R1. Tree Coefficients'!$F:$F,$F401+1)*($D401^INDEX('R1. Tree Coefficients'!$G:$G,$F401+1))*($E401^INDEX('R1. Tree Coefficients'!$H:$H,$F401+1)),INDEX('R1. Tree Coefficients'!$D:$D,$F401+1)*($D401^INDEX('R1. Tree Coefficients'!$E:$E,$F401+1))))</f>
        <v/>
      </c>
      <c r="J401" s="14" t="str">
        <f aca="false">IF(OR($D401="",$F401=""),"",IF($E401&gt;0,INDEX('R1. Tree Coefficients'!$F:$F,$F401+2)*($D401^INDEX('R1. Tree Coefficients'!$G:$G,$F401+2))*($E401^INDEX('R1. Tree Coefficients'!$H:$H,$F401+2)),INDEX('R1. Tree Coefficients'!$D:$D,$F401+2)*($D401^INDEX('R1. Tree Coefficients'!$E:$E,$F401+2))))</f>
        <v/>
      </c>
      <c r="K401" s="14" t="str">
        <f aca="false">IF(OR($D401="",$F401=""),"",IF($E401&gt;0,INDEX('R1. Tree Coefficients'!$F:$F,$F401+3)*($D401^INDEX('R1. Tree Coefficients'!$G:$G,$F401+3))*($E401^INDEX('R1. Tree Coefficients'!$H:$H,$F401+3)),INDEX('R1. Tree Coefficients'!$D:$D,$F401+3)*($D401^INDEX('R1. Tree Coefficients'!$E:$E,$F401+3))))</f>
        <v/>
      </c>
      <c r="L401" s="14" t="str">
        <f aca="false">IF($F401="","",IFERROR(SUM($H401:$K401),""))</f>
        <v/>
      </c>
      <c r="M401" s="14" t="str">
        <f aca="false">IF($F401="","",INDEX('R1. Tree Coefficients'!$J:$J,$F401))</f>
        <v/>
      </c>
      <c r="N401" s="14" t="str">
        <f aca="false">IF($L401="","",IF($M401="Deciduous",BGB_RS_DECIDUOUS_a*($L401^BGB_RS_DECIDUOUS_b),IF($M401="Conifers",BGB_RS_CONIFER*$L401,AVERAGE(BGB_RS_DECIDUOUS_a*($L401^BGB_RS_DECIDUOUS_b),BGB_RS_CONIFER*$L401))))</f>
        <v/>
      </c>
      <c r="O401" s="14" t="str">
        <f aca="false">IF($L401="","",$L401+$N401)</f>
        <v/>
      </c>
      <c r="P401" s="14" t="str">
        <f aca="false">IF($O401="","",$O401*CARBON_FRACTION_BIOMASS)</f>
        <v/>
      </c>
      <c r="Q401" s="14" t="str">
        <f aca="false">IF(AND($A401="",$C401=""),"",IF(AND($A401&lt;&gt;"",COUNTIF('1. Plot &amp; Site Log'!$A$5:$A$64,$A401)=0),"Plot ID not in Plot &amp; Site Log — this tree will not reach the summary. ","")&amp;IF($A401="","No Plot ID. ","")&amp;IF(AND($C401&lt;&gt;"",$F401=""),"Species not in the coefficient list — check the spelling against R1. ","")&amp;IF($D401="","No DBH — nothing can be calculated. ","")&amp;IF(AND($D401&lt;&gt;"",$D401&gt;QC_DBH_MAX_CM),"DBH above "&amp;QC_DBH_MAX_CM&amp;" cm — check for a transcription error. ","")&amp;IF($M401="All","Generic species: no published root:shoot applies, so below-ground biomass is the mean of the deciduous and conifer relationships. Choose a species, or Deciduous/Conifers, if you can. ","")&amp;IF(AND($O401&lt;&gt;"",$O401&gt;0,OR($N401/$O401&lt;BGB_FRACTION_MIN,$N401/$O401&gt;BGB_FRACTION_MAX)),"Below-ground share is "&amp;TEXT($N401/$O401,"0%")&amp;", outside the 18–30% the Trees guide describes. ",""))</f>
        <v/>
      </c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4" t="str">
        <f aca="false">IF($C402="","",IFERROR(12+(MATCH($C402,'R1. Tree Coefficients'!$L$12:$L$53,0)-1)*4,""))</f>
        <v/>
      </c>
      <c r="G402" s="14" t="str">
        <f aca="false">IF($F402="","",IF(AND($E402&lt;&gt;"",$E402&gt;0),"DBH + height","DBH only"))</f>
        <v/>
      </c>
      <c r="H402" s="14" t="str">
        <f aca="false">IF(OR($D402="",$F402=""),"",IF($E402&gt;0,INDEX('R1. Tree Coefficients'!$F:$F,$F402+0)*($D402^INDEX('R1. Tree Coefficients'!$G:$G,$F402+0))*($E402^INDEX('R1. Tree Coefficients'!$H:$H,$F402+0)),INDEX('R1. Tree Coefficients'!$D:$D,$F402+0)*($D402^INDEX('R1. Tree Coefficients'!$E:$E,$F402+0))))</f>
        <v/>
      </c>
      <c r="I402" s="14" t="str">
        <f aca="false">IF(OR($D402="",$F402=""),"",IF($E402&gt;0,INDEX('R1. Tree Coefficients'!$F:$F,$F402+1)*($D402^INDEX('R1. Tree Coefficients'!$G:$G,$F402+1))*($E402^INDEX('R1. Tree Coefficients'!$H:$H,$F402+1)),INDEX('R1. Tree Coefficients'!$D:$D,$F402+1)*($D402^INDEX('R1. Tree Coefficients'!$E:$E,$F402+1))))</f>
        <v/>
      </c>
      <c r="J402" s="14" t="str">
        <f aca="false">IF(OR($D402="",$F402=""),"",IF($E402&gt;0,INDEX('R1. Tree Coefficients'!$F:$F,$F402+2)*($D402^INDEX('R1. Tree Coefficients'!$G:$G,$F402+2))*($E402^INDEX('R1. Tree Coefficients'!$H:$H,$F402+2)),INDEX('R1. Tree Coefficients'!$D:$D,$F402+2)*($D402^INDEX('R1. Tree Coefficients'!$E:$E,$F402+2))))</f>
        <v/>
      </c>
      <c r="K402" s="14" t="str">
        <f aca="false">IF(OR($D402="",$F402=""),"",IF($E402&gt;0,INDEX('R1. Tree Coefficients'!$F:$F,$F402+3)*($D402^INDEX('R1. Tree Coefficients'!$G:$G,$F402+3))*($E402^INDEX('R1. Tree Coefficients'!$H:$H,$F402+3)),INDEX('R1. Tree Coefficients'!$D:$D,$F402+3)*($D402^INDEX('R1. Tree Coefficients'!$E:$E,$F402+3))))</f>
        <v/>
      </c>
      <c r="L402" s="14" t="str">
        <f aca="false">IF($F402="","",IFERROR(SUM($H402:$K402),""))</f>
        <v/>
      </c>
      <c r="M402" s="14" t="str">
        <f aca="false">IF($F402="","",INDEX('R1. Tree Coefficients'!$J:$J,$F402))</f>
        <v/>
      </c>
      <c r="N402" s="14" t="str">
        <f aca="false">IF($L402="","",IF($M402="Deciduous",BGB_RS_DECIDUOUS_a*($L402^BGB_RS_DECIDUOUS_b),IF($M402="Conifers",BGB_RS_CONIFER*$L402,AVERAGE(BGB_RS_DECIDUOUS_a*($L402^BGB_RS_DECIDUOUS_b),BGB_RS_CONIFER*$L402))))</f>
        <v/>
      </c>
      <c r="O402" s="14" t="str">
        <f aca="false">IF($L402="","",$L402+$N402)</f>
        <v/>
      </c>
      <c r="P402" s="14" t="str">
        <f aca="false">IF($O402="","",$O402*CARBON_FRACTION_BIOMASS)</f>
        <v/>
      </c>
      <c r="Q402" s="14" t="str">
        <f aca="false">IF(AND($A402="",$C402=""),"",IF(AND($A402&lt;&gt;"",COUNTIF('1. Plot &amp; Site Log'!$A$5:$A$64,$A402)=0),"Plot ID not in Plot &amp; Site Log — this tree will not reach the summary. ","")&amp;IF($A402="","No Plot ID. ","")&amp;IF(AND($C402&lt;&gt;"",$F402=""),"Species not in the coefficient list — check the spelling against R1. ","")&amp;IF($D402="","No DBH — nothing can be calculated. ","")&amp;IF(AND($D402&lt;&gt;"",$D402&gt;QC_DBH_MAX_CM),"DBH above "&amp;QC_DBH_MAX_CM&amp;" cm — check for a transcription error. ","")&amp;IF($M402="All","Generic species: no published root:shoot applies, so below-ground biomass is the mean of the deciduous and conifer relationships. Choose a species, or Deciduous/Conifers, if you can. ","")&amp;IF(AND($O402&lt;&gt;"",$O402&gt;0,OR($N402/$O402&lt;BGB_FRACTION_MIN,$N402/$O402&gt;BGB_FRACTION_MAX)),"Below-ground share is "&amp;TEXT($N402/$O402,"0%")&amp;", outside the 18–30% the Trees guide describes. ",""))</f>
        <v/>
      </c>
    </row>
    <row r="403" customFormat="false" ht="15" hidden="false" customHeight="false" outlineLevel="0" collapsed="false">
      <c r="A403" s="13"/>
      <c r="B403" s="13"/>
      <c r="C403" s="13"/>
      <c r="D403" s="13"/>
      <c r="E403" s="13"/>
      <c r="F403" s="14" t="str">
        <f aca="false">IF($C403="","",IFERROR(12+(MATCH($C403,'R1. Tree Coefficients'!$L$12:$L$53,0)-1)*4,""))</f>
        <v/>
      </c>
      <c r="G403" s="14" t="str">
        <f aca="false">IF($F403="","",IF(AND($E403&lt;&gt;"",$E403&gt;0),"DBH + height","DBH only"))</f>
        <v/>
      </c>
      <c r="H403" s="14" t="str">
        <f aca="false">IF(OR($D403="",$F403=""),"",IF($E403&gt;0,INDEX('R1. Tree Coefficients'!$F:$F,$F403+0)*($D403^INDEX('R1. Tree Coefficients'!$G:$G,$F403+0))*($E403^INDEX('R1. Tree Coefficients'!$H:$H,$F403+0)),INDEX('R1. Tree Coefficients'!$D:$D,$F403+0)*($D403^INDEX('R1. Tree Coefficients'!$E:$E,$F403+0))))</f>
        <v/>
      </c>
      <c r="I403" s="14" t="str">
        <f aca="false">IF(OR($D403="",$F403=""),"",IF($E403&gt;0,INDEX('R1. Tree Coefficients'!$F:$F,$F403+1)*($D403^INDEX('R1. Tree Coefficients'!$G:$G,$F403+1))*($E403^INDEX('R1. Tree Coefficients'!$H:$H,$F403+1)),INDEX('R1. Tree Coefficients'!$D:$D,$F403+1)*($D403^INDEX('R1. Tree Coefficients'!$E:$E,$F403+1))))</f>
        <v/>
      </c>
      <c r="J403" s="14" t="str">
        <f aca="false">IF(OR($D403="",$F403=""),"",IF($E403&gt;0,INDEX('R1. Tree Coefficients'!$F:$F,$F403+2)*($D403^INDEX('R1. Tree Coefficients'!$G:$G,$F403+2))*($E403^INDEX('R1. Tree Coefficients'!$H:$H,$F403+2)),INDEX('R1. Tree Coefficients'!$D:$D,$F403+2)*($D403^INDEX('R1. Tree Coefficients'!$E:$E,$F403+2))))</f>
        <v/>
      </c>
      <c r="K403" s="14" t="str">
        <f aca="false">IF(OR($D403="",$F403=""),"",IF($E403&gt;0,INDEX('R1. Tree Coefficients'!$F:$F,$F403+3)*($D403^INDEX('R1. Tree Coefficients'!$G:$G,$F403+3))*($E403^INDEX('R1. Tree Coefficients'!$H:$H,$F403+3)),INDEX('R1. Tree Coefficients'!$D:$D,$F403+3)*($D403^INDEX('R1. Tree Coefficients'!$E:$E,$F403+3))))</f>
        <v/>
      </c>
      <c r="L403" s="14" t="str">
        <f aca="false">IF($F403="","",IFERROR(SUM($H403:$K403),""))</f>
        <v/>
      </c>
      <c r="M403" s="14" t="str">
        <f aca="false">IF($F403="","",INDEX('R1. Tree Coefficients'!$J:$J,$F403))</f>
        <v/>
      </c>
      <c r="N403" s="14" t="str">
        <f aca="false">IF($L403="","",IF($M403="Deciduous",BGB_RS_DECIDUOUS_a*($L403^BGB_RS_DECIDUOUS_b),IF($M403="Conifers",BGB_RS_CONIFER*$L403,AVERAGE(BGB_RS_DECIDUOUS_a*($L403^BGB_RS_DECIDUOUS_b),BGB_RS_CONIFER*$L403))))</f>
        <v/>
      </c>
      <c r="O403" s="14" t="str">
        <f aca="false">IF($L403="","",$L403+$N403)</f>
        <v/>
      </c>
      <c r="P403" s="14" t="str">
        <f aca="false">IF($O403="","",$O403*CARBON_FRACTION_BIOMASS)</f>
        <v/>
      </c>
      <c r="Q403" s="14" t="str">
        <f aca="false">IF(AND($A403="",$C403=""),"",IF(AND($A403&lt;&gt;"",COUNTIF('1. Plot &amp; Site Log'!$A$5:$A$64,$A403)=0),"Plot ID not in Plot &amp; Site Log — this tree will not reach the summary. ","")&amp;IF($A403="","No Plot ID. ","")&amp;IF(AND($C403&lt;&gt;"",$F403=""),"Species not in the coefficient list — check the spelling against R1. ","")&amp;IF($D403="","No DBH — nothing can be calculated. ","")&amp;IF(AND($D403&lt;&gt;"",$D403&gt;QC_DBH_MAX_CM),"DBH above "&amp;QC_DBH_MAX_CM&amp;" cm — check for a transcription error. ","")&amp;IF($M403="All","Generic species: no published root:shoot applies, so below-ground biomass is the mean of the deciduous and conifer relationships. Choose a species, or Deciduous/Conifers, if you can. ","")&amp;IF(AND($O403&lt;&gt;"",$O403&gt;0,OR($N403/$O403&lt;BGB_FRACTION_MIN,$N403/$O403&gt;BGB_FRACTION_MAX)),"Below-ground share is "&amp;TEXT($N403/$O403,"0%")&amp;", outside the 18–30% the Trees guide describes. ",""))</f>
        <v/>
      </c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4" t="str">
        <f aca="false">IF($C404="","",IFERROR(12+(MATCH($C404,'R1. Tree Coefficients'!$L$12:$L$53,0)-1)*4,""))</f>
        <v/>
      </c>
      <c r="G404" s="14" t="str">
        <f aca="false">IF($F404="","",IF(AND($E404&lt;&gt;"",$E404&gt;0),"DBH + height","DBH only"))</f>
        <v/>
      </c>
      <c r="H404" s="14" t="str">
        <f aca="false">IF(OR($D404="",$F404=""),"",IF($E404&gt;0,INDEX('R1. Tree Coefficients'!$F:$F,$F404+0)*($D404^INDEX('R1. Tree Coefficients'!$G:$G,$F404+0))*($E404^INDEX('R1. Tree Coefficients'!$H:$H,$F404+0)),INDEX('R1. Tree Coefficients'!$D:$D,$F404+0)*($D404^INDEX('R1. Tree Coefficients'!$E:$E,$F404+0))))</f>
        <v/>
      </c>
      <c r="I404" s="14" t="str">
        <f aca="false">IF(OR($D404="",$F404=""),"",IF($E404&gt;0,INDEX('R1. Tree Coefficients'!$F:$F,$F404+1)*($D404^INDEX('R1. Tree Coefficients'!$G:$G,$F404+1))*($E404^INDEX('R1. Tree Coefficients'!$H:$H,$F404+1)),INDEX('R1. Tree Coefficients'!$D:$D,$F404+1)*($D404^INDEX('R1. Tree Coefficients'!$E:$E,$F404+1))))</f>
        <v/>
      </c>
      <c r="J404" s="14" t="str">
        <f aca="false">IF(OR($D404="",$F404=""),"",IF($E404&gt;0,INDEX('R1. Tree Coefficients'!$F:$F,$F404+2)*($D404^INDEX('R1. Tree Coefficients'!$G:$G,$F404+2))*($E404^INDEX('R1. Tree Coefficients'!$H:$H,$F404+2)),INDEX('R1. Tree Coefficients'!$D:$D,$F404+2)*($D404^INDEX('R1. Tree Coefficients'!$E:$E,$F404+2))))</f>
        <v/>
      </c>
      <c r="K404" s="14" t="str">
        <f aca="false">IF(OR($D404="",$F404=""),"",IF($E404&gt;0,INDEX('R1. Tree Coefficients'!$F:$F,$F404+3)*($D404^INDEX('R1. Tree Coefficients'!$G:$G,$F404+3))*($E404^INDEX('R1. Tree Coefficients'!$H:$H,$F404+3)),INDEX('R1. Tree Coefficients'!$D:$D,$F404+3)*($D404^INDEX('R1. Tree Coefficients'!$E:$E,$F404+3))))</f>
        <v/>
      </c>
      <c r="L404" s="14" t="str">
        <f aca="false">IF($F404="","",IFERROR(SUM($H404:$K404),""))</f>
        <v/>
      </c>
      <c r="M404" s="14" t="str">
        <f aca="false">IF($F404="","",INDEX('R1. Tree Coefficients'!$J:$J,$F404))</f>
        <v/>
      </c>
      <c r="N404" s="14" t="str">
        <f aca="false">IF($L404="","",IF($M404="Deciduous",BGB_RS_DECIDUOUS_a*($L404^BGB_RS_DECIDUOUS_b),IF($M404="Conifers",BGB_RS_CONIFER*$L404,AVERAGE(BGB_RS_DECIDUOUS_a*($L404^BGB_RS_DECIDUOUS_b),BGB_RS_CONIFER*$L404))))</f>
        <v/>
      </c>
      <c r="O404" s="14" t="str">
        <f aca="false">IF($L404="","",$L404+$N404)</f>
        <v/>
      </c>
      <c r="P404" s="14" t="str">
        <f aca="false">IF($O404="","",$O404*CARBON_FRACTION_BIOMASS)</f>
        <v/>
      </c>
      <c r="Q404" s="14" t="str">
        <f aca="false">IF(AND($A404="",$C404=""),"",IF(AND($A404&lt;&gt;"",COUNTIF('1. Plot &amp; Site Log'!$A$5:$A$64,$A404)=0),"Plot ID not in Plot &amp; Site Log — this tree will not reach the summary. ","")&amp;IF($A404="","No Plot ID. ","")&amp;IF(AND($C404&lt;&gt;"",$F404=""),"Species not in the coefficient list — check the spelling against R1. ","")&amp;IF($D404="","No DBH — nothing can be calculated. ","")&amp;IF(AND($D404&lt;&gt;"",$D404&gt;QC_DBH_MAX_CM),"DBH above "&amp;QC_DBH_MAX_CM&amp;" cm — check for a transcription error. ","")&amp;IF($M404="All","Generic species: no published root:shoot applies, so below-ground biomass is the mean of the deciduous and conifer relationships. Choose a species, or Deciduous/Conifers, if you can. ","")&amp;IF(AND($O404&lt;&gt;"",$O404&gt;0,OR($N404/$O404&lt;BGB_FRACTION_MIN,$N404/$O404&gt;BGB_FRACTION_MAX)),"Below-ground share is "&amp;TEXT($N404/$O404,"0%")&amp;", outside the 18–30% the Trees guide describes. ",""))</f>
        <v/>
      </c>
    </row>
  </sheetData>
  <mergeCells count="1">
    <mergeCell ref="A2:Q2"/>
  </mergeCells>
  <dataValidations count="2">
    <dataValidation allowBlank="true" errorStyle="stop" operator="between" showDropDown="false" showErrorMessage="false" showInputMessage="false" sqref="C5:C404" type="list">
      <formula1>'R1. Tree Coefficients'!$L$12:$L$53</formula1>
      <formula2>0</formula2>
    </dataValidation>
    <dataValidation allowBlank="true" errorStyle="stop" operator="between" showDropDown="false" showErrorMessage="false" showInputMessage="false" sqref="A5:A404" type="list">
      <formula1>'1. Plot &amp; Site Log'!$A$5:$A$64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1"/>
    <col collapsed="false" customWidth="true" hidden="false" outlineLevel="0" max="15" min="14" style="0" width="12"/>
    <col collapsed="false" customWidth="true" hidden="false" outlineLevel="0" max="16" min="16" style="0" width="46"/>
  </cols>
  <sheetData>
    <row r="1" customFormat="false" ht="17.35" hidden="false" customHeight="false" outlineLevel="0" collapsed="false">
      <c r="A1" s="10" t="s">
        <v>141</v>
      </c>
    </row>
    <row r="2" customFormat="false" ht="30" hidden="false" customHeight="true" outlineLevel="0" collapsed="false">
      <c r="A2" s="11" t="s">
        <v>142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customFormat="false" ht="42" hidden="false" customHeight="true" outlineLevel="0" collapsed="false">
      <c r="A4" s="12" t="s">
        <v>55</v>
      </c>
      <c r="B4" s="12" t="s">
        <v>143</v>
      </c>
      <c r="C4" s="12" t="s">
        <v>144</v>
      </c>
      <c r="D4" s="12" t="s">
        <v>145</v>
      </c>
      <c r="E4" s="12" t="s">
        <v>146</v>
      </c>
      <c r="F4" s="12" t="s">
        <v>147</v>
      </c>
      <c r="G4" s="12" t="s">
        <v>148</v>
      </c>
      <c r="H4" s="12" t="s">
        <v>149</v>
      </c>
      <c r="I4" s="12" t="s">
        <v>122</v>
      </c>
      <c r="J4" s="12" t="s">
        <v>150</v>
      </c>
      <c r="K4" s="12" t="s">
        <v>151</v>
      </c>
      <c r="L4" s="12" t="s">
        <v>152</v>
      </c>
      <c r="M4" s="12" t="s">
        <v>153</v>
      </c>
      <c r="N4" s="12" t="s">
        <v>154</v>
      </c>
      <c r="O4" s="12" t="s">
        <v>133</v>
      </c>
      <c r="P4" s="12" t="s">
        <v>107</v>
      </c>
    </row>
    <row r="5" customFormat="false" ht="15" hidden="false" customHeight="false" outlineLevel="0" collapsed="false">
      <c r="A5" s="13" t="s">
        <v>74</v>
      </c>
      <c r="B5" s="13" t="s">
        <v>155</v>
      </c>
      <c r="C5" s="13" t="s">
        <v>156</v>
      </c>
      <c r="D5" s="13" t="s">
        <v>157</v>
      </c>
      <c r="E5" s="13" t="s">
        <v>158</v>
      </c>
      <c r="F5" s="13"/>
      <c r="G5" s="13" t="n">
        <v>1.73</v>
      </c>
      <c r="H5" s="13" t="n">
        <v>1.7</v>
      </c>
      <c r="I5" s="13" t="n">
        <v>1.17</v>
      </c>
      <c r="J5" s="15"/>
      <c r="K5" s="14" t="n">
        <f aca="false">IF($C5="Small","",IF($D5="tree",IF($F5="","",$F5),IF(OR($G5="",$H5="",$I5=""),"",$G5*$H5*$I5)))</f>
        <v>3.44097</v>
      </c>
      <c r="L5" s="14" t="n">
        <f aca="false">IF($C5="Small","",IFERROR(INDEX('R2. Understory Coefficients'!$E$8:$E$14,MATCH($E5,'R2. Understory Coefficients'!$I$8:$I$14,0)),""))</f>
        <v>232.212</v>
      </c>
      <c r="M5" s="14" t="n">
        <f aca="false">IF($C5="Small","",IFERROR(INDEX('R2. Understory Coefficients'!$F$8:$F$14,MATCH($E5,'R2. Understory Coefficients'!$I$8:$I$14,0)),""))</f>
        <v>0.629</v>
      </c>
      <c r="N5" s="14" t="n">
        <f aca="false">IF($C5="Small",IF($J5="","",$J5/1000),IF(OR($K5="",$L5="",$M5=""),"",($L5*($K5^$M5))/1000))</f>
        <v>0.505192548815011</v>
      </c>
      <c r="O5" s="14" t="n">
        <f aca="false">IF($N5="","",$N5*CARBON_FRACTION_BIOMASS)</f>
        <v>0.252596274407505</v>
      </c>
      <c r="P5" s="14" t="str">
        <f aca="false">IF(AND($A5="",$E5="",$J5=""),"",IF(AND($A5&lt;&gt;"",COUNTIF('1. Plot &amp; Site Log'!$A$5:$A$64,$A5)=0),"Plot ID not in Plot &amp; Site Log. ","")&amp;IF($C5="","No plot type — say whether this came from a Medium or a Small plot. ","")&amp;IF(AND($C5="Medium",$D5="tree",$F5=""),"Short-statured tree with no diameter at 0.3 m. ","")&amp;IF(AND($C5="Medium",$D5="shrub",OR($G5="",$H5="",$I5="")),"Shrub needs all three of length, width and height. ","")&amp;IF(AND($C5="Medium",$D5="shrub",$F5&lt;&gt;""),"Diameter entered for a shrub — it is ignored. Crown volume is used instead. ","")&amp;IF(AND($C5="Medium",$E5&lt;&gt;"",$L5=""),"Species not in the coefficient list — use 'all shrubs' if you have no closer match. ","")&amp;IF(AND($C5="Small",$J5=""),"Small-plot row with no clipped dry mass yet. ","")&amp;IF($N5&lt;&gt;"","Above-ground only: no root biomass is included for understory. ",""))</f>
        <v>Above-ground only: no root biomass is included for understory. </v>
      </c>
    </row>
    <row r="6" customFormat="false" ht="15" hidden="false" customHeight="false" outlineLevel="0" collapsed="false">
      <c r="A6" s="13" t="s">
        <v>74</v>
      </c>
      <c r="B6" s="13" t="s">
        <v>159</v>
      </c>
      <c r="C6" s="13" t="s">
        <v>156</v>
      </c>
      <c r="D6" s="13" t="s">
        <v>157</v>
      </c>
      <c r="E6" s="13" t="s">
        <v>160</v>
      </c>
      <c r="F6" s="13"/>
      <c r="G6" s="13" t="n">
        <v>0.92</v>
      </c>
      <c r="H6" s="13" t="n">
        <v>0.81</v>
      </c>
      <c r="I6" s="13" t="n">
        <v>1.77</v>
      </c>
      <c r="J6" s="15"/>
      <c r="K6" s="14" t="n">
        <f aca="false">IF($C6="Small","",IF($D6="tree",IF($F6="","",$F6),IF(OR($G6="",$H6="",$I6=""),"",$G6*$H6*$I6)))</f>
        <v>1.319004</v>
      </c>
      <c r="L6" s="14" t="n">
        <f aca="false">IF($C6="Small","",IFERROR(INDEX('R2. Understory Coefficients'!$E$8:$E$14,MATCH($E6,'R2. Understory Coefficients'!$I$8:$I$14,0)),""))</f>
        <v>185.065</v>
      </c>
      <c r="M6" s="14" t="n">
        <f aca="false">IF($C6="Small","",IFERROR(INDEX('R2. Understory Coefficients'!$F$8:$F$14,MATCH($E6,'R2. Understory Coefficients'!$I$8:$I$14,0)),""))</f>
        <v>0.976</v>
      </c>
      <c r="N6" s="14" t="n">
        <f aca="false">IF($C6="Small",IF($J6="","",$J6/1000),IF(OR($K6="",$L6="",$M6=""),"",($L6*($K6^$M6))/1000))</f>
        <v>0.242484787220728</v>
      </c>
      <c r="O6" s="14" t="n">
        <f aca="false">IF($N6="","",$N6*CARBON_FRACTION_BIOMASS)</f>
        <v>0.121242393610364</v>
      </c>
      <c r="P6" s="14" t="str">
        <f aca="false">IF(AND($A6="",$E6="",$J6=""),"",IF(AND($A6&lt;&gt;"",COUNTIF('1. Plot &amp; Site Log'!$A$5:$A$64,$A6)=0),"Plot ID not in Plot &amp; Site Log. ","")&amp;IF($C6="","No plot type — say whether this came from a Medium or a Small plot. ","")&amp;IF(AND($C6="Medium",$D6="tree",$F6=""),"Short-statured tree with no diameter at 0.3 m. ","")&amp;IF(AND($C6="Medium",$D6="shrub",OR($G6="",$H6="",$I6="")),"Shrub needs all three of length, width and height. ","")&amp;IF(AND($C6="Medium",$D6="shrub",$F6&lt;&gt;""),"Diameter entered for a shrub — it is ignored. Crown volume is used instead. ","")&amp;IF(AND($C6="Medium",$E6&lt;&gt;"",$L6=""),"Species not in the coefficient list — use 'all shrubs' if you have no closer match. ","")&amp;IF(AND($C6="Small",$J6=""),"Small-plot row with no clipped dry mass yet. ","")&amp;IF($N6&lt;&gt;"","Above-ground only: no root biomass is included for understory. ",""))</f>
        <v>Above-ground only: no root biomass is included for understory. </v>
      </c>
    </row>
    <row r="7" customFormat="false" ht="15" hidden="false" customHeight="false" outlineLevel="0" collapsed="false">
      <c r="A7" s="13" t="s">
        <v>74</v>
      </c>
      <c r="B7" s="13" t="s">
        <v>161</v>
      </c>
      <c r="C7" s="13" t="s">
        <v>156</v>
      </c>
      <c r="D7" s="13" t="s">
        <v>157</v>
      </c>
      <c r="E7" s="13" t="s">
        <v>160</v>
      </c>
      <c r="F7" s="13"/>
      <c r="G7" s="13" t="n">
        <v>1.9</v>
      </c>
      <c r="H7" s="13" t="n">
        <v>1.3</v>
      </c>
      <c r="I7" s="13" t="n">
        <v>1.75</v>
      </c>
      <c r="J7" s="15"/>
      <c r="K7" s="14" t="n">
        <f aca="false">IF($C7="Small","",IF($D7="tree",IF($F7="","",$F7),IF(OR($G7="",$H7="",$I7=""),"",$G7*$H7*$I7)))</f>
        <v>4.3225</v>
      </c>
      <c r="L7" s="14" t="n">
        <f aca="false">IF($C7="Small","",IFERROR(INDEX('R2. Understory Coefficients'!$E$8:$E$14,MATCH($E7,'R2. Understory Coefficients'!$I$8:$I$14,0)),""))</f>
        <v>185.065</v>
      </c>
      <c r="M7" s="14" t="n">
        <f aca="false">IF($C7="Small","",IFERROR(INDEX('R2. Understory Coefficients'!$F$8:$F$14,MATCH($E7,'R2. Understory Coefficients'!$I$8:$I$14,0)),""))</f>
        <v>0.976</v>
      </c>
      <c r="N7" s="14" t="n">
        <f aca="false">IF($C7="Small",IF($J7="","",$J7/1000),IF(OR($K7="",$L7="",$M7=""),"",($L7*($K7^$M7))/1000))</f>
        <v>0.772327774874567</v>
      </c>
      <c r="O7" s="14" t="n">
        <f aca="false">IF($N7="","",$N7*CARBON_FRACTION_BIOMASS)</f>
        <v>0.386163887437283</v>
      </c>
      <c r="P7" s="14" t="str">
        <f aca="false">IF(AND($A7="",$E7="",$J7=""),"",IF(AND($A7&lt;&gt;"",COUNTIF('1. Plot &amp; Site Log'!$A$5:$A$64,$A7)=0),"Plot ID not in Plot &amp; Site Log. ","")&amp;IF($C7="","No plot type — say whether this came from a Medium or a Small plot. ","")&amp;IF(AND($C7="Medium",$D7="tree",$F7=""),"Short-statured tree with no diameter at 0.3 m. ","")&amp;IF(AND($C7="Medium",$D7="shrub",OR($G7="",$H7="",$I7="")),"Shrub needs all three of length, width and height. ","")&amp;IF(AND($C7="Medium",$D7="shrub",$F7&lt;&gt;""),"Diameter entered for a shrub — it is ignored. Crown volume is used instead. ","")&amp;IF(AND($C7="Medium",$E7&lt;&gt;"",$L7=""),"Species not in the coefficient list — use 'all shrubs' if you have no closer match. ","")&amp;IF(AND($C7="Small",$J7=""),"Small-plot row with no clipped dry mass yet. ","")&amp;IF($N7&lt;&gt;"","Above-ground only: no root biomass is included for understory. ",""))</f>
        <v>Above-ground only: no root biomass is included for understory. </v>
      </c>
    </row>
    <row r="8" customFormat="false" ht="15" hidden="false" customHeight="false" outlineLevel="0" collapsed="false">
      <c r="A8" s="13" t="s">
        <v>74</v>
      </c>
      <c r="B8" s="13" t="s">
        <v>162</v>
      </c>
      <c r="C8" s="13" t="s">
        <v>156</v>
      </c>
      <c r="D8" s="13" t="s">
        <v>157</v>
      </c>
      <c r="E8" s="13" t="s">
        <v>160</v>
      </c>
      <c r="F8" s="13"/>
      <c r="G8" s="13" t="n">
        <v>1.43</v>
      </c>
      <c r="H8" s="13" t="n">
        <v>1.07</v>
      </c>
      <c r="I8" s="13" t="n">
        <v>1.75</v>
      </c>
      <c r="J8" s="15"/>
      <c r="K8" s="14" t="n">
        <f aca="false">IF($C8="Small","",IF($D8="tree",IF($F8="","",$F8),IF(OR($G8="",$H8="",$I8=""),"",$G8*$H8*$I8)))</f>
        <v>2.677675</v>
      </c>
      <c r="L8" s="14" t="n">
        <f aca="false">IF($C8="Small","",IFERROR(INDEX('R2. Understory Coefficients'!$E$8:$E$14,MATCH($E8,'R2. Understory Coefficients'!$I$8:$I$14,0)),""))</f>
        <v>185.065</v>
      </c>
      <c r="M8" s="14" t="n">
        <f aca="false">IF($C8="Small","",IFERROR(INDEX('R2. Understory Coefficients'!$F$8:$F$14,MATCH($E8,'R2. Understory Coefficients'!$I$8:$I$14,0)),""))</f>
        <v>0.976</v>
      </c>
      <c r="N8" s="14" t="n">
        <f aca="false">IF($C8="Small",IF($J8="","",$J8/1000),IF(OR($K8="",$L8="",$M8=""),"",($L8*($K8^$M8))/1000))</f>
        <v>0.483967241834009</v>
      </c>
      <c r="O8" s="14" t="n">
        <f aca="false">IF($N8="","",$N8*CARBON_FRACTION_BIOMASS)</f>
        <v>0.241983620917004</v>
      </c>
      <c r="P8" s="14" t="str">
        <f aca="false">IF(AND($A8="",$E8="",$J8=""),"",IF(AND($A8&lt;&gt;"",COUNTIF('1. Plot &amp; Site Log'!$A$5:$A$64,$A8)=0),"Plot ID not in Plot &amp; Site Log. ","")&amp;IF($C8="","No plot type — say whether this came from a Medium or a Small plot. ","")&amp;IF(AND($C8="Medium",$D8="tree",$F8=""),"Short-statured tree with no diameter at 0.3 m. ","")&amp;IF(AND($C8="Medium",$D8="shrub",OR($G8="",$H8="",$I8="")),"Shrub needs all three of length, width and height. ","")&amp;IF(AND($C8="Medium",$D8="shrub",$F8&lt;&gt;""),"Diameter entered for a shrub — it is ignored. Crown volume is used instead. ","")&amp;IF(AND($C8="Medium",$E8&lt;&gt;"",$L8=""),"Species not in the coefficient list — use 'all shrubs' if you have no closer match. ","")&amp;IF(AND($C8="Small",$J8=""),"Small-plot row with no clipped dry mass yet. ","")&amp;IF($N8&lt;&gt;"","Above-ground only: no root biomass is included for understory. ",""))</f>
        <v>Above-ground only: no root biomass is included for understory. </v>
      </c>
    </row>
    <row r="9" customFormat="false" ht="15" hidden="false" customHeight="false" outlineLevel="0" collapsed="false">
      <c r="A9" s="13" t="s">
        <v>74</v>
      </c>
      <c r="B9" s="13" t="s">
        <v>163</v>
      </c>
      <c r="C9" s="13" t="s">
        <v>156</v>
      </c>
      <c r="D9" s="13" t="s">
        <v>157</v>
      </c>
      <c r="E9" s="13" t="s">
        <v>158</v>
      </c>
      <c r="F9" s="13"/>
      <c r="G9" s="13" t="n">
        <v>0.95</v>
      </c>
      <c r="H9" s="13" t="n">
        <v>0.67</v>
      </c>
      <c r="I9" s="13" t="n">
        <v>1.39</v>
      </c>
      <c r="J9" s="15"/>
      <c r="K9" s="14" t="n">
        <f aca="false">IF($C9="Small","",IF($D9="tree",IF($F9="","",$F9),IF(OR($G9="",$H9="",$I9=""),"",$G9*$H9*$I9)))</f>
        <v>0.884735</v>
      </c>
      <c r="L9" s="14" t="n">
        <f aca="false">IF($C9="Small","",IFERROR(INDEX('R2. Understory Coefficients'!$E$8:$E$14,MATCH($E9,'R2. Understory Coefficients'!$I$8:$I$14,0)),""))</f>
        <v>232.212</v>
      </c>
      <c r="M9" s="14" t="n">
        <f aca="false">IF($C9="Small","",IFERROR(INDEX('R2. Understory Coefficients'!$F$8:$F$14,MATCH($E9,'R2. Understory Coefficients'!$I$8:$I$14,0)),""))</f>
        <v>0.629</v>
      </c>
      <c r="N9" s="14" t="n">
        <f aca="false">IF($C9="Small",IF($J9="","",$J9/1000),IF(OR($K9="",$L9="",$M9=""),"",($L9*($K9^$M9))/1000))</f>
        <v>0.214995894567044</v>
      </c>
      <c r="O9" s="14" t="n">
        <f aca="false">IF($N9="","",$N9*CARBON_FRACTION_BIOMASS)</f>
        <v>0.107497947283522</v>
      </c>
      <c r="P9" s="14" t="str">
        <f aca="false">IF(AND($A9="",$E9="",$J9=""),"",IF(AND($A9&lt;&gt;"",COUNTIF('1. Plot &amp; Site Log'!$A$5:$A$64,$A9)=0),"Plot ID not in Plot &amp; Site Log. ","")&amp;IF($C9="","No plot type — say whether this came from a Medium or a Small plot. ","")&amp;IF(AND($C9="Medium",$D9="tree",$F9=""),"Short-statured tree with no diameter at 0.3 m. ","")&amp;IF(AND($C9="Medium",$D9="shrub",OR($G9="",$H9="",$I9="")),"Shrub needs all three of length, width and height. ","")&amp;IF(AND($C9="Medium",$D9="shrub",$F9&lt;&gt;""),"Diameter entered for a shrub — it is ignored. Crown volume is used instead. ","")&amp;IF(AND($C9="Medium",$E9&lt;&gt;"",$L9=""),"Species not in the coefficient list — use 'all shrubs' if you have no closer match. ","")&amp;IF(AND($C9="Small",$J9=""),"Small-plot row with no clipped dry mass yet. ","")&amp;IF($N9&lt;&gt;"","Above-ground only: no root biomass is included for understory. ",""))</f>
        <v>Above-ground only: no root biomass is included for understory. </v>
      </c>
    </row>
    <row r="10" customFormat="false" ht="15" hidden="false" customHeight="false" outlineLevel="0" collapsed="false">
      <c r="A10" s="13" t="s">
        <v>74</v>
      </c>
      <c r="B10" s="13" t="s">
        <v>164</v>
      </c>
      <c r="C10" s="13" t="s">
        <v>156</v>
      </c>
      <c r="D10" s="13" t="s">
        <v>157</v>
      </c>
      <c r="E10" s="13" t="s">
        <v>160</v>
      </c>
      <c r="F10" s="13"/>
      <c r="G10" s="13" t="n">
        <v>1.06</v>
      </c>
      <c r="H10" s="13" t="n">
        <v>0.99</v>
      </c>
      <c r="I10" s="13" t="n">
        <v>1.7</v>
      </c>
      <c r="J10" s="15"/>
      <c r="K10" s="14" t="n">
        <f aca="false">IF($C10="Small","",IF($D10="tree",IF($F10="","",$F10),IF(OR($G10="",$H10="",$I10=""),"",$G10*$H10*$I10)))</f>
        <v>1.78398</v>
      </c>
      <c r="L10" s="14" t="n">
        <f aca="false">IF($C10="Small","",IFERROR(INDEX('R2. Understory Coefficients'!$E$8:$E$14,MATCH($E10,'R2. Understory Coefficients'!$I$8:$I$14,0)),""))</f>
        <v>185.065</v>
      </c>
      <c r="M10" s="14" t="n">
        <f aca="false">IF($C10="Small","",IFERROR(INDEX('R2. Understory Coefficients'!$F$8:$F$14,MATCH($E10,'R2. Understory Coefficients'!$I$8:$I$14,0)),""))</f>
        <v>0.976</v>
      </c>
      <c r="N10" s="14" t="n">
        <f aca="false">IF($C10="Small",IF($J10="","",$J10/1000),IF(OR($K10="",$L10="",$M10=""),"",($L10*($K10^$M10))/1000))</f>
        <v>0.325597388752039</v>
      </c>
      <c r="O10" s="14" t="n">
        <f aca="false">IF($N10="","",$N10*CARBON_FRACTION_BIOMASS)</f>
        <v>0.162798694376019</v>
      </c>
      <c r="P10" s="14" t="str">
        <f aca="false">IF(AND($A10="",$E10="",$J10=""),"",IF(AND($A10&lt;&gt;"",COUNTIF('1. Plot &amp; Site Log'!$A$5:$A$64,$A10)=0),"Plot ID not in Plot &amp; Site Log. ","")&amp;IF($C10="","No plot type — say whether this came from a Medium or a Small plot. ","")&amp;IF(AND($C10="Medium",$D10="tree",$F10=""),"Short-statured tree with no diameter at 0.3 m. ","")&amp;IF(AND($C10="Medium",$D10="shrub",OR($G10="",$H10="",$I10="")),"Shrub needs all three of length, width and height. ","")&amp;IF(AND($C10="Medium",$D10="shrub",$F10&lt;&gt;""),"Diameter entered for a shrub — it is ignored. Crown volume is used instead. ","")&amp;IF(AND($C10="Medium",$E10&lt;&gt;"",$L10=""),"Species not in the coefficient list — use 'all shrubs' if you have no closer match. ","")&amp;IF(AND($C10="Small",$J10=""),"Small-plot row with no clipped dry mass yet. ","")&amp;IF($N10&lt;&gt;"","Above-ground only: no root biomass is included for understory. ",""))</f>
        <v>Above-ground only: no root biomass is included for understory. </v>
      </c>
    </row>
    <row r="11" customFormat="false" ht="15" hidden="false" customHeight="false" outlineLevel="0" collapsed="false">
      <c r="A11" s="13" t="s">
        <v>74</v>
      </c>
      <c r="B11" s="13" t="s">
        <v>165</v>
      </c>
      <c r="C11" s="13" t="s">
        <v>156</v>
      </c>
      <c r="D11" s="13" t="s">
        <v>166</v>
      </c>
      <c r="E11" s="13" t="s">
        <v>167</v>
      </c>
      <c r="F11" s="13" t="n">
        <v>2.5</v>
      </c>
      <c r="G11" s="13"/>
      <c r="H11" s="13"/>
      <c r="I11" s="13"/>
      <c r="J11" s="15"/>
      <c r="K11" s="14" t="n">
        <f aca="false">IF($C11="Small","",IF($D11="tree",IF($F11="","",$F11),IF(OR($G11="",$H11="",$I11=""),"",$G11*$H11*$I11)))</f>
        <v>2.5</v>
      </c>
      <c r="L11" s="14" t="n">
        <f aca="false">IF($C11="Small","",IFERROR(INDEX('R2. Understory Coefficients'!$E$8:$E$14,MATCH($E11,'R2. Understory Coefficients'!$I$8:$I$14,0)),""))</f>
        <v>59.0721</v>
      </c>
      <c r="M11" s="14" t="n">
        <f aca="false">IF($C11="Small","",IFERROR(INDEX('R2. Understory Coefficients'!$F$8:$F$14,MATCH($E11,'R2. Understory Coefficients'!$I$8:$I$14,0)),""))</f>
        <v>2.272</v>
      </c>
      <c r="N11" s="14" t="n">
        <f aca="false">IF($C11="Small",IF($J11="","",$J11/1000),IF(OR($K11="",$L11="",$M11=""),"",($L11*($K11^$M11))/1000))</f>
        <v>0.473698609510987</v>
      </c>
      <c r="O11" s="14" t="n">
        <f aca="false">IF($N11="","",$N11*CARBON_FRACTION_BIOMASS)</f>
        <v>0.236849304755493</v>
      </c>
      <c r="P11" s="14" t="str">
        <f aca="false">IF(AND($A11="",$E11="",$J11=""),"",IF(AND($A11&lt;&gt;"",COUNTIF('1. Plot &amp; Site Log'!$A$5:$A$64,$A11)=0),"Plot ID not in Plot &amp; Site Log. ","")&amp;IF($C11="","No plot type — say whether this came from a Medium or a Small plot. ","")&amp;IF(AND($C11="Medium",$D11="tree",$F11=""),"Short-statured tree with no diameter at 0.3 m. ","")&amp;IF(AND($C11="Medium",$D11="shrub",OR($G11="",$H11="",$I11="")),"Shrub needs all three of length, width and height. ","")&amp;IF(AND($C11="Medium",$D11="shrub",$F11&lt;&gt;""),"Diameter entered for a shrub — it is ignored. Crown volume is used instead. ","")&amp;IF(AND($C11="Medium",$E11&lt;&gt;"",$L11=""),"Species not in the coefficient list — use 'all shrubs' if you have no closer match. ","")&amp;IF(AND($C11="Small",$J11=""),"Small-plot row with no clipped dry mass yet. ","")&amp;IF($N11&lt;&gt;"","Above-ground only: no root biomass is included for understory. ",""))</f>
        <v>Above-ground only: no root biomass is included for understory. </v>
      </c>
    </row>
    <row r="12" customFormat="false" ht="15" hidden="false" customHeight="false" outlineLevel="0" collapsed="false">
      <c r="A12" s="13" t="s">
        <v>74</v>
      </c>
      <c r="B12" s="13" t="s">
        <v>168</v>
      </c>
      <c r="C12" s="13" t="s">
        <v>169</v>
      </c>
      <c r="D12" s="13" t="s">
        <v>170</v>
      </c>
      <c r="E12" s="13" t="s">
        <v>171</v>
      </c>
      <c r="F12" s="13"/>
      <c r="G12" s="13"/>
      <c r="H12" s="13"/>
      <c r="I12" s="13"/>
      <c r="J12" s="15" t="n">
        <v>246.4</v>
      </c>
      <c r="K12" s="14" t="str">
        <f aca="false">IF($C12="Small","",IF($D12="tree",IF($F12="","",$F12),IF(OR($G12="",$H12="",$I12=""),"",$G12*$H12*$I12)))</f>
        <v/>
      </c>
      <c r="L12" s="14" t="str">
        <f aca="false">IF($C12="Small","",IFERROR(INDEX('R2. Understory Coefficients'!$E$8:$E$14,MATCH($E12,'R2. Understory Coefficients'!$I$8:$I$14,0)),""))</f>
        <v/>
      </c>
      <c r="M12" s="14" t="str">
        <f aca="false">IF($C12="Small","",IFERROR(INDEX('R2. Understory Coefficients'!$F$8:$F$14,MATCH($E12,'R2. Understory Coefficients'!$I$8:$I$14,0)),""))</f>
        <v/>
      </c>
      <c r="N12" s="14" t="n">
        <f aca="false">IF($C12="Small",IF($J12="","",$J12/1000),IF(OR($K12="",$L12="",$M12=""),"",($L12*($K12^$M12))/1000))</f>
        <v>0.2464</v>
      </c>
      <c r="O12" s="14" t="n">
        <f aca="false">IF($N12="","",$N12*CARBON_FRACTION_BIOMASS)</f>
        <v>0.1232</v>
      </c>
      <c r="P12" s="14" t="str">
        <f aca="false">IF(AND($A12="",$E12="",$J12=""),"",IF(AND($A12&lt;&gt;"",COUNTIF('1. Plot &amp; Site Log'!$A$5:$A$64,$A12)=0),"Plot ID not in Plot &amp; Site Log. ","")&amp;IF($C12="","No plot type — say whether this came from a Medium or a Small plot. ","")&amp;IF(AND($C12="Medium",$D12="tree",$F12=""),"Short-statured tree with no diameter at 0.3 m. ","")&amp;IF(AND($C12="Medium",$D12="shrub",OR($G12="",$H12="",$I12="")),"Shrub needs all three of length, width and height. ","")&amp;IF(AND($C12="Medium",$D12="shrub",$F12&lt;&gt;""),"Diameter entered for a shrub — it is ignored. Crown volume is used instead. ","")&amp;IF(AND($C12="Medium",$E12&lt;&gt;"",$L12=""),"Species not in the coefficient list — use 'all shrubs' if you have no closer match. ","")&amp;IF(AND($C12="Small",$J12=""),"Small-plot row with no clipped dry mass yet. ","")&amp;IF($N12&lt;&gt;"","Above-ground only: no root biomass is included for understory. ",""))</f>
        <v>Above-ground only: no root biomass is included for understory. </v>
      </c>
    </row>
    <row r="13" customFormat="false" ht="15" hidden="false" customHeight="false" outlineLevel="0" collapsed="false">
      <c r="A13" s="13" t="s">
        <v>74</v>
      </c>
      <c r="B13" s="13" t="s">
        <v>172</v>
      </c>
      <c r="C13" s="13" t="s">
        <v>169</v>
      </c>
      <c r="D13" s="13" t="s">
        <v>170</v>
      </c>
      <c r="E13" s="13" t="s">
        <v>171</v>
      </c>
      <c r="F13" s="13"/>
      <c r="G13" s="13"/>
      <c r="H13" s="13"/>
      <c r="I13" s="13"/>
      <c r="J13" s="15" t="n">
        <v>114.1</v>
      </c>
      <c r="K13" s="14" t="str">
        <f aca="false">IF($C13="Small","",IF($D13="tree",IF($F13="","",$F13),IF(OR($G13="",$H13="",$I13=""),"",$G13*$H13*$I13)))</f>
        <v/>
      </c>
      <c r="L13" s="14" t="str">
        <f aca="false">IF($C13="Small","",IFERROR(INDEX('R2. Understory Coefficients'!$E$8:$E$14,MATCH($E13,'R2. Understory Coefficients'!$I$8:$I$14,0)),""))</f>
        <v/>
      </c>
      <c r="M13" s="14" t="str">
        <f aca="false">IF($C13="Small","",IFERROR(INDEX('R2. Understory Coefficients'!$F$8:$F$14,MATCH($E13,'R2. Understory Coefficients'!$I$8:$I$14,0)),""))</f>
        <v/>
      </c>
      <c r="N13" s="14" t="n">
        <f aca="false">IF($C13="Small",IF($J13="","",$J13/1000),IF(OR($K13="",$L13="",$M13=""),"",($L13*($K13^$M13))/1000))</f>
        <v>0.1141</v>
      </c>
      <c r="O13" s="14" t="n">
        <f aca="false">IF($N13="","",$N13*CARBON_FRACTION_BIOMASS)</f>
        <v>0.05705</v>
      </c>
      <c r="P13" s="14" t="str">
        <f aca="false">IF(AND($A13="",$E13="",$J13=""),"",IF(AND($A13&lt;&gt;"",COUNTIF('1. Plot &amp; Site Log'!$A$5:$A$64,$A13)=0),"Plot ID not in Plot &amp; Site Log. ","")&amp;IF($C13="","No plot type — say whether this came from a Medium or a Small plot. ","")&amp;IF(AND($C13="Medium",$D13="tree",$F13=""),"Short-statured tree with no diameter at 0.3 m. ","")&amp;IF(AND($C13="Medium",$D13="shrub",OR($G13="",$H13="",$I13="")),"Shrub needs all three of length, width and height. ","")&amp;IF(AND($C13="Medium",$D13="shrub",$F13&lt;&gt;""),"Diameter entered for a shrub — it is ignored. Crown volume is used instead. ","")&amp;IF(AND($C13="Medium",$E13&lt;&gt;"",$L13=""),"Species not in the coefficient list — use 'all shrubs' if you have no closer match. ","")&amp;IF(AND($C13="Small",$J13=""),"Small-plot row with no clipped dry mass yet. ","")&amp;IF($N13&lt;&gt;"","Above-ground only: no root biomass is included for understory. ",""))</f>
        <v>Above-ground only: no root biomass is included for understory. </v>
      </c>
    </row>
    <row r="14" customFormat="false" ht="15" hidden="false" customHeight="false" outlineLevel="0" collapsed="false">
      <c r="A14" s="13" t="s">
        <v>82</v>
      </c>
      <c r="B14" s="13" t="s">
        <v>155</v>
      </c>
      <c r="C14" s="13" t="s">
        <v>156</v>
      </c>
      <c r="D14" s="13" t="s">
        <v>157</v>
      </c>
      <c r="E14" s="13" t="s">
        <v>173</v>
      </c>
      <c r="F14" s="13"/>
      <c r="G14" s="13" t="n">
        <v>1.01</v>
      </c>
      <c r="H14" s="13" t="n">
        <v>1.02</v>
      </c>
      <c r="I14" s="13" t="n">
        <v>1.45</v>
      </c>
      <c r="J14" s="15"/>
      <c r="K14" s="14" t="n">
        <f aca="false">IF($C14="Small","",IF($D14="tree",IF($F14="","",$F14),IF(OR($G14="",$H14="",$I14=""),"",$G14*$H14*$I14)))</f>
        <v>1.49379</v>
      </c>
      <c r="L14" s="14" t="n">
        <f aca="false">IF($C14="Small","",IFERROR(INDEX('R2. Understory Coefficients'!$E$8:$E$14,MATCH($E14,'R2. Understory Coefficients'!$I$8:$I$14,0)),""))</f>
        <v>311.586</v>
      </c>
      <c r="M14" s="14" t="n">
        <f aca="false">IF($C14="Small","",IFERROR(INDEX('R2. Understory Coefficients'!$F$8:$F$14,MATCH($E14,'R2. Understory Coefficients'!$I$8:$I$14,0)),""))</f>
        <v>0.845</v>
      </c>
      <c r="N14" s="14" t="n">
        <f aca="false">IF($C14="Small",IF($J14="","",$J14/1000),IF(OR($K14="",$L14="",$M14=""),"",($L14*($K14^$M14))/1000))</f>
        <v>0.437373638770565</v>
      </c>
      <c r="O14" s="14" t="n">
        <f aca="false">IF($N14="","",$N14*CARBON_FRACTION_BIOMASS)</f>
        <v>0.218686819385282</v>
      </c>
      <c r="P14" s="14" t="str">
        <f aca="false">IF(AND($A14="",$E14="",$J14=""),"",IF(AND($A14&lt;&gt;"",COUNTIF('1. Plot &amp; Site Log'!$A$5:$A$64,$A14)=0),"Plot ID not in Plot &amp; Site Log. ","")&amp;IF($C14="","No plot type — say whether this came from a Medium or a Small plot. ","")&amp;IF(AND($C14="Medium",$D14="tree",$F14=""),"Short-statured tree with no diameter at 0.3 m. ","")&amp;IF(AND($C14="Medium",$D14="shrub",OR($G14="",$H14="",$I14="")),"Shrub needs all three of length, width and height. ","")&amp;IF(AND($C14="Medium",$D14="shrub",$F14&lt;&gt;""),"Diameter entered for a shrub — it is ignored. Crown volume is used instead. ","")&amp;IF(AND($C14="Medium",$E14&lt;&gt;"",$L14=""),"Species not in the coefficient list — use 'all shrubs' if you have no closer match. ","")&amp;IF(AND($C14="Small",$J14=""),"Small-plot row with no clipped dry mass yet. ","")&amp;IF($N14&lt;&gt;"","Above-ground only: no root biomass is included for understory. ",""))</f>
        <v>Above-ground only: no root biomass is included for understory. </v>
      </c>
    </row>
    <row r="15" customFormat="false" ht="15" hidden="false" customHeight="false" outlineLevel="0" collapsed="false">
      <c r="A15" s="13" t="s">
        <v>82</v>
      </c>
      <c r="B15" s="13" t="s">
        <v>159</v>
      </c>
      <c r="C15" s="13" t="s">
        <v>156</v>
      </c>
      <c r="D15" s="13" t="s">
        <v>157</v>
      </c>
      <c r="E15" s="13" t="s">
        <v>158</v>
      </c>
      <c r="F15" s="13"/>
      <c r="G15" s="13" t="n">
        <v>1.12</v>
      </c>
      <c r="H15" s="13" t="n">
        <v>0.76</v>
      </c>
      <c r="I15" s="13" t="n">
        <v>0.79</v>
      </c>
      <c r="J15" s="15"/>
      <c r="K15" s="14" t="n">
        <f aca="false">IF($C15="Small","",IF($D15="tree",IF($F15="","",$F15),IF(OR($G15="",$H15="",$I15=""),"",$G15*$H15*$I15)))</f>
        <v>0.672448</v>
      </c>
      <c r="L15" s="14" t="n">
        <f aca="false">IF($C15="Small","",IFERROR(INDEX('R2. Understory Coefficients'!$E$8:$E$14,MATCH($E15,'R2. Understory Coefficients'!$I$8:$I$14,0)),""))</f>
        <v>232.212</v>
      </c>
      <c r="M15" s="14" t="n">
        <f aca="false">IF($C15="Small","",IFERROR(INDEX('R2. Understory Coefficients'!$F$8:$F$14,MATCH($E15,'R2. Understory Coefficients'!$I$8:$I$14,0)),""))</f>
        <v>0.629</v>
      </c>
      <c r="N15" s="14" t="n">
        <f aca="false">IF($C15="Small",IF($J15="","",$J15/1000),IF(OR($K15="",$L15="",$M15=""),"",($L15*($K15^$M15))/1000))</f>
        <v>0.180918086280392</v>
      </c>
      <c r="O15" s="14" t="n">
        <f aca="false">IF($N15="","",$N15*CARBON_FRACTION_BIOMASS)</f>
        <v>0.0904590431401958</v>
      </c>
      <c r="P15" s="14" t="str">
        <f aca="false">IF(AND($A15="",$E15="",$J15=""),"",IF(AND($A15&lt;&gt;"",COUNTIF('1. Plot &amp; Site Log'!$A$5:$A$64,$A15)=0),"Plot ID not in Plot &amp; Site Log. ","")&amp;IF($C15="","No plot type — say whether this came from a Medium or a Small plot. ","")&amp;IF(AND($C15="Medium",$D15="tree",$F15=""),"Short-statured tree with no diameter at 0.3 m. ","")&amp;IF(AND($C15="Medium",$D15="shrub",OR($G15="",$H15="",$I15="")),"Shrub needs all three of length, width and height. ","")&amp;IF(AND($C15="Medium",$D15="shrub",$F15&lt;&gt;""),"Diameter entered for a shrub — it is ignored. Crown volume is used instead. ","")&amp;IF(AND($C15="Medium",$E15&lt;&gt;"",$L15=""),"Species not in the coefficient list — use 'all shrubs' if you have no closer match. ","")&amp;IF(AND($C15="Small",$J15=""),"Small-plot row with no clipped dry mass yet. ","")&amp;IF($N15&lt;&gt;"","Above-ground only: no root biomass is included for understory. ",""))</f>
        <v>Above-ground only: no root biomass is included for understory. </v>
      </c>
    </row>
    <row r="16" customFormat="false" ht="15" hidden="false" customHeight="false" outlineLevel="0" collapsed="false">
      <c r="A16" s="13" t="s">
        <v>82</v>
      </c>
      <c r="B16" s="13" t="s">
        <v>161</v>
      </c>
      <c r="C16" s="13" t="s">
        <v>156</v>
      </c>
      <c r="D16" s="13" t="s">
        <v>157</v>
      </c>
      <c r="E16" s="13" t="s">
        <v>174</v>
      </c>
      <c r="F16" s="13"/>
      <c r="G16" s="13" t="n">
        <v>1.78</v>
      </c>
      <c r="H16" s="13" t="n">
        <v>1.81</v>
      </c>
      <c r="I16" s="13" t="n">
        <v>1.4</v>
      </c>
      <c r="J16" s="15"/>
      <c r="K16" s="14" t="n">
        <f aca="false">IF($C16="Small","",IF($D16="tree",IF($F16="","",$F16),IF(OR($G16="",$H16="",$I16=""),"",$G16*$H16*$I16)))</f>
        <v>4.51052</v>
      </c>
      <c r="L16" s="14" t="n">
        <f aca="false">IF($C16="Small","",IFERROR(INDEX('R2. Understory Coefficients'!$E$8:$E$14,MATCH($E16,'R2. Understory Coefficients'!$I$8:$I$14,0)),""))</f>
        <v>262.469</v>
      </c>
      <c r="M16" s="14" t="n">
        <f aca="false">IF($C16="Small","",IFERROR(INDEX('R2. Understory Coefficients'!$F$8:$F$14,MATCH($E16,'R2. Understory Coefficients'!$I$8:$I$14,0)),""))</f>
        <v>0.785</v>
      </c>
      <c r="N16" s="14" t="n">
        <f aca="false">IF($C16="Small",IF($J16="","",$J16/1000),IF(OR($K16="",$L16="",$M16=""),"",($L16*($K16^$M16))/1000))</f>
        <v>0.856339363351891</v>
      </c>
      <c r="O16" s="14" t="n">
        <f aca="false">IF($N16="","",$N16*CARBON_FRACTION_BIOMASS)</f>
        <v>0.428169681675946</v>
      </c>
      <c r="P16" s="14" t="str">
        <f aca="false">IF(AND($A16="",$E16="",$J16=""),"",IF(AND($A16&lt;&gt;"",COUNTIF('1. Plot &amp; Site Log'!$A$5:$A$64,$A16)=0),"Plot ID not in Plot &amp; Site Log. ","")&amp;IF($C16="","No plot type — say whether this came from a Medium or a Small plot. ","")&amp;IF(AND($C16="Medium",$D16="tree",$F16=""),"Short-statured tree with no diameter at 0.3 m. ","")&amp;IF(AND($C16="Medium",$D16="shrub",OR($G16="",$H16="",$I16="")),"Shrub needs all three of length, width and height. ","")&amp;IF(AND($C16="Medium",$D16="shrub",$F16&lt;&gt;""),"Diameter entered for a shrub — it is ignored. Crown volume is used instead. ","")&amp;IF(AND($C16="Medium",$E16&lt;&gt;"",$L16=""),"Species not in the coefficient list — use 'all shrubs' if you have no closer match. ","")&amp;IF(AND($C16="Small",$J16=""),"Small-plot row with no clipped dry mass yet. ","")&amp;IF($N16&lt;&gt;"","Above-ground only: no root biomass is included for understory. ",""))</f>
        <v>Above-ground only: no root biomass is included for understory. </v>
      </c>
    </row>
    <row r="17" customFormat="false" ht="15" hidden="false" customHeight="false" outlineLevel="0" collapsed="false">
      <c r="A17" s="13" t="s">
        <v>82</v>
      </c>
      <c r="B17" s="13" t="s">
        <v>162</v>
      </c>
      <c r="C17" s="13" t="s">
        <v>156</v>
      </c>
      <c r="D17" s="13" t="s">
        <v>157</v>
      </c>
      <c r="E17" s="13" t="s">
        <v>173</v>
      </c>
      <c r="F17" s="13"/>
      <c r="G17" s="13" t="n">
        <v>1.17</v>
      </c>
      <c r="H17" s="13" t="n">
        <v>1.08</v>
      </c>
      <c r="I17" s="13" t="n">
        <v>0.84</v>
      </c>
      <c r="J17" s="15"/>
      <c r="K17" s="14" t="n">
        <f aca="false">IF($C17="Small","",IF($D17="tree",IF($F17="","",$F17),IF(OR($G17="",$H17="",$I17=""),"",$G17*$H17*$I17)))</f>
        <v>1.061424</v>
      </c>
      <c r="L17" s="14" t="n">
        <f aca="false">IF($C17="Small","",IFERROR(INDEX('R2. Understory Coefficients'!$E$8:$E$14,MATCH($E17,'R2. Understory Coefficients'!$I$8:$I$14,0)),""))</f>
        <v>311.586</v>
      </c>
      <c r="M17" s="14" t="n">
        <f aca="false">IF($C17="Small","",IFERROR(INDEX('R2. Understory Coefficients'!$F$8:$F$14,MATCH($E17,'R2. Understory Coefficients'!$I$8:$I$14,0)),""))</f>
        <v>0.845</v>
      </c>
      <c r="N17" s="14" t="n">
        <f aca="false">IF($C17="Small",IF($J17="","",$J17/1000),IF(OR($K17="",$L17="",$M17=""),"",($L17*($K17^$M17))/1000))</f>
        <v>0.327683111843082</v>
      </c>
      <c r="O17" s="14" t="n">
        <f aca="false">IF($N17="","",$N17*CARBON_FRACTION_BIOMASS)</f>
        <v>0.163841555921541</v>
      </c>
      <c r="P17" s="14" t="str">
        <f aca="false">IF(AND($A17="",$E17="",$J17=""),"",IF(AND($A17&lt;&gt;"",COUNTIF('1. Plot &amp; Site Log'!$A$5:$A$64,$A17)=0),"Plot ID not in Plot &amp; Site Log. ","")&amp;IF($C17="","No plot type — say whether this came from a Medium or a Small plot. ","")&amp;IF(AND($C17="Medium",$D17="tree",$F17=""),"Short-statured tree with no diameter at 0.3 m. ","")&amp;IF(AND($C17="Medium",$D17="shrub",OR($G17="",$H17="",$I17="")),"Shrub needs all three of length, width and height. ","")&amp;IF(AND($C17="Medium",$D17="shrub",$F17&lt;&gt;""),"Diameter entered for a shrub — it is ignored. Crown volume is used instead. ","")&amp;IF(AND($C17="Medium",$E17&lt;&gt;"",$L17=""),"Species not in the coefficient list — use 'all shrubs' if you have no closer match. ","")&amp;IF(AND($C17="Small",$J17=""),"Small-plot row with no clipped dry mass yet. ","")&amp;IF($N17&lt;&gt;"","Above-ground only: no root biomass is included for understory. ",""))</f>
        <v>Above-ground only: no root biomass is included for understory. </v>
      </c>
    </row>
    <row r="18" customFormat="false" ht="15" hidden="false" customHeight="false" outlineLevel="0" collapsed="false">
      <c r="A18" s="13" t="s">
        <v>82</v>
      </c>
      <c r="B18" s="13" t="s">
        <v>163</v>
      </c>
      <c r="C18" s="13" t="s">
        <v>156</v>
      </c>
      <c r="D18" s="13" t="s">
        <v>157</v>
      </c>
      <c r="E18" s="13" t="s">
        <v>158</v>
      </c>
      <c r="F18" s="13"/>
      <c r="G18" s="13" t="n">
        <v>1.45</v>
      </c>
      <c r="H18" s="13" t="n">
        <v>1.05</v>
      </c>
      <c r="I18" s="13" t="n">
        <v>1.24</v>
      </c>
      <c r="J18" s="15"/>
      <c r="K18" s="14" t="n">
        <f aca="false">IF($C18="Small","",IF($D18="tree",IF($F18="","",$F18),IF(OR($G18="",$H18="",$I18=""),"",$G18*$H18*$I18)))</f>
        <v>1.8879</v>
      </c>
      <c r="L18" s="14" t="n">
        <f aca="false">IF($C18="Small","",IFERROR(INDEX('R2. Understory Coefficients'!$E$8:$E$14,MATCH($E18,'R2. Understory Coefficients'!$I$8:$I$14,0)),""))</f>
        <v>232.212</v>
      </c>
      <c r="M18" s="14" t="n">
        <f aca="false">IF($C18="Small","",IFERROR(INDEX('R2. Understory Coefficients'!$F$8:$F$14,MATCH($E18,'R2. Understory Coefficients'!$I$8:$I$14,0)),""))</f>
        <v>0.629</v>
      </c>
      <c r="N18" s="14" t="n">
        <f aca="false">IF($C18="Small",IF($J18="","",$J18/1000),IF(OR($K18="",$L18="",$M18=""),"",($L18*($K18^$M18))/1000))</f>
        <v>0.346318300410701</v>
      </c>
      <c r="O18" s="14" t="n">
        <f aca="false">IF($N18="","",$N18*CARBON_FRACTION_BIOMASS)</f>
        <v>0.17315915020535</v>
      </c>
      <c r="P18" s="14" t="str">
        <f aca="false">IF(AND($A18="",$E18="",$J18=""),"",IF(AND($A18&lt;&gt;"",COUNTIF('1. Plot &amp; Site Log'!$A$5:$A$64,$A18)=0),"Plot ID not in Plot &amp; Site Log. ","")&amp;IF($C18="","No plot type — say whether this came from a Medium or a Small plot. ","")&amp;IF(AND($C18="Medium",$D18="tree",$F18=""),"Short-statured tree with no diameter at 0.3 m. ","")&amp;IF(AND($C18="Medium",$D18="shrub",OR($G18="",$H18="",$I18="")),"Shrub needs all three of length, width and height. ","")&amp;IF(AND($C18="Medium",$D18="shrub",$F18&lt;&gt;""),"Diameter entered for a shrub — it is ignored. Crown volume is used instead. ","")&amp;IF(AND($C18="Medium",$E18&lt;&gt;"",$L18=""),"Species not in the coefficient list — use 'all shrubs' if you have no closer match. ","")&amp;IF(AND($C18="Small",$J18=""),"Small-plot row with no clipped dry mass yet. ","")&amp;IF($N18&lt;&gt;"","Above-ground only: no root biomass is included for understory. ",""))</f>
        <v>Above-ground only: no root biomass is included for understory. </v>
      </c>
    </row>
    <row r="19" customFormat="false" ht="15" hidden="false" customHeight="false" outlineLevel="0" collapsed="false">
      <c r="A19" s="13" t="s">
        <v>82</v>
      </c>
      <c r="B19" s="13" t="s">
        <v>164</v>
      </c>
      <c r="C19" s="13" t="s">
        <v>156</v>
      </c>
      <c r="D19" s="13" t="s">
        <v>157</v>
      </c>
      <c r="E19" s="13" t="s">
        <v>158</v>
      </c>
      <c r="F19" s="13"/>
      <c r="G19" s="13" t="n">
        <v>0.94</v>
      </c>
      <c r="H19" s="13" t="n">
        <v>0.8</v>
      </c>
      <c r="I19" s="13" t="n">
        <v>0.72</v>
      </c>
      <c r="J19" s="15"/>
      <c r="K19" s="14" t="n">
        <f aca="false">IF($C19="Small","",IF($D19="tree",IF($F19="","",$F19),IF(OR($G19="",$H19="",$I19=""),"",$G19*$H19*$I19)))</f>
        <v>0.54144</v>
      </c>
      <c r="L19" s="14" t="n">
        <f aca="false">IF($C19="Small","",IFERROR(INDEX('R2. Understory Coefficients'!$E$8:$E$14,MATCH($E19,'R2. Understory Coefficients'!$I$8:$I$14,0)),""))</f>
        <v>232.212</v>
      </c>
      <c r="M19" s="14" t="n">
        <f aca="false">IF($C19="Small","",IFERROR(INDEX('R2. Understory Coefficients'!$F$8:$F$14,MATCH($E19,'R2. Understory Coefficients'!$I$8:$I$14,0)),""))</f>
        <v>0.629</v>
      </c>
      <c r="N19" s="14" t="n">
        <f aca="false">IF($C19="Small",IF($J19="","",$J19/1000),IF(OR($K19="",$L19="",$M19=""),"",($L19*($K19^$M19))/1000))</f>
        <v>0.157865715013369</v>
      </c>
      <c r="O19" s="14" t="n">
        <f aca="false">IF($N19="","",$N19*CARBON_FRACTION_BIOMASS)</f>
        <v>0.0789328575066847</v>
      </c>
      <c r="P19" s="14" t="str">
        <f aca="false">IF(AND($A19="",$E19="",$J19=""),"",IF(AND($A19&lt;&gt;"",COUNTIF('1. Plot &amp; Site Log'!$A$5:$A$64,$A19)=0),"Plot ID not in Plot &amp; Site Log. ","")&amp;IF($C19="","No plot type — say whether this came from a Medium or a Small plot. ","")&amp;IF(AND($C19="Medium",$D19="tree",$F19=""),"Short-statured tree with no diameter at 0.3 m. ","")&amp;IF(AND($C19="Medium",$D19="shrub",OR($G19="",$H19="",$I19="")),"Shrub needs all three of length, width and height. ","")&amp;IF(AND($C19="Medium",$D19="shrub",$F19&lt;&gt;""),"Diameter entered for a shrub — it is ignored. Crown volume is used instead. ","")&amp;IF(AND($C19="Medium",$E19&lt;&gt;"",$L19=""),"Species not in the coefficient list — use 'all shrubs' if you have no closer match. ","")&amp;IF(AND($C19="Small",$J19=""),"Small-plot row with no clipped dry mass yet. ","")&amp;IF($N19&lt;&gt;"","Above-ground only: no root biomass is included for understory. ",""))</f>
        <v>Above-ground only: no root biomass is included for understory. </v>
      </c>
    </row>
    <row r="20" customFormat="false" ht="15" hidden="false" customHeight="false" outlineLevel="0" collapsed="false">
      <c r="A20" s="13" t="s">
        <v>82</v>
      </c>
      <c r="B20" s="13" t="s">
        <v>165</v>
      </c>
      <c r="C20" s="13" t="s">
        <v>156</v>
      </c>
      <c r="D20" s="13" t="s">
        <v>166</v>
      </c>
      <c r="E20" s="13" t="s">
        <v>167</v>
      </c>
      <c r="F20" s="13" t="n">
        <v>2.4</v>
      </c>
      <c r="G20" s="13"/>
      <c r="H20" s="13"/>
      <c r="I20" s="13"/>
      <c r="J20" s="15"/>
      <c r="K20" s="14" t="n">
        <f aca="false">IF($C20="Small","",IF($D20="tree",IF($F20="","",$F20),IF(OR($G20="",$H20="",$I20=""),"",$G20*$H20*$I20)))</f>
        <v>2.4</v>
      </c>
      <c r="L20" s="14" t="n">
        <f aca="false">IF($C20="Small","",IFERROR(INDEX('R2. Understory Coefficients'!$E$8:$E$14,MATCH($E20,'R2. Understory Coefficients'!$I$8:$I$14,0)),""))</f>
        <v>59.0721</v>
      </c>
      <c r="M20" s="14" t="n">
        <f aca="false">IF($C20="Small","",IFERROR(INDEX('R2. Understory Coefficients'!$F$8:$F$14,MATCH($E20,'R2. Understory Coefficients'!$I$8:$I$14,0)),""))</f>
        <v>2.272</v>
      </c>
      <c r="N20" s="14" t="n">
        <f aca="false">IF($C20="Small",IF($J20="","",$J20/1000),IF(OR($K20="",$L20="",$M20=""),"",($L20*($K20^$M20))/1000))</f>
        <v>0.431740063806724</v>
      </c>
      <c r="O20" s="14" t="n">
        <f aca="false">IF($N20="","",$N20*CARBON_FRACTION_BIOMASS)</f>
        <v>0.215870031903362</v>
      </c>
      <c r="P20" s="14" t="str">
        <f aca="false">IF(AND($A20="",$E20="",$J20=""),"",IF(AND($A20&lt;&gt;"",COUNTIF('1. Plot &amp; Site Log'!$A$5:$A$64,$A20)=0),"Plot ID not in Plot &amp; Site Log. ","")&amp;IF($C20="","No plot type — say whether this came from a Medium or a Small plot. ","")&amp;IF(AND($C20="Medium",$D20="tree",$F20=""),"Short-statured tree with no diameter at 0.3 m. ","")&amp;IF(AND($C20="Medium",$D20="shrub",OR($G20="",$H20="",$I20="")),"Shrub needs all three of length, width and height. ","")&amp;IF(AND($C20="Medium",$D20="shrub",$F20&lt;&gt;""),"Diameter entered for a shrub — it is ignored. Crown volume is used instead. ","")&amp;IF(AND($C20="Medium",$E20&lt;&gt;"",$L20=""),"Species not in the coefficient list — use 'all shrubs' if you have no closer match. ","")&amp;IF(AND($C20="Small",$J20=""),"Small-plot row with no clipped dry mass yet. ","")&amp;IF($N20&lt;&gt;"","Above-ground only: no root biomass is included for understory. ",""))</f>
        <v>Above-ground only: no root biomass is included for understory. </v>
      </c>
    </row>
    <row r="21" customFormat="false" ht="15" hidden="false" customHeight="false" outlineLevel="0" collapsed="false">
      <c r="A21" s="13" t="s">
        <v>82</v>
      </c>
      <c r="B21" s="13" t="s">
        <v>168</v>
      </c>
      <c r="C21" s="13" t="s">
        <v>169</v>
      </c>
      <c r="D21" s="13" t="s">
        <v>170</v>
      </c>
      <c r="E21" s="13" t="s">
        <v>171</v>
      </c>
      <c r="F21" s="13"/>
      <c r="G21" s="13"/>
      <c r="H21" s="13"/>
      <c r="I21" s="13"/>
      <c r="J21" s="15" t="n">
        <v>154.1</v>
      </c>
      <c r="K21" s="14" t="str">
        <f aca="false">IF($C21="Small","",IF($D21="tree",IF($F21="","",$F21),IF(OR($G21="",$H21="",$I21=""),"",$G21*$H21*$I21)))</f>
        <v/>
      </c>
      <c r="L21" s="14" t="str">
        <f aca="false">IF($C21="Small","",IFERROR(INDEX('R2. Understory Coefficients'!$E$8:$E$14,MATCH($E21,'R2. Understory Coefficients'!$I$8:$I$14,0)),""))</f>
        <v/>
      </c>
      <c r="M21" s="14" t="str">
        <f aca="false">IF($C21="Small","",IFERROR(INDEX('R2. Understory Coefficients'!$F$8:$F$14,MATCH($E21,'R2. Understory Coefficients'!$I$8:$I$14,0)),""))</f>
        <v/>
      </c>
      <c r="N21" s="14" t="n">
        <f aca="false">IF($C21="Small",IF($J21="","",$J21/1000),IF(OR($K21="",$L21="",$M21=""),"",($L21*($K21^$M21))/1000))</f>
        <v>0.1541</v>
      </c>
      <c r="O21" s="14" t="n">
        <f aca="false">IF($N21="","",$N21*CARBON_FRACTION_BIOMASS)</f>
        <v>0.07705</v>
      </c>
      <c r="P21" s="14" t="str">
        <f aca="false">IF(AND($A21="",$E21="",$J21=""),"",IF(AND($A21&lt;&gt;"",COUNTIF('1. Plot &amp; Site Log'!$A$5:$A$64,$A21)=0),"Plot ID not in Plot &amp; Site Log. ","")&amp;IF($C21="","No plot type — say whether this came from a Medium or a Small plot. ","")&amp;IF(AND($C21="Medium",$D21="tree",$F21=""),"Short-statured tree with no diameter at 0.3 m. ","")&amp;IF(AND($C21="Medium",$D21="shrub",OR($G21="",$H21="",$I21="")),"Shrub needs all three of length, width and height. ","")&amp;IF(AND($C21="Medium",$D21="shrub",$F21&lt;&gt;""),"Diameter entered for a shrub — it is ignored. Crown volume is used instead. ","")&amp;IF(AND($C21="Medium",$E21&lt;&gt;"",$L21=""),"Species not in the coefficient list — use 'all shrubs' if you have no closer match. ","")&amp;IF(AND($C21="Small",$J21=""),"Small-plot row with no clipped dry mass yet. ","")&amp;IF($N21&lt;&gt;"","Above-ground only: no root biomass is included for understory. ",""))</f>
        <v>Above-ground only: no root biomass is included for understory. </v>
      </c>
    </row>
    <row r="22" customFormat="false" ht="15" hidden="false" customHeight="false" outlineLevel="0" collapsed="false">
      <c r="A22" s="13" t="s">
        <v>82</v>
      </c>
      <c r="B22" s="13" t="s">
        <v>172</v>
      </c>
      <c r="C22" s="13" t="s">
        <v>169</v>
      </c>
      <c r="D22" s="13" t="s">
        <v>170</v>
      </c>
      <c r="E22" s="13" t="s">
        <v>171</v>
      </c>
      <c r="F22" s="13"/>
      <c r="G22" s="13"/>
      <c r="H22" s="13"/>
      <c r="I22" s="13"/>
      <c r="J22" s="15" t="n">
        <v>175.2</v>
      </c>
      <c r="K22" s="14" t="str">
        <f aca="false">IF($C22="Small","",IF($D22="tree",IF($F22="","",$F22),IF(OR($G22="",$H22="",$I22=""),"",$G22*$H22*$I22)))</f>
        <v/>
      </c>
      <c r="L22" s="14" t="str">
        <f aca="false">IF($C22="Small","",IFERROR(INDEX('R2. Understory Coefficients'!$E$8:$E$14,MATCH($E22,'R2. Understory Coefficients'!$I$8:$I$14,0)),""))</f>
        <v/>
      </c>
      <c r="M22" s="14" t="str">
        <f aca="false">IF($C22="Small","",IFERROR(INDEX('R2. Understory Coefficients'!$F$8:$F$14,MATCH($E22,'R2. Understory Coefficients'!$I$8:$I$14,0)),""))</f>
        <v/>
      </c>
      <c r="N22" s="14" t="n">
        <f aca="false">IF($C22="Small",IF($J22="","",$J22/1000),IF(OR($K22="",$L22="",$M22=""),"",($L22*($K22^$M22))/1000))</f>
        <v>0.1752</v>
      </c>
      <c r="O22" s="14" t="n">
        <f aca="false">IF($N22="","",$N22*CARBON_FRACTION_BIOMASS)</f>
        <v>0.0876</v>
      </c>
      <c r="P22" s="14" t="str">
        <f aca="false">IF(AND($A22="",$E22="",$J22=""),"",IF(AND($A22&lt;&gt;"",COUNTIF('1. Plot &amp; Site Log'!$A$5:$A$64,$A22)=0),"Plot ID not in Plot &amp; Site Log. ","")&amp;IF($C22="","No plot type — say whether this came from a Medium or a Small plot. ","")&amp;IF(AND($C22="Medium",$D22="tree",$F22=""),"Short-statured tree with no diameter at 0.3 m. ","")&amp;IF(AND($C22="Medium",$D22="shrub",OR($G22="",$H22="",$I22="")),"Shrub needs all three of length, width and height. ","")&amp;IF(AND($C22="Medium",$D22="shrub",$F22&lt;&gt;""),"Diameter entered for a shrub — it is ignored. Crown volume is used instead. ","")&amp;IF(AND($C22="Medium",$E22&lt;&gt;"",$L22=""),"Species not in the coefficient list — use 'all shrubs' if you have no closer match. ","")&amp;IF(AND($C22="Small",$J22=""),"Small-plot row with no clipped dry mass yet. ","")&amp;IF($N22&lt;&gt;"","Above-ground only: no root biomass is included for understory. ",""))</f>
        <v>Above-ground only: no root biomass is included for understory. </v>
      </c>
    </row>
    <row r="23" customFormat="false" ht="15" hidden="false" customHeight="false" outlineLevel="0" collapsed="false">
      <c r="A23" s="13" t="s">
        <v>83</v>
      </c>
      <c r="B23" s="13" t="s">
        <v>155</v>
      </c>
      <c r="C23" s="13" t="s">
        <v>156</v>
      </c>
      <c r="D23" s="13" t="s">
        <v>157</v>
      </c>
      <c r="E23" s="13" t="s">
        <v>173</v>
      </c>
      <c r="F23" s="13"/>
      <c r="G23" s="13" t="n">
        <v>1</v>
      </c>
      <c r="H23" s="13" t="n">
        <v>0.95</v>
      </c>
      <c r="I23" s="13" t="n">
        <v>0.76</v>
      </c>
      <c r="J23" s="15"/>
      <c r="K23" s="14" t="n">
        <f aca="false">IF($C23="Small","",IF($D23="tree",IF($F23="","",$F23),IF(OR($G23="",$H23="",$I23=""),"",$G23*$H23*$I23)))</f>
        <v>0.722</v>
      </c>
      <c r="L23" s="14" t="n">
        <f aca="false">IF($C23="Small","",IFERROR(INDEX('R2. Understory Coefficients'!$E$8:$E$14,MATCH($E23,'R2. Understory Coefficients'!$I$8:$I$14,0)),""))</f>
        <v>311.586</v>
      </c>
      <c r="M23" s="14" t="n">
        <f aca="false">IF($C23="Small","",IFERROR(INDEX('R2. Understory Coefficients'!$F$8:$F$14,MATCH($E23,'R2. Understory Coefficients'!$I$8:$I$14,0)),""))</f>
        <v>0.845</v>
      </c>
      <c r="N23" s="14" t="n">
        <f aca="false">IF($C23="Small",IF($J23="","",$J23/1000),IF(OR($K23="",$L23="",$M23=""),"",($L23*($K23^$M23))/1000))</f>
        <v>0.236614779366098</v>
      </c>
      <c r="O23" s="14" t="n">
        <f aca="false">IF($N23="","",$N23*CARBON_FRACTION_BIOMASS)</f>
        <v>0.118307389683049</v>
      </c>
      <c r="P23" s="14" t="str">
        <f aca="false">IF(AND($A23="",$E23="",$J23=""),"",IF(AND($A23&lt;&gt;"",COUNTIF('1. Plot &amp; Site Log'!$A$5:$A$64,$A23)=0),"Plot ID not in Plot &amp; Site Log. ","")&amp;IF($C23="","No plot type — say whether this came from a Medium or a Small plot. ","")&amp;IF(AND($C23="Medium",$D23="tree",$F23=""),"Short-statured tree with no diameter at 0.3 m. ","")&amp;IF(AND($C23="Medium",$D23="shrub",OR($G23="",$H23="",$I23="")),"Shrub needs all three of length, width and height. ","")&amp;IF(AND($C23="Medium",$D23="shrub",$F23&lt;&gt;""),"Diameter entered for a shrub — it is ignored. Crown volume is used instead. ","")&amp;IF(AND($C23="Medium",$E23&lt;&gt;"",$L23=""),"Species not in the coefficient list — use 'all shrubs' if you have no closer match. ","")&amp;IF(AND($C23="Small",$J23=""),"Small-plot row with no clipped dry mass yet. ","")&amp;IF($N23&lt;&gt;"","Above-ground only: no root biomass is included for understory. ",""))</f>
        <v>Above-ground only: no root biomass is included for understory. </v>
      </c>
    </row>
    <row r="24" customFormat="false" ht="15" hidden="false" customHeight="false" outlineLevel="0" collapsed="false">
      <c r="A24" s="13" t="s">
        <v>83</v>
      </c>
      <c r="B24" s="13" t="s">
        <v>159</v>
      </c>
      <c r="C24" s="13" t="s">
        <v>156</v>
      </c>
      <c r="D24" s="13" t="s">
        <v>157</v>
      </c>
      <c r="E24" s="13" t="s">
        <v>173</v>
      </c>
      <c r="F24" s="13"/>
      <c r="G24" s="13" t="n">
        <v>1.25</v>
      </c>
      <c r="H24" s="13" t="n">
        <v>1.27</v>
      </c>
      <c r="I24" s="13" t="n">
        <v>1.25</v>
      </c>
      <c r="J24" s="15"/>
      <c r="K24" s="14" t="n">
        <f aca="false">IF($C24="Small","",IF($D24="tree",IF($F24="","",$F24),IF(OR($G24="",$H24="",$I24=""),"",$G24*$H24*$I24)))</f>
        <v>1.984375</v>
      </c>
      <c r="L24" s="14" t="n">
        <f aca="false">IF($C24="Small","",IFERROR(INDEX('R2. Understory Coefficients'!$E$8:$E$14,MATCH($E24,'R2. Understory Coefficients'!$I$8:$I$14,0)),""))</f>
        <v>311.586</v>
      </c>
      <c r="M24" s="14" t="n">
        <f aca="false">IF($C24="Small","",IFERROR(INDEX('R2. Understory Coefficients'!$F$8:$F$14,MATCH($E24,'R2. Understory Coefficients'!$I$8:$I$14,0)),""))</f>
        <v>0.845</v>
      </c>
      <c r="N24" s="14" t="n">
        <f aca="false">IF($C24="Small",IF($J24="","",$J24/1000),IF(OR($K24="",$L24="",$M24=""),"",($L24*($K24^$M24))/1000))</f>
        <v>0.55599386844278</v>
      </c>
      <c r="O24" s="14" t="n">
        <f aca="false">IF($N24="","",$N24*CARBON_FRACTION_BIOMASS)</f>
        <v>0.27799693422139</v>
      </c>
      <c r="P24" s="14" t="str">
        <f aca="false">IF(AND($A24="",$E24="",$J24=""),"",IF(AND($A24&lt;&gt;"",COUNTIF('1. Plot &amp; Site Log'!$A$5:$A$64,$A24)=0),"Plot ID not in Plot &amp; Site Log. ","")&amp;IF($C24="","No plot type — say whether this came from a Medium or a Small plot. ","")&amp;IF(AND($C24="Medium",$D24="tree",$F24=""),"Short-statured tree with no diameter at 0.3 m. ","")&amp;IF(AND($C24="Medium",$D24="shrub",OR($G24="",$H24="",$I24="")),"Shrub needs all three of length, width and height. ","")&amp;IF(AND($C24="Medium",$D24="shrub",$F24&lt;&gt;""),"Diameter entered for a shrub — it is ignored. Crown volume is used instead. ","")&amp;IF(AND($C24="Medium",$E24&lt;&gt;"",$L24=""),"Species not in the coefficient list — use 'all shrubs' if you have no closer match. ","")&amp;IF(AND($C24="Small",$J24=""),"Small-plot row with no clipped dry mass yet. ","")&amp;IF($N24&lt;&gt;"","Above-ground only: no root biomass is included for understory. ",""))</f>
        <v>Above-ground only: no root biomass is included for understory. </v>
      </c>
    </row>
    <row r="25" customFormat="false" ht="15" hidden="false" customHeight="false" outlineLevel="0" collapsed="false">
      <c r="A25" s="13" t="s">
        <v>83</v>
      </c>
      <c r="B25" s="13" t="s">
        <v>161</v>
      </c>
      <c r="C25" s="13" t="s">
        <v>156</v>
      </c>
      <c r="D25" s="13" t="s">
        <v>157</v>
      </c>
      <c r="E25" s="13" t="s">
        <v>174</v>
      </c>
      <c r="F25" s="13"/>
      <c r="G25" s="13" t="n">
        <v>1.3</v>
      </c>
      <c r="H25" s="13" t="n">
        <v>0.92</v>
      </c>
      <c r="I25" s="13" t="n">
        <v>0.71</v>
      </c>
      <c r="J25" s="15"/>
      <c r="K25" s="14" t="n">
        <f aca="false">IF($C25="Small","",IF($D25="tree",IF($F25="","",$F25),IF(OR($G25="",$H25="",$I25=""),"",$G25*$H25*$I25)))</f>
        <v>0.84916</v>
      </c>
      <c r="L25" s="14" t="n">
        <f aca="false">IF($C25="Small","",IFERROR(INDEX('R2. Understory Coefficients'!$E$8:$E$14,MATCH($E25,'R2. Understory Coefficients'!$I$8:$I$14,0)),""))</f>
        <v>262.469</v>
      </c>
      <c r="M25" s="14" t="n">
        <f aca="false">IF($C25="Small","",IFERROR(INDEX('R2. Understory Coefficients'!$F$8:$F$14,MATCH($E25,'R2. Understory Coefficients'!$I$8:$I$14,0)),""))</f>
        <v>0.785</v>
      </c>
      <c r="N25" s="14" t="n">
        <f aca="false">IF($C25="Small",IF($J25="","",$J25/1000),IF(OR($K25="",$L25="",$M25=""),"",($L25*($K25^$M25))/1000))</f>
        <v>0.230852613913974</v>
      </c>
      <c r="O25" s="14" t="n">
        <f aca="false">IF($N25="","",$N25*CARBON_FRACTION_BIOMASS)</f>
        <v>0.115426306956987</v>
      </c>
      <c r="P25" s="14" t="str">
        <f aca="false">IF(AND($A25="",$E25="",$J25=""),"",IF(AND($A25&lt;&gt;"",COUNTIF('1. Plot &amp; Site Log'!$A$5:$A$64,$A25)=0),"Plot ID not in Plot &amp; Site Log. ","")&amp;IF($C25="","No plot type — say whether this came from a Medium or a Small plot. ","")&amp;IF(AND($C25="Medium",$D25="tree",$F25=""),"Short-statured tree with no diameter at 0.3 m. ","")&amp;IF(AND($C25="Medium",$D25="shrub",OR($G25="",$H25="",$I25="")),"Shrub needs all three of length, width and height. ","")&amp;IF(AND($C25="Medium",$D25="shrub",$F25&lt;&gt;""),"Diameter entered for a shrub — it is ignored. Crown volume is used instead. ","")&amp;IF(AND($C25="Medium",$E25&lt;&gt;"",$L25=""),"Species not in the coefficient list — use 'all shrubs' if you have no closer match. ","")&amp;IF(AND($C25="Small",$J25=""),"Small-plot row with no clipped dry mass yet. ","")&amp;IF($N25&lt;&gt;"","Above-ground only: no root biomass is included for understory. ",""))</f>
        <v>Above-ground only: no root biomass is included for understory. </v>
      </c>
    </row>
    <row r="26" customFormat="false" ht="15" hidden="false" customHeight="false" outlineLevel="0" collapsed="false">
      <c r="A26" s="13" t="s">
        <v>83</v>
      </c>
      <c r="B26" s="13" t="s">
        <v>165</v>
      </c>
      <c r="C26" s="13" t="s">
        <v>156</v>
      </c>
      <c r="D26" s="13" t="s">
        <v>166</v>
      </c>
      <c r="E26" s="13" t="s">
        <v>167</v>
      </c>
      <c r="F26" s="13" t="n">
        <v>2.6</v>
      </c>
      <c r="G26" s="13"/>
      <c r="H26" s="13"/>
      <c r="I26" s="13"/>
      <c r="J26" s="15"/>
      <c r="K26" s="14" t="n">
        <f aca="false">IF($C26="Small","",IF($D26="tree",IF($F26="","",$F26),IF(OR($G26="",$H26="",$I26=""),"",$G26*$H26*$I26)))</f>
        <v>2.6</v>
      </c>
      <c r="L26" s="14" t="n">
        <f aca="false">IF($C26="Small","",IFERROR(INDEX('R2. Understory Coefficients'!$E$8:$E$14,MATCH($E26,'R2. Understory Coefficients'!$I$8:$I$14,0)),""))</f>
        <v>59.0721</v>
      </c>
      <c r="M26" s="14" t="n">
        <f aca="false">IF($C26="Small","",IFERROR(INDEX('R2. Understory Coefficients'!$F$8:$F$14,MATCH($E26,'R2. Understory Coefficients'!$I$8:$I$14,0)),""))</f>
        <v>2.272</v>
      </c>
      <c r="N26" s="14" t="n">
        <f aca="false">IF($C26="Small",IF($J26="","",$J26/1000),IF(OR($K26="",$L26="",$M26=""),"",($L26*($K26^$M26))/1000))</f>
        <v>0.51784746761395</v>
      </c>
      <c r="O26" s="14" t="n">
        <f aca="false">IF($N26="","",$N26*CARBON_FRACTION_BIOMASS)</f>
        <v>0.258923733806975</v>
      </c>
      <c r="P26" s="14" t="str">
        <f aca="false">IF(AND($A26="",$E26="",$J26=""),"",IF(AND($A26&lt;&gt;"",COUNTIF('1. Plot &amp; Site Log'!$A$5:$A$64,$A26)=0),"Plot ID not in Plot &amp; Site Log. ","")&amp;IF($C26="","No plot type — say whether this came from a Medium or a Small plot. ","")&amp;IF(AND($C26="Medium",$D26="tree",$F26=""),"Short-statured tree with no diameter at 0.3 m. ","")&amp;IF(AND($C26="Medium",$D26="shrub",OR($G26="",$H26="",$I26="")),"Shrub needs all three of length, width and height. ","")&amp;IF(AND($C26="Medium",$D26="shrub",$F26&lt;&gt;""),"Diameter entered for a shrub — it is ignored. Crown volume is used instead. ","")&amp;IF(AND($C26="Medium",$E26&lt;&gt;"",$L26=""),"Species not in the coefficient list — use 'all shrubs' if you have no closer match. ","")&amp;IF(AND($C26="Small",$J26=""),"Small-plot row with no clipped dry mass yet. ","")&amp;IF($N26&lt;&gt;"","Above-ground only: no root biomass is included for understory. ",""))</f>
        <v>Above-ground only: no root biomass is included for understory. </v>
      </c>
    </row>
    <row r="27" customFormat="false" ht="15" hidden="false" customHeight="false" outlineLevel="0" collapsed="false">
      <c r="A27" s="13" t="s">
        <v>83</v>
      </c>
      <c r="B27" s="13" t="s">
        <v>168</v>
      </c>
      <c r="C27" s="13" t="s">
        <v>169</v>
      </c>
      <c r="D27" s="13" t="s">
        <v>170</v>
      </c>
      <c r="E27" s="13" t="s">
        <v>171</v>
      </c>
      <c r="F27" s="13"/>
      <c r="G27" s="13"/>
      <c r="H27" s="13"/>
      <c r="I27" s="13"/>
      <c r="J27" s="15" t="n">
        <v>165.2</v>
      </c>
      <c r="K27" s="14" t="str">
        <f aca="false">IF($C27="Small","",IF($D27="tree",IF($F27="","",$F27),IF(OR($G27="",$H27="",$I27=""),"",$G27*$H27*$I27)))</f>
        <v/>
      </c>
      <c r="L27" s="14" t="str">
        <f aca="false">IF($C27="Small","",IFERROR(INDEX('R2. Understory Coefficients'!$E$8:$E$14,MATCH($E27,'R2. Understory Coefficients'!$I$8:$I$14,0)),""))</f>
        <v/>
      </c>
      <c r="M27" s="14" t="str">
        <f aca="false">IF($C27="Small","",IFERROR(INDEX('R2. Understory Coefficients'!$F$8:$F$14,MATCH($E27,'R2. Understory Coefficients'!$I$8:$I$14,0)),""))</f>
        <v/>
      </c>
      <c r="N27" s="14" t="n">
        <f aca="false">IF($C27="Small",IF($J27="","",$J27/1000),IF(OR($K27="",$L27="",$M27=""),"",($L27*($K27^$M27))/1000))</f>
        <v>0.1652</v>
      </c>
      <c r="O27" s="14" t="n">
        <f aca="false">IF($N27="","",$N27*CARBON_FRACTION_BIOMASS)</f>
        <v>0.0826</v>
      </c>
      <c r="P27" s="14" t="str">
        <f aca="false">IF(AND($A27="",$E27="",$J27=""),"",IF(AND($A27&lt;&gt;"",COUNTIF('1. Plot &amp; Site Log'!$A$5:$A$64,$A27)=0),"Plot ID not in Plot &amp; Site Log. ","")&amp;IF($C27="","No plot type — say whether this came from a Medium or a Small plot. ","")&amp;IF(AND($C27="Medium",$D27="tree",$F27=""),"Short-statured tree with no diameter at 0.3 m. ","")&amp;IF(AND($C27="Medium",$D27="shrub",OR($G27="",$H27="",$I27="")),"Shrub needs all three of length, width and height. ","")&amp;IF(AND($C27="Medium",$D27="shrub",$F27&lt;&gt;""),"Diameter entered for a shrub — it is ignored. Crown volume is used instead. ","")&amp;IF(AND($C27="Medium",$E27&lt;&gt;"",$L27=""),"Species not in the coefficient list — use 'all shrubs' if you have no closer match. ","")&amp;IF(AND($C27="Small",$J27=""),"Small-plot row with no clipped dry mass yet. ","")&amp;IF($N27&lt;&gt;"","Above-ground only: no root biomass is included for understory. ",""))</f>
        <v>Above-ground only: no root biomass is included for understory. </v>
      </c>
    </row>
    <row r="28" customFormat="false" ht="15" hidden="false" customHeight="false" outlineLevel="0" collapsed="false">
      <c r="A28" s="13" t="s">
        <v>83</v>
      </c>
      <c r="B28" s="13" t="s">
        <v>172</v>
      </c>
      <c r="C28" s="13" t="s">
        <v>169</v>
      </c>
      <c r="D28" s="13" t="s">
        <v>170</v>
      </c>
      <c r="E28" s="13" t="s">
        <v>171</v>
      </c>
      <c r="F28" s="13"/>
      <c r="G28" s="13"/>
      <c r="H28" s="13"/>
      <c r="I28" s="13"/>
      <c r="J28" s="15" t="n">
        <v>131.6</v>
      </c>
      <c r="K28" s="14" t="str">
        <f aca="false">IF($C28="Small","",IF($D28="tree",IF($F28="","",$F28),IF(OR($G28="",$H28="",$I28=""),"",$G28*$H28*$I28)))</f>
        <v/>
      </c>
      <c r="L28" s="14" t="str">
        <f aca="false">IF($C28="Small","",IFERROR(INDEX('R2. Understory Coefficients'!$E$8:$E$14,MATCH($E28,'R2. Understory Coefficients'!$I$8:$I$14,0)),""))</f>
        <v/>
      </c>
      <c r="M28" s="14" t="str">
        <f aca="false">IF($C28="Small","",IFERROR(INDEX('R2. Understory Coefficients'!$F$8:$F$14,MATCH($E28,'R2. Understory Coefficients'!$I$8:$I$14,0)),""))</f>
        <v/>
      </c>
      <c r="N28" s="14" t="n">
        <f aca="false">IF($C28="Small",IF($J28="","",$J28/1000),IF(OR($K28="",$L28="",$M28=""),"",($L28*($K28^$M28))/1000))</f>
        <v>0.1316</v>
      </c>
      <c r="O28" s="14" t="n">
        <f aca="false">IF($N28="","",$N28*CARBON_FRACTION_BIOMASS)</f>
        <v>0.0658</v>
      </c>
      <c r="P28" s="14" t="str">
        <f aca="false">IF(AND($A28="",$E28="",$J28=""),"",IF(AND($A28&lt;&gt;"",COUNTIF('1. Plot &amp; Site Log'!$A$5:$A$64,$A28)=0),"Plot ID not in Plot &amp; Site Log. ","")&amp;IF($C28="","No plot type — say whether this came from a Medium or a Small plot. ","")&amp;IF(AND($C28="Medium",$D28="tree",$F28=""),"Short-statured tree with no diameter at 0.3 m. ","")&amp;IF(AND($C28="Medium",$D28="shrub",OR($G28="",$H28="",$I28="")),"Shrub needs all three of length, width and height. ","")&amp;IF(AND($C28="Medium",$D28="shrub",$F28&lt;&gt;""),"Diameter entered for a shrub — it is ignored. Crown volume is used instead. ","")&amp;IF(AND($C28="Medium",$E28&lt;&gt;"",$L28=""),"Species not in the coefficient list — use 'all shrubs' if you have no closer match. ","")&amp;IF(AND($C28="Small",$J28=""),"Small-plot row with no clipped dry mass yet. ","")&amp;IF($N28&lt;&gt;"","Above-ground only: no root biomass is included for understory. ",""))</f>
        <v>Above-ground only: no root biomass is included for understory. </v>
      </c>
    </row>
    <row r="29" customFormat="false" ht="15" hidden="false" customHeight="false" outlineLevel="0" collapsed="false">
      <c r="A29" s="13" t="s">
        <v>86</v>
      </c>
      <c r="B29" s="13" t="s">
        <v>155</v>
      </c>
      <c r="C29" s="13" t="s">
        <v>156</v>
      </c>
      <c r="D29" s="13" t="s">
        <v>157</v>
      </c>
      <c r="E29" s="13" t="s">
        <v>174</v>
      </c>
      <c r="F29" s="13"/>
      <c r="G29" s="13" t="n">
        <v>1.57</v>
      </c>
      <c r="H29" s="13" t="n">
        <v>1.02</v>
      </c>
      <c r="I29" s="13" t="n">
        <v>1.14</v>
      </c>
      <c r="J29" s="15"/>
      <c r="K29" s="14" t="n">
        <f aca="false">IF($C29="Small","",IF($D29="tree",IF($F29="","",$F29),IF(OR($G29="",$H29="",$I29=""),"",$G29*$H29*$I29)))</f>
        <v>1.825596</v>
      </c>
      <c r="L29" s="14" t="n">
        <f aca="false">IF($C29="Small","",IFERROR(INDEX('R2. Understory Coefficients'!$E$8:$E$14,MATCH($E29,'R2. Understory Coefficients'!$I$8:$I$14,0)),""))</f>
        <v>262.469</v>
      </c>
      <c r="M29" s="14" t="n">
        <f aca="false">IF($C29="Small","",IFERROR(INDEX('R2. Understory Coefficients'!$F$8:$F$14,MATCH($E29,'R2. Understory Coefficients'!$I$8:$I$14,0)),""))</f>
        <v>0.785</v>
      </c>
      <c r="N29" s="14" t="n">
        <f aca="false">IF($C29="Small",IF($J29="","",$J29/1000),IF(OR($K29="",$L29="",$M29=""),"",($L29*($K29^$M29))/1000))</f>
        <v>0.420998634173685</v>
      </c>
      <c r="O29" s="14" t="n">
        <f aca="false">IF($N29="","",$N29*CARBON_FRACTION_BIOMASS)</f>
        <v>0.210499317086842</v>
      </c>
      <c r="P29" s="14" t="str">
        <f aca="false">IF(AND($A29="",$E29="",$J29=""),"",IF(AND($A29&lt;&gt;"",COUNTIF('1. Plot &amp; Site Log'!$A$5:$A$64,$A29)=0),"Plot ID not in Plot &amp; Site Log. ","")&amp;IF($C29="","No plot type — say whether this came from a Medium or a Small plot. ","")&amp;IF(AND($C29="Medium",$D29="tree",$F29=""),"Short-statured tree with no diameter at 0.3 m. ","")&amp;IF(AND($C29="Medium",$D29="shrub",OR($G29="",$H29="",$I29="")),"Shrub needs all three of length, width and height. ","")&amp;IF(AND($C29="Medium",$D29="shrub",$F29&lt;&gt;""),"Diameter entered for a shrub — it is ignored. Crown volume is used instead. ","")&amp;IF(AND($C29="Medium",$E29&lt;&gt;"",$L29=""),"Species not in the coefficient list — use 'all shrubs' if you have no closer match. ","")&amp;IF(AND($C29="Small",$J29=""),"Small-plot row with no clipped dry mass yet. ","")&amp;IF($N29&lt;&gt;"","Above-ground only: no root biomass is included for understory. ",""))</f>
        <v>Above-ground only: no root biomass is included for understory. </v>
      </c>
    </row>
    <row r="30" customFormat="false" ht="15" hidden="false" customHeight="false" outlineLevel="0" collapsed="false">
      <c r="A30" s="13" t="s">
        <v>86</v>
      </c>
      <c r="B30" s="13" t="s">
        <v>159</v>
      </c>
      <c r="C30" s="13" t="s">
        <v>156</v>
      </c>
      <c r="D30" s="13" t="s">
        <v>157</v>
      </c>
      <c r="E30" s="13" t="s">
        <v>175</v>
      </c>
      <c r="F30" s="13"/>
      <c r="G30" s="13" t="n">
        <v>0.68</v>
      </c>
      <c r="H30" s="13" t="n">
        <v>0.5</v>
      </c>
      <c r="I30" s="13" t="n">
        <v>0.84</v>
      </c>
      <c r="J30" s="15"/>
      <c r="K30" s="14" t="n">
        <f aca="false">IF($C30="Small","",IF($D30="tree",IF($F30="","",$F30),IF(OR($G30="",$H30="",$I30=""),"",$G30*$H30*$I30)))</f>
        <v>0.2856</v>
      </c>
      <c r="L30" s="14" t="n">
        <f aca="false">IF($C30="Small","",IFERROR(INDEX('R2. Understory Coefficients'!$E$8:$E$14,MATCH($E30,'R2. Understory Coefficients'!$I$8:$I$14,0)),""))</f>
        <v>342.416</v>
      </c>
      <c r="M30" s="14" t="n">
        <f aca="false">IF($C30="Small","",IFERROR(INDEX('R2. Understory Coefficients'!$F$8:$F$14,MATCH($E30,'R2. Understory Coefficients'!$I$8:$I$14,0)),""))</f>
        <v>0.8386</v>
      </c>
      <c r="N30" s="14" t="n">
        <f aca="false">IF($C30="Small",IF($J30="","",$J30/1000),IF(OR($K30="",$L30="",$M30=""),"",($L30*($K30^$M30))/1000))</f>
        <v>0.119716187778089</v>
      </c>
      <c r="O30" s="14" t="n">
        <f aca="false">IF($N30="","",$N30*CARBON_FRACTION_BIOMASS)</f>
        <v>0.0598580938890444</v>
      </c>
      <c r="P30" s="14" t="str">
        <f aca="false">IF(AND($A30="",$E30="",$J30=""),"",IF(AND($A30&lt;&gt;"",COUNTIF('1. Plot &amp; Site Log'!$A$5:$A$64,$A30)=0),"Plot ID not in Plot &amp; Site Log. ","")&amp;IF($C30="","No plot type — say whether this came from a Medium or a Small plot. ","")&amp;IF(AND($C30="Medium",$D30="tree",$F30=""),"Short-statured tree with no diameter at 0.3 m. ","")&amp;IF(AND($C30="Medium",$D30="shrub",OR($G30="",$H30="",$I30="")),"Shrub needs all three of length, width and height. ","")&amp;IF(AND($C30="Medium",$D30="shrub",$F30&lt;&gt;""),"Diameter entered for a shrub — it is ignored. Crown volume is used instead. ","")&amp;IF(AND($C30="Medium",$E30&lt;&gt;"",$L30=""),"Species not in the coefficient list — use 'all shrubs' if you have no closer match. ","")&amp;IF(AND($C30="Small",$J30=""),"Small-plot row with no clipped dry mass yet. ","")&amp;IF($N30&lt;&gt;"","Above-ground only: no root biomass is included for understory. ",""))</f>
        <v>Above-ground only: no root biomass is included for understory. </v>
      </c>
    </row>
    <row r="31" customFormat="false" ht="15" hidden="false" customHeight="false" outlineLevel="0" collapsed="false">
      <c r="A31" s="13" t="s">
        <v>86</v>
      </c>
      <c r="B31" s="13" t="s">
        <v>161</v>
      </c>
      <c r="C31" s="13" t="s">
        <v>156</v>
      </c>
      <c r="D31" s="13" t="s">
        <v>157</v>
      </c>
      <c r="E31" s="13" t="s">
        <v>174</v>
      </c>
      <c r="F31" s="13"/>
      <c r="G31" s="13" t="n">
        <v>1.03</v>
      </c>
      <c r="H31" s="13" t="n">
        <v>0.74</v>
      </c>
      <c r="I31" s="13" t="n">
        <v>1.46</v>
      </c>
      <c r="J31" s="15"/>
      <c r="K31" s="14" t="n">
        <f aca="false">IF($C31="Small","",IF($D31="tree",IF($F31="","",$F31),IF(OR($G31="",$H31="",$I31=""),"",$G31*$H31*$I31)))</f>
        <v>1.112812</v>
      </c>
      <c r="L31" s="14" t="n">
        <f aca="false">IF($C31="Small","",IFERROR(INDEX('R2. Understory Coefficients'!$E$8:$E$14,MATCH($E31,'R2. Understory Coefficients'!$I$8:$I$14,0)),""))</f>
        <v>262.469</v>
      </c>
      <c r="M31" s="14" t="n">
        <f aca="false">IF($C31="Small","",IFERROR(INDEX('R2. Understory Coefficients'!$F$8:$F$14,MATCH($E31,'R2. Understory Coefficients'!$I$8:$I$14,0)),""))</f>
        <v>0.785</v>
      </c>
      <c r="N31" s="14" t="n">
        <f aca="false">IF($C31="Small",IF($J31="","",$J31/1000),IF(OR($K31="",$L31="",$M31=""),"",($L31*($K31^$M31))/1000))</f>
        <v>0.285442824269445</v>
      </c>
      <c r="O31" s="14" t="n">
        <f aca="false">IF($N31="","",$N31*CARBON_FRACTION_BIOMASS)</f>
        <v>0.142721412134723</v>
      </c>
      <c r="P31" s="14" t="str">
        <f aca="false">IF(AND($A31="",$E31="",$J31=""),"",IF(AND($A31&lt;&gt;"",COUNTIF('1. Plot &amp; Site Log'!$A$5:$A$64,$A31)=0),"Plot ID not in Plot &amp; Site Log. ","")&amp;IF($C31="","No plot type — say whether this came from a Medium or a Small plot. ","")&amp;IF(AND($C31="Medium",$D31="tree",$F31=""),"Short-statured tree with no diameter at 0.3 m. ","")&amp;IF(AND($C31="Medium",$D31="shrub",OR($G31="",$H31="",$I31="")),"Shrub needs all three of length, width and height. ","")&amp;IF(AND($C31="Medium",$D31="shrub",$F31&lt;&gt;""),"Diameter entered for a shrub — it is ignored. Crown volume is used instead. ","")&amp;IF(AND($C31="Medium",$E31&lt;&gt;"",$L31=""),"Species not in the coefficient list — use 'all shrubs' if you have no closer match. ","")&amp;IF(AND($C31="Small",$J31=""),"Small-plot row with no clipped dry mass yet. ","")&amp;IF($N31&lt;&gt;"","Above-ground only: no root biomass is included for understory. ",""))</f>
        <v>Above-ground only: no root biomass is included for understory. </v>
      </c>
    </row>
    <row r="32" customFormat="false" ht="15" hidden="false" customHeight="false" outlineLevel="0" collapsed="false">
      <c r="A32" s="13" t="s">
        <v>86</v>
      </c>
      <c r="B32" s="13" t="s">
        <v>162</v>
      </c>
      <c r="C32" s="13" t="s">
        <v>156</v>
      </c>
      <c r="D32" s="13" t="s">
        <v>157</v>
      </c>
      <c r="E32" s="13" t="s">
        <v>173</v>
      </c>
      <c r="F32" s="13"/>
      <c r="G32" s="13" t="n">
        <v>1.21</v>
      </c>
      <c r="H32" s="13" t="n">
        <v>1.24</v>
      </c>
      <c r="I32" s="13" t="n">
        <v>0.61</v>
      </c>
      <c r="J32" s="15"/>
      <c r="K32" s="14" t="n">
        <f aca="false">IF($C32="Small","",IF($D32="tree",IF($F32="","",$F32),IF(OR($G32="",$H32="",$I32=""),"",$G32*$H32*$I32)))</f>
        <v>0.915244</v>
      </c>
      <c r="L32" s="14" t="n">
        <f aca="false">IF($C32="Small","",IFERROR(INDEX('R2. Understory Coefficients'!$E$8:$E$14,MATCH($E32,'R2. Understory Coefficients'!$I$8:$I$14,0)),""))</f>
        <v>311.586</v>
      </c>
      <c r="M32" s="14" t="n">
        <f aca="false">IF($C32="Small","",IFERROR(INDEX('R2. Understory Coefficients'!$F$8:$F$14,MATCH($E32,'R2. Understory Coefficients'!$I$8:$I$14,0)),""))</f>
        <v>0.845</v>
      </c>
      <c r="N32" s="14" t="n">
        <f aca="false">IF($C32="Small",IF($J32="","",$J32/1000),IF(OR($K32="",$L32="",$M32=""),"",($L32*($K32^$M32))/1000))</f>
        <v>0.289118983588514</v>
      </c>
      <c r="O32" s="14" t="n">
        <f aca="false">IF($N32="","",$N32*CARBON_FRACTION_BIOMASS)</f>
        <v>0.144559491794257</v>
      </c>
      <c r="P32" s="14" t="str">
        <f aca="false">IF(AND($A32="",$E32="",$J32=""),"",IF(AND($A32&lt;&gt;"",COUNTIF('1. Plot &amp; Site Log'!$A$5:$A$64,$A32)=0),"Plot ID not in Plot &amp; Site Log. ","")&amp;IF($C32="","No plot type — say whether this came from a Medium or a Small plot. ","")&amp;IF(AND($C32="Medium",$D32="tree",$F32=""),"Short-statured tree with no diameter at 0.3 m. ","")&amp;IF(AND($C32="Medium",$D32="shrub",OR($G32="",$H32="",$I32="")),"Shrub needs all three of length, width and height. ","")&amp;IF(AND($C32="Medium",$D32="shrub",$F32&lt;&gt;""),"Diameter entered for a shrub — it is ignored. Crown volume is used instead. ","")&amp;IF(AND($C32="Medium",$E32&lt;&gt;"",$L32=""),"Species not in the coefficient list — use 'all shrubs' if you have no closer match. ","")&amp;IF(AND($C32="Small",$J32=""),"Small-plot row with no clipped dry mass yet. ","")&amp;IF($N32&lt;&gt;"","Above-ground only: no root biomass is included for understory. ",""))</f>
        <v>Above-ground only: no root biomass is included for understory. </v>
      </c>
    </row>
    <row r="33" customFormat="false" ht="15" hidden="false" customHeight="false" outlineLevel="0" collapsed="false">
      <c r="A33" s="13" t="s">
        <v>86</v>
      </c>
      <c r="B33" s="13" t="s">
        <v>163</v>
      </c>
      <c r="C33" s="13" t="s">
        <v>156</v>
      </c>
      <c r="D33" s="13" t="s">
        <v>157</v>
      </c>
      <c r="E33" s="13" t="s">
        <v>158</v>
      </c>
      <c r="F33" s="13"/>
      <c r="G33" s="13" t="n">
        <v>1.41</v>
      </c>
      <c r="H33" s="13" t="n">
        <v>1.36</v>
      </c>
      <c r="I33" s="13" t="n">
        <v>0.88</v>
      </c>
      <c r="J33" s="15"/>
      <c r="K33" s="14" t="n">
        <f aca="false">IF($C33="Small","",IF($D33="tree",IF($F33="","",$F33),IF(OR($G33="",$H33="",$I33=""),"",$G33*$H33*$I33)))</f>
        <v>1.687488</v>
      </c>
      <c r="L33" s="14" t="n">
        <f aca="false">IF($C33="Small","",IFERROR(INDEX('R2. Understory Coefficients'!$E$8:$E$14,MATCH($E33,'R2. Understory Coefficients'!$I$8:$I$14,0)),""))</f>
        <v>232.212</v>
      </c>
      <c r="M33" s="14" t="n">
        <f aca="false">IF($C33="Small","",IFERROR(INDEX('R2. Understory Coefficients'!$F$8:$F$14,MATCH($E33,'R2. Understory Coefficients'!$I$8:$I$14,0)),""))</f>
        <v>0.629</v>
      </c>
      <c r="N33" s="14" t="n">
        <f aca="false">IF($C33="Small",IF($J33="","",$J33/1000),IF(OR($K33="",$L33="",$M33=""),"",($L33*($K33^$M33))/1000))</f>
        <v>0.322714927795474</v>
      </c>
      <c r="O33" s="14" t="n">
        <f aca="false">IF($N33="","",$N33*CARBON_FRACTION_BIOMASS)</f>
        <v>0.161357463897737</v>
      </c>
      <c r="P33" s="14" t="str">
        <f aca="false">IF(AND($A33="",$E33="",$J33=""),"",IF(AND($A33&lt;&gt;"",COUNTIF('1. Plot &amp; Site Log'!$A$5:$A$64,$A33)=0),"Plot ID not in Plot &amp; Site Log. ","")&amp;IF($C33="","No plot type — say whether this came from a Medium or a Small plot. ","")&amp;IF(AND($C33="Medium",$D33="tree",$F33=""),"Short-statured tree with no diameter at 0.3 m. ","")&amp;IF(AND($C33="Medium",$D33="shrub",OR($G33="",$H33="",$I33="")),"Shrub needs all three of length, width and height. ","")&amp;IF(AND($C33="Medium",$D33="shrub",$F33&lt;&gt;""),"Diameter entered for a shrub — it is ignored. Crown volume is used instead. ","")&amp;IF(AND($C33="Medium",$E33&lt;&gt;"",$L33=""),"Species not in the coefficient list — use 'all shrubs' if you have no closer match. ","")&amp;IF(AND($C33="Small",$J33=""),"Small-plot row with no clipped dry mass yet. ","")&amp;IF($N33&lt;&gt;"","Above-ground only: no root biomass is included for understory. ",""))</f>
        <v>Above-ground only: no root biomass is included for understory. </v>
      </c>
    </row>
    <row r="34" customFormat="false" ht="15" hidden="false" customHeight="false" outlineLevel="0" collapsed="false">
      <c r="A34" s="13" t="s">
        <v>86</v>
      </c>
      <c r="B34" s="13" t="s">
        <v>164</v>
      </c>
      <c r="C34" s="13" t="s">
        <v>156</v>
      </c>
      <c r="D34" s="13" t="s">
        <v>157</v>
      </c>
      <c r="E34" s="13" t="s">
        <v>174</v>
      </c>
      <c r="F34" s="13"/>
      <c r="G34" s="13" t="n">
        <v>1.45</v>
      </c>
      <c r="H34" s="13" t="n">
        <v>1.51</v>
      </c>
      <c r="I34" s="13" t="n">
        <v>1.69</v>
      </c>
      <c r="J34" s="15"/>
      <c r="K34" s="14" t="n">
        <f aca="false">IF($C34="Small","",IF($D34="tree",IF($F34="","",$F34),IF(OR($G34="",$H34="",$I34=""),"",$G34*$H34*$I34)))</f>
        <v>3.700255</v>
      </c>
      <c r="L34" s="14" t="n">
        <f aca="false">IF($C34="Small","",IFERROR(INDEX('R2. Understory Coefficients'!$E$8:$E$14,MATCH($E34,'R2. Understory Coefficients'!$I$8:$I$14,0)),""))</f>
        <v>262.469</v>
      </c>
      <c r="M34" s="14" t="n">
        <f aca="false">IF($C34="Small","",IFERROR(INDEX('R2. Understory Coefficients'!$F$8:$F$14,MATCH($E34,'R2. Understory Coefficients'!$I$8:$I$14,0)),""))</f>
        <v>0.785</v>
      </c>
      <c r="N34" s="14" t="n">
        <f aca="false">IF($C34="Small",IF($J34="","",$J34/1000),IF(OR($K34="",$L34="",$M34=""),"",($L34*($K34^$M34))/1000))</f>
        <v>0.733060578242956</v>
      </c>
      <c r="O34" s="14" t="n">
        <f aca="false">IF($N34="","",$N34*CARBON_FRACTION_BIOMASS)</f>
        <v>0.366530289121478</v>
      </c>
      <c r="P34" s="14" t="str">
        <f aca="false">IF(AND($A34="",$E34="",$J34=""),"",IF(AND($A34&lt;&gt;"",COUNTIF('1. Plot &amp; Site Log'!$A$5:$A$64,$A34)=0),"Plot ID not in Plot &amp; Site Log. ","")&amp;IF($C34="","No plot type — say whether this came from a Medium or a Small plot. ","")&amp;IF(AND($C34="Medium",$D34="tree",$F34=""),"Short-statured tree with no diameter at 0.3 m. ","")&amp;IF(AND($C34="Medium",$D34="shrub",OR($G34="",$H34="",$I34="")),"Shrub needs all three of length, width and height. ","")&amp;IF(AND($C34="Medium",$D34="shrub",$F34&lt;&gt;""),"Diameter entered for a shrub — it is ignored. Crown volume is used instead. ","")&amp;IF(AND($C34="Medium",$E34&lt;&gt;"",$L34=""),"Species not in the coefficient list — use 'all shrubs' if you have no closer match. ","")&amp;IF(AND($C34="Small",$J34=""),"Small-plot row with no clipped dry mass yet. ","")&amp;IF($N34&lt;&gt;"","Above-ground only: no root biomass is included for understory. ",""))</f>
        <v>Above-ground only: no root biomass is included for understory. </v>
      </c>
    </row>
    <row r="35" customFormat="false" ht="15" hidden="false" customHeight="false" outlineLevel="0" collapsed="false">
      <c r="A35" s="13" t="s">
        <v>86</v>
      </c>
      <c r="B35" s="13" t="s">
        <v>165</v>
      </c>
      <c r="C35" s="13" t="s">
        <v>156</v>
      </c>
      <c r="D35" s="13" t="s">
        <v>166</v>
      </c>
      <c r="E35" s="13" t="s">
        <v>167</v>
      </c>
      <c r="F35" s="13" t="n">
        <v>3.6</v>
      </c>
      <c r="G35" s="13"/>
      <c r="H35" s="13"/>
      <c r="I35" s="13"/>
      <c r="J35" s="15"/>
      <c r="K35" s="14" t="n">
        <f aca="false">IF($C35="Small","",IF($D35="tree",IF($F35="","",$F35),IF(OR($G35="",$H35="",$I35=""),"",$G35*$H35*$I35)))</f>
        <v>3.6</v>
      </c>
      <c r="L35" s="14" t="n">
        <f aca="false">IF($C35="Small","",IFERROR(INDEX('R2. Understory Coefficients'!$E$8:$E$14,MATCH($E35,'R2. Understory Coefficients'!$I$8:$I$14,0)),""))</f>
        <v>59.0721</v>
      </c>
      <c r="M35" s="14" t="n">
        <f aca="false">IF($C35="Small","",IFERROR(INDEX('R2. Understory Coefficients'!$F$8:$F$14,MATCH($E35,'R2. Understory Coefficients'!$I$8:$I$14,0)),""))</f>
        <v>2.272</v>
      </c>
      <c r="N35" s="14" t="n">
        <f aca="false">IF($C35="Small",IF($J35="","",$J35/1000),IF(OR($K35="",$L35="",$M35=""),"",($L35*($K35^$M35))/1000))</f>
        <v>1.0846801486227</v>
      </c>
      <c r="O35" s="14" t="n">
        <f aca="false">IF($N35="","",$N35*CARBON_FRACTION_BIOMASS)</f>
        <v>0.54234007431135</v>
      </c>
      <c r="P35" s="14" t="str">
        <f aca="false">IF(AND($A35="",$E35="",$J35=""),"",IF(AND($A35&lt;&gt;"",COUNTIF('1. Plot &amp; Site Log'!$A$5:$A$64,$A35)=0),"Plot ID not in Plot &amp; Site Log. ","")&amp;IF($C35="","No plot type — say whether this came from a Medium or a Small plot. ","")&amp;IF(AND($C35="Medium",$D35="tree",$F35=""),"Short-statured tree with no diameter at 0.3 m. ","")&amp;IF(AND($C35="Medium",$D35="shrub",OR($G35="",$H35="",$I35="")),"Shrub needs all three of length, width and height. ","")&amp;IF(AND($C35="Medium",$D35="shrub",$F35&lt;&gt;""),"Diameter entered for a shrub — it is ignored. Crown volume is used instead. ","")&amp;IF(AND($C35="Medium",$E35&lt;&gt;"",$L35=""),"Species not in the coefficient list — use 'all shrubs' if you have no closer match. ","")&amp;IF(AND($C35="Small",$J35=""),"Small-plot row with no clipped dry mass yet. ","")&amp;IF($N35&lt;&gt;"","Above-ground only: no root biomass is included for understory. ",""))</f>
        <v>Above-ground only: no root biomass is included for understory. </v>
      </c>
    </row>
    <row r="36" customFormat="false" ht="15" hidden="false" customHeight="false" outlineLevel="0" collapsed="false">
      <c r="A36" s="13" t="s">
        <v>86</v>
      </c>
      <c r="B36" s="13" t="s">
        <v>168</v>
      </c>
      <c r="C36" s="13" t="s">
        <v>169</v>
      </c>
      <c r="D36" s="13" t="s">
        <v>170</v>
      </c>
      <c r="E36" s="13" t="s">
        <v>171</v>
      </c>
      <c r="F36" s="13"/>
      <c r="G36" s="13"/>
      <c r="H36" s="13"/>
      <c r="I36" s="13"/>
      <c r="J36" s="15" t="n">
        <v>275.5</v>
      </c>
      <c r="K36" s="14" t="str">
        <f aca="false">IF($C36="Small","",IF($D36="tree",IF($F36="","",$F36),IF(OR($G36="",$H36="",$I36=""),"",$G36*$H36*$I36)))</f>
        <v/>
      </c>
      <c r="L36" s="14" t="str">
        <f aca="false">IF($C36="Small","",IFERROR(INDEX('R2. Understory Coefficients'!$E$8:$E$14,MATCH($E36,'R2. Understory Coefficients'!$I$8:$I$14,0)),""))</f>
        <v/>
      </c>
      <c r="M36" s="14" t="str">
        <f aca="false">IF($C36="Small","",IFERROR(INDEX('R2. Understory Coefficients'!$F$8:$F$14,MATCH($E36,'R2. Understory Coefficients'!$I$8:$I$14,0)),""))</f>
        <v/>
      </c>
      <c r="N36" s="14" t="n">
        <f aca="false">IF($C36="Small",IF($J36="","",$J36/1000),IF(OR($K36="",$L36="",$M36=""),"",($L36*($K36^$M36))/1000))</f>
        <v>0.2755</v>
      </c>
      <c r="O36" s="14" t="n">
        <f aca="false">IF($N36="","",$N36*CARBON_FRACTION_BIOMASS)</f>
        <v>0.13775</v>
      </c>
      <c r="P36" s="14" t="str">
        <f aca="false">IF(AND($A36="",$E36="",$J36=""),"",IF(AND($A36&lt;&gt;"",COUNTIF('1. Plot &amp; Site Log'!$A$5:$A$64,$A36)=0),"Plot ID not in Plot &amp; Site Log. ","")&amp;IF($C36="","No plot type — say whether this came from a Medium or a Small plot. ","")&amp;IF(AND($C36="Medium",$D36="tree",$F36=""),"Short-statured tree with no diameter at 0.3 m. ","")&amp;IF(AND($C36="Medium",$D36="shrub",OR($G36="",$H36="",$I36="")),"Shrub needs all three of length, width and height. ","")&amp;IF(AND($C36="Medium",$D36="shrub",$F36&lt;&gt;""),"Diameter entered for a shrub — it is ignored. Crown volume is used instead. ","")&amp;IF(AND($C36="Medium",$E36&lt;&gt;"",$L36=""),"Species not in the coefficient list — use 'all shrubs' if you have no closer match. ","")&amp;IF(AND($C36="Small",$J36=""),"Small-plot row with no clipped dry mass yet. ","")&amp;IF($N36&lt;&gt;"","Above-ground only: no root biomass is included for understory. ",""))</f>
        <v>Above-ground only: no root biomass is included for understory. </v>
      </c>
    </row>
    <row r="37" customFormat="false" ht="15" hidden="false" customHeight="false" outlineLevel="0" collapsed="false">
      <c r="A37" s="13" t="s">
        <v>86</v>
      </c>
      <c r="B37" s="13" t="s">
        <v>172</v>
      </c>
      <c r="C37" s="13" t="s">
        <v>169</v>
      </c>
      <c r="D37" s="13" t="s">
        <v>170</v>
      </c>
      <c r="E37" s="13" t="s">
        <v>171</v>
      </c>
      <c r="F37" s="13"/>
      <c r="G37" s="13"/>
      <c r="H37" s="13"/>
      <c r="I37" s="13"/>
      <c r="J37" s="15" t="n">
        <v>288.5</v>
      </c>
      <c r="K37" s="14" t="str">
        <f aca="false">IF($C37="Small","",IF($D37="tree",IF($F37="","",$F37),IF(OR($G37="",$H37="",$I37=""),"",$G37*$H37*$I37)))</f>
        <v/>
      </c>
      <c r="L37" s="14" t="str">
        <f aca="false">IF($C37="Small","",IFERROR(INDEX('R2. Understory Coefficients'!$E$8:$E$14,MATCH($E37,'R2. Understory Coefficients'!$I$8:$I$14,0)),""))</f>
        <v/>
      </c>
      <c r="M37" s="14" t="str">
        <f aca="false">IF($C37="Small","",IFERROR(INDEX('R2. Understory Coefficients'!$F$8:$F$14,MATCH($E37,'R2. Understory Coefficients'!$I$8:$I$14,0)),""))</f>
        <v/>
      </c>
      <c r="N37" s="14" t="n">
        <f aca="false">IF($C37="Small",IF($J37="","",$J37/1000),IF(OR($K37="",$L37="",$M37=""),"",($L37*($K37^$M37))/1000))</f>
        <v>0.2885</v>
      </c>
      <c r="O37" s="14" t="n">
        <f aca="false">IF($N37="","",$N37*CARBON_FRACTION_BIOMASS)</f>
        <v>0.14425</v>
      </c>
      <c r="P37" s="14" t="str">
        <f aca="false">IF(AND($A37="",$E37="",$J37=""),"",IF(AND($A37&lt;&gt;"",COUNTIF('1. Plot &amp; Site Log'!$A$5:$A$64,$A37)=0),"Plot ID not in Plot &amp; Site Log. ","")&amp;IF($C37="","No plot type — say whether this came from a Medium or a Small plot. ","")&amp;IF(AND($C37="Medium",$D37="tree",$F37=""),"Short-statured tree with no diameter at 0.3 m. ","")&amp;IF(AND($C37="Medium",$D37="shrub",OR($G37="",$H37="",$I37="")),"Shrub needs all three of length, width and height. ","")&amp;IF(AND($C37="Medium",$D37="shrub",$F37&lt;&gt;""),"Diameter entered for a shrub — it is ignored. Crown volume is used instead. ","")&amp;IF(AND($C37="Medium",$E37&lt;&gt;"",$L37=""),"Species not in the coefficient list — use 'all shrubs' if you have no closer match. ","")&amp;IF(AND($C37="Small",$J37=""),"Small-plot row with no clipped dry mass yet. ","")&amp;IF($N37&lt;&gt;"","Above-ground only: no root biomass is included for understory. ",""))</f>
        <v>Above-ground only: no root biomass is included for understory. </v>
      </c>
    </row>
    <row r="38" customFormat="false" ht="15" hidden="false" customHeight="false" outlineLevel="0" collapsed="false">
      <c r="A38" s="13" t="s">
        <v>91</v>
      </c>
      <c r="B38" s="13" t="s">
        <v>155</v>
      </c>
      <c r="C38" s="13" t="s">
        <v>156</v>
      </c>
      <c r="D38" s="13" t="s">
        <v>157</v>
      </c>
      <c r="E38" s="13" t="s">
        <v>160</v>
      </c>
      <c r="F38" s="13"/>
      <c r="G38" s="13" t="n">
        <v>1.31</v>
      </c>
      <c r="H38" s="13" t="n">
        <v>1.32</v>
      </c>
      <c r="I38" s="13" t="n">
        <v>1.55</v>
      </c>
      <c r="J38" s="15"/>
      <c r="K38" s="14" t="n">
        <f aca="false">IF($C38="Small","",IF($D38="tree",IF($F38="","",$F38),IF(OR($G38="",$H38="",$I38=""),"",$G38*$H38*$I38)))</f>
        <v>2.68026</v>
      </c>
      <c r="L38" s="14" t="n">
        <f aca="false">IF($C38="Small","",IFERROR(INDEX('R2. Understory Coefficients'!$E$8:$E$14,MATCH($E38,'R2. Understory Coefficients'!$I$8:$I$14,0)),""))</f>
        <v>185.065</v>
      </c>
      <c r="M38" s="14" t="n">
        <f aca="false">IF($C38="Small","",IFERROR(INDEX('R2. Understory Coefficients'!$F$8:$F$14,MATCH($E38,'R2. Understory Coefficients'!$I$8:$I$14,0)),""))</f>
        <v>0.976</v>
      </c>
      <c r="N38" s="14" t="n">
        <f aca="false">IF($C38="Small",IF($J38="","",$J38/1000),IF(OR($K38="",$L38="",$M38=""),"",($L38*($K38^$M38))/1000))</f>
        <v>0.48442324035955</v>
      </c>
      <c r="O38" s="14" t="n">
        <f aca="false">IF($N38="","",$N38*CARBON_FRACTION_BIOMASS)</f>
        <v>0.242211620179775</v>
      </c>
      <c r="P38" s="14" t="str">
        <f aca="false">IF(AND($A38="",$E38="",$J38=""),"",IF(AND($A38&lt;&gt;"",COUNTIF('1. Plot &amp; Site Log'!$A$5:$A$64,$A38)=0),"Plot ID not in Plot &amp; Site Log. ","")&amp;IF($C38="","No plot type — say whether this came from a Medium or a Small plot. ","")&amp;IF(AND($C38="Medium",$D38="tree",$F38=""),"Short-statured tree with no diameter at 0.3 m. ","")&amp;IF(AND($C38="Medium",$D38="shrub",OR($G38="",$H38="",$I38="")),"Shrub needs all three of length, width and height. ","")&amp;IF(AND($C38="Medium",$D38="shrub",$F38&lt;&gt;""),"Diameter entered for a shrub — it is ignored. Crown volume is used instead. ","")&amp;IF(AND($C38="Medium",$E38&lt;&gt;"",$L38=""),"Species not in the coefficient list — use 'all shrubs' if you have no closer match. ","")&amp;IF(AND($C38="Small",$J38=""),"Small-plot row with no clipped dry mass yet. ","")&amp;IF($N38&lt;&gt;"","Above-ground only: no root biomass is included for understory. ",""))</f>
        <v>Above-ground only: no root biomass is included for understory. </v>
      </c>
    </row>
    <row r="39" customFormat="false" ht="15" hidden="false" customHeight="false" outlineLevel="0" collapsed="false">
      <c r="A39" s="13" t="s">
        <v>91</v>
      </c>
      <c r="B39" s="13" t="s">
        <v>159</v>
      </c>
      <c r="C39" s="13" t="s">
        <v>156</v>
      </c>
      <c r="D39" s="13" t="s">
        <v>157</v>
      </c>
      <c r="E39" s="13" t="s">
        <v>160</v>
      </c>
      <c r="F39" s="13"/>
      <c r="G39" s="13" t="n">
        <v>0.81</v>
      </c>
      <c r="H39" s="13" t="n">
        <v>0.53</v>
      </c>
      <c r="I39" s="13" t="n">
        <v>1.25</v>
      </c>
      <c r="J39" s="15"/>
      <c r="K39" s="14" t="n">
        <f aca="false">IF($C39="Small","",IF($D39="tree",IF($F39="","",$F39),IF(OR($G39="",$H39="",$I39=""),"",$G39*$H39*$I39)))</f>
        <v>0.536625</v>
      </c>
      <c r="L39" s="14" t="n">
        <f aca="false">IF($C39="Small","",IFERROR(INDEX('R2. Understory Coefficients'!$E$8:$E$14,MATCH($E39,'R2. Understory Coefficients'!$I$8:$I$14,0)),""))</f>
        <v>185.065</v>
      </c>
      <c r="M39" s="14" t="n">
        <f aca="false">IF($C39="Small","",IFERROR(INDEX('R2. Understory Coefficients'!$F$8:$F$14,MATCH($E39,'R2. Understory Coefficients'!$I$8:$I$14,0)),""))</f>
        <v>0.976</v>
      </c>
      <c r="N39" s="14" t="n">
        <f aca="false">IF($C39="Small",IF($J39="","",$J39/1000),IF(OR($K39="",$L39="",$M39=""),"",($L39*($K39^$M39))/1000))</f>
        <v>0.100805236162164</v>
      </c>
      <c r="O39" s="14" t="n">
        <f aca="false">IF($N39="","",$N39*CARBON_FRACTION_BIOMASS)</f>
        <v>0.0504026180810818</v>
      </c>
      <c r="P39" s="14" t="str">
        <f aca="false">IF(AND($A39="",$E39="",$J39=""),"",IF(AND($A39&lt;&gt;"",COUNTIF('1. Plot &amp; Site Log'!$A$5:$A$64,$A39)=0),"Plot ID not in Plot &amp; Site Log. ","")&amp;IF($C39="","No plot type — say whether this came from a Medium or a Small plot. ","")&amp;IF(AND($C39="Medium",$D39="tree",$F39=""),"Short-statured tree with no diameter at 0.3 m. ","")&amp;IF(AND($C39="Medium",$D39="shrub",OR($G39="",$H39="",$I39="")),"Shrub needs all three of length, width and height. ","")&amp;IF(AND($C39="Medium",$D39="shrub",$F39&lt;&gt;""),"Diameter entered for a shrub — it is ignored. Crown volume is used instead. ","")&amp;IF(AND($C39="Medium",$E39&lt;&gt;"",$L39=""),"Species not in the coefficient list — use 'all shrubs' if you have no closer match. ","")&amp;IF(AND($C39="Small",$J39=""),"Small-plot row with no clipped dry mass yet. ","")&amp;IF($N39&lt;&gt;"","Above-ground only: no root biomass is included for understory. ",""))</f>
        <v>Above-ground only: no root biomass is included for understory. </v>
      </c>
    </row>
    <row r="40" customFormat="false" ht="15" hidden="false" customHeight="false" outlineLevel="0" collapsed="false">
      <c r="A40" s="13" t="s">
        <v>91</v>
      </c>
      <c r="B40" s="13" t="s">
        <v>161</v>
      </c>
      <c r="C40" s="13" t="s">
        <v>156</v>
      </c>
      <c r="D40" s="13" t="s">
        <v>157</v>
      </c>
      <c r="E40" s="13" t="s">
        <v>174</v>
      </c>
      <c r="F40" s="13"/>
      <c r="G40" s="13" t="n">
        <v>1.21</v>
      </c>
      <c r="H40" s="13" t="n">
        <v>0.94</v>
      </c>
      <c r="I40" s="13" t="n">
        <v>1.28</v>
      </c>
      <c r="J40" s="15"/>
      <c r="K40" s="14" t="n">
        <f aca="false">IF($C40="Small","",IF($D40="tree",IF($F40="","",$F40),IF(OR($G40="",$H40="",$I40=""),"",$G40*$H40*$I40)))</f>
        <v>1.455872</v>
      </c>
      <c r="L40" s="14" t="n">
        <f aca="false">IF($C40="Small","",IFERROR(INDEX('R2. Understory Coefficients'!$E$8:$E$14,MATCH($E40,'R2. Understory Coefficients'!$I$8:$I$14,0)),""))</f>
        <v>262.469</v>
      </c>
      <c r="M40" s="14" t="n">
        <f aca="false">IF($C40="Small","",IFERROR(INDEX('R2. Understory Coefficients'!$F$8:$F$14,MATCH($E40,'R2. Understory Coefficients'!$I$8:$I$14,0)),""))</f>
        <v>0.785</v>
      </c>
      <c r="N40" s="14" t="n">
        <f aca="false">IF($C40="Small",IF($J40="","",$J40/1000),IF(OR($K40="",$L40="",$M40=""),"",($L40*($K40^$M40))/1000))</f>
        <v>0.352476139771596</v>
      </c>
      <c r="O40" s="14" t="n">
        <f aca="false">IF($N40="","",$N40*CARBON_FRACTION_BIOMASS)</f>
        <v>0.176238069885798</v>
      </c>
      <c r="P40" s="14" t="str">
        <f aca="false">IF(AND($A40="",$E40="",$J40=""),"",IF(AND($A40&lt;&gt;"",COUNTIF('1. Plot &amp; Site Log'!$A$5:$A$64,$A40)=0),"Plot ID not in Plot &amp; Site Log. ","")&amp;IF($C40="","No plot type — say whether this came from a Medium or a Small plot. ","")&amp;IF(AND($C40="Medium",$D40="tree",$F40=""),"Short-statured tree with no diameter at 0.3 m. ","")&amp;IF(AND($C40="Medium",$D40="shrub",OR($G40="",$H40="",$I40="")),"Shrub needs all three of length, width and height. ","")&amp;IF(AND($C40="Medium",$D40="shrub",$F40&lt;&gt;""),"Diameter entered for a shrub — it is ignored. Crown volume is used instead. ","")&amp;IF(AND($C40="Medium",$E40&lt;&gt;"",$L40=""),"Species not in the coefficient list — use 'all shrubs' if you have no closer match. ","")&amp;IF(AND($C40="Small",$J40=""),"Small-plot row with no clipped dry mass yet. ","")&amp;IF($N40&lt;&gt;"","Above-ground only: no root biomass is included for understory. ",""))</f>
        <v>Above-ground only: no root biomass is included for understory. </v>
      </c>
    </row>
    <row r="41" customFormat="false" ht="15" hidden="false" customHeight="false" outlineLevel="0" collapsed="false">
      <c r="A41" s="13" t="s">
        <v>91</v>
      </c>
      <c r="B41" s="13" t="s">
        <v>162</v>
      </c>
      <c r="C41" s="13" t="s">
        <v>156</v>
      </c>
      <c r="D41" s="13" t="s">
        <v>157</v>
      </c>
      <c r="E41" s="13" t="s">
        <v>160</v>
      </c>
      <c r="F41" s="13"/>
      <c r="G41" s="13" t="n">
        <v>1.18</v>
      </c>
      <c r="H41" s="13" t="n">
        <v>1.05</v>
      </c>
      <c r="I41" s="13" t="n">
        <v>1.08</v>
      </c>
      <c r="J41" s="15"/>
      <c r="K41" s="14" t="n">
        <f aca="false">IF($C41="Small","",IF($D41="tree",IF($F41="","",$F41),IF(OR($G41="",$H41="",$I41=""),"",$G41*$H41*$I41)))</f>
        <v>1.33812</v>
      </c>
      <c r="L41" s="14" t="n">
        <f aca="false">IF($C41="Small","",IFERROR(INDEX('R2. Understory Coefficients'!$E$8:$E$14,MATCH($E41,'R2. Understory Coefficients'!$I$8:$I$14,0)),""))</f>
        <v>185.065</v>
      </c>
      <c r="M41" s="14" t="n">
        <f aca="false">IF($C41="Small","",IFERROR(INDEX('R2. Understory Coefficients'!$F$8:$F$14,MATCH($E41,'R2. Understory Coefficients'!$I$8:$I$14,0)),""))</f>
        <v>0.976</v>
      </c>
      <c r="N41" s="14" t="n">
        <f aca="false">IF($C41="Small",IF($J41="","",$J41/1000),IF(OR($K41="",$L41="",$M41=""),"",($L41*($K41^$M41))/1000))</f>
        <v>0.24591412338448</v>
      </c>
      <c r="O41" s="14" t="n">
        <f aca="false">IF($N41="","",$N41*CARBON_FRACTION_BIOMASS)</f>
        <v>0.12295706169224</v>
      </c>
      <c r="P41" s="14" t="str">
        <f aca="false">IF(AND($A41="",$E41="",$J41=""),"",IF(AND($A41&lt;&gt;"",COUNTIF('1. Plot &amp; Site Log'!$A$5:$A$64,$A41)=0),"Plot ID not in Plot &amp; Site Log. ","")&amp;IF($C41="","No plot type — say whether this came from a Medium or a Small plot. ","")&amp;IF(AND($C41="Medium",$D41="tree",$F41=""),"Short-statured tree with no diameter at 0.3 m. ","")&amp;IF(AND($C41="Medium",$D41="shrub",OR($G41="",$H41="",$I41="")),"Shrub needs all three of length, width and height. ","")&amp;IF(AND($C41="Medium",$D41="shrub",$F41&lt;&gt;""),"Diameter entered for a shrub — it is ignored. Crown volume is used instead. ","")&amp;IF(AND($C41="Medium",$E41&lt;&gt;"",$L41=""),"Species not in the coefficient list — use 'all shrubs' if you have no closer match. ","")&amp;IF(AND($C41="Small",$J41=""),"Small-plot row with no clipped dry mass yet. ","")&amp;IF($N41&lt;&gt;"","Above-ground only: no root biomass is included for understory. ",""))</f>
        <v>Above-ground only: no root biomass is included for understory. </v>
      </c>
    </row>
    <row r="42" customFormat="false" ht="15" hidden="false" customHeight="false" outlineLevel="0" collapsed="false">
      <c r="A42" s="13" t="s">
        <v>91</v>
      </c>
      <c r="B42" s="13" t="s">
        <v>163</v>
      </c>
      <c r="C42" s="13" t="s">
        <v>156</v>
      </c>
      <c r="D42" s="13" t="s">
        <v>157</v>
      </c>
      <c r="E42" s="13" t="s">
        <v>175</v>
      </c>
      <c r="F42" s="13"/>
      <c r="G42" s="13" t="n">
        <v>1.7</v>
      </c>
      <c r="H42" s="13" t="n">
        <v>1.53</v>
      </c>
      <c r="I42" s="13" t="n">
        <v>1.51</v>
      </c>
      <c r="J42" s="15"/>
      <c r="K42" s="14" t="n">
        <f aca="false">IF($C42="Small","",IF($D42="tree",IF($F42="","",$F42),IF(OR($G42="",$H42="",$I42=""),"",$G42*$H42*$I42)))</f>
        <v>3.92751</v>
      </c>
      <c r="L42" s="14" t="n">
        <f aca="false">IF($C42="Small","",IFERROR(INDEX('R2. Understory Coefficients'!$E$8:$E$14,MATCH($E42,'R2. Understory Coefficients'!$I$8:$I$14,0)),""))</f>
        <v>342.416</v>
      </c>
      <c r="M42" s="14" t="n">
        <f aca="false">IF($C42="Small","",IFERROR(INDEX('R2. Understory Coefficients'!$F$8:$F$14,MATCH($E42,'R2. Understory Coefficients'!$I$8:$I$14,0)),""))</f>
        <v>0.8386</v>
      </c>
      <c r="N42" s="14" t="n">
        <f aca="false">IF($C42="Small",IF($J42="","",$J42/1000),IF(OR($K42="",$L42="",$M42=""),"",($L42*($K42^$M42))/1000))</f>
        <v>1.0784023287253</v>
      </c>
      <c r="O42" s="14" t="n">
        <f aca="false">IF($N42="","",$N42*CARBON_FRACTION_BIOMASS)</f>
        <v>0.539201164362648</v>
      </c>
      <c r="P42" s="14" t="str">
        <f aca="false">IF(AND($A42="",$E42="",$J42=""),"",IF(AND($A42&lt;&gt;"",COUNTIF('1. Plot &amp; Site Log'!$A$5:$A$64,$A42)=0),"Plot ID not in Plot &amp; Site Log. ","")&amp;IF($C42="","No plot type — say whether this came from a Medium or a Small plot. ","")&amp;IF(AND($C42="Medium",$D42="tree",$F42=""),"Short-statured tree with no diameter at 0.3 m. ","")&amp;IF(AND($C42="Medium",$D42="shrub",OR($G42="",$H42="",$I42="")),"Shrub needs all three of length, width and height. ","")&amp;IF(AND($C42="Medium",$D42="shrub",$F42&lt;&gt;""),"Diameter entered for a shrub — it is ignored. Crown volume is used instead. ","")&amp;IF(AND($C42="Medium",$E42&lt;&gt;"",$L42=""),"Species not in the coefficient list — use 'all shrubs' if you have no closer match. ","")&amp;IF(AND($C42="Small",$J42=""),"Small-plot row with no clipped dry mass yet. ","")&amp;IF($N42&lt;&gt;"","Above-ground only: no root biomass is included for understory. ",""))</f>
        <v>Above-ground only: no root biomass is included for understory. </v>
      </c>
    </row>
    <row r="43" customFormat="false" ht="15" hidden="false" customHeight="false" outlineLevel="0" collapsed="false">
      <c r="A43" s="13" t="s">
        <v>91</v>
      </c>
      <c r="B43" s="13" t="s">
        <v>165</v>
      </c>
      <c r="C43" s="13" t="s">
        <v>156</v>
      </c>
      <c r="D43" s="13" t="s">
        <v>166</v>
      </c>
      <c r="E43" s="13" t="s">
        <v>167</v>
      </c>
      <c r="F43" s="13" t="n">
        <v>2.5</v>
      </c>
      <c r="G43" s="13"/>
      <c r="H43" s="13"/>
      <c r="I43" s="13"/>
      <c r="J43" s="15"/>
      <c r="K43" s="14" t="n">
        <f aca="false">IF($C43="Small","",IF($D43="tree",IF($F43="","",$F43),IF(OR($G43="",$H43="",$I43=""),"",$G43*$H43*$I43)))</f>
        <v>2.5</v>
      </c>
      <c r="L43" s="14" t="n">
        <f aca="false">IF($C43="Small","",IFERROR(INDEX('R2. Understory Coefficients'!$E$8:$E$14,MATCH($E43,'R2. Understory Coefficients'!$I$8:$I$14,0)),""))</f>
        <v>59.0721</v>
      </c>
      <c r="M43" s="14" t="n">
        <f aca="false">IF($C43="Small","",IFERROR(INDEX('R2. Understory Coefficients'!$F$8:$F$14,MATCH($E43,'R2. Understory Coefficients'!$I$8:$I$14,0)),""))</f>
        <v>2.272</v>
      </c>
      <c r="N43" s="14" t="n">
        <f aca="false">IF($C43="Small",IF($J43="","",$J43/1000),IF(OR($K43="",$L43="",$M43=""),"",($L43*($K43^$M43))/1000))</f>
        <v>0.473698609510987</v>
      </c>
      <c r="O43" s="14" t="n">
        <f aca="false">IF($N43="","",$N43*CARBON_FRACTION_BIOMASS)</f>
        <v>0.236849304755493</v>
      </c>
      <c r="P43" s="14" t="str">
        <f aca="false">IF(AND($A43="",$E43="",$J43=""),"",IF(AND($A43&lt;&gt;"",COUNTIF('1. Plot &amp; Site Log'!$A$5:$A$64,$A43)=0),"Plot ID not in Plot &amp; Site Log. ","")&amp;IF($C43="","No plot type — say whether this came from a Medium or a Small plot. ","")&amp;IF(AND($C43="Medium",$D43="tree",$F43=""),"Short-statured tree with no diameter at 0.3 m. ","")&amp;IF(AND($C43="Medium",$D43="shrub",OR($G43="",$H43="",$I43="")),"Shrub needs all three of length, width and height. ","")&amp;IF(AND($C43="Medium",$D43="shrub",$F43&lt;&gt;""),"Diameter entered for a shrub — it is ignored. Crown volume is used instead. ","")&amp;IF(AND($C43="Medium",$E43&lt;&gt;"",$L43=""),"Species not in the coefficient list — use 'all shrubs' if you have no closer match. ","")&amp;IF(AND($C43="Small",$J43=""),"Small-plot row with no clipped dry mass yet. ","")&amp;IF($N43&lt;&gt;"","Above-ground only: no root biomass is included for understory. ",""))</f>
        <v>Above-ground only: no root biomass is included for understory. </v>
      </c>
    </row>
    <row r="44" customFormat="false" ht="15" hidden="false" customHeight="false" outlineLevel="0" collapsed="false">
      <c r="A44" s="13" t="s">
        <v>91</v>
      </c>
      <c r="B44" s="13" t="s">
        <v>168</v>
      </c>
      <c r="C44" s="13" t="s">
        <v>169</v>
      </c>
      <c r="D44" s="13" t="s">
        <v>170</v>
      </c>
      <c r="E44" s="13" t="s">
        <v>171</v>
      </c>
      <c r="F44" s="13"/>
      <c r="G44" s="13"/>
      <c r="H44" s="13"/>
      <c r="I44" s="13"/>
      <c r="J44" s="15" t="n">
        <v>119.9</v>
      </c>
      <c r="K44" s="14" t="str">
        <f aca="false">IF($C44="Small","",IF($D44="tree",IF($F44="","",$F44),IF(OR($G44="",$H44="",$I44=""),"",$G44*$H44*$I44)))</f>
        <v/>
      </c>
      <c r="L44" s="14" t="str">
        <f aca="false">IF($C44="Small","",IFERROR(INDEX('R2. Understory Coefficients'!$E$8:$E$14,MATCH($E44,'R2. Understory Coefficients'!$I$8:$I$14,0)),""))</f>
        <v/>
      </c>
      <c r="M44" s="14" t="str">
        <f aca="false">IF($C44="Small","",IFERROR(INDEX('R2. Understory Coefficients'!$F$8:$F$14,MATCH($E44,'R2. Understory Coefficients'!$I$8:$I$14,0)),""))</f>
        <v/>
      </c>
      <c r="N44" s="14" t="n">
        <f aca="false">IF($C44="Small",IF($J44="","",$J44/1000),IF(OR($K44="",$L44="",$M44=""),"",($L44*($K44^$M44))/1000))</f>
        <v>0.1199</v>
      </c>
      <c r="O44" s="14" t="n">
        <f aca="false">IF($N44="","",$N44*CARBON_FRACTION_BIOMASS)</f>
        <v>0.05995</v>
      </c>
      <c r="P44" s="14" t="str">
        <f aca="false">IF(AND($A44="",$E44="",$J44=""),"",IF(AND($A44&lt;&gt;"",COUNTIF('1. Plot &amp; Site Log'!$A$5:$A$64,$A44)=0),"Plot ID not in Plot &amp; Site Log. ","")&amp;IF($C44="","No plot type — say whether this came from a Medium or a Small plot. ","")&amp;IF(AND($C44="Medium",$D44="tree",$F44=""),"Short-statured tree with no diameter at 0.3 m. ","")&amp;IF(AND($C44="Medium",$D44="shrub",OR($G44="",$H44="",$I44="")),"Shrub needs all three of length, width and height. ","")&amp;IF(AND($C44="Medium",$D44="shrub",$F44&lt;&gt;""),"Diameter entered for a shrub — it is ignored. Crown volume is used instead. ","")&amp;IF(AND($C44="Medium",$E44&lt;&gt;"",$L44=""),"Species not in the coefficient list — use 'all shrubs' if you have no closer match. ","")&amp;IF(AND($C44="Small",$J44=""),"Small-plot row with no clipped dry mass yet. ","")&amp;IF($N44&lt;&gt;"","Above-ground only: no root biomass is included for understory. ",""))</f>
        <v>Above-ground only: no root biomass is included for understory. </v>
      </c>
    </row>
    <row r="45" customFormat="false" ht="15" hidden="false" customHeight="false" outlineLevel="0" collapsed="false">
      <c r="A45" s="13" t="s">
        <v>91</v>
      </c>
      <c r="B45" s="13" t="s">
        <v>172</v>
      </c>
      <c r="C45" s="13" t="s">
        <v>169</v>
      </c>
      <c r="D45" s="13" t="s">
        <v>170</v>
      </c>
      <c r="E45" s="13" t="s">
        <v>171</v>
      </c>
      <c r="F45" s="13"/>
      <c r="G45" s="13"/>
      <c r="H45" s="13"/>
      <c r="I45" s="13"/>
      <c r="J45" s="15" t="n">
        <v>201</v>
      </c>
      <c r="K45" s="14" t="str">
        <f aca="false">IF($C45="Small","",IF($D45="tree",IF($F45="","",$F45),IF(OR($G45="",$H45="",$I45=""),"",$G45*$H45*$I45)))</f>
        <v/>
      </c>
      <c r="L45" s="14" t="str">
        <f aca="false">IF($C45="Small","",IFERROR(INDEX('R2. Understory Coefficients'!$E$8:$E$14,MATCH($E45,'R2. Understory Coefficients'!$I$8:$I$14,0)),""))</f>
        <v/>
      </c>
      <c r="M45" s="14" t="str">
        <f aca="false">IF($C45="Small","",IFERROR(INDEX('R2. Understory Coefficients'!$F$8:$F$14,MATCH($E45,'R2. Understory Coefficients'!$I$8:$I$14,0)),""))</f>
        <v/>
      </c>
      <c r="N45" s="14" t="n">
        <f aca="false">IF($C45="Small",IF($J45="","",$J45/1000),IF(OR($K45="",$L45="",$M45=""),"",($L45*($K45^$M45))/1000))</f>
        <v>0.201</v>
      </c>
      <c r="O45" s="14" t="n">
        <f aca="false">IF($N45="","",$N45*CARBON_FRACTION_BIOMASS)</f>
        <v>0.1005</v>
      </c>
      <c r="P45" s="14" t="str">
        <f aca="false">IF(AND($A45="",$E45="",$J45=""),"",IF(AND($A45&lt;&gt;"",COUNTIF('1. Plot &amp; Site Log'!$A$5:$A$64,$A45)=0),"Plot ID not in Plot &amp; Site Log. ","")&amp;IF($C45="","No plot type — say whether this came from a Medium or a Small plot. ","")&amp;IF(AND($C45="Medium",$D45="tree",$F45=""),"Short-statured tree with no diameter at 0.3 m. ","")&amp;IF(AND($C45="Medium",$D45="shrub",OR($G45="",$H45="",$I45="")),"Shrub needs all three of length, width and height. ","")&amp;IF(AND($C45="Medium",$D45="shrub",$F45&lt;&gt;""),"Diameter entered for a shrub — it is ignored. Crown volume is used instead. ","")&amp;IF(AND($C45="Medium",$E45&lt;&gt;"",$L45=""),"Species not in the coefficient list — use 'all shrubs' if you have no closer match. ","")&amp;IF(AND($C45="Small",$J45=""),"Small-plot row with no clipped dry mass yet. ","")&amp;IF($N45&lt;&gt;"","Above-ground only: no root biomass is included for understory. ",""))</f>
        <v>Above-ground only: no root biomass is included for understory. </v>
      </c>
    </row>
    <row r="46" customFormat="false" ht="15" hidden="false" customHeight="false" outlineLevel="0" collapsed="false">
      <c r="A46" s="13" t="s">
        <v>92</v>
      </c>
      <c r="B46" s="13" t="s">
        <v>155</v>
      </c>
      <c r="C46" s="13" t="s">
        <v>156</v>
      </c>
      <c r="D46" s="13" t="s">
        <v>157</v>
      </c>
      <c r="E46" s="13" t="s">
        <v>174</v>
      </c>
      <c r="F46" s="13"/>
      <c r="G46" s="13" t="n">
        <v>1.82</v>
      </c>
      <c r="H46" s="13" t="n">
        <v>1.57</v>
      </c>
      <c r="I46" s="13" t="n">
        <v>1.5</v>
      </c>
      <c r="J46" s="15"/>
      <c r="K46" s="14" t="n">
        <f aca="false">IF($C46="Small","",IF($D46="tree",IF($F46="","",$F46),IF(OR($G46="",$H46="",$I46=""),"",$G46*$H46*$I46)))</f>
        <v>4.2861</v>
      </c>
      <c r="L46" s="14" t="n">
        <f aca="false">IF($C46="Small","",IFERROR(INDEX('R2. Understory Coefficients'!$E$8:$E$14,MATCH($E46,'R2. Understory Coefficients'!$I$8:$I$14,0)),""))</f>
        <v>262.469</v>
      </c>
      <c r="M46" s="14" t="n">
        <f aca="false">IF($C46="Small","",IFERROR(INDEX('R2. Understory Coefficients'!$F$8:$F$14,MATCH($E46,'R2. Understory Coefficients'!$I$8:$I$14,0)),""))</f>
        <v>0.785</v>
      </c>
      <c r="N46" s="14" t="n">
        <f aca="false">IF($C46="Small",IF($J46="","",$J46/1000),IF(OR($K46="",$L46="",$M46=""),"",($L46*($K46^$M46))/1000))</f>
        <v>0.822710275638359</v>
      </c>
      <c r="O46" s="14" t="n">
        <f aca="false">IF($N46="","",$N46*CARBON_FRACTION_BIOMASS)</f>
        <v>0.411355137819179</v>
      </c>
      <c r="P46" s="14" t="str">
        <f aca="false">IF(AND($A46="",$E46="",$J46=""),"",IF(AND($A46&lt;&gt;"",COUNTIF('1. Plot &amp; Site Log'!$A$5:$A$64,$A46)=0),"Plot ID not in Plot &amp; Site Log. ","")&amp;IF($C46="","No plot type — say whether this came from a Medium or a Small plot. ","")&amp;IF(AND($C46="Medium",$D46="tree",$F46=""),"Short-statured tree with no diameter at 0.3 m. ","")&amp;IF(AND($C46="Medium",$D46="shrub",OR($G46="",$H46="",$I46="")),"Shrub needs all three of length, width and height. ","")&amp;IF(AND($C46="Medium",$D46="shrub",$F46&lt;&gt;""),"Diameter entered for a shrub — it is ignored. Crown volume is used instead. ","")&amp;IF(AND($C46="Medium",$E46&lt;&gt;"",$L46=""),"Species not in the coefficient list — use 'all shrubs' if you have no closer match. ","")&amp;IF(AND($C46="Small",$J46=""),"Small-plot row with no clipped dry mass yet. ","")&amp;IF($N46&lt;&gt;"","Above-ground only: no root biomass is included for understory. ",""))</f>
        <v>Above-ground only: no root biomass is included for understory. </v>
      </c>
    </row>
    <row r="47" customFormat="false" ht="15" hidden="false" customHeight="false" outlineLevel="0" collapsed="false">
      <c r="A47" s="13" t="s">
        <v>92</v>
      </c>
      <c r="B47" s="13" t="s">
        <v>159</v>
      </c>
      <c r="C47" s="13" t="s">
        <v>156</v>
      </c>
      <c r="D47" s="13" t="s">
        <v>157</v>
      </c>
      <c r="E47" s="13" t="s">
        <v>175</v>
      </c>
      <c r="F47" s="13"/>
      <c r="G47" s="13" t="n">
        <v>1.52</v>
      </c>
      <c r="H47" s="13" t="n">
        <v>1.22</v>
      </c>
      <c r="I47" s="13" t="n">
        <v>0.97</v>
      </c>
      <c r="J47" s="15"/>
      <c r="K47" s="14" t="n">
        <f aca="false">IF($C47="Small","",IF($D47="tree",IF($F47="","",$F47),IF(OR($G47="",$H47="",$I47=""),"",$G47*$H47*$I47)))</f>
        <v>1.798768</v>
      </c>
      <c r="L47" s="14" t="n">
        <f aca="false">IF($C47="Small","",IFERROR(INDEX('R2. Understory Coefficients'!$E$8:$E$14,MATCH($E47,'R2. Understory Coefficients'!$I$8:$I$14,0)),""))</f>
        <v>342.416</v>
      </c>
      <c r="M47" s="14" t="n">
        <f aca="false">IF($C47="Small","",IFERROR(INDEX('R2. Understory Coefficients'!$F$8:$F$14,MATCH($E47,'R2. Understory Coefficients'!$I$8:$I$14,0)),""))</f>
        <v>0.8386</v>
      </c>
      <c r="N47" s="14" t="n">
        <f aca="false">IF($C47="Small",IF($J47="","",$J47/1000),IF(OR($K47="",$L47="",$M47=""),"",($L47*($K47^$M47))/1000))</f>
        <v>0.560242708408178</v>
      </c>
      <c r="O47" s="14" t="n">
        <f aca="false">IF($N47="","",$N47*CARBON_FRACTION_BIOMASS)</f>
        <v>0.280121354204089</v>
      </c>
      <c r="P47" s="14" t="str">
        <f aca="false">IF(AND($A47="",$E47="",$J47=""),"",IF(AND($A47&lt;&gt;"",COUNTIF('1. Plot &amp; Site Log'!$A$5:$A$64,$A47)=0),"Plot ID not in Plot &amp; Site Log. ","")&amp;IF($C47="","No plot type — say whether this came from a Medium or a Small plot. ","")&amp;IF(AND($C47="Medium",$D47="tree",$F47=""),"Short-statured tree with no diameter at 0.3 m. ","")&amp;IF(AND($C47="Medium",$D47="shrub",OR($G47="",$H47="",$I47="")),"Shrub needs all three of length, width and height. ","")&amp;IF(AND($C47="Medium",$D47="shrub",$F47&lt;&gt;""),"Diameter entered for a shrub — it is ignored. Crown volume is used instead. ","")&amp;IF(AND($C47="Medium",$E47&lt;&gt;"",$L47=""),"Species not in the coefficient list — use 'all shrubs' if you have no closer match. ","")&amp;IF(AND($C47="Small",$J47=""),"Small-plot row with no clipped dry mass yet. ","")&amp;IF($N47&lt;&gt;"","Above-ground only: no root biomass is included for understory. ",""))</f>
        <v>Above-ground only: no root biomass is included for understory. </v>
      </c>
    </row>
    <row r="48" customFormat="false" ht="15" hidden="false" customHeight="false" outlineLevel="0" collapsed="false">
      <c r="A48" s="13" t="s">
        <v>92</v>
      </c>
      <c r="B48" s="13" t="s">
        <v>161</v>
      </c>
      <c r="C48" s="13" t="s">
        <v>156</v>
      </c>
      <c r="D48" s="13" t="s">
        <v>157</v>
      </c>
      <c r="E48" s="13" t="s">
        <v>174</v>
      </c>
      <c r="F48" s="13"/>
      <c r="G48" s="13" t="n">
        <v>1.63</v>
      </c>
      <c r="H48" s="13" t="n">
        <v>1.35</v>
      </c>
      <c r="I48" s="13" t="n">
        <v>1.65</v>
      </c>
      <c r="J48" s="15"/>
      <c r="K48" s="14" t="n">
        <f aca="false">IF($C48="Small","",IF($D48="tree",IF($F48="","",$F48),IF(OR($G48="",$H48="",$I48=""),"",$G48*$H48*$I48)))</f>
        <v>3.630825</v>
      </c>
      <c r="L48" s="14" t="n">
        <f aca="false">IF($C48="Small","",IFERROR(INDEX('R2. Understory Coefficients'!$E$8:$E$14,MATCH($E48,'R2. Understory Coefficients'!$I$8:$I$14,0)),""))</f>
        <v>262.469</v>
      </c>
      <c r="M48" s="14" t="n">
        <f aca="false">IF($C48="Small","",IFERROR(INDEX('R2. Understory Coefficients'!$F$8:$F$14,MATCH($E48,'R2. Understory Coefficients'!$I$8:$I$14,0)),""))</f>
        <v>0.785</v>
      </c>
      <c r="N48" s="14" t="n">
        <f aca="false">IF($C48="Small",IF($J48="","",$J48/1000),IF(OR($K48="",$L48="",$M48=""),"",($L48*($K48^$M48))/1000))</f>
        <v>0.722241086183401</v>
      </c>
      <c r="O48" s="14" t="n">
        <f aca="false">IF($N48="","",$N48*CARBON_FRACTION_BIOMASS)</f>
        <v>0.3611205430917</v>
      </c>
      <c r="P48" s="14" t="str">
        <f aca="false">IF(AND($A48="",$E48="",$J48=""),"",IF(AND($A48&lt;&gt;"",COUNTIF('1. Plot &amp; Site Log'!$A$5:$A$64,$A48)=0),"Plot ID not in Plot &amp; Site Log. ","")&amp;IF($C48="","No plot type — say whether this came from a Medium or a Small plot. ","")&amp;IF(AND($C48="Medium",$D48="tree",$F48=""),"Short-statured tree with no diameter at 0.3 m. ","")&amp;IF(AND($C48="Medium",$D48="shrub",OR($G48="",$H48="",$I48="")),"Shrub needs all three of length, width and height. ","")&amp;IF(AND($C48="Medium",$D48="shrub",$F48&lt;&gt;""),"Diameter entered for a shrub — it is ignored. Crown volume is used instead. ","")&amp;IF(AND($C48="Medium",$E48&lt;&gt;"",$L48=""),"Species not in the coefficient list — use 'all shrubs' if you have no closer match. ","")&amp;IF(AND($C48="Small",$J48=""),"Small-plot row with no clipped dry mass yet. ","")&amp;IF($N48&lt;&gt;"","Above-ground only: no root biomass is included for understory. ",""))</f>
        <v>Above-ground only: no root biomass is included for understory. </v>
      </c>
    </row>
    <row r="49" customFormat="false" ht="15" hidden="false" customHeight="false" outlineLevel="0" collapsed="false">
      <c r="A49" s="13" t="s">
        <v>92</v>
      </c>
      <c r="B49" s="13" t="s">
        <v>162</v>
      </c>
      <c r="C49" s="13" t="s">
        <v>156</v>
      </c>
      <c r="D49" s="13" t="s">
        <v>157</v>
      </c>
      <c r="E49" s="13" t="s">
        <v>174</v>
      </c>
      <c r="F49" s="13"/>
      <c r="G49" s="13" t="n">
        <v>1.98</v>
      </c>
      <c r="H49" s="13" t="n">
        <v>1.78</v>
      </c>
      <c r="I49" s="13" t="n">
        <v>1.3</v>
      </c>
      <c r="J49" s="15"/>
      <c r="K49" s="14" t="n">
        <f aca="false">IF($C49="Small","",IF($D49="tree",IF($F49="","",$F49),IF(OR($G49="",$H49="",$I49=""),"",$G49*$H49*$I49)))</f>
        <v>4.58172</v>
      </c>
      <c r="L49" s="14" t="n">
        <f aca="false">IF($C49="Small","",IFERROR(INDEX('R2. Understory Coefficients'!$E$8:$E$14,MATCH($E49,'R2. Understory Coefficients'!$I$8:$I$14,0)),""))</f>
        <v>262.469</v>
      </c>
      <c r="M49" s="14" t="n">
        <f aca="false">IF($C49="Small","",IFERROR(INDEX('R2. Understory Coefficients'!$F$8:$F$14,MATCH($E49,'R2. Understory Coefficients'!$I$8:$I$14,0)),""))</f>
        <v>0.785</v>
      </c>
      <c r="N49" s="14" t="n">
        <f aca="false">IF($C49="Small",IF($J49="","",$J49/1000),IF(OR($K49="",$L49="",$M49=""),"",($L49*($K49^$M49))/1000))</f>
        <v>0.866932779517754</v>
      </c>
      <c r="O49" s="14" t="n">
        <f aca="false">IF($N49="","",$N49*CARBON_FRACTION_BIOMASS)</f>
        <v>0.433466389758877</v>
      </c>
      <c r="P49" s="14" t="str">
        <f aca="false">IF(AND($A49="",$E49="",$J49=""),"",IF(AND($A49&lt;&gt;"",COUNTIF('1. Plot &amp; Site Log'!$A$5:$A$64,$A49)=0),"Plot ID not in Plot &amp; Site Log. ","")&amp;IF($C49="","No plot type — say whether this came from a Medium or a Small plot. ","")&amp;IF(AND($C49="Medium",$D49="tree",$F49=""),"Short-statured tree with no diameter at 0.3 m. ","")&amp;IF(AND($C49="Medium",$D49="shrub",OR($G49="",$H49="",$I49="")),"Shrub needs all three of length, width and height. ","")&amp;IF(AND($C49="Medium",$D49="shrub",$F49&lt;&gt;""),"Diameter entered for a shrub — it is ignored. Crown volume is used instead. ","")&amp;IF(AND($C49="Medium",$E49&lt;&gt;"",$L49=""),"Species not in the coefficient list — use 'all shrubs' if you have no closer match. ","")&amp;IF(AND($C49="Small",$J49=""),"Small-plot row with no clipped dry mass yet. ","")&amp;IF($N49&lt;&gt;"","Above-ground only: no root biomass is included for understory. ",""))</f>
        <v>Above-ground only: no root biomass is included for understory. </v>
      </c>
    </row>
    <row r="50" customFormat="false" ht="15" hidden="false" customHeight="false" outlineLevel="0" collapsed="false">
      <c r="A50" s="13" t="s">
        <v>92</v>
      </c>
      <c r="B50" s="13" t="s">
        <v>163</v>
      </c>
      <c r="C50" s="13" t="s">
        <v>156</v>
      </c>
      <c r="D50" s="13" t="s">
        <v>157</v>
      </c>
      <c r="E50" s="13" t="s">
        <v>173</v>
      </c>
      <c r="F50" s="13"/>
      <c r="G50" s="13" t="n">
        <v>0.7</v>
      </c>
      <c r="H50" s="13" t="n">
        <v>0.49</v>
      </c>
      <c r="I50" s="13" t="n">
        <v>1.77</v>
      </c>
      <c r="J50" s="15"/>
      <c r="K50" s="14" t="n">
        <f aca="false">IF($C50="Small","",IF($D50="tree",IF($F50="","",$F50),IF(OR($G50="",$H50="",$I50=""),"",$G50*$H50*$I50)))</f>
        <v>0.60711</v>
      </c>
      <c r="L50" s="14" t="n">
        <f aca="false">IF($C50="Small","",IFERROR(INDEX('R2. Understory Coefficients'!$E$8:$E$14,MATCH($E50,'R2. Understory Coefficients'!$I$8:$I$14,0)),""))</f>
        <v>311.586</v>
      </c>
      <c r="M50" s="14" t="n">
        <f aca="false">IF($C50="Small","",IFERROR(INDEX('R2. Understory Coefficients'!$F$8:$F$14,MATCH($E50,'R2. Understory Coefficients'!$I$8:$I$14,0)),""))</f>
        <v>0.845</v>
      </c>
      <c r="N50" s="14" t="n">
        <f aca="false">IF($C50="Small",IF($J50="","",$J50/1000),IF(OR($K50="",$L50="",$M50=""),"",($L50*($K50^$M50))/1000))</f>
        <v>0.204380227145355</v>
      </c>
      <c r="O50" s="14" t="n">
        <f aca="false">IF($N50="","",$N50*CARBON_FRACTION_BIOMASS)</f>
        <v>0.102190113572678</v>
      </c>
      <c r="P50" s="14" t="str">
        <f aca="false">IF(AND($A50="",$E50="",$J50=""),"",IF(AND($A50&lt;&gt;"",COUNTIF('1. Plot &amp; Site Log'!$A$5:$A$64,$A50)=0),"Plot ID not in Plot &amp; Site Log. ","")&amp;IF($C50="","No plot type — say whether this came from a Medium or a Small plot. ","")&amp;IF(AND($C50="Medium",$D50="tree",$F50=""),"Short-statured tree with no diameter at 0.3 m. ","")&amp;IF(AND($C50="Medium",$D50="shrub",OR($G50="",$H50="",$I50="")),"Shrub needs all three of length, width and height. ","")&amp;IF(AND($C50="Medium",$D50="shrub",$F50&lt;&gt;""),"Diameter entered for a shrub — it is ignored. Crown volume is used instead. ","")&amp;IF(AND($C50="Medium",$E50&lt;&gt;"",$L50=""),"Species not in the coefficient list — use 'all shrubs' if you have no closer match. ","")&amp;IF(AND($C50="Small",$J50=""),"Small-plot row with no clipped dry mass yet. ","")&amp;IF($N50&lt;&gt;"","Above-ground only: no root biomass is included for understory. ",""))</f>
        <v>Above-ground only: no root biomass is included for understory. </v>
      </c>
    </row>
    <row r="51" customFormat="false" ht="15" hidden="false" customHeight="false" outlineLevel="0" collapsed="false">
      <c r="A51" s="13" t="s">
        <v>92</v>
      </c>
      <c r="B51" s="13" t="s">
        <v>165</v>
      </c>
      <c r="C51" s="13" t="s">
        <v>156</v>
      </c>
      <c r="D51" s="13" t="s">
        <v>166</v>
      </c>
      <c r="E51" s="13" t="s">
        <v>167</v>
      </c>
      <c r="F51" s="13" t="n">
        <v>2.4</v>
      </c>
      <c r="G51" s="13"/>
      <c r="H51" s="13"/>
      <c r="I51" s="13"/>
      <c r="J51" s="15"/>
      <c r="K51" s="14" t="n">
        <f aca="false">IF($C51="Small","",IF($D51="tree",IF($F51="","",$F51),IF(OR($G51="",$H51="",$I51=""),"",$G51*$H51*$I51)))</f>
        <v>2.4</v>
      </c>
      <c r="L51" s="14" t="n">
        <f aca="false">IF($C51="Small","",IFERROR(INDEX('R2. Understory Coefficients'!$E$8:$E$14,MATCH($E51,'R2. Understory Coefficients'!$I$8:$I$14,0)),""))</f>
        <v>59.0721</v>
      </c>
      <c r="M51" s="14" t="n">
        <f aca="false">IF($C51="Small","",IFERROR(INDEX('R2. Understory Coefficients'!$F$8:$F$14,MATCH($E51,'R2. Understory Coefficients'!$I$8:$I$14,0)),""))</f>
        <v>2.272</v>
      </c>
      <c r="N51" s="14" t="n">
        <f aca="false">IF($C51="Small",IF($J51="","",$J51/1000),IF(OR($K51="",$L51="",$M51=""),"",($L51*($K51^$M51))/1000))</f>
        <v>0.431740063806724</v>
      </c>
      <c r="O51" s="14" t="n">
        <f aca="false">IF($N51="","",$N51*CARBON_FRACTION_BIOMASS)</f>
        <v>0.215870031903362</v>
      </c>
      <c r="P51" s="14" t="str">
        <f aca="false">IF(AND($A51="",$E51="",$J51=""),"",IF(AND($A51&lt;&gt;"",COUNTIF('1. Plot &amp; Site Log'!$A$5:$A$64,$A51)=0),"Plot ID not in Plot &amp; Site Log. ","")&amp;IF($C51="","No plot type — say whether this came from a Medium or a Small plot. ","")&amp;IF(AND($C51="Medium",$D51="tree",$F51=""),"Short-statured tree with no diameter at 0.3 m. ","")&amp;IF(AND($C51="Medium",$D51="shrub",OR($G51="",$H51="",$I51="")),"Shrub needs all three of length, width and height. ","")&amp;IF(AND($C51="Medium",$D51="shrub",$F51&lt;&gt;""),"Diameter entered for a shrub — it is ignored. Crown volume is used instead. ","")&amp;IF(AND($C51="Medium",$E51&lt;&gt;"",$L51=""),"Species not in the coefficient list — use 'all shrubs' if you have no closer match. ","")&amp;IF(AND($C51="Small",$J51=""),"Small-plot row with no clipped dry mass yet. ","")&amp;IF($N51&lt;&gt;"","Above-ground only: no root biomass is included for understory. ",""))</f>
        <v>Above-ground only: no root biomass is included for understory. </v>
      </c>
    </row>
    <row r="52" customFormat="false" ht="15" hidden="false" customHeight="false" outlineLevel="0" collapsed="false">
      <c r="A52" s="13" t="s">
        <v>92</v>
      </c>
      <c r="B52" s="13" t="s">
        <v>168</v>
      </c>
      <c r="C52" s="13" t="s">
        <v>169</v>
      </c>
      <c r="D52" s="13" t="s">
        <v>170</v>
      </c>
      <c r="E52" s="13" t="s">
        <v>171</v>
      </c>
      <c r="F52" s="13"/>
      <c r="G52" s="13"/>
      <c r="H52" s="13"/>
      <c r="I52" s="13"/>
      <c r="J52" s="15" t="n">
        <v>221.5</v>
      </c>
      <c r="K52" s="14" t="str">
        <f aca="false">IF($C52="Small","",IF($D52="tree",IF($F52="","",$F52),IF(OR($G52="",$H52="",$I52=""),"",$G52*$H52*$I52)))</f>
        <v/>
      </c>
      <c r="L52" s="14" t="str">
        <f aca="false">IF($C52="Small","",IFERROR(INDEX('R2. Understory Coefficients'!$E$8:$E$14,MATCH($E52,'R2. Understory Coefficients'!$I$8:$I$14,0)),""))</f>
        <v/>
      </c>
      <c r="M52" s="14" t="str">
        <f aca="false">IF($C52="Small","",IFERROR(INDEX('R2. Understory Coefficients'!$F$8:$F$14,MATCH($E52,'R2. Understory Coefficients'!$I$8:$I$14,0)),""))</f>
        <v/>
      </c>
      <c r="N52" s="14" t="n">
        <f aca="false">IF($C52="Small",IF($J52="","",$J52/1000),IF(OR($K52="",$L52="",$M52=""),"",($L52*($K52^$M52))/1000))</f>
        <v>0.2215</v>
      </c>
      <c r="O52" s="14" t="n">
        <f aca="false">IF($N52="","",$N52*CARBON_FRACTION_BIOMASS)</f>
        <v>0.11075</v>
      </c>
      <c r="P52" s="14" t="str">
        <f aca="false">IF(AND($A52="",$E52="",$J52=""),"",IF(AND($A52&lt;&gt;"",COUNTIF('1. Plot &amp; Site Log'!$A$5:$A$64,$A52)=0),"Plot ID not in Plot &amp; Site Log. ","")&amp;IF($C52="","No plot type — say whether this came from a Medium or a Small plot. ","")&amp;IF(AND($C52="Medium",$D52="tree",$F52=""),"Short-statured tree with no diameter at 0.3 m. ","")&amp;IF(AND($C52="Medium",$D52="shrub",OR($G52="",$H52="",$I52="")),"Shrub needs all three of length, width and height. ","")&amp;IF(AND($C52="Medium",$D52="shrub",$F52&lt;&gt;""),"Diameter entered for a shrub — it is ignored. Crown volume is used instead. ","")&amp;IF(AND($C52="Medium",$E52&lt;&gt;"",$L52=""),"Species not in the coefficient list — use 'all shrubs' if you have no closer match. ","")&amp;IF(AND($C52="Small",$J52=""),"Small-plot row with no clipped dry mass yet. ","")&amp;IF($N52&lt;&gt;"","Above-ground only: no root biomass is included for understory. ",""))</f>
        <v>Above-ground only: no root biomass is included for understory. </v>
      </c>
    </row>
    <row r="53" customFormat="false" ht="15" hidden="false" customHeight="false" outlineLevel="0" collapsed="false">
      <c r="A53" s="13" t="s">
        <v>92</v>
      </c>
      <c r="B53" s="13" t="s">
        <v>172</v>
      </c>
      <c r="C53" s="13" t="s">
        <v>169</v>
      </c>
      <c r="D53" s="13" t="s">
        <v>170</v>
      </c>
      <c r="E53" s="13" t="s">
        <v>171</v>
      </c>
      <c r="F53" s="13"/>
      <c r="G53" s="13"/>
      <c r="H53" s="13"/>
      <c r="I53" s="13"/>
      <c r="J53" s="15" t="n">
        <v>112</v>
      </c>
      <c r="K53" s="14" t="str">
        <f aca="false">IF($C53="Small","",IF($D53="tree",IF($F53="","",$F53),IF(OR($G53="",$H53="",$I53=""),"",$G53*$H53*$I53)))</f>
        <v/>
      </c>
      <c r="L53" s="14" t="str">
        <f aca="false">IF($C53="Small","",IFERROR(INDEX('R2. Understory Coefficients'!$E$8:$E$14,MATCH($E53,'R2. Understory Coefficients'!$I$8:$I$14,0)),""))</f>
        <v/>
      </c>
      <c r="M53" s="14" t="str">
        <f aca="false">IF($C53="Small","",IFERROR(INDEX('R2. Understory Coefficients'!$F$8:$F$14,MATCH($E53,'R2. Understory Coefficients'!$I$8:$I$14,0)),""))</f>
        <v/>
      </c>
      <c r="N53" s="14" t="n">
        <f aca="false">IF($C53="Small",IF($J53="","",$J53/1000),IF(OR($K53="",$L53="",$M53=""),"",($L53*($K53^$M53))/1000))</f>
        <v>0.112</v>
      </c>
      <c r="O53" s="14" t="n">
        <f aca="false">IF($N53="","",$N53*CARBON_FRACTION_BIOMASS)</f>
        <v>0.056</v>
      </c>
      <c r="P53" s="14" t="str">
        <f aca="false">IF(AND($A53="",$E53="",$J53=""),"",IF(AND($A53&lt;&gt;"",COUNTIF('1. Plot &amp; Site Log'!$A$5:$A$64,$A53)=0),"Plot ID not in Plot &amp; Site Log. ","")&amp;IF($C53="","No plot type — say whether this came from a Medium or a Small plot. ","")&amp;IF(AND($C53="Medium",$D53="tree",$F53=""),"Short-statured tree with no diameter at 0.3 m. ","")&amp;IF(AND($C53="Medium",$D53="shrub",OR($G53="",$H53="",$I53="")),"Shrub needs all three of length, width and height. ","")&amp;IF(AND($C53="Medium",$D53="shrub",$F53&lt;&gt;""),"Diameter entered for a shrub — it is ignored. Crown volume is used instead. ","")&amp;IF(AND($C53="Medium",$E53&lt;&gt;"",$L53=""),"Species not in the coefficient list — use 'all shrubs' if you have no closer match. ","")&amp;IF(AND($C53="Small",$J53=""),"Small-plot row with no clipped dry mass yet. ","")&amp;IF($N53&lt;&gt;"","Above-ground only: no root biomass is included for understory. ",""))</f>
        <v>Above-ground only: no root biomass is included for understory. </v>
      </c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5"/>
      <c r="K54" s="14" t="str">
        <f aca="false">IF($C54="Small","",IF($D54="tree",IF($F54="","",$F54),IF(OR($G54="",$H54="",$I54=""),"",$G54*$H54*$I54)))</f>
        <v/>
      </c>
      <c r="L54" s="14" t="str">
        <f aca="false">IF($C54="Small","",IFERROR(INDEX('R2. Understory Coefficients'!$E$8:$E$14,MATCH($E54,'R2. Understory Coefficients'!$I$8:$I$14,0)),""))</f>
        <v/>
      </c>
      <c r="M54" s="14" t="str">
        <f aca="false">IF($C54="Small","",IFERROR(INDEX('R2. Understory Coefficients'!$F$8:$F$14,MATCH($E54,'R2. Understory Coefficients'!$I$8:$I$14,0)),""))</f>
        <v/>
      </c>
      <c r="N54" s="14" t="str">
        <f aca="false">IF($C54="Small",IF($J54="","",$J54/1000),IF(OR($K54="",$L54="",$M54=""),"",($L54*($K54^$M54))/1000))</f>
        <v/>
      </c>
      <c r="O54" s="14" t="str">
        <f aca="false">IF($N54="","",$N54*CARBON_FRACTION_BIOMASS)</f>
        <v/>
      </c>
      <c r="P54" s="14" t="str">
        <f aca="false">IF(AND($A54="",$E54="",$J54=""),"",IF(AND($A54&lt;&gt;"",COUNTIF('1. Plot &amp; Site Log'!$A$5:$A$64,$A54)=0),"Plot ID not in Plot &amp; Site Log. ","")&amp;IF($C54="","No plot type — say whether this came from a Medium or a Small plot. ","")&amp;IF(AND($C54="Medium",$D54="tree",$F54=""),"Short-statured tree with no diameter at 0.3 m. ","")&amp;IF(AND($C54="Medium",$D54="shrub",OR($G54="",$H54="",$I54="")),"Shrub needs all three of length, width and height. ","")&amp;IF(AND($C54="Medium",$D54="shrub",$F54&lt;&gt;""),"Diameter entered for a shrub — it is ignored. Crown volume is used instead. ","")&amp;IF(AND($C54="Medium",$E54&lt;&gt;"",$L54=""),"Species not in the coefficient list — use 'all shrubs' if you have no closer match. ","")&amp;IF(AND($C54="Small",$J54=""),"Small-plot row with no clipped dry mass yet. ","")&amp;IF($N54&lt;&gt;"","Above-ground only: no root biomass is included for understory. ",""))</f>
        <v/>
      </c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5"/>
      <c r="K55" s="14" t="str">
        <f aca="false">IF($C55="Small","",IF($D55="tree",IF($F55="","",$F55),IF(OR($G55="",$H55="",$I55=""),"",$G55*$H55*$I55)))</f>
        <v/>
      </c>
      <c r="L55" s="14" t="str">
        <f aca="false">IF($C55="Small","",IFERROR(INDEX('R2. Understory Coefficients'!$E$8:$E$14,MATCH($E55,'R2. Understory Coefficients'!$I$8:$I$14,0)),""))</f>
        <v/>
      </c>
      <c r="M55" s="14" t="str">
        <f aca="false">IF($C55="Small","",IFERROR(INDEX('R2. Understory Coefficients'!$F$8:$F$14,MATCH($E55,'R2. Understory Coefficients'!$I$8:$I$14,0)),""))</f>
        <v/>
      </c>
      <c r="N55" s="14" t="str">
        <f aca="false">IF($C55="Small",IF($J55="","",$J55/1000),IF(OR($K55="",$L55="",$M55=""),"",($L55*($K55^$M55))/1000))</f>
        <v/>
      </c>
      <c r="O55" s="14" t="str">
        <f aca="false">IF($N55="","",$N55*CARBON_FRACTION_BIOMASS)</f>
        <v/>
      </c>
      <c r="P55" s="14" t="str">
        <f aca="false">IF(AND($A55="",$E55="",$J55=""),"",IF(AND($A55&lt;&gt;"",COUNTIF('1. Plot &amp; Site Log'!$A$5:$A$64,$A55)=0),"Plot ID not in Plot &amp; Site Log. ","")&amp;IF($C55="","No plot type — say whether this came from a Medium or a Small plot. ","")&amp;IF(AND($C55="Medium",$D55="tree",$F55=""),"Short-statured tree with no diameter at 0.3 m. ","")&amp;IF(AND($C55="Medium",$D55="shrub",OR($G55="",$H55="",$I55="")),"Shrub needs all three of length, width and height. ","")&amp;IF(AND($C55="Medium",$D55="shrub",$F55&lt;&gt;""),"Diameter entered for a shrub — it is ignored. Crown volume is used instead. ","")&amp;IF(AND($C55="Medium",$E55&lt;&gt;"",$L55=""),"Species not in the coefficient list — use 'all shrubs' if you have no closer match. ","")&amp;IF(AND($C55="Small",$J55=""),"Small-plot row with no clipped dry mass yet. ","")&amp;IF($N55&lt;&gt;"","Above-ground only: no root biomass is included for understory. ",""))</f>
        <v/>
      </c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5"/>
      <c r="K56" s="14" t="str">
        <f aca="false">IF($C56="Small","",IF($D56="tree",IF($F56="","",$F56),IF(OR($G56="",$H56="",$I56=""),"",$G56*$H56*$I56)))</f>
        <v/>
      </c>
      <c r="L56" s="14" t="str">
        <f aca="false">IF($C56="Small","",IFERROR(INDEX('R2. Understory Coefficients'!$E$8:$E$14,MATCH($E56,'R2. Understory Coefficients'!$I$8:$I$14,0)),""))</f>
        <v/>
      </c>
      <c r="M56" s="14" t="str">
        <f aca="false">IF($C56="Small","",IFERROR(INDEX('R2. Understory Coefficients'!$F$8:$F$14,MATCH($E56,'R2. Understory Coefficients'!$I$8:$I$14,0)),""))</f>
        <v/>
      </c>
      <c r="N56" s="14" t="str">
        <f aca="false">IF($C56="Small",IF($J56="","",$J56/1000),IF(OR($K56="",$L56="",$M56=""),"",($L56*($K56^$M56))/1000))</f>
        <v/>
      </c>
      <c r="O56" s="14" t="str">
        <f aca="false">IF($N56="","",$N56*CARBON_FRACTION_BIOMASS)</f>
        <v/>
      </c>
      <c r="P56" s="14" t="str">
        <f aca="false">IF(AND($A56="",$E56="",$J56=""),"",IF(AND($A56&lt;&gt;"",COUNTIF('1. Plot &amp; Site Log'!$A$5:$A$64,$A56)=0),"Plot ID not in Plot &amp; Site Log. ","")&amp;IF($C56="","No plot type — say whether this came from a Medium or a Small plot. ","")&amp;IF(AND($C56="Medium",$D56="tree",$F56=""),"Short-statured tree with no diameter at 0.3 m. ","")&amp;IF(AND($C56="Medium",$D56="shrub",OR($G56="",$H56="",$I56="")),"Shrub needs all three of length, width and height. ","")&amp;IF(AND($C56="Medium",$D56="shrub",$F56&lt;&gt;""),"Diameter entered for a shrub — it is ignored. Crown volume is used instead. ","")&amp;IF(AND($C56="Medium",$E56&lt;&gt;"",$L56=""),"Species not in the coefficient list — use 'all shrubs' if you have no closer match. ","")&amp;IF(AND($C56="Small",$J56=""),"Small-plot row with no clipped dry mass yet. ","")&amp;IF($N56&lt;&gt;"","Above-ground only: no root biomass is included for understory. ",""))</f>
        <v/>
      </c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5"/>
      <c r="K57" s="14" t="str">
        <f aca="false">IF($C57="Small","",IF($D57="tree",IF($F57="","",$F57),IF(OR($G57="",$H57="",$I57=""),"",$G57*$H57*$I57)))</f>
        <v/>
      </c>
      <c r="L57" s="14" t="str">
        <f aca="false">IF($C57="Small","",IFERROR(INDEX('R2. Understory Coefficients'!$E$8:$E$14,MATCH($E57,'R2. Understory Coefficients'!$I$8:$I$14,0)),""))</f>
        <v/>
      </c>
      <c r="M57" s="14" t="str">
        <f aca="false">IF($C57="Small","",IFERROR(INDEX('R2. Understory Coefficients'!$F$8:$F$14,MATCH($E57,'R2. Understory Coefficients'!$I$8:$I$14,0)),""))</f>
        <v/>
      </c>
      <c r="N57" s="14" t="str">
        <f aca="false">IF($C57="Small",IF($J57="","",$J57/1000),IF(OR($K57="",$L57="",$M57=""),"",($L57*($K57^$M57))/1000))</f>
        <v/>
      </c>
      <c r="O57" s="14" t="str">
        <f aca="false">IF($N57="","",$N57*CARBON_FRACTION_BIOMASS)</f>
        <v/>
      </c>
      <c r="P57" s="14" t="str">
        <f aca="false">IF(AND($A57="",$E57="",$J57=""),"",IF(AND($A57&lt;&gt;"",COUNTIF('1. Plot &amp; Site Log'!$A$5:$A$64,$A57)=0),"Plot ID not in Plot &amp; Site Log. ","")&amp;IF($C57="","No plot type — say whether this came from a Medium or a Small plot. ","")&amp;IF(AND($C57="Medium",$D57="tree",$F57=""),"Short-statured tree with no diameter at 0.3 m. ","")&amp;IF(AND($C57="Medium",$D57="shrub",OR($G57="",$H57="",$I57="")),"Shrub needs all three of length, width and height. ","")&amp;IF(AND($C57="Medium",$D57="shrub",$F57&lt;&gt;""),"Diameter entered for a shrub — it is ignored. Crown volume is used instead. ","")&amp;IF(AND($C57="Medium",$E57&lt;&gt;"",$L57=""),"Species not in the coefficient list — use 'all shrubs' if you have no closer match. ","")&amp;IF(AND($C57="Small",$J57=""),"Small-plot row with no clipped dry mass yet. ","")&amp;IF($N57&lt;&gt;"","Above-ground only: no root biomass is included for understory. ",""))</f>
        <v/>
      </c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5"/>
      <c r="K58" s="14" t="str">
        <f aca="false">IF($C58="Small","",IF($D58="tree",IF($F58="","",$F58),IF(OR($G58="",$H58="",$I58=""),"",$G58*$H58*$I58)))</f>
        <v/>
      </c>
      <c r="L58" s="14" t="str">
        <f aca="false">IF($C58="Small","",IFERROR(INDEX('R2. Understory Coefficients'!$E$8:$E$14,MATCH($E58,'R2. Understory Coefficients'!$I$8:$I$14,0)),""))</f>
        <v/>
      </c>
      <c r="M58" s="14" t="str">
        <f aca="false">IF($C58="Small","",IFERROR(INDEX('R2. Understory Coefficients'!$F$8:$F$14,MATCH($E58,'R2. Understory Coefficients'!$I$8:$I$14,0)),""))</f>
        <v/>
      </c>
      <c r="N58" s="14" t="str">
        <f aca="false">IF($C58="Small",IF($J58="","",$J58/1000),IF(OR($K58="",$L58="",$M58=""),"",($L58*($K58^$M58))/1000))</f>
        <v/>
      </c>
      <c r="O58" s="14" t="str">
        <f aca="false">IF($N58="","",$N58*CARBON_FRACTION_BIOMASS)</f>
        <v/>
      </c>
      <c r="P58" s="14" t="str">
        <f aca="false">IF(AND($A58="",$E58="",$J58=""),"",IF(AND($A58&lt;&gt;"",COUNTIF('1. Plot &amp; Site Log'!$A$5:$A$64,$A58)=0),"Plot ID not in Plot &amp; Site Log. ","")&amp;IF($C58="","No plot type — say whether this came from a Medium or a Small plot. ","")&amp;IF(AND($C58="Medium",$D58="tree",$F58=""),"Short-statured tree with no diameter at 0.3 m. ","")&amp;IF(AND($C58="Medium",$D58="shrub",OR($G58="",$H58="",$I58="")),"Shrub needs all three of length, width and height. ","")&amp;IF(AND($C58="Medium",$D58="shrub",$F58&lt;&gt;""),"Diameter entered for a shrub — it is ignored. Crown volume is used instead. ","")&amp;IF(AND($C58="Medium",$E58&lt;&gt;"",$L58=""),"Species not in the coefficient list — use 'all shrubs' if you have no closer match. ","")&amp;IF(AND($C58="Small",$J58=""),"Small-plot row with no clipped dry mass yet. ","")&amp;IF($N58&lt;&gt;"","Above-ground only: no root biomass is included for understory. ",""))</f>
        <v/>
      </c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5"/>
      <c r="K59" s="14" t="str">
        <f aca="false">IF($C59="Small","",IF($D59="tree",IF($F59="","",$F59),IF(OR($G59="",$H59="",$I59=""),"",$G59*$H59*$I59)))</f>
        <v/>
      </c>
      <c r="L59" s="14" t="str">
        <f aca="false">IF($C59="Small","",IFERROR(INDEX('R2. Understory Coefficients'!$E$8:$E$14,MATCH($E59,'R2. Understory Coefficients'!$I$8:$I$14,0)),""))</f>
        <v/>
      </c>
      <c r="M59" s="14" t="str">
        <f aca="false">IF($C59="Small","",IFERROR(INDEX('R2. Understory Coefficients'!$F$8:$F$14,MATCH($E59,'R2. Understory Coefficients'!$I$8:$I$14,0)),""))</f>
        <v/>
      </c>
      <c r="N59" s="14" t="str">
        <f aca="false">IF($C59="Small",IF($J59="","",$J59/1000),IF(OR($K59="",$L59="",$M59=""),"",($L59*($K59^$M59))/1000))</f>
        <v/>
      </c>
      <c r="O59" s="14" t="str">
        <f aca="false">IF($N59="","",$N59*CARBON_FRACTION_BIOMASS)</f>
        <v/>
      </c>
      <c r="P59" s="14" t="str">
        <f aca="false">IF(AND($A59="",$E59="",$J59=""),"",IF(AND($A59&lt;&gt;"",COUNTIF('1. Plot &amp; Site Log'!$A$5:$A$64,$A59)=0),"Plot ID not in Plot &amp; Site Log. ","")&amp;IF($C59="","No plot type — say whether this came from a Medium or a Small plot. ","")&amp;IF(AND($C59="Medium",$D59="tree",$F59=""),"Short-statured tree with no diameter at 0.3 m. ","")&amp;IF(AND($C59="Medium",$D59="shrub",OR($G59="",$H59="",$I59="")),"Shrub needs all three of length, width and height. ","")&amp;IF(AND($C59="Medium",$D59="shrub",$F59&lt;&gt;""),"Diameter entered for a shrub — it is ignored. Crown volume is used instead. ","")&amp;IF(AND($C59="Medium",$E59&lt;&gt;"",$L59=""),"Species not in the coefficient list — use 'all shrubs' if you have no closer match. ","")&amp;IF(AND($C59="Small",$J59=""),"Small-plot row with no clipped dry mass yet. ","")&amp;IF($N59&lt;&gt;"","Above-ground only: no root biomass is included for understory. ",""))</f>
        <v/>
      </c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5"/>
      <c r="K60" s="14" t="str">
        <f aca="false">IF($C60="Small","",IF($D60="tree",IF($F60="","",$F60),IF(OR($G60="",$H60="",$I60=""),"",$G60*$H60*$I60)))</f>
        <v/>
      </c>
      <c r="L60" s="14" t="str">
        <f aca="false">IF($C60="Small","",IFERROR(INDEX('R2. Understory Coefficients'!$E$8:$E$14,MATCH($E60,'R2. Understory Coefficients'!$I$8:$I$14,0)),""))</f>
        <v/>
      </c>
      <c r="M60" s="14" t="str">
        <f aca="false">IF($C60="Small","",IFERROR(INDEX('R2. Understory Coefficients'!$F$8:$F$14,MATCH($E60,'R2. Understory Coefficients'!$I$8:$I$14,0)),""))</f>
        <v/>
      </c>
      <c r="N60" s="14" t="str">
        <f aca="false">IF($C60="Small",IF($J60="","",$J60/1000),IF(OR($K60="",$L60="",$M60=""),"",($L60*($K60^$M60))/1000))</f>
        <v/>
      </c>
      <c r="O60" s="14" t="str">
        <f aca="false">IF($N60="","",$N60*CARBON_FRACTION_BIOMASS)</f>
        <v/>
      </c>
      <c r="P60" s="14" t="str">
        <f aca="false">IF(AND($A60="",$E60="",$J60=""),"",IF(AND($A60&lt;&gt;"",COUNTIF('1. Plot &amp; Site Log'!$A$5:$A$64,$A60)=0),"Plot ID not in Plot &amp; Site Log. ","")&amp;IF($C60="","No plot type — say whether this came from a Medium or a Small plot. ","")&amp;IF(AND($C60="Medium",$D60="tree",$F60=""),"Short-statured tree with no diameter at 0.3 m. ","")&amp;IF(AND($C60="Medium",$D60="shrub",OR($G60="",$H60="",$I60="")),"Shrub needs all three of length, width and height. ","")&amp;IF(AND($C60="Medium",$D60="shrub",$F60&lt;&gt;""),"Diameter entered for a shrub — it is ignored. Crown volume is used instead. ","")&amp;IF(AND($C60="Medium",$E60&lt;&gt;"",$L60=""),"Species not in the coefficient list — use 'all shrubs' if you have no closer match. ","")&amp;IF(AND($C60="Small",$J60=""),"Small-plot row with no clipped dry mass yet. ","")&amp;IF($N60&lt;&gt;"","Above-ground only: no root biomass is included for understory. ",""))</f>
        <v/>
      </c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5"/>
      <c r="K61" s="14" t="str">
        <f aca="false">IF($C61="Small","",IF($D61="tree",IF($F61="","",$F61),IF(OR($G61="",$H61="",$I61=""),"",$G61*$H61*$I61)))</f>
        <v/>
      </c>
      <c r="L61" s="14" t="str">
        <f aca="false">IF($C61="Small","",IFERROR(INDEX('R2. Understory Coefficients'!$E$8:$E$14,MATCH($E61,'R2. Understory Coefficients'!$I$8:$I$14,0)),""))</f>
        <v/>
      </c>
      <c r="M61" s="14" t="str">
        <f aca="false">IF($C61="Small","",IFERROR(INDEX('R2. Understory Coefficients'!$F$8:$F$14,MATCH($E61,'R2. Understory Coefficients'!$I$8:$I$14,0)),""))</f>
        <v/>
      </c>
      <c r="N61" s="14" t="str">
        <f aca="false">IF($C61="Small",IF($J61="","",$J61/1000),IF(OR($K61="",$L61="",$M61=""),"",($L61*($K61^$M61))/1000))</f>
        <v/>
      </c>
      <c r="O61" s="14" t="str">
        <f aca="false">IF($N61="","",$N61*CARBON_FRACTION_BIOMASS)</f>
        <v/>
      </c>
      <c r="P61" s="14" t="str">
        <f aca="false">IF(AND($A61="",$E61="",$J61=""),"",IF(AND($A61&lt;&gt;"",COUNTIF('1. Plot &amp; Site Log'!$A$5:$A$64,$A61)=0),"Plot ID not in Plot &amp; Site Log. ","")&amp;IF($C61="","No plot type — say whether this came from a Medium or a Small plot. ","")&amp;IF(AND($C61="Medium",$D61="tree",$F61=""),"Short-statured tree with no diameter at 0.3 m. ","")&amp;IF(AND($C61="Medium",$D61="shrub",OR($G61="",$H61="",$I61="")),"Shrub needs all three of length, width and height. ","")&amp;IF(AND($C61="Medium",$D61="shrub",$F61&lt;&gt;""),"Diameter entered for a shrub — it is ignored. Crown volume is used instead. ","")&amp;IF(AND($C61="Medium",$E61&lt;&gt;"",$L61=""),"Species not in the coefficient list — use 'all shrubs' if you have no closer match. ","")&amp;IF(AND($C61="Small",$J61=""),"Small-plot row with no clipped dry mass yet. ","")&amp;IF($N61&lt;&gt;"","Above-ground only: no root biomass is included for understory. ",""))</f>
        <v/>
      </c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5"/>
      <c r="K62" s="14" t="str">
        <f aca="false">IF($C62="Small","",IF($D62="tree",IF($F62="","",$F62),IF(OR($G62="",$H62="",$I62=""),"",$G62*$H62*$I62)))</f>
        <v/>
      </c>
      <c r="L62" s="14" t="str">
        <f aca="false">IF($C62="Small","",IFERROR(INDEX('R2. Understory Coefficients'!$E$8:$E$14,MATCH($E62,'R2. Understory Coefficients'!$I$8:$I$14,0)),""))</f>
        <v/>
      </c>
      <c r="M62" s="14" t="str">
        <f aca="false">IF($C62="Small","",IFERROR(INDEX('R2. Understory Coefficients'!$F$8:$F$14,MATCH($E62,'R2. Understory Coefficients'!$I$8:$I$14,0)),""))</f>
        <v/>
      </c>
      <c r="N62" s="14" t="str">
        <f aca="false">IF($C62="Small",IF($J62="","",$J62/1000),IF(OR($K62="",$L62="",$M62=""),"",($L62*($K62^$M62))/1000))</f>
        <v/>
      </c>
      <c r="O62" s="14" t="str">
        <f aca="false">IF($N62="","",$N62*CARBON_FRACTION_BIOMASS)</f>
        <v/>
      </c>
      <c r="P62" s="14" t="str">
        <f aca="false">IF(AND($A62="",$E62="",$J62=""),"",IF(AND($A62&lt;&gt;"",COUNTIF('1. Plot &amp; Site Log'!$A$5:$A$64,$A62)=0),"Plot ID not in Plot &amp; Site Log. ","")&amp;IF($C62="","No plot type — say whether this came from a Medium or a Small plot. ","")&amp;IF(AND($C62="Medium",$D62="tree",$F62=""),"Short-statured tree with no diameter at 0.3 m. ","")&amp;IF(AND($C62="Medium",$D62="shrub",OR($G62="",$H62="",$I62="")),"Shrub needs all three of length, width and height. ","")&amp;IF(AND($C62="Medium",$D62="shrub",$F62&lt;&gt;""),"Diameter entered for a shrub — it is ignored. Crown volume is used instead. ","")&amp;IF(AND($C62="Medium",$E62&lt;&gt;"",$L62=""),"Species not in the coefficient list — use 'all shrubs' if you have no closer match. ","")&amp;IF(AND($C62="Small",$J62=""),"Small-plot row with no clipped dry mass yet. ","")&amp;IF($N62&lt;&gt;"","Above-ground only: no root biomass is included for understory. ",""))</f>
        <v/>
      </c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5"/>
      <c r="K63" s="14" t="str">
        <f aca="false">IF($C63="Small","",IF($D63="tree",IF($F63="","",$F63),IF(OR($G63="",$H63="",$I63=""),"",$G63*$H63*$I63)))</f>
        <v/>
      </c>
      <c r="L63" s="14" t="str">
        <f aca="false">IF($C63="Small","",IFERROR(INDEX('R2. Understory Coefficients'!$E$8:$E$14,MATCH($E63,'R2. Understory Coefficients'!$I$8:$I$14,0)),""))</f>
        <v/>
      </c>
      <c r="M63" s="14" t="str">
        <f aca="false">IF($C63="Small","",IFERROR(INDEX('R2. Understory Coefficients'!$F$8:$F$14,MATCH($E63,'R2. Understory Coefficients'!$I$8:$I$14,0)),""))</f>
        <v/>
      </c>
      <c r="N63" s="14" t="str">
        <f aca="false">IF($C63="Small",IF($J63="","",$J63/1000),IF(OR($K63="",$L63="",$M63=""),"",($L63*($K63^$M63))/1000))</f>
        <v/>
      </c>
      <c r="O63" s="14" t="str">
        <f aca="false">IF($N63="","",$N63*CARBON_FRACTION_BIOMASS)</f>
        <v/>
      </c>
      <c r="P63" s="14" t="str">
        <f aca="false">IF(AND($A63="",$E63="",$J63=""),"",IF(AND($A63&lt;&gt;"",COUNTIF('1. Plot &amp; Site Log'!$A$5:$A$64,$A63)=0),"Plot ID not in Plot &amp; Site Log. ","")&amp;IF($C63="","No plot type — say whether this came from a Medium or a Small plot. ","")&amp;IF(AND($C63="Medium",$D63="tree",$F63=""),"Short-statured tree with no diameter at 0.3 m. ","")&amp;IF(AND($C63="Medium",$D63="shrub",OR($G63="",$H63="",$I63="")),"Shrub needs all three of length, width and height. ","")&amp;IF(AND($C63="Medium",$D63="shrub",$F63&lt;&gt;""),"Diameter entered for a shrub — it is ignored. Crown volume is used instead. ","")&amp;IF(AND($C63="Medium",$E63&lt;&gt;"",$L63=""),"Species not in the coefficient list — use 'all shrubs' if you have no closer match. ","")&amp;IF(AND($C63="Small",$J63=""),"Small-plot row with no clipped dry mass yet. ","")&amp;IF($N63&lt;&gt;"","Above-ground only: no root biomass is included for understory. ",""))</f>
        <v/>
      </c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5"/>
      <c r="K64" s="14" t="str">
        <f aca="false">IF($C64="Small","",IF($D64="tree",IF($F64="","",$F64),IF(OR($G64="",$H64="",$I64=""),"",$G64*$H64*$I64)))</f>
        <v/>
      </c>
      <c r="L64" s="14" t="str">
        <f aca="false">IF($C64="Small","",IFERROR(INDEX('R2. Understory Coefficients'!$E$8:$E$14,MATCH($E64,'R2. Understory Coefficients'!$I$8:$I$14,0)),""))</f>
        <v/>
      </c>
      <c r="M64" s="14" t="str">
        <f aca="false">IF($C64="Small","",IFERROR(INDEX('R2. Understory Coefficients'!$F$8:$F$14,MATCH($E64,'R2. Understory Coefficients'!$I$8:$I$14,0)),""))</f>
        <v/>
      </c>
      <c r="N64" s="14" t="str">
        <f aca="false">IF($C64="Small",IF($J64="","",$J64/1000),IF(OR($K64="",$L64="",$M64=""),"",($L64*($K64^$M64))/1000))</f>
        <v/>
      </c>
      <c r="O64" s="14" t="str">
        <f aca="false">IF($N64="","",$N64*CARBON_FRACTION_BIOMASS)</f>
        <v/>
      </c>
      <c r="P64" s="14" t="str">
        <f aca="false">IF(AND($A64="",$E64="",$J64=""),"",IF(AND($A64&lt;&gt;"",COUNTIF('1. Plot &amp; Site Log'!$A$5:$A$64,$A64)=0),"Plot ID not in Plot &amp; Site Log. ","")&amp;IF($C64="","No plot type — say whether this came from a Medium or a Small plot. ","")&amp;IF(AND($C64="Medium",$D64="tree",$F64=""),"Short-statured tree with no diameter at 0.3 m. ","")&amp;IF(AND($C64="Medium",$D64="shrub",OR($G64="",$H64="",$I64="")),"Shrub needs all three of length, width and height. ","")&amp;IF(AND($C64="Medium",$D64="shrub",$F64&lt;&gt;""),"Diameter entered for a shrub — it is ignored. Crown volume is used instead. ","")&amp;IF(AND($C64="Medium",$E64&lt;&gt;"",$L64=""),"Species not in the coefficient list — use 'all shrubs' if you have no closer match. ","")&amp;IF(AND($C64="Small",$J64=""),"Small-plot row with no clipped dry mass yet. ","")&amp;IF($N64&lt;&gt;"","Above-ground only: no root biomass is included for understory. ",""))</f>
        <v/>
      </c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5"/>
      <c r="K65" s="14" t="str">
        <f aca="false">IF($C65="Small","",IF($D65="tree",IF($F65="","",$F65),IF(OR($G65="",$H65="",$I65=""),"",$G65*$H65*$I65)))</f>
        <v/>
      </c>
      <c r="L65" s="14" t="str">
        <f aca="false">IF($C65="Small","",IFERROR(INDEX('R2. Understory Coefficients'!$E$8:$E$14,MATCH($E65,'R2. Understory Coefficients'!$I$8:$I$14,0)),""))</f>
        <v/>
      </c>
      <c r="M65" s="14" t="str">
        <f aca="false">IF($C65="Small","",IFERROR(INDEX('R2. Understory Coefficients'!$F$8:$F$14,MATCH($E65,'R2. Understory Coefficients'!$I$8:$I$14,0)),""))</f>
        <v/>
      </c>
      <c r="N65" s="14" t="str">
        <f aca="false">IF($C65="Small",IF($J65="","",$J65/1000),IF(OR($K65="",$L65="",$M65=""),"",($L65*($K65^$M65))/1000))</f>
        <v/>
      </c>
      <c r="O65" s="14" t="str">
        <f aca="false">IF($N65="","",$N65*CARBON_FRACTION_BIOMASS)</f>
        <v/>
      </c>
      <c r="P65" s="14" t="str">
        <f aca="false">IF(AND($A65="",$E65="",$J65=""),"",IF(AND($A65&lt;&gt;"",COUNTIF('1. Plot &amp; Site Log'!$A$5:$A$64,$A65)=0),"Plot ID not in Plot &amp; Site Log. ","")&amp;IF($C65="","No plot type — say whether this came from a Medium or a Small plot. ","")&amp;IF(AND($C65="Medium",$D65="tree",$F65=""),"Short-statured tree with no diameter at 0.3 m. ","")&amp;IF(AND($C65="Medium",$D65="shrub",OR($G65="",$H65="",$I65="")),"Shrub needs all three of length, width and height. ","")&amp;IF(AND($C65="Medium",$D65="shrub",$F65&lt;&gt;""),"Diameter entered for a shrub — it is ignored. Crown volume is used instead. ","")&amp;IF(AND($C65="Medium",$E65&lt;&gt;"",$L65=""),"Species not in the coefficient list — use 'all shrubs' if you have no closer match. ","")&amp;IF(AND($C65="Small",$J65=""),"Small-plot row with no clipped dry mass yet. ","")&amp;IF($N65&lt;&gt;"","Above-ground only: no root biomass is included for understory. ",""))</f>
        <v/>
      </c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5"/>
      <c r="K66" s="14" t="str">
        <f aca="false">IF($C66="Small","",IF($D66="tree",IF($F66="","",$F66),IF(OR($G66="",$H66="",$I66=""),"",$G66*$H66*$I66)))</f>
        <v/>
      </c>
      <c r="L66" s="14" t="str">
        <f aca="false">IF($C66="Small","",IFERROR(INDEX('R2. Understory Coefficients'!$E$8:$E$14,MATCH($E66,'R2. Understory Coefficients'!$I$8:$I$14,0)),""))</f>
        <v/>
      </c>
      <c r="M66" s="14" t="str">
        <f aca="false">IF($C66="Small","",IFERROR(INDEX('R2. Understory Coefficients'!$F$8:$F$14,MATCH($E66,'R2. Understory Coefficients'!$I$8:$I$14,0)),""))</f>
        <v/>
      </c>
      <c r="N66" s="14" t="str">
        <f aca="false">IF($C66="Small",IF($J66="","",$J66/1000),IF(OR($K66="",$L66="",$M66=""),"",($L66*($K66^$M66))/1000))</f>
        <v/>
      </c>
      <c r="O66" s="14" t="str">
        <f aca="false">IF($N66="","",$N66*CARBON_FRACTION_BIOMASS)</f>
        <v/>
      </c>
      <c r="P66" s="14" t="str">
        <f aca="false">IF(AND($A66="",$E66="",$J66=""),"",IF(AND($A66&lt;&gt;"",COUNTIF('1. Plot &amp; Site Log'!$A$5:$A$64,$A66)=0),"Plot ID not in Plot &amp; Site Log. ","")&amp;IF($C66="","No plot type — say whether this came from a Medium or a Small plot. ","")&amp;IF(AND($C66="Medium",$D66="tree",$F66=""),"Short-statured tree with no diameter at 0.3 m. ","")&amp;IF(AND($C66="Medium",$D66="shrub",OR($G66="",$H66="",$I66="")),"Shrub needs all three of length, width and height. ","")&amp;IF(AND($C66="Medium",$D66="shrub",$F66&lt;&gt;""),"Diameter entered for a shrub — it is ignored. Crown volume is used instead. ","")&amp;IF(AND($C66="Medium",$E66&lt;&gt;"",$L66=""),"Species not in the coefficient list — use 'all shrubs' if you have no closer match. ","")&amp;IF(AND($C66="Small",$J66=""),"Small-plot row with no clipped dry mass yet. ","")&amp;IF($N66&lt;&gt;"","Above-ground only: no root biomass is included for understory. ",""))</f>
        <v/>
      </c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5"/>
      <c r="K67" s="14" t="str">
        <f aca="false">IF($C67="Small","",IF($D67="tree",IF($F67="","",$F67),IF(OR($G67="",$H67="",$I67=""),"",$G67*$H67*$I67)))</f>
        <v/>
      </c>
      <c r="L67" s="14" t="str">
        <f aca="false">IF($C67="Small","",IFERROR(INDEX('R2. Understory Coefficients'!$E$8:$E$14,MATCH($E67,'R2. Understory Coefficients'!$I$8:$I$14,0)),""))</f>
        <v/>
      </c>
      <c r="M67" s="14" t="str">
        <f aca="false">IF($C67="Small","",IFERROR(INDEX('R2. Understory Coefficients'!$F$8:$F$14,MATCH($E67,'R2. Understory Coefficients'!$I$8:$I$14,0)),""))</f>
        <v/>
      </c>
      <c r="N67" s="14" t="str">
        <f aca="false">IF($C67="Small",IF($J67="","",$J67/1000),IF(OR($K67="",$L67="",$M67=""),"",($L67*($K67^$M67))/1000))</f>
        <v/>
      </c>
      <c r="O67" s="14" t="str">
        <f aca="false">IF($N67="","",$N67*CARBON_FRACTION_BIOMASS)</f>
        <v/>
      </c>
      <c r="P67" s="14" t="str">
        <f aca="false">IF(AND($A67="",$E67="",$J67=""),"",IF(AND($A67&lt;&gt;"",COUNTIF('1. Plot &amp; Site Log'!$A$5:$A$64,$A67)=0),"Plot ID not in Plot &amp; Site Log. ","")&amp;IF($C67="","No plot type — say whether this came from a Medium or a Small plot. ","")&amp;IF(AND($C67="Medium",$D67="tree",$F67=""),"Short-statured tree with no diameter at 0.3 m. ","")&amp;IF(AND($C67="Medium",$D67="shrub",OR($G67="",$H67="",$I67="")),"Shrub needs all three of length, width and height. ","")&amp;IF(AND($C67="Medium",$D67="shrub",$F67&lt;&gt;""),"Diameter entered for a shrub — it is ignored. Crown volume is used instead. ","")&amp;IF(AND($C67="Medium",$E67&lt;&gt;"",$L67=""),"Species not in the coefficient list — use 'all shrubs' if you have no closer match. ","")&amp;IF(AND($C67="Small",$J67=""),"Small-plot row with no clipped dry mass yet. ","")&amp;IF($N67&lt;&gt;"","Above-ground only: no root biomass is included for understory. ",""))</f>
        <v/>
      </c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5"/>
      <c r="K68" s="14" t="str">
        <f aca="false">IF($C68="Small","",IF($D68="tree",IF($F68="","",$F68),IF(OR($G68="",$H68="",$I68=""),"",$G68*$H68*$I68)))</f>
        <v/>
      </c>
      <c r="L68" s="14" t="str">
        <f aca="false">IF($C68="Small","",IFERROR(INDEX('R2. Understory Coefficients'!$E$8:$E$14,MATCH($E68,'R2. Understory Coefficients'!$I$8:$I$14,0)),""))</f>
        <v/>
      </c>
      <c r="M68" s="14" t="str">
        <f aca="false">IF($C68="Small","",IFERROR(INDEX('R2. Understory Coefficients'!$F$8:$F$14,MATCH($E68,'R2. Understory Coefficients'!$I$8:$I$14,0)),""))</f>
        <v/>
      </c>
      <c r="N68" s="14" t="str">
        <f aca="false">IF($C68="Small",IF($J68="","",$J68/1000),IF(OR($K68="",$L68="",$M68=""),"",($L68*($K68^$M68))/1000))</f>
        <v/>
      </c>
      <c r="O68" s="14" t="str">
        <f aca="false">IF($N68="","",$N68*CARBON_FRACTION_BIOMASS)</f>
        <v/>
      </c>
      <c r="P68" s="14" t="str">
        <f aca="false">IF(AND($A68="",$E68="",$J68=""),"",IF(AND($A68&lt;&gt;"",COUNTIF('1. Plot &amp; Site Log'!$A$5:$A$64,$A68)=0),"Plot ID not in Plot &amp; Site Log. ","")&amp;IF($C68="","No plot type — say whether this came from a Medium or a Small plot. ","")&amp;IF(AND($C68="Medium",$D68="tree",$F68=""),"Short-statured tree with no diameter at 0.3 m. ","")&amp;IF(AND($C68="Medium",$D68="shrub",OR($G68="",$H68="",$I68="")),"Shrub needs all three of length, width and height. ","")&amp;IF(AND($C68="Medium",$D68="shrub",$F68&lt;&gt;""),"Diameter entered for a shrub — it is ignored. Crown volume is used instead. ","")&amp;IF(AND($C68="Medium",$E68&lt;&gt;"",$L68=""),"Species not in the coefficient list — use 'all shrubs' if you have no closer match. ","")&amp;IF(AND($C68="Small",$J68=""),"Small-plot row with no clipped dry mass yet. ","")&amp;IF($N68&lt;&gt;"","Above-ground only: no root biomass is included for understory. ",""))</f>
        <v/>
      </c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5"/>
      <c r="K69" s="14" t="str">
        <f aca="false">IF($C69="Small","",IF($D69="tree",IF($F69="","",$F69),IF(OR($G69="",$H69="",$I69=""),"",$G69*$H69*$I69)))</f>
        <v/>
      </c>
      <c r="L69" s="14" t="str">
        <f aca="false">IF($C69="Small","",IFERROR(INDEX('R2. Understory Coefficients'!$E$8:$E$14,MATCH($E69,'R2. Understory Coefficients'!$I$8:$I$14,0)),""))</f>
        <v/>
      </c>
      <c r="M69" s="14" t="str">
        <f aca="false">IF($C69="Small","",IFERROR(INDEX('R2. Understory Coefficients'!$F$8:$F$14,MATCH($E69,'R2. Understory Coefficients'!$I$8:$I$14,0)),""))</f>
        <v/>
      </c>
      <c r="N69" s="14" t="str">
        <f aca="false">IF($C69="Small",IF($J69="","",$J69/1000),IF(OR($K69="",$L69="",$M69=""),"",($L69*($K69^$M69))/1000))</f>
        <v/>
      </c>
      <c r="O69" s="14" t="str">
        <f aca="false">IF($N69="","",$N69*CARBON_FRACTION_BIOMASS)</f>
        <v/>
      </c>
      <c r="P69" s="14" t="str">
        <f aca="false">IF(AND($A69="",$E69="",$J69=""),"",IF(AND($A69&lt;&gt;"",COUNTIF('1. Plot &amp; Site Log'!$A$5:$A$64,$A69)=0),"Plot ID not in Plot &amp; Site Log. ","")&amp;IF($C69="","No plot type — say whether this came from a Medium or a Small plot. ","")&amp;IF(AND($C69="Medium",$D69="tree",$F69=""),"Short-statured tree with no diameter at 0.3 m. ","")&amp;IF(AND($C69="Medium",$D69="shrub",OR($G69="",$H69="",$I69="")),"Shrub needs all three of length, width and height. ","")&amp;IF(AND($C69="Medium",$D69="shrub",$F69&lt;&gt;""),"Diameter entered for a shrub — it is ignored. Crown volume is used instead. ","")&amp;IF(AND($C69="Medium",$E69&lt;&gt;"",$L69=""),"Species not in the coefficient list — use 'all shrubs' if you have no closer match. ","")&amp;IF(AND($C69="Small",$J69=""),"Small-plot row with no clipped dry mass yet. ","")&amp;IF($N69&lt;&gt;"","Above-ground only: no root biomass is included for understory. ",""))</f>
        <v/>
      </c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5"/>
      <c r="K70" s="14" t="str">
        <f aca="false">IF($C70="Small","",IF($D70="tree",IF($F70="","",$F70),IF(OR($G70="",$H70="",$I70=""),"",$G70*$H70*$I70)))</f>
        <v/>
      </c>
      <c r="L70" s="14" t="str">
        <f aca="false">IF($C70="Small","",IFERROR(INDEX('R2. Understory Coefficients'!$E$8:$E$14,MATCH($E70,'R2. Understory Coefficients'!$I$8:$I$14,0)),""))</f>
        <v/>
      </c>
      <c r="M70" s="14" t="str">
        <f aca="false">IF($C70="Small","",IFERROR(INDEX('R2. Understory Coefficients'!$F$8:$F$14,MATCH($E70,'R2. Understory Coefficients'!$I$8:$I$14,0)),""))</f>
        <v/>
      </c>
      <c r="N70" s="14" t="str">
        <f aca="false">IF($C70="Small",IF($J70="","",$J70/1000),IF(OR($K70="",$L70="",$M70=""),"",($L70*($K70^$M70))/1000))</f>
        <v/>
      </c>
      <c r="O70" s="14" t="str">
        <f aca="false">IF($N70="","",$N70*CARBON_FRACTION_BIOMASS)</f>
        <v/>
      </c>
      <c r="P70" s="14" t="str">
        <f aca="false">IF(AND($A70="",$E70="",$J70=""),"",IF(AND($A70&lt;&gt;"",COUNTIF('1. Plot &amp; Site Log'!$A$5:$A$64,$A70)=0),"Plot ID not in Plot &amp; Site Log. ","")&amp;IF($C70="","No plot type — say whether this came from a Medium or a Small plot. ","")&amp;IF(AND($C70="Medium",$D70="tree",$F70=""),"Short-statured tree with no diameter at 0.3 m. ","")&amp;IF(AND($C70="Medium",$D70="shrub",OR($G70="",$H70="",$I70="")),"Shrub needs all three of length, width and height. ","")&amp;IF(AND($C70="Medium",$D70="shrub",$F70&lt;&gt;""),"Diameter entered for a shrub — it is ignored. Crown volume is used instead. ","")&amp;IF(AND($C70="Medium",$E70&lt;&gt;"",$L70=""),"Species not in the coefficient list — use 'all shrubs' if you have no closer match. ","")&amp;IF(AND($C70="Small",$J70=""),"Small-plot row with no clipped dry mass yet. ","")&amp;IF($N70&lt;&gt;"","Above-ground only: no root biomass is included for understory. ",""))</f>
        <v/>
      </c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5"/>
      <c r="K71" s="14" t="str">
        <f aca="false">IF($C71="Small","",IF($D71="tree",IF($F71="","",$F71),IF(OR($G71="",$H71="",$I71=""),"",$G71*$H71*$I71)))</f>
        <v/>
      </c>
      <c r="L71" s="14" t="str">
        <f aca="false">IF($C71="Small","",IFERROR(INDEX('R2. Understory Coefficients'!$E$8:$E$14,MATCH($E71,'R2. Understory Coefficients'!$I$8:$I$14,0)),""))</f>
        <v/>
      </c>
      <c r="M71" s="14" t="str">
        <f aca="false">IF($C71="Small","",IFERROR(INDEX('R2. Understory Coefficients'!$F$8:$F$14,MATCH($E71,'R2. Understory Coefficients'!$I$8:$I$14,0)),""))</f>
        <v/>
      </c>
      <c r="N71" s="14" t="str">
        <f aca="false">IF($C71="Small",IF($J71="","",$J71/1000),IF(OR($K71="",$L71="",$M71=""),"",($L71*($K71^$M71))/1000))</f>
        <v/>
      </c>
      <c r="O71" s="14" t="str">
        <f aca="false">IF($N71="","",$N71*CARBON_FRACTION_BIOMASS)</f>
        <v/>
      </c>
      <c r="P71" s="14" t="str">
        <f aca="false">IF(AND($A71="",$E71="",$J71=""),"",IF(AND($A71&lt;&gt;"",COUNTIF('1. Plot &amp; Site Log'!$A$5:$A$64,$A71)=0),"Plot ID not in Plot &amp; Site Log. ","")&amp;IF($C71="","No plot type — say whether this came from a Medium or a Small plot. ","")&amp;IF(AND($C71="Medium",$D71="tree",$F71=""),"Short-statured tree with no diameter at 0.3 m. ","")&amp;IF(AND($C71="Medium",$D71="shrub",OR($G71="",$H71="",$I71="")),"Shrub needs all three of length, width and height. ","")&amp;IF(AND($C71="Medium",$D71="shrub",$F71&lt;&gt;""),"Diameter entered for a shrub — it is ignored. Crown volume is used instead. ","")&amp;IF(AND($C71="Medium",$E71&lt;&gt;"",$L71=""),"Species not in the coefficient list — use 'all shrubs' if you have no closer match. ","")&amp;IF(AND($C71="Small",$J71=""),"Small-plot row with no clipped dry mass yet. ","")&amp;IF($N71&lt;&gt;"","Above-ground only: no root biomass is included for understory. ",""))</f>
        <v/>
      </c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5"/>
      <c r="K72" s="14" t="str">
        <f aca="false">IF($C72="Small","",IF($D72="tree",IF($F72="","",$F72),IF(OR($G72="",$H72="",$I72=""),"",$G72*$H72*$I72)))</f>
        <v/>
      </c>
      <c r="L72" s="14" t="str">
        <f aca="false">IF($C72="Small","",IFERROR(INDEX('R2. Understory Coefficients'!$E$8:$E$14,MATCH($E72,'R2. Understory Coefficients'!$I$8:$I$14,0)),""))</f>
        <v/>
      </c>
      <c r="M72" s="14" t="str">
        <f aca="false">IF($C72="Small","",IFERROR(INDEX('R2. Understory Coefficients'!$F$8:$F$14,MATCH($E72,'R2. Understory Coefficients'!$I$8:$I$14,0)),""))</f>
        <v/>
      </c>
      <c r="N72" s="14" t="str">
        <f aca="false">IF($C72="Small",IF($J72="","",$J72/1000),IF(OR($K72="",$L72="",$M72=""),"",($L72*($K72^$M72))/1000))</f>
        <v/>
      </c>
      <c r="O72" s="14" t="str">
        <f aca="false">IF($N72="","",$N72*CARBON_FRACTION_BIOMASS)</f>
        <v/>
      </c>
      <c r="P72" s="14" t="str">
        <f aca="false">IF(AND($A72="",$E72="",$J72=""),"",IF(AND($A72&lt;&gt;"",COUNTIF('1. Plot &amp; Site Log'!$A$5:$A$64,$A72)=0),"Plot ID not in Plot &amp; Site Log. ","")&amp;IF($C72="","No plot type — say whether this came from a Medium or a Small plot. ","")&amp;IF(AND($C72="Medium",$D72="tree",$F72=""),"Short-statured tree with no diameter at 0.3 m. ","")&amp;IF(AND($C72="Medium",$D72="shrub",OR($G72="",$H72="",$I72="")),"Shrub needs all three of length, width and height. ","")&amp;IF(AND($C72="Medium",$D72="shrub",$F72&lt;&gt;""),"Diameter entered for a shrub — it is ignored. Crown volume is used instead. ","")&amp;IF(AND($C72="Medium",$E72&lt;&gt;"",$L72=""),"Species not in the coefficient list — use 'all shrubs' if you have no closer match. ","")&amp;IF(AND($C72="Small",$J72=""),"Small-plot row with no clipped dry mass yet. ","")&amp;IF($N72&lt;&gt;"","Above-ground only: no root biomass is included for understory. ",""))</f>
        <v/>
      </c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5"/>
      <c r="K73" s="14" t="str">
        <f aca="false">IF($C73="Small","",IF($D73="tree",IF($F73="","",$F73),IF(OR($G73="",$H73="",$I73=""),"",$G73*$H73*$I73)))</f>
        <v/>
      </c>
      <c r="L73" s="14" t="str">
        <f aca="false">IF($C73="Small","",IFERROR(INDEX('R2. Understory Coefficients'!$E$8:$E$14,MATCH($E73,'R2. Understory Coefficients'!$I$8:$I$14,0)),""))</f>
        <v/>
      </c>
      <c r="M73" s="14" t="str">
        <f aca="false">IF($C73="Small","",IFERROR(INDEX('R2. Understory Coefficients'!$F$8:$F$14,MATCH($E73,'R2. Understory Coefficients'!$I$8:$I$14,0)),""))</f>
        <v/>
      </c>
      <c r="N73" s="14" t="str">
        <f aca="false">IF($C73="Small",IF($J73="","",$J73/1000),IF(OR($K73="",$L73="",$M73=""),"",($L73*($K73^$M73))/1000))</f>
        <v/>
      </c>
      <c r="O73" s="14" t="str">
        <f aca="false">IF($N73="","",$N73*CARBON_FRACTION_BIOMASS)</f>
        <v/>
      </c>
      <c r="P73" s="14" t="str">
        <f aca="false">IF(AND($A73="",$E73="",$J73=""),"",IF(AND($A73&lt;&gt;"",COUNTIF('1. Plot &amp; Site Log'!$A$5:$A$64,$A73)=0),"Plot ID not in Plot &amp; Site Log. ","")&amp;IF($C73="","No plot type — say whether this came from a Medium or a Small plot. ","")&amp;IF(AND($C73="Medium",$D73="tree",$F73=""),"Short-statured tree with no diameter at 0.3 m. ","")&amp;IF(AND($C73="Medium",$D73="shrub",OR($G73="",$H73="",$I73="")),"Shrub needs all three of length, width and height. ","")&amp;IF(AND($C73="Medium",$D73="shrub",$F73&lt;&gt;""),"Diameter entered for a shrub — it is ignored. Crown volume is used instead. ","")&amp;IF(AND($C73="Medium",$E73&lt;&gt;"",$L73=""),"Species not in the coefficient list — use 'all shrubs' if you have no closer match. ","")&amp;IF(AND($C73="Small",$J73=""),"Small-plot row with no clipped dry mass yet. ","")&amp;IF($N73&lt;&gt;"","Above-ground only: no root biomass is included for understory. ",""))</f>
        <v/>
      </c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5"/>
      <c r="K74" s="14" t="str">
        <f aca="false">IF($C74="Small","",IF($D74="tree",IF($F74="","",$F74),IF(OR($G74="",$H74="",$I74=""),"",$G74*$H74*$I74)))</f>
        <v/>
      </c>
      <c r="L74" s="14" t="str">
        <f aca="false">IF($C74="Small","",IFERROR(INDEX('R2. Understory Coefficients'!$E$8:$E$14,MATCH($E74,'R2. Understory Coefficients'!$I$8:$I$14,0)),""))</f>
        <v/>
      </c>
      <c r="M74" s="14" t="str">
        <f aca="false">IF($C74="Small","",IFERROR(INDEX('R2. Understory Coefficients'!$F$8:$F$14,MATCH($E74,'R2. Understory Coefficients'!$I$8:$I$14,0)),""))</f>
        <v/>
      </c>
      <c r="N74" s="14" t="str">
        <f aca="false">IF($C74="Small",IF($J74="","",$J74/1000),IF(OR($K74="",$L74="",$M74=""),"",($L74*($K74^$M74))/1000))</f>
        <v/>
      </c>
      <c r="O74" s="14" t="str">
        <f aca="false">IF($N74="","",$N74*CARBON_FRACTION_BIOMASS)</f>
        <v/>
      </c>
      <c r="P74" s="14" t="str">
        <f aca="false">IF(AND($A74="",$E74="",$J74=""),"",IF(AND($A74&lt;&gt;"",COUNTIF('1. Plot &amp; Site Log'!$A$5:$A$64,$A74)=0),"Plot ID not in Plot &amp; Site Log. ","")&amp;IF($C74="","No plot type — say whether this came from a Medium or a Small plot. ","")&amp;IF(AND($C74="Medium",$D74="tree",$F74=""),"Short-statured tree with no diameter at 0.3 m. ","")&amp;IF(AND($C74="Medium",$D74="shrub",OR($G74="",$H74="",$I74="")),"Shrub needs all three of length, width and height. ","")&amp;IF(AND($C74="Medium",$D74="shrub",$F74&lt;&gt;""),"Diameter entered for a shrub — it is ignored. Crown volume is used instead. ","")&amp;IF(AND($C74="Medium",$E74&lt;&gt;"",$L74=""),"Species not in the coefficient list — use 'all shrubs' if you have no closer match. ","")&amp;IF(AND($C74="Small",$J74=""),"Small-plot row with no clipped dry mass yet. ","")&amp;IF($N74&lt;&gt;"","Above-ground only: no root biomass is included for understory. ",""))</f>
        <v/>
      </c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5"/>
      <c r="K75" s="14" t="str">
        <f aca="false">IF($C75="Small","",IF($D75="tree",IF($F75="","",$F75),IF(OR($G75="",$H75="",$I75=""),"",$G75*$H75*$I75)))</f>
        <v/>
      </c>
      <c r="L75" s="14" t="str">
        <f aca="false">IF($C75="Small","",IFERROR(INDEX('R2. Understory Coefficients'!$E$8:$E$14,MATCH($E75,'R2. Understory Coefficients'!$I$8:$I$14,0)),""))</f>
        <v/>
      </c>
      <c r="M75" s="14" t="str">
        <f aca="false">IF($C75="Small","",IFERROR(INDEX('R2. Understory Coefficients'!$F$8:$F$14,MATCH($E75,'R2. Understory Coefficients'!$I$8:$I$14,0)),""))</f>
        <v/>
      </c>
      <c r="N75" s="14" t="str">
        <f aca="false">IF($C75="Small",IF($J75="","",$J75/1000),IF(OR($K75="",$L75="",$M75=""),"",($L75*($K75^$M75))/1000))</f>
        <v/>
      </c>
      <c r="O75" s="14" t="str">
        <f aca="false">IF($N75="","",$N75*CARBON_FRACTION_BIOMASS)</f>
        <v/>
      </c>
      <c r="P75" s="14" t="str">
        <f aca="false">IF(AND($A75="",$E75="",$J75=""),"",IF(AND($A75&lt;&gt;"",COUNTIF('1. Plot &amp; Site Log'!$A$5:$A$64,$A75)=0),"Plot ID not in Plot &amp; Site Log. ","")&amp;IF($C75="","No plot type — say whether this came from a Medium or a Small plot. ","")&amp;IF(AND($C75="Medium",$D75="tree",$F75=""),"Short-statured tree with no diameter at 0.3 m. ","")&amp;IF(AND($C75="Medium",$D75="shrub",OR($G75="",$H75="",$I75="")),"Shrub needs all three of length, width and height. ","")&amp;IF(AND($C75="Medium",$D75="shrub",$F75&lt;&gt;""),"Diameter entered for a shrub — it is ignored. Crown volume is used instead. ","")&amp;IF(AND($C75="Medium",$E75&lt;&gt;"",$L75=""),"Species not in the coefficient list — use 'all shrubs' if you have no closer match. ","")&amp;IF(AND($C75="Small",$J75=""),"Small-plot row with no clipped dry mass yet. ","")&amp;IF($N75&lt;&gt;"","Above-ground only: no root biomass is included for understory. ",""))</f>
        <v/>
      </c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5"/>
      <c r="K76" s="14" t="str">
        <f aca="false">IF($C76="Small","",IF($D76="tree",IF($F76="","",$F76),IF(OR($G76="",$H76="",$I76=""),"",$G76*$H76*$I76)))</f>
        <v/>
      </c>
      <c r="L76" s="14" t="str">
        <f aca="false">IF($C76="Small","",IFERROR(INDEX('R2. Understory Coefficients'!$E$8:$E$14,MATCH($E76,'R2. Understory Coefficients'!$I$8:$I$14,0)),""))</f>
        <v/>
      </c>
      <c r="M76" s="14" t="str">
        <f aca="false">IF($C76="Small","",IFERROR(INDEX('R2. Understory Coefficients'!$F$8:$F$14,MATCH($E76,'R2. Understory Coefficients'!$I$8:$I$14,0)),""))</f>
        <v/>
      </c>
      <c r="N76" s="14" t="str">
        <f aca="false">IF($C76="Small",IF($J76="","",$J76/1000),IF(OR($K76="",$L76="",$M76=""),"",($L76*($K76^$M76))/1000))</f>
        <v/>
      </c>
      <c r="O76" s="14" t="str">
        <f aca="false">IF($N76="","",$N76*CARBON_FRACTION_BIOMASS)</f>
        <v/>
      </c>
      <c r="P76" s="14" t="str">
        <f aca="false">IF(AND($A76="",$E76="",$J76=""),"",IF(AND($A76&lt;&gt;"",COUNTIF('1. Plot &amp; Site Log'!$A$5:$A$64,$A76)=0),"Plot ID not in Plot &amp; Site Log. ","")&amp;IF($C76="","No plot type — say whether this came from a Medium or a Small plot. ","")&amp;IF(AND($C76="Medium",$D76="tree",$F76=""),"Short-statured tree with no diameter at 0.3 m. ","")&amp;IF(AND($C76="Medium",$D76="shrub",OR($G76="",$H76="",$I76="")),"Shrub needs all three of length, width and height. ","")&amp;IF(AND($C76="Medium",$D76="shrub",$F76&lt;&gt;""),"Diameter entered for a shrub — it is ignored. Crown volume is used instead. ","")&amp;IF(AND($C76="Medium",$E76&lt;&gt;"",$L76=""),"Species not in the coefficient list — use 'all shrubs' if you have no closer match. ","")&amp;IF(AND($C76="Small",$J76=""),"Small-plot row with no clipped dry mass yet. ","")&amp;IF($N76&lt;&gt;"","Above-ground only: no root biomass is included for understory. ",""))</f>
        <v/>
      </c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5"/>
      <c r="K77" s="14" t="str">
        <f aca="false">IF($C77="Small","",IF($D77="tree",IF($F77="","",$F77),IF(OR($G77="",$H77="",$I77=""),"",$G77*$H77*$I77)))</f>
        <v/>
      </c>
      <c r="L77" s="14" t="str">
        <f aca="false">IF($C77="Small","",IFERROR(INDEX('R2. Understory Coefficients'!$E$8:$E$14,MATCH($E77,'R2. Understory Coefficients'!$I$8:$I$14,0)),""))</f>
        <v/>
      </c>
      <c r="M77" s="14" t="str">
        <f aca="false">IF($C77="Small","",IFERROR(INDEX('R2. Understory Coefficients'!$F$8:$F$14,MATCH($E77,'R2. Understory Coefficients'!$I$8:$I$14,0)),""))</f>
        <v/>
      </c>
      <c r="N77" s="14" t="str">
        <f aca="false">IF($C77="Small",IF($J77="","",$J77/1000),IF(OR($K77="",$L77="",$M77=""),"",($L77*($K77^$M77))/1000))</f>
        <v/>
      </c>
      <c r="O77" s="14" t="str">
        <f aca="false">IF($N77="","",$N77*CARBON_FRACTION_BIOMASS)</f>
        <v/>
      </c>
      <c r="P77" s="14" t="str">
        <f aca="false">IF(AND($A77="",$E77="",$J77=""),"",IF(AND($A77&lt;&gt;"",COUNTIF('1. Plot &amp; Site Log'!$A$5:$A$64,$A77)=0),"Plot ID not in Plot &amp; Site Log. ","")&amp;IF($C77="","No plot type — say whether this came from a Medium or a Small plot. ","")&amp;IF(AND($C77="Medium",$D77="tree",$F77=""),"Short-statured tree with no diameter at 0.3 m. ","")&amp;IF(AND($C77="Medium",$D77="shrub",OR($G77="",$H77="",$I77="")),"Shrub needs all three of length, width and height. ","")&amp;IF(AND($C77="Medium",$D77="shrub",$F77&lt;&gt;""),"Diameter entered for a shrub — it is ignored. Crown volume is used instead. ","")&amp;IF(AND($C77="Medium",$E77&lt;&gt;"",$L77=""),"Species not in the coefficient list — use 'all shrubs' if you have no closer match. ","")&amp;IF(AND($C77="Small",$J77=""),"Small-plot row with no clipped dry mass yet. ","")&amp;IF($N77&lt;&gt;"","Above-ground only: no root biomass is included for understory. ",""))</f>
        <v/>
      </c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5"/>
      <c r="K78" s="14" t="str">
        <f aca="false">IF($C78="Small","",IF($D78="tree",IF($F78="","",$F78),IF(OR($G78="",$H78="",$I78=""),"",$G78*$H78*$I78)))</f>
        <v/>
      </c>
      <c r="L78" s="14" t="str">
        <f aca="false">IF($C78="Small","",IFERROR(INDEX('R2. Understory Coefficients'!$E$8:$E$14,MATCH($E78,'R2. Understory Coefficients'!$I$8:$I$14,0)),""))</f>
        <v/>
      </c>
      <c r="M78" s="14" t="str">
        <f aca="false">IF($C78="Small","",IFERROR(INDEX('R2. Understory Coefficients'!$F$8:$F$14,MATCH($E78,'R2. Understory Coefficients'!$I$8:$I$14,0)),""))</f>
        <v/>
      </c>
      <c r="N78" s="14" t="str">
        <f aca="false">IF($C78="Small",IF($J78="","",$J78/1000),IF(OR($K78="",$L78="",$M78=""),"",($L78*($K78^$M78))/1000))</f>
        <v/>
      </c>
      <c r="O78" s="14" t="str">
        <f aca="false">IF($N78="","",$N78*CARBON_FRACTION_BIOMASS)</f>
        <v/>
      </c>
      <c r="P78" s="14" t="str">
        <f aca="false">IF(AND($A78="",$E78="",$J78=""),"",IF(AND($A78&lt;&gt;"",COUNTIF('1. Plot &amp; Site Log'!$A$5:$A$64,$A78)=0),"Plot ID not in Plot &amp; Site Log. ","")&amp;IF($C78="","No plot type — say whether this came from a Medium or a Small plot. ","")&amp;IF(AND($C78="Medium",$D78="tree",$F78=""),"Short-statured tree with no diameter at 0.3 m. ","")&amp;IF(AND($C78="Medium",$D78="shrub",OR($G78="",$H78="",$I78="")),"Shrub needs all three of length, width and height. ","")&amp;IF(AND($C78="Medium",$D78="shrub",$F78&lt;&gt;""),"Diameter entered for a shrub — it is ignored. Crown volume is used instead. ","")&amp;IF(AND($C78="Medium",$E78&lt;&gt;"",$L78=""),"Species not in the coefficient list — use 'all shrubs' if you have no closer match. ","")&amp;IF(AND($C78="Small",$J78=""),"Small-plot row with no clipped dry mass yet. ","")&amp;IF($N78&lt;&gt;"","Above-ground only: no root biomass is included for understory. ",""))</f>
        <v/>
      </c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5"/>
      <c r="K79" s="14" t="str">
        <f aca="false">IF($C79="Small","",IF($D79="tree",IF($F79="","",$F79),IF(OR($G79="",$H79="",$I79=""),"",$G79*$H79*$I79)))</f>
        <v/>
      </c>
      <c r="L79" s="14" t="str">
        <f aca="false">IF($C79="Small","",IFERROR(INDEX('R2. Understory Coefficients'!$E$8:$E$14,MATCH($E79,'R2. Understory Coefficients'!$I$8:$I$14,0)),""))</f>
        <v/>
      </c>
      <c r="M79" s="14" t="str">
        <f aca="false">IF($C79="Small","",IFERROR(INDEX('R2. Understory Coefficients'!$F$8:$F$14,MATCH($E79,'R2. Understory Coefficients'!$I$8:$I$14,0)),""))</f>
        <v/>
      </c>
      <c r="N79" s="14" t="str">
        <f aca="false">IF($C79="Small",IF($J79="","",$J79/1000),IF(OR($K79="",$L79="",$M79=""),"",($L79*($K79^$M79))/1000))</f>
        <v/>
      </c>
      <c r="O79" s="14" t="str">
        <f aca="false">IF($N79="","",$N79*CARBON_FRACTION_BIOMASS)</f>
        <v/>
      </c>
      <c r="P79" s="14" t="str">
        <f aca="false">IF(AND($A79="",$E79="",$J79=""),"",IF(AND($A79&lt;&gt;"",COUNTIF('1. Plot &amp; Site Log'!$A$5:$A$64,$A79)=0),"Plot ID not in Plot &amp; Site Log. ","")&amp;IF($C79="","No plot type — say whether this came from a Medium or a Small plot. ","")&amp;IF(AND($C79="Medium",$D79="tree",$F79=""),"Short-statured tree with no diameter at 0.3 m. ","")&amp;IF(AND($C79="Medium",$D79="shrub",OR($G79="",$H79="",$I79="")),"Shrub needs all three of length, width and height. ","")&amp;IF(AND($C79="Medium",$D79="shrub",$F79&lt;&gt;""),"Diameter entered for a shrub — it is ignored. Crown volume is used instead. ","")&amp;IF(AND($C79="Medium",$E79&lt;&gt;"",$L79=""),"Species not in the coefficient list — use 'all shrubs' if you have no closer match. ","")&amp;IF(AND($C79="Small",$J79=""),"Small-plot row with no clipped dry mass yet. ","")&amp;IF($N79&lt;&gt;"","Above-ground only: no root biomass is included for understory. ",""))</f>
        <v/>
      </c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5"/>
      <c r="K80" s="14" t="str">
        <f aca="false">IF($C80="Small","",IF($D80="tree",IF($F80="","",$F80),IF(OR($G80="",$H80="",$I80=""),"",$G80*$H80*$I80)))</f>
        <v/>
      </c>
      <c r="L80" s="14" t="str">
        <f aca="false">IF($C80="Small","",IFERROR(INDEX('R2. Understory Coefficients'!$E$8:$E$14,MATCH($E80,'R2. Understory Coefficients'!$I$8:$I$14,0)),""))</f>
        <v/>
      </c>
      <c r="M80" s="14" t="str">
        <f aca="false">IF($C80="Small","",IFERROR(INDEX('R2. Understory Coefficients'!$F$8:$F$14,MATCH($E80,'R2. Understory Coefficients'!$I$8:$I$14,0)),""))</f>
        <v/>
      </c>
      <c r="N80" s="14" t="str">
        <f aca="false">IF($C80="Small",IF($J80="","",$J80/1000),IF(OR($K80="",$L80="",$M80=""),"",($L80*($K80^$M80))/1000))</f>
        <v/>
      </c>
      <c r="O80" s="14" t="str">
        <f aca="false">IF($N80="","",$N80*CARBON_FRACTION_BIOMASS)</f>
        <v/>
      </c>
      <c r="P80" s="14" t="str">
        <f aca="false">IF(AND($A80="",$E80="",$J80=""),"",IF(AND($A80&lt;&gt;"",COUNTIF('1. Plot &amp; Site Log'!$A$5:$A$64,$A80)=0),"Plot ID not in Plot &amp; Site Log. ","")&amp;IF($C80="","No plot type — say whether this came from a Medium or a Small plot. ","")&amp;IF(AND($C80="Medium",$D80="tree",$F80=""),"Short-statured tree with no diameter at 0.3 m. ","")&amp;IF(AND($C80="Medium",$D80="shrub",OR($G80="",$H80="",$I80="")),"Shrub needs all three of length, width and height. ","")&amp;IF(AND($C80="Medium",$D80="shrub",$F80&lt;&gt;""),"Diameter entered for a shrub — it is ignored. Crown volume is used instead. ","")&amp;IF(AND($C80="Medium",$E80&lt;&gt;"",$L80=""),"Species not in the coefficient list — use 'all shrubs' if you have no closer match. ","")&amp;IF(AND($C80="Small",$J80=""),"Small-plot row with no clipped dry mass yet. ","")&amp;IF($N80&lt;&gt;"","Above-ground only: no root biomass is included for understory. ",""))</f>
        <v/>
      </c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5"/>
      <c r="K81" s="14" t="str">
        <f aca="false">IF($C81="Small","",IF($D81="tree",IF($F81="","",$F81),IF(OR($G81="",$H81="",$I81=""),"",$G81*$H81*$I81)))</f>
        <v/>
      </c>
      <c r="L81" s="14" t="str">
        <f aca="false">IF($C81="Small","",IFERROR(INDEX('R2. Understory Coefficients'!$E$8:$E$14,MATCH($E81,'R2. Understory Coefficients'!$I$8:$I$14,0)),""))</f>
        <v/>
      </c>
      <c r="M81" s="14" t="str">
        <f aca="false">IF($C81="Small","",IFERROR(INDEX('R2. Understory Coefficients'!$F$8:$F$14,MATCH($E81,'R2. Understory Coefficients'!$I$8:$I$14,0)),""))</f>
        <v/>
      </c>
      <c r="N81" s="14" t="str">
        <f aca="false">IF($C81="Small",IF($J81="","",$J81/1000),IF(OR($K81="",$L81="",$M81=""),"",($L81*($K81^$M81))/1000))</f>
        <v/>
      </c>
      <c r="O81" s="14" t="str">
        <f aca="false">IF($N81="","",$N81*CARBON_FRACTION_BIOMASS)</f>
        <v/>
      </c>
      <c r="P81" s="14" t="str">
        <f aca="false">IF(AND($A81="",$E81="",$J81=""),"",IF(AND($A81&lt;&gt;"",COUNTIF('1. Plot &amp; Site Log'!$A$5:$A$64,$A81)=0),"Plot ID not in Plot &amp; Site Log. ","")&amp;IF($C81="","No plot type — say whether this came from a Medium or a Small plot. ","")&amp;IF(AND($C81="Medium",$D81="tree",$F81=""),"Short-statured tree with no diameter at 0.3 m. ","")&amp;IF(AND($C81="Medium",$D81="shrub",OR($G81="",$H81="",$I81="")),"Shrub needs all three of length, width and height. ","")&amp;IF(AND($C81="Medium",$D81="shrub",$F81&lt;&gt;""),"Diameter entered for a shrub — it is ignored. Crown volume is used instead. ","")&amp;IF(AND($C81="Medium",$E81&lt;&gt;"",$L81=""),"Species not in the coefficient list — use 'all shrubs' if you have no closer match. ","")&amp;IF(AND($C81="Small",$J81=""),"Small-plot row with no clipped dry mass yet. ","")&amp;IF($N81&lt;&gt;"","Above-ground only: no root biomass is included for understory. ",""))</f>
        <v/>
      </c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5"/>
      <c r="K82" s="14" t="str">
        <f aca="false">IF($C82="Small","",IF($D82="tree",IF($F82="","",$F82),IF(OR($G82="",$H82="",$I82=""),"",$G82*$H82*$I82)))</f>
        <v/>
      </c>
      <c r="L82" s="14" t="str">
        <f aca="false">IF($C82="Small","",IFERROR(INDEX('R2. Understory Coefficients'!$E$8:$E$14,MATCH($E82,'R2. Understory Coefficients'!$I$8:$I$14,0)),""))</f>
        <v/>
      </c>
      <c r="M82" s="14" t="str">
        <f aca="false">IF($C82="Small","",IFERROR(INDEX('R2. Understory Coefficients'!$F$8:$F$14,MATCH($E82,'R2. Understory Coefficients'!$I$8:$I$14,0)),""))</f>
        <v/>
      </c>
      <c r="N82" s="14" t="str">
        <f aca="false">IF($C82="Small",IF($J82="","",$J82/1000),IF(OR($K82="",$L82="",$M82=""),"",($L82*($K82^$M82))/1000))</f>
        <v/>
      </c>
      <c r="O82" s="14" t="str">
        <f aca="false">IF($N82="","",$N82*CARBON_FRACTION_BIOMASS)</f>
        <v/>
      </c>
      <c r="P82" s="14" t="str">
        <f aca="false">IF(AND($A82="",$E82="",$J82=""),"",IF(AND($A82&lt;&gt;"",COUNTIF('1. Plot &amp; Site Log'!$A$5:$A$64,$A82)=0),"Plot ID not in Plot &amp; Site Log. ","")&amp;IF($C82="","No plot type — say whether this came from a Medium or a Small plot. ","")&amp;IF(AND($C82="Medium",$D82="tree",$F82=""),"Short-statured tree with no diameter at 0.3 m. ","")&amp;IF(AND($C82="Medium",$D82="shrub",OR($G82="",$H82="",$I82="")),"Shrub needs all three of length, width and height. ","")&amp;IF(AND($C82="Medium",$D82="shrub",$F82&lt;&gt;""),"Diameter entered for a shrub — it is ignored. Crown volume is used instead. ","")&amp;IF(AND($C82="Medium",$E82&lt;&gt;"",$L82=""),"Species not in the coefficient list — use 'all shrubs' if you have no closer match. ","")&amp;IF(AND($C82="Small",$J82=""),"Small-plot row with no clipped dry mass yet. ","")&amp;IF($N82&lt;&gt;"","Above-ground only: no root biomass is included for understory. ",""))</f>
        <v/>
      </c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5"/>
      <c r="K83" s="14" t="str">
        <f aca="false">IF($C83="Small","",IF($D83="tree",IF($F83="","",$F83),IF(OR($G83="",$H83="",$I83=""),"",$G83*$H83*$I83)))</f>
        <v/>
      </c>
      <c r="L83" s="14" t="str">
        <f aca="false">IF($C83="Small","",IFERROR(INDEX('R2. Understory Coefficients'!$E$8:$E$14,MATCH($E83,'R2. Understory Coefficients'!$I$8:$I$14,0)),""))</f>
        <v/>
      </c>
      <c r="M83" s="14" t="str">
        <f aca="false">IF($C83="Small","",IFERROR(INDEX('R2. Understory Coefficients'!$F$8:$F$14,MATCH($E83,'R2. Understory Coefficients'!$I$8:$I$14,0)),""))</f>
        <v/>
      </c>
      <c r="N83" s="14" t="str">
        <f aca="false">IF($C83="Small",IF($J83="","",$J83/1000),IF(OR($K83="",$L83="",$M83=""),"",($L83*($K83^$M83))/1000))</f>
        <v/>
      </c>
      <c r="O83" s="14" t="str">
        <f aca="false">IF($N83="","",$N83*CARBON_FRACTION_BIOMASS)</f>
        <v/>
      </c>
      <c r="P83" s="14" t="str">
        <f aca="false">IF(AND($A83="",$E83="",$J83=""),"",IF(AND($A83&lt;&gt;"",COUNTIF('1. Plot &amp; Site Log'!$A$5:$A$64,$A83)=0),"Plot ID not in Plot &amp; Site Log. ","")&amp;IF($C83="","No plot type — say whether this came from a Medium or a Small plot. ","")&amp;IF(AND($C83="Medium",$D83="tree",$F83=""),"Short-statured tree with no diameter at 0.3 m. ","")&amp;IF(AND($C83="Medium",$D83="shrub",OR($G83="",$H83="",$I83="")),"Shrub needs all three of length, width and height. ","")&amp;IF(AND($C83="Medium",$D83="shrub",$F83&lt;&gt;""),"Diameter entered for a shrub — it is ignored. Crown volume is used instead. ","")&amp;IF(AND($C83="Medium",$E83&lt;&gt;"",$L83=""),"Species not in the coefficient list — use 'all shrubs' if you have no closer match. ","")&amp;IF(AND($C83="Small",$J83=""),"Small-plot row with no clipped dry mass yet. ","")&amp;IF($N83&lt;&gt;"","Above-ground only: no root biomass is included for understory. ",""))</f>
        <v/>
      </c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5"/>
      <c r="K84" s="14" t="str">
        <f aca="false">IF($C84="Small","",IF($D84="tree",IF($F84="","",$F84),IF(OR($G84="",$H84="",$I84=""),"",$G84*$H84*$I84)))</f>
        <v/>
      </c>
      <c r="L84" s="14" t="str">
        <f aca="false">IF($C84="Small","",IFERROR(INDEX('R2. Understory Coefficients'!$E$8:$E$14,MATCH($E84,'R2. Understory Coefficients'!$I$8:$I$14,0)),""))</f>
        <v/>
      </c>
      <c r="M84" s="14" t="str">
        <f aca="false">IF($C84="Small","",IFERROR(INDEX('R2. Understory Coefficients'!$F$8:$F$14,MATCH($E84,'R2. Understory Coefficients'!$I$8:$I$14,0)),""))</f>
        <v/>
      </c>
      <c r="N84" s="14" t="str">
        <f aca="false">IF($C84="Small",IF($J84="","",$J84/1000),IF(OR($K84="",$L84="",$M84=""),"",($L84*($K84^$M84))/1000))</f>
        <v/>
      </c>
      <c r="O84" s="14" t="str">
        <f aca="false">IF($N84="","",$N84*CARBON_FRACTION_BIOMASS)</f>
        <v/>
      </c>
      <c r="P84" s="14" t="str">
        <f aca="false">IF(AND($A84="",$E84="",$J84=""),"",IF(AND($A84&lt;&gt;"",COUNTIF('1. Plot &amp; Site Log'!$A$5:$A$64,$A84)=0),"Plot ID not in Plot &amp; Site Log. ","")&amp;IF($C84="","No plot type — say whether this came from a Medium or a Small plot. ","")&amp;IF(AND($C84="Medium",$D84="tree",$F84=""),"Short-statured tree with no diameter at 0.3 m. ","")&amp;IF(AND($C84="Medium",$D84="shrub",OR($G84="",$H84="",$I84="")),"Shrub needs all three of length, width and height. ","")&amp;IF(AND($C84="Medium",$D84="shrub",$F84&lt;&gt;""),"Diameter entered for a shrub — it is ignored. Crown volume is used instead. ","")&amp;IF(AND($C84="Medium",$E84&lt;&gt;"",$L84=""),"Species not in the coefficient list — use 'all shrubs' if you have no closer match. ","")&amp;IF(AND($C84="Small",$J84=""),"Small-plot row with no clipped dry mass yet. ","")&amp;IF($N84&lt;&gt;"","Above-ground only: no root biomass is included for understory. ",""))</f>
        <v/>
      </c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5"/>
      <c r="K85" s="14" t="str">
        <f aca="false">IF($C85="Small","",IF($D85="tree",IF($F85="","",$F85),IF(OR($G85="",$H85="",$I85=""),"",$G85*$H85*$I85)))</f>
        <v/>
      </c>
      <c r="L85" s="14" t="str">
        <f aca="false">IF($C85="Small","",IFERROR(INDEX('R2. Understory Coefficients'!$E$8:$E$14,MATCH($E85,'R2. Understory Coefficients'!$I$8:$I$14,0)),""))</f>
        <v/>
      </c>
      <c r="M85" s="14" t="str">
        <f aca="false">IF($C85="Small","",IFERROR(INDEX('R2. Understory Coefficients'!$F$8:$F$14,MATCH($E85,'R2. Understory Coefficients'!$I$8:$I$14,0)),""))</f>
        <v/>
      </c>
      <c r="N85" s="14" t="str">
        <f aca="false">IF($C85="Small",IF($J85="","",$J85/1000),IF(OR($K85="",$L85="",$M85=""),"",($L85*($K85^$M85))/1000))</f>
        <v/>
      </c>
      <c r="O85" s="14" t="str">
        <f aca="false">IF($N85="","",$N85*CARBON_FRACTION_BIOMASS)</f>
        <v/>
      </c>
      <c r="P85" s="14" t="str">
        <f aca="false">IF(AND($A85="",$E85="",$J85=""),"",IF(AND($A85&lt;&gt;"",COUNTIF('1. Plot &amp; Site Log'!$A$5:$A$64,$A85)=0),"Plot ID not in Plot &amp; Site Log. ","")&amp;IF($C85="","No plot type — say whether this came from a Medium or a Small plot. ","")&amp;IF(AND($C85="Medium",$D85="tree",$F85=""),"Short-statured tree with no diameter at 0.3 m. ","")&amp;IF(AND($C85="Medium",$D85="shrub",OR($G85="",$H85="",$I85="")),"Shrub needs all three of length, width and height. ","")&amp;IF(AND($C85="Medium",$D85="shrub",$F85&lt;&gt;""),"Diameter entered for a shrub — it is ignored. Crown volume is used instead. ","")&amp;IF(AND($C85="Medium",$E85&lt;&gt;"",$L85=""),"Species not in the coefficient list — use 'all shrubs' if you have no closer match. ","")&amp;IF(AND($C85="Small",$J85=""),"Small-plot row with no clipped dry mass yet. ","")&amp;IF($N85&lt;&gt;"","Above-ground only: no root biomass is included for understory. ",""))</f>
        <v/>
      </c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5"/>
      <c r="K86" s="14" t="str">
        <f aca="false">IF($C86="Small","",IF($D86="tree",IF($F86="","",$F86),IF(OR($G86="",$H86="",$I86=""),"",$G86*$H86*$I86)))</f>
        <v/>
      </c>
      <c r="L86" s="14" t="str">
        <f aca="false">IF($C86="Small","",IFERROR(INDEX('R2. Understory Coefficients'!$E$8:$E$14,MATCH($E86,'R2. Understory Coefficients'!$I$8:$I$14,0)),""))</f>
        <v/>
      </c>
      <c r="M86" s="14" t="str">
        <f aca="false">IF($C86="Small","",IFERROR(INDEX('R2. Understory Coefficients'!$F$8:$F$14,MATCH($E86,'R2. Understory Coefficients'!$I$8:$I$14,0)),""))</f>
        <v/>
      </c>
      <c r="N86" s="14" t="str">
        <f aca="false">IF($C86="Small",IF($J86="","",$J86/1000),IF(OR($K86="",$L86="",$M86=""),"",($L86*($K86^$M86))/1000))</f>
        <v/>
      </c>
      <c r="O86" s="14" t="str">
        <f aca="false">IF($N86="","",$N86*CARBON_FRACTION_BIOMASS)</f>
        <v/>
      </c>
      <c r="P86" s="14" t="str">
        <f aca="false">IF(AND($A86="",$E86="",$J86=""),"",IF(AND($A86&lt;&gt;"",COUNTIF('1. Plot &amp; Site Log'!$A$5:$A$64,$A86)=0),"Plot ID not in Plot &amp; Site Log. ","")&amp;IF($C86="","No plot type — say whether this came from a Medium or a Small plot. ","")&amp;IF(AND($C86="Medium",$D86="tree",$F86=""),"Short-statured tree with no diameter at 0.3 m. ","")&amp;IF(AND($C86="Medium",$D86="shrub",OR($G86="",$H86="",$I86="")),"Shrub needs all three of length, width and height. ","")&amp;IF(AND($C86="Medium",$D86="shrub",$F86&lt;&gt;""),"Diameter entered for a shrub — it is ignored. Crown volume is used instead. ","")&amp;IF(AND($C86="Medium",$E86&lt;&gt;"",$L86=""),"Species not in the coefficient list — use 'all shrubs' if you have no closer match. ","")&amp;IF(AND($C86="Small",$J86=""),"Small-plot row with no clipped dry mass yet. ","")&amp;IF($N86&lt;&gt;"","Above-ground only: no root biomass is included for understory. ",""))</f>
        <v/>
      </c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5"/>
      <c r="K87" s="14" t="str">
        <f aca="false">IF($C87="Small","",IF($D87="tree",IF($F87="","",$F87),IF(OR($G87="",$H87="",$I87=""),"",$G87*$H87*$I87)))</f>
        <v/>
      </c>
      <c r="L87" s="14" t="str">
        <f aca="false">IF($C87="Small","",IFERROR(INDEX('R2. Understory Coefficients'!$E$8:$E$14,MATCH($E87,'R2. Understory Coefficients'!$I$8:$I$14,0)),""))</f>
        <v/>
      </c>
      <c r="M87" s="14" t="str">
        <f aca="false">IF($C87="Small","",IFERROR(INDEX('R2. Understory Coefficients'!$F$8:$F$14,MATCH($E87,'R2. Understory Coefficients'!$I$8:$I$14,0)),""))</f>
        <v/>
      </c>
      <c r="N87" s="14" t="str">
        <f aca="false">IF($C87="Small",IF($J87="","",$J87/1000),IF(OR($K87="",$L87="",$M87=""),"",($L87*($K87^$M87))/1000))</f>
        <v/>
      </c>
      <c r="O87" s="14" t="str">
        <f aca="false">IF($N87="","",$N87*CARBON_FRACTION_BIOMASS)</f>
        <v/>
      </c>
      <c r="P87" s="14" t="str">
        <f aca="false">IF(AND($A87="",$E87="",$J87=""),"",IF(AND($A87&lt;&gt;"",COUNTIF('1. Plot &amp; Site Log'!$A$5:$A$64,$A87)=0),"Plot ID not in Plot &amp; Site Log. ","")&amp;IF($C87="","No plot type — say whether this came from a Medium or a Small plot. ","")&amp;IF(AND($C87="Medium",$D87="tree",$F87=""),"Short-statured tree with no diameter at 0.3 m. ","")&amp;IF(AND($C87="Medium",$D87="shrub",OR($G87="",$H87="",$I87="")),"Shrub needs all three of length, width and height. ","")&amp;IF(AND($C87="Medium",$D87="shrub",$F87&lt;&gt;""),"Diameter entered for a shrub — it is ignored. Crown volume is used instead. ","")&amp;IF(AND($C87="Medium",$E87&lt;&gt;"",$L87=""),"Species not in the coefficient list — use 'all shrubs' if you have no closer match. ","")&amp;IF(AND($C87="Small",$J87=""),"Small-plot row with no clipped dry mass yet. ","")&amp;IF($N87&lt;&gt;"","Above-ground only: no root biomass is included for understory. ",""))</f>
        <v/>
      </c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5"/>
      <c r="K88" s="14" t="str">
        <f aca="false">IF($C88="Small","",IF($D88="tree",IF($F88="","",$F88),IF(OR($G88="",$H88="",$I88=""),"",$G88*$H88*$I88)))</f>
        <v/>
      </c>
      <c r="L88" s="14" t="str">
        <f aca="false">IF($C88="Small","",IFERROR(INDEX('R2. Understory Coefficients'!$E$8:$E$14,MATCH($E88,'R2. Understory Coefficients'!$I$8:$I$14,0)),""))</f>
        <v/>
      </c>
      <c r="M88" s="14" t="str">
        <f aca="false">IF($C88="Small","",IFERROR(INDEX('R2. Understory Coefficients'!$F$8:$F$14,MATCH($E88,'R2. Understory Coefficients'!$I$8:$I$14,0)),""))</f>
        <v/>
      </c>
      <c r="N88" s="14" t="str">
        <f aca="false">IF($C88="Small",IF($J88="","",$J88/1000),IF(OR($K88="",$L88="",$M88=""),"",($L88*($K88^$M88))/1000))</f>
        <v/>
      </c>
      <c r="O88" s="14" t="str">
        <f aca="false">IF($N88="","",$N88*CARBON_FRACTION_BIOMASS)</f>
        <v/>
      </c>
      <c r="P88" s="14" t="str">
        <f aca="false">IF(AND($A88="",$E88="",$J88=""),"",IF(AND($A88&lt;&gt;"",COUNTIF('1. Plot &amp; Site Log'!$A$5:$A$64,$A88)=0),"Plot ID not in Plot &amp; Site Log. ","")&amp;IF($C88="","No plot type — say whether this came from a Medium or a Small plot. ","")&amp;IF(AND($C88="Medium",$D88="tree",$F88=""),"Short-statured tree with no diameter at 0.3 m. ","")&amp;IF(AND($C88="Medium",$D88="shrub",OR($G88="",$H88="",$I88="")),"Shrub needs all three of length, width and height. ","")&amp;IF(AND($C88="Medium",$D88="shrub",$F88&lt;&gt;""),"Diameter entered for a shrub — it is ignored. Crown volume is used instead. ","")&amp;IF(AND($C88="Medium",$E88&lt;&gt;"",$L88=""),"Species not in the coefficient list — use 'all shrubs' if you have no closer match. ","")&amp;IF(AND($C88="Small",$J88=""),"Small-plot row with no clipped dry mass yet. ","")&amp;IF($N88&lt;&gt;"","Above-ground only: no root biomass is included for understory. ",""))</f>
        <v/>
      </c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5"/>
      <c r="K89" s="14" t="str">
        <f aca="false">IF($C89="Small","",IF($D89="tree",IF($F89="","",$F89),IF(OR($G89="",$H89="",$I89=""),"",$G89*$H89*$I89)))</f>
        <v/>
      </c>
      <c r="L89" s="14" t="str">
        <f aca="false">IF($C89="Small","",IFERROR(INDEX('R2. Understory Coefficients'!$E$8:$E$14,MATCH($E89,'R2. Understory Coefficients'!$I$8:$I$14,0)),""))</f>
        <v/>
      </c>
      <c r="M89" s="14" t="str">
        <f aca="false">IF($C89="Small","",IFERROR(INDEX('R2. Understory Coefficients'!$F$8:$F$14,MATCH($E89,'R2. Understory Coefficients'!$I$8:$I$14,0)),""))</f>
        <v/>
      </c>
      <c r="N89" s="14" t="str">
        <f aca="false">IF($C89="Small",IF($J89="","",$J89/1000),IF(OR($K89="",$L89="",$M89=""),"",($L89*($K89^$M89))/1000))</f>
        <v/>
      </c>
      <c r="O89" s="14" t="str">
        <f aca="false">IF($N89="","",$N89*CARBON_FRACTION_BIOMASS)</f>
        <v/>
      </c>
      <c r="P89" s="14" t="str">
        <f aca="false">IF(AND($A89="",$E89="",$J89=""),"",IF(AND($A89&lt;&gt;"",COUNTIF('1. Plot &amp; Site Log'!$A$5:$A$64,$A89)=0),"Plot ID not in Plot &amp; Site Log. ","")&amp;IF($C89="","No plot type — say whether this came from a Medium or a Small plot. ","")&amp;IF(AND($C89="Medium",$D89="tree",$F89=""),"Short-statured tree with no diameter at 0.3 m. ","")&amp;IF(AND($C89="Medium",$D89="shrub",OR($G89="",$H89="",$I89="")),"Shrub needs all three of length, width and height. ","")&amp;IF(AND($C89="Medium",$D89="shrub",$F89&lt;&gt;""),"Diameter entered for a shrub — it is ignored. Crown volume is used instead. ","")&amp;IF(AND($C89="Medium",$E89&lt;&gt;"",$L89=""),"Species not in the coefficient list — use 'all shrubs' if you have no closer match. ","")&amp;IF(AND($C89="Small",$J89=""),"Small-plot row with no clipped dry mass yet. ","")&amp;IF($N89&lt;&gt;"","Above-ground only: no root biomass is included for understory. ",""))</f>
        <v/>
      </c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5"/>
      <c r="K90" s="14" t="str">
        <f aca="false">IF($C90="Small","",IF($D90="tree",IF($F90="","",$F90),IF(OR($G90="",$H90="",$I90=""),"",$G90*$H90*$I90)))</f>
        <v/>
      </c>
      <c r="L90" s="14" t="str">
        <f aca="false">IF($C90="Small","",IFERROR(INDEX('R2. Understory Coefficients'!$E$8:$E$14,MATCH($E90,'R2. Understory Coefficients'!$I$8:$I$14,0)),""))</f>
        <v/>
      </c>
      <c r="M90" s="14" t="str">
        <f aca="false">IF($C90="Small","",IFERROR(INDEX('R2. Understory Coefficients'!$F$8:$F$14,MATCH($E90,'R2. Understory Coefficients'!$I$8:$I$14,0)),""))</f>
        <v/>
      </c>
      <c r="N90" s="14" t="str">
        <f aca="false">IF($C90="Small",IF($J90="","",$J90/1000),IF(OR($K90="",$L90="",$M90=""),"",($L90*($K90^$M90))/1000))</f>
        <v/>
      </c>
      <c r="O90" s="14" t="str">
        <f aca="false">IF($N90="","",$N90*CARBON_FRACTION_BIOMASS)</f>
        <v/>
      </c>
      <c r="P90" s="14" t="str">
        <f aca="false">IF(AND($A90="",$E90="",$J90=""),"",IF(AND($A90&lt;&gt;"",COUNTIF('1. Plot &amp; Site Log'!$A$5:$A$64,$A90)=0),"Plot ID not in Plot &amp; Site Log. ","")&amp;IF($C90="","No plot type — say whether this came from a Medium or a Small plot. ","")&amp;IF(AND($C90="Medium",$D90="tree",$F90=""),"Short-statured tree with no diameter at 0.3 m. ","")&amp;IF(AND($C90="Medium",$D90="shrub",OR($G90="",$H90="",$I90="")),"Shrub needs all three of length, width and height. ","")&amp;IF(AND($C90="Medium",$D90="shrub",$F90&lt;&gt;""),"Diameter entered for a shrub — it is ignored. Crown volume is used instead. ","")&amp;IF(AND($C90="Medium",$E90&lt;&gt;"",$L90=""),"Species not in the coefficient list — use 'all shrubs' if you have no closer match. ","")&amp;IF(AND($C90="Small",$J90=""),"Small-plot row with no clipped dry mass yet. ","")&amp;IF($N90&lt;&gt;"","Above-ground only: no root biomass is included for understory. ",""))</f>
        <v/>
      </c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5"/>
      <c r="K91" s="14" t="str">
        <f aca="false">IF($C91="Small","",IF($D91="tree",IF($F91="","",$F91),IF(OR($G91="",$H91="",$I91=""),"",$G91*$H91*$I91)))</f>
        <v/>
      </c>
      <c r="L91" s="14" t="str">
        <f aca="false">IF($C91="Small","",IFERROR(INDEX('R2. Understory Coefficients'!$E$8:$E$14,MATCH($E91,'R2. Understory Coefficients'!$I$8:$I$14,0)),""))</f>
        <v/>
      </c>
      <c r="M91" s="14" t="str">
        <f aca="false">IF($C91="Small","",IFERROR(INDEX('R2. Understory Coefficients'!$F$8:$F$14,MATCH($E91,'R2. Understory Coefficients'!$I$8:$I$14,0)),""))</f>
        <v/>
      </c>
      <c r="N91" s="14" t="str">
        <f aca="false">IF($C91="Small",IF($J91="","",$J91/1000),IF(OR($K91="",$L91="",$M91=""),"",($L91*($K91^$M91))/1000))</f>
        <v/>
      </c>
      <c r="O91" s="14" t="str">
        <f aca="false">IF($N91="","",$N91*CARBON_FRACTION_BIOMASS)</f>
        <v/>
      </c>
      <c r="P91" s="14" t="str">
        <f aca="false">IF(AND($A91="",$E91="",$J91=""),"",IF(AND($A91&lt;&gt;"",COUNTIF('1. Plot &amp; Site Log'!$A$5:$A$64,$A91)=0),"Plot ID not in Plot &amp; Site Log. ","")&amp;IF($C91="","No plot type — say whether this came from a Medium or a Small plot. ","")&amp;IF(AND($C91="Medium",$D91="tree",$F91=""),"Short-statured tree with no diameter at 0.3 m. ","")&amp;IF(AND($C91="Medium",$D91="shrub",OR($G91="",$H91="",$I91="")),"Shrub needs all three of length, width and height. ","")&amp;IF(AND($C91="Medium",$D91="shrub",$F91&lt;&gt;""),"Diameter entered for a shrub — it is ignored. Crown volume is used instead. ","")&amp;IF(AND($C91="Medium",$E91&lt;&gt;"",$L91=""),"Species not in the coefficient list — use 'all shrubs' if you have no closer match. ","")&amp;IF(AND($C91="Small",$J91=""),"Small-plot row with no clipped dry mass yet. ","")&amp;IF($N91&lt;&gt;"","Above-ground only: no root biomass is included for understory. ",""))</f>
        <v/>
      </c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5"/>
      <c r="K92" s="14" t="str">
        <f aca="false">IF($C92="Small","",IF($D92="tree",IF($F92="","",$F92),IF(OR($G92="",$H92="",$I92=""),"",$G92*$H92*$I92)))</f>
        <v/>
      </c>
      <c r="L92" s="14" t="str">
        <f aca="false">IF($C92="Small","",IFERROR(INDEX('R2. Understory Coefficients'!$E$8:$E$14,MATCH($E92,'R2. Understory Coefficients'!$I$8:$I$14,0)),""))</f>
        <v/>
      </c>
      <c r="M92" s="14" t="str">
        <f aca="false">IF($C92="Small","",IFERROR(INDEX('R2. Understory Coefficients'!$F$8:$F$14,MATCH($E92,'R2. Understory Coefficients'!$I$8:$I$14,0)),""))</f>
        <v/>
      </c>
      <c r="N92" s="14" t="str">
        <f aca="false">IF($C92="Small",IF($J92="","",$J92/1000),IF(OR($K92="",$L92="",$M92=""),"",($L92*($K92^$M92))/1000))</f>
        <v/>
      </c>
      <c r="O92" s="14" t="str">
        <f aca="false">IF($N92="","",$N92*CARBON_FRACTION_BIOMASS)</f>
        <v/>
      </c>
      <c r="P92" s="14" t="str">
        <f aca="false">IF(AND($A92="",$E92="",$J92=""),"",IF(AND($A92&lt;&gt;"",COUNTIF('1. Plot &amp; Site Log'!$A$5:$A$64,$A92)=0),"Plot ID not in Plot &amp; Site Log. ","")&amp;IF($C92="","No plot type — say whether this came from a Medium or a Small plot. ","")&amp;IF(AND($C92="Medium",$D92="tree",$F92=""),"Short-statured tree with no diameter at 0.3 m. ","")&amp;IF(AND($C92="Medium",$D92="shrub",OR($G92="",$H92="",$I92="")),"Shrub needs all three of length, width and height. ","")&amp;IF(AND($C92="Medium",$D92="shrub",$F92&lt;&gt;""),"Diameter entered for a shrub — it is ignored. Crown volume is used instead. ","")&amp;IF(AND($C92="Medium",$E92&lt;&gt;"",$L92=""),"Species not in the coefficient list — use 'all shrubs' if you have no closer match. ","")&amp;IF(AND($C92="Small",$J92=""),"Small-plot row with no clipped dry mass yet. ","")&amp;IF($N92&lt;&gt;"","Above-ground only: no root biomass is included for understory. ",""))</f>
        <v/>
      </c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5"/>
      <c r="K93" s="14" t="str">
        <f aca="false">IF($C93="Small","",IF($D93="tree",IF($F93="","",$F93),IF(OR($G93="",$H93="",$I93=""),"",$G93*$H93*$I93)))</f>
        <v/>
      </c>
      <c r="L93" s="14" t="str">
        <f aca="false">IF($C93="Small","",IFERROR(INDEX('R2. Understory Coefficients'!$E$8:$E$14,MATCH($E93,'R2. Understory Coefficients'!$I$8:$I$14,0)),""))</f>
        <v/>
      </c>
      <c r="M93" s="14" t="str">
        <f aca="false">IF($C93="Small","",IFERROR(INDEX('R2. Understory Coefficients'!$F$8:$F$14,MATCH($E93,'R2. Understory Coefficients'!$I$8:$I$14,0)),""))</f>
        <v/>
      </c>
      <c r="N93" s="14" t="str">
        <f aca="false">IF($C93="Small",IF($J93="","",$J93/1000),IF(OR($K93="",$L93="",$M93=""),"",($L93*($K93^$M93))/1000))</f>
        <v/>
      </c>
      <c r="O93" s="14" t="str">
        <f aca="false">IF($N93="","",$N93*CARBON_FRACTION_BIOMASS)</f>
        <v/>
      </c>
      <c r="P93" s="14" t="str">
        <f aca="false">IF(AND($A93="",$E93="",$J93=""),"",IF(AND($A93&lt;&gt;"",COUNTIF('1. Plot &amp; Site Log'!$A$5:$A$64,$A93)=0),"Plot ID not in Plot &amp; Site Log. ","")&amp;IF($C93="","No plot type — say whether this came from a Medium or a Small plot. ","")&amp;IF(AND($C93="Medium",$D93="tree",$F93=""),"Short-statured tree with no diameter at 0.3 m. ","")&amp;IF(AND($C93="Medium",$D93="shrub",OR($G93="",$H93="",$I93="")),"Shrub needs all three of length, width and height. ","")&amp;IF(AND($C93="Medium",$D93="shrub",$F93&lt;&gt;""),"Diameter entered for a shrub — it is ignored. Crown volume is used instead. ","")&amp;IF(AND($C93="Medium",$E93&lt;&gt;"",$L93=""),"Species not in the coefficient list — use 'all shrubs' if you have no closer match. ","")&amp;IF(AND($C93="Small",$J93=""),"Small-plot row with no clipped dry mass yet. ","")&amp;IF($N93&lt;&gt;"","Above-ground only: no root biomass is included for understory. ",""))</f>
        <v/>
      </c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5"/>
      <c r="K94" s="14" t="str">
        <f aca="false">IF($C94="Small","",IF($D94="tree",IF($F94="","",$F94),IF(OR($G94="",$H94="",$I94=""),"",$G94*$H94*$I94)))</f>
        <v/>
      </c>
      <c r="L94" s="14" t="str">
        <f aca="false">IF($C94="Small","",IFERROR(INDEX('R2. Understory Coefficients'!$E$8:$E$14,MATCH($E94,'R2. Understory Coefficients'!$I$8:$I$14,0)),""))</f>
        <v/>
      </c>
      <c r="M94" s="14" t="str">
        <f aca="false">IF($C94="Small","",IFERROR(INDEX('R2. Understory Coefficients'!$F$8:$F$14,MATCH($E94,'R2. Understory Coefficients'!$I$8:$I$14,0)),""))</f>
        <v/>
      </c>
      <c r="N94" s="14" t="str">
        <f aca="false">IF($C94="Small",IF($J94="","",$J94/1000),IF(OR($K94="",$L94="",$M94=""),"",($L94*($K94^$M94))/1000))</f>
        <v/>
      </c>
      <c r="O94" s="14" t="str">
        <f aca="false">IF($N94="","",$N94*CARBON_FRACTION_BIOMASS)</f>
        <v/>
      </c>
      <c r="P94" s="14" t="str">
        <f aca="false">IF(AND($A94="",$E94="",$J94=""),"",IF(AND($A94&lt;&gt;"",COUNTIF('1. Plot &amp; Site Log'!$A$5:$A$64,$A94)=0),"Plot ID not in Plot &amp; Site Log. ","")&amp;IF($C94="","No plot type — say whether this came from a Medium or a Small plot. ","")&amp;IF(AND($C94="Medium",$D94="tree",$F94=""),"Short-statured tree with no diameter at 0.3 m. ","")&amp;IF(AND($C94="Medium",$D94="shrub",OR($G94="",$H94="",$I94="")),"Shrub needs all three of length, width and height. ","")&amp;IF(AND($C94="Medium",$D94="shrub",$F94&lt;&gt;""),"Diameter entered for a shrub — it is ignored. Crown volume is used instead. ","")&amp;IF(AND($C94="Medium",$E94&lt;&gt;"",$L94=""),"Species not in the coefficient list — use 'all shrubs' if you have no closer match. ","")&amp;IF(AND($C94="Small",$J94=""),"Small-plot row with no clipped dry mass yet. ","")&amp;IF($N94&lt;&gt;"","Above-ground only: no root biomass is included for understory. ",""))</f>
        <v/>
      </c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5"/>
      <c r="K95" s="14" t="str">
        <f aca="false">IF($C95="Small","",IF($D95="tree",IF($F95="","",$F95),IF(OR($G95="",$H95="",$I95=""),"",$G95*$H95*$I95)))</f>
        <v/>
      </c>
      <c r="L95" s="14" t="str">
        <f aca="false">IF($C95="Small","",IFERROR(INDEX('R2. Understory Coefficients'!$E$8:$E$14,MATCH($E95,'R2. Understory Coefficients'!$I$8:$I$14,0)),""))</f>
        <v/>
      </c>
      <c r="M95" s="14" t="str">
        <f aca="false">IF($C95="Small","",IFERROR(INDEX('R2. Understory Coefficients'!$F$8:$F$14,MATCH($E95,'R2. Understory Coefficients'!$I$8:$I$14,0)),""))</f>
        <v/>
      </c>
      <c r="N95" s="14" t="str">
        <f aca="false">IF($C95="Small",IF($J95="","",$J95/1000),IF(OR($K95="",$L95="",$M95=""),"",($L95*($K95^$M95))/1000))</f>
        <v/>
      </c>
      <c r="O95" s="14" t="str">
        <f aca="false">IF($N95="","",$N95*CARBON_FRACTION_BIOMASS)</f>
        <v/>
      </c>
      <c r="P95" s="14" t="str">
        <f aca="false">IF(AND($A95="",$E95="",$J95=""),"",IF(AND($A95&lt;&gt;"",COUNTIF('1. Plot &amp; Site Log'!$A$5:$A$64,$A95)=0),"Plot ID not in Plot &amp; Site Log. ","")&amp;IF($C95="","No plot type — say whether this came from a Medium or a Small plot. ","")&amp;IF(AND($C95="Medium",$D95="tree",$F95=""),"Short-statured tree with no diameter at 0.3 m. ","")&amp;IF(AND($C95="Medium",$D95="shrub",OR($G95="",$H95="",$I95="")),"Shrub needs all three of length, width and height. ","")&amp;IF(AND($C95="Medium",$D95="shrub",$F95&lt;&gt;""),"Diameter entered for a shrub — it is ignored. Crown volume is used instead. ","")&amp;IF(AND($C95="Medium",$E95&lt;&gt;"",$L95=""),"Species not in the coefficient list — use 'all shrubs' if you have no closer match. ","")&amp;IF(AND($C95="Small",$J95=""),"Small-plot row with no clipped dry mass yet. ","")&amp;IF($N95&lt;&gt;"","Above-ground only: no root biomass is included for understory. ",""))</f>
        <v/>
      </c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5"/>
      <c r="K96" s="14" t="str">
        <f aca="false">IF($C96="Small","",IF($D96="tree",IF($F96="","",$F96),IF(OR($G96="",$H96="",$I96=""),"",$G96*$H96*$I96)))</f>
        <v/>
      </c>
      <c r="L96" s="14" t="str">
        <f aca="false">IF($C96="Small","",IFERROR(INDEX('R2. Understory Coefficients'!$E$8:$E$14,MATCH($E96,'R2. Understory Coefficients'!$I$8:$I$14,0)),""))</f>
        <v/>
      </c>
      <c r="M96" s="14" t="str">
        <f aca="false">IF($C96="Small","",IFERROR(INDEX('R2. Understory Coefficients'!$F$8:$F$14,MATCH($E96,'R2. Understory Coefficients'!$I$8:$I$14,0)),""))</f>
        <v/>
      </c>
      <c r="N96" s="14" t="str">
        <f aca="false">IF($C96="Small",IF($J96="","",$J96/1000),IF(OR($K96="",$L96="",$M96=""),"",($L96*($K96^$M96))/1000))</f>
        <v/>
      </c>
      <c r="O96" s="14" t="str">
        <f aca="false">IF($N96="","",$N96*CARBON_FRACTION_BIOMASS)</f>
        <v/>
      </c>
      <c r="P96" s="14" t="str">
        <f aca="false">IF(AND($A96="",$E96="",$J96=""),"",IF(AND($A96&lt;&gt;"",COUNTIF('1. Plot &amp; Site Log'!$A$5:$A$64,$A96)=0),"Plot ID not in Plot &amp; Site Log. ","")&amp;IF($C96="","No plot type — say whether this came from a Medium or a Small plot. ","")&amp;IF(AND($C96="Medium",$D96="tree",$F96=""),"Short-statured tree with no diameter at 0.3 m. ","")&amp;IF(AND($C96="Medium",$D96="shrub",OR($G96="",$H96="",$I96="")),"Shrub needs all three of length, width and height. ","")&amp;IF(AND($C96="Medium",$D96="shrub",$F96&lt;&gt;""),"Diameter entered for a shrub — it is ignored. Crown volume is used instead. ","")&amp;IF(AND($C96="Medium",$E96&lt;&gt;"",$L96=""),"Species not in the coefficient list — use 'all shrubs' if you have no closer match. ","")&amp;IF(AND($C96="Small",$J96=""),"Small-plot row with no clipped dry mass yet. ","")&amp;IF($N96&lt;&gt;"","Above-ground only: no root biomass is included for understory. ",""))</f>
        <v/>
      </c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5"/>
      <c r="K97" s="14" t="str">
        <f aca="false">IF($C97="Small","",IF($D97="tree",IF($F97="","",$F97),IF(OR($G97="",$H97="",$I97=""),"",$G97*$H97*$I97)))</f>
        <v/>
      </c>
      <c r="L97" s="14" t="str">
        <f aca="false">IF($C97="Small","",IFERROR(INDEX('R2. Understory Coefficients'!$E$8:$E$14,MATCH($E97,'R2. Understory Coefficients'!$I$8:$I$14,0)),""))</f>
        <v/>
      </c>
      <c r="M97" s="14" t="str">
        <f aca="false">IF($C97="Small","",IFERROR(INDEX('R2. Understory Coefficients'!$F$8:$F$14,MATCH($E97,'R2. Understory Coefficients'!$I$8:$I$14,0)),""))</f>
        <v/>
      </c>
      <c r="N97" s="14" t="str">
        <f aca="false">IF($C97="Small",IF($J97="","",$J97/1000),IF(OR($K97="",$L97="",$M97=""),"",($L97*($K97^$M97))/1000))</f>
        <v/>
      </c>
      <c r="O97" s="14" t="str">
        <f aca="false">IF($N97="","",$N97*CARBON_FRACTION_BIOMASS)</f>
        <v/>
      </c>
      <c r="P97" s="14" t="str">
        <f aca="false">IF(AND($A97="",$E97="",$J97=""),"",IF(AND($A97&lt;&gt;"",COUNTIF('1. Plot &amp; Site Log'!$A$5:$A$64,$A97)=0),"Plot ID not in Plot &amp; Site Log. ","")&amp;IF($C97="","No plot type — say whether this came from a Medium or a Small plot. ","")&amp;IF(AND($C97="Medium",$D97="tree",$F97=""),"Short-statured tree with no diameter at 0.3 m. ","")&amp;IF(AND($C97="Medium",$D97="shrub",OR($G97="",$H97="",$I97="")),"Shrub needs all three of length, width and height. ","")&amp;IF(AND($C97="Medium",$D97="shrub",$F97&lt;&gt;""),"Diameter entered for a shrub — it is ignored. Crown volume is used instead. ","")&amp;IF(AND($C97="Medium",$E97&lt;&gt;"",$L97=""),"Species not in the coefficient list — use 'all shrubs' if you have no closer match. ","")&amp;IF(AND($C97="Small",$J97=""),"Small-plot row with no clipped dry mass yet. ","")&amp;IF($N97&lt;&gt;"","Above-ground only: no root biomass is included for understory. ",""))</f>
        <v/>
      </c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5"/>
      <c r="K98" s="14" t="str">
        <f aca="false">IF($C98="Small","",IF($D98="tree",IF($F98="","",$F98),IF(OR($G98="",$H98="",$I98=""),"",$G98*$H98*$I98)))</f>
        <v/>
      </c>
      <c r="L98" s="14" t="str">
        <f aca="false">IF($C98="Small","",IFERROR(INDEX('R2. Understory Coefficients'!$E$8:$E$14,MATCH($E98,'R2. Understory Coefficients'!$I$8:$I$14,0)),""))</f>
        <v/>
      </c>
      <c r="M98" s="14" t="str">
        <f aca="false">IF($C98="Small","",IFERROR(INDEX('R2. Understory Coefficients'!$F$8:$F$14,MATCH($E98,'R2. Understory Coefficients'!$I$8:$I$14,0)),""))</f>
        <v/>
      </c>
      <c r="N98" s="14" t="str">
        <f aca="false">IF($C98="Small",IF($J98="","",$J98/1000),IF(OR($K98="",$L98="",$M98=""),"",($L98*($K98^$M98))/1000))</f>
        <v/>
      </c>
      <c r="O98" s="14" t="str">
        <f aca="false">IF($N98="","",$N98*CARBON_FRACTION_BIOMASS)</f>
        <v/>
      </c>
      <c r="P98" s="14" t="str">
        <f aca="false">IF(AND($A98="",$E98="",$J98=""),"",IF(AND($A98&lt;&gt;"",COUNTIF('1. Plot &amp; Site Log'!$A$5:$A$64,$A98)=0),"Plot ID not in Plot &amp; Site Log. ","")&amp;IF($C98="","No plot type — say whether this came from a Medium or a Small plot. ","")&amp;IF(AND($C98="Medium",$D98="tree",$F98=""),"Short-statured tree with no diameter at 0.3 m. ","")&amp;IF(AND($C98="Medium",$D98="shrub",OR($G98="",$H98="",$I98="")),"Shrub needs all three of length, width and height. ","")&amp;IF(AND($C98="Medium",$D98="shrub",$F98&lt;&gt;""),"Diameter entered for a shrub — it is ignored. Crown volume is used instead. ","")&amp;IF(AND($C98="Medium",$E98&lt;&gt;"",$L98=""),"Species not in the coefficient list — use 'all shrubs' if you have no closer match. ","")&amp;IF(AND($C98="Small",$J98=""),"Small-plot row with no clipped dry mass yet. ","")&amp;IF($N98&lt;&gt;"","Above-ground only: no root biomass is included for understory. ",""))</f>
        <v/>
      </c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5"/>
      <c r="K99" s="14" t="str">
        <f aca="false">IF($C99="Small","",IF($D99="tree",IF($F99="","",$F99),IF(OR($G99="",$H99="",$I99=""),"",$G99*$H99*$I99)))</f>
        <v/>
      </c>
      <c r="L99" s="14" t="str">
        <f aca="false">IF($C99="Small","",IFERROR(INDEX('R2. Understory Coefficients'!$E$8:$E$14,MATCH($E99,'R2. Understory Coefficients'!$I$8:$I$14,0)),""))</f>
        <v/>
      </c>
      <c r="M99" s="14" t="str">
        <f aca="false">IF($C99="Small","",IFERROR(INDEX('R2. Understory Coefficients'!$F$8:$F$14,MATCH($E99,'R2. Understory Coefficients'!$I$8:$I$14,0)),""))</f>
        <v/>
      </c>
      <c r="N99" s="14" t="str">
        <f aca="false">IF($C99="Small",IF($J99="","",$J99/1000),IF(OR($K99="",$L99="",$M99=""),"",($L99*($K99^$M99))/1000))</f>
        <v/>
      </c>
      <c r="O99" s="14" t="str">
        <f aca="false">IF($N99="","",$N99*CARBON_FRACTION_BIOMASS)</f>
        <v/>
      </c>
      <c r="P99" s="14" t="str">
        <f aca="false">IF(AND($A99="",$E99="",$J99=""),"",IF(AND($A99&lt;&gt;"",COUNTIF('1. Plot &amp; Site Log'!$A$5:$A$64,$A99)=0),"Plot ID not in Plot &amp; Site Log. ","")&amp;IF($C99="","No plot type — say whether this came from a Medium or a Small plot. ","")&amp;IF(AND($C99="Medium",$D99="tree",$F99=""),"Short-statured tree with no diameter at 0.3 m. ","")&amp;IF(AND($C99="Medium",$D99="shrub",OR($G99="",$H99="",$I99="")),"Shrub needs all three of length, width and height. ","")&amp;IF(AND($C99="Medium",$D99="shrub",$F99&lt;&gt;""),"Diameter entered for a shrub — it is ignored. Crown volume is used instead. ","")&amp;IF(AND($C99="Medium",$E99&lt;&gt;"",$L99=""),"Species not in the coefficient list — use 'all shrubs' if you have no closer match. ","")&amp;IF(AND($C99="Small",$J99=""),"Small-plot row with no clipped dry mass yet. ","")&amp;IF($N99&lt;&gt;"","Above-ground only: no root biomass is included for understory. ",""))</f>
        <v/>
      </c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5"/>
      <c r="K100" s="14" t="str">
        <f aca="false">IF($C100="Small","",IF($D100="tree",IF($F100="","",$F100),IF(OR($G100="",$H100="",$I100=""),"",$G100*$H100*$I100)))</f>
        <v/>
      </c>
      <c r="L100" s="14" t="str">
        <f aca="false">IF($C100="Small","",IFERROR(INDEX('R2. Understory Coefficients'!$E$8:$E$14,MATCH($E100,'R2. Understory Coefficients'!$I$8:$I$14,0)),""))</f>
        <v/>
      </c>
      <c r="M100" s="14" t="str">
        <f aca="false">IF($C100="Small","",IFERROR(INDEX('R2. Understory Coefficients'!$F$8:$F$14,MATCH($E100,'R2. Understory Coefficients'!$I$8:$I$14,0)),""))</f>
        <v/>
      </c>
      <c r="N100" s="14" t="str">
        <f aca="false">IF($C100="Small",IF($J100="","",$J100/1000),IF(OR($K100="",$L100="",$M100=""),"",($L100*($K100^$M100))/1000))</f>
        <v/>
      </c>
      <c r="O100" s="14" t="str">
        <f aca="false">IF($N100="","",$N100*CARBON_FRACTION_BIOMASS)</f>
        <v/>
      </c>
      <c r="P100" s="14" t="str">
        <f aca="false">IF(AND($A100="",$E100="",$J100=""),"",IF(AND($A100&lt;&gt;"",COUNTIF('1. Plot &amp; Site Log'!$A$5:$A$64,$A100)=0),"Plot ID not in Plot &amp; Site Log. ","")&amp;IF($C100="","No plot type — say whether this came from a Medium or a Small plot. ","")&amp;IF(AND($C100="Medium",$D100="tree",$F100=""),"Short-statured tree with no diameter at 0.3 m. ","")&amp;IF(AND($C100="Medium",$D100="shrub",OR($G100="",$H100="",$I100="")),"Shrub needs all three of length, width and height. ","")&amp;IF(AND($C100="Medium",$D100="shrub",$F100&lt;&gt;""),"Diameter entered for a shrub — it is ignored. Crown volume is used instead. ","")&amp;IF(AND($C100="Medium",$E100&lt;&gt;"",$L100=""),"Species not in the coefficient list — use 'all shrubs' if you have no closer match. ","")&amp;IF(AND($C100="Small",$J100=""),"Small-plot row with no clipped dry mass yet. ","")&amp;IF($N100&lt;&gt;"","Above-ground only: no root biomass is included for understory. ",""))</f>
        <v/>
      </c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5"/>
      <c r="K101" s="14" t="str">
        <f aca="false">IF($C101="Small","",IF($D101="tree",IF($F101="","",$F101),IF(OR($G101="",$H101="",$I101=""),"",$G101*$H101*$I101)))</f>
        <v/>
      </c>
      <c r="L101" s="14" t="str">
        <f aca="false">IF($C101="Small","",IFERROR(INDEX('R2. Understory Coefficients'!$E$8:$E$14,MATCH($E101,'R2. Understory Coefficients'!$I$8:$I$14,0)),""))</f>
        <v/>
      </c>
      <c r="M101" s="14" t="str">
        <f aca="false">IF($C101="Small","",IFERROR(INDEX('R2. Understory Coefficients'!$F$8:$F$14,MATCH($E101,'R2. Understory Coefficients'!$I$8:$I$14,0)),""))</f>
        <v/>
      </c>
      <c r="N101" s="14" t="str">
        <f aca="false">IF($C101="Small",IF($J101="","",$J101/1000),IF(OR($K101="",$L101="",$M101=""),"",($L101*($K101^$M101))/1000))</f>
        <v/>
      </c>
      <c r="O101" s="14" t="str">
        <f aca="false">IF($N101="","",$N101*CARBON_FRACTION_BIOMASS)</f>
        <v/>
      </c>
      <c r="P101" s="14" t="str">
        <f aca="false">IF(AND($A101="",$E101="",$J101=""),"",IF(AND($A101&lt;&gt;"",COUNTIF('1. Plot &amp; Site Log'!$A$5:$A$64,$A101)=0),"Plot ID not in Plot &amp; Site Log. ","")&amp;IF($C101="","No plot type — say whether this came from a Medium or a Small plot. ","")&amp;IF(AND($C101="Medium",$D101="tree",$F101=""),"Short-statured tree with no diameter at 0.3 m. ","")&amp;IF(AND($C101="Medium",$D101="shrub",OR($G101="",$H101="",$I101="")),"Shrub needs all three of length, width and height. ","")&amp;IF(AND($C101="Medium",$D101="shrub",$F101&lt;&gt;""),"Diameter entered for a shrub — it is ignored. Crown volume is used instead. ","")&amp;IF(AND($C101="Medium",$E101&lt;&gt;"",$L101=""),"Species not in the coefficient list — use 'all shrubs' if you have no closer match. ","")&amp;IF(AND($C101="Small",$J101=""),"Small-plot row with no clipped dry mass yet. ","")&amp;IF($N101&lt;&gt;"","Above-ground only: no root biomass is included for understory. ",""))</f>
        <v/>
      </c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5"/>
      <c r="K102" s="14" t="str">
        <f aca="false">IF($C102="Small","",IF($D102="tree",IF($F102="","",$F102),IF(OR($G102="",$H102="",$I102=""),"",$G102*$H102*$I102)))</f>
        <v/>
      </c>
      <c r="L102" s="14" t="str">
        <f aca="false">IF($C102="Small","",IFERROR(INDEX('R2. Understory Coefficients'!$E$8:$E$14,MATCH($E102,'R2. Understory Coefficients'!$I$8:$I$14,0)),""))</f>
        <v/>
      </c>
      <c r="M102" s="14" t="str">
        <f aca="false">IF($C102="Small","",IFERROR(INDEX('R2. Understory Coefficients'!$F$8:$F$14,MATCH($E102,'R2. Understory Coefficients'!$I$8:$I$14,0)),""))</f>
        <v/>
      </c>
      <c r="N102" s="14" t="str">
        <f aca="false">IF($C102="Small",IF($J102="","",$J102/1000),IF(OR($K102="",$L102="",$M102=""),"",($L102*($K102^$M102))/1000))</f>
        <v/>
      </c>
      <c r="O102" s="14" t="str">
        <f aca="false">IF($N102="","",$N102*CARBON_FRACTION_BIOMASS)</f>
        <v/>
      </c>
      <c r="P102" s="14" t="str">
        <f aca="false">IF(AND($A102="",$E102="",$J102=""),"",IF(AND($A102&lt;&gt;"",COUNTIF('1. Plot &amp; Site Log'!$A$5:$A$64,$A102)=0),"Plot ID not in Plot &amp; Site Log. ","")&amp;IF($C102="","No plot type — say whether this came from a Medium or a Small plot. ","")&amp;IF(AND($C102="Medium",$D102="tree",$F102=""),"Short-statured tree with no diameter at 0.3 m. ","")&amp;IF(AND($C102="Medium",$D102="shrub",OR($G102="",$H102="",$I102="")),"Shrub needs all three of length, width and height. ","")&amp;IF(AND($C102="Medium",$D102="shrub",$F102&lt;&gt;""),"Diameter entered for a shrub — it is ignored. Crown volume is used instead. ","")&amp;IF(AND($C102="Medium",$E102&lt;&gt;"",$L102=""),"Species not in the coefficient list — use 'all shrubs' if you have no closer match. ","")&amp;IF(AND($C102="Small",$J102=""),"Small-plot row with no clipped dry mass yet. ","")&amp;IF($N102&lt;&gt;"","Above-ground only: no root biomass is included for understory. ",""))</f>
        <v/>
      </c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5"/>
      <c r="K103" s="14" t="str">
        <f aca="false">IF($C103="Small","",IF($D103="tree",IF($F103="","",$F103),IF(OR($G103="",$H103="",$I103=""),"",$G103*$H103*$I103)))</f>
        <v/>
      </c>
      <c r="L103" s="14" t="str">
        <f aca="false">IF($C103="Small","",IFERROR(INDEX('R2. Understory Coefficients'!$E$8:$E$14,MATCH($E103,'R2. Understory Coefficients'!$I$8:$I$14,0)),""))</f>
        <v/>
      </c>
      <c r="M103" s="14" t="str">
        <f aca="false">IF($C103="Small","",IFERROR(INDEX('R2. Understory Coefficients'!$F$8:$F$14,MATCH($E103,'R2. Understory Coefficients'!$I$8:$I$14,0)),""))</f>
        <v/>
      </c>
      <c r="N103" s="14" t="str">
        <f aca="false">IF($C103="Small",IF($J103="","",$J103/1000),IF(OR($K103="",$L103="",$M103=""),"",($L103*($K103^$M103))/1000))</f>
        <v/>
      </c>
      <c r="O103" s="14" t="str">
        <f aca="false">IF($N103="","",$N103*CARBON_FRACTION_BIOMASS)</f>
        <v/>
      </c>
      <c r="P103" s="14" t="str">
        <f aca="false">IF(AND($A103="",$E103="",$J103=""),"",IF(AND($A103&lt;&gt;"",COUNTIF('1. Plot &amp; Site Log'!$A$5:$A$64,$A103)=0),"Plot ID not in Plot &amp; Site Log. ","")&amp;IF($C103="","No plot type — say whether this came from a Medium or a Small plot. ","")&amp;IF(AND($C103="Medium",$D103="tree",$F103=""),"Short-statured tree with no diameter at 0.3 m. ","")&amp;IF(AND($C103="Medium",$D103="shrub",OR($G103="",$H103="",$I103="")),"Shrub needs all three of length, width and height. ","")&amp;IF(AND($C103="Medium",$D103="shrub",$F103&lt;&gt;""),"Diameter entered for a shrub — it is ignored. Crown volume is used instead. ","")&amp;IF(AND($C103="Medium",$E103&lt;&gt;"",$L103=""),"Species not in the coefficient list — use 'all shrubs' if you have no closer match. ","")&amp;IF(AND($C103="Small",$J103=""),"Small-plot row with no clipped dry mass yet. ","")&amp;IF($N103&lt;&gt;"","Above-ground only: no root biomass is included for understory. ",""))</f>
        <v/>
      </c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5"/>
      <c r="K104" s="14" t="str">
        <f aca="false">IF($C104="Small","",IF($D104="tree",IF($F104="","",$F104),IF(OR($G104="",$H104="",$I104=""),"",$G104*$H104*$I104)))</f>
        <v/>
      </c>
      <c r="L104" s="14" t="str">
        <f aca="false">IF($C104="Small","",IFERROR(INDEX('R2. Understory Coefficients'!$E$8:$E$14,MATCH($E104,'R2. Understory Coefficients'!$I$8:$I$14,0)),""))</f>
        <v/>
      </c>
      <c r="M104" s="14" t="str">
        <f aca="false">IF($C104="Small","",IFERROR(INDEX('R2. Understory Coefficients'!$F$8:$F$14,MATCH($E104,'R2. Understory Coefficients'!$I$8:$I$14,0)),""))</f>
        <v/>
      </c>
      <c r="N104" s="14" t="str">
        <f aca="false">IF($C104="Small",IF($J104="","",$J104/1000),IF(OR($K104="",$L104="",$M104=""),"",($L104*($K104^$M104))/1000))</f>
        <v/>
      </c>
      <c r="O104" s="14" t="str">
        <f aca="false">IF($N104="","",$N104*CARBON_FRACTION_BIOMASS)</f>
        <v/>
      </c>
      <c r="P104" s="14" t="str">
        <f aca="false">IF(AND($A104="",$E104="",$J104=""),"",IF(AND($A104&lt;&gt;"",COUNTIF('1. Plot &amp; Site Log'!$A$5:$A$64,$A104)=0),"Plot ID not in Plot &amp; Site Log. ","")&amp;IF($C104="","No plot type — say whether this came from a Medium or a Small plot. ","")&amp;IF(AND($C104="Medium",$D104="tree",$F104=""),"Short-statured tree with no diameter at 0.3 m. ","")&amp;IF(AND($C104="Medium",$D104="shrub",OR($G104="",$H104="",$I104="")),"Shrub needs all three of length, width and height. ","")&amp;IF(AND($C104="Medium",$D104="shrub",$F104&lt;&gt;""),"Diameter entered for a shrub — it is ignored. Crown volume is used instead. ","")&amp;IF(AND($C104="Medium",$E104&lt;&gt;"",$L104=""),"Species not in the coefficient list — use 'all shrubs' if you have no closer match. ","")&amp;IF(AND($C104="Small",$J104=""),"Small-plot row with no clipped dry mass yet. ","")&amp;IF($N104&lt;&gt;"","Above-ground only: no root biomass is included for understory. ",""))</f>
        <v/>
      </c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5"/>
      <c r="K105" s="14" t="str">
        <f aca="false">IF($C105="Small","",IF($D105="tree",IF($F105="","",$F105),IF(OR($G105="",$H105="",$I105=""),"",$G105*$H105*$I105)))</f>
        <v/>
      </c>
      <c r="L105" s="14" t="str">
        <f aca="false">IF($C105="Small","",IFERROR(INDEX('R2. Understory Coefficients'!$E$8:$E$14,MATCH($E105,'R2. Understory Coefficients'!$I$8:$I$14,0)),""))</f>
        <v/>
      </c>
      <c r="M105" s="14" t="str">
        <f aca="false">IF($C105="Small","",IFERROR(INDEX('R2. Understory Coefficients'!$F$8:$F$14,MATCH($E105,'R2. Understory Coefficients'!$I$8:$I$14,0)),""))</f>
        <v/>
      </c>
      <c r="N105" s="14" t="str">
        <f aca="false">IF($C105="Small",IF($J105="","",$J105/1000),IF(OR($K105="",$L105="",$M105=""),"",($L105*($K105^$M105))/1000))</f>
        <v/>
      </c>
      <c r="O105" s="14" t="str">
        <f aca="false">IF($N105="","",$N105*CARBON_FRACTION_BIOMASS)</f>
        <v/>
      </c>
      <c r="P105" s="14" t="str">
        <f aca="false">IF(AND($A105="",$E105="",$J105=""),"",IF(AND($A105&lt;&gt;"",COUNTIF('1. Plot &amp; Site Log'!$A$5:$A$64,$A105)=0),"Plot ID not in Plot &amp; Site Log. ","")&amp;IF($C105="","No plot type — say whether this came from a Medium or a Small plot. ","")&amp;IF(AND($C105="Medium",$D105="tree",$F105=""),"Short-statured tree with no diameter at 0.3 m. ","")&amp;IF(AND($C105="Medium",$D105="shrub",OR($G105="",$H105="",$I105="")),"Shrub needs all three of length, width and height. ","")&amp;IF(AND($C105="Medium",$D105="shrub",$F105&lt;&gt;""),"Diameter entered for a shrub — it is ignored. Crown volume is used instead. ","")&amp;IF(AND($C105="Medium",$E105&lt;&gt;"",$L105=""),"Species not in the coefficient list — use 'all shrubs' if you have no closer match. ","")&amp;IF(AND($C105="Small",$J105=""),"Small-plot row with no clipped dry mass yet. ","")&amp;IF($N105&lt;&gt;"","Above-ground only: no root biomass is included for understory. ",""))</f>
        <v/>
      </c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5"/>
      <c r="K106" s="14" t="str">
        <f aca="false">IF($C106="Small","",IF($D106="tree",IF($F106="","",$F106),IF(OR($G106="",$H106="",$I106=""),"",$G106*$H106*$I106)))</f>
        <v/>
      </c>
      <c r="L106" s="14" t="str">
        <f aca="false">IF($C106="Small","",IFERROR(INDEX('R2. Understory Coefficients'!$E$8:$E$14,MATCH($E106,'R2. Understory Coefficients'!$I$8:$I$14,0)),""))</f>
        <v/>
      </c>
      <c r="M106" s="14" t="str">
        <f aca="false">IF($C106="Small","",IFERROR(INDEX('R2. Understory Coefficients'!$F$8:$F$14,MATCH($E106,'R2. Understory Coefficients'!$I$8:$I$14,0)),""))</f>
        <v/>
      </c>
      <c r="N106" s="14" t="str">
        <f aca="false">IF($C106="Small",IF($J106="","",$J106/1000),IF(OR($K106="",$L106="",$M106=""),"",($L106*($K106^$M106))/1000))</f>
        <v/>
      </c>
      <c r="O106" s="14" t="str">
        <f aca="false">IF($N106="","",$N106*CARBON_FRACTION_BIOMASS)</f>
        <v/>
      </c>
      <c r="P106" s="14" t="str">
        <f aca="false">IF(AND($A106="",$E106="",$J106=""),"",IF(AND($A106&lt;&gt;"",COUNTIF('1. Plot &amp; Site Log'!$A$5:$A$64,$A106)=0),"Plot ID not in Plot &amp; Site Log. ","")&amp;IF($C106="","No plot type — say whether this came from a Medium or a Small plot. ","")&amp;IF(AND($C106="Medium",$D106="tree",$F106=""),"Short-statured tree with no diameter at 0.3 m. ","")&amp;IF(AND($C106="Medium",$D106="shrub",OR($G106="",$H106="",$I106="")),"Shrub needs all three of length, width and height. ","")&amp;IF(AND($C106="Medium",$D106="shrub",$F106&lt;&gt;""),"Diameter entered for a shrub — it is ignored. Crown volume is used instead. ","")&amp;IF(AND($C106="Medium",$E106&lt;&gt;"",$L106=""),"Species not in the coefficient list — use 'all shrubs' if you have no closer match. ","")&amp;IF(AND($C106="Small",$J106=""),"Small-plot row with no clipped dry mass yet. ","")&amp;IF($N106&lt;&gt;"","Above-ground only: no root biomass is included for understory. ",""))</f>
        <v/>
      </c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5"/>
      <c r="K107" s="14" t="str">
        <f aca="false">IF($C107="Small","",IF($D107="tree",IF($F107="","",$F107),IF(OR($G107="",$H107="",$I107=""),"",$G107*$H107*$I107)))</f>
        <v/>
      </c>
      <c r="L107" s="14" t="str">
        <f aca="false">IF($C107="Small","",IFERROR(INDEX('R2. Understory Coefficients'!$E$8:$E$14,MATCH($E107,'R2. Understory Coefficients'!$I$8:$I$14,0)),""))</f>
        <v/>
      </c>
      <c r="M107" s="14" t="str">
        <f aca="false">IF($C107="Small","",IFERROR(INDEX('R2. Understory Coefficients'!$F$8:$F$14,MATCH($E107,'R2. Understory Coefficients'!$I$8:$I$14,0)),""))</f>
        <v/>
      </c>
      <c r="N107" s="14" t="str">
        <f aca="false">IF($C107="Small",IF($J107="","",$J107/1000),IF(OR($K107="",$L107="",$M107=""),"",($L107*($K107^$M107))/1000))</f>
        <v/>
      </c>
      <c r="O107" s="14" t="str">
        <f aca="false">IF($N107="","",$N107*CARBON_FRACTION_BIOMASS)</f>
        <v/>
      </c>
      <c r="P107" s="14" t="str">
        <f aca="false">IF(AND($A107="",$E107="",$J107=""),"",IF(AND($A107&lt;&gt;"",COUNTIF('1. Plot &amp; Site Log'!$A$5:$A$64,$A107)=0),"Plot ID not in Plot &amp; Site Log. ","")&amp;IF($C107="","No plot type — say whether this came from a Medium or a Small plot. ","")&amp;IF(AND($C107="Medium",$D107="tree",$F107=""),"Short-statured tree with no diameter at 0.3 m. ","")&amp;IF(AND($C107="Medium",$D107="shrub",OR($G107="",$H107="",$I107="")),"Shrub needs all three of length, width and height. ","")&amp;IF(AND($C107="Medium",$D107="shrub",$F107&lt;&gt;""),"Diameter entered for a shrub — it is ignored. Crown volume is used instead. ","")&amp;IF(AND($C107="Medium",$E107&lt;&gt;"",$L107=""),"Species not in the coefficient list — use 'all shrubs' if you have no closer match. ","")&amp;IF(AND($C107="Small",$J107=""),"Small-plot row with no clipped dry mass yet. ","")&amp;IF($N107&lt;&gt;"","Above-ground only: no root biomass is included for understory. ",""))</f>
        <v/>
      </c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5"/>
      <c r="K108" s="14" t="str">
        <f aca="false">IF($C108="Small","",IF($D108="tree",IF($F108="","",$F108),IF(OR($G108="",$H108="",$I108=""),"",$G108*$H108*$I108)))</f>
        <v/>
      </c>
      <c r="L108" s="14" t="str">
        <f aca="false">IF($C108="Small","",IFERROR(INDEX('R2. Understory Coefficients'!$E$8:$E$14,MATCH($E108,'R2. Understory Coefficients'!$I$8:$I$14,0)),""))</f>
        <v/>
      </c>
      <c r="M108" s="14" t="str">
        <f aca="false">IF($C108="Small","",IFERROR(INDEX('R2. Understory Coefficients'!$F$8:$F$14,MATCH($E108,'R2. Understory Coefficients'!$I$8:$I$14,0)),""))</f>
        <v/>
      </c>
      <c r="N108" s="14" t="str">
        <f aca="false">IF($C108="Small",IF($J108="","",$J108/1000),IF(OR($K108="",$L108="",$M108=""),"",($L108*($K108^$M108))/1000))</f>
        <v/>
      </c>
      <c r="O108" s="14" t="str">
        <f aca="false">IF($N108="","",$N108*CARBON_FRACTION_BIOMASS)</f>
        <v/>
      </c>
      <c r="P108" s="14" t="str">
        <f aca="false">IF(AND($A108="",$E108="",$J108=""),"",IF(AND($A108&lt;&gt;"",COUNTIF('1. Plot &amp; Site Log'!$A$5:$A$64,$A108)=0),"Plot ID not in Plot &amp; Site Log. ","")&amp;IF($C108="","No plot type — say whether this came from a Medium or a Small plot. ","")&amp;IF(AND($C108="Medium",$D108="tree",$F108=""),"Short-statured tree with no diameter at 0.3 m. ","")&amp;IF(AND($C108="Medium",$D108="shrub",OR($G108="",$H108="",$I108="")),"Shrub needs all three of length, width and height. ","")&amp;IF(AND($C108="Medium",$D108="shrub",$F108&lt;&gt;""),"Diameter entered for a shrub — it is ignored. Crown volume is used instead. ","")&amp;IF(AND($C108="Medium",$E108&lt;&gt;"",$L108=""),"Species not in the coefficient list — use 'all shrubs' if you have no closer match. ","")&amp;IF(AND($C108="Small",$J108=""),"Small-plot row with no clipped dry mass yet. ","")&amp;IF($N108&lt;&gt;"","Above-ground only: no root biomass is included for understory. ",""))</f>
        <v/>
      </c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5"/>
      <c r="K109" s="14" t="str">
        <f aca="false">IF($C109="Small","",IF($D109="tree",IF($F109="","",$F109),IF(OR($G109="",$H109="",$I109=""),"",$G109*$H109*$I109)))</f>
        <v/>
      </c>
      <c r="L109" s="14" t="str">
        <f aca="false">IF($C109="Small","",IFERROR(INDEX('R2. Understory Coefficients'!$E$8:$E$14,MATCH($E109,'R2. Understory Coefficients'!$I$8:$I$14,0)),""))</f>
        <v/>
      </c>
      <c r="M109" s="14" t="str">
        <f aca="false">IF($C109="Small","",IFERROR(INDEX('R2. Understory Coefficients'!$F$8:$F$14,MATCH($E109,'R2. Understory Coefficients'!$I$8:$I$14,0)),""))</f>
        <v/>
      </c>
      <c r="N109" s="14" t="str">
        <f aca="false">IF($C109="Small",IF($J109="","",$J109/1000),IF(OR($K109="",$L109="",$M109=""),"",($L109*($K109^$M109))/1000))</f>
        <v/>
      </c>
      <c r="O109" s="14" t="str">
        <f aca="false">IF($N109="","",$N109*CARBON_FRACTION_BIOMASS)</f>
        <v/>
      </c>
      <c r="P109" s="14" t="str">
        <f aca="false">IF(AND($A109="",$E109="",$J109=""),"",IF(AND($A109&lt;&gt;"",COUNTIF('1. Plot &amp; Site Log'!$A$5:$A$64,$A109)=0),"Plot ID not in Plot &amp; Site Log. ","")&amp;IF($C109="","No plot type — say whether this came from a Medium or a Small plot. ","")&amp;IF(AND($C109="Medium",$D109="tree",$F109=""),"Short-statured tree with no diameter at 0.3 m. ","")&amp;IF(AND($C109="Medium",$D109="shrub",OR($G109="",$H109="",$I109="")),"Shrub needs all three of length, width and height. ","")&amp;IF(AND($C109="Medium",$D109="shrub",$F109&lt;&gt;""),"Diameter entered for a shrub — it is ignored. Crown volume is used instead. ","")&amp;IF(AND($C109="Medium",$E109&lt;&gt;"",$L109=""),"Species not in the coefficient list — use 'all shrubs' if you have no closer match. ","")&amp;IF(AND($C109="Small",$J109=""),"Small-plot row with no clipped dry mass yet. ","")&amp;IF($N109&lt;&gt;"","Above-ground only: no root biomass is included for understory. ",""))</f>
        <v/>
      </c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5"/>
      <c r="K110" s="14" t="str">
        <f aca="false">IF($C110="Small","",IF($D110="tree",IF($F110="","",$F110),IF(OR($G110="",$H110="",$I110=""),"",$G110*$H110*$I110)))</f>
        <v/>
      </c>
      <c r="L110" s="14" t="str">
        <f aca="false">IF($C110="Small","",IFERROR(INDEX('R2. Understory Coefficients'!$E$8:$E$14,MATCH($E110,'R2. Understory Coefficients'!$I$8:$I$14,0)),""))</f>
        <v/>
      </c>
      <c r="M110" s="14" t="str">
        <f aca="false">IF($C110="Small","",IFERROR(INDEX('R2. Understory Coefficients'!$F$8:$F$14,MATCH($E110,'R2. Understory Coefficients'!$I$8:$I$14,0)),""))</f>
        <v/>
      </c>
      <c r="N110" s="14" t="str">
        <f aca="false">IF($C110="Small",IF($J110="","",$J110/1000),IF(OR($K110="",$L110="",$M110=""),"",($L110*($K110^$M110))/1000))</f>
        <v/>
      </c>
      <c r="O110" s="14" t="str">
        <f aca="false">IF($N110="","",$N110*CARBON_FRACTION_BIOMASS)</f>
        <v/>
      </c>
      <c r="P110" s="14" t="str">
        <f aca="false">IF(AND($A110="",$E110="",$J110=""),"",IF(AND($A110&lt;&gt;"",COUNTIF('1. Plot &amp; Site Log'!$A$5:$A$64,$A110)=0),"Plot ID not in Plot &amp; Site Log. ","")&amp;IF($C110="","No plot type — say whether this came from a Medium or a Small plot. ","")&amp;IF(AND($C110="Medium",$D110="tree",$F110=""),"Short-statured tree with no diameter at 0.3 m. ","")&amp;IF(AND($C110="Medium",$D110="shrub",OR($G110="",$H110="",$I110="")),"Shrub needs all three of length, width and height. ","")&amp;IF(AND($C110="Medium",$D110="shrub",$F110&lt;&gt;""),"Diameter entered for a shrub — it is ignored. Crown volume is used instead. ","")&amp;IF(AND($C110="Medium",$E110&lt;&gt;"",$L110=""),"Species not in the coefficient list — use 'all shrubs' if you have no closer match. ","")&amp;IF(AND($C110="Small",$J110=""),"Small-plot row with no clipped dry mass yet. ","")&amp;IF($N110&lt;&gt;"","Above-ground only: no root biomass is included for understory. ",""))</f>
        <v/>
      </c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5"/>
      <c r="K111" s="14" t="str">
        <f aca="false">IF($C111="Small","",IF($D111="tree",IF($F111="","",$F111),IF(OR($G111="",$H111="",$I111=""),"",$G111*$H111*$I111)))</f>
        <v/>
      </c>
      <c r="L111" s="14" t="str">
        <f aca="false">IF($C111="Small","",IFERROR(INDEX('R2. Understory Coefficients'!$E$8:$E$14,MATCH($E111,'R2. Understory Coefficients'!$I$8:$I$14,0)),""))</f>
        <v/>
      </c>
      <c r="M111" s="14" t="str">
        <f aca="false">IF($C111="Small","",IFERROR(INDEX('R2. Understory Coefficients'!$F$8:$F$14,MATCH($E111,'R2. Understory Coefficients'!$I$8:$I$14,0)),""))</f>
        <v/>
      </c>
      <c r="N111" s="14" t="str">
        <f aca="false">IF($C111="Small",IF($J111="","",$J111/1000),IF(OR($K111="",$L111="",$M111=""),"",($L111*($K111^$M111))/1000))</f>
        <v/>
      </c>
      <c r="O111" s="14" t="str">
        <f aca="false">IF($N111="","",$N111*CARBON_FRACTION_BIOMASS)</f>
        <v/>
      </c>
      <c r="P111" s="14" t="str">
        <f aca="false">IF(AND($A111="",$E111="",$J111=""),"",IF(AND($A111&lt;&gt;"",COUNTIF('1. Plot &amp; Site Log'!$A$5:$A$64,$A111)=0),"Plot ID not in Plot &amp; Site Log. ","")&amp;IF($C111="","No plot type — say whether this came from a Medium or a Small plot. ","")&amp;IF(AND($C111="Medium",$D111="tree",$F111=""),"Short-statured tree with no diameter at 0.3 m. ","")&amp;IF(AND($C111="Medium",$D111="shrub",OR($G111="",$H111="",$I111="")),"Shrub needs all three of length, width and height. ","")&amp;IF(AND($C111="Medium",$D111="shrub",$F111&lt;&gt;""),"Diameter entered for a shrub — it is ignored. Crown volume is used instead. ","")&amp;IF(AND($C111="Medium",$E111&lt;&gt;"",$L111=""),"Species not in the coefficient list — use 'all shrubs' if you have no closer match. ","")&amp;IF(AND($C111="Small",$J111=""),"Small-plot row with no clipped dry mass yet. ","")&amp;IF($N111&lt;&gt;"","Above-ground only: no root biomass is included for understory. ",""))</f>
        <v/>
      </c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5"/>
      <c r="K112" s="14" t="str">
        <f aca="false">IF($C112="Small","",IF($D112="tree",IF($F112="","",$F112),IF(OR($G112="",$H112="",$I112=""),"",$G112*$H112*$I112)))</f>
        <v/>
      </c>
      <c r="L112" s="14" t="str">
        <f aca="false">IF($C112="Small","",IFERROR(INDEX('R2. Understory Coefficients'!$E$8:$E$14,MATCH($E112,'R2. Understory Coefficients'!$I$8:$I$14,0)),""))</f>
        <v/>
      </c>
      <c r="M112" s="14" t="str">
        <f aca="false">IF($C112="Small","",IFERROR(INDEX('R2. Understory Coefficients'!$F$8:$F$14,MATCH($E112,'R2. Understory Coefficients'!$I$8:$I$14,0)),""))</f>
        <v/>
      </c>
      <c r="N112" s="14" t="str">
        <f aca="false">IF($C112="Small",IF($J112="","",$J112/1000),IF(OR($K112="",$L112="",$M112=""),"",($L112*($K112^$M112))/1000))</f>
        <v/>
      </c>
      <c r="O112" s="14" t="str">
        <f aca="false">IF($N112="","",$N112*CARBON_FRACTION_BIOMASS)</f>
        <v/>
      </c>
      <c r="P112" s="14" t="str">
        <f aca="false">IF(AND($A112="",$E112="",$J112=""),"",IF(AND($A112&lt;&gt;"",COUNTIF('1. Plot &amp; Site Log'!$A$5:$A$64,$A112)=0),"Plot ID not in Plot &amp; Site Log. ","")&amp;IF($C112="","No plot type — say whether this came from a Medium or a Small plot. ","")&amp;IF(AND($C112="Medium",$D112="tree",$F112=""),"Short-statured tree with no diameter at 0.3 m. ","")&amp;IF(AND($C112="Medium",$D112="shrub",OR($G112="",$H112="",$I112="")),"Shrub needs all three of length, width and height. ","")&amp;IF(AND($C112="Medium",$D112="shrub",$F112&lt;&gt;""),"Diameter entered for a shrub — it is ignored. Crown volume is used instead. ","")&amp;IF(AND($C112="Medium",$E112&lt;&gt;"",$L112=""),"Species not in the coefficient list — use 'all shrubs' if you have no closer match. ","")&amp;IF(AND($C112="Small",$J112=""),"Small-plot row with no clipped dry mass yet. ","")&amp;IF($N112&lt;&gt;"","Above-ground only: no root biomass is included for understory. ",""))</f>
        <v/>
      </c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5"/>
      <c r="K113" s="14" t="str">
        <f aca="false">IF($C113="Small","",IF($D113="tree",IF($F113="","",$F113),IF(OR($G113="",$H113="",$I113=""),"",$G113*$H113*$I113)))</f>
        <v/>
      </c>
      <c r="L113" s="14" t="str">
        <f aca="false">IF($C113="Small","",IFERROR(INDEX('R2. Understory Coefficients'!$E$8:$E$14,MATCH($E113,'R2. Understory Coefficients'!$I$8:$I$14,0)),""))</f>
        <v/>
      </c>
      <c r="M113" s="14" t="str">
        <f aca="false">IF($C113="Small","",IFERROR(INDEX('R2. Understory Coefficients'!$F$8:$F$14,MATCH($E113,'R2. Understory Coefficients'!$I$8:$I$14,0)),""))</f>
        <v/>
      </c>
      <c r="N113" s="14" t="str">
        <f aca="false">IF($C113="Small",IF($J113="","",$J113/1000),IF(OR($K113="",$L113="",$M113=""),"",($L113*($K113^$M113))/1000))</f>
        <v/>
      </c>
      <c r="O113" s="14" t="str">
        <f aca="false">IF($N113="","",$N113*CARBON_FRACTION_BIOMASS)</f>
        <v/>
      </c>
      <c r="P113" s="14" t="str">
        <f aca="false">IF(AND($A113="",$E113="",$J113=""),"",IF(AND($A113&lt;&gt;"",COUNTIF('1. Plot &amp; Site Log'!$A$5:$A$64,$A113)=0),"Plot ID not in Plot &amp; Site Log. ","")&amp;IF($C113="","No plot type — say whether this came from a Medium or a Small plot. ","")&amp;IF(AND($C113="Medium",$D113="tree",$F113=""),"Short-statured tree with no diameter at 0.3 m. ","")&amp;IF(AND($C113="Medium",$D113="shrub",OR($G113="",$H113="",$I113="")),"Shrub needs all three of length, width and height. ","")&amp;IF(AND($C113="Medium",$D113="shrub",$F113&lt;&gt;""),"Diameter entered for a shrub — it is ignored. Crown volume is used instead. ","")&amp;IF(AND($C113="Medium",$E113&lt;&gt;"",$L113=""),"Species not in the coefficient list — use 'all shrubs' if you have no closer match. ","")&amp;IF(AND($C113="Small",$J113=""),"Small-plot row with no clipped dry mass yet. ","")&amp;IF($N113&lt;&gt;"","Above-ground only: no root biomass is included for understory. ",""))</f>
        <v/>
      </c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5"/>
      <c r="K114" s="14" t="str">
        <f aca="false">IF($C114="Small","",IF($D114="tree",IF($F114="","",$F114),IF(OR($G114="",$H114="",$I114=""),"",$G114*$H114*$I114)))</f>
        <v/>
      </c>
      <c r="L114" s="14" t="str">
        <f aca="false">IF($C114="Small","",IFERROR(INDEX('R2. Understory Coefficients'!$E$8:$E$14,MATCH($E114,'R2. Understory Coefficients'!$I$8:$I$14,0)),""))</f>
        <v/>
      </c>
      <c r="M114" s="14" t="str">
        <f aca="false">IF($C114="Small","",IFERROR(INDEX('R2. Understory Coefficients'!$F$8:$F$14,MATCH($E114,'R2. Understory Coefficients'!$I$8:$I$14,0)),""))</f>
        <v/>
      </c>
      <c r="N114" s="14" t="str">
        <f aca="false">IF($C114="Small",IF($J114="","",$J114/1000),IF(OR($K114="",$L114="",$M114=""),"",($L114*($K114^$M114))/1000))</f>
        <v/>
      </c>
      <c r="O114" s="14" t="str">
        <f aca="false">IF($N114="","",$N114*CARBON_FRACTION_BIOMASS)</f>
        <v/>
      </c>
      <c r="P114" s="14" t="str">
        <f aca="false">IF(AND($A114="",$E114="",$J114=""),"",IF(AND($A114&lt;&gt;"",COUNTIF('1. Plot &amp; Site Log'!$A$5:$A$64,$A114)=0),"Plot ID not in Plot &amp; Site Log. ","")&amp;IF($C114="","No plot type — say whether this came from a Medium or a Small plot. ","")&amp;IF(AND($C114="Medium",$D114="tree",$F114=""),"Short-statured tree with no diameter at 0.3 m. ","")&amp;IF(AND($C114="Medium",$D114="shrub",OR($G114="",$H114="",$I114="")),"Shrub needs all three of length, width and height. ","")&amp;IF(AND($C114="Medium",$D114="shrub",$F114&lt;&gt;""),"Diameter entered for a shrub — it is ignored. Crown volume is used instead. ","")&amp;IF(AND($C114="Medium",$E114&lt;&gt;"",$L114=""),"Species not in the coefficient list — use 'all shrubs' if you have no closer match. ","")&amp;IF(AND($C114="Small",$J114=""),"Small-plot row with no clipped dry mass yet. ","")&amp;IF($N114&lt;&gt;"","Above-ground only: no root biomass is included for understory. ",""))</f>
        <v/>
      </c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5"/>
      <c r="K115" s="14" t="str">
        <f aca="false">IF($C115="Small","",IF($D115="tree",IF($F115="","",$F115),IF(OR($G115="",$H115="",$I115=""),"",$G115*$H115*$I115)))</f>
        <v/>
      </c>
      <c r="L115" s="14" t="str">
        <f aca="false">IF($C115="Small","",IFERROR(INDEX('R2. Understory Coefficients'!$E$8:$E$14,MATCH($E115,'R2. Understory Coefficients'!$I$8:$I$14,0)),""))</f>
        <v/>
      </c>
      <c r="M115" s="14" t="str">
        <f aca="false">IF($C115="Small","",IFERROR(INDEX('R2. Understory Coefficients'!$F$8:$F$14,MATCH($E115,'R2. Understory Coefficients'!$I$8:$I$14,0)),""))</f>
        <v/>
      </c>
      <c r="N115" s="14" t="str">
        <f aca="false">IF($C115="Small",IF($J115="","",$J115/1000),IF(OR($K115="",$L115="",$M115=""),"",($L115*($K115^$M115))/1000))</f>
        <v/>
      </c>
      <c r="O115" s="14" t="str">
        <f aca="false">IF($N115="","",$N115*CARBON_FRACTION_BIOMASS)</f>
        <v/>
      </c>
      <c r="P115" s="14" t="str">
        <f aca="false">IF(AND($A115="",$E115="",$J115=""),"",IF(AND($A115&lt;&gt;"",COUNTIF('1. Plot &amp; Site Log'!$A$5:$A$64,$A115)=0),"Plot ID not in Plot &amp; Site Log. ","")&amp;IF($C115="","No plot type — say whether this came from a Medium or a Small plot. ","")&amp;IF(AND($C115="Medium",$D115="tree",$F115=""),"Short-statured tree with no diameter at 0.3 m. ","")&amp;IF(AND($C115="Medium",$D115="shrub",OR($G115="",$H115="",$I115="")),"Shrub needs all three of length, width and height. ","")&amp;IF(AND($C115="Medium",$D115="shrub",$F115&lt;&gt;""),"Diameter entered for a shrub — it is ignored. Crown volume is used instead. ","")&amp;IF(AND($C115="Medium",$E115&lt;&gt;"",$L115=""),"Species not in the coefficient list — use 'all shrubs' if you have no closer match. ","")&amp;IF(AND($C115="Small",$J115=""),"Small-plot row with no clipped dry mass yet. ","")&amp;IF($N115&lt;&gt;"","Above-ground only: no root biomass is included for understory. ",""))</f>
        <v/>
      </c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5"/>
      <c r="K116" s="14" t="str">
        <f aca="false">IF($C116="Small","",IF($D116="tree",IF($F116="","",$F116),IF(OR($G116="",$H116="",$I116=""),"",$G116*$H116*$I116)))</f>
        <v/>
      </c>
      <c r="L116" s="14" t="str">
        <f aca="false">IF($C116="Small","",IFERROR(INDEX('R2. Understory Coefficients'!$E$8:$E$14,MATCH($E116,'R2. Understory Coefficients'!$I$8:$I$14,0)),""))</f>
        <v/>
      </c>
      <c r="M116" s="14" t="str">
        <f aca="false">IF($C116="Small","",IFERROR(INDEX('R2. Understory Coefficients'!$F$8:$F$14,MATCH($E116,'R2. Understory Coefficients'!$I$8:$I$14,0)),""))</f>
        <v/>
      </c>
      <c r="N116" s="14" t="str">
        <f aca="false">IF($C116="Small",IF($J116="","",$J116/1000),IF(OR($K116="",$L116="",$M116=""),"",($L116*($K116^$M116))/1000))</f>
        <v/>
      </c>
      <c r="O116" s="14" t="str">
        <f aca="false">IF($N116="","",$N116*CARBON_FRACTION_BIOMASS)</f>
        <v/>
      </c>
      <c r="P116" s="14" t="str">
        <f aca="false">IF(AND($A116="",$E116="",$J116=""),"",IF(AND($A116&lt;&gt;"",COUNTIF('1. Plot &amp; Site Log'!$A$5:$A$64,$A116)=0),"Plot ID not in Plot &amp; Site Log. ","")&amp;IF($C116="","No plot type — say whether this came from a Medium or a Small plot. ","")&amp;IF(AND($C116="Medium",$D116="tree",$F116=""),"Short-statured tree with no diameter at 0.3 m. ","")&amp;IF(AND($C116="Medium",$D116="shrub",OR($G116="",$H116="",$I116="")),"Shrub needs all three of length, width and height. ","")&amp;IF(AND($C116="Medium",$D116="shrub",$F116&lt;&gt;""),"Diameter entered for a shrub — it is ignored. Crown volume is used instead. ","")&amp;IF(AND($C116="Medium",$E116&lt;&gt;"",$L116=""),"Species not in the coefficient list — use 'all shrubs' if you have no closer match. ","")&amp;IF(AND($C116="Small",$J116=""),"Small-plot row with no clipped dry mass yet. ","")&amp;IF($N116&lt;&gt;"","Above-ground only: no root biomass is included for understory. ",""))</f>
        <v/>
      </c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5"/>
      <c r="K117" s="14" t="str">
        <f aca="false">IF($C117="Small","",IF($D117="tree",IF($F117="","",$F117),IF(OR($G117="",$H117="",$I117=""),"",$G117*$H117*$I117)))</f>
        <v/>
      </c>
      <c r="L117" s="14" t="str">
        <f aca="false">IF($C117="Small","",IFERROR(INDEX('R2. Understory Coefficients'!$E$8:$E$14,MATCH($E117,'R2. Understory Coefficients'!$I$8:$I$14,0)),""))</f>
        <v/>
      </c>
      <c r="M117" s="14" t="str">
        <f aca="false">IF($C117="Small","",IFERROR(INDEX('R2. Understory Coefficients'!$F$8:$F$14,MATCH($E117,'R2. Understory Coefficients'!$I$8:$I$14,0)),""))</f>
        <v/>
      </c>
      <c r="N117" s="14" t="str">
        <f aca="false">IF($C117="Small",IF($J117="","",$J117/1000),IF(OR($K117="",$L117="",$M117=""),"",($L117*($K117^$M117))/1000))</f>
        <v/>
      </c>
      <c r="O117" s="14" t="str">
        <f aca="false">IF($N117="","",$N117*CARBON_FRACTION_BIOMASS)</f>
        <v/>
      </c>
      <c r="P117" s="14" t="str">
        <f aca="false">IF(AND($A117="",$E117="",$J117=""),"",IF(AND($A117&lt;&gt;"",COUNTIF('1. Plot &amp; Site Log'!$A$5:$A$64,$A117)=0),"Plot ID not in Plot &amp; Site Log. ","")&amp;IF($C117="","No plot type — say whether this came from a Medium or a Small plot. ","")&amp;IF(AND($C117="Medium",$D117="tree",$F117=""),"Short-statured tree with no diameter at 0.3 m. ","")&amp;IF(AND($C117="Medium",$D117="shrub",OR($G117="",$H117="",$I117="")),"Shrub needs all three of length, width and height. ","")&amp;IF(AND($C117="Medium",$D117="shrub",$F117&lt;&gt;""),"Diameter entered for a shrub — it is ignored. Crown volume is used instead. ","")&amp;IF(AND($C117="Medium",$E117&lt;&gt;"",$L117=""),"Species not in the coefficient list — use 'all shrubs' if you have no closer match. ","")&amp;IF(AND($C117="Small",$J117=""),"Small-plot row with no clipped dry mass yet. ","")&amp;IF($N117&lt;&gt;"","Above-ground only: no root biomass is included for understory. ",""))</f>
        <v/>
      </c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5"/>
      <c r="K118" s="14" t="str">
        <f aca="false">IF($C118="Small","",IF($D118="tree",IF($F118="","",$F118),IF(OR($G118="",$H118="",$I118=""),"",$G118*$H118*$I118)))</f>
        <v/>
      </c>
      <c r="L118" s="14" t="str">
        <f aca="false">IF($C118="Small","",IFERROR(INDEX('R2. Understory Coefficients'!$E$8:$E$14,MATCH($E118,'R2. Understory Coefficients'!$I$8:$I$14,0)),""))</f>
        <v/>
      </c>
      <c r="M118" s="14" t="str">
        <f aca="false">IF($C118="Small","",IFERROR(INDEX('R2. Understory Coefficients'!$F$8:$F$14,MATCH($E118,'R2. Understory Coefficients'!$I$8:$I$14,0)),""))</f>
        <v/>
      </c>
      <c r="N118" s="14" t="str">
        <f aca="false">IF($C118="Small",IF($J118="","",$J118/1000),IF(OR($K118="",$L118="",$M118=""),"",($L118*($K118^$M118))/1000))</f>
        <v/>
      </c>
      <c r="O118" s="14" t="str">
        <f aca="false">IF($N118="","",$N118*CARBON_FRACTION_BIOMASS)</f>
        <v/>
      </c>
      <c r="P118" s="14" t="str">
        <f aca="false">IF(AND($A118="",$E118="",$J118=""),"",IF(AND($A118&lt;&gt;"",COUNTIF('1. Plot &amp; Site Log'!$A$5:$A$64,$A118)=0),"Plot ID not in Plot &amp; Site Log. ","")&amp;IF($C118="","No plot type — say whether this came from a Medium or a Small plot. ","")&amp;IF(AND($C118="Medium",$D118="tree",$F118=""),"Short-statured tree with no diameter at 0.3 m. ","")&amp;IF(AND($C118="Medium",$D118="shrub",OR($G118="",$H118="",$I118="")),"Shrub needs all three of length, width and height. ","")&amp;IF(AND($C118="Medium",$D118="shrub",$F118&lt;&gt;""),"Diameter entered for a shrub — it is ignored. Crown volume is used instead. ","")&amp;IF(AND($C118="Medium",$E118&lt;&gt;"",$L118=""),"Species not in the coefficient list — use 'all shrubs' if you have no closer match. ","")&amp;IF(AND($C118="Small",$J118=""),"Small-plot row with no clipped dry mass yet. ","")&amp;IF($N118&lt;&gt;"","Above-ground only: no root biomass is included for understory. ",""))</f>
        <v/>
      </c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5"/>
      <c r="K119" s="14" t="str">
        <f aca="false">IF($C119="Small","",IF($D119="tree",IF($F119="","",$F119),IF(OR($G119="",$H119="",$I119=""),"",$G119*$H119*$I119)))</f>
        <v/>
      </c>
      <c r="L119" s="14" t="str">
        <f aca="false">IF($C119="Small","",IFERROR(INDEX('R2. Understory Coefficients'!$E$8:$E$14,MATCH($E119,'R2. Understory Coefficients'!$I$8:$I$14,0)),""))</f>
        <v/>
      </c>
      <c r="M119" s="14" t="str">
        <f aca="false">IF($C119="Small","",IFERROR(INDEX('R2. Understory Coefficients'!$F$8:$F$14,MATCH($E119,'R2. Understory Coefficients'!$I$8:$I$14,0)),""))</f>
        <v/>
      </c>
      <c r="N119" s="14" t="str">
        <f aca="false">IF($C119="Small",IF($J119="","",$J119/1000),IF(OR($K119="",$L119="",$M119=""),"",($L119*($K119^$M119))/1000))</f>
        <v/>
      </c>
      <c r="O119" s="14" t="str">
        <f aca="false">IF($N119="","",$N119*CARBON_FRACTION_BIOMASS)</f>
        <v/>
      </c>
      <c r="P119" s="14" t="str">
        <f aca="false">IF(AND($A119="",$E119="",$J119=""),"",IF(AND($A119&lt;&gt;"",COUNTIF('1. Plot &amp; Site Log'!$A$5:$A$64,$A119)=0),"Plot ID not in Plot &amp; Site Log. ","")&amp;IF($C119="","No plot type — say whether this came from a Medium or a Small plot. ","")&amp;IF(AND($C119="Medium",$D119="tree",$F119=""),"Short-statured tree with no diameter at 0.3 m. ","")&amp;IF(AND($C119="Medium",$D119="shrub",OR($G119="",$H119="",$I119="")),"Shrub needs all three of length, width and height. ","")&amp;IF(AND($C119="Medium",$D119="shrub",$F119&lt;&gt;""),"Diameter entered for a shrub — it is ignored. Crown volume is used instead. ","")&amp;IF(AND($C119="Medium",$E119&lt;&gt;"",$L119=""),"Species not in the coefficient list — use 'all shrubs' if you have no closer match. ","")&amp;IF(AND($C119="Small",$J119=""),"Small-plot row with no clipped dry mass yet. ","")&amp;IF($N119&lt;&gt;"","Above-ground only: no root biomass is included for understory. ",""))</f>
        <v/>
      </c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5"/>
      <c r="K120" s="14" t="str">
        <f aca="false">IF($C120="Small","",IF($D120="tree",IF($F120="","",$F120),IF(OR($G120="",$H120="",$I120=""),"",$G120*$H120*$I120)))</f>
        <v/>
      </c>
      <c r="L120" s="14" t="str">
        <f aca="false">IF($C120="Small","",IFERROR(INDEX('R2. Understory Coefficients'!$E$8:$E$14,MATCH($E120,'R2. Understory Coefficients'!$I$8:$I$14,0)),""))</f>
        <v/>
      </c>
      <c r="M120" s="14" t="str">
        <f aca="false">IF($C120="Small","",IFERROR(INDEX('R2. Understory Coefficients'!$F$8:$F$14,MATCH($E120,'R2. Understory Coefficients'!$I$8:$I$14,0)),""))</f>
        <v/>
      </c>
      <c r="N120" s="14" t="str">
        <f aca="false">IF($C120="Small",IF($J120="","",$J120/1000),IF(OR($K120="",$L120="",$M120=""),"",($L120*($K120^$M120))/1000))</f>
        <v/>
      </c>
      <c r="O120" s="14" t="str">
        <f aca="false">IF($N120="","",$N120*CARBON_FRACTION_BIOMASS)</f>
        <v/>
      </c>
      <c r="P120" s="14" t="str">
        <f aca="false">IF(AND($A120="",$E120="",$J120=""),"",IF(AND($A120&lt;&gt;"",COUNTIF('1. Plot &amp; Site Log'!$A$5:$A$64,$A120)=0),"Plot ID not in Plot &amp; Site Log. ","")&amp;IF($C120="","No plot type — say whether this came from a Medium or a Small plot. ","")&amp;IF(AND($C120="Medium",$D120="tree",$F120=""),"Short-statured tree with no diameter at 0.3 m. ","")&amp;IF(AND($C120="Medium",$D120="shrub",OR($G120="",$H120="",$I120="")),"Shrub needs all three of length, width and height. ","")&amp;IF(AND($C120="Medium",$D120="shrub",$F120&lt;&gt;""),"Diameter entered for a shrub — it is ignored. Crown volume is used instead. ","")&amp;IF(AND($C120="Medium",$E120&lt;&gt;"",$L120=""),"Species not in the coefficient list — use 'all shrubs' if you have no closer match. ","")&amp;IF(AND($C120="Small",$J120=""),"Small-plot row with no clipped dry mass yet. ","")&amp;IF($N120&lt;&gt;"","Above-ground only: no root biomass is included for understory. ",""))</f>
        <v/>
      </c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5"/>
      <c r="K121" s="14" t="str">
        <f aca="false">IF($C121="Small","",IF($D121="tree",IF($F121="","",$F121),IF(OR($G121="",$H121="",$I121=""),"",$G121*$H121*$I121)))</f>
        <v/>
      </c>
      <c r="L121" s="14" t="str">
        <f aca="false">IF($C121="Small","",IFERROR(INDEX('R2. Understory Coefficients'!$E$8:$E$14,MATCH($E121,'R2. Understory Coefficients'!$I$8:$I$14,0)),""))</f>
        <v/>
      </c>
      <c r="M121" s="14" t="str">
        <f aca="false">IF($C121="Small","",IFERROR(INDEX('R2. Understory Coefficients'!$F$8:$F$14,MATCH($E121,'R2. Understory Coefficients'!$I$8:$I$14,0)),""))</f>
        <v/>
      </c>
      <c r="N121" s="14" t="str">
        <f aca="false">IF($C121="Small",IF($J121="","",$J121/1000),IF(OR($K121="",$L121="",$M121=""),"",($L121*($K121^$M121))/1000))</f>
        <v/>
      </c>
      <c r="O121" s="14" t="str">
        <f aca="false">IF($N121="","",$N121*CARBON_FRACTION_BIOMASS)</f>
        <v/>
      </c>
      <c r="P121" s="14" t="str">
        <f aca="false">IF(AND($A121="",$E121="",$J121=""),"",IF(AND($A121&lt;&gt;"",COUNTIF('1. Plot &amp; Site Log'!$A$5:$A$64,$A121)=0),"Plot ID not in Plot &amp; Site Log. ","")&amp;IF($C121="","No plot type — say whether this came from a Medium or a Small plot. ","")&amp;IF(AND($C121="Medium",$D121="tree",$F121=""),"Short-statured tree with no diameter at 0.3 m. ","")&amp;IF(AND($C121="Medium",$D121="shrub",OR($G121="",$H121="",$I121="")),"Shrub needs all three of length, width and height. ","")&amp;IF(AND($C121="Medium",$D121="shrub",$F121&lt;&gt;""),"Diameter entered for a shrub — it is ignored. Crown volume is used instead. ","")&amp;IF(AND($C121="Medium",$E121&lt;&gt;"",$L121=""),"Species not in the coefficient list — use 'all shrubs' if you have no closer match. ","")&amp;IF(AND($C121="Small",$J121=""),"Small-plot row with no clipped dry mass yet. ","")&amp;IF($N121&lt;&gt;"","Above-ground only: no root biomass is included for understory. ",""))</f>
        <v/>
      </c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5"/>
      <c r="K122" s="14" t="str">
        <f aca="false">IF($C122="Small","",IF($D122="tree",IF($F122="","",$F122),IF(OR($G122="",$H122="",$I122=""),"",$G122*$H122*$I122)))</f>
        <v/>
      </c>
      <c r="L122" s="14" t="str">
        <f aca="false">IF($C122="Small","",IFERROR(INDEX('R2. Understory Coefficients'!$E$8:$E$14,MATCH($E122,'R2. Understory Coefficients'!$I$8:$I$14,0)),""))</f>
        <v/>
      </c>
      <c r="M122" s="14" t="str">
        <f aca="false">IF($C122="Small","",IFERROR(INDEX('R2. Understory Coefficients'!$F$8:$F$14,MATCH($E122,'R2. Understory Coefficients'!$I$8:$I$14,0)),""))</f>
        <v/>
      </c>
      <c r="N122" s="14" t="str">
        <f aca="false">IF($C122="Small",IF($J122="","",$J122/1000),IF(OR($K122="",$L122="",$M122=""),"",($L122*($K122^$M122))/1000))</f>
        <v/>
      </c>
      <c r="O122" s="14" t="str">
        <f aca="false">IF($N122="","",$N122*CARBON_FRACTION_BIOMASS)</f>
        <v/>
      </c>
      <c r="P122" s="14" t="str">
        <f aca="false">IF(AND($A122="",$E122="",$J122=""),"",IF(AND($A122&lt;&gt;"",COUNTIF('1. Plot &amp; Site Log'!$A$5:$A$64,$A122)=0),"Plot ID not in Plot &amp; Site Log. ","")&amp;IF($C122="","No plot type — say whether this came from a Medium or a Small plot. ","")&amp;IF(AND($C122="Medium",$D122="tree",$F122=""),"Short-statured tree with no diameter at 0.3 m. ","")&amp;IF(AND($C122="Medium",$D122="shrub",OR($G122="",$H122="",$I122="")),"Shrub needs all three of length, width and height. ","")&amp;IF(AND($C122="Medium",$D122="shrub",$F122&lt;&gt;""),"Diameter entered for a shrub — it is ignored. Crown volume is used instead. ","")&amp;IF(AND($C122="Medium",$E122&lt;&gt;"",$L122=""),"Species not in the coefficient list — use 'all shrubs' if you have no closer match. ","")&amp;IF(AND($C122="Small",$J122=""),"Small-plot row with no clipped dry mass yet. ","")&amp;IF($N122&lt;&gt;"","Above-ground only: no root biomass is included for understory. ",""))</f>
        <v/>
      </c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5"/>
      <c r="K123" s="14" t="str">
        <f aca="false">IF($C123="Small","",IF($D123="tree",IF($F123="","",$F123),IF(OR($G123="",$H123="",$I123=""),"",$G123*$H123*$I123)))</f>
        <v/>
      </c>
      <c r="L123" s="14" t="str">
        <f aca="false">IF($C123="Small","",IFERROR(INDEX('R2. Understory Coefficients'!$E$8:$E$14,MATCH($E123,'R2. Understory Coefficients'!$I$8:$I$14,0)),""))</f>
        <v/>
      </c>
      <c r="M123" s="14" t="str">
        <f aca="false">IF($C123="Small","",IFERROR(INDEX('R2. Understory Coefficients'!$F$8:$F$14,MATCH($E123,'R2. Understory Coefficients'!$I$8:$I$14,0)),""))</f>
        <v/>
      </c>
      <c r="N123" s="14" t="str">
        <f aca="false">IF($C123="Small",IF($J123="","",$J123/1000),IF(OR($K123="",$L123="",$M123=""),"",($L123*($K123^$M123))/1000))</f>
        <v/>
      </c>
      <c r="O123" s="14" t="str">
        <f aca="false">IF($N123="","",$N123*CARBON_FRACTION_BIOMASS)</f>
        <v/>
      </c>
      <c r="P123" s="14" t="str">
        <f aca="false">IF(AND($A123="",$E123="",$J123=""),"",IF(AND($A123&lt;&gt;"",COUNTIF('1. Plot &amp; Site Log'!$A$5:$A$64,$A123)=0),"Plot ID not in Plot &amp; Site Log. ","")&amp;IF($C123="","No plot type — say whether this came from a Medium or a Small plot. ","")&amp;IF(AND($C123="Medium",$D123="tree",$F123=""),"Short-statured tree with no diameter at 0.3 m. ","")&amp;IF(AND($C123="Medium",$D123="shrub",OR($G123="",$H123="",$I123="")),"Shrub needs all three of length, width and height. ","")&amp;IF(AND($C123="Medium",$D123="shrub",$F123&lt;&gt;""),"Diameter entered for a shrub — it is ignored. Crown volume is used instead. ","")&amp;IF(AND($C123="Medium",$E123&lt;&gt;"",$L123=""),"Species not in the coefficient list — use 'all shrubs' if you have no closer match. ","")&amp;IF(AND($C123="Small",$J123=""),"Small-plot row with no clipped dry mass yet. ","")&amp;IF($N123&lt;&gt;"","Above-ground only: no root biomass is included for understory. ",""))</f>
        <v/>
      </c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5"/>
      <c r="K124" s="14" t="str">
        <f aca="false">IF($C124="Small","",IF($D124="tree",IF($F124="","",$F124),IF(OR($G124="",$H124="",$I124=""),"",$G124*$H124*$I124)))</f>
        <v/>
      </c>
      <c r="L124" s="14" t="str">
        <f aca="false">IF($C124="Small","",IFERROR(INDEX('R2. Understory Coefficients'!$E$8:$E$14,MATCH($E124,'R2. Understory Coefficients'!$I$8:$I$14,0)),""))</f>
        <v/>
      </c>
      <c r="M124" s="14" t="str">
        <f aca="false">IF($C124="Small","",IFERROR(INDEX('R2. Understory Coefficients'!$F$8:$F$14,MATCH($E124,'R2. Understory Coefficients'!$I$8:$I$14,0)),""))</f>
        <v/>
      </c>
      <c r="N124" s="14" t="str">
        <f aca="false">IF($C124="Small",IF($J124="","",$J124/1000),IF(OR($K124="",$L124="",$M124=""),"",($L124*($K124^$M124))/1000))</f>
        <v/>
      </c>
      <c r="O124" s="14" t="str">
        <f aca="false">IF($N124="","",$N124*CARBON_FRACTION_BIOMASS)</f>
        <v/>
      </c>
      <c r="P124" s="14" t="str">
        <f aca="false">IF(AND($A124="",$E124="",$J124=""),"",IF(AND($A124&lt;&gt;"",COUNTIF('1. Plot &amp; Site Log'!$A$5:$A$64,$A124)=0),"Plot ID not in Plot &amp; Site Log. ","")&amp;IF($C124="","No plot type — say whether this came from a Medium or a Small plot. ","")&amp;IF(AND($C124="Medium",$D124="tree",$F124=""),"Short-statured tree with no diameter at 0.3 m. ","")&amp;IF(AND($C124="Medium",$D124="shrub",OR($G124="",$H124="",$I124="")),"Shrub needs all three of length, width and height. ","")&amp;IF(AND($C124="Medium",$D124="shrub",$F124&lt;&gt;""),"Diameter entered for a shrub — it is ignored. Crown volume is used instead. ","")&amp;IF(AND($C124="Medium",$E124&lt;&gt;"",$L124=""),"Species not in the coefficient list — use 'all shrubs' if you have no closer match. ","")&amp;IF(AND($C124="Small",$J124=""),"Small-plot row with no clipped dry mass yet. ","")&amp;IF($N124&lt;&gt;"","Above-ground only: no root biomass is included for understory. ",""))</f>
        <v/>
      </c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5"/>
      <c r="K125" s="14" t="str">
        <f aca="false">IF($C125="Small","",IF($D125="tree",IF($F125="","",$F125),IF(OR($G125="",$H125="",$I125=""),"",$G125*$H125*$I125)))</f>
        <v/>
      </c>
      <c r="L125" s="14" t="str">
        <f aca="false">IF($C125="Small","",IFERROR(INDEX('R2. Understory Coefficients'!$E$8:$E$14,MATCH($E125,'R2. Understory Coefficients'!$I$8:$I$14,0)),""))</f>
        <v/>
      </c>
      <c r="M125" s="14" t="str">
        <f aca="false">IF($C125="Small","",IFERROR(INDEX('R2. Understory Coefficients'!$F$8:$F$14,MATCH($E125,'R2. Understory Coefficients'!$I$8:$I$14,0)),""))</f>
        <v/>
      </c>
      <c r="N125" s="14" t="str">
        <f aca="false">IF($C125="Small",IF($J125="","",$J125/1000),IF(OR($K125="",$L125="",$M125=""),"",($L125*($K125^$M125))/1000))</f>
        <v/>
      </c>
      <c r="O125" s="14" t="str">
        <f aca="false">IF($N125="","",$N125*CARBON_FRACTION_BIOMASS)</f>
        <v/>
      </c>
      <c r="P125" s="14" t="str">
        <f aca="false">IF(AND($A125="",$E125="",$J125=""),"",IF(AND($A125&lt;&gt;"",COUNTIF('1. Plot &amp; Site Log'!$A$5:$A$64,$A125)=0),"Plot ID not in Plot &amp; Site Log. ","")&amp;IF($C125="","No plot type — say whether this came from a Medium or a Small plot. ","")&amp;IF(AND($C125="Medium",$D125="tree",$F125=""),"Short-statured tree with no diameter at 0.3 m. ","")&amp;IF(AND($C125="Medium",$D125="shrub",OR($G125="",$H125="",$I125="")),"Shrub needs all three of length, width and height. ","")&amp;IF(AND($C125="Medium",$D125="shrub",$F125&lt;&gt;""),"Diameter entered for a shrub — it is ignored. Crown volume is used instead. ","")&amp;IF(AND($C125="Medium",$E125&lt;&gt;"",$L125=""),"Species not in the coefficient list — use 'all shrubs' if you have no closer match. ","")&amp;IF(AND($C125="Small",$J125=""),"Small-plot row with no clipped dry mass yet. ","")&amp;IF($N125&lt;&gt;"","Above-ground only: no root biomass is included for understory. ",""))</f>
        <v/>
      </c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5"/>
      <c r="K126" s="14" t="str">
        <f aca="false">IF($C126="Small","",IF($D126="tree",IF($F126="","",$F126),IF(OR($G126="",$H126="",$I126=""),"",$G126*$H126*$I126)))</f>
        <v/>
      </c>
      <c r="L126" s="14" t="str">
        <f aca="false">IF($C126="Small","",IFERROR(INDEX('R2. Understory Coefficients'!$E$8:$E$14,MATCH($E126,'R2. Understory Coefficients'!$I$8:$I$14,0)),""))</f>
        <v/>
      </c>
      <c r="M126" s="14" t="str">
        <f aca="false">IF($C126="Small","",IFERROR(INDEX('R2. Understory Coefficients'!$F$8:$F$14,MATCH($E126,'R2. Understory Coefficients'!$I$8:$I$14,0)),""))</f>
        <v/>
      </c>
      <c r="N126" s="14" t="str">
        <f aca="false">IF($C126="Small",IF($J126="","",$J126/1000),IF(OR($K126="",$L126="",$M126=""),"",($L126*($K126^$M126))/1000))</f>
        <v/>
      </c>
      <c r="O126" s="14" t="str">
        <f aca="false">IF($N126="","",$N126*CARBON_FRACTION_BIOMASS)</f>
        <v/>
      </c>
      <c r="P126" s="14" t="str">
        <f aca="false">IF(AND($A126="",$E126="",$J126=""),"",IF(AND($A126&lt;&gt;"",COUNTIF('1. Plot &amp; Site Log'!$A$5:$A$64,$A126)=0),"Plot ID not in Plot &amp; Site Log. ","")&amp;IF($C126="","No plot type — say whether this came from a Medium or a Small plot. ","")&amp;IF(AND($C126="Medium",$D126="tree",$F126=""),"Short-statured tree with no diameter at 0.3 m. ","")&amp;IF(AND($C126="Medium",$D126="shrub",OR($G126="",$H126="",$I126="")),"Shrub needs all three of length, width and height. ","")&amp;IF(AND($C126="Medium",$D126="shrub",$F126&lt;&gt;""),"Diameter entered for a shrub — it is ignored. Crown volume is used instead. ","")&amp;IF(AND($C126="Medium",$E126&lt;&gt;"",$L126=""),"Species not in the coefficient list — use 'all shrubs' if you have no closer match. ","")&amp;IF(AND($C126="Small",$J126=""),"Small-plot row with no clipped dry mass yet. ","")&amp;IF($N126&lt;&gt;"","Above-ground only: no root biomass is included for understory. ",""))</f>
        <v/>
      </c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5"/>
      <c r="K127" s="14" t="str">
        <f aca="false">IF($C127="Small","",IF($D127="tree",IF($F127="","",$F127),IF(OR($G127="",$H127="",$I127=""),"",$G127*$H127*$I127)))</f>
        <v/>
      </c>
      <c r="L127" s="14" t="str">
        <f aca="false">IF($C127="Small","",IFERROR(INDEX('R2. Understory Coefficients'!$E$8:$E$14,MATCH($E127,'R2. Understory Coefficients'!$I$8:$I$14,0)),""))</f>
        <v/>
      </c>
      <c r="M127" s="14" t="str">
        <f aca="false">IF($C127="Small","",IFERROR(INDEX('R2. Understory Coefficients'!$F$8:$F$14,MATCH($E127,'R2. Understory Coefficients'!$I$8:$I$14,0)),""))</f>
        <v/>
      </c>
      <c r="N127" s="14" t="str">
        <f aca="false">IF($C127="Small",IF($J127="","",$J127/1000),IF(OR($K127="",$L127="",$M127=""),"",($L127*($K127^$M127))/1000))</f>
        <v/>
      </c>
      <c r="O127" s="14" t="str">
        <f aca="false">IF($N127="","",$N127*CARBON_FRACTION_BIOMASS)</f>
        <v/>
      </c>
      <c r="P127" s="14" t="str">
        <f aca="false">IF(AND($A127="",$E127="",$J127=""),"",IF(AND($A127&lt;&gt;"",COUNTIF('1. Plot &amp; Site Log'!$A$5:$A$64,$A127)=0),"Plot ID not in Plot &amp; Site Log. ","")&amp;IF($C127="","No plot type — say whether this came from a Medium or a Small plot. ","")&amp;IF(AND($C127="Medium",$D127="tree",$F127=""),"Short-statured tree with no diameter at 0.3 m. ","")&amp;IF(AND($C127="Medium",$D127="shrub",OR($G127="",$H127="",$I127="")),"Shrub needs all three of length, width and height. ","")&amp;IF(AND($C127="Medium",$D127="shrub",$F127&lt;&gt;""),"Diameter entered for a shrub — it is ignored. Crown volume is used instead. ","")&amp;IF(AND($C127="Medium",$E127&lt;&gt;"",$L127=""),"Species not in the coefficient list — use 'all shrubs' if you have no closer match. ","")&amp;IF(AND($C127="Small",$J127=""),"Small-plot row with no clipped dry mass yet. ","")&amp;IF($N127&lt;&gt;"","Above-ground only: no root biomass is included for understory. ",""))</f>
        <v/>
      </c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5"/>
      <c r="K128" s="14" t="str">
        <f aca="false">IF($C128="Small","",IF($D128="tree",IF($F128="","",$F128),IF(OR($G128="",$H128="",$I128=""),"",$G128*$H128*$I128)))</f>
        <v/>
      </c>
      <c r="L128" s="14" t="str">
        <f aca="false">IF($C128="Small","",IFERROR(INDEX('R2. Understory Coefficients'!$E$8:$E$14,MATCH($E128,'R2. Understory Coefficients'!$I$8:$I$14,0)),""))</f>
        <v/>
      </c>
      <c r="M128" s="14" t="str">
        <f aca="false">IF($C128="Small","",IFERROR(INDEX('R2. Understory Coefficients'!$F$8:$F$14,MATCH($E128,'R2. Understory Coefficients'!$I$8:$I$14,0)),""))</f>
        <v/>
      </c>
      <c r="N128" s="14" t="str">
        <f aca="false">IF($C128="Small",IF($J128="","",$J128/1000),IF(OR($K128="",$L128="",$M128=""),"",($L128*($K128^$M128))/1000))</f>
        <v/>
      </c>
      <c r="O128" s="14" t="str">
        <f aca="false">IF($N128="","",$N128*CARBON_FRACTION_BIOMASS)</f>
        <v/>
      </c>
      <c r="P128" s="14" t="str">
        <f aca="false">IF(AND($A128="",$E128="",$J128=""),"",IF(AND($A128&lt;&gt;"",COUNTIF('1. Plot &amp; Site Log'!$A$5:$A$64,$A128)=0),"Plot ID not in Plot &amp; Site Log. ","")&amp;IF($C128="","No plot type — say whether this came from a Medium or a Small plot. ","")&amp;IF(AND($C128="Medium",$D128="tree",$F128=""),"Short-statured tree with no diameter at 0.3 m. ","")&amp;IF(AND($C128="Medium",$D128="shrub",OR($G128="",$H128="",$I128="")),"Shrub needs all three of length, width and height. ","")&amp;IF(AND($C128="Medium",$D128="shrub",$F128&lt;&gt;""),"Diameter entered for a shrub — it is ignored. Crown volume is used instead. ","")&amp;IF(AND($C128="Medium",$E128&lt;&gt;"",$L128=""),"Species not in the coefficient list — use 'all shrubs' if you have no closer match. ","")&amp;IF(AND($C128="Small",$J128=""),"Small-plot row with no clipped dry mass yet. ","")&amp;IF($N128&lt;&gt;"","Above-ground only: no root biomass is included for understory. ",""))</f>
        <v/>
      </c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5"/>
      <c r="K129" s="14" t="str">
        <f aca="false">IF($C129="Small","",IF($D129="tree",IF($F129="","",$F129),IF(OR($G129="",$H129="",$I129=""),"",$G129*$H129*$I129)))</f>
        <v/>
      </c>
      <c r="L129" s="14" t="str">
        <f aca="false">IF($C129="Small","",IFERROR(INDEX('R2. Understory Coefficients'!$E$8:$E$14,MATCH($E129,'R2. Understory Coefficients'!$I$8:$I$14,0)),""))</f>
        <v/>
      </c>
      <c r="M129" s="14" t="str">
        <f aca="false">IF($C129="Small","",IFERROR(INDEX('R2. Understory Coefficients'!$F$8:$F$14,MATCH($E129,'R2. Understory Coefficients'!$I$8:$I$14,0)),""))</f>
        <v/>
      </c>
      <c r="N129" s="14" t="str">
        <f aca="false">IF($C129="Small",IF($J129="","",$J129/1000),IF(OR($K129="",$L129="",$M129=""),"",($L129*($K129^$M129))/1000))</f>
        <v/>
      </c>
      <c r="O129" s="14" t="str">
        <f aca="false">IF($N129="","",$N129*CARBON_FRACTION_BIOMASS)</f>
        <v/>
      </c>
      <c r="P129" s="14" t="str">
        <f aca="false">IF(AND($A129="",$E129="",$J129=""),"",IF(AND($A129&lt;&gt;"",COUNTIF('1. Plot &amp; Site Log'!$A$5:$A$64,$A129)=0),"Plot ID not in Plot &amp; Site Log. ","")&amp;IF($C129="","No plot type — say whether this came from a Medium or a Small plot. ","")&amp;IF(AND($C129="Medium",$D129="tree",$F129=""),"Short-statured tree with no diameter at 0.3 m. ","")&amp;IF(AND($C129="Medium",$D129="shrub",OR($G129="",$H129="",$I129="")),"Shrub needs all three of length, width and height. ","")&amp;IF(AND($C129="Medium",$D129="shrub",$F129&lt;&gt;""),"Diameter entered for a shrub — it is ignored. Crown volume is used instead. ","")&amp;IF(AND($C129="Medium",$E129&lt;&gt;"",$L129=""),"Species not in the coefficient list — use 'all shrubs' if you have no closer match. ","")&amp;IF(AND($C129="Small",$J129=""),"Small-plot row with no clipped dry mass yet. ","")&amp;IF($N129&lt;&gt;"","Above-ground only: no root biomass is included for understory. ",""))</f>
        <v/>
      </c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5"/>
      <c r="K130" s="14" t="str">
        <f aca="false">IF($C130="Small","",IF($D130="tree",IF($F130="","",$F130),IF(OR($G130="",$H130="",$I130=""),"",$G130*$H130*$I130)))</f>
        <v/>
      </c>
      <c r="L130" s="14" t="str">
        <f aca="false">IF($C130="Small","",IFERROR(INDEX('R2. Understory Coefficients'!$E$8:$E$14,MATCH($E130,'R2. Understory Coefficients'!$I$8:$I$14,0)),""))</f>
        <v/>
      </c>
      <c r="M130" s="14" t="str">
        <f aca="false">IF($C130="Small","",IFERROR(INDEX('R2. Understory Coefficients'!$F$8:$F$14,MATCH($E130,'R2. Understory Coefficients'!$I$8:$I$14,0)),""))</f>
        <v/>
      </c>
      <c r="N130" s="14" t="str">
        <f aca="false">IF($C130="Small",IF($J130="","",$J130/1000),IF(OR($K130="",$L130="",$M130=""),"",($L130*($K130^$M130))/1000))</f>
        <v/>
      </c>
      <c r="O130" s="14" t="str">
        <f aca="false">IF($N130="","",$N130*CARBON_FRACTION_BIOMASS)</f>
        <v/>
      </c>
      <c r="P130" s="14" t="str">
        <f aca="false">IF(AND($A130="",$E130="",$J130=""),"",IF(AND($A130&lt;&gt;"",COUNTIF('1. Plot &amp; Site Log'!$A$5:$A$64,$A130)=0),"Plot ID not in Plot &amp; Site Log. ","")&amp;IF($C130="","No plot type — say whether this came from a Medium or a Small plot. ","")&amp;IF(AND($C130="Medium",$D130="tree",$F130=""),"Short-statured tree with no diameter at 0.3 m. ","")&amp;IF(AND($C130="Medium",$D130="shrub",OR($G130="",$H130="",$I130="")),"Shrub needs all three of length, width and height. ","")&amp;IF(AND($C130="Medium",$D130="shrub",$F130&lt;&gt;""),"Diameter entered for a shrub — it is ignored. Crown volume is used instead. ","")&amp;IF(AND($C130="Medium",$E130&lt;&gt;"",$L130=""),"Species not in the coefficient list — use 'all shrubs' if you have no closer match. ","")&amp;IF(AND($C130="Small",$J130=""),"Small-plot row with no clipped dry mass yet. ","")&amp;IF($N130&lt;&gt;"","Above-ground only: no root biomass is included for understory. ",""))</f>
        <v/>
      </c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5"/>
      <c r="K131" s="14" t="str">
        <f aca="false">IF($C131="Small","",IF($D131="tree",IF($F131="","",$F131),IF(OR($G131="",$H131="",$I131=""),"",$G131*$H131*$I131)))</f>
        <v/>
      </c>
      <c r="L131" s="14" t="str">
        <f aca="false">IF($C131="Small","",IFERROR(INDEX('R2. Understory Coefficients'!$E$8:$E$14,MATCH($E131,'R2. Understory Coefficients'!$I$8:$I$14,0)),""))</f>
        <v/>
      </c>
      <c r="M131" s="14" t="str">
        <f aca="false">IF($C131="Small","",IFERROR(INDEX('R2. Understory Coefficients'!$F$8:$F$14,MATCH($E131,'R2. Understory Coefficients'!$I$8:$I$14,0)),""))</f>
        <v/>
      </c>
      <c r="N131" s="14" t="str">
        <f aca="false">IF($C131="Small",IF($J131="","",$J131/1000),IF(OR($K131="",$L131="",$M131=""),"",($L131*($K131^$M131))/1000))</f>
        <v/>
      </c>
      <c r="O131" s="14" t="str">
        <f aca="false">IF($N131="","",$N131*CARBON_FRACTION_BIOMASS)</f>
        <v/>
      </c>
      <c r="P131" s="14" t="str">
        <f aca="false">IF(AND($A131="",$E131="",$J131=""),"",IF(AND($A131&lt;&gt;"",COUNTIF('1. Plot &amp; Site Log'!$A$5:$A$64,$A131)=0),"Plot ID not in Plot &amp; Site Log. ","")&amp;IF($C131="","No plot type — say whether this came from a Medium or a Small plot. ","")&amp;IF(AND($C131="Medium",$D131="tree",$F131=""),"Short-statured tree with no diameter at 0.3 m. ","")&amp;IF(AND($C131="Medium",$D131="shrub",OR($G131="",$H131="",$I131="")),"Shrub needs all three of length, width and height. ","")&amp;IF(AND($C131="Medium",$D131="shrub",$F131&lt;&gt;""),"Diameter entered for a shrub — it is ignored. Crown volume is used instead. ","")&amp;IF(AND($C131="Medium",$E131&lt;&gt;"",$L131=""),"Species not in the coefficient list — use 'all shrubs' if you have no closer match. ","")&amp;IF(AND($C131="Small",$J131=""),"Small-plot row with no clipped dry mass yet. ","")&amp;IF($N131&lt;&gt;"","Above-ground only: no root biomass is included for understory. ",""))</f>
        <v/>
      </c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5"/>
      <c r="K132" s="14" t="str">
        <f aca="false">IF($C132="Small","",IF($D132="tree",IF($F132="","",$F132),IF(OR($G132="",$H132="",$I132=""),"",$G132*$H132*$I132)))</f>
        <v/>
      </c>
      <c r="L132" s="14" t="str">
        <f aca="false">IF($C132="Small","",IFERROR(INDEX('R2. Understory Coefficients'!$E$8:$E$14,MATCH($E132,'R2. Understory Coefficients'!$I$8:$I$14,0)),""))</f>
        <v/>
      </c>
      <c r="M132" s="14" t="str">
        <f aca="false">IF($C132="Small","",IFERROR(INDEX('R2. Understory Coefficients'!$F$8:$F$14,MATCH($E132,'R2. Understory Coefficients'!$I$8:$I$14,0)),""))</f>
        <v/>
      </c>
      <c r="N132" s="14" t="str">
        <f aca="false">IF($C132="Small",IF($J132="","",$J132/1000),IF(OR($K132="",$L132="",$M132=""),"",($L132*($K132^$M132))/1000))</f>
        <v/>
      </c>
      <c r="O132" s="14" t="str">
        <f aca="false">IF($N132="","",$N132*CARBON_FRACTION_BIOMASS)</f>
        <v/>
      </c>
      <c r="P132" s="14" t="str">
        <f aca="false">IF(AND($A132="",$E132="",$J132=""),"",IF(AND($A132&lt;&gt;"",COUNTIF('1. Plot &amp; Site Log'!$A$5:$A$64,$A132)=0),"Plot ID not in Plot &amp; Site Log. ","")&amp;IF($C132="","No plot type — say whether this came from a Medium or a Small plot. ","")&amp;IF(AND($C132="Medium",$D132="tree",$F132=""),"Short-statured tree with no diameter at 0.3 m. ","")&amp;IF(AND($C132="Medium",$D132="shrub",OR($G132="",$H132="",$I132="")),"Shrub needs all three of length, width and height. ","")&amp;IF(AND($C132="Medium",$D132="shrub",$F132&lt;&gt;""),"Diameter entered for a shrub — it is ignored. Crown volume is used instead. ","")&amp;IF(AND($C132="Medium",$E132&lt;&gt;"",$L132=""),"Species not in the coefficient list — use 'all shrubs' if you have no closer match. ","")&amp;IF(AND($C132="Small",$J132=""),"Small-plot row with no clipped dry mass yet. ","")&amp;IF($N132&lt;&gt;"","Above-ground only: no root biomass is included for understory. ",""))</f>
        <v/>
      </c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5"/>
      <c r="K133" s="14" t="str">
        <f aca="false">IF($C133="Small","",IF($D133="tree",IF($F133="","",$F133),IF(OR($G133="",$H133="",$I133=""),"",$G133*$H133*$I133)))</f>
        <v/>
      </c>
      <c r="L133" s="14" t="str">
        <f aca="false">IF($C133="Small","",IFERROR(INDEX('R2. Understory Coefficients'!$E$8:$E$14,MATCH($E133,'R2. Understory Coefficients'!$I$8:$I$14,0)),""))</f>
        <v/>
      </c>
      <c r="M133" s="14" t="str">
        <f aca="false">IF($C133="Small","",IFERROR(INDEX('R2. Understory Coefficients'!$F$8:$F$14,MATCH($E133,'R2. Understory Coefficients'!$I$8:$I$14,0)),""))</f>
        <v/>
      </c>
      <c r="N133" s="14" t="str">
        <f aca="false">IF($C133="Small",IF($J133="","",$J133/1000),IF(OR($K133="",$L133="",$M133=""),"",($L133*($K133^$M133))/1000))</f>
        <v/>
      </c>
      <c r="O133" s="14" t="str">
        <f aca="false">IF($N133="","",$N133*CARBON_FRACTION_BIOMASS)</f>
        <v/>
      </c>
      <c r="P133" s="14" t="str">
        <f aca="false">IF(AND($A133="",$E133="",$J133=""),"",IF(AND($A133&lt;&gt;"",COUNTIF('1. Plot &amp; Site Log'!$A$5:$A$64,$A133)=0),"Plot ID not in Plot &amp; Site Log. ","")&amp;IF($C133="","No plot type — say whether this came from a Medium or a Small plot. ","")&amp;IF(AND($C133="Medium",$D133="tree",$F133=""),"Short-statured tree with no diameter at 0.3 m. ","")&amp;IF(AND($C133="Medium",$D133="shrub",OR($G133="",$H133="",$I133="")),"Shrub needs all three of length, width and height. ","")&amp;IF(AND($C133="Medium",$D133="shrub",$F133&lt;&gt;""),"Diameter entered for a shrub — it is ignored. Crown volume is used instead. ","")&amp;IF(AND($C133="Medium",$E133&lt;&gt;"",$L133=""),"Species not in the coefficient list — use 'all shrubs' if you have no closer match. ","")&amp;IF(AND($C133="Small",$J133=""),"Small-plot row with no clipped dry mass yet. ","")&amp;IF($N133&lt;&gt;"","Above-ground only: no root biomass is included for understory. ",""))</f>
        <v/>
      </c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5"/>
      <c r="K134" s="14" t="str">
        <f aca="false">IF($C134="Small","",IF($D134="tree",IF($F134="","",$F134),IF(OR($G134="",$H134="",$I134=""),"",$G134*$H134*$I134)))</f>
        <v/>
      </c>
      <c r="L134" s="14" t="str">
        <f aca="false">IF($C134="Small","",IFERROR(INDEX('R2. Understory Coefficients'!$E$8:$E$14,MATCH($E134,'R2. Understory Coefficients'!$I$8:$I$14,0)),""))</f>
        <v/>
      </c>
      <c r="M134" s="14" t="str">
        <f aca="false">IF($C134="Small","",IFERROR(INDEX('R2. Understory Coefficients'!$F$8:$F$14,MATCH($E134,'R2. Understory Coefficients'!$I$8:$I$14,0)),""))</f>
        <v/>
      </c>
      <c r="N134" s="14" t="str">
        <f aca="false">IF($C134="Small",IF($J134="","",$J134/1000),IF(OR($K134="",$L134="",$M134=""),"",($L134*($K134^$M134))/1000))</f>
        <v/>
      </c>
      <c r="O134" s="14" t="str">
        <f aca="false">IF($N134="","",$N134*CARBON_FRACTION_BIOMASS)</f>
        <v/>
      </c>
      <c r="P134" s="14" t="str">
        <f aca="false">IF(AND($A134="",$E134="",$J134=""),"",IF(AND($A134&lt;&gt;"",COUNTIF('1. Plot &amp; Site Log'!$A$5:$A$64,$A134)=0),"Plot ID not in Plot &amp; Site Log. ","")&amp;IF($C134="","No plot type — say whether this came from a Medium or a Small plot. ","")&amp;IF(AND($C134="Medium",$D134="tree",$F134=""),"Short-statured tree with no diameter at 0.3 m. ","")&amp;IF(AND($C134="Medium",$D134="shrub",OR($G134="",$H134="",$I134="")),"Shrub needs all three of length, width and height. ","")&amp;IF(AND($C134="Medium",$D134="shrub",$F134&lt;&gt;""),"Diameter entered for a shrub — it is ignored. Crown volume is used instead. ","")&amp;IF(AND($C134="Medium",$E134&lt;&gt;"",$L134=""),"Species not in the coefficient list — use 'all shrubs' if you have no closer match. ","")&amp;IF(AND($C134="Small",$J134=""),"Small-plot row with no clipped dry mass yet. ","")&amp;IF($N134&lt;&gt;"","Above-ground only: no root biomass is included for understory. ",""))</f>
        <v/>
      </c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5"/>
      <c r="K135" s="14" t="str">
        <f aca="false">IF($C135="Small","",IF($D135="tree",IF($F135="","",$F135),IF(OR($G135="",$H135="",$I135=""),"",$G135*$H135*$I135)))</f>
        <v/>
      </c>
      <c r="L135" s="14" t="str">
        <f aca="false">IF($C135="Small","",IFERROR(INDEX('R2. Understory Coefficients'!$E$8:$E$14,MATCH($E135,'R2. Understory Coefficients'!$I$8:$I$14,0)),""))</f>
        <v/>
      </c>
      <c r="M135" s="14" t="str">
        <f aca="false">IF($C135="Small","",IFERROR(INDEX('R2. Understory Coefficients'!$F$8:$F$14,MATCH($E135,'R2. Understory Coefficients'!$I$8:$I$14,0)),""))</f>
        <v/>
      </c>
      <c r="N135" s="14" t="str">
        <f aca="false">IF($C135="Small",IF($J135="","",$J135/1000),IF(OR($K135="",$L135="",$M135=""),"",($L135*($K135^$M135))/1000))</f>
        <v/>
      </c>
      <c r="O135" s="14" t="str">
        <f aca="false">IF($N135="","",$N135*CARBON_FRACTION_BIOMASS)</f>
        <v/>
      </c>
      <c r="P135" s="14" t="str">
        <f aca="false">IF(AND($A135="",$E135="",$J135=""),"",IF(AND($A135&lt;&gt;"",COUNTIF('1. Plot &amp; Site Log'!$A$5:$A$64,$A135)=0),"Plot ID not in Plot &amp; Site Log. ","")&amp;IF($C135="","No plot type — say whether this came from a Medium or a Small plot. ","")&amp;IF(AND($C135="Medium",$D135="tree",$F135=""),"Short-statured tree with no diameter at 0.3 m. ","")&amp;IF(AND($C135="Medium",$D135="shrub",OR($G135="",$H135="",$I135="")),"Shrub needs all three of length, width and height. ","")&amp;IF(AND($C135="Medium",$D135="shrub",$F135&lt;&gt;""),"Diameter entered for a shrub — it is ignored. Crown volume is used instead. ","")&amp;IF(AND($C135="Medium",$E135&lt;&gt;"",$L135=""),"Species not in the coefficient list — use 'all shrubs' if you have no closer match. ","")&amp;IF(AND($C135="Small",$J135=""),"Small-plot row with no clipped dry mass yet. ","")&amp;IF($N135&lt;&gt;"","Above-ground only: no root biomass is included for understory. ",""))</f>
        <v/>
      </c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5"/>
      <c r="K136" s="14" t="str">
        <f aca="false">IF($C136="Small","",IF($D136="tree",IF($F136="","",$F136),IF(OR($G136="",$H136="",$I136=""),"",$G136*$H136*$I136)))</f>
        <v/>
      </c>
      <c r="L136" s="14" t="str">
        <f aca="false">IF($C136="Small","",IFERROR(INDEX('R2. Understory Coefficients'!$E$8:$E$14,MATCH($E136,'R2. Understory Coefficients'!$I$8:$I$14,0)),""))</f>
        <v/>
      </c>
      <c r="M136" s="14" t="str">
        <f aca="false">IF($C136="Small","",IFERROR(INDEX('R2. Understory Coefficients'!$F$8:$F$14,MATCH($E136,'R2. Understory Coefficients'!$I$8:$I$14,0)),""))</f>
        <v/>
      </c>
      <c r="N136" s="14" t="str">
        <f aca="false">IF($C136="Small",IF($J136="","",$J136/1000),IF(OR($K136="",$L136="",$M136=""),"",($L136*($K136^$M136))/1000))</f>
        <v/>
      </c>
      <c r="O136" s="14" t="str">
        <f aca="false">IF($N136="","",$N136*CARBON_FRACTION_BIOMASS)</f>
        <v/>
      </c>
      <c r="P136" s="14" t="str">
        <f aca="false">IF(AND($A136="",$E136="",$J136=""),"",IF(AND($A136&lt;&gt;"",COUNTIF('1. Plot &amp; Site Log'!$A$5:$A$64,$A136)=0),"Plot ID not in Plot &amp; Site Log. ","")&amp;IF($C136="","No plot type — say whether this came from a Medium or a Small plot. ","")&amp;IF(AND($C136="Medium",$D136="tree",$F136=""),"Short-statured tree with no diameter at 0.3 m. ","")&amp;IF(AND($C136="Medium",$D136="shrub",OR($G136="",$H136="",$I136="")),"Shrub needs all three of length, width and height. ","")&amp;IF(AND($C136="Medium",$D136="shrub",$F136&lt;&gt;""),"Diameter entered for a shrub — it is ignored. Crown volume is used instead. ","")&amp;IF(AND($C136="Medium",$E136&lt;&gt;"",$L136=""),"Species not in the coefficient list — use 'all shrubs' if you have no closer match. ","")&amp;IF(AND($C136="Small",$J136=""),"Small-plot row with no clipped dry mass yet. ","")&amp;IF($N136&lt;&gt;"","Above-ground only: no root biomass is included for understory. ",""))</f>
        <v/>
      </c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5"/>
      <c r="K137" s="14" t="str">
        <f aca="false">IF($C137="Small","",IF($D137="tree",IF($F137="","",$F137),IF(OR($G137="",$H137="",$I137=""),"",$G137*$H137*$I137)))</f>
        <v/>
      </c>
      <c r="L137" s="14" t="str">
        <f aca="false">IF($C137="Small","",IFERROR(INDEX('R2. Understory Coefficients'!$E$8:$E$14,MATCH($E137,'R2. Understory Coefficients'!$I$8:$I$14,0)),""))</f>
        <v/>
      </c>
      <c r="M137" s="14" t="str">
        <f aca="false">IF($C137="Small","",IFERROR(INDEX('R2. Understory Coefficients'!$F$8:$F$14,MATCH($E137,'R2. Understory Coefficients'!$I$8:$I$14,0)),""))</f>
        <v/>
      </c>
      <c r="N137" s="14" t="str">
        <f aca="false">IF($C137="Small",IF($J137="","",$J137/1000),IF(OR($K137="",$L137="",$M137=""),"",($L137*($K137^$M137))/1000))</f>
        <v/>
      </c>
      <c r="O137" s="14" t="str">
        <f aca="false">IF($N137="","",$N137*CARBON_FRACTION_BIOMASS)</f>
        <v/>
      </c>
      <c r="P137" s="14" t="str">
        <f aca="false">IF(AND($A137="",$E137="",$J137=""),"",IF(AND($A137&lt;&gt;"",COUNTIF('1. Plot &amp; Site Log'!$A$5:$A$64,$A137)=0),"Plot ID not in Plot &amp; Site Log. ","")&amp;IF($C137="","No plot type — say whether this came from a Medium or a Small plot. ","")&amp;IF(AND($C137="Medium",$D137="tree",$F137=""),"Short-statured tree with no diameter at 0.3 m. ","")&amp;IF(AND($C137="Medium",$D137="shrub",OR($G137="",$H137="",$I137="")),"Shrub needs all three of length, width and height. ","")&amp;IF(AND($C137="Medium",$D137="shrub",$F137&lt;&gt;""),"Diameter entered for a shrub — it is ignored. Crown volume is used instead. ","")&amp;IF(AND($C137="Medium",$E137&lt;&gt;"",$L137=""),"Species not in the coefficient list — use 'all shrubs' if you have no closer match. ","")&amp;IF(AND($C137="Small",$J137=""),"Small-plot row with no clipped dry mass yet. ","")&amp;IF($N137&lt;&gt;"","Above-ground only: no root biomass is included for understory. ",""))</f>
        <v/>
      </c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5"/>
      <c r="K138" s="14" t="str">
        <f aca="false">IF($C138="Small","",IF($D138="tree",IF($F138="","",$F138),IF(OR($G138="",$H138="",$I138=""),"",$G138*$H138*$I138)))</f>
        <v/>
      </c>
      <c r="L138" s="14" t="str">
        <f aca="false">IF($C138="Small","",IFERROR(INDEX('R2. Understory Coefficients'!$E$8:$E$14,MATCH($E138,'R2. Understory Coefficients'!$I$8:$I$14,0)),""))</f>
        <v/>
      </c>
      <c r="M138" s="14" t="str">
        <f aca="false">IF($C138="Small","",IFERROR(INDEX('R2. Understory Coefficients'!$F$8:$F$14,MATCH($E138,'R2. Understory Coefficients'!$I$8:$I$14,0)),""))</f>
        <v/>
      </c>
      <c r="N138" s="14" t="str">
        <f aca="false">IF($C138="Small",IF($J138="","",$J138/1000),IF(OR($K138="",$L138="",$M138=""),"",($L138*($K138^$M138))/1000))</f>
        <v/>
      </c>
      <c r="O138" s="14" t="str">
        <f aca="false">IF($N138="","",$N138*CARBON_FRACTION_BIOMASS)</f>
        <v/>
      </c>
      <c r="P138" s="14" t="str">
        <f aca="false">IF(AND($A138="",$E138="",$J138=""),"",IF(AND($A138&lt;&gt;"",COUNTIF('1. Plot &amp; Site Log'!$A$5:$A$64,$A138)=0),"Plot ID not in Plot &amp; Site Log. ","")&amp;IF($C138="","No plot type — say whether this came from a Medium or a Small plot. ","")&amp;IF(AND($C138="Medium",$D138="tree",$F138=""),"Short-statured tree with no diameter at 0.3 m. ","")&amp;IF(AND($C138="Medium",$D138="shrub",OR($G138="",$H138="",$I138="")),"Shrub needs all three of length, width and height. ","")&amp;IF(AND($C138="Medium",$D138="shrub",$F138&lt;&gt;""),"Diameter entered for a shrub — it is ignored. Crown volume is used instead. ","")&amp;IF(AND($C138="Medium",$E138&lt;&gt;"",$L138=""),"Species not in the coefficient list — use 'all shrubs' if you have no closer match. ","")&amp;IF(AND($C138="Small",$J138=""),"Small-plot row with no clipped dry mass yet. ","")&amp;IF($N138&lt;&gt;"","Above-ground only: no root biomass is included for understory. ",""))</f>
        <v/>
      </c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5"/>
      <c r="K139" s="14" t="str">
        <f aca="false">IF($C139="Small","",IF($D139="tree",IF($F139="","",$F139),IF(OR($G139="",$H139="",$I139=""),"",$G139*$H139*$I139)))</f>
        <v/>
      </c>
      <c r="L139" s="14" t="str">
        <f aca="false">IF($C139="Small","",IFERROR(INDEX('R2. Understory Coefficients'!$E$8:$E$14,MATCH($E139,'R2. Understory Coefficients'!$I$8:$I$14,0)),""))</f>
        <v/>
      </c>
      <c r="M139" s="14" t="str">
        <f aca="false">IF($C139="Small","",IFERROR(INDEX('R2. Understory Coefficients'!$F$8:$F$14,MATCH($E139,'R2. Understory Coefficients'!$I$8:$I$14,0)),""))</f>
        <v/>
      </c>
      <c r="N139" s="14" t="str">
        <f aca="false">IF($C139="Small",IF($J139="","",$J139/1000),IF(OR($K139="",$L139="",$M139=""),"",($L139*($K139^$M139))/1000))</f>
        <v/>
      </c>
      <c r="O139" s="14" t="str">
        <f aca="false">IF($N139="","",$N139*CARBON_FRACTION_BIOMASS)</f>
        <v/>
      </c>
      <c r="P139" s="14" t="str">
        <f aca="false">IF(AND($A139="",$E139="",$J139=""),"",IF(AND($A139&lt;&gt;"",COUNTIF('1. Plot &amp; Site Log'!$A$5:$A$64,$A139)=0),"Plot ID not in Plot &amp; Site Log. ","")&amp;IF($C139="","No plot type — say whether this came from a Medium or a Small plot. ","")&amp;IF(AND($C139="Medium",$D139="tree",$F139=""),"Short-statured tree with no diameter at 0.3 m. ","")&amp;IF(AND($C139="Medium",$D139="shrub",OR($G139="",$H139="",$I139="")),"Shrub needs all three of length, width and height. ","")&amp;IF(AND($C139="Medium",$D139="shrub",$F139&lt;&gt;""),"Diameter entered for a shrub — it is ignored. Crown volume is used instead. ","")&amp;IF(AND($C139="Medium",$E139&lt;&gt;"",$L139=""),"Species not in the coefficient list — use 'all shrubs' if you have no closer match. ","")&amp;IF(AND($C139="Small",$J139=""),"Small-plot row with no clipped dry mass yet. ","")&amp;IF($N139&lt;&gt;"","Above-ground only: no root biomass is included for understory. ",""))</f>
        <v/>
      </c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5"/>
      <c r="K140" s="14" t="str">
        <f aca="false">IF($C140="Small","",IF($D140="tree",IF($F140="","",$F140),IF(OR($G140="",$H140="",$I140=""),"",$G140*$H140*$I140)))</f>
        <v/>
      </c>
      <c r="L140" s="14" t="str">
        <f aca="false">IF($C140="Small","",IFERROR(INDEX('R2. Understory Coefficients'!$E$8:$E$14,MATCH($E140,'R2. Understory Coefficients'!$I$8:$I$14,0)),""))</f>
        <v/>
      </c>
      <c r="M140" s="14" t="str">
        <f aca="false">IF($C140="Small","",IFERROR(INDEX('R2. Understory Coefficients'!$F$8:$F$14,MATCH($E140,'R2. Understory Coefficients'!$I$8:$I$14,0)),""))</f>
        <v/>
      </c>
      <c r="N140" s="14" t="str">
        <f aca="false">IF($C140="Small",IF($J140="","",$J140/1000),IF(OR($K140="",$L140="",$M140=""),"",($L140*($K140^$M140))/1000))</f>
        <v/>
      </c>
      <c r="O140" s="14" t="str">
        <f aca="false">IF($N140="","",$N140*CARBON_FRACTION_BIOMASS)</f>
        <v/>
      </c>
      <c r="P140" s="14" t="str">
        <f aca="false">IF(AND($A140="",$E140="",$J140=""),"",IF(AND($A140&lt;&gt;"",COUNTIF('1. Plot &amp; Site Log'!$A$5:$A$64,$A140)=0),"Plot ID not in Plot &amp; Site Log. ","")&amp;IF($C140="","No plot type — say whether this came from a Medium or a Small plot. ","")&amp;IF(AND($C140="Medium",$D140="tree",$F140=""),"Short-statured tree with no diameter at 0.3 m. ","")&amp;IF(AND($C140="Medium",$D140="shrub",OR($G140="",$H140="",$I140="")),"Shrub needs all three of length, width and height. ","")&amp;IF(AND($C140="Medium",$D140="shrub",$F140&lt;&gt;""),"Diameter entered for a shrub — it is ignored. Crown volume is used instead. ","")&amp;IF(AND($C140="Medium",$E140&lt;&gt;"",$L140=""),"Species not in the coefficient list — use 'all shrubs' if you have no closer match. ","")&amp;IF(AND($C140="Small",$J140=""),"Small-plot row with no clipped dry mass yet. ","")&amp;IF($N140&lt;&gt;"","Above-ground only: no root biomass is included for understory. ",""))</f>
        <v/>
      </c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5"/>
      <c r="K141" s="14" t="str">
        <f aca="false">IF($C141="Small","",IF($D141="tree",IF($F141="","",$F141),IF(OR($G141="",$H141="",$I141=""),"",$G141*$H141*$I141)))</f>
        <v/>
      </c>
      <c r="L141" s="14" t="str">
        <f aca="false">IF($C141="Small","",IFERROR(INDEX('R2. Understory Coefficients'!$E$8:$E$14,MATCH($E141,'R2. Understory Coefficients'!$I$8:$I$14,0)),""))</f>
        <v/>
      </c>
      <c r="M141" s="14" t="str">
        <f aca="false">IF($C141="Small","",IFERROR(INDEX('R2. Understory Coefficients'!$F$8:$F$14,MATCH($E141,'R2. Understory Coefficients'!$I$8:$I$14,0)),""))</f>
        <v/>
      </c>
      <c r="N141" s="14" t="str">
        <f aca="false">IF($C141="Small",IF($J141="","",$J141/1000),IF(OR($K141="",$L141="",$M141=""),"",($L141*($K141^$M141))/1000))</f>
        <v/>
      </c>
      <c r="O141" s="14" t="str">
        <f aca="false">IF($N141="","",$N141*CARBON_FRACTION_BIOMASS)</f>
        <v/>
      </c>
      <c r="P141" s="14" t="str">
        <f aca="false">IF(AND($A141="",$E141="",$J141=""),"",IF(AND($A141&lt;&gt;"",COUNTIF('1. Plot &amp; Site Log'!$A$5:$A$64,$A141)=0),"Plot ID not in Plot &amp; Site Log. ","")&amp;IF($C141="","No plot type — say whether this came from a Medium or a Small plot. ","")&amp;IF(AND($C141="Medium",$D141="tree",$F141=""),"Short-statured tree with no diameter at 0.3 m. ","")&amp;IF(AND($C141="Medium",$D141="shrub",OR($G141="",$H141="",$I141="")),"Shrub needs all three of length, width and height. ","")&amp;IF(AND($C141="Medium",$D141="shrub",$F141&lt;&gt;""),"Diameter entered for a shrub — it is ignored. Crown volume is used instead. ","")&amp;IF(AND($C141="Medium",$E141&lt;&gt;"",$L141=""),"Species not in the coefficient list — use 'all shrubs' if you have no closer match. ","")&amp;IF(AND($C141="Small",$J141=""),"Small-plot row with no clipped dry mass yet. ","")&amp;IF($N141&lt;&gt;"","Above-ground only: no root biomass is included for understory. ",""))</f>
        <v/>
      </c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5"/>
      <c r="K142" s="14" t="str">
        <f aca="false">IF($C142="Small","",IF($D142="tree",IF($F142="","",$F142),IF(OR($G142="",$H142="",$I142=""),"",$G142*$H142*$I142)))</f>
        <v/>
      </c>
      <c r="L142" s="14" t="str">
        <f aca="false">IF($C142="Small","",IFERROR(INDEX('R2. Understory Coefficients'!$E$8:$E$14,MATCH($E142,'R2. Understory Coefficients'!$I$8:$I$14,0)),""))</f>
        <v/>
      </c>
      <c r="M142" s="14" t="str">
        <f aca="false">IF($C142="Small","",IFERROR(INDEX('R2. Understory Coefficients'!$F$8:$F$14,MATCH($E142,'R2. Understory Coefficients'!$I$8:$I$14,0)),""))</f>
        <v/>
      </c>
      <c r="N142" s="14" t="str">
        <f aca="false">IF($C142="Small",IF($J142="","",$J142/1000),IF(OR($K142="",$L142="",$M142=""),"",($L142*($K142^$M142))/1000))</f>
        <v/>
      </c>
      <c r="O142" s="14" t="str">
        <f aca="false">IF($N142="","",$N142*CARBON_FRACTION_BIOMASS)</f>
        <v/>
      </c>
      <c r="P142" s="14" t="str">
        <f aca="false">IF(AND($A142="",$E142="",$J142=""),"",IF(AND($A142&lt;&gt;"",COUNTIF('1. Plot &amp; Site Log'!$A$5:$A$64,$A142)=0),"Plot ID not in Plot &amp; Site Log. ","")&amp;IF($C142="","No plot type — say whether this came from a Medium or a Small plot. ","")&amp;IF(AND($C142="Medium",$D142="tree",$F142=""),"Short-statured tree with no diameter at 0.3 m. ","")&amp;IF(AND($C142="Medium",$D142="shrub",OR($G142="",$H142="",$I142="")),"Shrub needs all three of length, width and height. ","")&amp;IF(AND($C142="Medium",$D142="shrub",$F142&lt;&gt;""),"Diameter entered for a shrub — it is ignored. Crown volume is used instead. ","")&amp;IF(AND($C142="Medium",$E142&lt;&gt;"",$L142=""),"Species not in the coefficient list — use 'all shrubs' if you have no closer match. ","")&amp;IF(AND($C142="Small",$J142=""),"Small-plot row with no clipped dry mass yet. ","")&amp;IF($N142&lt;&gt;"","Above-ground only: no root biomass is included for understory. ",""))</f>
        <v/>
      </c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5"/>
      <c r="K143" s="14" t="str">
        <f aca="false">IF($C143="Small","",IF($D143="tree",IF($F143="","",$F143),IF(OR($G143="",$H143="",$I143=""),"",$G143*$H143*$I143)))</f>
        <v/>
      </c>
      <c r="L143" s="14" t="str">
        <f aca="false">IF($C143="Small","",IFERROR(INDEX('R2. Understory Coefficients'!$E$8:$E$14,MATCH($E143,'R2. Understory Coefficients'!$I$8:$I$14,0)),""))</f>
        <v/>
      </c>
      <c r="M143" s="14" t="str">
        <f aca="false">IF($C143="Small","",IFERROR(INDEX('R2. Understory Coefficients'!$F$8:$F$14,MATCH($E143,'R2. Understory Coefficients'!$I$8:$I$14,0)),""))</f>
        <v/>
      </c>
      <c r="N143" s="14" t="str">
        <f aca="false">IF($C143="Small",IF($J143="","",$J143/1000),IF(OR($K143="",$L143="",$M143=""),"",($L143*($K143^$M143))/1000))</f>
        <v/>
      </c>
      <c r="O143" s="14" t="str">
        <f aca="false">IF($N143="","",$N143*CARBON_FRACTION_BIOMASS)</f>
        <v/>
      </c>
      <c r="P143" s="14" t="str">
        <f aca="false">IF(AND($A143="",$E143="",$J143=""),"",IF(AND($A143&lt;&gt;"",COUNTIF('1. Plot &amp; Site Log'!$A$5:$A$64,$A143)=0),"Plot ID not in Plot &amp; Site Log. ","")&amp;IF($C143="","No plot type — say whether this came from a Medium or a Small plot. ","")&amp;IF(AND($C143="Medium",$D143="tree",$F143=""),"Short-statured tree with no diameter at 0.3 m. ","")&amp;IF(AND($C143="Medium",$D143="shrub",OR($G143="",$H143="",$I143="")),"Shrub needs all three of length, width and height. ","")&amp;IF(AND($C143="Medium",$D143="shrub",$F143&lt;&gt;""),"Diameter entered for a shrub — it is ignored. Crown volume is used instead. ","")&amp;IF(AND($C143="Medium",$E143&lt;&gt;"",$L143=""),"Species not in the coefficient list — use 'all shrubs' if you have no closer match. ","")&amp;IF(AND($C143="Small",$J143=""),"Small-plot row with no clipped dry mass yet. ","")&amp;IF($N143&lt;&gt;"","Above-ground only: no root biomass is included for understory. ",""))</f>
        <v/>
      </c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5"/>
      <c r="K144" s="14" t="str">
        <f aca="false">IF($C144="Small","",IF($D144="tree",IF($F144="","",$F144),IF(OR($G144="",$H144="",$I144=""),"",$G144*$H144*$I144)))</f>
        <v/>
      </c>
      <c r="L144" s="14" t="str">
        <f aca="false">IF($C144="Small","",IFERROR(INDEX('R2. Understory Coefficients'!$E$8:$E$14,MATCH($E144,'R2. Understory Coefficients'!$I$8:$I$14,0)),""))</f>
        <v/>
      </c>
      <c r="M144" s="14" t="str">
        <f aca="false">IF($C144="Small","",IFERROR(INDEX('R2. Understory Coefficients'!$F$8:$F$14,MATCH($E144,'R2. Understory Coefficients'!$I$8:$I$14,0)),""))</f>
        <v/>
      </c>
      <c r="N144" s="14" t="str">
        <f aca="false">IF($C144="Small",IF($J144="","",$J144/1000),IF(OR($K144="",$L144="",$M144=""),"",($L144*($K144^$M144))/1000))</f>
        <v/>
      </c>
      <c r="O144" s="14" t="str">
        <f aca="false">IF($N144="","",$N144*CARBON_FRACTION_BIOMASS)</f>
        <v/>
      </c>
      <c r="P144" s="14" t="str">
        <f aca="false">IF(AND($A144="",$E144="",$J144=""),"",IF(AND($A144&lt;&gt;"",COUNTIF('1. Plot &amp; Site Log'!$A$5:$A$64,$A144)=0),"Plot ID not in Plot &amp; Site Log. ","")&amp;IF($C144="","No plot type — say whether this came from a Medium or a Small plot. ","")&amp;IF(AND($C144="Medium",$D144="tree",$F144=""),"Short-statured tree with no diameter at 0.3 m. ","")&amp;IF(AND($C144="Medium",$D144="shrub",OR($G144="",$H144="",$I144="")),"Shrub needs all three of length, width and height. ","")&amp;IF(AND($C144="Medium",$D144="shrub",$F144&lt;&gt;""),"Diameter entered for a shrub — it is ignored. Crown volume is used instead. ","")&amp;IF(AND($C144="Medium",$E144&lt;&gt;"",$L144=""),"Species not in the coefficient list — use 'all shrubs' if you have no closer match. ","")&amp;IF(AND($C144="Small",$J144=""),"Small-plot row with no clipped dry mass yet. ","")&amp;IF($N144&lt;&gt;"","Above-ground only: no root biomass is included for understory. ",""))</f>
        <v/>
      </c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5"/>
      <c r="K145" s="14" t="str">
        <f aca="false">IF($C145="Small","",IF($D145="tree",IF($F145="","",$F145),IF(OR($G145="",$H145="",$I145=""),"",$G145*$H145*$I145)))</f>
        <v/>
      </c>
      <c r="L145" s="14" t="str">
        <f aca="false">IF($C145="Small","",IFERROR(INDEX('R2. Understory Coefficients'!$E$8:$E$14,MATCH($E145,'R2. Understory Coefficients'!$I$8:$I$14,0)),""))</f>
        <v/>
      </c>
      <c r="M145" s="14" t="str">
        <f aca="false">IF($C145="Small","",IFERROR(INDEX('R2. Understory Coefficients'!$F$8:$F$14,MATCH($E145,'R2. Understory Coefficients'!$I$8:$I$14,0)),""))</f>
        <v/>
      </c>
      <c r="N145" s="14" t="str">
        <f aca="false">IF($C145="Small",IF($J145="","",$J145/1000),IF(OR($K145="",$L145="",$M145=""),"",($L145*($K145^$M145))/1000))</f>
        <v/>
      </c>
      <c r="O145" s="14" t="str">
        <f aca="false">IF($N145="","",$N145*CARBON_FRACTION_BIOMASS)</f>
        <v/>
      </c>
      <c r="P145" s="14" t="str">
        <f aca="false">IF(AND($A145="",$E145="",$J145=""),"",IF(AND($A145&lt;&gt;"",COUNTIF('1. Plot &amp; Site Log'!$A$5:$A$64,$A145)=0),"Plot ID not in Plot &amp; Site Log. ","")&amp;IF($C145="","No plot type — say whether this came from a Medium or a Small plot. ","")&amp;IF(AND($C145="Medium",$D145="tree",$F145=""),"Short-statured tree with no diameter at 0.3 m. ","")&amp;IF(AND($C145="Medium",$D145="shrub",OR($G145="",$H145="",$I145="")),"Shrub needs all three of length, width and height. ","")&amp;IF(AND($C145="Medium",$D145="shrub",$F145&lt;&gt;""),"Diameter entered for a shrub — it is ignored. Crown volume is used instead. ","")&amp;IF(AND($C145="Medium",$E145&lt;&gt;"",$L145=""),"Species not in the coefficient list — use 'all shrubs' if you have no closer match. ","")&amp;IF(AND($C145="Small",$J145=""),"Small-plot row with no clipped dry mass yet. ","")&amp;IF($N145&lt;&gt;"","Above-ground only: no root biomass is included for understory. ",""))</f>
        <v/>
      </c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5"/>
      <c r="K146" s="14" t="str">
        <f aca="false">IF($C146="Small","",IF($D146="tree",IF($F146="","",$F146),IF(OR($G146="",$H146="",$I146=""),"",$G146*$H146*$I146)))</f>
        <v/>
      </c>
      <c r="L146" s="14" t="str">
        <f aca="false">IF($C146="Small","",IFERROR(INDEX('R2. Understory Coefficients'!$E$8:$E$14,MATCH($E146,'R2. Understory Coefficients'!$I$8:$I$14,0)),""))</f>
        <v/>
      </c>
      <c r="M146" s="14" t="str">
        <f aca="false">IF($C146="Small","",IFERROR(INDEX('R2. Understory Coefficients'!$F$8:$F$14,MATCH($E146,'R2. Understory Coefficients'!$I$8:$I$14,0)),""))</f>
        <v/>
      </c>
      <c r="N146" s="14" t="str">
        <f aca="false">IF($C146="Small",IF($J146="","",$J146/1000),IF(OR($K146="",$L146="",$M146=""),"",($L146*($K146^$M146))/1000))</f>
        <v/>
      </c>
      <c r="O146" s="14" t="str">
        <f aca="false">IF($N146="","",$N146*CARBON_FRACTION_BIOMASS)</f>
        <v/>
      </c>
      <c r="P146" s="14" t="str">
        <f aca="false">IF(AND($A146="",$E146="",$J146=""),"",IF(AND($A146&lt;&gt;"",COUNTIF('1. Plot &amp; Site Log'!$A$5:$A$64,$A146)=0),"Plot ID not in Plot &amp; Site Log. ","")&amp;IF($C146="","No plot type — say whether this came from a Medium or a Small plot. ","")&amp;IF(AND($C146="Medium",$D146="tree",$F146=""),"Short-statured tree with no diameter at 0.3 m. ","")&amp;IF(AND($C146="Medium",$D146="shrub",OR($G146="",$H146="",$I146="")),"Shrub needs all three of length, width and height. ","")&amp;IF(AND($C146="Medium",$D146="shrub",$F146&lt;&gt;""),"Diameter entered for a shrub — it is ignored. Crown volume is used instead. ","")&amp;IF(AND($C146="Medium",$E146&lt;&gt;"",$L146=""),"Species not in the coefficient list — use 'all shrubs' if you have no closer match. ","")&amp;IF(AND($C146="Small",$J146=""),"Small-plot row with no clipped dry mass yet. ","")&amp;IF($N146&lt;&gt;"","Above-ground only: no root biomass is included for understory. ",""))</f>
        <v/>
      </c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5"/>
      <c r="K147" s="14" t="str">
        <f aca="false">IF($C147="Small","",IF($D147="tree",IF($F147="","",$F147),IF(OR($G147="",$H147="",$I147=""),"",$G147*$H147*$I147)))</f>
        <v/>
      </c>
      <c r="L147" s="14" t="str">
        <f aca="false">IF($C147="Small","",IFERROR(INDEX('R2. Understory Coefficients'!$E$8:$E$14,MATCH($E147,'R2. Understory Coefficients'!$I$8:$I$14,0)),""))</f>
        <v/>
      </c>
      <c r="M147" s="14" t="str">
        <f aca="false">IF($C147="Small","",IFERROR(INDEX('R2. Understory Coefficients'!$F$8:$F$14,MATCH($E147,'R2. Understory Coefficients'!$I$8:$I$14,0)),""))</f>
        <v/>
      </c>
      <c r="N147" s="14" t="str">
        <f aca="false">IF($C147="Small",IF($J147="","",$J147/1000),IF(OR($K147="",$L147="",$M147=""),"",($L147*($K147^$M147))/1000))</f>
        <v/>
      </c>
      <c r="O147" s="14" t="str">
        <f aca="false">IF($N147="","",$N147*CARBON_FRACTION_BIOMASS)</f>
        <v/>
      </c>
      <c r="P147" s="14" t="str">
        <f aca="false">IF(AND($A147="",$E147="",$J147=""),"",IF(AND($A147&lt;&gt;"",COUNTIF('1. Plot &amp; Site Log'!$A$5:$A$64,$A147)=0),"Plot ID not in Plot &amp; Site Log. ","")&amp;IF($C147="","No plot type — say whether this came from a Medium or a Small plot. ","")&amp;IF(AND($C147="Medium",$D147="tree",$F147=""),"Short-statured tree with no diameter at 0.3 m. ","")&amp;IF(AND($C147="Medium",$D147="shrub",OR($G147="",$H147="",$I147="")),"Shrub needs all three of length, width and height. ","")&amp;IF(AND($C147="Medium",$D147="shrub",$F147&lt;&gt;""),"Diameter entered for a shrub — it is ignored. Crown volume is used instead. ","")&amp;IF(AND($C147="Medium",$E147&lt;&gt;"",$L147=""),"Species not in the coefficient list — use 'all shrubs' if you have no closer match. ","")&amp;IF(AND($C147="Small",$J147=""),"Small-plot row with no clipped dry mass yet. ","")&amp;IF($N147&lt;&gt;"","Above-ground only: no root biomass is included for understory. ",""))</f>
        <v/>
      </c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5"/>
      <c r="K148" s="14" t="str">
        <f aca="false">IF($C148="Small","",IF($D148="tree",IF($F148="","",$F148),IF(OR($G148="",$H148="",$I148=""),"",$G148*$H148*$I148)))</f>
        <v/>
      </c>
      <c r="L148" s="14" t="str">
        <f aca="false">IF($C148="Small","",IFERROR(INDEX('R2. Understory Coefficients'!$E$8:$E$14,MATCH($E148,'R2. Understory Coefficients'!$I$8:$I$14,0)),""))</f>
        <v/>
      </c>
      <c r="M148" s="14" t="str">
        <f aca="false">IF($C148="Small","",IFERROR(INDEX('R2. Understory Coefficients'!$F$8:$F$14,MATCH($E148,'R2. Understory Coefficients'!$I$8:$I$14,0)),""))</f>
        <v/>
      </c>
      <c r="N148" s="14" t="str">
        <f aca="false">IF($C148="Small",IF($J148="","",$J148/1000),IF(OR($K148="",$L148="",$M148=""),"",($L148*($K148^$M148))/1000))</f>
        <v/>
      </c>
      <c r="O148" s="14" t="str">
        <f aca="false">IF($N148="","",$N148*CARBON_FRACTION_BIOMASS)</f>
        <v/>
      </c>
      <c r="P148" s="14" t="str">
        <f aca="false">IF(AND($A148="",$E148="",$J148=""),"",IF(AND($A148&lt;&gt;"",COUNTIF('1. Plot &amp; Site Log'!$A$5:$A$64,$A148)=0),"Plot ID not in Plot &amp; Site Log. ","")&amp;IF($C148="","No plot type — say whether this came from a Medium or a Small plot. ","")&amp;IF(AND($C148="Medium",$D148="tree",$F148=""),"Short-statured tree with no diameter at 0.3 m. ","")&amp;IF(AND($C148="Medium",$D148="shrub",OR($G148="",$H148="",$I148="")),"Shrub needs all three of length, width and height. ","")&amp;IF(AND($C148="Medium",$D148="shrub",$F148&lt;&gt;""),"Diameter entered for a shrub — it is ignored. Crown volume is used instead. ","")&amp;IF(AND($C148="Medium",$E148&lt;&gt;"",$L148=""),"Species not in the coefficient list — use 'all shrubs' if you have no closer match. ","")&amp;IF(AND($C148="Small",$J148=""),"Small-plot row with no clipped dry mass yet. ","")&amp;IF($N148&lt;&gt;"","Above-ground only: no root biomass is included for understory. ",""))</f>
        <v/>
      </c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5"/>
      <c r="K149" s="14" t="str">
        <f aca="false">IF($C149="Small","",IF($D149="tree",IF($F149="","",$F149),IF(OR($G149="",$H149="",$I149=""),"",$G149*$H149*$I149)))</f>
        <v/>
      </c>
      <c r="L149" s="14" t="str">
        <f aca="false">IF($C149="Small","",IFERROR(INDEX('R2. Understory Coefficients'!$E$8:$E$14,MATCH($E149,'R2. Understory Coefficients'!$I$8:$I$14,0)),""))</f>
        <v/>
      </c>
      <c r="M149" s="14" t="str">
        <f aca="false">IF($C149="Small","",IFERROR(INDEX('R2. Understory Coefficients'!$F$8:$F$14,MATCH($E149,'R2. Understory Coefficients'!$I$8:$I$14,0)),""))</f>
        <v/>
      </c>
      <c r="N149" s="14" t="str">
        <f aca="false">IF($C149="Small",IF($J149="","",$J149/1000),IF(OR($K149="",$L149="",$M149=""),"",($L149*($K149^$M149))/1000))</f>
        <v/>
      </c>
      <c r="O149" s="14" t="str">
        <f aca="false">IF($N149="","",$N149*CARBON_FRACTION_BIOMASS)</f>
        <v/>
      </c>
      <c r="P149" s="14" t="str">
        <f aca="false">IF(AND($A149="",$E149="",$J149=""),"",IF(AND($A149&lt;&gt;"",COUNTIF('1. Plot &amp; Site Log'!$A$5:$A$64,$A149)=0),"Plot ID not in Plot &amp; Site Log. ","")&amp;IF($C149="","No plot type — say whether this came from a Medium or a Small plot. ","")&amp;IF(AND($C149="Medium",$D149="tree",$F149=""),"Short-statured tree with no diameter at 0.3 m. ","")&amp;IF(AND($C149="Medium",$D149="shrub",OR($G149="",$H149="",$I149="")),"Shrub needs all three of length, width and height. ","")&amp;IF(AND($C149="Medium",$D149="shrub",$F149&lt;&gt;""),"Diameter entered for a shrub — it is ignored. Crown volume is used instead. ","")&amp;IF(AND($C149="Medium",$E149&lt;&gt;"",$L149=""),"Species not in the coefficient list — use 'all shrubs' if you have no closer match. ","")&amp;IF(AND($C149="Small",$J149=""),"Small-plot row with no clipped dry mass yet. ","")&amp;IF($N149&lt;&gt;"","Above-ground only: no root biomass is included for understory. ",""))</f>
        <v/>
      </c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5"/>
      <c r="K150" s="14" t="str">
        <f aca="false">IF($C150="Small","",IF($D150="tree",IF($F150="","",$F150),IF(OR($G150="",$H150="",$I150=""),"",$G150*$H150*$I150)))</f>
        <v/>
      </c>
      <c r="L150" s="14" t="str">
        <f aca="false">IF($C150="Small","",IFERROR(INDEX('R2. Understory Coefficients'!$E$8:$E$14,MATCH($E150,'R2. Understory Coefficients'!$I$8:$I$14,0)),""))</f>
        <v/>
      </c>
      <c r="M150" s="14" t="str">
        <f aca="false">IF($C150="Small","",IFERROR(INDEX('R2. Understory Coefficients'!$F$8:$F$14,MATCH($E150,'R2. Understory Coefficients'!$I$8:$I$14,0)),""))</f>
        <v/>
      </c>
      <c r="N150" s="14" t="str">
        <f aca="false">IF($C150="Small",IF($J150="","",$J150/1000),IF(OR($K150="",$L150="",$M150=""),"",($L150*($K150^$M150))/1000))</f>
        <v/>
      </c>
      <c r="O150" s="14" t="str">
        <f aca="false">IF($N150="","",$N150*CARBON_FRACTION_BIOMASS)</f>
        <v/>
      </c>
      <c r="P150" s="14" t="str">
        <f aca="false">IF(AND($A150="",$E150="",$J150=""),"",IF(AND($A150&lt;&gt;"",COUNTIF('1. Plot &amp; Site Log'!$A$5:$A$64,$A150)=0),"Plot ID not in Plot &amp; Site Log. ","")&amp;IF($C150="","No plot type — say whether this came from a Medium or a Small plot. ","")&amp;IF(AND($C150="Medium",$D150="tree",$F150=""),"Short-statured tree with no diameter at 0.3 m. ","")&amp;IF(AND($C150="Medium",$D150="shrub",OR($G150="",$H150="",$I150="")),"Shrub needs all three of length, width and height. ","")&amp;IF(AND($C150="Medium",$D150="shrub",$F150&lt;&gt;""),"Diameter entered for a shrub — it is ignored. Crown volume is used instead. ","")&amp;IF(AND($C150="Medium",$E150&lt;&gt;"",$L150=""),"Species not in the coefficient list — use 'all shrubs' if you have no closer match. ","")&amp;IF(AND($C150="Small",$J150=""),"Small-plot row with no clipped dry mass yet. ","")&amp;IF($N150&lt;&gt;"","Above-ground only: no root biomass is included for understory. ",""))</f>
        <v/>
      </c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5"/>
      <c r="K151" s="14" t="str">
        <f aca="false">IF($C151="Small","",IF($D151="tree",IF($F151="","",$F151),IF(OR($G151="",$H151="",$I151=""),"",$G151*$H151*$I151)))</f>
        <v/>
      </c>
      <c r="L151" s="14" t="str">
        <f aca="false">IF($C151="Small","",IFERROR(INDEX('R2. Understory Coefficients'!$E$8:$E$14,MATCH($E151,'R2. Understory Coefficients'!$I$8:$I$14,0)),""))</f>
        <v/>
      </c>
      <c r="M151" s="14" t="str">
        <f aca="false">IF($C151="Small","",IFERROR(INDEX('R2. Understory Coefficients'!$F$8:$F$14,MATCH($E151,'R2. Understory Coefficients'!$I$8:$I$14,0)),""))</f>
        <v/>
      </c>
      <c r="N151" s="14" t="str">
        <f aca="false">IF($C151="Small",IF($J151="","",$J151/1000),IF(OR($K151="",$L151="",$M151=""),"",($L151*($K151^$M151))/1000))</f>
        <v/>
      </c>
      <c r="O151" s="14" t="str">
        <f aca="false">IF($N151="","",$N151*CARBON_FRACTION_BIOMASS)</f>
        <v/>
      </c>
      <c r="P151" s="14" t="str">
        <f aca="false">IF(AND($A151="",$E151="",$J151=""),"",IF(AND($A151&lt;&gt;"",COUNTIF('1. Plot &amp; Site Log'!$A$5:$A$64,$A151)=0),"Plot ID not in Plot &amp; Site Log. ","")&amp;IF($C151="","No plot type — say whether this came from a Medium or a Small plot. ","")&amp;IF(AND($C151="Medium",$D151="tree",$F151=""),"Short-statured tree with no diameter at 0.3 m. ","")&amp;IF(AND($C151="Medium",$D151="shrub",OR($G151="",$H151="",$I151="")),"Shrub needs all three of length, width and height. ","")&amp;IF(AND($C151="Medium",$D151="shrub",$F151&lt;&gt;""),"Diameter entered for a shrub — it is ignored. Crown volume is used instead. ","")&amp;IF(AND($C151="Medium",$E151&lt;&gt;"",$L151=""),"Species not in the coefficient list — use 'all shrubs' if you have no closer match. ","")&amp;IF(AND($C151="Small",$J151=""),"Small-plot row with no clipped dry mass yet. ","")&amp;IF($N151&lt;&gt;"","Above-ground only: no root biomass is included for understory. ",""))</f>
        <v/>
      </c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5"/>
      <c r="K152" s="14" t="str">
        <f aca="false">IF($C152="Small","",IF($D152="tree",IF($F152="","",$F152),IF(OR($G152="",$H152="",$I152=""),"",$G152*$H152*$I152)))</f>
        <v/>
      </c>
      <c r="L152" s="14" t="str">
        <f aca="false">IF($C152="Small","",IFERROR(INDEX('R2. Understory Coefficients'!$E$8:$E$14,MATCH($E152,'R2. Understory Coefficients'!$I$8:$I$14,0)),""))</f>
        <v/>
      </c>
      <c r="M152" s="14" t="str">
        <f aca="false">IF($C152="Small","",IFERROR(INDEX('R2. Understory Coefficients'!$F$8:$F$14,MATCH($E152,'R2. Understory Coefficients'!$I$8:$I$14,0)),""))</f>
        <v/>
      </c>
      <c r="N152" s="14" t="str">
        <f aca="false">IF($C152="Small",IF($J152="","",$J152/1000),IF(OR($K152="",$L152="",$M152=""),"",($L152*($K152^$M152))/1000))</f>
        <v/>
      </c>
      <c r="O152" s="14" t="str">
        <f aca="false">IF($N152="","",$N152*CARBON_FRACTION_BIOMASS)</f>
        <v/>
      </c>
      <c r="P152" s="14" t="str">
        <f aca="false">IF(AND($A152="",$E152="",$J152=""),"",IF(AND($A152&lt;&gt;"",COUNTIF('1. Plot &amp; Site Log'!$A$5:$A$64,$A152)=0),"Plot ID not in Plot &amp; Site Log. ","")&amp;IF($C152="","No plot type — say whether this came from a Medium or a Small plot. ","")&amp;IF(AND($C152="Medium",$D152="tree",$F152=""),"Short-statured tree with no diameter at 0.3 m. ","")&amp;IF(AND($C152="Medium",$D152="shrub",OR($G152="",$H152="",$I152="")),"Shrub needs all three of length, width and height. ","")&amp;IF(AND($C152="Medium",$D152="shrub",$F152&lt;&gt;""),"Diameter entered for a shrub — it is ignored. Crown volume is used instead. ","")&amp;IF(AND($C152="Medium",$E152&lt;&gt;"",$L152=""),"Species not in the coefficient list — use 'all shrubs' if you have no closer match. ","")&amp;IF(AND($C152="Small",$J152=""),"Small-plot row with no clipped dry mass yet. ","")&amp;IF($N152&lt;&gt;"","Above-ground only: no root biomass is included for understory. ",""))</f>
        <v/>
      </c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5"/>
      <c r="K153" s="14" t="str">
        <f aca="false">IF($C153="Small","",IF($D153="tree",IF($F153="","",$F153),IF(OR($G153="",$H153="",$I153=""),"",$G153*$H153*$I153)))</f>
        <v/>
      </c>
      <c r="L153" s="14" t="str">
        <f aca="false">IF($C153="Small","",IFERROR(INDEX('R2. Understory Coefficients'!$E$8:$E$14,MATCH($E153,'R2. Understory Coefficients'!$I$8:$I$14,0)),""))</f>
        <v/>
      </c>
      <c r="M153" s="14" t="str">
        <f aca="false">IF($C153="Small","",IFERROR(INDEX('R2. Understory Coefficients'!$F$8:$F$14,MATCH($E153,'R2. Understory Coefficients'!$I$8:$I$14,0)),""))</f>
        <v/>
      </c>
      <c r="N153" s="14" t="str">
        <f aca="false">IF($C153="Small",IF($J153="","",$J153/1000),IF(OR($K153="",$L153="",$M153=""),"",($L153*($K153^$M153))/1000))</f>
        <v/>
      </c>
      <c r="O153" s="14" t="str">
        <f aca="false">IF($N153="","",$N153*CARBON_FRACTION_BIOMASS)</f>
        <v/>
      </c>
      <c r="P153" s="14" t="str">
        <f aca="false">IF(AND($A153="",$E153="",$J153=""),"",IF(AND($A153&lt;&gt;"",COUNTIF('1. Plot &amp; Site Log'!$A$5:$A$64,$A153)=0),"Plot ID not in Plot &amp; Site Log. ","")&amp;IF($C153="","No plot type — say whether this came from a Medium or a Small plot. ","")&amp;IF(AND($C153="Medium",$D153="tree",$F153=""),"Short-statured tree with no diameter at 0.3 m. ","")&amp;IF(AND($C153="Medium",$D153="shrub",OR($G153="",$H153="",$I153="")),"Shrub needs all three of length, width and height. ","")&amp;IF(AND($C153="Medium",$D153="shrub",$F153&lt;&gt;""),"Diameter entered for a shrub — it is ignored. Crown volume is used instead. ","")&amp;IF(AND($C153="Medium",$E153&lt;&gt;"",$L153=""),"Species not in the coefficient list — use 'all shrubs' if you have no closer match. ","")&amp;IF(AND($C153="Small",$J153=""),"Small-plot row with no clipped dry mass yet. ","")&amp;IF($N153&lt;&gt;"","Above-ground only: no root biomass is included for understory. ",""))</f>
        <v/>
      </c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5"/>
      <c r="K154" s="14" t="str">
        <f aca="false">IF($C154="Small","",IF($D154="tree",IF($F154="","",$F154),IF(OR($G154="",$H154="",$I154=""),"",$G154*$H154*$I154)))</f>
        <v/>
      </c>
      <c r="L154" s="14" t="str">
        <f aca="false">IF($C154="Small","",IFERROR(INDEX('R2. Understory Coefficients'!$E$8:$E$14,MATCH($E154,'R2. Understory Coefficients'!$I$8:$I$14,0)),""))</f>
        <v/>
      </c>
      <c r="M154" s="14" t="str">
        <f aca="false">IF($C154="Small","",IFERROR(INDEX('R2. Understory Coefficients'!$F$8:$F$14,MATCH($E154,'R2. Understory Coefficients'!$I$8:$I$14,0)),""))</f>
        <v/>
      </c>
      <c r="N154" s="14" t="str">
        <f aca="false">IF($C154="Small",IF($J154="","",$J154/1000),IF(OR($K154="",$L154="",$M154=""),"",($L154*($K154^$M154))/1000))</f>
        <v/>
      </c>
      <c r="O154" s="14" t="str">
        <f aca="false">IF($N154="","",$N154*CARBON_FRACTION_BIOMASS)</f>
        <v/>
      </c>
      <c r="P154" s="14" t="str">
        <f aca="false">IF(AND($A154="",$E154="",$J154=""),"",IF(AND($A154&lt;&gt;"",COUNTIF('1. Plot &amp; Site Log'!$A$5:$A$64,$A154)=0),"Plot ID not in Plot &amp; Site Log. ","")&amp;IF($C154="","No plot type — say whether this came from a Medium or a Small plot. ","")&amp;IF(AND($C154="Medium",$D154="tree",$F154=""),"Short-statured tree with no diameter at 0.3 m. ","")&amp;IF(AND($C154="Medium",$D154="shrub",OR($G154="",$H154="",$I154="")),"Shrub needs all three of length, width and height. ","")&amp;IF(AND($C154="Medium",$D154="shrub",$F154&lt;&gt;""),"Diameter entered for a shrub — it is ignored. Crown volume is used instead. ","")&amp;IF(AND($C154="Medium",$E154&lt;&gt;"",$L154=""),"Species not in the coefficient list — use 'all shrubs' if you have no closer match. ","")&amp;IF(AND($C154="Small",$J154=""),"Small-plot row with no clipped dry mass yet. ","")&amp;IF($N154&lt;&gt;"","Above-ground only: no root biomass is included for understory. ",""))</f>
        <v/>
      </c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5"/>
      <c r="K155" s="14" t="str">
        <f aca="false">IF($C155="Small","",IF($D155="tree",IF($F155="","",$F155),IF(OR($G155="",$H155="",$I155=""),"",$G155*$H155*$I155)))</f>
        <v/>
      </c>
      <c r="L155" s="14" t="str">
        <f aca="false">IF($C155="Small","",IFERROR(INDEX('R2. Understory Coefficients'!$E$8:$E$14,MATCH($E155,'R2. Understory Coefficients'!$I$8:$I$14,0)),""))</f>
        <v/>
      </c>
      <c r="M155" s="14" t="str">
        <f aca="false">IF($C155="Small","",IFERROR(INDEX('R2. Understory Coefficients'!$F$8:$F$14,MATCH($E155,'R2. Understory Coefficients'!$I$8:$I$14,0)),""))</f>
        <v/>
      </c>
      <c r="N155" s="14" t="str">
        <f aca="false">IF($C155="Small",IF($J155="","",$J155/1000),IF(OR($K155="",$L155="",$M155=""),"",($L155*($K155^$M155))/1000))</f>
        <v/>
      </c>
      <c r="O155" s="14" t="str">
        <f aca="false">IF($N155="","",$N155*CARBON_FRACTION_BIOMASS)</f>
        <v/>
      </c>
      <c r="P155" s="14" t="str">
        <f aca="false">IF(AND($A155="",$E155="",$J155=""),"",IF(AND($A155&lt;&gt;"",COUNTIF('1. Plot &amp; Site Log'!$A$5:$A$64,$A155)=0),"Plot ID not in Plot &amp; Site Log. ","")&amp;IF($C155="","No plot type — say whether this came from a Medium or a Small plot. ","")&amp;IF(AND($C155="Medium",$D155="tree",$F155=""),"Short-statured tree with no diameter at 0.3 m. ","")&amp;IF(AND($C155="Medium",$D155="shrub",OR($G155="",$H155="",$I155="")),"Shrub needs all three of length, width and height. ","")&amp;IF(AND($C155="Medium",$D155="shrub",$F155&lt;&gt;""),"Diameter entered for a shrub — it is ignored. Crown volume is used instead. ","")&amp;IF(AND($C155="Medium",$E155&lt;&gt;"",$L155=""),"Species not in the coefficient list — use 'all shrubs' if you have no closer match. ","")&amp;IF(AND($C155="Small",$J155=""),"Small-plot row with no clipped dry mass yet. ","")&amp;IF($N155&lt;&gt;"","Above-ground only: no root biomass is included for understory. ",""))</f>
        <v/>
      </c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5"/>
      <c r="K156" s="14" t="str">
        <f aca="false">IF($C156="Small","",IF($D156="tree",IF($F156="","",$F156),IF(OR($G156="",$H156="",$I156=""),"",$G156*$H156*$I156)))</f>
        <v/>
      </c>
      <c r="L156" s="14" t="str">
        <f aca="false">IF($C156="Small","",IFERROR(INDEX('R2. Understory Coefficients'!$E$8:$E$14,MATCH($E156,'R2. Understory Coefficients'!$I$8:$I$14,0)),""))</f>
        <v/>
      </c>
      <c r="M156" s="14" t="str">
        <f aca="false">IF($C156="Small","",IFERROR(INDEX('R2. Understory Coefficients'!$F$8:$F$14,MATCH($E156,'R2. Understory Coefficients'!$I$8:$I$14,0)),""))</f>
        <v/>
      </c>
      <c r="N156" s="14" t="str">
        <f aca="false">IF($C156="Small",IF($J156="","",$J156/1000),IF(OR($K156="",$L156="",$M156=""),"",($L156*($K156^$M156))/1000))</f>
        <v/>
      </c>
      <c r="O156" s="14" t="str">
        <f aca="false">IF($N156="","",$N156*CARBON_FRACTION_BIOMASS)</f>
        <v/>
      </c>
      <c r="P156" s="14" t="str">
        <f aca="false">IF(AND($A156="",$E156="",$J156=""),"",IF(AND($A156&lt;&gt;"",COUNTIF('1. Plot &amp; Site Log'!$A$5:$A$64,$A156)=0),"Plot ID not in Plot &amp; Site Log. ","")&amp;IF($C156="","No plot type — say whether this came from a Medium or a Small plot. ","")&amp;IF(AND($C156="Medium",$D156="tree",$F156=""),"Short-statured tree with no diameter at 0.3 m. ","")&amp;IF(AND($C156="Medium",$D156="shrub",OR($G156="",$H156="",$I156="")),"Shrub needs all three of length, width and height. ","")&amp;IF(AND($C156="Medium",$D156="shrub",$F156&lt;&gt;""),"Diameter entered for a shrub — it is ignored. Crown volume is used instead. ","")&amp;IF(AND($C156="Medium",$E156&lt;&gt;"",$L156=""),"Species not in the coefficient list — use 'all shrubs' if you have no closer match. ","")&amp;IF(AND($C156="Small",$J156=""),"Small-plot row with no clipped dry mass yet. ","")&amp;IF($N156&lt;&gt;"","Above-ground only: no root biomass is included for understory. ",""))</f>
        <v/>
      </c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5"/>
      <c r="K157" s="14" t="str">
        <f aca="false">IF($C157="Small","",IF($D157="tree",IF($F157="","",$F157),IF(OR($G157="",$H157="",$I157=""),"",$G157*$H157*$I157)))</f>
        <v/>
      </c>
      <c r="L157" s="14" t="str">
        <f aca="false">IF($C157="Small","",IFERROR(INDEX('R2. Understory Coefficients'!$E$8:$E$14,MATCH($E157,'R2. Understory Coefficients'!$I$8:$I$14,0)),""))</f>
        <v/>
      </c>
      <c r="M157" s="14" t="str">
        <f aca="false">IF($C157="Small","",IFERROR(INDEX('R2. Understory Coefficients'!$F$8:$F$14,MATCH($E157,'R2. Understory Coefficients'!$I$8:$I$14,0)),""))</f>
        <v/>
      </c>
      <c r="N157" s="14" t="str">
        <f aca="false">IF($C157="Small",IF($J157="","",$J157/1000),IF(OR($K157="",$L157="",$M157=""),"",($L157*($K157^$M157))/1000))</f>
        <v/>
      </c>
      <c r="O157" s="14" t="str">
        <f aca="false">IF($N157="","",$N157*CARBON_FRACTION_BIOMASS)</f>
        <v/>
      </c>
      <c r="P157" s="14" t="str">
        <f aca="false">IF(AND($A157="",$E157="",$J157=""),"",IF(AND($A157&lt;&gt;"",COUNTIF('1. Plot &amp; Site Log'!$A$5:$A$64,$A157)=0),"Plot ID not in Plot &amp; Site Log. ","")&amp;IF($C157="","No plot type — say whether this came from a Medium or a Small plot. ","")&amp;IF(AND($C157="Medium",$D157="tree",$F157=""),"Short-statured tree with no diameter at 0.3 m. ","")&amp;IF(AND($C157="Medium",$D157="shrub",OR($G157="",$H157="",$I157="")),"Shrub needs all three of length, width and height. ","")&amp;IF(AND($C157="Medium",$D157="shrub",$F157&lt;&gt;""),"Diameter entered for a shrub — it is ignored. Crown volume is used instead. ","")&amp;IF(AND($C157="Medium",$E157&lt;&gt;"",$L157=""),"Species not in the coefficient list — use 'all shrubs' if you have no closer match. ","")&amp;IF(AND($C157="Small",$J157=""),"Small-plot row with no clipped dry mass yet. ","")&amp;IF($N157&lt;&gt;"","Above-ground only: no root biomass is included for understory. ",""))</f>
        <v/>
      </c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5"/>
      <c r="K158" s="14" t="str">
        <f aca="false">IF($C158="Small","",IF($D158="tree",IF($F158="","",$F158),IF(OR($G158="",$H158="",$I158=""),"",$G158*$H158*$I158)))</f>
        <v/>
      </c>
      <c r="L158" s="14" t="str">
        <f aca="false">IF($C158="Small","",IFERROR(INDEX('R2. Understory Coefficients'!$E$8:$E$14,MATCH($E158,'R2. Understory Coefficients'!$I$8:$I$14,0)),""))</f>
        <v/>
      </c>
      <c r="M158" s="14" t="str">
        <f aca="false">IF($C158="Small","",IFERROR(INDEX('R2. Understory Coefficients'!$F$8:$F$14,MATCH($E158,'R2. Understory Coefficients'!$I$8:$I$14,0)),""))</f>
        <v/>
      </c>
      <c r="N158" s="14" t="str">
        <f aca="false">IF($C158="Small",IF($J158="","",$J158/1000),IF(OR($K158="",$L158="",$M158=""),"",($L158*($K158^$M158))/1000))</f>
        <v/>
      </c>
      <c r="O158" s="14" t="str">
        <f aca="false">IF($N158="","",$N158*CARBON_FRACTION_BIOMASS)</f>
        <v/>
      </c>
      <c r="P158" s="14" t="str">
        <f aca="false">IF(AND($A158="",$E158="",$J158=""),"",IF(AND($A158&lt;&gt;"",COUNTIF('1. Plot &amp; Site Log'!$A$5:$A$64,$A158)=0),"Plot ID not in Plot &amp; Site Log. ","")&amp;IF($C158="","No plot type — say whether this came from a Medium or a Small plot. ","")&amp;IF(AND($C158="Medium",$D158="tree",$F158=""),"Short-statured tree with no diameter at 0.3 m. ","")&amp;IF(AND($C158="Medium",$D158="shrub",OR($G158="",$H158="",$I158="")),"Shrub needs all three of length, width and height. ","")&amp;IF(AND($C158="Medium",$D158="shrub",$F158&lt;&gt;""),"Diameter entered for a shrub — it is ignored. Crown volume is used instead. ","")&amp;IF(AND($C158="Medium",$E158&lt;&gt;"",$L158=""),"Species not in the coefficient list — use 'all shrubs' if you have no closer match. ","")&amp;IF(AND($C158="Small",$J158=""),"Small-plot row with no clipped dry mass yet. ","")&amp;IF($N158&lt;&gt;"","Above-ground only: no root biomass is included for understory. ",""))</f>
        <v/>
      </c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5"/>
      <c r="K159" s="14" t="str">
        <f aca="false">IF($C159="Small","",IF($D159="tree",IF($F159="","",$F159),IF(OR($G159="",$H159="",$I159=""),"",$G159*$H159*$I159)))</f>
        <v/>
      </c>
      <c r="L159" s="14" t="str">
        <f aca="false">IF($C159="Small","",IFERROR(INDEX('R2. Understory Coefficients'!$E$8:$E$14,MATCH($E159,'R2. Understory Coefficients'!$I$8:$I$14,0)),""))</f>
        <v/>
      </c>
      <c r="M159" s="14" t="str">
        <f aca="false">IF($C159="Small","",IFERROR(INDEX('R2. Understory Coefficients'!$F$8:$F$14,MATCH($E159,'R2. Understory Coefficients'!$I$8:$I$14,0)),""))</f>
        <v/>
      </c>
      <c r="N159" s="14" t="str">
        <f aca="false">IF($C159="Small",IF($J159="","",$J159/1000),IF(OR($K159="",$L159="",$M159=""),"",($L159*($K159^$M159))/1000))</f>
        <v/>
      </c>
      <c r="O159" s="14" t="str">
        <f aca="false">IF($N159="","",$N159*CARBON_FRACTION_BIOMASS)</f>
        <v/>
      </c>
      <c r="P159" s="14" t="str">
        <f aca="false">IF(AND($A159="",$E159="",$J159=""),"",IF(AND($A159&lt;&gt;"",COUNTIF('1. Plot &amp; Site Log'!$A$5:$A$64,$A159)=0),"Plot ID not in Plot &amp; Site Log. ","")&amp;IF($C159="","No plot type — say whether this came from a Medium or a Small plot. ","")&amp;IF(AND($C159="Medium",$D159="tree",$F159=""),"Short-statured tree with no diameter at 0.3 m. ","")&amp;IF(AND($C159="Medium",$D159="shrub",OR($G159="",$H159="",$I159="")),"Shrub needs all three of length, width and height. ","")&amp;IF(AND($C159="Medium",$D159="shrub",$F159&lt;&gt;""),"Diameter entered for a shrub — it is ignored. Crown volume is used instead. ","")&amp;IF(AND($C159="Medium",$E159&lt;&gt;"",$L159=""),"Species not in the coefficient list — use 'all shrubs' if you have no closer match. ","")&amp;IF(AND($C159="Small",$J159=""),"Small-plot row with no clipped dry mass yet. ","")&amp;IF($N159&lt;&gt;"","Above-ground only: no root biomass is included for understory. ",""))</f>
        <v/>
      </c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5"/>
      <c r="K160" s="14" t="str">
        <f aca="false">IF($C160="Small","",IF($D160="tree",IF($F160="","",$F160),IF(OR($G160="",$H160="",$I160=""),"",$G160*$H160*$I160)))</f>
        <v/>
      </c>
      <c r="L160" s="14" t="str">
        <f aca="false">IF($C160="Small","",IFERROR(INDEX('R2. Understory Coefficients'!$E$8:$E$14,MATCH($E160,'R2. Understory Coefficients'!$I$8:$I$14,0)),""))</f>
        <v/>
      </c>
      <c r="M160" s="14" t="str">
        <f aca="false">IF($C160="Small","",IFERROR(INDEX('R2. Understory Coefficients'!$F$8:$F$14,MATCH($E160,'R2. Understory Coefficients'!$I$8:$I$14,0)),""))</f>
        <v/>
      </c>
      <c r="N160" s="14" t="str">
        <f aca="false">IF($C160="Small",IF($J160="","",$J160/1000),IF(OR($K160="",$L160="",$M160=""),"",($L160*($K160^$M160))/1000))</f>
        <v/>
      </c>
      <c r="O160" s="14" t="str">
        <f aca="false">IF($N160="","",$N160*CARBON_FRACTION_BIOMASS)</f>
        <v/>
      </c>
      <c r="P160" s="14" t="str">
        <f aca="false">IF(AND($A160="",$E160="",$J160=""),"",IF(AND($A160&lt;&gt;"",COUNTIF('1. Plot &amp; Site Log'!$A$5:$A$64,$A160)=0),"Plot ID not in Plot &amp; Site Log. ","")&amp;IF($C160="","No plot type — say whether this came from a Medium or a Small plot. ","")&amp;IF(AND($C160="Medium",$D160="tree",$F160=""),"Short-statured tree with no diameter at 0.3 m. ","")&amp;IF(AND($C160="Medium",$D160="shrub",OR($G160="",$H160="",$I160="")),"Shrub needs all three of length, width and height. ","")&amp;IF(AND($C160="Medium",$D160="shrub",$F160&lt;&gt;""),"Diameter entered for a shrub — it is ignored. Crown volume is used instead. ","")&amp;IF(AND($C160="Medium",$E160&lt;&gt;"",$L160=""),"Species not in the coefficient list — use 'all shrubs' if you have no closer match. ","")&amp;IF(AND($C160="Small",$J160=""),"Small-plot row with no clipped dry mass yet. ","")&amp;IF($N160&lt;&gt;"","Above-ground only: no root biomass is included for understory. ",""))</f>
        <v/>
      </c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5"/>
      <c r="K161" s="14" t="str">
        <f aca="false">IF($C161="Small","",IF($D161="tree",IF($F161="","",$F161),IF(OR($G161="",$H161="",$I161=""),"",$G161*$H161*$I161)))</f>
        <v/>
      </c>
      <c r="L161" s="14" t="str">
        <f aca="false">IF($C161="Small","",IFERROR(INDEX('R2. Understory Coefficients'!$E$8:$E$14,MATCH($E161,'R2. Understory Coefficients'!$I$8:$I$14,0)),""))</f>
        <v/>
      </c>
      <c r="M161" s="14" t="str">
        <f aca="false">IF($C161="Small","",IFERROR(INDEX('R2. Understory Coefficients'!$F$8:$F$14,MATCH($E161,'R2. Understory Coefficients'!$I$8:$I$14,0)),""))</f>
        <v/>
      </c>
      <c r="N161" s="14" t="str">
        <f aca="false">IF($C161="Small",IF($J161="","",$J161/1000),IF(OR($K161="",$L161="",$M161=""),"",($L161*($K161^$M161))/1000))</f>
        <v/>
      </c>
      <c r="O161" s="14" t="str">
        <f aca="false">IF($N161="","",$N161*CARBON_FRACTION_BIOMASS)</f>
        <v/>
      </c>
      <c r="P161" s="14" t="str">
        <f aca="false">IF(AND($A161="",$E161="",$J161=""),"",IF(AND($A161&lt;&gt;"",COUNTIF('1. Plot &amp; Site Log'!$A$5:$A$64,$A161)=0),"Plot ID not in Plot &amp; Site Log. ","")&amp;IF($C161="","No plot type — say whether this came from a Medium or a Small plot. ","")&amp;IF(AND($C161="Medium",$D161="tree",$F161=""),"Short-statured tree with no diameter at 0.3 m. ","")&amp;IF(AND($C161="Medium",$D161="shrub",OR($G161="",$H161="",$I161="")),"Shrub needs all three of length, width and height. ","")&amp;IF(AND($C161="Medium",$D161="shrub",$F161&lt;&gt;""),"Diameter entered for a shrub — it is ignored. Crown volume is used instead. ","")&amp;IF(AND($C161="Medium",$E161&lt;&gt;"",$L161=""),"Species not in the coefficient list — use 'all shrubs' if you have no closer match. ","")&amp;IF(AND($C161="Small",$J161=""),"Small-plot row with no clipped dry mass yet. ","")&amp;IF($N161&lt;&gt;"","Above-ground only: no root biomass is included for understory. ",""))</f>
        <v/>
      </c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5"/>
      <c r="K162" s="14" t="str">
        <f aca="false">IF($C162="Small","",IF($D162="tree",IF($F162="","",$F162),IF(OR($G162="",$H162="",$I162=""),"",$G162*$H162*$I162)))</f>
        <v/>
      </c>
      <c r="L162" s="14" t="str">
        <f aca="false">IF($C162="Small","",IFERROR(INDEX('R2. Understory Coefficients'!$E$8:$E$14,MATCH($E162,'R2. Understory Coefficients'!$I$8:$I$14,0)),""))</f>
        <v/>
      </c>
      <c r="M162" s="14" t="str">
        <f aca="false">IF($C162="Small","",IFERROR(INDEX('R2. Understory Coefficients'!$F$8:$F$14,MATCH($E162,'R2. Understory Coefficients'!$I$8:$I$14,0)),""))</f>
        <v/>
      </c>
      <c r="N162" s="14" t="str">
        <f aca="false">IF($C162="Small",IF($J162="","",$J162/1000),IF(OR($K162="",$L162="",$M162=""),"",($L162*($K162^$M162))/1000))</f>
        <v/>
      </c>
      <c r="O162" s="14" t="str">
        <f aca="false">IF($N162="","",$N162*CARBON_FRACTION_BIOMASS)</f>
        <v/>
      </c>
      <c r="P162" s="14" t="str">
        <f aca="false">IF(AND($A162="",$E162="",$J162=""),"",IF(AND($A162&lt;&gt;"",COUNTIF('1. Plot &amp; Site Log'!$A$5:$A$64,$A162)=0),"Plot ID not in Plot &amp; Site Log. ","")&amp;IF($C162="","No plot type — say whether this came from a Medium or a Small plot. ","")&amp;IF(AND($C162="Medium",$D162="tree",$F162=""),"Short-statured tree with no diameter at 0.3 m. ","")&amp;IF(AND($C162="Medium",$D162="shrub",OR($G162="",$H162="",$I162="")),"Shrub needs all three of length, width and height. ","")&amp;IF(AND($C162="Medium",$D162="shrub",$F162&lt;&gt;""),"Diameter entered for a shrub — it is ignored. Crown volume is used instead. ","")&amp;IF(AND($C162="Medium",$E162&lt;&gt;"",$L162=""),"Species not in the coefficient list — use 'all shrubs' if you have no closer match. ","")&amp;IF(AND($C162="Small",$J162=""),"Small-plot row with no clipped dry mass yet. ","")&amp;IF($N162&lt;&gt;"","Above-ground only: no root biomass is included for understory. ",""))</f>
        <v/>
      </c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5"/>
      <c r="K163" s="14" t="str">
        <f aca="false">IF($C163="Small","",IF($D163="tree",IF($F163="","",$F163),IF(OR($G163="",$H163="",$I163=""),"",$G163*$H163*$I163)))</f>
        <v/>
      </c>
      <c r="L163" s="14" t="str">
        <f aca="false">IF($C163="Small","",IFERROR(INDEX('R2. Understory Coefficients'!$E$8:$E$14,MATCH($E163,'R2. Understory Coefficients'!$I$8:$I$14,0)),""))</f>
        <v/>
      </c>
      <c r="M163" s="14" t="str">
        <f aca="false">IF($C163="Small","",IFERROR(INDEX('R2. Understory Coefficients'!$F$8:$F$14,MATCH($E163,'R2. Understory Coefficients'!$I$8:$I$14,0)),""))</f>
        <v/>
      </c>
      <c r="N163" s="14" t="str">
        <f aca="false">IF($C163="Small",IF($J163="","",$J163/1000),IF(OR($K163="",$L163="",$M163=""),"",($L163*($K163^$M163))/1000))</f>
        <v/>
      </c>
      <c r="O163" s="14" t="str">
        <f aca="false">IF($N163="","",$N163*CARBON_FRACTION_BIOMASS)</f>
        <v/>
      </c>
      <c r="P163" s="14" t="str">
        <f aca="false">IF(AND($A163="",$E163="",$J163=""),"",IF(AND($A163&lt;&gt;"",COUNTIF('1. Plot &amp; Site Log'!$A$5:$A$64,$A163)=0),"Plot ID not in Plot &amp; Site Log. ","")&amp;IF($C163="","No plot type — say whether this came from a Medium or a Small plot. ","")&amp;IF(AND($C163="Medium",$D163="tree",$F163=""),"Short-statured tree with no diameter at 0.3 m. ","")&amp;IF(AND($C163="Medium",$D163="shrub",OR($G163="",$H163="",$I163="")),"Shrub needs all three of length, width and height. ","")&amp;IF(AND($C163="Medium",$D163="shrub",$F163&lt;&gt;""),"Diameter entered for a shrub — it is ignored. Crown volume is used instead. ","")&amp;IF(AND($C163="Medium",$E163&lt;&gt;"",$L163=""),"Species not in the coefficient list — use 'all shrubs' if you have no closer match. ","")&amp;IF(AND($C163="Small",$J163=""),"Small-plot row with no clipped dry mass yet. ","")&amp;IF($N163&lt;&gt;"","Above-ground only: no root biomass is included for understory. ",""))</f>
        <v/>
      </c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5"/>
      <c r="K164" s="14" t="str">
        <f aca="false">IF($C164="Small","",IF($D164="tree",IF($F164="","",$F164),IF(OR($G164="",$H164="",$I164=""),"",$G164*$H164*$I164)))</f>
        <v/>
      </c>
      <c r="L164" s="14" t="str">
        <f aca="false">IF($C164="Small","",IFERROR(INDEX('R2. Understory Coefficients'!$E$8:$E$14,MATCH($E164,'R2. Understory Coefficients'!$I$8:$I$14,0)),""))</f>
        <v/>
      </c>
      <c r="M164" s="14" t="str">
        <f aca="false">IF($C164="Small","",IFERROR(INDEX('R2. Understory Coefficients'!$F$8:$F$14,MATCH($E164,'R2. Understory Coefficients'!$I$8:$I$14,0)),""))</f>
        <v/>
      </c>
      <c r="N164" s="14" t="str">
        <f aca="false">IF($C164="Small",IF($J164="","",$J164/1000),IF(OR($K164="",$L164="",$M164=""),"",($L164*($K164^$M164))/1000))</f>
        <v/>
      </c>
      <c r="O164" s="14" t="str">
        <f aca="false">IF($N164="","",$N164*CARBON_FRACTION_BIOMASS)</f>
        <v/>
      </c>
      <c r="P164" s="14" t="str">
        <f aca="false">IF(AND($A164="",$E164="",$J164=""),"",IF(AND($A164&lt;&gt;"",COUNTIF('1. Plot &amp; Site Log'!$A$5:$A$64,$A164)=0),"Plot ID not in Plot &amp; Site Log. ","")&amp;IF($C164="","No plot type — say whether this came from a Medium or a Small plot. ","")&amp;IF(AND($C164="Medium",$D164="tree",$F164=""),"Short-statured tree with no diameter at 0.3 m. ","")&amp;IF(AND($C164="Medium",$D164="shrub",OR($G164="",$H164="",$I164="")),"Shrub needs all three of length, width and height. ","")&amp;IF(AND($C164="Medium",$D164="shrub",$F164&lt;&gt;""),"Diameter entered for a shrub — it is ignored. Crown volume is used instead. ","")&amp;IF(AND($C164="Medium",$E164&lt;&gt;"",$L164=""),"Species not in the coefficient list — use 'all shrubs' if you have no closer match. ","")&amp;IF(AND($C164="Small",$J164=""),"Small-plot row with no clipped dry mass yet. ","")&amp;IF($N164&lt;&gt;"","Above-ground only: no root biomass is included for understory. ",""))</f>
        <v/>
      </c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5"/>
      <c r="K165" s="14" t="str">
        <f aca="false">IF($C165="Small","",IF($D165="tree",IF($F165="","",$F165),IF(OR($G165="",$H165="",$I165=""),"",$G165*$H165*$I165)))</f>
        <v/>
      </c>
      <c r="L165" s="14" t="str">
        <f aca="false">IF($C165="Small","",IFERROR(INDEX('R2. Understory Coefficients'!$E$8:$E$14,MATCH($E165,'R2. Understory Coefficients'!$I$8:$I$14,0)),""))</f>
        <v/>
      </c>
      <c r="M165" s="14" t="str">
        <f aca="false">IF($C165="Small","",IFERROR(INDEX('R2. Understory Coefficients'!$F$8:$F$14,MATCH($E165,'R2. Understory Coefficients'!$I$8:$I$14,0)),""))</f>
        <v/>
      </c>
      <c r="N165" s="14" t="str">
        <f aca="false">IF($C165="Small",IF($J165="","",$J165/1000),IF(OR($K165="",$L165="",$M165=""),"",($L165*($K165^$M165))/1000))</f>
        <v/>
      </c>
      <c r="O165" s="14" t="str">
        <f aca="false">IF($N165="","",$N165*CARBON_FRACTION_BIOMASS)</f>
        <v/>
      </c>
      <c r="P165" s="14" t="str">
        <f aca="false">IF(AND($A165="",$E165="",$J165=""),"",IF(AND($A165&lt;&gt;"",COUNTIF('1. Plot &amp; Site Log'!$A$5:$A$64,$A165)=0),"Plot ID not in Plot &amp; Site Log. ","")&amp;IF($C165="","No plot type — say whether this came from a Medium or a Small plot. ","")&amp;IF(AND($C165="Medium",$D165="tree",$F165=""),"Short-statured tree with no diameter at 0.3 m. ","")&amp;IF(AND($C165="Medium",$D165="shrub",OR($G165="",$H165="",$I165="")),"Shrub needs all three of length, width and height. ","")&amp;IF(AND($C165="Medium",$D165="shrub",$F165&lt;&gt;""),"Diameter entered for a shrub — it is ignored. Crown volume is used instead. ","")&amp;IF(AND($C165="Medium",$E165&lt;&gt;"",$L165=""),"Species not in the coefficient list — use 'all shrubs' if you have no closer match. ","")&amp;IF(AND($C165="Small",$J165=""),"Small-plot row with no clipped dry mass yet. ","")&amp;IF($N165&lt;&gt;"","Above-ground only: no root biomass is included for understory. ",""))</f>
        <v/>
      </c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5"/>
      <c r="K166" s="14" t="str">
        <f aca="false">IF($C166="Small","",IF($D166="tree",IF($F166="","",$F166),IF(OR($G166="",$H166="",$I166=""),"",$G166*$H166*$I166)))</f>
        <v/>
      </c>
      <c r="L166" s="14" t="str">
        <f aca="false">IF($C166="Small","",IFERROR(INDEX('R2. Understory Coefficients'!$E$8:$E$14,MATCH($E166,'R2. Understory Coefficients'!$I$8:$I$14,0)),""))</f>
        <v/>
      </c>
      <c r="M166" s="14" t="str">
        <f aca="false">IF($C166="Small","",IFERROR(INDEX('R2. Understory Coefficients'!$F$8:$F$14,MATCH($E166,'R2. Understory Coefficients'!$I$8:$I$14,0)),""))</f>
        <v/>
      </c>
      <c r="N166" s="14" t="str">
        <f aca="false">IF($C166="Small",IF($J166="","",$J166/1000),IF(OR($K166="",$L166="",$M166=""),"",($L166*($K166^$M166))/1000))</f>
        <v/>
      </c>
      <c r="O166" s="14" t="str">
        <f aca="false">IF($N166="","",$N166*CARBON_FRACTION_BIOMASS)</f>
        <v/>
      </c>
      <c r="P166" s="14" t="str">
        <f aca="false">IF(AND($A166="",$E166="",$J166=""),"",IF(AND($A166&lt;&gt;"",COUNTIF('1. Plot &amp; Site Log'!$A$5:$A$64,$A166)=0),"Plot ID not in Plot &amp; Site Log. ","")&amp;IF($C166="","No plot type — say whether this came from a Medium or a Small plot. ","")&amp;IF(AND($C166="Medium",$D166="tree",$F166=""),"Short-statured tree with no diameter at 0.3 m. ","")&amp;IF(AND($C166="Medium",$D166="shrub",OR($G166="",$H166="",$I166="")),"Shrub needs all three of length, width and height. ","")&amp;IF(AND($C166="Medium",$D166="shrub",$F166&lt;&gt;""),"Diameter entered for a shrub — it is ignored. Crown volume is used instead. ","")&amp;IF(AND($C166="Medium",$E166&lt;&gt;"",$L166=""),"Species not in the coefficient list — use 'all shrubs' if you have no closer match. ","")&amp;IF(AND($C166="Small",$J166=""),"Small-plot row with no clipped dry mass yet. ","")&amp;IF($N166&lt;&gt;"","Above-ground only: no root biomass is included for understory. ",""))</f>
        <v/>
      </c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5"/>
      <c r="K167" s="14" t="str">
        <f aca="false">IF($C167="Small","",IF($D167="tree",IF($F167="","",$F167),IF(OR($G167="",$H167="",$I167=""),"",$G167*$H167*$I167)))</f>
        <v/>
      </c>
      <c r="L167" s="14" t="str">
        <f aca="false">IF($C167="Small","",IFERROR(INDEX('R2. Understory Coefficients'!$E$8:$E$14,MATCH($E167,'R2. Understory Coefficients'!$I$8:$I$14,0)),""))</f>
        <v/>
      </c>
      <c r="M167" s="14" t="str">
        <f aca="false">IF($C167="Small","",IFERROR(INDEX('R2. Understory Coefficients'!$F$8:$F$14,MATCH($E167,'R2. Understory Coefficients'!$I$8:$I$14,0)),""))</f>
        <v/>
      </c>
      <c r="N167" s="14" t="str">
        <f aca="false">IF($C167="Small",IF($J167="","",$J167/1000),IF(OR($K167="",$L167="",$M167=""),"",($L167*($K167^$M167))/1000))</f>
        <v/>
      </c>
      <c r="O167" s="14" t="str">
        <f aca="false">IF($N167="","",$N167*CARBON_FRACTION_BIOMASS)</f>
        <v/>
      </c>
      <c r="P167" s="14" t="str">
        <f aca="false">IF(AND($A167="",$E167="",$J167=""),"",IF(AND($A167&lt;&gt;"",COUNTIF('1. Plot &amp; Site Log'!$A$5:$A$64,$A167)=0),"Plot ID not in Plot &amp; Site Log. ","")&amp;IF($C167="","No plot type — say whether this came from a Medium or a Small plot. ","")&amp;IF(AND($C167="Medium",$D167="tree",$F167=""),"Short-statured tree with no diameter at 0.3 m. ","")&amp;IF(AND($C167="Medium",$D167="shrub",OR($G167="",$H167="",$I167="")),"Shrub needs all three of length, width and height. ","")&amp;IF(AND($C167="Medium",$D167="shrub",$F167&lt;&gt;""),"Diameter entered for a shrub — it is ignored. Crown volume is used instead. ","")&amp;IF(AND($C167="Medium",$E167&lt;&gt;"",$L167=""),"Species not in the coefficient list — use 'all shrubs' if you have no closer match. ","")&amp;IF(AND($C167="Small",$J167=""),"Small-plot row with no clipped dry mass yet. ","")&amp;IF($N167&lt;&gt;"","Above-ground only: no root biomass is included for understory. ",""))</f>
        <v/>
      </c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5"/>
      <c r="K168" s="14" t="str">
        <f aca="false">IF($C168="Small","",IF($D168="tree",IF($F168="","",$F168),IF(OR($G168="",$H168="",$I168=""),"",$G168*$H168*$I168)))</f>
        <v/>
      </c>
      <c r="L168" s="14" t="str">
        <f aca="false">IF($C168="Small","",IFERROR(INDEX('R2. Understory Coefficients'!$E$8:$E$14,MATCH($E168,'R2. Understory Coefficients'!$I$8:$I$14,0)),""))</f>
        <v/>
      </c>
      <c r="M168" s="14" t="str">
        <f aca="false">IF($C168="Small","",IFERROR(INDEX('R2. Understory Coefficients'!$F$8:$F$14,MATCH($E168,'R2. Understory Coefficients'!$I$8:$I$14,0)),""))</f>
        <v/>
      </c>
      <c r="N168" s="14" t="str">
        <f aca="false">IF($C168="Small",IF($J168="","",$J168/1000),IF(OR($K168="",$L168="",$M168=""),"",($L168*($K168^$M168))/1000))</f>
        <v/>
      </c>
      <c r="O168" s="14" t="str">
        <f aca="false">IF($N168="","",$N168*CARBON_FRACTION_BIOMASS)</f>
        <v/>
      </c>
      <c r="P168" s="14" t="str">
        <f aca="false">IF(AND($A168="",$E168="",$J168=""),"",IF(AND($A168&lt;&gt;"",COUNTIF('1. Plot &amp; Site Log'!$A$5:$A$64,$A168)=0),"Plot ID not in Plot &amp; Site Log. ","")&amp;IF($C168="","No plot type — say whether this came from a Medium or a Small plot. ","")&amp;IF(AND($C168="Medium",$D168="tree",$F168=""),"Short-statured tree with no diameter at 0.3 m. ","")&amp;IF(AND($C168="Medium",$D168="shrub",OR($G168="",$H168="",$I168="")),"Shrub needs all three of length, width and height. ","")&amp;IF(AND($C168="Medium",$D168="shrub",$F168&lt;&gt;""),"Diameter entered for a shrub — it is ignored. Crown volume is used instead. ","")&amp;IF(AND($C168="Medium",$E168&lt;&gt;"",$L168=""),"Species not in the coefficient list — use 'all shrubs' if you have no closer match. ","")&amp;IF(AND($C168="Small",$J168=""),"Small-plot row with no clipped dry mass yet. ","")&amp;IF($N168&lt;&gt;"","Above-ground only: no root biomass is included for understory. ",""))</f>
        <v/>
      </c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5"/>
      <c r="K169" s="14" t="str">
        <f aca="false">IF($C169="Small","",IF($D169="tree",IF($F169="","",$F169),IF(OR($G169="",$H169="",$I169=""),"",$G169*$H169*$I169)))</f>
        <v/>
      </c>
      <c r="L169" s="14" t="str">
        <f aca="false">IF($C169="Small","",IFERROR(INDEX('R2. Understory Coefficients'!$E$8:$E$14,MATCH($E169,'R2. Understory Coefficients'!$I$8:$I$14,0)),""))</f>
        <v/>
      </c>
      <c r="M169" s="14" t="str">
        <f aca="false">IF($C169="Small","",IFERROR(INDEX('R2. Understory Coefficients'!$F$8:$F$14,MATCH($E169,'R2. Understory Coefficients'!$I$8:$I$14,0)),""))</f>
        <v/>
      </c>
      <c r="N169" s="14" t="str">
        <f aca="false">IF($C169="Small",IF($J169="","",$J169/1000),IF(OR($K169="",$L169="",$M169=""),"",($L169*($K169^$M169))/1000))</f>
        <v/>
      </c>
      <c r="O169" s="14" t="str">
        <f aca="false">IF($N169="","",$N169*CARBON_FRACTION_BIOMASS)</f>
        <v/>
      </c>
      <c r="P169" s="14" t="str">
        <f aca="false">IF(AND($A169="",$E169="",$J169=""),"",IF(AND($A169&lt;&gt;"",COUNTIF('1. Plot &amp; Site Log'!$A$5:$A$64,$A169)=0),"Plot ID not in Plot &amp; Site Log. ","")&amp;IF($C169="","No plot type — say whether this came from a Medium or a Small plot. ","")&amp;IF(AND($C169="Medium",$D169="tree",$F169=""),"Short-statured tree with no diameter at 0.3 m. ","")&amp;IF(AND($C169="Medium",$D169="shrub",OR($G169="",$H169="",$I169="")),"Shrub needs all three of length, width and height. ","")&amp;IF(AND($C169="Medium",$D169="shrub",$F169&lt;&gt;""),"Diameter entered for a shrub — it is ignored. Crown volume is used instead. ","")&amp;IF(AND($C169="Medium",$E169&lt;&gt;"",$L169=""),"Species not in the coefficient list — use 'all shrubs' if you have no closer match. ","")&amp;IF(AND($C169="Small",$J169=""),"Small-plot row with no clipped dry mass yet. ","")&amp;IF($N169&lt;&gt;"","Above-ground only: no root biomass is included for understory. ",""))</f>
        <v/>
      </c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5"/>
      <c r="K170" s="14" t="str">
        <f aca="false">IF($C170="Small","",IF($D170="tree",IF($F170="","",$F170),IF(OR($G170="",$H170="",$I170=""),"",$G170*$H170*$I170)))</f>
        <v/>
      </c>
      <c r="L170" s="14" t="str">
        <f aca="false">IF($C170="Small","",IFERROR(INDEX('R2. Understory Coefficients'!$E$8:$E$14,MATCH($E170,'R2. Understory Coefficients'!$I$8:$I$14,0)),""))</f>
        <v/>
      </c>
      <c r="M170" s="14" t="str">
        <f aca="false">IF($C170="Small","",IFERROR(INDEX('R2. Understory Coefficients'!$F$8:$F$14,MATCH($E170,'R2. Understory Coefficients'!$I$8:$I$14,0)),""))</f>
        <v/>
      </c>
      <c r="N170" s="14" t="str">
        <f aca="false">IF($C170="Small",IF($J170="","",$J170/1000),IF(OR($K170="",$L170="",$M170=""),"",($L170*($K170^$M170))/1000))</f>
        <v/>
      </c>
      <c r="O170" s="14" t="str">
        <f aca="false">IF($N170="","",$N170*CARBON_FRACTION_BIOMASS)</f>
        <v/>
      </c>
      <c r="P170" s="14" t="str">
        <f aca="false">IF(AND($A170="",$E170="",$J170=""),"",IF(AND($A170&lt;&gt;"",COUNTIF('1. Plot &amp; Site Log'!$A$5:$A$64,$A170)=0),"Plot ID not in Plot &amp; Site Log. ","")&amp;IF($C170="","No plot type — say whether this came from a Medium or a Small plot. ","")&amp;IF(AND($C170="Medium",$D170="tree",$F170=""),"Short-statured tree with no diameter at 0.3 m. ","")&amp;IF(AND($C170="Medium",$D170="shrub",OR($G170="",$H170="",$I170="")),"Shrub needs all three of length, width and height. ","")&amp;IF(AND($C170="Medium",$D170="shrub",$F170&lt;&gt;""),"Diameter entered for a shrub — it is ignored. Crown volume is used instead. ","")&amp;IF(AND($C170="Medium",$E170&lt;&gt;"",$L170=""),"Species not in the coefficient list — use 'all shrubs' if you have no closer match. ","")&amp;IF(AND($C170="Small",$J170=""),"Small-plot row with no clipped dry mass yet. ","")&amp;IF($N170&lt;&gt;"","Above-ground only: no root biomass is included for understory. ",""))</f>
        <v/>
      </c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5"/>
      <c r="K171" s="14" t="str">
        <f aca="false">IF($C171="Small","",IF($D171="tree",IF($F171="","",$F171),IF(OR($G171="",$H171="",$I171=""),"",$G171*$H171*$I171)))</f>
        <v/>
      </c>
      <c r="L171" s="14" t="str">
        <f aca="false">IF($C171="Small","",IFERROR(INDEX('R2. Understory Coefficients'!$E$8:$E$14,MATCH($E171,'R2. Understory Coefficients'!$I$8:$I$14,0)),""))</f>
        <v/>
      </c>
      <c r="M171" s="14" t="str">
        <f aca="false">IF($C171="Small","",IFERROR(INDEX('R2. Understory Coefficients'!$F$8:$F$14,MATCH($E171,'R2. Understory Coefficients'!$I$8:$I$14,0)),""))</f>
        <v/>
      </c>
      <c r="N171" s="14" t="str">
        <f aca="false">IF($C171="Small",IF($J171="","",$J171/1000),IF(OR($K171="",$L171="",$M171=""),"",($L171*($K171^$M171))/1000))</f>
        <v/>
      </c>
      <c r="O171" s="14" t="str">
        <f aca="false">IF($N171="","",$N171*CARBON_FRACTION_BIOMASS)</f>
        <v/>
      </c>
      <c r="P171" s="14" t="str">
        <f aca="false">IF(AND($A171="",$E171="",$J171=""),"",IF(AND($A171&lt;&gt;"",COUNTIF('1. Plot &amp; Site Log'!$A$5:$A$64,$A171)=0),"Plot ID not in Plot &amp; Site Log. ","")&amp;IF($C171="","No plot type — say whether this came from a Medium or a Small plot. ","")&amp;IF(AND($C171="Medium",$D171="tree",$F171=""),"Short-statured tree with no diameter at 0.3 m. ","")&amp;IF(AND($C171="Medium",$D171="shrub",OR($G171="",$H171="",$I171="")),"Shrub needs all three of length, width and height. ","")&amp;IF(AND($C171="Medium",$D171="shrub",$F171&lt;&gt;""),"Diameter entered for a shrub — it is ignored. Crown volume is used instead. ","")&amp;IF(AND($C171="Medium",$E171&lt;&gt;"",$L171=""),"Species not in the coefficient list — use 'all shrubs' if you have no closer match. ","")&amp;IF(AND($C171="Small",$J171=""),"Small-plot row with no clipped dry mass yet. ","")&amp;IF($N171&lt;&gt;"","Above-ground only: no root biomass is included for understory. ",""))</f>
        <v/>
      </c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5"/>
      <c r="K172" s="14" t="str">
        <f aca="false">IF($C172="Small","",IF($D172="tree",IF($F172="","",$F172),IF(OR($G172="",$H172="",$I172=""),"",$G172*$H172*$I172)))</f>
        <v/>
      </c>
      <c r="L172" s="14" t="str">
        <f aca="false">IF($C172="Small","",IFERROR(INDEX('R2. Understory Coefficients'!$E$8:$E$14,MATCH($E172,'R2. Understory Coefficients'!$I$8:$I$14,0)),""))</f>
        <v/>
      </c>
      <c r="M172" s="14" t="str">
        <f aca="false">IF($C172="Small","",IFERROR(INDEX('R2. Understory Coefficients'!$F$8:$F$14,MATCH($E172,'R2. Understory Coefficients'!$I$8:$I$14,0)),""))</f>
        <v/>
      </c>
      <c r="N172" s="14" t="str">
        <f aca="false">IF($C172="Small",IF($J172="","",$J172/1000),IF(OR($K172="",$L172="",$M172=""),"",($L172*($K172^$M172))/1000))</f>
        <v/>
      </c>
      <c r="O172" s="14" t="str">
        <f aca="false">IF($N172="","",$N172*CARBON_FRACTION_BIOMASS)</f>
        <v/>
      </c>
      <c r="P172" s="14" t="str">
        <f aca="false">IF(AND($A172="",$E172="",$J172=""),"",IF(AND($A172&lt;&gt;"",COUNTIF('1. Plot &amp; Site Log'!$A$5:$A$64,$A172)=0),"Plot ID not in Plot &amp; Site Log. ","")&amp;IF($C172="","No plot type — say whether this came from a Medium or a Small plot. ","")&amp;IF(AND($C172="Medium",$D172="tree",$F172=""),"Short-statured tree with no diameter at 0.3 m. ","")&amp;IF(AND($C172="Medium",$D172="shrub",OR($G172="",$H172="",$I172="")),"Shrub needs all three of length, width and height. ","")&amp;IF(AND($C172="Medium",$D172="shrub",$F172&lt;&gt;""),"Diameter entered for a shrub — it is ignored. Crown volume is used instead. ","")&amp;IF(AND($C172="Medium",$E172&lt;&gt;"",$L172=""),"Species not in the coefficient list — use 'all shrubs' if you have no closer match. ","")&amp;IF(AND($C172="Small",$J172=""),"Small-plot row with no clipped dry mass yet. ","")&amp;IF($N172&lt;&gt;"","Above-ground only: no root biomass is included for understory. ",""))</f>
        <v/>
      </c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5"/>
      <c r="K173" s="14" t="str">
        <f aca="false">IF($C173="Small","",IF($D173="tree",IF($F173="","",$F173),IF(OR($G173="",$H173="",$I173=""),"",$G173*$H173*$I173)))</f>
        <v/>
      </c>
      <c r="L173" s="14" t="str">
        <f aca="false">IF($C173="Small","",IFERROR(INDEX('R2. Understory Coefficients'!$E$8:$E$14,MATCH($E173,'R2. Understory Coefficients'!$I$8:$I$14,0)),""))</f>
        <v/>
      </c>
      <c r="M173" s="14" t="str">
        <f aca="false">IF($C173="Small","",IFERROR(INDEX('R2. Understory Coefficients'!$F$8:$F$14,MATCH($E173,'R2. Understory Coefficients'!$I$8:$I$14,0)),""))</f>
        <v/>
      </c>
      <c r="N173" s="14" t="str">
        <f aca="false">IF($C173="Small",IF($J173="","",$J173/1000),IF(OR($K173="",$L173="",$M173=""),"",($L173*($K173^$M173))/1000))</f>
        <v/>
      </c>
      <c r="O173" s="14" t="str">
        <f aca="false">IF($N173="","",$N173*CARBON_FRACTION_BIOMASS)</f>
        <v/>
      </c>
      <c r="P173" s="14" t="str">
        <f aca="false">IF(AND($A173="",$E173="",$J173=""),"",IF(AND($A173&lt;&gt;"",COUNTIF('1. Plot &amp; Site Log'!$A$5:$A$64,$A173)=0),"Plot ID not in Plot &amp; Site Log. ","")&amp;IF($C173="","No plot type — say whether this came from a Medium or a Small plot. ","")&amp;IF(AND($C173="Medium",$D173="tree",$F173=""),"Short-statured tree with no diameter at 0.3 m. ","")&amp;IF(AND($C173="Medium",$D173="shrub",OR($G173="",$H173="",$I173="")),"Shrub needs all three of length, width and height. ","")&amp;IF(AND($C173="Medium",$D173="shrub",$F173&lt;&gt;""),"Diameter entered for a shrub — it is ignored. Crown volume is used instead. ","")&amp;IF(AND($C173="Medium",$E173&lt;&gt;"",$L173=""),"Species not in the coefficient list — use 'all shrubs' if you have no closer match. ","")&amp;IF(AND($C173="Small",$J173=""),"Small-plot row with no clipped dry mass yet. ","")&amp;IF($N173&lt;&gt;"","Above-ground only: no root biomass is included for understory. ",""))</f>
        <v/>
      </c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5"/>
      <c r="K174" s="14" t="str">
        <f aca="false">IF($C174="Small","",IF($D174="tree",IF($F174="","",$F174),IF(OR($G174="",$H174="",$I174=""),"",$G174*$H174*$I174)))</f>
        <v/>
      </c>
      <c r="L174" s="14" t="str">
        <f aca="false">IF($C174="Small","",IFERROR(INDEX('R2. Understory Coefficients'!$E$8:$E$14,MATCH($E174,'R2. Understory Coefficients'!$I$8:$I$14,0)),""))</f>
        <v/>
      </c>
      <c r="M174" s="14" t="str">
        <f aca="false">IF($C174="Small","",IFERROR(INDEX('R2. Understory Coefficients'!$F$8:$F$14,MATCH($E174,'R2. Understory Coefficients'!$I$8:$I$14,0)),""))</f>
        <v/>
      </c>
      <c r="N174" s="14" t="str">
        <f aca="false">IF($C174="Small",IF($J174="","",$J174/1000),IF(OR($K174="",$L174="",$M174=""),"",($L174*($K174^$M174))/1000))</f>
        <v/>
      </c>
      <c r="O174" s="14" t="str">
        <f aca="false">IF($N174="","",$N174*CARBON_FRACTION_BIOMASS)</f>
        <v/>
      </c>
      <c r="P174" s="14" t="str">
        <f aca="false">IF(AND($A174="",$E174="",$J174=""),"",IF(AND($A174&lt;&gt;"",COUNTIF('1. Plot &amp; Site Log'!$A$5:$A$64,$A174)=0),"Plot ID not in Plot &amp; Site Log. ","")&amp;IF($C174="","No plot type — say whether this came from a Medium or a Small plot. ","")&amp;IF(AND($C174="Medium",$D174="tree",$F174=""),"Short-statured tree with no diameter at 0.3 m. ","")&amp;IF(AND($C174="Medium",$D174="shrub",OR($G174="",$H174="",$I174="")),"Shrub needs all three of length, width and height. ","")&amp;IF(AND($C174="Medium",$D174="shrub",$F174&lt;&gt;""),"Diameter entered for a shrub — it is ignored. Crown volume is used instead. ","")&amp;IF(AND($C174="Medium",$E174&lt;&gt;"",$L174=""),"Species not in the coefficient list — use 'all shrubs' if you have no closer match. ","")&amp;IF(AND($C174="Small",$J174=""),"Small-plot row with no clipped dry mass yet. ","")&amp;IF($N174&lt;&gt;"","Above-ground only: no root biomass is included for understory. ",""))</f>
        <v/>
      </c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5"/>
      <c r="K175" s="14" t="str">
        <f aca="false">IF($C175="Small","",IF($D175="tree",IF($F175="","",$F175),IF(OR($G175="",$H175="",$I175=""),"",$G175*$H175*$I175)))</f>
        <v/>
      </c>
      <c r="L175" s="14" t="str">
        <f aca="false">IF($C175="Small","",IFERROR(INDEX('R2. Understory Coefficients'!$E$8:$E$14,MATCH($E175,'R2. Understory Coefficients'!$I$8:$I$14,0)),""))</f>
        <v/>
      </c>
      <c r="M175" s="14" t="str">
        <f aca="false">IF($C175="Small","",IFERROR(INDEX('R2. Understory Coefficients'!$F$8:$F$14,MATCH($E175,'R2. Understory Coefficients'!$I$8:$I$14,0)),""))</f>
        <v/>
      </c>
      <c r="N175" s="14" t="str">
        <f aca="false">IF($C175="Small",IF($J175="","",$J175/1000),IF(OR($K175="",$L175="",$M175=""),"",($L175*($K175^$M175))/1000))</f>
        <v/>
      </c>
      <c r="O175" s="14" t="str">
        <f aca="false">IF($N175="","",$N175*CARBON_FRACTION_BIOMASS)</f>
        <v/>
      </c>
      <c r="P175" s="14" t="str">
        <f aca="false">IF(AND($A175="",$E175="",$J175=""),"",IF(AND($A175&lt;&gt;"",COUNTIF('1. Plot &amp; Site Log'!$A$5:$A$64,$A175)=0),"Plot ID not in Plot &amp; Site Log. ","")&amp;IF($C175="","No plot type — say whether this came from a Medium or a Small plot. ","")&amp;IF(AND($C175="Medium",$D175="tree",$F175=""),"Short-statured tree with no diameter at 0.3 m. ","")&amp;IF(AND($C175="Medium",$D175="shrub",OR($G175="",$H175="",$I175="")),"Shrub needs all three of length, width and height. ","")&amp;IF(AND($C175="Medium",$D175="shrub",$F175&lt;&gt;""),"Diameter entered for a shrub — it is ignored. Crown volume is used instead. ","")&amp;IF(AND($C175="Medium",$E175&lt;&gt;"",$L175=""),"Species not in the coefficient list — use 'all shrubs' if you have no closer match. ","")&amp;IF(AND($C175="Small",$J175=""),"Small-plot row with no clipped dry mass yet. ","")&amp;IF($N175&lt;&gt;"","Above-ground only: no root biomass is included for understory. ",""))</f>
        <v/>
      </c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5"/>
      <c r="K176" s="14" t="str">
        <f aca="false">IF($C176="Small","",IF($D176="tree",IF($F176="","",$F176),IF(OR($G176="",$H176="",$I176=""),"",$G176*$H176*$I176)))</f>
        <v/>
      </c>
      <c r="L176" s="14" t="str">
        <f aca="false">IF($C176="Small","",IFERROR(INDEX('R2. Understory Coefficients'!$E$8:$E$14,MATCH($E176,'R2. Understory Coefficients'!$I$8:$I$14,0)),""))</f>
        <v/>
      </c>
      <c r="M176" s="14" t="str">
        <f aca="false">IF($C176="Small","",IFERROR(INDEX('R2. Understory Coefficients'!$F$8:$F$14,MATCH($E176,'R2. Understory Coefficients'!$I$8:$I$14,0)),""))</f>
        <v/>
      </c>
      <c r="N176" s="14" t="str">
        <f aca="false">IF($C176="Small",IF($J176="","",$J176/1000),IF(OR($K176="",$L176="",$M176=""),"",($L176*($K176^$M176))/1000))</f>
        <v/>
      </c>
      <c r="O176" s="14" t="str">
        <f aca="false">IF($N176="","",$N176*CARBON_FRACTION_BIOMASS)</f>
        <v/>
      </c>
      <c r="P176" s="14" t="str">
        <f aca="false">IF(AND($A176="",$E176="",$J176=""),"",IF(AND($A176&lt;&gt;"",COUNTIF('1. Plot &amp; Site Log'!$A$5:$A$64,$A176)=0),"Plot ID not in Plot &amp; Site Log. ","")&amp;IF($C176="","No plot type — say whether this came from a Medium or a Small plot. ","")&amp;IF(AND($C176="Medium",$D176="tree",$F176=""),"Short-statured tree with no diameter at 0.3 m. ","")&amp;IF(AND($C176="Medium",$D176="shrub",OR($G176="",$H176="",$I176="")),"Shrub needs all three of length, width and height. ","")&amp;IF(AND($C176="Medium",$D176="shrub",$F176&lt;&gt;""),"Diameter entered for a shrub — it is ignored. Crown volume is used instead. ","")&amp;IF(AND($C176="Medium",$E176&lt;&gt;"",$L176=""),"Species not in the coefficient list — use 'all shrubs' if you have no closer match. ","")&amp;IF(AND($C176="Small",$J176=""),"Small-plot row with no clipped dry mass yet. ","")&amp;IF($N176&lt;&gt;"","Above-ground only: no root biomass is included for understory. ",""))</f>
        <v/>
      </c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5"/>
      <c r="K177" s="14" t="str">
        <f aca="false">IF($C177="Small","",IF($D177="tree",IF($F177="","",$F177),IF(OR($G177="",$H177="",$I177=""),"",$G177*$H177*$I177)))</f>
        <v/>
      </c>
      <c r="L177" s="14" t="str">
        <f aca="false">IF($C177="Small","",IFERROR(INDEX('R2. Understory Coefficients'!$E$8:$E$14,MATCH($E177,'R2. Understory Coefficients'!$I$8:$I$14,0)),""))</f>
        <v/>
      </c>
      <c r="M177" s="14" t="str">
        <f aca="false">IF($C177="Small","",IFERROR(INDEX('R2. Understory Coefficients'!$F$8:$F$14,MATCH($E177,'R2. Understory Coefficients'!$I$8:$I$14,0)),""))</f>
        <v/>
      </c>
      <c r="N177" s="14" t="str">
        <f aca="false">IF($C177="Small",IF($J177="","",$J177/1000),IF(OR($K177="",$L177="",$M177=""),"",($L177*($K177^$M177))/1000))</f>
        <v/>
      </c>
      <c r="O177" s="14" t="str">
        <f aca="false">IF($N177="","",$N177*CARBON_FRACTION_BIOMASS)</f>
        <v/>
      </c>
      <c r="P177" s="14" t="str">
        <f aca="false">IF(AND($A177="",$E177="",$J177=""),"",IF(AND($A177&lt;&gt;"",COUNTIF('1. Plot &amp; Site Log'!$A$5:$A$64,$A177)=0),"Plot ID not in Plot &amp; Site Log. ","")&amp;IF($C177="","No plot type — say whether this came from a Medium or a Small plot. ","")&amp;IF(AND($C177="Medium",$D177="tree",$F177=""),"Short-statured tree with no diameter at 0.3 m. ","")&amp;IF(AND($C177="Medium",$D177="shrub",OR($G177="",$H177="",$I177="")),"Shrub needs all three of length, width and height. ","")&amp;IF(AND($C177="Medium",$D177="shrub",$F177&lt;&gt;""),"Diameter entered for a shrub — it is ignored. Crown volume is used instead. ","")&amp;IF(AND($C177="Medium",$E177&lt;&gt;"",$L177=""),"Species not in the coefficient list — use 'all shrubs' if you have no closer match. ","")&amp;IF(AND($C177="Small",$J177=""),"Small-plot row with no clipped dry mass yet. ","")&amp;IF($N177&lt;&gt;"","Above-ground only: no root biomass is included for understory. ",""))</f>
        <v/>
      </c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5"/>
      <c r="K178" s="14" t="str">
        <f aca="false">IF($C178="Small","",IF($D178="tree",IF($F178="","",$F178),IF(OR($G178="",$H178="",$I178=""),"",$G178*$H178*$I178)))</f>
        <v/>
      </c>
      <c r="L178" s="14" t="str">
        <f aca="false">IF($C178="Small","",IFERROR(INDEX('R2. Understory Coefficients'!$E$8:$E$14,MATCH($E178,'R2. Understory Coefficients'!$I$8:$I$14,0)),""))</f>
        <v/>
      </c>
      <c r="M178" s="14" t="str">
        <f aca="false">IF($C178="Small","",IFERROR(INDEX('R2. Understory Coefficients'!$F$8:$F$14,MATCH($E178,'R2. Understory Coefficients'!$I$8:$I$14,0)),""))</f>
        <v/>
      </c>
      <c r="N178" s="14" t="str">
        <f aca="false">IF($C178="Small",IF($J178="","",$J178/1000),IF(OR($K178="",$L178="",$M178=""),"",($L178*($K178^$M178))/1000))</f>
        <v/>
      </c>
      <c r="O178" s="14" t="str">
        <f aca="false">IF($N178="","",$N178*CARBON_FRACTION_BIOMASS)</f>
        <v/>
      </c>
      <c r="P178" s="14" t="str">
        <f aca="false">IF(AND($A178="",$E178="",$J178=""),"",IF(AND($A178&lt;&gt;"",COUNTIF('1. Plot &amp; Site Log'!$A$5:$A$64,$A178)=0),"Plot ID not in Plot &amp; Site Log. ","")&amp;IF($C178="","No plot type — say whether this came from a Medium or a Small plot. ","")&amp;IF(AND($C178="Medium",$D178="tree",$F178=""),"Short-statured tree with no diameter at 0.3 m. ","")&amp;IF(AND($C178="Medium",$D178="shrub",OR($G178="",$H178="",$I178="")),"Shrub needs all three of length, width and height. ","")&amp;IF(AND($C178="Medium",$D178="shrub",$F178&lt;&gt;""),"Diameter entered for a shrub — it is ignored. Crown volume is used instead. ","")&amp;IF(AND($C178="Medium",$E178&lt;&gt;"",$L178=""),"Species not in the coefficient list — use 'all shrubs' if you have no closer match. ","")&amp;IF(AND($C178="Small",$J178=""),"Small-plot row with no clipped dry mass yet. ","")&amp;IF($N178&lt;&gt;"","Above-ground only: no root biomass is included for understory. ",""))</f>
        <v/>
      </c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5"/>
      <c r="K179" s="14" t="str">
        <f aca="false">IF($C179="Small","",IF($D179="tree",IF($F179="","",$F179),IF(OR($G179="",$H179="",$I179=""),"",$G179*$H179*$I179)))</f>
        <v/>
      </c>
      <c r="L179" s="14" t="str">
        <f aca="false">IF($C179="Small","",IFERROR(INDEX('R2. Understory Coefficients'!$E$8:$E$14,MATCH($E179,'R2. Understory Coefficients'!$I$8:$I$14,0)),""))</f>
        <v/>
      </c>
      <c r="M179" s="14" t="str">
        <f aca="false">IF($C179="Small","",IFERROR(INDEX('R2. Understory Coefficients'!$F$8:$F$14,MATCH($E179,'R2. Understory Coefficients'!$I$8:$I$14,0)),""))</f>
        <v/>
      </c>
      <c r="N179" s="14" t="str">
        <f aca="false">IF($C179="Small",IF($J179="","",$J179/1000),IF(OR($K179="",$L179="",$M179=""),"",($L179*($K179^$M179))/1000))</f>
        <v/>
      </c>
      <c r="O179" s="14" t="str">
        <f aca="false">IF($N179="","",$N179*CARBON_FRACTION_BIOMASS)</f>
        <v/>
      </c>
      <c r="P179" s="14" t="str">
        <f aca="false">IF(AND($A179="",$E179="",$J179=""),"",IF(AND($A179&lt;&gt;"",COUNTIF('1. Plot &amp; Site Log'!$A$5:$A$64,$A179)=0),"Plot ID not in Plot &amp; Site Log. ","")&amp;IF($C179="","No plot type — say whether this came from a Medium or a Small plot. ","")&amp;IF(AND($C179="Medium",$D179="tree",$F179=""),"Short-statured tree with no diameter at 0.3 m. ","")&amp;IF(AND($C179="Medium",$D179="shrub",OR($G179="",$H179="",$I179="")),"Shrub needs all three of length, width and height. ","")&amp;IF(AND($C179="Medium",$D179="shrub",$F179&lt;&gt;""),"Diameter entered for a shrub — it is ignored. Crown volume is used instead. ","")&amp;IF(AND($C179="Medium",$E179&lt;&gt;"",$L179=""),"Species not in the coefficient list — use 'all shrubs' if you have no closer match. ","")&amp;IF(AND($C179="Small",$J179=""),"Small-plot row with no clipped dry mass yet. ","")&amp;IF($N179&lt;&gt;"","Above-ground only: no root biomass is included for understory. ",""))</f>
        <v/>
      </c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5"/>
      <c r="K180" s="14" t="str">
        <f aca="false">IF($C180="Small","",IF($D180="tree",IF($F180="","",$F180),IF(OR($G180="",$H180="",$I180=""),"",$G180*$H180*$I180)))</f>
        <v/>
      </c>
      <c r="L180" s="14" t="str">
        <f aca="false">IF($C180="Small","",IFERROR(INDEX('R2. Understory Coefficients'!$E$8:$E$14,MATCH($E180,'R2. Understory Coefficients'!$I$8:$I$14,0)),""))</f>
        <v/>
      </c>
      <c r="M180" s="14" t="str">
        <f aca="false">IF($C180="Small","",IFERROR(INDEX('R2. Understory Coefficients'!$F$8:$F$14,MATCH($E180,'R2. Understory Coefficients'!$I$8:$I$14,0)),""))</f>
        <v/>
      </c>
      <c r="N180" s="14" t="str">
        <f aca="false">IF($C180="Small",IF($J180="","",$J180/1000),IF(OR($K180="",$L180="",$M180=""),"",($L180*($K180^$M180))/1000))</f>
        <v/>
      </c>
      <c r="O180" s="14" t="str">
        <f aca="false">IF($N180="","",$N180*CARBON_FRACTION_BIOMASS)</f>
        <v/>
      </c>
      <c r="P180" s="14" t="str">
        <f aca="false">IF(AND($A180="",$E180="",$J180=""),"",IF(AND($A180&lt;&gt;"",COUNTIF('1. Plot &amp; Site Log'!$A$5:$A$64,$A180)=0),"Plot ID not in Plot &amp; Site Log. ","")&amp;IF($C180="","No plot type — say whether this came from a Medium or a Small plot. ","")&amp;IF(AND($C180="Medium",$D180="tree",$F180=""),"Short-statured tree with no diameter at 0.3 m. ","")&amp;IF(AND($C180="Medium",$D180="shrub",OR($G180="",$H180="",$I180="")),"Shrub needs all three of length, width and height. ","")&amp;IF(AND($C180="Medium",$D180="shrub",$F180&lt;&gt;""),"Diameter entered for a shrub — it is ignored. Crown volume is used instead. ","")&amp;IF(AND($C180="Medium",$E180&lt;&gt;"",$L180=""),"Species not in the coefficient list — use 'all shrubs' if you have no closer match. ","")&amp;IF(AND($C180="Small",$J180=""),"Small-plot row with no clipped dry mass yet. ","")&amp;IF($N180&lt;&gt;"","Above-ground only: no root biomass is included for understory. ",""))</f>
        <v/>
      </c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5"/>
      <c r="K181" s="14" t="str">
        <f aca="false">IF($C181="Small","",IF($D181="tree",IF($F181="","",$F181),IF(OR($G181="",$H181="",$I181=""),"",$G181*$H181*$I181)))</f>
        <v/>
      </c>
      <c r="L181" s="14" t="str">
        <f aca="false">IF($C181="Small","",IFERROR(INDEX('R2. Understory Coefficients'!$E$8:$E$14,MATCH($E181,'R2. Understory Coefficients'!$I$8:$I$14,0)),""))</f>
        <v/>
      </c>
      <c r="M181" s="14" t="str">
        <f aca="false">IF($C181="Small","",IFERROR(INDEX('R2. Understory Coefficients'!$F$8:$F$14,MATCH($E181,'R2. Understory Coefficients'!$I$8:$I$14,0)),""))</f>
        <v/>
      </c>
      <c r="N181" s="14" t="str">
        <f aca="false">IF($C181="Small",IF($J181="","",$J181/1000),IF(OR($K181="",$L181="",$M181=""),"",($L181*($K181^$M181))/1000))</f>
        <v/>
      </c>
      <c r="O181" s="14" t="str">
        <f aca="false">IF($N181="","",$N181*CARBON_FRACTION_BIOMASS)</f>
        <v/>
      </c>
      <c r="P181" s="14" t="str">
        <f aca="false">IF(AND($A181="",$E181="",$J181=""),"",IF(AND($A181&lt;&gt;"",COUNTIF('1. Plot &amp; Site Log'!$A$5:$A$64,$A181)=0),"Plot ID not in Plot &amp; Site Log. ","")&amp;IF($C181="","No plot type — say whether this came from a Medium or a Small plot. ","")&amp;IF(AND($C181="Medium",$D181="tree",$F181=""),"Short-statured tree with no diameter at 0.3 m. ","")&amp;IF(AND($C181="Medium",$D181="shrub",OR($G181="",$H181="",$I181="")),"Shrub needs all three of length, width and height. ","")&amp;IF(AND($C181="Medium",$D181="shrub",$F181&lt;&gt;""),"Diameter entered for a shrub — it is ignored. Crown volume is used instead. ","")&amp;IF(AND($C181="Medium",$E181&lt;&gt;"",$L181=""),"Species not in the coefficient list — use 'all shrubs' if you have no closer match. ","")&amp;IF(AND($C181="Small",$J181=""),"Small-plot row with no clipped dry mass yet. ","")&amp;IF($N181&lt;&gt;"","Above-ground only: no root biomass is included for understory. ",""))</f>
        <v/>
      </c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5"/>
      <c r="K182" s="14" t="str">
        <f aca="false">IF($C182="Small","",IF($D182="tree",IF($F182="","",$F182),IF(OR($G182="",$H182="",$I182=""),"",$G182*$H182*$I182)))</f>
        <v/>
      </c>
      <c r="L182" s="14" t="str">
        <f aca="false">IF($C182="Small","",IFERROR(INDEX('R2. Understory Coefficients'!$E$8:$E$14,MATCH($E182,'R2. Understory Coefficients'!$I$8:$I$14,0)),""))</f>
        <v/>
      </c>
      <c r="M182" s="14" t="str">
        <f aca="false">IF($C182="Small","",IFERROR(INDEX('R2. Understory Coefficients'!$F$8:$F$14,MATCH($E182,'R2. Understory Coefficients'!$I$8:$I$14,0)),""))</f>
        <v/>
      </c>
      <c r="N182" s="14" t="str">
        <f aca="false">IF($C182="Small",IF($J182="","",$J182/1000),IF(OR($K182="",$L182="",$M182=""),"",($L182*($K182^$M182))/1000))</f>
        <v/>
      </c>
      <c r="O182" s="14" t="str">
        <f aca="false">IF($N182="","",$N182*CARBON_FRACTION_BIOMASS)</f>
        <v/>
      </c>
      <c r="P182" s="14" t="str">
        <f aca="false">IF(AND($A182="",$E182="",$J182=""),"",IF(AND($A182&lt;&gt;"",COUNTIF('1. Plot &amp; Site Log'!$A$5:$A$64,$A182)=0),"Plot ID not in Plot &amp; Site Log. ","")&amp;IF($C182="","No plot type — say whether this came from a Medium or a Small plot. ","")&amp;IF(AND($C182="Medium",$D182="tree",$F182=""),"Short-statured tree with no diameter at 0.3 m. ","")&amp;IF(AND($C182="Medium",$D182="shrub",OR($G182="",$H182="",$I182="")),"Shrub needs all three of length, width and height. ","")&amp;IF(AND($C182="Medium",$D182="shrub",$F182&lt;&gt;""),"Diameter entered for a shrub — it is ignored. Crown volume is used instead. ","")&amp;IF(AND($C182="Medium",$E182&lt;&gt;"",$L182=""),"Species not in the coefficient list — use 'all shrubs' if you have no closer match. ","")&amp;IF(AND($C182="Small",$J182=""),"Small-plot row with no clipped dry mass yet. ","")&amp;IF($N182&lt;&gt;"","Above-ground only: no root biomass is included for understory. ",""))</f>
        <v/>
      </c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5"/>
      <c r="K183" s="14" t="str">
        <f aca="false">IF($C183="Small","",IF($D183="tree",IF($F183="","",$F183),IF(OR($G183="",$H183="",$I183=""),"",$G183*$H183*$I183)))</f>
        <v/>
      </c>
      <c r="L183" s="14" t="str">
        <f aca="false">IF($C183="Small","",IFERROR(INDEX('R2. Understory Coefficients'!$E$8:$E$14,MATCH($E183,'R2. Understory Coefficients'!$I$8:$I$14,0)),""))</f>
        <v/>
      </c>
      <c r="M183" s="14" t="str">
        <f aca="false">IF($C183="Small","",IFERROR(INDEX('R2. Understory Coefficients'!$F$8:$F$14,MATCH($E183,'R2. Understory Coefficients'!$I$8:$I$14,0)),""))</f>
        <v/>
      </c>
      <c r="N183" s="14" t="str">
        <f aca="false">IF($C183="Small",IF($J183="","",$J183/1000),IF(OR($K183="",$L183="",$M183=""),"",($L183*($K183^$M183))/1000))</f>
        <v/>
      </c>
      <c r="O183" s="14" t="str">
        <f aca="false">IF($N183="","",$N183*CARBON_FRACTION_BIOMASS)</f>
        <v/>
      </c>
      <c r="P183" s="14" t="str">
        <f aca="false">IF(AND($A183="",$E183="",$J183=""),"",IF(AND($A183&lt;&gt;"",COUNTIF('1. Plot &amp; Site Log'!$A$5:$A$64,$A183)=0),"Plot ID not in Plot &amp; Site Log. ","")&amp;IF($C183="","No plot type — say whether this came from a Medium or a Small plot. ","")&amp;IF(AND($C183="Medium",$D183="tree",$F183=""),"Short-statured tree with no diameter at 0.3 m. ","")&amp;IF(AND($C183="Medium",$D183="shrub",OR($G183="",$H183="",$I183="")),"Shrub needs all three of length, width and height. ","")&amp;IF(AND($C183="Medium",$D183="shrub",$F183&lt;&gt;""),"Diameter entered for a shrub — it is ignored. Crown volume is used instead. ","")&amp;IF(AND($C183="Medium",$E183&lt;&gt;"",$L183=""),"Species not in the coefficient list — use 'all shrubs' if you have no closer match. ","")&amp;IF(AND($C183="Small",$J183=""),"Small-plot row with no clipped dry mass yet. ","")&amp;IF($N183&lt;&gt;"","Above-ground only: no root biomass is included for understory. ",""))</f>
        <v/>
      </c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5"/>
      <c r="K184" s="14" t="str">
        <f aca="false">IF($C184="Small","",IF($D184="tree",IF($F184="","",$F184),IF(OR($G184="",$H184="",$I184=""),"",$G184*$H184*$I184)))</f>
        <v/>
      </c>
      <c r="L184" s="14" t="str">
        <f aca="false">IF($C184="Small","",IFERROR(INDEX('R2. Understory Coefficients'!$E$8:$E$14,MATCH($E184,'R2. Understory Coefficients'!$I$8:$I$14,0)),""))</f>
        <v/>
      </c>
      <c r="M184" s="14" t="str">
        <f aca="false">IF($C184="Small","",IFERROR(INDEX('R2. Understory Coefficients'!$F$8:$F$14,MATCH($E184,'R2. Understory Coefficients'!$I$8:$I$14,0)),""))</f>
        <v/>
      </c>
      <c r="N184" s="14" t="str">
        <f aca="false">IF($C184="Small",IF($J184="","",$J184/1000),IF(OR($K184="",$L184="",$M184=""),"",($L184*($K184^$M184))/1000))</f>
        <v/>
      </c>
      <c r="O184" s="14" t="str">
        <f aca="false">IF($N184="","",$N184*CARBON_FRACTION_BIOMASS)</f>
        <v/>
      </c>
      <c r="P184" s="14" t="str">
        <f aca="false">IF(AND($A184="",$E184="",$J184=""),"",IF(AND($A184&lt;&gt;"",COUNTIF('1. Plot &amp; Site Log'!$A$5:$A$64,$A184)=0),"Plot ID not in Plot &amp; Site Log. ","")&amp;IF($C184="","No plot type — say whether this came from a Medium or a Small plot. ","")&amp;IF(AND($C184="Medium",$D184="tree",$F184=""),"Short-statured tree with no diameter at 0.3 m. ","")&amp;IF(AND($C184="Medium",$D184="shrub",OR($G184="",$H184="",$I184="")),"Shrub needs all three of length, width and height. ","")&amp;IF(AND($C184="Medium",$D184="shrub",$F184&lt;&gt;""),"Diameter entered for a shrub — it is ignored. Crown volume is used instead. ","")&amp;IF(AND($C184="Medium",$E184&lt;&gt;"",$L184=""),"Species not in the coefficient list — use 'all shrubs' if you have no closer match. ","")&amp;IF(AND($C184="Small",$J184=""),"Small-plot row with no clipped dry mass yet. ","")&amp;IF($N184&lt;&gt;"","Above-ground only: no root biomass is included for understory. ",""))</f>
        <v/>
      </c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5"/>
      <c r="K185" s="14" t="str">
        <f aca="false">IF($C185="Small","",IF($D185="tree",IF($F185="","",$F185),IF(OR($G185="",$H185="",$I185=""),"",$G185*$H185*$I185)))</f>
        <v/>
      </c>
      <c r="L185" s="14" t="str">
        <f aca="false">IF($C185="Small","",IFERROR(INDEX('R2. Understory Coefficients'!$E$8:$E$14,MATCH($E185,'R2. Understory Coefficients'!$I$8:$I$14,0)),""))</f>
        <v/>
      </c>
      <c r="M185" s="14" t="str">
        <f aca="false">IF($C185="Small","",IFERROR(INDEX('R2. Understory Coefficients'!$F$8:$F$14,MATCH($E185,'R2. Understory Coefficients'!$I$8:$I$14,0)),""))</f>
        <v/>
      </c>
      <c r="N185" s="14" t="str">
        <f aca="false">IF($C185="Small",IF($J185="","",$J185/1000),IF(OR($K185="",$L185="",$M185=""),"",($L185*($K185^$M185))/1000))</f>
        <v/>
      </c>
      <c r="O185" s="14" t="str">
        <f aca="false">IF($N185="","",$N185*CARBON_FRACTION_BIOMASS)</f>
        <v/>
      </c>
      <c r="P185" s="14" t="str">
        <f aca="false">IF(AND($A185="",$E185="",$J185=""),"",IF(AND($A185&lt;&gt;"",COUNTIF('1. Plot &amp; Site Log'!$A$5:$A$64,$A185)=0),"Plot ID not in Plot &amp; Site Log. ","")&amp;IF($C185="","No plot type — say whether this came from a Medium or a Small plot. ","")&amp;IF(AND($C185="Medium",$D185="tree",$F185=""),"Short-statured tree with no diameter at 0.3 m. ","")&amp;IF(AND($C185="Medium",$D185="shrub",OR($G185="",$H185="",$I185="")),"Shrub needs all three of length, width and height. ","")&amp;IF(AND($C185="Medium",$D185="shrub",$F185&lt;&gt;""),"Diameter entered for a shrub — it is ignored. Crown volume is used instead. ","")&amp;IF(AND($C185="Medium",$E185&lt;&gt;"",$L185=""),"Species not in the coefficient list — use 'all shrubs' if you have no closer match. ","")&amp;IF(AND($C185="Small",$J185=""),"Small-plot row with no clipped dry mass yet. ","")&amp;IF($N185&lt;&gt;"","Above-ground only: no root biomass is included for understory. ",""))</f>
        <v/>
      </c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5"/>
      <c r="K186" s="14" t="str">
        <f aca="false">IF($C186="Small","",IF($D186="tree",IF($F186="","",$F186),IF(OR($G186="",$H186="",$I186=""),"",$G186*$H186*$I186)))</f>
        <v/>
      </c>
      <c r="L186" s="14" t="str">
        <f aca="false">IF($C186="Small","",IFERROR(INDEX('R2. Understory Coefficients'!$E$8:$E$14,MATCH($E186,'R2. Understory Coefficients'!$I$8:$I$14,0)),""))</f>
        <v/>
      </c>
      <c r="M186" s="14" t="str">
        <f aca="false">IF($C186="Small","",IFERROR(INDEX('R2. Understory Coefficients'!$F$8:$F$14,MATCH($E186,'R2. Understory Coefficients'!$I$8:$I$14,0)),""))</f>
        <v/>
      </c>
      <c r="N186" s="14" t="str">
        <f aca="false">IF($C186="Small",IF($J186="","",$J186/1000),IF(OR($K186="",$L186="",$M186=""),"",($L186*($K186^$M186))/1000))</f>
        <v/>
      </c>
      <c r="O186" s="14" t="str">
        <f aca="false">IF($N186="","",$N186*CARBON_FRACTION_BIOMASS)</f>
        <v/>
      </c>
      <c r="P186" s="14" t="str">
        <f aca="false">IF(AND($A186="",$E186="",$J186=""),"",IF(AND($A186&lt;&gt;"",COUNTIF('1. Plot &amp; Site Log'!$A$5:$A$64,$A186)=0),"Plot ID not in Plot &amp; Site Log. ","")&amp;IF($C186="","No plot type — say whether this came from a Medium or a Small plot. ","")&amp;IF(AND($C186="Medium",$D186="tree",$F186=""),"Short-statured tree with no diameter at 0.3 m. ","")&amp;IF(AND($C186="Medium",$D186="shrub",OR($G186="",$H186="",$I186="")),"Shrub needs all three of length, width and height. ","")&amp;IF(AND($C186="Medium",$D186="shrub",$F186&lt;&gt;""),"Diameter entered for a shrub — it is ignored. Crown volume is used instead. ","")&amp;IF(AND($C186="Medium",$E186&lt;&gt;"",$L186=""),"Species not in the coefficient list — use 'all shrubs' if you have no closer match. ","")&amp;IF(AND($C186="Small",$J186=""),"Small-plot row with no clipped dry mass yet. ","")&amp;IF($N186&lt;&gt;"","Above-ground only: no root biomass is included for understory. ",""))</f>
        <v/>
      </c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5"/>
      <c r="K187" s="14" t="str">
        <f aca="false">IF($C187="Small","",IF($D187="tree",IF($F187="","",$F187),IF(OR($G187="",$H187="",$I187=""),"",$G187*$H187*$I187)))</f>
        <v/>
      </c>
      <c r="L187" s="14" t="str">
        <f aca="false">IF($C187="Small","",IFERROR(INDEX('R2. Understory Coefficients'!$E$8:$E$14,MATCH($E187,'R2. Understory Coefficients'!$I$8:$I$14,0)),""))</f>
        <v/>
      </c>
      <c r="M187" s="14" t="str">
        <f aca="false">IF($C187="Small","",IFERROR(INDEX('R2. Understory Coefficients'!$F$8:$F$14,MATCH($E187,'R2. Understory Coefficients'!$I$8:$I$14,0)),""))</f>
        <v/>
      </c>
      <c r="N187" s="14" t="str">
        <f aca="false">IF($C187="Small",IF($J187="","",$J187/1000),IF(OR($K187="",$L187="",$M187=""),"",($L187*($K187^$M187))/1000))</f>
        <v/>
      </c>
      <c r="O187" s="14" t="str">
        <f aca="false">IF($N187="","",$N187*CARBON_FRACTION_BIOMASS)</f>
        <v/>
      </c>
      <c r="P187" s="14" t="str">
        <f aca="false">IF(AND($A187="",$E187="",$J187=""),"",IF(AND($A187&lt;&gt;"",COUNTIF('1. Plot &amp; Site Log'!$A$5:$A$64,$A187)=0),"Plot ID not in Plot &amp; Site Log. ","")&amp;IF($C187="","No plot type — say whether this came from a Medium or a Small plot. ","")&amp;IF(AND($C187="Medium",$D187="tree",$F187=""),"Short-statured tree with no diameter at 0.3 m. ","")&amp;IF(AND($C187="Medium",$D187="shrub",OR($G187="",$H187="",$I187="")),"Shrub needs all three of length, width and height. ","")&amp;IF(AND($C187="Medium",$D187="shrub",$F187&lt;&gt;""),"Diameter entered for a shrub — it is ignored. Crown volume is used instead. ","")&amp;IF(AND($C187="Medium",$E187&lt;&gt;"",$L187=""),"Species not in the coefficient list — use 'all shrubs' if you have no closer match. ","")&amp;IF(AND($C187="Small",$J187=""),"Small-plot row with no clipped dry mass yet. ","")&amp;IF($N187&lt;&gt;"","Above-ground only: no root biomass is included for understory. ",""))</f>
        <v/>
      </c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5"/>
      <c r="K188" s="14" t="str">
        <f aca="false">IF($C188="Small","",IF($D188="tree",IF($F188="","",$F188),IF(OR($G188="",$H188="",$I188=""),"",$G188*$H188*$I188)))</f>
        <v/>
      </c>
      <c r="L188" s="14" t="str">
        <f aca="false">IF($C188="Small","",IFERROR(INDEX('R2. Understory Coefficients'!$E$8:$E$14,MATCH($E188,'R2. Understory Coefficients'!$I$8:$I$14,0)),""))</f>
        <v/>
      </c>
      <c r="M188" s="14" t="str">
        <f aca="false">IF($C188="Small","",IFERROR(INDEX('R2. Understory Coefficients'!$F$8:$F$14,MATCH($E188,'R2. Understory Coefficients'!$I$8:$I$14,0)),""))</f>
        <v/>
      </c>
      <c r="N188" s="14" t="str">
        <f aca="false">IF($C188="Small",IF($J188="","",$J188/1000),IF(OR($K188="",$L188="",$M188=""),"",($L188*($K188^$M188))/1000))</f>
        <v/>
      </c>
      <c r="O188" s="14" t="str">
        <f aca="false">IF($N188="","",$N188*CARBON_FRACTION_BIOMASS)</f>
        <v/>
      </c>
      <c r="P188" s="14" t="str">
        <f aca="false">IF(AND($A188="",$E188="",$J188=""),"",IF(AND($A188&lt;&gt;"",COUNTIF('1. Plot &amp; Site Log'!$A$5:$A$64,$A188)=0),"Plot ID not in Plot &amp; Site Log. ","")&amp;IF($C188="","No plot type — say whether this came from a Medium or a Small plot. ","")&amp;IF(AND($C188="Medium",$D188="tree",$F188=""),"Short-statured tree with no diameter at 0.3 m. ","")&amp;IF(AND($C188="Medium",$D188="shrub",OR($G188="",$H188="",$I188="")),"Shrub needs all three of length, width and height. ","")&amp;IF(AND($C188="Medium",$D188="shrub",$F188&lt;&gt;""),"Diameter entered for a shrub — it is ignored. Crown volume is used instead. ","")&amp;IF(AND($C188="Medium",$E188&lt;&gt;"",$L188=""),"Species not in the coefficient list — use 'all shrubs' if you have no closer match. ","")&amp;IF(AND($C188="Small",$J188=""),"Small-plot row with no clipped dry mass yet. ","")&amp;IF($N188&lt;&gt;"","Above-ground only: no root biomass is included for understory. ",""))</f>
        <v/>
      </c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5"/>
      <c r="K189" s="14" t="str">
        <f aca="false">IF($C189="Small","",IF($D189="tree",IF($F189="","",$F189),IF(OR($G189="",$H189="",$I189=""),"",$G189*$H189*$I189)))</f>
        <v/>
      </c>
      <c r="L189" s="14" t="str">
        <f aca="false">IF($C189="Small","",IFERROR(INDEX('R2. Understory Coefficients'!$E$8:$E$14,MATCH($E189,'R2. Understory Coefficients'!$I$8:$I$14,0)),""))</f>
        <v/>
      </c>
      <c r="M189" s="14" t="str">
        <f aca="false">IF($C189="Small","",IFERROR(INDEX('R2. Understory Coefficients'!$F$8:$F$14,MATCH($E189,'R2. Understory Coefficients'!$I$8:$I$14,0)),""))</f>
        <v/>
      </c>
      <c r="N189" s="14" t="str">
        <f aca="false">IF($C189="Small",IF($J189="","",$J189/1000),IF(OR($K189="",$L189="",$M189=""),"",($L189*($K189^$M189))/1000))</f>
        <v/>
      </c>
      <c r="O189" s="14" t="str">
        <f aca="false">IF($N189="","",$N189*CARBON_FRACTION_BIOMASS)</f>
        <v/>
      </c>
      <c r="P189" s="14" t="str">
        <f aca="false">IF(AND($A189="",$E189="",$J189=""),"",IF(AND($A189&lt;&gt;"",COUNTIF('1. Plot &amp; Site Log'!$A$5:$A$64,$A189)=0),"Plot ID not in Plot &amp; Site Log. ","")&amp;IF($C189="","No plot type — say whether this came from a Medium or a Small plot. ","")&amp;IF(AND($C189="Medium",$D189="tree",$F189=""),"Short-statured tree with no diameter at 0.3 m. ","")&amp;IF(AND($C189="Medium",$D189="shrub",OR($G189="",$H189="",$I189="")),"Shrub needs all three of length, width and height. ","")&amp;IF(AND($C189="Medium",$D189="shrub",$F189&lt;&gt;""),"Diameter entered for a shrub — it is ignored. Crown volume is used instead. ","")&amp;IF(AND($C189="Medium",$E189&lt;&gt;"",$L189=""),"Species not in the coefficient list — use 'all shrubs' if you have no closer match. ","")&amp;IF(AND($C189="Small",$J189=""),"Small-plot row with no clipped dry mass yet. ","")&amp;IF($N189&lt;&gt;"","Above-ground only: no root biomass is included for understory. ",""))</f>
        <v/>
      </c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5"/>
      <c r="K190" s="14" t="str">
        <f aca="false">IF($C190="Small","",IF($D190="tree",IF($F190="","",$F190),IF(OR($G190="",$H190="",$I190=""),"",$G190*$H190*$I190)))</f>
        <v/>
      </c>
      <c r="L190" s="14" t="str">
        <f aca="false">IF($C190="Small","",IFERROR(INDEX('R2. Understory Coefficients'!$E$8:$E$14,MATCH($E190,'R2. Understory Coefficients'!$I$8:$I$14,0)),""))</f>
        <v/>
      </c>
      <c r="M190" s="14" t="str">
        <f aca="false">IF($C190="Small","",IFERROR(INDEX('R2. Understory Coefficients'!$F$8:$F$14,MATCH($E190,'R2. Understory Coefficients'!$I$8:$I$14,0)),""))</f>
        <v/>
      </c>
      <c r="N190" s="14" t="str">
        <f aca="false">IF($C190="Small",IF($J190="","",$J190/1000),IF(OR($K190="",$L190="",$M190=""),"",($L190*($K190^$M190))/1000))</f>
        <v/>
      </c>
      <c r="O190" s="14" t="str">
        <f aca="false">IF($N190="","",$N190*CARBON_FRACTION_BIOMASS)</f>
        <v/>
      </c>
      <c r="P190" s="14" t="str">
        <f aca="false">IF(AND($A190="",$E190="",$J190=""),"",IF(AND($A190&lt;&gt;"",COUNTIF('1. Plot &amp; Site Log'!$A$5:$A$64,$A190)=0),"Plot ID not in Plot &amp; Site Log. ","")&amp;IF($C190="","No plot type — say whether this came from a Medium or a Small plot. ","")&amp;IF(AND($C190="Medium",$D190="tree",$F190=""),"Short-statured tree with no diameter at 0.3 m. ","")&amp;IF(AND($C190="Medium",$D190="shrub",OR($G190="",$H190="",$I190="")),"Shrub needs all three of length, width and height. ","")&amp;IF(AND($C190="Medium",$D190="shrub",$F190&lt;&gt;""),"Diameter entered for a shrub — it is ignored. Crown volume is used instead. ","")&amp;IF(AND($C190="Medium",$E190&lt;&gt;"",$L190=""),"Species not in the coefficient list — use 'all shrubs' if you have no closer match. ","")&amp;IF(AND($C190="Small",$J190=""),"Small-plot row with no clipped dry mass yet. ","")&amp;IF($N190&lt;&gt;"","Above-ground only: no root biomass is included for understory. ",""))</f>
        <v/>
      </c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5"/>
      <c r="K191" s="14" t="str">
        <f aca="false">IF($C191="Small","",IF($D191="tree",IF($F191="","",$F191),IF(OR($G191="",$H191="",$I191=""),"",$G191*$H191*$I191)))</f>
        <v/>
      </c>
      <c r="L191" s="14" t="str">
        <f aca="false">IF($C191="Small","",IFERROR(INDEX('R2. Understory Coefficients'!$E$8:$E$14,MATCH($E191,'R2. Understory Coefficients'!$I$8:$I$14,0)),""))</f>
        <v/>
      </c>
      <c r="M191" s="14" t="str">
        <f aca="false">IF($C191="Small","",IFERROR(INDEX('R2. Understory Coefficients'!$F$8:$F$14,MATCH($E191,'R2. Understory Coefficients'!$I$8:$I$14,0)),""))</f>
        <v/>
      </c>
      <c r="N191" s="14" t="str">
        <f aca="false">IF($C191="Small",IF($J191="","",$J191/1000),IF(OR($K191="",$L191="",$M191=""),"",($L191*($K191^$M191))/1000))</f>
        <v/>
      </c>
      <c r="O191" s="14" t="str">
        <f aca="false">IF($N191="","",$N191*CARBON_FRACTION_BIOMASS)</f>
        <v/>
      </c>
      <c r="P191" s="14" t="str">
        <f aca="false">IF(AND($A191="",$E191="",$J191=""),"",IF(AND($A191&lt;&gt;"",COUNTIF('1. Plot &amp; Site Log'!$A$5:$A$64,$A191)=0),"Plot ID not in Plot &amp; Site Log. ","")&amp;IF($C191="","No plot type — say whether this came from a Medium or a Small plot. ","")&amp;IF(AND($C191="Medium",$D191="tree",$F191=""),"Short-statured tree with no diameter at 0.3 m. ","")&amp;IF(AND($C191="Medium",$D191="shrub",OR($G191="",$H191="",$I191="")),"Shrub needs all three of length, width and height. ","")&amp;IF(AND($C191="Medium",$D191="shrub",$F191&lt;&gt;""),"Diameter entered for a shrub — it is ignored. Crown volume is used instead. ","")&amp;IF(AND($C191="Medium",$E191&lt;&gt;"",$L191=""),"Species not in the coefficient list — use 'all shrubs' if you have no closer match. ","")&amp;IF(AND($C191="Small",$J191=""),"Small-plot row with no clipped dry mass yet. ","")&amp;IF($N191&lt;&gt;"","Above-ground only: no root biomass is included for understory. ",""))</f>
        <v/>
      </c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5"/>
      <c r="K192" s="14" t="str">
        <f aca="false">IF($C192="Small","",IF($D192="tree",IF($F192="","",$F192),IF(OR($G192="",$H192="",$I192=""),"",$G192*$H192*$I192)))</f>
        <v/>
      </c>
      <c r="L192" s="14" t="str">
        <f aca="false">IF($C192="Small","",IFERROR(INDEX('R2. Understory Coefficients'!$E$8:$E$14,MATCH($E192,'R2. Understory Coefficients'!$I$8:$I$14,0)),""))</f>
        <v/>
      </c>
      <c r="M192" s="14" t="str">
        <f aca="false">IF($C192="Small","",IFERROR(INDEX('R2. Understory Coefficients'!$F$8:$F$14,MATCH($E192,'R2. Understory Coefficients'!$I$8:$I$14,0)),""))</f>
        <v/>
      </c>
      <c r="N192" s="14" t="str">
        <f aca="false">IF($C192="Small",IF($J192="","",$J192/1000),IF(OR($K192="",$L192="",$M192=""),"",($L192*($K192^$M192))/1000))</f>
        <v/>
      </c>
      <c r="O192" s="14" t="str">
        <f aca="false">IF($N192="","",$N192*CARBON_FRACTION_BIOMASS)</f>
        <v/>
      </c>
      <c r="P192" s="14" t="str">
        <f aca="false">IF(AND($A192="",$E192="",$J192=""),"",IF(AND($A192&lt;&gt;"",COUNTIF('1. Plot &amp; Site Log'!$A$5:$A$64,$A192)=0),"Plot ID not in Plot &amp; Site Log. ","")&amp;IF($C192="","No plot type — say whether this came from a Medium or a Small plot. ","")&amp;IF(AND($C192="Medium",$D192="tree",$F192=""),"Short-statured tree with no diameter at 0.3 m. ","")&amp;IF(AND($C192="Medium",$D192="shrub",OR($G192="",$H192="",$I192="")),"Shrub needs all three of length, width and height. ","")&amp;IF(AND($C192="Medium",$D192="shrub",$F192&lt;&gt;""),"Diameter entered for a shrub — it is ignored. Crown volume is used instead. ","")&amp;IF(AND($C192="Medium",$E192&lt;&gt;"",$L192=""),"Species not in the coefficient list — use 'all shrubs' if you have no closer match. ","")&amp;IF(AND($C192="Small",$J192=""),"Small-plot row with no clipped dry mass yet. ","")&amp;IF($N192&lt;&gt;"","Above-ground only: no root biomass is included for understory. ",""))</f>
        <v/>
      </c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5"/>
      <c r="K193" s="14" t="str">
        <f aca="false">IF($C193="Small","",IF($D193="tree",IF($F193="","",$F193),IF(OR($G193="",$H193="",$I193=""),"",$G193*$H193*$I193)))</f>
        <v/>
      </c>
      <c r="L193" s="14" t="str">
        <f aca="false">IF($C193="Small","",IFERROR(INDEX('R2. Understory Coefficients'!$E$8:$E$14,MATCH($E193,'R2. Understory Coefficients'!$I$8:$I$14,0)),""))</f>
        <v/>
      </c>
      <c r="M193" s="14" t="str">
        <f aca="false">IF($C193="Small","",IFERROR(INDEX('R2. Understory Coefficients'!$F$8:$F$14,MATCH($E193,'R2. Understory Coefficients'!$I$8:$I$14,0)),""))</f>
        <v/>
      </c>
      <c r="N193" s="14" t="str">
        <f aca="false">IF($C193="Small",IF($J193="","",$J193/1000),IF(OR($K193="",$L193="",$M193=""),"",($L193*($K193^$M193))/1000))</f>
        <v/>
      </c>
      <c r="O193" s="14" t="str">
        <f aca="false">IF($N193="","",$N193*CARBON_FRACTION_BIOMASS)</f>
        <v/>
      </c>
      <c r="P193" s="14" t="str">
        <f aca="false">IF(AND($A193="",$E193="",$J193=""),"",IF(AND($A193&lt;&gt;"",COUNTIF('1. Plot &amp; Site Log'!$A$5:$A$64,$A193)=0),"Plot ID not in Plot &amp; Site Log. ","")&amp;IF($C193="","No plot type — say whether this came from a Medium or a Small plot. ","")&amp;IF(AND($C193="Medium",$D193="tree",$F193=""),"Short-statured tree with no diameter at 0.3 m. ","")&amp;IF(AND($C193="Medium",$D193="shrub",OR($G193="",$H193="",$I193="")),"Shrub needs all three of length, width and height. ","")&amp;IF(AND($C193="Medium",$D193="shrub",$F193&lt;&gt;""),"Diameter entered for a shrub — it is ignored. Crown volume is used instead. ","")&amp;IF(AND($C193="Medium",$E193&lt;&gt;"",$L193=""),"Species not in the coefficient list — use 'all shrubs' if you have no closer match. ","")&amp;IF(AND($C193="Small",$J193=""),"Small-plot row with no clipped dry mass yet. ","")&amp;IF($N193&lt;&gt;"","Above-ground only: no root biomass is included for understory. ",""))</f>
        <v/>
      </c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5"/>
      <c r="K194" s="14" t="str">
        <f aca="false">IF($C194="Small","",IF($D194="tree",IF($F194="","",$F194),IF(OR($G194="",$H194="",$I194=""),"",$G194*$H194*$I194)))</f>
        <v/>
      </c>
      <c r="L194" s="14" t="str">
        <f aca="false">IF($C194="Small","",IFERROR(INDEX('R2. Understory Coefficients'!$E$8:$E$14,MATCH($E194,'R2. Understory Coefficients'!$I$8:$I$14,0)),""))</f>
        <v/>
      </c>
      <c r="M194" s="14" t="str">
        <f aca="false">IF($C194="Small","",IFERROR(INDEX('R2. Understory Coefficients'!$F$8:$F$14,MATCH($E194,'R2. Understory Coefficients'!$I$8:$I$14,0)),""))</f>
        <v/>
      </c>
      <c r="N194" s="14" t="str">
        <f aca="false">IF($C194="Small",IF($J194="","",$J194/1000),IF(OR($K194="",$L194="",$M194=""),"",($L194*($K194^$M194))/1000))</f>
        <v/>
      </c>
      <c r="O194" s="14" t="str">
        <f aca="false">IF($N194="","",$N194*CARBON_FRACTION_BIOMASS)</f>
        <v/>
      </c>
      <c r="P194" s="14" t="str">
        <f aca="false">IF(AND($A194="",$E194="",$J194=""),"",IF(AND($A194&lt;&gt;"",COUNTIF('1. Plot &amp; Site Log'!$A$5:$A$64,$A194)=0),"Plot ID not in Plot &amp; Site Log. ","")&amp;IF($C194="","No plot type — say whether this came from a Medium or a Small plot. ","")&amp;IF(AND($C194="Medium",$D194="tree",$F194=""),"Short-statured tree with no diameter at 0.3 m. ","")&amp;IF(AND($C194="Medium",$D194="shrub",OR($G194="",$H194="",$I194="")),"Shrub needs all three of length, width and height. ","")&amp;IF(AND($C194="Medium",$D194="shrub",$F194&lt;&gt;""),"Diameter entered for a shrub — it is ignored. Crown volume is used instead. ","")&amp;IF(AND($C194="Medium",$E194&lt;&gt;"",$L194=""),"Species not in the coefficient list — use 'all shrubs' if you have no closer match. ","")&amp;IF(AND($C194="Small",$J194=""),"Small-plot row with no clipped dry mass yet. ","")&amp;IF($N194&lt;&gt;"","Above-ground only: no root biomass is included for understory. ",""))</f>
        <v/>
      </c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5"/>
      <c r="K195" s="14" t="str">
        <f aca="false">IF($C195="Small","",IF($D195="tree",IF($F195="","",$F195),IF(OR($G195="",$H195="",$I195=""),"",$G195*$H195*$I195)))</f>
        <v/>
      </c>
      <c r="L195" s="14" t="str">
        <f aca="false">IF($C195="Small","",IFERROR(INDEX('R2. Understory Coefficients'!$E$8:$E$14,MATCH($E195,'R2. Understory Coefficients'!$I$8:$I$14,0)),""))</f>
        <v/>
      </c>
      <c r="M195" s="14" t="str">
        <f aca="false">IF($C195="Small","",IFERROR(INDEX('R2. Understory Coefficients'!$F$8:$F$14,MATCH($E195,'R2. Understory Coefficients'!$I$8:$I$14,0)),""))</f>
        <v/>
      </c>
      <c r="N195" s="14" t="str">
        <f aca="false">IF($C195="Small",IF($J195="","",$J195/1000),IF(OR($K195="",$L195="",$M195=""),"",($L195*($K195^$M195))/1000))</f>
        <v/>
      </c>
      <c r="O195" s="14" t="str">
        <f aca="false">IF($N195="","",$N195*CARBON_FRACTION_BIOMASS)</f>
        <v/>
      </c>
      <c r="P195" s="14" t="str">
        <f aca="false">IF(AND($A195="",$E195="",$J195=""),"",IF(AND($A195&lt;&gt;"",COUNTIF('1. Plot &amp; Site Log'!$A$5:$A$64,$A195)=0),"Plot ID not in Plot &amp; Site Log. ","")&amp;IF($C195="","No plot type — say whether this came from a Medium or a Small plot. ","")&amp;IF(AND($C195="Medium",$D195="tree",$F195=""),"Short-statured tree with no diameter at 0.3 m. ","")&amp;IF(AND($C195="Medium",$D195="shrub",OR($G195="",$H195="",$I195="")),"Shrub needs all three of length, width and height. ","")&amp;IF(AND($C195="Medium",$D195="shrub",$F195&lt;&gt;""),"Diameter entered for a shrub — it is ignored. Crown volume is used instead. ","")&amp;IF(AND($C195="Medium",$E195&lt;&gt;"",$L195=""),"Species not in the coefficient list — use 'all shrubs' if you have no closer match. ","")&amp;IF(AND($C195="Small",$J195=""),"Small-plot row with no clipped dry mass yet. ","")&amp;IF($N195&lt;&gt;"","Above-ground only: no root biomass is included for understory. ",""))</f>
        <v/>
      </c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5"/>
      <c r="K196" s="14" t="str">
        <f aca="false">IF($C196="Small","",IF($D196="tree",IF($F196="","",$F196),IF(OR($G196="",$H196="",$I196=""),"",$G196*$H196*$I196)))</f>
        <v/>
      </c>
      <c r="L196" s="14" t="str">
        <f aca="false">IF($C196="Small","",IFERROR(INDEX('R2. Understory Coefficients'!$E$8:$E$14,MATCH($E196,'R2. Understory Coefficients'!$I$8:$I$14,0)),""))</f>
        <v/>
      </c>
      <c r="M196" s="14" t="str">
        <f aca="false">IF($C196="Small","",IFERROR(INDEX('R2. Understory Coefficients'!$F$8:$F$14,MATCH($E196,'R2. Understory Coefficients'!$I$8:$I$14,0)),""))</f>
        <v/>
      </c>
      <c r="N196" s="14" t="str">
        <f aca="false">IF($C196="Small",IF($J196="","",$J196/1000),IF(OR($K196="",$L196="",$M196=""),"",($L196*($K196^$M196))/1000))</f>
        <v/>
      </c>
      <c r="O196" s="14" t="str">
        <f aca="false">IF($N196="","",$N196*CARBON_FRACTION_BIOMASS)</f>
        <v/>
      </c>
      <c r="P196" s="14" t="str">
        <f aca="false">IF(AND($A196="",$E196="",$J196=""),"",IF(AND($A196&lt;&gt;"",COUNTIF('1. Plot &amp; Site Log'!$A$5:$A$64,$A196)=0),"Plot ID not in Plot &amp; Site Log. ","")&amp;IF($C196="","No plot type — say whether this came from a Medium or a Small plot. ","")&amp;IF(AND($C196="Medium",$D196="tree",$F196=""),"Short-statured tree with no diameter at 0.3 m. ","")&amp;IF(AND($C196="Medium",$D196="shrub",OR($G196="",$H196="",$I196="")),"Shrub needs all three of length, width and height. ","")&amp;IF(AND($C196="Medium",$D196="shrub",$F196&lt;&gt;""),"Diameter entered for a shrub — it is ignored. Crown volume is used instead. ","")&amp;IF(AND($C196="Medium",$E196&lt;&gt;"",$L196=""),"Species not in the coefficient list — use 'all shrubs' if you have no closer match. ","")&amp;IF(AND($C196="Small",$J196=""),"Small-plot row with no clipped dry mass yet. ","")&amp;IF($N196&lt;&gt;"","Above-ground only: no root biomass is included for understory. ",""))</f>
        <v/>
      </c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5"/>
      <c r="K197" s="14" t="str">
        <f aca="false">IF($C197="Small","",IF($D197="tree",IF($F197="","",$F197),IF(OR($G197="",$H197="",$I197=""),"",$G197*$H197*$I197)))</f>
        <v/>
      </c>
      <c r="L197" s="14" t="str">
        <f aca="false">IF($C197="Small","",IFERROR(INDEX('R2. Understory Coefficients'!$E$8:$E$14,MATCH($E197,'R2. Understory Coefficients'!$I$8:$I$14,0)),""))</f>
        <v/>
      </c>
      <c r="M197" s="14" t="str">
        <f aca="false">IF($C197="Small","",IFERROR(INDEX('R2. Understory Coefficients'!$F$8:$F$14,MATCH($E197,'R2. Understory Coefficients'!$I$8:$I$14,0)),""))</f>
        <v/>
      </c>
      <c r="N197" s="14" t="str">
        <f aca="false">IF($C197="Small",IF($J197="","",$J197/1000),IF(OR($K197="",$L197="",$M197=""),"",($L197*($K197^$M197))/1000))</f>
        <v/>
      </c>
      <c r="O197" s="14" t="str">
        <f aca="false">IF($N197="","",$N197*CARBON_FRACTION_BIOMASS)</f>
        <v/>
      </c>
      <c r="P197" s="14" t="str">
        <f aca="false">IF(AND($A197="",$E197="",$J197=""),"",IF(AND($A197&lt;&gt;"",COUNTIF('1. Plot &amp; Site Log'!$A$5:$A$64,$A197)=0),"Plot ID not in Plot &amp; Site Log. ","")&amp;IF($C197="","No plot type — say whether this came from a Medium or a Small plot. ","")&amp;IF(AND($C197="Medium",$D197="tree",$F197=""),"Short-statured tree with no diameter at 0.3 m. ","")&amp;IF(AND($C197="Medium",$D197="shrub",OR($G197="",$H197="",$I197="")),"Shrub needs all three of length, width and height. ","")&amp;IF(AND($C197="Medium",$D197="shrub",$F197&lt;&gt;""),"Diameter entered for a shrub — it is ignored. Crown volume is used instead. ","")&amp;IF(AND($C197="Medium",$E197&lt;&gt;"",$L197=""),"Species not in the coefficient list — use 'all shrubs' if you have no closer match. ","")&amp;IF(AND($C197="Small",$J197=""),"Small-plot row with no clipped dry mass yet. ","")&amp;IF($N197&lt;&gt;"","Above-ground only: no root biomass is included for understory. ",""))</f>
        <v/>
      </c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5"/>
      <c r="K198" s="14" t="str">
        <f aca="false">IF($C198="Small","",IF($D198="tree",IF($F198="","",$F198),IF(OR($G198="",$H198="",$I198=""),"",$G198*$H198*$I198)))</f>
        <v/>
      </c>
      <c r="L198" s="14" t="str">
        <f aca="false">IF($C198="Small","",IFERROR(INDEX('R2. Understory Coefficients'!$E$8:$E$14,MATCH($E198,'R2. Understory Coefficients'!$I$8:$I$14,0)),""))</f>
        <v/>
      </c>
      <c r="M198" s="14" t="str">
        <f aca="false">IF($C198="Small","",IFERROR(INDEX('R2. Understory Coefficients'!$F$8:$F$14,MATCH($E198,'R2. Understory Coefficients'!$I$8:$I$14,0)),""))</f>
        <v/>
      </c>
      <c r="N198" s="14" t="str">
        <f aca="false">IF($C198="Small",IF($J198="","",$J198/1000),IF(OR($K198="",$L198="",$M198=""),"",($L198*($K198^$M198))/1000))</f>
        <v/>
      </c>
      <c r="O198" s="14" t="str">
        <f aca="false">IF($N198="","",$N198*CARBON_FRACTION_BIOMASS)</f>
        <v/>
      </c>
      <c r="P198" s="14" t="str">
        <f aca="false">IF(AND($A198="",$E198="",$J198=""),"",IF(AND($A198&lt;&gt;"",COUNTIF('1. Plot &amp; Site Log'!$A$5:$A$64,$A198)=0),"Plot ID not in Plot &amp; Site Log. ","")&amp;IF($C198="","No plot type — say whether this came from a Medium or a Small plot. ","")&amp;IF(AND($C198="Medium",$D198="tree",$F198=""),"Short-statured tree with no diameter at 0.3 m. ","")&amp;IF(AND($C198="Medium",$D198="shrub",OR($G198="",$H198="",$I198="")),"Shrub needs all three of length, width and height. ","")&amp;IF(AND($C198="Medium",$D198="shrub",$F198&lt;&gt;""),"Diameter entered for a shrub — it is ignored. Crown volume is used instead. ","")&amp;IF(AND($C198="Medium",$E198&lt;&gt;"",$L198=""),"Species not in the coefficient list — use 'all shrubs' if you have no closer match. ","")&amp;IF(AND($C198="Small",$J198=""),"Small-plot row with no clipped dry mass yet. ","")&amp;IF($N198&lt;&gt;"","Above-ground only: no root biomass is included for understory. ",""))</f>
        <v/>
      </c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5"/>
      <c r="K199" s="14" t="str">
        <f aca="false">IF($C199="Small","",IF($D199="tree",IF($F199="","",$F199),IF(OR($G199="",$H199="",$I199=""),"",$G199*$H199*$I199)))</f>
        <v/>
      </c>
      <c r="L199" s="14" t="str">
        <f aca="false">IF($C199="Small","",IFERROR(INDEX('R2. Understory Coefficients'!$E$8:$E$14,MATCH($E199,'R2. Understory Coefficients'!$I$8:$I$14,0)),""))</f>
        <v/>
      </c>
      <c r="M199" s="14" t="str">
        <f aca="false">IF($C199="Small","",IFERROR(INDEX('R2. Understory Coefficients'!$F$8:$F$14,MATCH($E199,'R2. Understory Coefficients'!$I$8:$I$14,0)),""))</f>
        <v/>
      </c>
      <c r="N199" s="14" t="str">
        <f aca="false">IF($C199="Small",IF($J199="","",$J199/1000),IF(OR($K199="",$L199="",$M199=""),"",($L199*($K199^$M199))/1000))</f>
        <v/>
      </c>
      <c r="O199" s="14" t="str">
        <f aca="false">IF($N199="","",$N199*CARBON_FRACTION_BIOMASS)</f>
        <v/>
      </c>
      <c r="P199" s="14" t="str">
        <f aca="false">IF(AND($A199="",$E199="",$J199=""),"",IF(AND($A199&lt;&gt;"",COUNTIF('1. Plot &amp; Site Log'!$A$5:$A$64,$A199)=0),"Plot ID not in Plot &amp; Site Log. ","")&amp;IF($C199="","No plot type — say whether this came from a Medium or a Small plot. ","")&amp;IF(AND($C199="Medium",$D199="tree",$F199=""),"Short-statured tree with no diameter at 0.3 m. ","")&amp;IF(AND($C199="Medium",$D199="shrub",OR($G199="",$H199="",$I199="")),"Shrub needs all three of length, width and height. ","")&amp;IF(AND($C199="Medium",$D199="shrub",$F199&lt;&gt;""),"Diameter entered for a shrub — it is ignored. Crown volume is used instead. ","")&amp;IF(AND($C199="Medium",$E199&lt;&gt;"",$L199=""),"Species not in the coefficient list — use 'all shrubs' if you have no closer match. ","")&amp;IF(AND($C199="Small",$J199=""),"Small-plot row with no clipped dry mass yet. ","")&amp;IF($N199&lt;&gt;"","Above-ground only: no root biomass is included for understory. ",""))</f>
        <v/>
      </c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5"/>
      <c r="K200" s="14" t="str">
        <f aca="false">IF($C200="Small","",IF($D200="tree",IF($F200="","",$F200),IF(OR($G200="",$H200="",$I200=""),"",$G200*$H200*$I200)))</f>
        <v/>
      </c>
      <c r="L200" s="14" t="str">
        <f aca="false">IF($C200="Small","",IFERROR(INDEX('R2. Understory Coefficients'!$E$8:$E$14,MATCH($E200,'R2. Understory Coefficients'!$I$8:$I$14,0)),""))</f>
        <v/>
      </c>
      <c r="M200" s="14" t="str">
        <f aca="false">IF($C200="Small","",IFERROR(INDEX('R2. Understory Coefficients'!$F$8:$F$14,MATCH($E200,'R2. Understory Coefficients'!$I$8:$I$14,0)),""))</f>
        <v/>
      </c>
      <c r="N200" s="14" t="str">
        <f aca="false">IF($C200="Small",IF($J200="","",$J200/1000),IF(OR($K200="",$L200="",$M200=""),"",($L200*($K200^$M200))/1000))</f>
        <v/>
      </c>
      <c r="O200" s="14" t="str">
        <f aca="false">IF($N200="","",$N200*CARBON_FRACTION_BIOMASS)</f>
        <v/>
      </c>
      <c r="P200" s="14" t="str">
        <f aca="false">IF(AND($A200="",$E200="",$J200=""),"",IF(AND($A200&lt;&gt;"",COUNTIF('1. Plot &amp; Site Log'!$A$5:$A$64,$A200)=0),"Plot ID not in Plot &amp; Site Log. ","")&amp;IF($C200="","No plot type — say whether this came from a Medium or a Small plot. ","")&amp;IF(AND($C200="Medium",$D200="tree",$F200=""),"Short-statured tree with no diameter at 0.3 m. ","")&amp;IF(AND($C200="Medium",$D200="shrub",OR($G200="",$H200="",$I200="")),"Shrub needs all three of length, width and height. ","")&amp;IF(AND($C200="Medium",$D200="shrub",$F200&lt;&gt;""),"Diameter entered for a shrub — it is ignored. Crown volume is used instead. ","")&amp;IF(AND($C200="Medium",$E200&lt;&gt;"",$L200=""),"Species not in the coefficient list — use 'all shrubs' if you have no closer match. ","")&amp;IF(AND($C200="Small",$J200=""),"Small-plot row with no clipped dry mass yet. ","")&amp;IF($N200&lt;&gt;"","Above-ground only: no root biomass is included for understory. ",""))</f>
        <v/>
      </c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5"/>
      <c r="K201" s="14" t="str">
        <f aca="false">IF($C201="Small","",IF($D201="tree",IF($F201="","",$F201),IF(OR($G201="",$H201="",$I201=""),"",$G201*$H201*$I201)))</f>
        <v/>
      </c>
      <c r="L201" s="14" t="str">
        <f aca="false">IF($C201="Small","",IFERROR(INDEX('R2. Understory Coefficients'!$E$8:$E$14,MATCH($E201,'R2. Understory Coefficients'!$I$8:$I$14,0)),""))</f>
        <v/>
      </c>
      <c r="M201" s="14" t="str">
        <f aca="false">IF($C201="Small","",IFERROR(INDEX('R2. Understory Coefficients'!$F$8:$F$14,MATCH($E201,'R2. Understory Coefficients'!$I$8:$I$14,0)),""))</f>
        <v/>
      </c>
      <c r="N201" s="14" t="str">
        <f aca="false">IF($C201="Small",IF($J201="","",$J201/1000),IF(OR($K201="",$L201="",$M201=""),"",($L201*($K201^$M201))/1000))</f>
        <v/>
      </c>
      <c r="O201" s="14" t="str">
        <f aca="false">IF($N201="","",$N201*CARBON_FRACTION_BIOMASS)</f>
        <v/>
      </c>
      <c r="P201" s="14" t="str">
        <f aca="false">IF(AND($A201="",$E201="",$J201=""),"",IF(AND($A201&lt;&gt;"",COUNTIF('1. Plot &amp; Site Log'!$A$5:$A$64,$A201)=0),"Plot ID not in Plot &amp; Site Log. ","")&amp;IF($C201="","No plot type — say whether this came from a Medium or a Small plot. ","")&amp;IF(AND($C201="Medium",$D201="tree",$F201=""),"Short-statured tree with no diameter at 0.3 m. ","")&amp;IF(AND($C201="Medium",$D201="shrub",OR($G201="",$H201="",$I201="")),"Shrub needs all three of length, width and height. ","")&amp;IF(AND($C201="Medium",$D201="shrub",$F201&lt;&gt;""),"Diameter entered for a shrub — it is ignored. Crown volume is used instead. ","")&amp;IF(AND($C201="Medium",$E201&lt;&gt;"",$L201=""),"Species not in the coefficient list — use 'all shrubs' if you have no closer match. ","")&amp;IF(AND($C201="Small",$J201=""),"Small-plot row with no clipped dry mass yet. ","")&amp;IF($N201&lt;&gt;"","Above-ground only: no root biomass is included for understory. ",""))</f>
        <v/>
      </c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5"/>
      <c r="K202" s="14" t="str">
        <f aca="false">IF($C202="Small","",IF($D202="tree",IF($F202="","",$F202),IF(OR($G202="",$H202="",$I202=""),"",$G202*$H202*$I202)))</f>
        <v/>
      </c>
      <c r="L202" s="14" t="str">
        <f aca="false">IF($C202="Small","",IFERROR(INDEX('R2. Understory Coefficients'!$E$8:$E$14,MATCH($E202,'R2. Understory Coefficients'!$I$8:$I$14,0)),""))</f>
        <v/>
      </c>
      <c r="M202" s="14" t="str">
        <f aca="false">IF($C202="Small","",IFERROR(INDEX('R2. Understory Coefficients'!$F$8:$F$14,MATCH($E202,'R2. Understory Coefficients'!$I$8:$I$14,0)),""))</f>
        <v/>
      </c>
      <c r="N202" s="14" t="str">
        <f aca="false">IF($C202="Small",IF($J202="","",$J202/1000),IF(OR($K202="",$L202="",$M202=""),"",($L202*($K202^$M202))/1000))</f>
        <v/>
      </c>
      <c r="O202" s="14" t="str">
        <f aca="false">IF($N202="","",$N202*CARBON_FRACTION_BIOMASS)</f>
        <v/>
      </c>
      <c r="P202" s="14" t="str">
        <f aca="false">IF(AND($A202="",$E202="",$J202=""),"",IF(AND($A202&lt;&gt;"",COUNTIF('1. Plot &amp; Site Log'!$A$5:$A$64,$A202)=0),"Plot ID not in Plot &amp; Site Log. ","")&amp;IF($C202="","No plot type — say whether this came from a Medium or a Small plot. ","")&amp;IF(AND($C202="Medium",$D202="tree",$F202=""),"Short-statured tree with no diameter at 0.3 m. ","")&amp;IF(AND($C202="Medium",$D202="shrub",OR($G202="",$H202="",$I202="")),"Shrub needs all three of length, width and height. ","")&amp;IF(AND($C202="Medium",$D202="shrub",$F202&lt;&gt;""),"Diameter entered for a shrub — it is ignored. Crown volume is used instead. ","")&amp;IF(AND($C202="Medium",$E202&lt;&gt;"",$L202=""),"Species not in the coefficient list — use 'all shrubs' if you have no closer match. ","")&amp;IF(AND($C202="Small",$J202=""),"Small-plot row with no clipped dry mass yet. ","")&amp;IF($N202&lt;&gt;"","Above-ground only: no root biomass is included for understory. ",""))</f>
        <v/>
      </c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5"/>
      <c r="K203" s="14" t="str">
        <f aca="false">IF($C203="Small","",IF($D203="tree",IF($F203="","",$F203),IF(OR($G203="",$H203="",$I203=""),"",$G203*$H203*$I203)))</f>
        <v/>
      </c>
      <c r="L203" s="14" t="str">
        <f aca="false">IF($C203="Small","",IFERROR(INDEX('R2. Understory Coefficients'!$E$8:$E$14,MATCH($E203,'R2. Understory Coefficients'!$I$8:$I$14,0)),""))</f>
        <v/>
      </c>
      <c r="M203" s="14" t="str">
        <f aca="false">IF($C203="Small","",IFERROR(INDEX('R2. Understory Coefficients'!$F$8:$F$14,MATCH($E203,'R2. Understory Coefficients'!$I$8:$I$14,0)),""))</f>
        <v/>
      </c>
      <c r="N203" s="14" t="str">
        <f aca="false">IF($C203="Small",IF($J203="","",$J203/1000),IF(OR($K203="",$L203="",$M203=""),"",($L203*($K203^$M203))/1000))</f>
        <v/>
      </c>
      <c r="O203" s="14" t="str">
        <f aca="false">IF($N203="","",$N203*CARBON_FRACTION_BIOMASS)</f>
        <v/>
      </c>
      <c r="P203" s="14" t="str">
        <f aca="false">IF(AND($A203="",$E203="",$J203=""),"",IF(AND($A203&lt;&gt;"",COUNTIF('1. Plot &amp; Site Log'!$A$5:$A$64,$A203)=0),"Plot ID not in Plot &amp; Site Log. ","")&amp;IF($C203="","No plot type — say whether this came from a Medium or a Small plot. ","")&amp;IF(AND($C203="Medium",$D203="tree",$F203=""),"Short-statured tree with no diameter at 0.3 m. ","")&amp;IF(AND($C203="Medium",$D203="shrub",OR($G203="",$H203="",$I203="")),"Shrub needs all three of length, width and height. ","")&amp;IF(AND($C203="Medium",$D203="shrub",$F203&lt;&gt;""),"Diameter entered for a shrub — it is ignored. Crown volume is used instead. ","")&amp;IF(AND($C203="Medium",$E203&lt;&gt;"",$L203=""),"Species not in the coefficient list — use 'all shrubs' if you have no closer match. ","")&amp;IF(AND($C203="Small",$J203=""),"Small-plot row with no clipped dry mass yet. ","")&amp;IF($N203&lt;&gt;"","Above-ground only: no root biomass is included for understory. ",""))</f>
        <v/>
      </c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5"/>
      <c r="K204" s="14" t="str">
        <f aca="false">IF($C204="Small","",IF($D204="tree",IF($F204="","",$F204),IF(OR($G204="",$H204="",$I204=""),"",$G204*$H204*$I204)))</f>
        <v/>
      </c>
      <c r="L204" s="14" t="str">
        <f aca="false">IF($C204="Small","",IFERROR(INDEX('R2. Understory Coefficients'!$E$8:$E$14,MATCH($E204,'R2. Understory Coefficients'!$I$8:$I$14,0)),""))</f>
        <v/>
      </c>
      <c r="M204" s="14" t="str">
        <f aca="false">IF($C204="Small","",IFERROR(INDEX('R2. Understory Coefficients'!$F$8:$F$14,MATCH($E204,'R2. Understory Coefficients'!$I$8:$I$14,0)),""))</f>
        <v/>
      </c>
      <c r="N204" s="14" t="str">
        <f aca="false">IF($C204="Small",IF($J204="","",$J204/1000),IF(OR($K204="",$L204="",$M204=""),"",($L204*($K204^$M204))/1000))</f>
        <v/>
      </c>
      <c r="O204" s="14" t="str">
        <f aca="false">IF($N204="","",$N204*CARBON_FRACTION_BIOMASS)</f>
        <v/>
      </c>
      <c r="P204" s="14" t="str">
        <f aca="false">IF(AND($A204="",$E204="",$J204=""),"",IF(AND($A204&lt;&gt;"",COUNTIF('1. Plot &amp; Site Log'!$A$5:$A$64,$A204)=0),"Plot ID not in Plot &amp; Site Log. ","")&amp;IF($C204="","No plot type — say whether this came from a Medium or a Small plot. ","")&amp;IF(AND($C204="Medium",$D204="tree",$F204=""),"Short-statured tree with no diameter at 0.3 m. ","")&amp;IF(AND($C204="Medium",$D204="shrub",OR($G204="",$H204="",$I204="")),"Shrub needs all three of length, width and height. ","")&amp;IF(AND($C204="Medium",$D204="shrub",$F204&lt;&gt;""),"Diameter entered for a shrub — it is ignored. Crown volume is used instead. ","")&amp;IF(AND($C204="Medium",$E204&lt;&gt;"",$L204=""),"Species not in the coefficient list — use 'all shrubs' if you have no closer match. ","")&amp;IF(AND($C204="Small",$J204=""),"Small-plot row with no clipped dry mass yet. ","")&amp;IF($N204&lt;&gt;"","Above-ground only: no root biomass is included for understory. ",""))</f>
        <v/>
      </c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5"/>
      <c r="K205" s="14" t="str">
        <f aca="false">IF($C205="Small","",IF($D205="tree",IF($F205="","",$F205),IF(OR($G205="",$H205="",$I205=""),"",$G205*$H205*$I205)))</f>
        <v/>
      </c>
      <c r="L205" s="14" t="str">
        <f aca="false">IF($C205="Small","",IFERROR(INDEX('R2. Understory Coefficients'!$E$8:$E$14,MATCH($E205,'R2. Understory Coefficients'!$I$8:$I$14,0)),""))</f>
        <v/>
      </c>
      <c r="M205" s="14" t="str">
        <f aca="false">IF($C205="Small","",IFERROR(INDEX('R2. Understory Coefficients'!$F$8:$F$14,MATCH($E205,'R2. Understory Coefficients'!$I$8:$I$14,0)),""))</f>
        <v/>
      </c>
      <c r="N205" s="14" t="str">
        <f aca="false">IF($C205="Small",IF($J205="","",$J205/1000),IF(OR($K205="",$L205="",$M205=""),"",($L205*($K205^$M205))/1000))</f>
        <v/>
      </c>
      <c r="O205" s="14" t="str">
        <f aca="false">IF($N205="","",$N205*CARBON_FRACTION_BIOMASS)</f>
        <v/>
      </c>
      <c r="P205" s="14" t="str">
        <f aca="false">IF(AND($A205="",$E205="",$J205=""),"",IF(AND($A205&lt;&gt;"",COUNTIF('1. Plot &amp; Site Log'!$A$5:$A$64,$A205)=0),"Plot ID not in Plot &amp; Site Log. ","")&amp;IF($C205="","No plot type — say whether this came from a Medium or a Small plot. ","")&amp;IF(AND($C205="Medium",$D205="tree",$F205=""),"Short-statured tree with no diameter at 0.3 m. ","")&amp;IF(AND($C205="Medium",$D205="shrub",OR($G205="",$H205="",$I205="")),"Shrub needs all three of length, width and height. ","")&amp;IF(AND($C205="Medium",$D205="shrub",$F205&lt;&gt;""),"Diameter entered for a shrub — it is ignored. Crown volume is used instead. ","")&amp;IF(AND($C205="Medium",$E205&lt;&gt;"",$L205=""),"Species not in the coefficient list — use 'all shrubs' if you have no closer match. ","")&amp;IF(AND($C205="Small",$J205=""),"Small-plot row with no clipped dry mass yet. ","")&amp;IF($N205&lt;&gt;"","Above-ground only: no root biomass is included for understory. ",""))</f>
        <v/>
      </c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5"/>
      <c r="K206" s="14" t="str">
        <f aca="false">IF($C206="Small","",IF($D206="tree",IF($F206="","",$F206),IF(OR($G206="",$H206="",$I206=""),"",$G206*$H206*$I206)))</f>
        <v/>
      </c>
      <c r="L206" s="14" t="str">
        <f aca="false">IF($C206="Small","",IFERROR(INDEX('R2. Understory Coefficients'!$E$8:$E$14,MATCH($E206,'R2. Understory Coefficients'!$I$8:$I$14,0)),""))</f>
        <v/>
      </c>
      <c r="M206" s="14" t="str">
        <f aca="false">IF($C206="Small","",IFERROR(INDEX('R2. Understory Coefficients'!$F$8:$F$14,MATCH($E206,'R2. Understory Coefficients'!$I$8:$I$14,0)),""))</f>
        <v/>
      </c>
      <c r="N206" s="14" t="str">
        <f aca="false">IF($C206="Small",IF($J206="","",$J206/1000),IF(OR($K206="",$L206="",$M206=""),"",($L206*($K206^$M206))/1000))</f>
        <v/>
      </c>
      <c r="O206" s="14" t="str">
        <f aca="false">IF($N206="","",$N206*CARBON_FRACTION_BIOMASS)</f>
        <v/>
      </c>
      <c r="P206" s="14" t="str">
        <f aca="false">IF(AND($A206="",$E206="",$J206=""),"",IF(AND($A206&lt;&gt;"",COUNTIF('1. Plot &amp; Site Log'!$A$5:$A$64,$A206)=0),"Plot ID not in Plot &amp; Site Log. ","")&amp;IF($C206="","No plot type — say whether this came from a Medium or a Small plot. ","")&amp;IF(AND($C206="Medium",$D206="tree",$F206=""),"Short-statured tree with no diameter at 0.3 m. ","")&amp;IF(AND($C206="Medium",$D206="shrub",OR($G206="",$H206="",$I206="")),"Shrub needs all three of length, width and height. ","")&amp;IF(AND($C206="Medium",$D206="shrub",$F206&lt;&gt;""),"Diameter entered for a shrub — it is ignored. Crown volume is used instead. ","")&amp;IF(AND($C206="Medium",$E206&lt;&gt;"",$L206=""),"Species not in the coefficient list — use 'all shrubs' if you have no closer match. ","")&amp;IF(AND($C206="Small",$J206=""),"Small-plot row with no clipped dry mass yet. ","")&amp;IF($N206&lt;&gt;"","Above-ground only: no root biomass is included for understory. ",""))</f>
        <v/>
      </c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5"/>
      <c r="K207" s="14" t="str">
        <f aca="false">IF($C207="Small","",IF($D207="tree",IF($F207="","",$F207),IF(OR($G207="",$H207="",$I207=""),"",$G207*$H207*$I207)))</f>
        <v/>
      </c>
      <c r="L207" s="14" t="str">
        <f aca="false">IF($C207="Small","",IFERROR(INDEX('R2. Understory Coefficients'!$E$8:$E$14,MATCH($E207,'R2. Understory Coefficients'!$I$8:$I$14,0)),""))</f>
        <v/>
      </c>
      <c r="M207" s="14" t="str">
        <f aca="false">IF($C207="Small","",IFERROR(INDEX('R2. Understory Coefficients'!$F$8:$F$14,MATCH($E207,'R2. Understory Coefficients'!$I$8:$I$14,0)),""))</f>
        <v/>
      </c>
      <c r="N207" s="14" t="str">
        <f aca="false">IF($C207="Small",IF($J207="","",$J207/1000),IF(OR($K207="",$L207="",$M207=""),"",($L207*($K207^$M207))/1000))</f>
        <v/>
      </c>
      <c r="O207" s="14" t="str">
        <f aca="false">IF($N207="","",$N207*CARBON_FRACTION_BIOMASS)</f>
        <v/>
      </c>
      <c r="P207" s="14" t="str">
        <f aca="false">IF(AND($A207="",$E207="",$J207=""),"",IF(AND($A207&lt;&gt;"",COUNTIF('1. Plot &amp; Site Log'!$A$5:$A$64,$A207)=0),"Plot ID not in Plot &amp; Site Log. ","")&amp;IF($C207="","No plot type — say whether this came from a Medium or a Small plot. ","")&amp;IF(AND($C207="Medium",$D207="tree",$F207=""),"Short-statured tree with no diameter at 0.3 m. ","")&amp;IF(AND($C207="Medium",$D207="shrub",OR($G207="",$H207="",$I207="")),"Shrub needs all three of length, width and height. ","")&amp;IF(AND($C207="Medium",$D207="shrub",$F207&lt;&gt;""),"Diameter entered for a shrub — it is ignored. Crown volume is used instead. ","")&amp;IF(AND($C207="Medium",$E207&lt;&gt;"",$L207=""),"Species not in the coefficient list — use 'all shrubs' if you have no closer match. ","")&amp;IF(AND($C207="Small",$J207=""),"Small-plot row with no clipped dry mass yet. ","")&amp;IF($N207&lt;&gt;"","Above-ground only: no root biomass is included for understory. ",""))</f>
        <v/>
      </c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5"/>
      <c r="K208" s="14" t="str">
        <f aca="false">IF($C208="Small","",IF($D208="tree",IF($F208="","",$F208),IF(OR($G208="",$H208="",$I208=""),"",$G208*$H208*$I208)))</f>
        <v/>
      </c>
      <c r="L208" s="14" t="str">
        <f aca="false">IF($C208="Small","",IFERROR(INDEX('R2. Understory Coefficients'!$E$8:$E$14,MATCH($E208,'R2. Understory Coefficients'!$I$8:$I$14,0)),""))</f>
        <v/>
      </c>
      <c r="M208" s="14" t="str">
        <f aca="false">IF($C208="Small","",IFERROR(INDEX('R2. Understory Coefficients'!$F$8:$F$14,MATCH($E208,'R2. Understory Coefficients'!$I$8:$I$14,0)),""))</f>
        <v/>
      </c>
      <c r="N208" s="14" t="str">
        <f aca="false">IF($C208="Small",IF($J208="","",$J208/1000),IF(OR($K208="",$L208="",$M208=""),"",($L208*($K208^$M208))/1000))</f>
        <v/>
      </c>
      <c r="O208" s="14" t="str">
        <f aca="false">IF($N208="","",$N208*CARBON_FRACTION_BIOMASS)</f>
        <v/>
      </c>
      <c r="P208" s="14" t="str">
        <f aca="false">IF(AND($A208="",$E208="",$J208=""),"",IF(AND($A208&lt;&gt;"",COUNTIF('1. Plot &amp; Site Log'!$A$5:$A$64,$A208)=0),"Plot ID not in Plot &amp; Site Log. ","")&amp;IF($C208="","No plot type — say whether this came from a Medium or a Small plot. ","")&amp;IF(AND($C208="Medium",$D208="tree",$F208=""),"Short-statured tree with no diameter at 0.3 m. ","")&amp;IF(AND($C208="Medium",$D208="shrub",OR($G208="",$H208="",$I208="")),"Shrub needs all three of length, width and height. ","")&amp;IF(AND($C208="Medium",$D208="shrub",$F208&lt;&gt;""),"Diameter entered for a shrub — it is ignored. Crown volume is used instead. ","")&amp;IF(AND($C208="Medium",$E208&lt;&gt;"",$L208=""),"Species not in the coefficient list — use 'all shrubs' if you have no closer match. ","")&amp;IF(AND($C208="Small",$J208=""),"Small-plot row with no clipped dry mass yet. ","")&amp;IF($N208&lt;&gt;"","Above-ground only: no root biomass is included for understory. ",""))</f>
        <v/>
      </c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5"/>
      <c r="K209" s="14" t="str">
        <f aca="false">IF($C209="Small","",IF($D209="tree",IF($F209="","",$F209),IF(OR($G209="",$H209="",$I209=""),"",$G209*$H209*$I209)))</f>
        <v/>
      </c>
      <c r="L209" s="14" t="str">
        <f aca="false">IF($C209="Small","",IFERROR(INDEX('R2. Understory Coefficients'!$E$8:$E$14,MATCH($E209,'R2. Understory Coefficients'!$I$8:$I$14,0)),""))</f>
        <v/>
      </c>
      <c r="M209" s="14" t="str">
        <f aca="false">IF($C209="Small","",IFERROR(INDEX('R2. Understory Coefficients'!$F$8:$F$14,MATCH($E209,'R2. Understory Coefficients'!$I$8:$I$14,0)),""))</f>
        <v/>
      </c>
      <c r="N209" s="14" t="str">
        <f aca="false">IF($C209="Small",IF($J209="","",$J209/1000),IF(OR($K209="",$L209="",$M209=""),"",($L209*($K209^$M209))/1000))</f>
        <v/>
      </c>
      <c r="O209" s="14" t="str">
        <f aca="false">IF($N209="","",$N209*CARBON_FRACTION_BIOMASS)</f>
        <v/>
      </c>
      <c r="P209" s="14" t="str">
        <f aca="false">IF(AND($A209="",$E209="",$J209=""),"",IF(AND($A209&lt;&gt;"",COUNTIF('1. Plot &amp; Site Log'!$A$5:$A$64,$A209)=0),"Plot ID not in Plot &amp; Site Log. ","")&amp;IF($C209="","No plot type — say whether this came from a Medium or a Small plot. ","")&amp;IF(AND($C209="Medium",$D209="tree",$F209=""),"Short-statured tree with no diameter at 0.3 m. ","")&amp;IF(AND($C209="Medium",$D209="shrub",OR($G209="",$H209="",$I209="")),"Shrub needs all three of length, width and height. ","")&amp;IF(AND($C209="Medium",$D209="shrub",$F209&lt;&gt;""),"Diameter entered for a shrub — it is ignored. Crown volume is used instead. ","")&amp;IF(AND($C209="Medium",$E209&lt;&gt;"",$L209=""),"Species not in the coefficient list — use 'all shrubs' if you have no closer match. ","")&amp;IF(AND($C209="Small",$J209=""),"Small-plot row with no clipped dry mass yet. ","")&amp;IF($N209&lt;&gt;"","Above-ground only: no root biomass is included for understory. ",""))</f>
        <v/>
      </c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5"/>
      <c r="K210" s="14" t="str">
        <f aca="false">IF($C210="Small","",IF($D210="tree",IF($F210="","",$F210),IF(OR($G210="",$H210="",$I210=""),"",$G210*$H210*$I210)))</f>
        <v/>
      </c>
      <c r="L210" s="14" t="str">
        <f aca="false">IF($C210="Small","",IFERROR(INDEX('R2. Understory Coefficients'!$E$8:$E$14,MATCH($E210,'R2. Understory Coefficients'!$I$8:$I$14,0)),""))</f>
        <v/>
      </c>
      <c r="M210" s="14" t="str">
        <f aca="false">IF($C210="Small","",IFERROR(INDEX('R2. Understory Coefficients'!$F$8:$F$14,MATCH($E210,'R2. Understory Coefficients'!$I$8:$I$14,0)),""))</f>
        <v/>
      </c>
      <c r="N210" s="14" t="str">
        <f aca="false">IF($C210="Small",IF($J210="","",$J210/1000),IF(OR($K210="",$L210="",$M210=""),"",($L210*($K210^$M210))/1000))</f>
        <v/>
      </c>
      <c r="O210" s="14" t="str">
        <f aca="false">IF($N210="","",$N210*CARBON_FRACTION_BIOMASS)</f>
        <v/>
      </c>
      <c r="P210" s="14" t="str">
        <f aca="false">IF(AND($A210="",$E210="",$J210=""),"",IF(AND($A210&lt;&gt;"",COUNTIF('1. Plot &amp; Site Log'!$A$5:$A$64,$A210)=0),"Plot ID not in Plot &amp; Site Log. ","")&amp;IF($C210="","No plot type — say whether this came from a Medium or a Small plot. ","")&amp;IF(AND($C210="Medium",$D210="tree",$F210=""),"Short-statured tree with no diameter at 0.3 m. ","")&amp;IF(AND($C210="Medium",$D210="shrub",OR($G210="",$H210="",$I210="")),"Shrub needs all three of length, width and height. ","")&amp;IF(AND($C210="Medium",$D210="shrub",$F210&lt;&gt;""),"Diameter entered for a shrub — it is ignored. Crown volume is used instead. ","")&amp;IF(AND($C210="Medium",$E210&lt;&gt;"",$L210=""),"Species not in the coefficient list — use 'all shrubs' if you have no closer match. ","")&amp;IF(AND($C210="Small",$J210=""),"Small-plot row with no clipped dry mass yet. ","")&amp;IF($N210&lt;&gt;"","Above-ground only: no root biomass is included for understory. ",""))</f>
        <v/>
      </c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5"/>
      <c r="K211" s="14" t="str">
        <f aca="false">IF($C211="Small","",IF($D211="tree",IF($F211="","",$F211),IF(OR($G211="",$H211="",$I211=""),"",$G211*$H211*$I211)))</f>
        <v/>
      </c>
      <c r="L211" s="14" t="str">
        <f aca="false">IF($C211="Small","",IFERROR(INDEX('R2. Understory Coefficients'!$E$8:$E$14,MATCH($E211,'R2. Understory Coefficients'!$I$8:$I$14,0)),""))</f>
        <v/>
      </c>
      <c r="M211" s="14" t="str">
        <f aca="false">IF($C211="Small","",IFERROR(INDEX('R2. Understory Coefficients'!$F$8:$F$14,MATCH($E211,'R2. Understory Coefficients'!$I$8:$I$14,0)),""))</f>
        <v/>
      </c>
      <c r="N211" s="14" t="str">
        <f aca="false">IF($C211="Small",IF($J211="","",$J211/1000),IF(OR($K211="",$L211="",$M211=""),"",($L211*($K211^$M211))/1000))</f>
        <v/>
      </c>
      <c r="O211" s="14" t="str">
        <f aca="false">IF($N211="","",$N211*CARBON_FRACTION_BIOMASS)</f>
        <v/>
      </c>
      <c r="P211" s="14" t="str">
        <f aca="false">IF(AND($A211="",$E211="",$J211=""),"",IF(AND($A211&lt;&gt;"",COUNTIF('1. Plot &amp; Site Log'!$A$5:$A$64,$A211)=0),"Plot ID not in Plot &amp; Site Log. ","")&amp;IF($C211="","No plot type — say whether this came from a Medium or a Small plot. ","")&amp;IF(AND($C211="Medium",$D211="tree",$F211=""),"Short-statured tree with no diameter at 0.3 m. ","")&amp;IF(AND($C211="Medium",$D211="shrub",OR($G211="",$H211="",$I211="")),"Shrub needs all three of length, width and height. ","")&amp;IF(AND($C211="Medium",$D211="shrub",$F211&lt;&gt;""),"Diameter entered for a shrub — it is ignored. Crown volume is used instead. ","")&amp;IF(AND($C211="Medium",$E211&lt;&gt;"",$L211=""),"Species not in the coefficient list — use 'all shrubs' if you have no closer match. ","")&amp;IF(AND($C211="Small",$J211=""),"Small-plot row with no clipped dry mass yet. ","")&amp;IF($N211&lt;&gt;"","Above-ground only: no root biomass is included for understory. ",""))</f>
        <v/>
      </c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5"/>
      <c r="K212" s="14" t="str">
        <f aca="false">IF($C212="Small","",IF($D212="tree",IF($F212="","",$F212),IF(OR($G212="",$H212="",$I212=""),"",$G212*$H212*$I212)))</f>
        <v/>
      </c>
      <c r="L212" s="14" t="str">
        <f aca="false">IF($C212="Small","",IFERROR(INDEX('R2. Understory Coefficients'!$E$8:$E$14,MATCH($E212,'R2. Understory Coefficients'!$I$8:$I$14,0)),""))</f>
        <v/>
      </c>
      <c r="M212" s="14" t="str">
        <f aca="false">IF($C212="Small","",IFERROR(INDEX('R2. Understory Coefficients'!$F$8:$F$14,MATCH($E212,'R2. Understory Coefficients'!$I$8:$I$14,0)),""))</f>
        <v/>
      </c>
      <c r="N212" s="14" t="str">
        <f aca="false">IF($C212="Small",IF($J212="","",$J212/1000),IF(OR($K212="",$L212="",$M212=""),"",($L212*($K212^$M212))/1000))</f>
        <v/>
      </c>
      <c r="O212" s="14" t="str">
        <f aca="false">IF($N212="","",$N212*CARBON_FRACTION_BIOMASS)</f>
        <v/>
      </c>
      <c r="P212" s="14" t="str">
        <f aca="false">IF(AND($A212="",$E212="",$J212=""),"",IF(AND($A212&lt;&gt;"",COUNTIF('1. Plot &amp; Site Log'!$A$5:$A$64,$A212)=0),"Plot ID not in Plot &amp; Site Log. ","")&amp;IF($C212="","No plot type — say whether this came from a Medium or a Small plot. ","")&amp;IF(AND($C212="Medium",$D212="tree",$F212=""),"Short-statured tree with no diameter at 0.3 m. ","")&amp;IF(AND($C212="Medium",$D212="shrub",OR($G212="",$H212="",$I212="")),"Shrub needs all three of length, width and height. ","")&amp;IF(AND($C212="Medium",$D212="shrub",$F212&lt;&gt;""),"Diameter entered for a shrub — it is ignored. Crown volume is used instead. ","")&amp;IF(AND($C212="Medium",$E212&lt;&gt;"",$L212=""),"Species not in the coefficient list — use 'all shrubs' if you have no closer match. ","")&amp;IF(AND($C212="Small",$J212=""),"Small-plot row with no clipped dry mass yet. ","")&amp;IF($N212&lt;&gt;"","Above-ground only: no root biomass is included for understory. ",""))</f>
        <v/>
      </c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5"/>
      <c r="K213" s="14" t="str">
        <f aca="false">IF($C213="Small","",IF($D213="tree",IF($F213="","",$F213),IF(OR($G213="",$H213="",$I213=""),"",$G213*$H213*$I213)))</f>
        <v/>
      </c>
      <c r="L213" s="14" t="str">
        <f aca="false">IF($C213="Small","",IFERROR(INDEX('R2. Understory Coefficients'!$E$8:$E$14,MATCH($E213,'R2. Understory Coefficients'!$I$8:$I$14,0)),""))</f>
        <v/>
      </c>
      <c r="M213" s="14" t="str">
        <f aca="false">IF($C213="Small","",IFERROR(INDEX('R2. Understory Coefficients'!$F$8:$F$14,MATCH($E213,'R2. Understory Coefficients'!$I$8:$I$14,0)),""))</f>
        <v/>
      </c>
      <c r="N213" s="14" t="str">
        <f aca="false">IF($C213="Small",IF($J213="","",$J213/1000),IF(OR($K213="",$L213="",$M213=""),"",($L213*($K213^$M213))/1000))</f>
        <v/>
      </c>
      <c r="O213" s="14" t="str">
        <f aca="false">IF($N213="","",$N213*CARBON_FRACTION_BIOMASS)</f>
        <v/>
      </c>
      <c r="P213" s="14" t="str">
        <f aca="false">IF(AND($A213="",$E213="",$J213=""),"",IF(AND($A213&lt;&gt;"",COUNTIF('1. Plot &amp; Site Log'!$A$5:$A$64,$A213)=0),"Plot ID not in Plot &amp; Site Log. ","")&amp;IF($C213="","No plot type — say whether this came from a Medium or a Small plot. ","")&amp;IF(AND($C213="Medium",$D213="tree",$F213=""),"Short-statured tree with no diameter at 0.3 m. ","")&amp;IF(AND($C213="Medium",$D213="shrub",OR($G213="",$H213="",$I213="")),"Shrub needs all three of length, width and height. ","")&amp;IF(AND($C213="Medium",$D213="shrub",$F213&lt;&gt;""),"Diameter entered for a shrub — it is ignored. Crown volume is used instead. ","")&amp;IF(AND($C213="Medium",$E213&lt;&gt;"",$L213=""),"Species not in the coefficient list — use 'all shrubs' if you have no closer match. ","")&amp;IF(AND($C213="Small",$J213=""),"Small-plot row with no clipped dry mass yet. ","")&amp;IF($N213&lt;&gt;"","Above-ground only: no root biomass is included for understory. ",""))</f>
        <v/>
      </c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5"/>
      <c r="K214" s="14" t="str">
        <f aca="false">IF($C214="Small","",IF($D214="tree",IF($F214="","",$F214),IF(OR($G214="",$H214="",$I214=""),"",$G214*$H214*$I214)))</f>
        <v/>
      </c>
      <c r="L214" s="14" t="str">
        <f aca="false">IF($C214="Small","",IFERROR(INDEX('R2. Understory Coefficients'!$E$8:$E$14,MATCH($E214,'R2. Understory Coefficients'!$I$8:$I$14,0)),""))</f>
        <v/>
      </c>
      <c r="M214" s="14" t="str">
        <f aca="false">IF($C214="Small","",IFERROR(INDEX('R2. Understory Coefficients'!$F$8:$F$14,MATCH($E214,'R2. Understory Coefficients'!$I$8:$I$14,0)),""))</f>
        <v/>
      </c>
      <c r="N214" s="14" t="str">
        <f aca="false">IF($C214="Small",IF($J214="","",$J214/1000),IF(OR($K214="",$L214="",$M214=""),"",($L214*($K214^$M214))/1000))</f>
        <v/>
      </c>
      <c r="O214" s="14" t="str">
        <f aca="false">IF($N214="","",$N214*CARBON_FRACTION_BIOMASS)</f>
        <v/>
      </c>
      <c r="P214" s="14" t="str">
        <f aca="false">IF(AND($A214="",$E214="",$J214=""),"",IF(AND($A214&lt;&gt;"",COUNTIF('1. Plot &amp; Site Log'!$A$5:$A$64,$A214)=0),"Plot ID not in Plot &amp; Site Log. ","")&amp;IF($C214="","No plot type — say whether this came from a Medium or a Small plot. ","")&amp;IF(AND($C214="Medium",$D214="tree",$F214=""),"Short-statured tree with no diameter at 0.3 m. ","")&amp;IF(AND($C214="Medium",$D214="shrub",OR($G214="",$H214="",$I214="")),"Shrub needs all three of length, width and height. ","")&amp;IF(AND($C214="Medium",$D214="shrub",$F214&lt;&gt;""),"Diameter entered for a shrub — it is ignored. Crown volume is used instead. ","")&amp;IF(AND($C214="Medium",$E214&lt;&gt;"",$L214=""),"Species not in the coefficient list — use 'all shrubs' if you have no closer match. ","")&amp;IF(AND($C214="Small",$J214=""),"Small-plot row with no clipped dry mass yet. ","")&amp;IF($N214&lt;&gt;"","Above-ground only: no root biomass is included for understory. ",""))</f>
        <v/>
      </c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5"/>
      <c r="K215" s="14" t="str">
        <f aca="false">IF($C215="Small","",IF($D215="tree",IF($F215="","",$F215),IF(OR($G215="",$H215="",$I215=""),"",$G215*$H215*$I215)))</f>
        <v/>
      </c>
      <c r="L215" s="14" t="str">
        <f aca="false">IF($C215="Small","",IFERROR(INDEX('R2. Understory Coefficients'!$E$8:$E$14,MATCH($E215,'R2. Understory Coefficients'!$I$8:$I$14,0)),""))</f>
        <v/>
      </c>
      <c r="M215" s="14" t="str">
        <f aca="false">IF($C215="Small","",IFERROR(INDEX('R2. Understory Coefficients'!$F$8:$F$14,MATCH($E215,'R2. Understory Coefficients'!$I$8:$I$14,0)),""))</f>
        <v/>
      </c>
      <c r="N215" s="14" t="str">
        <f aca="false">IF($C215="Small",IF($J215="","",$J215/1000),IF(OR($K215="",$L215="",$M215=""),"",($L215*($K215^$M215))/1000))</f>
        <v/>
      </c>
      <c r="O215" s="14" t="str">
        <f aca="false">IF($N215="","",$N215*CARBON_FRACTION_BIOMASS)</f>
        <v/>
      </c>
      <c r="P215" s="14" t="str">
        <f aca="false">IF(AND($A215="",$E215="",$J215=""),"",IF(AND($A215&lt;&gt;"",COUNTIF('1. Plot &amp; Site Log'!$A$5:$A$64,$A215)=0),"Plot ID not in Plot &amp; Site Log. ","")&amp;IF($C215="","No plot type — say whether this came from a Medium or a Small plot. ","")&amp;IF(AND($C215="Medium",$D215="tree",$F215=""),"Short-statured tree with no diameter at 0.3 m. ","")&amp;IF(AND($C215="Medium",$D215="shrub",OR($G215="",$H215="",$I215="")),"Shrub needs all three of length, width and height. ","")&amp;IF(AND($C215="Medium",$D215="shrub",$F215&lt;&gt;""),"Diameter entered for a shrub — it is ignored. Crown volume is used instead. ","")&amp;IF(AND($C215="Medium",$E215&lt;&gt;"",$L215=""),"Species not in the coefficient list — use 'all shrubs' if you have no closer match. ","")&amp;IF(AND($C215="Small",$J215=""),"Small-plot row with no clipped dry mass yet. ","")&amp;IF($N215&lt;&gt;"","Above-ground only: no root biomass is included for understory. ",""))</f>
        <v/>
      </c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5"/>
      <c r="K216" s="14" t="str">
        <f aca="false">IF($C216="Small","",IF($D216="tree",IF($F216="","",$F216),IF(OR($G216="",$H216="",$I216=""),"",$G216*$H216*$I216)))</f>
        <v/>
      </c>
      <c r="L216" s="14" t="str">
        <f aca="false">IF($C216="Small","",IFERROR(INDEX('R2. Understory Coefficients'!$E$8:$E$14,MATCH($E216,'R2. Understory Coefficients'!$I$8:$I$14,0)),""))</f>
        <v/>
      </c>
      <c r="M216" s="14" t="str">
        <f aca="false">IF($C216="Small","",IFERROR(INDEX('R2. Understory Coefficients'!$F$8:$F$14,MATCH($E216,'R2. Understory Coefficients'!$I$8:$I$14,0)),""))</f>
        <v/>
      </c>
      <c r="N216" s="14" t="str">
        <f aca="false">IF($C216="Small",IF($J216="","",$J216/1000),IF(OR($K216="",$L216="",$M216=""),"",($L216*($K216^$M216))/1000))</f>
        <v/>
      </c>
      <c r="O216" s="14" t="str">
        <f aca="false">IF($N216="","",$N216*CARBON_FRACTION_BIOMASS)</f>
        <v/>
      </c>
      <c r="P216" s="14" t="str">
        <f aca="false">IF(AND($A216="",$E216="",$J216=""),"",IF(AND($A216&lt;&gt;"",COUNTIF('1. Plot &amp; Site Log'!$A$5:$A$64,$A216)=0),"Plot ID not in Plot &amp; Site Log. ","")&amp;IF($C216="","No plot type — say whether this came from a Medium or a Small plot. ","")&amp;IF(AND($C216="Medium",$D216="tree",$F216=""),"Short-statured tree with no diameter at 0.3 m. ","")&amp;IF(AND($C216="Medium",$D216="shrub",OR($G216="",$H216="",$I216="")),"Shrub needs all three of length, width and height. ","")&amp;IF(AND($C216="Medium",$D216="shrub",$F216&lt;&gt;""),"Diameter entered for a shrub — it is ignored. Crown volume is used instead. ","")&amp;IF(AND($C216="Medium",$E216&lt;&gt;"",$L216=""),"Species not in the coefficient list — use 'all shrubs' if you have no closer match. ","")&amp;IF(AND($C216="Small",$J216=""),"Small-plot row with no clipped dry mass yet. ","")&amp;IF($N216&lt;&gt;"","Above-ground only: no root biomass is included for understory. ",""))</f>
        <v/>
      </c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5"/>
      <c r="K217" s="14" t="str">
        <f aca="false">IF($C217="Small","",IF($D217="tree",IF($F217="","",$F217),IF(OR($G217="",$H217="",$I217=""),"",$G217*$H217*$I217)))</f>
        <v/>
      </c>
      <c r="L217" s="14" t="str">
        <f aca="false">IF($C217="Small","",IFERROR(INDEX('R2. Understory Coefficients'!$E$8:$E$14,MATCH($E217,'R2. Understory Coefficients'!$I$8:$I$14,0)),""))</f>
        <v/>
      </c>
      <c r="M217" s="14" t="str">
        <f aca="false">IF($C217="Small","",IFERROR(INDEX('R2. Understory Coefficients'!$F$8:$F$14,MATCH($E217,'R2. Understory Coefficients'!$I$8:$I$14,0)),""))</f>
        <v/>
      </c>
      <c r="N217" s="14" t="str">
        <f aca="false">IF($C217="Small",IF($J217="","",$J217/1000),IF(OR($K217="",$L217="",$M217=""),"",($L217*($K217^$M217))/1000))</f>
        <v/>
      </c>
      <c r="O217" s="14" t="str">
        <f aca="false">IF($N217="","",$N217*CARBON_FRACTION_BIOMASS)</f>
        <v/>
      </c>
      <c r="P217" s="14" t="str">
        <f aca="false">IF(AND($A217="",$E217="",$J217=""),"",IF(AND($A217&lt;&gt;"",COUNTIF('1. Plot &amp; Site Log'!$A$5:$A$64,$A217)=0),"Plot ID not in Plot &amp; Site Log. ","")&amp;IF($C217="","No plot type — say whether this came from a Medium or a Small plot. ","")&amp;IF(AND($C217="Medium",$D217="tree",$F217=""),"Short-statured tree with no diameter at 0.3 m. ","")&amp;IF(AND($C217="Medium",$D217="shrub",OR($G217="",$H217="",$I217="")),"Shrub needs all three of length, width and height. ","")&amp;IF(AND($C217="Medium",$D217="shrub",$F217&lt;&gt;""),"Diameter entered for a shrub — it is ignored. Crown volume is used instead. ","")&amp;IF(AND($C217="Medium",$E217&lt;&gt;"",$L217=""),"Species not in the coefficient list — use 'all shrubs' if you have no closer match. ","")&amp;IF(AND($C217="Small",$J217=""),"Small-plot row with no clipped dry mass yet. ","")&amp;IF($N217&lt;&gt;"","Above-ground only: no root biomass is included for understory. ",""))</f>
        <v/>
      </c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5"/>
      <c r="K218" s="14" t="str">
        <f aca="false">IF($C218="Small","",IF($D218="tree",IF($F218="","",$F218),IF(OR($G218="",$H218="",$I218=""),"",$G218*$H218*$I218)))</f>
        <v/>
      </c>
      <c r="L218" s="14" t="str">
        <f aca="false">IF($C218="Small","",IFERROR(INDEX('R2. Understory Coefficients'!$E$8:$E$14,MATCH($E218,'R2. Understory Coefficients'!$I$8:$I$14,0)),""))</f>
        <v/>
      </c>
      <c r="M218" s="14" t="str">
        <f aca="false">IF($C218="Small","",IFERROR(INDEX('R2. Understory Coefficients'!$F$8:$F$14,MATCH($E218,'R2. Understory Coefficients'!$I$8:$I$14,0)),""))</f>
        <v/>
      </c>
      <c r="N218" s="14" t="str">
        <f aca="false">IF($C218="Small",IF($J218="","",$J218/1000),IF(OR($K218="",$L218="",$M218=""),"",($L218*($K218^$M218))/1000))</f>
        <v/>
      </c>
      <c r="O218" s="14" t="str">
        <f aca="false">IF($N218="","",$N218*CARBON_FRACTION_BIOMASS)</f>
        <v/>
      </c>
      <c r="P218" s="14" t="str">
        <f aca="false">IF(AND($A218="",$E218="",$J218=""),"",IF(AND($A218&lt;&gt;"",COUNTIF('1. Plot &amp; Site Log'!$A$5:$A$64,$A218)=0),"Plot ID not in Plot &amp; Site Log. ","")&amp;IF($C218="","No plot type — say whether this came from a Medium or a Small plot. ","")&amp;IF(AND($C218="Medium",$D218="tree",$F218=""),"Short-statured tree with no diameter at 0.3 m. ","")&amp;IF(AND($C218="Medium",$D218="shrub",OR($G218="",$H218="",$I218="")),"Shrub needs all three of length, width and height. ","")&amp;IF(AND($C218="Medium",$D218="shrub",$F218&lt;&gt;""),"Diameter entered for a shrub — it is ignored. Crown volume is used instead. ","")&amp;IF(AND($C218="Medium",$E218&lt;&gt;"",$L218=""),"Species not in the coefficient list — use 'all shrubs' if you have no closer match. ","")&amp;IF(AND($C218="Small",$J218=""),"Small-plot row with no clipped dry mass yet. ","")&amp;IF($N218&lt;&gt;"","Above-ground only: no root biomass is included for understory. ",""))</f>
        <v/>
      </c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5"/>
      <c r="K219" s="14" t="str">
        <f aca="false">IF($C219="Small","",IF($D219="tree",IF($F219="","",$F219),IF(OR($G219="",$H219="",$I219=""),"",$G219*$H219*$I219)))</f>
        <v/>
      </c>
      <c r="L219" s="14" t="str">
        <f aca="false">IF($C219="Small","",IFERROR(INDEX('R2. Understory Coefficients'!$E$8:$E$14,MATCH($E219,'R2. Understory Coefficients'!$I$8:$I$14,0)),""))</f>
        <v/>
      </c>
      <c r="M219" s="14" t="str">
        <f aca="false">IF($C219="Small","",IFERROR(INDEX('R2. Understory Coefficients'!$F$8:$F$14,MATCH($E219,'R2. Understory Coefficients'!$I$8:$I$14,0)),""))</f>
        <v/>
      </c>
      <c r="N219" s="14" t="str">
        <f aca="false">IF($C219="Small",IF($J219="","",$J219/1000),IF(OR($K219="",$L219="",$M219=""),"",($L219*($K219^$M219))/1000))</f>
        <v/>
      </c>
      <c r="O219" s="14" t="str">
        <f aca="false">IF($N219="","",$N219*CARBON_FRACTION_BIOMASS)</f>
        <v/>
      </c>
      <c r="P219" s="14" t="str">
        <f aca="false">IF(AND($A219="",$E219="",$J219=""),"",IF(AND($A219&lt;&gt;"",COUNTIF('1. Plot &amp; Site Log'!$A$5:$A$64,$A219)=0),"Plot ID not in Plot &amp; Site Log. ","")&amp;IF($C219="","No plot type — say whether this came from a Medium or a Small plot. ","")&amp;IF(AND($C219="Medium",$D219="tree",$F219=""),"Short-statured tree with no diameter at 0.3 m. ","")&amp;IF(AND($C219="Medium",$D219="shrub",OR($G219="",$H219="",$I219="")),"Shrub needs all three of length, width and height. ","")&amp;IF(AND($C219="Medium",$D219="shrub",$F219&lt;&gt;""),"Diameter entered for a shrub — it is ignored. Crown volume is used instead. ","")&amp;IF(AND($C219="Medium",$E219&lt;&gt;"",$L219=""),"Species not in the coefficient list — use 'all shrubs' if you have no closer match. ","")&amp;IF(AND($C219="Small",$J219=""),"Small-plot row with no clipped dry mass yet. ","")&amp;IF($N219&lt;&gt;"","Above-ground only: no root biomass is included for understory. ",""))</f>
        <v/>
      </c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5"/>
      <c r="K220" s="14" t="str">
        <f aca="false">IF($C220="Small","",IF($D220="tree",IF($F220="","",$F220),IF(OR($G220="",$H220="",$I220=""),"",$G220*$H220*$I220)))</f>
        <v/>
      </c>
      <c r="L220" s="14" t="str">
        <f aca="false">IF($C220="Small","",IFERROR(INDEX('R2. Understory Coefficients'!$E$8:$E$14,MATCH($E220,'R2. Understory Coefficients'!$I$8:$I$14,0)),""))</f>
        <v/>
      </c>
      <c r="M220" s="14" t="str">
        <f aca="false">IF($C220="Small","",IFERROR(INDEX('R2. Understory Coefficients'!$F$8:$F$14,MATCH($E220,'R2. Understory Coefficients'!$I$8:$I$14,0)),""))</f>
        <v/>
      </c>
      <c r="N220" s="14" t="str">
        <f aca="false">IF($C220="Small",IF($J220="","",$J220/1000),IF(OR($K220="",$L220="",$M220=""),"",($L220*($K220^$M220))/1000))</f>
        <v/>
      </c>
      <c r="O220" s="14" t="str">
        <f aca="false">IF($N220="","",$N220*CARBON_FRACTION_BIOMASS)</f>
        <v/>
      </c>
      <c r="P220" s="14" t="str">
        <f aca="false">IF(AND($A220="",$E220="",$J220=""),"",IF(AND($A220&lt;&gt;"",COUNTIF('1. Plot &amp; Site Log'!$A$5:$A$64,$A220)=0),"Plot ID not in Plot &amp; Site Log. ","")&amp;IF($C220="","No plot type — say whether this came from a Medium or a Small plot. ","")&amp;IF(AND($C220="Medium",$D220="tree",$F220=""),"Short-statured tree with no diameter at 0.3 m. ","")&amp;IF(AND($C220="Medium",$D220="shrub",OR($G220="",$H220="",$I220="")),"Shrub needs all three of length, width and height. ","")&amp;IF(AND($C220="Medium",$D220="shrub",$F220&lt;&gt;""),"Diameter entered for a shrub — it is ignored. Crown volume is used instead. ","")&amp;IF(AND($C220="Medium",$E220&lt;&gt;"",$L220=""),"Species not in the coefficient list — use 'all shrubs' if you have no closer match. ","")&amp;IF(AND($C220="Small",$J220=""),"Small-plot row with no clipped dry mass yet. ","")&amp;IF($N220&lt;&gt;"","Above-ground only: no root biomass is included for understory. ",""))</f>
        <v/>
      </c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5"/>
      <c r="K221" s="14" t="str">
        <f aca="false">IF($C221="Small","",IF($D221="tree",IF($F221="","",$F221),IF(OR($G221="",$H221="",$I221=""),"",$G221*$H221*$I221)))</f>
        <v/>
      </c>
      <c r="L221" s="14" t="str">
        <f aca="false">IF($C221="Small","",IFERROR(INDEX('R2. Understory Coefficients'!$E$8:$E$14,MATCH($E221,'R2. Understory Coefficients'!$I$8:$I$14,0)),""))</f>
        <v/>
      </c>
      <c r="M221" s="14" t="str">
        <f aca="false">IF($C221="Small","",IFERROR(INDEX('R2. Understory Coefficients'!$F$8:$F$14,MATCH($E221,'R2. Understory Coefficients'!$I$8:$I$14,0)),""))</f>
        <v/>
      </c>
      <c r="N221" s="14" t="str">
        <f aca="false">IF($C221="Small",IF($J221="","",$J221/1000),IF(OR($K221="",$L221="",$M221=""),"",($L221*($K221^$M221))/1000))</f>
        <v/>
      </c>
      <c r="O221" s="14" t="str">
        <f aca="false">IF($N221="","",$N221*CARBON_FRACTION_BIOMASS)</f>
        <v/>
      </c>
      <c r="P221" s="14" t="str">
        <f aca="false">IF(AND($A221="",$E221="",$J221=""),"",IF(AND($A221&lt;&gt;"",COUNTIF('1. Plot &amp; Site Log'!$A$5:$A$64,$A221)=0),"Plot ID not in Plot &amp; Site Log. ","")&amp;IF($C221="","No plot type — say whether this came from a Medium or a Small plot. ","")&amp;IF(AND($C221="Medium",$D221="tree",$F221=""),"Short-statured tree with no diameter at 0.3 m. ","")&amp;IF(AND($C221="Medium",$D221="shrub",OR($G221="",$H221="",$I221="")),"Shrub needs all three of length, width and height. ","")&amp;IF(AND($C221="Medium",$D221="shrub",$F221&lt;&gt;""),"Diameter entered for a shrub — it is ignored. Crown volume is used instead. ","")&amp;IF(AND($C221="Medium",$E221&lt;&gt;"",$L221=""),"Species not in the coefficient list — use 'all shrubs' if you have no closer match. ","")&amp;IF(AND($C221="Small",$J221=""),"Small-plot row with no clipped dry mass yet. ","")&amp;IF($N221&lt;&gt;"","Above-ground only: no root biomass is included for understory. ",""))</f>
        <v/>
      </c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5"/>
      <c r="K222" s="14" t="str">
        <f aca="false">IF($C222="Small","",IF($D222="tree",IF($F222="","",$F222),IF(OR($G222="",$H222="",$I222=""),"",$G222*$H222*$I222)))</f>
        <v/>
      </c>
      <c r="L222" s="14" t="str">
        <f aca="false">IF($C222="Small","",IFERROR(INDEX('R2. Understory Coefficients'!$E$8:$E$14,MATCH($E222,'R2. Understory Coefficients'!$I$8:$I$14,0)),""))</f>
        <v/>
      </c>
      <c r="M222" s="14" t="str">
        <f aca="false">IF($C222="Small","",IFERROR(INDEX('R2. Understory Coefficients'!$F$8:$F$14,MATCH($E222,'R2. Understory Coefficients'!$I$8:$I$14,0)),""))</f>
        <v/>
      </c>
      <c r="N222" s="14" t="str">
        <f aca="false">IF($C222="Small",IF($J222="","",$J222/1000),IF(OR($K222="",$L222="",$M222=""),"",($L222*($K222^$M222))/1000))</f>
        <v/>
      </c>
      <c r="O222" s="14" t="str">
        <f aca="false">IF($N222="","",$N222*CARBON_FRACTION_BIOMASS)</f>
        <v/>
      </c>
      <c r="P222" s="14" t="str">
        <f aca="false">IF(AND($A222="",$E222="",$J222=""),"",IF(AND($A222&lt;&gt;"",COUNTIF('1. Plot &amp; Site Log'!$A$5:$A$64,$A222)=0),"Plot ID not in Plot &amp; Site Log. ","")&amp;IF($C222="","No plot type — say whether this came from a Medium or a Small plot. ","")&amp;IF(AND($C222="Medium",$D222="tree",$F222=""),"Short-statured tree with no diameter at 0.3 m. ","")&amp;IF(AND($C222="Medium",$D222="shrub",OR($G222="",$H222="",$I222="")),"Shrub needs all three of length, width and height. ","")&amp;IF(AND($C222="Medium",$D222="shrub",$F222&lt;&gt;""),"Diameter entered for a shrub — it is ignored. Crown volume is used instead. ","")&amp;IF(AND($C222="Medium",$E222&lt;&gt;"",$L222=""),"Species not in the coefficient list — use 'all shrubs' if you have no closer match. ","")&amp;IF(AND($C222="Small",$J222=""),"Small-plot row with no clipped dry mass yet. ","")&amp;IF($N222&lt;&gt;"","Above-ground only: no root biomass is included for understory. ",""))</f>
        <v/>
      </c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5"/>
      <c r="K223" s="14" t="str">
        <f aca="false">IF($C223="Small","",IF($D223="tree",IF($F223="","",$F223),IF(OR($G223="",$H223="",$I223=""),"",$G223*$H223*$I223)))</f>
        <v/>
      </c>
      <c r="L223" s="14" t="str">
        <f aca="false">IF($C223="Small","",IFERROR(INDEX('R2. Understory Coefficients'!$E$8:$E$14,MATCH($E223,'R2. Understory Coefficients'!$I$8:$I$14,0)),""))</f>
        <v/>
      </c>
      <c r="M223" s="14" t="str">
        <f aca="false">IF($C223="Small","",IFERROR(INDEX('R2. Understory Coefficients'!$F$8:$F$14,MATCH($E223,'R2. Understory Coefficients'!$I$8:$I$14,0)),""))</f>
        <v/>
      </c>
      <c r="N223" s="14" t="str">
        <f aca="false">IF($C223="Small",IF($J223="","",$J223/1000),IF(OR($K223="",$L223="",$M223=""),"",($L223*($K223^$M223))/1000))</f>
        <v/>
      </c>
      <c r="O223" s="14" t="str">
        <f aca="false">IF($N223="","",$N223*CARBON_FRACTION_BIOMASS)</f>
        <v/>
      </c>
      <c r="P223" s="14" t="str">
        <f aca="false">IF(AND($A223="",$E223="",$J223=""),"",IF(AND($A223&lt;&gt;"",COUNTIF('1. Plot &amp; Site Log'!$A$5:$A$64,$A223)=0),"Plot ID not in Plot &amp; Site Log. ","")&amp;IF($C223="","No plot type — say whether this came from a Medium or a Small plot. ","")&amp;IF(AND($C223="Medium",$D223="tree",$F223=""),"Short-statured tree with no diameter at 0.3 m. ","")&amp;IF(AND($C223="Medium",$D223="shrub",OR($G223="",$H223="",$I223="")),"Shrub needs all three of length, width and height. ","")&amp;IF(AND($C223="Medium",$D223="shrub",$F223&lt;&gt;""),"Diameter entered for a shrub — it is ignored. Crown volume is used instead. ","")&amp;IF(AND($C223="Medium",$E223&lt;&gt;"",$L223=""),"Species not in the coefficient list — use 'all shrubs' if you have no closer match. ","")&amp;IF(AND($C223="Small",$J223=""),"Small-plot row with no clipped dry mass yet. ","")&amp;IF($N223&lt;&gt;"","Above-ground only: no root biomass is included for understory. ",""))</f>
        <v/>
      </c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5"/>
      <c r="K224" s="14" t="str">
        <f aca="false">IF($C224="Small","",IF($D224="tree",IF($F224="","",$F224),IF(OR($G224="",$H224="",$I224=""),"",$G224*$H224*$I224)))</f>
        <v/>
      </c>
      <c r="L224" s="14" t="str">
        <f aca="false">IF($C224="Small","",IFERROR(INDEX('R2. Understory Coefficients'!$E$8:$E$14,MATCH($E224,'R2. Understory Coefficients'!$I$8:$I$14,0)),""))</f>
        <v/>
      </c>
      <c r="M224" s="14" t="str">
        <f aca="false">IF($C224="Small","",IFERROR(INDEX('R2. Understory Coefficients'!$F$8:$F$14,MATCH($E224,'R2. Understory Coefficients'!$I$8:$I$14,0)),""))</f>
        <v/>
      </c>
      <c r="N224" s="14" t="str">
        <f aca="false">IF($C224="Small",IF($J224="","",$J224/1000),IF(OR($K224="",$L224="",$M224=""),"",($L224*($K224^$M224))/1000))</f>
        <v/>
      </c>
      <c r="O224" s="14" t="str">
        <f aca="false">IF($N224="","",$N224*CARBON_FRACTION_BIOMASS)</f>
        <v/>
      </c>
      <c r="P224" s="14" t="str">
        <f aca="false">IF(AND($A224="",$E224="",$J224=""),"",IF(AND($A224&lt;&gt;"",COUNTIF('1. Plot &amp; Site Log'!$A$5:$A$64,$A224)=0),"Plot ID not in Plot &amp; Site Log. ","")&amp;IF($C224="","No plot type — say whether this came from a Medium or a Small plot. ","")&amp;IF(AND($C224="Medium",$D224="tree",$F224=""),"Short-statured tree with no diameter at 0.3 m. ","")&amp;IF(AND($C224="Medium",$D224="shrub",OR($G224="",$H224="",$I224="")),"Shrub needs all three of length, width and height. ","")&amp;IF(AND($C224="Medium",$D224="shrub",$F224&lt;&gt;""),"Diameter entered for a shrub — it is ignored. Crown volume is used instead. ","")&amp;IF(AND($C224="Medium",$E224&lt;&gt;"",$L224=""),"Species not in the coefficient list — use 'all shrubs' if you have no closer match. ","")&amp;IF(AND($C224="Small",$J224=""),"Small-plot row with no clipped dry mass yet. ","")&amp;IF($N224&lt;&gt;"","Above-ground only: no root biomass is included for understory. ",""))</f>
        <v/>
      </c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5"/>
      <c r="K225" s="14" t="str">
        <f aca="false">IF($C225="Small","",IF($D225="tree",IF($F225="","",$F225),IF(OR($G225="",$H225="",$I225=""),"",$G225*$H225*$I225)))</f>
        <v/>
      </c>
      <c r="L225" s="14" t="str">
        <f aca="false">IF($C225="Small","",IFERROR(INDEX('R2. Understory Coefficients'!$E$8:$E$14,MATCH($E225,'R2. Understory Coefficients'!$I$8:$I$14,0)),""))</f>
        <v/>
      </c>
      <c r="M225" s="14" t="str">
        <f aca="false">IF($C225="Small","",IFERROR(INDEX('R2. Understory Coefficients'!$F$8:$F$14,MATCH($E225,'R2. Understory Coefficients'!$I$8:$I$14,0)),""))</f>
        <v/>
      </c>
      <c r="N225" s="14" t="str">
        <f aca="false">IF($C225="Small",IF($J225="","",$J225/1000),IF(OR($K225="",$L225="",$M225=""),"",($L225*($K225^$M225))/1000))</f>
        <v/>
      </c>
      <c r="O225" s="14" t="str">
        <f aca="false">IF($N225="","",$N225*CARBON_FRACTION_BIOMASS)</f>
        <v/>
      </c>
      <c r="P225" s="14" t="str">
        <f aca="false">IF(AND($A225="",$E225="",$J225=""),"",IF(AND($A225&lt;&gt;"",COUNTIF('1. Plot &amp; Site Log'!$A$5:$A$64,$A225)=0),"Plot ID not in Plot &amp; Site Log. ","")&amp;IF($C225="","No plot type — say whether this came from a Medium or a Small plot. ","")&amp;IF(AND($C225="Medium",$D225="tree",$F225=""),"Short-statured tree with no diameter at 0.3 m. ","")&amp;IF(AND($C225="Medium",$D225="shrub",OR($G225="",$H225="",$I225="")),"Shrub needs all three of length, width and height. ","")&amp;IF(AND($C225="Medium",$D225="shrub",$F225&lt;&gt;""),"Diameter entered for a shrub — it is ignored. Crown volume is used instead. ","")&amp;IF(AND($C225="Medium",$E225&lt;&gt;"",$L225=""),"Species not in the coefficient list — use 'all shrubs' if you have no closer match. ","")&amp;IF(AND($C225="Small",$J225=""),"Small-plot row with no clipped dry mass yet. ","")&amp;IF($N225&lt;&gt;"","Above-ground only: no root biomass is included for understory. ",""))</f>
        <v/>
      </c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5"/>
      <c r="K226" s="14" t="str">
        <f aca="false">IF($C226="Small","",IF($D226="tree",IF($F226="","",$F226),IF(OR($G226="",$H226="",$I226=""),"",$G226*$H226*$I226)))</f>
        <v/>
      </c>
      <c r="L226" s="14" t="str">
        <f aca="false">IF($C226="Small","",IFERROR(INDEX('R2. Understory Coefficients'!$E$8:$E$14,MATCH($E226,'R2. Understory Coefficients'!$I$8:$I$14,0)),""))</f>
        <v/>
      </c>
      <c r="M226" s="14" t="str">
        <f aca="false">IF($C226="Small","",IFERROR(INDEX('R2. Understory Coefficients'!$F$8:$F$14,MATCH($E226,'R2. Understory Coefficients'!$I$8:$I$14,0)),""))</f>
        <v/>
      </c>
      <c r="N226" s="14" t="str">
        <f aca="false">IF($C226="Small",IF($J226="","",$J226/1000),IF(OR($K226="",$L226="",$M226=""),"",($L226*($K226^$M226))/1000))</f>
        <v/>
      </c>
      <c r="O226" s="14" t="str">
        <f aca="false">IF($N226="","",$N226*CARBON_FRACTION_BIOMASS)</f>
        <v/>
      </c>
      <c r="P226" s="14" t="str">
        <f aca="false">IF(AND($A226="",$E226="",$J226=""),"",IF(AND($A226&lt;&gt;"",COUNTIF('1. Plot &amp; Site Log'!$A$5:$A$64,$A226)=0),"Plot ID not in Plot &amp; Site Log. ","")&amp;IF($C226="","No plot type — say whether this came from a Medium or a Small plot. ","")&amp;IF(AND($C226="Medium",$D226="tree",$F226=""),"Short-statured tree with no diameter at 0.3 m. ","")&amp;IF(AND($C226="Medium",$D226="shrub",OR($G226="",$H226="",$I226="")),"Shrub needs all three of length, width and height. ","")&amp;IF(AND($C226="Medium",$D226="shrub",$F226&lt;&gt;""),"Diameter entered for a shrub — it is ignored. Crown volume is used instead. ","")&amp;IF(AND($C226="Medium",$E226&lt;&gt;"",$L226=""),"Species not in the coefficient list — use 'all shrubs' if you have no closer match. ","")&amp;IF(AND($C226="Small",$J226=""),"Small-plot row with no clipped dry mass yet. ","")&amp;IF($N226&lt;&gt;"","Above-ground only: no root biomass is included for understory. ",""))</f>
        <v/>
      </c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5"/>
      <c r="K227" s="14" t="str">
        <f aca="false">IF($C227="Small","",IF($D227="tree",IF($F227="","",$F227),IF(OR($G227="",$H227="",$I227=""),"",$G227*$H227*$I227)))</f>
        <v/>
      </c>
      <c r="L227" s="14" t="str">
        <f aca="false">IF($C227="Small","",IFERROR(INDEX('R2. Understory Coefficients'!$E$8:$E$14,MATCH($E227,'R2. Understory Coefficients'!$I$8:$I$14,0)),""))</f>
        <v/>
      </c>
      <c r="M227" s="14" t="str">
        <f aca="false">IF($C227="Small","",IFERROR(INDEX('R2. Understory Coefficients'!$F$8:$F$14,MATCH($E227,'R2. Understory Coefficients'!$I$8:$I$14,0)),""))</f>
        <v/>
      </c>
      <c r="N227" s="14" t="str">
        <f aca="false">IF($C227="Small",IF($J227="","",$J227/1000),IF(OR($K227="",$L227="",$M227=""),"",($L227*($K227^$M227))/1000))</f>
        <v/>
      </c>
      <c r="O227" s="14" t="str">
        <f aca="false">IF($N227="","",$N227*CARBON_FRACTION_BIOMASS)</f>
        <v/>
      </c>
      <c r="P227" s="14" t="str">
        <f aca="false">IF(AND($A227="",$E227="",$J227=""),"",IF(AND($A227&lt;&gt;"",COUNTIF('1. Plot &amp; Site Log'!$A$5:$A$64,$A227)=0),"Plot ID not in Plot &amp; Site Log. ","")&amp;IF($C227="","No plot type — say whether this came from a Medium or a Small plot. ","")&amp;IF(AND($C227="Medium",$D227="tree",$F227=""),"Short-statured tree with no diameter at 0.3 m. ","")&amp;IF(AND($C227="Medium",$D227="shrub",OR($G227="",$H227="",$I227="")),"Shrub needs all three of length, width and height. ","")&amp;IF(AND($C227="Medium",$D227="shrub",$F227&lt;&gt;""),"Diameter entered for a shrub — it is ignored. Crown volume is used instead. ","")&amp;IF(AND($C227="Medium",$E227&lt;&gt;"",$L227=""),"Species not in the coefficient list — use 'all shrubs' if you have no closer match. ","")&amp;IF(AND($C227="Small",$J227=""),"Small-plot row with no clipped dry mass yet. ","")&amp;IF($N227&lt;&gt;"","Above-ground only: no root biomass is included for understory. ",""))</f>
        <v/>
      </c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5"/>
      <c r="K228" s="14" t="str">
        <f aca="false">IF($C228="Small","",IF($D228="tree",IF($F228="","",$F228),IF(OR($G228="",$H228="",$I228=""),"",$G228*$H228*$I228)))</f>
        <v/>
      </c>
      <c r="L228" s="14" t="str">
        <f aca="false">IF($C228="Small","",IFERROR(INDEX('R2. Understory Coefficients'!$E$8:$E$14,MATCH($E228,'R2. Understory Coefficients'!$I$8:$I$14,0)),""))</f>
        <v/>
      </c>
      <c r="M228" s="14" t="str">
        <f aca="false">IF($C228="Small","",IFERROR(INDEX('R2. Understory Coefficients'!$F$8:$F$14,MATCH($E228,'R2. Understory Coefficients'!$I$8:$I$14,0)),""))</f>
        <v/>
      </c>
      <c r="N228" s="14" t="str">
        <f aca="false">IF($C228="Small",IF($J228="","",$J228/1000),IF(OR($K228="",$L228="",$M228=""),"",($L228*($K228^$M228))/1000))</f>
        <v/>
      </c>
      <c r="O228" s="14" t="str">
        <f aca="false">IF($N228="","",$N228*CARBON_FRACTION_BIOMASS)</f>
        <v/>
      </c>
      <c r="P228" s="14" t="str">
        <f aca="false">IF(AND($A228="",$E228="",$J228=""),"",IF(AND($A228&lt;&gt;"",COUNTIF('1. Plot &amp; Site Log'!$A$5:$A$64,$A228)=0),"Plot ID not in Plot &amp; Site Log. ","")&amp;IF($C228="","No plot type — say whether this came from a Medium or a Small plot. ","")&amp;IF(AND($C228="Medium",$D228="tree",$F228=""),"Short-statured tree with no diameter at 0.3 m. ","")&amp;IF(AND($C228="Medium",$D228="shrub",OR($G228="",$H228="",$I228="")),"Shrub needs all three of length, width and height. ","")&amp;IF(AND($C228="Medium",$D228="shrub",$F228&lt;&gt;""),"Diameter entered for a shrub — it is ignored. Crown volume is used instead. ","")&amp;IF(AND($C228="Medium",$E228&lt;&gt;"",$L228=""),"Species not in the coefficient list — use 'all shrubs' if you have no closer match. ","")&amp;IF(AND($C228="Small",$J228=""),"Small-plot row with no clipped dry mass yet. ","")&amp;IF($N228&lt;&gt;"","Above-ground only: no root biomass is included for understory. ",""))</f>
        <v/>
      </c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5"/>
      <c r="K229" s="14" t="str">
        <f aca="false">IF($C229="Small","",IF($D229="tree",IF($F229="","",$F229),IF(OR($G229="",$H229="",$I229=""),"",$G229*$H229*$I229)))</f>
        <v/>
      </c>
      <c r="L229" s="14" t="str">
        <f aca="false">IF($C229="Small","",IFERROR(INDEX('R2. Understory Coefficients'!$E$8:$E$14,MATCH($E229,'R2. Understory Coefficients'!$I$8:$I$14,0)),""))</f>
        <v/>
      </c>
      <c r="M229" s="14" t="str">
        <f aca="false">IF($C229="Small","",IFERROR(INDEX('R2. Understory Coefficients'!$F$8:$F$14,MATCH($E229,'R2. Understory Coefficients'!$I$8:$I$14,0)),""))</f>
        <v/>
      </c>
      <c r="N229" s="14" t="str">
        <f aca="false">IF($C229="Small",IF($J229="","",$J229/1000),IF(OR($K229="",$L229="",$M229=""),"",($L229*($K229^$M229))/1000))</f>
        <v/>
      </c>
      <c r="O229" s="14" t="str">
        <f aca="false">IF($N229="","",$N229*CARBON_FRACTION_BIOMASS)</f>
        <v/>
      </c>
      <c r="P229" s="14" t="str">
        <f aca="false">IF(AND($A229="",$E229="",$J229=""),"",IF(AND($A229&lt;&gt;"",COUNTIF('1. Plot &amp; Site Log'!$A$5:$A$64,$A229)=0),"Plot ID not in Plot &amp; Site Log. ","")&amp;IF($C229="","No plot type — say whether this came from a Medium or a Small plot. ","")&amp;IF(AND($C229="Medium",$D229="tree",$F229=""),"Short-statured tree with no diameter at 0.3 m. ","")&amp;IF(AND($C229="Medium",$D229="shrub",OR($G229="",$H229="",$I229="")),"Shrub needs all three of length, width and height. ","")&amp;IF(AND($C229="Medium",$D229="shrub",$F229&lt;&gt;""),"Diameter entered for a shrub — it is ignored. Crown volume is used instead. ","")&amp;IF(AND($C229="Medium",$E229&lt;&gt;"",$L229=""),"Species not in the coefficient list — use 'all shrubs' if you have no closer match. ","")&amp;IF(AND($C229="Small",$J229=""),"Small-plot row with no clipped dry mass yet. ","")&amp;IF($N229&lt;&gt;"","Above-ground only: no root biomass is included for understory. ",""))</f>
        <v/>
      </c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5"/>
      <c r="K230" s="14" t="str">
        <f aca="false">IF($C230="Small","",IF($D230="tree",IF($F230="","",$F230),IF(OR($G230="",$H230="",$I230=""),"",$G230*$H230*$I230)))</f>
        <v/>
      </c>
      <c r="L230" s="14" t="str">
        <f aca="false">IF($C230="Small","",IFERROR(INDEX('R2. Understory Coefficients'!$E$8:$E$14,MATCH($E230,'R2. Understory Coefficients'!$I$8:$I$14,0)),""))</f>
        <v/>
      </c>
      <c r="M230" s="14" t="str">
        <f aca="false">IF($C230="Small","",IFERROR(INDEX('R2. Understory Coefficients'!$F$8:$F$14,MATCH($E230,'R2. Understory Coefficients'!$I$8:$I$14,0)),""))</f>
        <v/>
      </c>
      <c r="N230" s="14" t="str">
        <f aca="false">IF($C230="Small",IF($J230="","",$J230/1000),IF(OR($K230="",$L230="",$M230=""),"",($L230*($K230^$M230))/1000))</f>
        <v/>
      </c>
      <c r="O230" s="14" t="str">
        <f aca="false">IF($N230="","",$N230*CARBON_FRACTION_BIOMASS)</f>
        <v/>
      </c>
      <c r="P230" s="14" t="str">
        <f aca="false">IF(AND($A230="",$E230="",$J230=""),"",IF(AND($A230&lt;&gt;"",COUNTIF('1. Plot &amp; Site Log'!$A$5:$A$64,$A230)=0),"Plot ID not in Plot &amp; Site Log. ","")&amp;IF($C230="","No plot type — say whether this came from a Medium or a Small plot. ","")&amp;IF(AND($C230="Medium",$D230="tree",$F230=""),"Short-statured tree with no diameter at 0.3 m. ","")&amp;IF(AND($C230="Medium",$D230="shrub",OR($G230="",$H230="",$I230="")),"Shrub needs all three of length, width and height. ","")&amp;IF(AND($C230="Medium",$D230="shrub",$F230&lt;&gt;""),"Diameter entered for a shrub — it is ignored. Crown volume is used instead. ","")&amp;IF(AND($C230="Medium",$E230&lt;&gt;"",$L230=""),"Species not in the coefficient list — use 'all shrubs' if you have no closer match. ","")&amp;IF(AND($C230="Small",$J230=""),"Small-plot row with no clipped dry mass yet. ","")&amp;IF($N230&lt;&gt;"","Above-ground only: no root biomass is included for understory. ",""))</f>
        <v/>
      </c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5"/>
      <c r="K231" s="14" t="str">
        <f aca="false">IF($C231="Small","",IF($D231="tree",IF($F231="","",$F231),IF(OR($G231="",$H231="",$I231=""),"",$G231*$H231*$I231)))</f>
        <v/>
      </c>
      <c r="L231" s="14" t="str">
        <f aca="false">IF($C231="Small","",IFERROR(INDEX('R2. Understory Coefficients'!$E$8:$E$14,MATCH($E231,'R2. Understory Coefficients'!$I$8:$I$14,0)),""))</f>
        <v/>
      </c>
      <c r="M231" s="14" t="str">
        <f aca="false">IF($C231="Small","",IFERROR(INDEX('R2. Understory Coefficients'!$F$8:$F$14,MATCH($E231,'R2. Understory Coefficients'!$I$8:$I$14,0)),""))</f>
        <v/>
      </c>
      <c r="N231" s="14" t="str">
        <f aca="false">IF($C231="Small",IF($J231="","",$J231/1000),IF(OR($K231="",$L231="",$M231=""),"",($L231*($K231^$M231))/1000))</f>
        <v/>
      </c>
      <c r="O231" s="14" t="str">
        <f aca="false">IF($N231="","",$N231*CARBON_FRACTION_BIOMASS)</f>
        <v/>
      </c>
      <c r="P231" s="14" t="str">
        <f aca="false">IF(AND($A231="",$E231="",$J231=""),"",IF(AND($A231&lt;&gt;"",COUNTIF('1. Plot &amp; Site Log'!$A$5:$A$64,$A231)=0),"Plot ID not in Plot &amp; Site Log. ","")&amp;IF($C231="","No plot type — say whether this came from a Medium or a Small plot. ","")&amp;IF(AND($C231="Medium",$D231="tree",$F231=""),"Short-statured tree with no diameter at 0.3 m. ","")&amp;IF(AND($C231="Medium",$D231="shrub",OR($G231="",$H231="",$I231="")),"Shrub needs all three of length, width and height. ","")&amp;IF(AND($C231="Medium",$D231="shrub",$F231&lt;&gt;""),"Diameter entered for a shrub — it is ignored. Crown volume is used instead. ","")&amp;IF(AND($C231="Medium",$E231&lt;&gt;"",$L231=""),"Species not in the coefficient list — use 'all shrubs' if you have no closer match. ","")&amp;IF(AND($C231="Small",$J231=""),"Small-plot row with no clipped dry mass yet. ","")&amp;IF($N231&lt;&gt;"","Above-ground only: no root biomass is included for understory. ",""))</f>
        <v/>
      </c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5"/>
      <c r="K232" s="14" t="str">
        <f aca="false">IF($C232="Small","",IF($D232="tree",IF($F232="","",$F232),IF(OR($G232="",$H232="",$I232=""),"",$G232*$H232*$I232)))</f>
        <v/>
      </c>
      <c r="L232" s="14" t="str">
        <f aca="false">IF($C232="Small","",IFERROR(INDEX('R2. Understory Coefficients'!$E$8:$E$14,MATCH($E232,'R2. Understory Coefficients'!$I$8:$I$14,0)),""))</f>
        <v/>
      </c>
      <c r="M232" s="14" t="str">
        <f aca="false">IF($C232="Small","",IFERROR(INDEX('R2. Understory Coefficients'!$F$8:$F$14,MATCH($E232,'R2. Understory Coefficients'!$I$8:$I$14,0)),""))</f>
        <v/>
      </c>
      <c r="N232" s="14" t="str">
        <f aca="false">IF($C232="Small",IF($J232="","",$J232/1000),IF(OR($K232="",$L232="",$M232=""),"",($L232*($K232^$M232))/1000))</f>
        <v/>
      </c>
      <c r="O232" s="14" t="str">
        <f aca="false">IF($N232="","",$N232*CARBON_FRACTION_BIOMASS)</f>
        <v/>
      </c>
      <c r="P232" s="14" t="str">
        <f aca="false">IF(AND($A232="",$E232="",$J232=""),"",IF(AND($A232&lt;&gt;"",COUNTIF('1. Plot &amp; Site Log'!$A$5:$A$64,$A232)=0),"Plot ID not in Plot &amp; Site Log. ","")&amp;IF($C232="","No plot type — say whether this came from a Medium or a Small plot. ","")&amp;IF(AND($C232="Medium",$D232="tree",$F232=""),"Short-statured tree with no diameter at 0.3 m. ","")&amp;IF(AND($C232="Medium",$D232="shrub",OR($G232="",$H232="",$I232="")),"Shrub needs all three of length, width and height. ","")&amp;IF(AND($C232="Medium",$D232="shrub",$F232&lt;&gt;""),"Diameter entered for a shrub — it is ignored. Crown volume is used instead. ","")&amp;IF(AND($C232="Medium",$E232&lt;&gt;"",$L232=""),"Species not in the coefficient list — use 'all shrubs' if you have no closer match. ","")&amp;IF(AND($C232="Small",$J232=""),"Small-plot row with no clipped dry mass yet. ","")&amp;IF($N232&lt;&gt;"","Above-ground only: no root biomass is included for understory. ",""))</f>
        <v/>
      </c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5"/>
      <c r="K233" s="14" t="str">
        <f aca="false">IF($C233="Small","",IF($D233="tree",IF($F233="","",$F233),IF(OR($G233="",$H233="",$I233=""),"",$G233*$H233*$I233)))</f>
        <v/>
      </c>
      <c r="L233" s="14" t="str">
        <f aca="false">IF($C233="Small","",IFERROR(INDEX('R2. Understory Coefficients'!$E$8:$E$14,MATCH($E233,'R2. Understory Coefficients'!$I$8:$I$14,0)),""))</f>
        <v/>
      </c>
      <c r="M233" s="14" t="str">
        <f aca="false">IF($C233="Small","",IFERROR(INDEX('R2. Understory Coefficients'!$F$8:$F$14,MATCH($E233,'R2. Understory Coefficients'!$I$8:$I$14,0)),""))</f>
        <v/>
      </c>
      <c r="N233" s="14" t="str">
        <f aca="false">IF($C233="Small",IF($J233="","",$J233/1000),IF(OR($K233="",$L233="",$M233=""),"",($L233*($K233^$M233))/1000))</f>
        <v/>
      </c>
      <c r="O233" s="14" t="str">
        <f aca="false">IF($N233="","",$N233*CARBON_FRACTION_BIOMASS)</f>
        <v/>
      </c>
      <c r="P233" s="14" t="str">
        <f aca="false">IF(AND($A233="",$E233="",$J233=""),"",IF(AND($A233&lt;&gt;"",COUNTIF('1. Plot &amp; Site Log'!$A$5:$A$64,$A233)=0),"Plot ID not in Plot &amp; Site Log. ","")&amp;IF($C233="","No plot type — say whether this came from a Medium or a Small plot. ","")&amp;IF(AND($C233="Medium",$D233="tree",$F233=""),"Short-statured tree with no diameter at 0.3 m. ","")&amp;IF(AND($C233="Medium",$D233="shrub",OR($G233="",$H233="",$I233="")),"Shrub needs all three of length, width and height. ","")&amp;IF(AND($C233="Medium",$D233="shrub",$F233&lt;&gt;""),"Diameter entered for a shrub — it is ignored. Crown volume is used instead. ","")&amp;IF(AND($C233="Medium",$E233&lt;&gt;"",$L233=""),"Species not in the coefficient list — use 'all shrubs' if you have no closer match. ","")&amp;IF(AND($C233="Small",$J233=""),"Small-plot row with no clipped dry mass yet. ","")&amp;IF($N233&lt;&gt;"","Above-ground only: no root biomass is included for understory. ",""))</f>
        <v/>
      </c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5"/>
      <c r="K234" s="14" t="str">
        <f aca="false">IF($C234="Small","",IF($D234="tree",IF($F234="","",$F234),IF(OR($G234="",$H234="",$I234=""),"",$G234*$H234*$I234)))</f>
        <v/>
      </c>
      <c r="L234" s="14" t="str">
        <f aca="false">IF($C234="Small","",IFERROR(INDEX('R2. Understory Coefficients'!$E$8:$E$14,MATCH($E234,'R2. Understory Coefficients'!$I$8:$I$14,0)),""))</f>
        <v/>
      </c>
      <c r="M234" s="14" t="str">
        <f aca="false">IF($C234="Small","",IFERROR(INDEX('R2. Understory Coefficients'!$F$8:$F$14,MATCH($E234,'R2. Understory Coefficients'!$I$8:$I$14,0)),""))</f>
        <v/>
      </c>
      <c r="N234" s="14" t="str">
        <f aca="false">IF($C234="Small",IF($J234="","",$J234/1000),IF(OR($K234="",$L234="",$M234=""),"",($L234*($K234^$M234))/1000))</f>
        <v/>
      </c>
      <c r="O234" s="14" t="str">
        <f aca="false">IF($N234="","",$N234*CARBON_FRACTION_BIOMASS)</f>
        <v/>
      </c>
      <c r="P234" s="14" t="str">
        <f aca="false">IF(AND($A234="",$E234="",$J234=""),"",IF(AND($A234&lt;&gt;"",COUNTIF('1. Plot &amp; Site Log'!$A$5:$A$64,$A234)=0),"Plot ID not in Plot &amp; Site Log. ","")&amp;IF($C234="","No plot type — say whether this came from a Medium or a Small plot. ","")&amp;IF(AND($C234="Medium",$D234="tree",$F234=""),"Short-statured tree with no diameter at 0.3 m. ","")&amp;IF(AND($C234="Medium",$D234="shrub",OR($G234="",$H234="",$I234="")),"Shrub needs all three of length, width and height. ","")&amp;IF(AND($C234="Medium",$D234="shrub",$F234&lt;&gt;""),"Diameter entered for a shrub — it is ignored. Crown volume is used instead. ","")&amp;IF(AND($C234="Medium",$E234&lt;&gt;"",$L234=""),"Species not in the coefficient list — use 'all shrubs' if you have no closer match. ","")&amp;IF(AND($C234="Small",$J234=""),"Small-plot row with no clipped dry mass yet. ","")&amp;IF($N234&lt;&gt;"","Above-ground only: no root biomass is included for understory. ",""))</f>
        <v/>
      </c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5"/>
      <c r="K235" s="14" t="str">
        <f aca="false">IF($C235="Small","",IF($D235="tree",IF($F235="","",$F235),IF(OR($G235="",$H235="",$I235=""),"",$G235*$H235*$I235)))</f>
        <v/>
      </c>
      <c r="L235" s="14" t="str">
        <f aca="false">IF($C235="Small","",IFERROR(INDEX('R2. Understory Coefficients'!$E$8:$E$14,MATCH($E235,'R2. Understory Coefficients'!$I$8:$I$14,0)),""))</f>
        <v/>
      </c>
      <c r="M235" s="14" t="str">
        <f aca="false">IF($C235="Small","",IFERROR(INDEX('R2. Understory Coefficients'!$F$8:$F$14,MATCH($E235,'R2. Understory Coefficients'!$I$8:$I$14,0)),""))</f>
        <v/>
      </c>
      <c r="N235" s="14" t="str">
        <f aca="false">IF($C235="Small",IF($J235="","",$J235/1000),IF(OR($K235="",$L235="",$M235=""),"",($L235*($K235^$M235))/1000))</f>
        <v/>
      </c>
      <c r="O235" s="14" t="str">
        <f aca="false">IF($N235="","",$N235*CARBON_FRACTION_BIOMASS)</f>
        <v/>
      </c>
      <c r="P235" s="14" t="str">
        <f aca="false">IF(AND($A235="",$E235="",$J235=""),"",IF(AND($A235&lt;&gt;"",COUNTIF('1. Plot &amp; Site Log'!$A$5:$A$64,$A235)=0),"Plot ID not in Plot &amp; Site Log. ","")&amp;IF($C235="","No plot type — say whether this came from a Medium or a Small plot. ","")&amp;IF(AND($C235="Medium",$D235="tree",$F235=""),"Short-statured tree with no diameter at 0.3 m. ","")&amp;IF(AND($C235="Medium",$D235="shrub",OR($G235="",$H235="",$I235="")),"Shrub needs all three of length, width and height. ","")&amp;IF(AND($C235="Medium",$D235="shrub",$F235&lt;&gt;""),"Diameter entered for a shrub — it is ignored. Crown volume is used instead. ","")&amp;IF(AND($C235="Medium",$E235&lt;&gt;"",$L235=""),"Species not in the coefficient list — use 'all shrubs' if you have no closer match. ","")&amp;IF(AND($C235="Small",$J235=""),"Small-plot row with no clipped dry mass yet. ","")&amp;IF($N235&lt;&gt;"","Above-ground only: no root biomass is included for understory. ",""))</f>
        <v/>
      </c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5"/>
      <c r="K236" s="14" t="str">
        <f aca="false">IF($C236="Small","",IF($D236="tree",IF($F236="","",$F236),IF(OR($G236="",$H236="",$I236=""),"",$G236*$H236*$I236)))</f>
        <v/>
      </c>
      <c r="L236" s="14" t="str">
        <f aca="false">IF($C236="Small","",IFERROR(INDEX('R2. Understory Coefficients'!$E$8:$E$14,MATCH($E236,'R2. Understory Coefficients'!$I$8:$I$14,0)),""))</f>
        <v/>
      </c>
      <c r="M236" s="14" t="str">
        <f aca="false">IF($C236="Small","",IFERROR(INDEX('R2. Understory Coefficients'!$F$8:$F$14,MATCH($E236,'R2. Understory Coefficients'!$I$8:$I$14,0)),""))</f>
        <v/>
      </c>
      <c r="N236" s="14" t="str">
        <f aca="false">IF($C236="Small",IF($J236="","",$J236/1000),IF(OR($K236="",$L236="",$M236=""),"",($L236*($K236^$M236))/1000))</f>
        <v/>
      </c>
      <c r="O236" s="14" t="str">
        <f aca="false">IF($N236="","",$N236*CARBON_FRACTION_BIOMASS)</f>
        <v/>
      </c>
      <c r="P236" s="14" t="str">
        <f aca="false">IF(AND($A236="",$E236="",$J236=""),"",IF(AND($A236&lt;&gt;"",COUNTIF('1. Plot &amp; Site Log'!$A$5:$A$64,$A236)=0),"Plot ID not in Plot &amp; Site Log. ","")&amp;IF($C236="","No plot type — say whether this came from a Medium or a Small plot. ","")&amp;IF(AND($C236="Medium",$D236="tree",$F236=""),"Short-statured tree with no diameter at 0.3 m. ","")&amp;IF(AND($C236="Medium",$D236="shrub",OR($G236="",$H236="",$I236="")),"Shrub needs all three of length, width and height. ","")&amp;IF(AND($C236="Medium",$D236="shrub",$F236&lt;&gt;""),"Diameter entered for a shrub — it is ignored. Crown volume is used instead. ","")&amp;IF(AND($C236="Medium",$E236&lt;&gt;"",$L236=""),"Species not in the coefficient list — use 'all shrubs' if you have no closer match. ","")&amp;IF(AND($C236="Small",$J236=""),"Small-plot row with no clipped dry mass yet. ","")&amp;IF($N236&lt;&gt;"","Above-ground only: no root biomass is included for understory. ",""))</f>
        <v/>
      </c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5"/>
      <c r="K237" s="14" t="str">
        <f aca="false">IF($C237="Small","",IF($D237="tree",IF($F237="","",$F237),IF(OR($G237="",$H237="",$I237=""),"",$G237*$H237*$I237)))</f>
        <v/>
      </c>
      <c r="L237" s="14" t="str">
        <f aca="false">IF($C237="Small","",IFERROR(INDEX('R2. Understory Coefficients'!$E$8:$E$14,MATCH($E237,'R2. Understory Coefficients'!$I$8:$I$14,0)),""))</f>
        <v/>
      </c>
      <c r="M237" s="14" t="str">
        <f aca="false">IF($C237="Small","",IFERROR(INDEX('R2. Understory Coefficients'!$F$8:$F$14,MATCH($E237,'R2. Understory Coefficients'!$I$8:$I$14,0)),""))</f>
        <v/>
      </c>
      <c r="N237" s="14" t="str">
        <f aca="false">IF($C237="Small",IF($J237="","",$J237/1000),IF(OR($K237="",$L237="",$M237=""),"",($L237*($K237^$M237))/1000))</f>
        <v/>
      </c>
      <c r="O237" s="14" t="str">
        <f aca="false">IF($N237="","",$N237*CARBON_FRACTION_BIOMASS)</f>
        <v/>
      </c>
      <c r="P237" s="14" t="str">
        <f aca="false">IF(AND($A237="",$E237="",$J237=""),"",IF(AND($A237&lt;&gt;"",COUNTIF('1. Plot &amp; Site Log'!$A$5:$A$64,$A237)=0),"Plot ID not in Plot &amp; Site Log. ","")&amp;IF($C237="","No plot type — say whether this came from a Medium or a Small plot. ","")&amp;IF(AND($C237="Medium",$D237="tree",$F237=""),"Short-statured tree with no diameter at 0.3 m. ","")&amp;IF(AND($C237="Medium",$D237="shrub",OR($G237="",$H237="",$I237="")),"Shrub needs all three of length, width and height. ","")&amp;IF(AND($C237="Medium",$D237="shrub",$F237&lt;&gt;""),"Diameter entered for a shrub — it is ignored. Crown volume is used instead. ","")&amp;IF(AND($C237="Medium",$E237&lt;&gt;"",$L237=""),"Species not in the coefficient list — use 'all shrubs' if you have no closer match. ","")&amp;IF(AND($C237="Small",$J237=""),"Small-plot row with no clipped dry mass yet. ","")&amp;IF($N237&lt;&gt;"","Above-ground only: no root biomass is included for understory. ",""))</f>
        <v/>
      </c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5"/>
      <c r="K238" s="14" t="str">
        <f aca="false">IF($C238="Small","",IF($D238="tree",IF($F238="","",$F238),IF(OR($G238="",$H238="",$I238=""),"",$G238*$H238*$I238)))</f>
        <v/>
      </c>
      <c r="L238" s="14" t="str">
        <f aca="false">IF($C238="Small","",IFERROR(INDEX('R2. Understory Coefficients'!$E$8:$E$14,MATCH($E238,'R2. Understory Coefficients'!$I$8:$I$14,0)),""))</f>
        <v/>
      </c>
      <c r="M238" s="14" t="str">
        <f aca="false">IF($C238="Small","",IFERROR(INDEX('R2. Understory Coefficients'!$F$8:$F$14,MATCH($E238,'R2. Understory Coefficients'!$I$8:$I$14,0)),""))</f>
        <v/>
      </c>
      <c r="N238" s="14" t="str">
        <f aca="false">IF($C238="Small",IF($J238="","",$J238/1000),IF(OR($K238="",$L238="",$M238=""),"",($L238*($K238^$M238))/1000))</f>
        <v/>
      </c>
      <c r="O238" s="14" t="str">
        <f aca="false">IF($N238="","",$N238*CARBON_FRACTION_BIOMASS)</f>
        <v/>
      </c>
      <c r="P238" s="14" t="str">
        <f aca="false">IF(AND($A238="",$E238="",$J238=""),"",IF(AND($A238&lt;&gt;"",COUNTIF('1. Plot &amp; Site Log'!$A$5:$A$64,$A238)=0),"Plot ID not in Plot &amp; Site Log. ","")&amp;IF($C238="","No plot type — say whether this came from a Medium or a Small plot. ","")&amp;IF(AND($C238="Medium",$D238="tree",$F238=""),"Short-statured tree with no diameter at 0.3 m. ","")&amp;IF(AND($C238="Medium",$D238="shrub",OR($G238="",$H238="",$I238="")),"Shrub needs all three of length, width and height. ","")&amp;IF(AND($C238="Medium",$D238="shrub",$F238&lt;&gt;""),"Diameter entered for a shrub — it is ignored. Crown volume is used instead. ","")&amp;IF(AND($C238="Medium",$E238&lt;&gt;"",$L238=""),"Species not in the coefficient list — use 'all shrubs' if you have no closer match. ","")&amp;IF(AND($C238="Small",$J238=""),"Small-plot row with no clipped dry mass yet. ","")&amp;IF($N238&lt;&gt;"","Above-ground only: no root biomass is included for understory. ",""))</f>
        <v/>
      </c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5"/>
      <c r="K239" s="14" t="str">
        <f aca="false">IF($C239="Small","",IF($D239="tree",IF($F239="","",$F239),IF(OR($G239="",$H239="",$I239=""),"",$G239*$H239*$I239)))</f>
        <v/>
      </c>
      <c r="L239" s="14" t="str">
        <f aca="false">IF($C239="Small","",IFERROR(INDEX('R2. Understory Coefficients'!$E$8:$E$14,MATCH($E239,'R2. Understory Coefficients'!$I$8:$I$14,0)),""))</f>
        <v/>
      </c>
      <c r="M239" s="14" t="str">
        <f aca="false">IF($C239="Small","",IFERROR(INDEX('R2. Understory Coefficients'!$F$8:$F$14,MATCH($E239,'R2. Understory Coefficients'!$I$8:$I$14,0)),""))</f>
        <v/>
      </c>
      <c r="N239" s="14" t="str">
        <f aca="false">IF($C239="Small",IF($J239="","",$J239/1000),IF(OR($K239="",$L239="",$M239=""),"",($L239*($K239^$M239))/1000))</f>
        <v/>
      </c>
      <c r="O239" s="14" t="str">
        <f aca="false">IF($N239="","",$N239*CARBON_FRACTION_BIOMASS)</f>
        <v/>
      </c>
      <c r="P239" s="14" t="str">
        <f aca="false">IF(AND($A239="",$E239="",$J239=""),"",IF(AND($A239&lt;&gt;"",COUNTIF('1. Plot &amp; Site Log'!$A$5:$A$64,$A239)=0),"Plot ID not in Plot &amp; Site Log. ","")&amp;IF($C239="","No plot type — say whether this came from a Medium or a Small plot. ","")&amp;IF(AND($C239="Medium",$D239="tree",$F239=""),"Short-statured tree with no diameter at 0.3 m. ","")&amp;IF(AND($C239="Medium",$D239="shrub",OR($G239="",$H239="",$I239="")),"Shrub needs all three of length, width and height. ","")&amp;IF(AND($C239="Medium",$D239="shrub",$F239&lt;&gt;""),"Diameter entered for a shrub — it is ignored. Crown volume is used instead. ","")&amp;IF(AND($C239="Medium",$E239&lt;&gt;"",$L239=""),"Species not in the coefficient list — use 'all shrubs' if you have no closer match. ","")&amp;IF(AND($C239="Small",$J239=""),"Small-plot row with no clipped dry mass yet. ","")&amp;IF($N239&lt;&gt;"","Above-ground only: no root biomass is included for understory. ",""))</f>
        <v/>
      </c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5"/>
      <c r="K240" s="14" t="str">
        <f aca="false">IF($C240="Small","",IF($D240="tree",IF($F240="","",$F240),IF(OR($G240="",$H240="",$I240=""),"",$G240*$H240*$I240)))</f>
        <v/>
      </c>
      <c r="L240" s="14" t="str">
        <f aca="false">IF($C240="Small","",IFERROR(INDEX('R2. Understory Coefficients'!$E$8:$E$14,MATCH($E240,'R2. Understory Coefficients'!$I$8:$I$14,0)),""))</f>
        <v/>
      </c>
      <c r="M240" s="14" t="str">
        <f aca="false">IF($C240="Small","",IFERROR(INDEX('R2. Understory Coefficients'!$F$8:$F$14,MATCH($E240,'R2. Understory Coefficients'!$I$8:$I$14,0)),""))</f>
        <v/>
      </c>
      <c r="N240" s="14" t="str">
        <f aca="false">IF($C240="Small",IF($J240="","",$J240/1000),IF(OR($K240="",$L240="",$M240=""),"",($L240*($K240^$M240))/1000))</f>
        <v/>
      </c>
      <c r="O240" s="14" t="str">
        <f aca="false">IF($N240="","",$N240*CARBON_FRACTION_BIOMASS)</f>
        <v/>
      </c>
      <c r="P240" s="14" t="str">
        <f aca="false">IF(AND($A240="",$E240="",$J240=""),"",IF(AND($A240&lt;&gt;"",COUNTIF('1. Plot &amp; Site Log'!$A$5:$A$64,$A240)=0),"Plot ID not in Plot &amp; Site Log. ","")&amp;IF($C240="","No plot type — say whether this came from a Medium or a Small plot. ","")&amp;IF(AND($C240="Medium",$D240="tree",$F240=""),"Short-statured tree with no diameter at 0.3 m. ","")&amp;IF(AND($C240="Medium",$D240="shrub",OR($G240="",$H240="",$I240="")),"Shrub needs all three of length, width and height. ","")&amp;IF(AND($C240="Medium",$D240="shrub",$F240&lt;&gt;""),"Diameter entered for a shrub — it is ignored. Crown volume is used instead. ","")&amp;IF(AND($C240="Medium",$E240&lt;&gt;"",$L240=""),"Species not in the coefficient list — use 'all shrubs' if you have no closer match. ","")&amp;IF(AND($C240="Small",$J240=""),"Small-plot row with no clipped dry mass yet. ","")&amp;IF($N240&lt;&gt;"","Above-ground only: no root biomass is included for understory. ",""))</f>
        <v/>
      </c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5"/>
      <c r="K241" s="14" t="str">
        <f aca="false">IF($C241="Small","",IF($D241="tree",IF($F241="","",$F241),IF(OR($G241="",$H241="",$I241=""),"",$G241*$H241*$I241)))</f>
        <v/>
      </c>
      <c r="L241" s="14" t="str">
        <f aca="false">IF($C241="Small","",IFERROR(INDEX('R2. Understory Coefficients'!$E$8:$E$14,MATCH($E241,'R2. Understory Coefficients'!$I$8:$I$14,0)),""))</f>
        <v/>
      </c>
      <c r="M241" s="14" t="str">
        <f aca="false">IF($C241="Small","",IFERROR(INDEX('R2. Understory Coefficients'!$F$8:$F$14,MATCH($E241,'R2. Understory Coefficients'!$I$8:$I$14,0)),""))</f>
        <v/>
      </c>
      <c r="N241" s="14" t="str">
        <f aca="false">IF($C241="Small",IF($J241="","",$J241/1000),IF(OR($K241="",$L241="",$M241=""),"",($L241*($K241^$M241))/1000))</f>
        <v/>
      </c>
      <c r="O241" s="14" t="str">
        <f aca="false">IF($N241="","",$N241*CARBON_FRACTION_BIOMASS)</f>
        <v/>
      </c>
      <c r="P241" s="14" t="str">
        <f aca="false">IF(AND($A241="",$E241="",$J241=""),"",IF(AND($A241&lt;&gt;"",COUNTIF('1. Plot &amp; Site Log'!$A$5:$A$64,$A241)=0),"Plot ID not in Plot &amp; Site Log. ","")&amp;IF($C241="","No plot type — say whether this came from a Medium or a Small plot. ","")&amp;IF(AND($C241="Medium",$D241="tree",$F241=""),"Short-statured tree with no diameter at 0.3 m. ","")&amp;IF(AND($C241="Medium",$D241="shrub",OR($G241="",$H241="",$I241="")),"Shrub needs all three of length, width and height. ","")&amp;IF(AND($C241="Medium",$D241="shrub",$F241&lt;&gt;""),"Diameter entered for a shrub — it is ignored. Crown volume is used instead. ","")&amp;IF(AND($C241="Medium",$E241&lt;&gt;"",$L241=""),"Species not in the coefficient list — use 'all shrubs' if you have no closer match. ","")&amp;IF(AND($C241="Small",$J241=""),"Small-plot row with no clipped dry mass yet. ","")&amp;IF($N241&lt;&gt;"","Above-ground only: no root biomass is included for understory. ",""))</f>
        <v/>
      </c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5"/>
      <c r="K242" s="14" t="str">
        <f aca="false">IF($C242="Small","",IF($D242="tree",IF($F242="","",$F242),IF(OR($G242="",$H242="",$I242=""),"",$G242*$H242*$I242)))</f>
        <v/>
      </c>
      <c r="L242" s="14" t="str">
        <f aca="false">IF($C242="Small","",IFERROR(INDEX('R2. Understory Coefficients'!$E$8:$E$14,MATCH($E242,'R2. Understory Coefficients'!$I$8:$I$14,0)),""))</f>
        <v/>
      </c>
      <c r="M242" s="14" t="str">
        <f aca="false">IF($C242="Small","",IFERROR(INDEX('R2. Understory Coefficients'!$F$8:$F$14,MATCH($E242,'R2. Understory Coefficients'!$I$8:$I$14,0)),""))</f>
        <v/>
      </c>
      <c r="N242" s="14" t="str">
        <f aca="false">IF($C242="Small",IF($J242="","",$J242/1000),IF(OR($K242="",$L242="",$M242=""),"",($L242*($K242^$M242))/1000))</f>
        <v/>
      </c>
      <c r="O242" s="14" t="str">
        <f aca="false">IF($N242="","",$N242*CARBON_FRACTION_BIOMASS)</f>
        <v/>
      </c>
      <c r="P242" s="14" t="str">
        <f aca="false">IF(AND($A242="",$E242="",$J242=""),"",IF(AND($A242&lt;&gt;"",COUNTIF('1. Plot &amp; Site Log'!$A$5:$A$64,$A242)=0),"Plot ID not in Plot &amp; Site Log. ","")&amp;IF($C242="","No plot type — say whether this came from a Medium or a Small plot. ","")&amp;IF(AND($C242="Medium",$D242="tree",$F242=""),"Short-statured tree with no diameter at 0.3 m. ","")&amp;IF(AND($C242="Medium",$D242="shrub",OR($G242="",$H242="",$I242="")),"Shrub needs all three of length, width and height. ","")&amp;IF(AND($C242="Medium",$D242="shrub",$F242&lt;&gt;""),"Diameter entered for a shrub — it is ignored. Crown volume is used instead. ","")&amp;IF(AND($C242="Medium",$E242&lt;&gt;"",$L242=""),"Species not in the coefficient list — use 'all shrubs' if you have no closer match. ","")&amp;IF(AND($C242="Small",$J242=""),"Small-plot row with no clipped dry mass yet. ","")&amp;IF($N242&lt;&gt;"","Above-ground only: no root biomass is included for understory. ",""))</f>
        <v/>
      </c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5"/>
      <c r="K243" s="14" t="str">
        <f aca="false">IF($C243="Small","",IF($D243="tree",IF($F243="","",$F243),IF(OR($G243="",$H243="",$I243=""),"",$G243*$H243*$I243)))</f>
        <v/>
      </c>
      <c r="L243" s="14" t="str">
        <f aca="false">IF($C243="Small","",IFERROR(INDEX('R2. Understory Coefficients'!$E$8:$E$14,MATCH($E243,'R2. Understory Coefficients'!$I$8:$I$14,0)),""))</f>
        <v/>
      </c>
      <c r="M243" s="14" t="str">
        <f aca="false">IF($C243="Small","",IFERROR(INDEX('R2. Understory Coefficients'!$F$8:$F$14,MATCH($E243,'R2. Understory Coefficients'!$I$8:$I$14,0)),""))</f>
        <v/>
      </c>
      <c r="N243" s="14" t="str">
        <f aca="false">IF($C243="Small",IF($J243="","",$J243/1000),IF(OR($K243="",$L243="",$M243=""),"",($L243*($K243^$M243))/1000))</f>
        <v/>
      </c>
      <c r="O243" s="14" t="str">
        <f aca="false">IF($N243="","",$N243*CARBON_FRACTION_BIOMASS)</f>
        <v/>
      </c>
      <c r="P243" s="14" t="str">
        <f aca="false">IF(AND($A243="",$E243="",$J243=""),"",IF(AND($A243&lt;&gt;"",COUNTIF('1. Plot &amp; Site Log'!$A$5:$A$64,$A243)=0),"Plot ID not in Plot &amp; Site Log. ","")&amp;IF($C243="","No plot type — say whether this came from a Medium or a Small plot. ","")&amp;IF(AND($C243="Medium",$D243="tree",$F243=""),"Short-statured tree with no diameter at 0.3 m. ","")&amp;IF(AND($C243="Medium",$D243="shrub",OR($G243="",$H243="",$I243="")),"Shrub needs all three of length, width and height. ","")&amp;IF(AND($C243="Medium",$D243="shrub",$F243&lt;&gt;""),"Diameter entered for a shrub — it is ignored. Crown volume is used instead. ","")&amp;IF(AND($C243="Medium",$E243&lt;&gt;"",$L243=""),"Species not in the coefficient list — use 'all shrubs' if you have no closer match. ","")&amp;IF(AND($C243="Small",$J243=""),"Small-plot row with no clipped dry mass yet. ","")&amp;IF($N243&lt;&gt;"","Above-ground only: no root biomass is included for understory. ",""))</f>
        <v/>
      </c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5"/>
      <c r="K244" s="14" t="str">
        <f aca="false">IF($C244="Small","",IF($D244="tree",IF($F244="","",$F244),IF(OR($G244="",$H244="",$I244=""),"",$G244*$H244*$I244)))</f>
        <v/>
      </c>
      <c r="L244" s="14" t="str">
        <f aca="false">IF($C244="Small","",IFERROR(INDEX('R2. Understory Coefficients'!$E$8:$E$14,MATCH($E244,'R2. Understory Coefficients'!$I$8:$I$14,0)),""))</f>
        <v/>
      </c>
      <c r="M244" s="14" t="str">
        <f aca="false">IF($C244="Small","",IFERROR(INDEX('R2. Understory Coefficients'!$F$8:$F$14,MATCH($E244,'R2. Understory Coefficients'!$I$8:$I$14,0)),""))</f>
        <v/>
      </c>
      <c r="N244" s="14" t="str">
        <f aca="false">IF($C244="Small",IF($J244="","",$J244/1000),IF(OR($K244="",$L244="",$M244=""),"",($L244*($K244^$M244))/1000))</f>
        <v/>
      </c>
      <c r="O244" s="14" t="str">
        <f aca="false">IF($N244="","",$N244*CARBON_FRACTION_BIOMASS)</f>
        <v/>
      </c>
      <c r="P244" s="14" t="str">
        <f aca="false">IF(AND($A244="",$E244="",$J244=""),"",IF(AND($A244&lt;&gt;"",COUNTIF('1. Plot &amp; Site Log'!$A$5:$A$64,$A244)=0),"Plot ID not in Plot &amp; Site Log. ","")&amp;IF($C244="","No plot type — say whether this came from a Medium or a Small plot. ","")&amp;IF(AND($C244="Medium",$D244="tree",$F244=""),"Short-statured tree with no diameter at 0.3 m. ","")&amp;IF(AND($C244="Medium",$D244="shrub",OR($G244="",$H244="",$I244="")),"Shrub needs all three of length, width and height. ","")&amp;IF(AND($C244="Medium",$D244="shrub",$F244&lt;&gt;""),"Diameter entered for a shrub — it is ignored. Crown volume is used instead. ","")&amp;IF(AND($C244="Medium",$E244&lt;&gt;"",$L244=""),"Species not in the coefficient list — use 'all shrubs' if you have no closer match. ","")&amp;IF(AND($C244="Small",$J244=""),"Small-plot row with no clipped dry mass yet. ","")&amp;IF($N244&lt;&gt;"","Above-ground only: no root biomass is included for understory. ",""))</f>
        <v/>
      </c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5"/>
      <c r="K245" s="14" t="str">
        <f aca="false">IF($C245="Small","",IF($D245="tree",IF($F245="","",$F245),IF(OR($G245="",$H245="",$I245=""),"",$G245*$H245*$I245)))</f>
        <v/>
      </c>
      <c r="L245" s="14" t="str">
        <f aca="false">IF($C245="Small","",IFERROR(INDEX('R2. Understory Coefficients'!$E$8:$E$14,MATCH($E245,'R2. Understory Coefficients'!$I$8:$I$14,0)),""))</f>
        <v/>
      </c>
      <c r="M245" s="14" t="str">
        <f aca="false">IF($C245="Small","",IFERROR(INDEX('R2. Understory Coefficients'!$F$8:$F$14,MATCH($E245,'R2. Understory Coefficients'!$I$8:$I$14,0)),""))</f>
        <v/>
      </c>
      <c r="N245" s="14" t="str">
        <f aca="false">IF($C245="Small",IF($J245="","",$J245/1000),IF(OR($K245="",$L245="",$M245=""),"",($L245*($K245^$M245))/1000))</f>
        <v/>
      </c>
      <c r="O245" s="14" t="str">
        <f aca="false">IF($N245="","",$N245*CARBON_FRACTION_BIOMASS)</f>
        <v/>
      </c>
      <c r="P245" s="14" t="str">
        <f aca="false">IF(AND($A245="",$E245="",$J245=""),"",IF(AND($A245&lt;&gt;"",COUNTIF('1. Plot &amp; Site Log'!$A$5:$A$64,$A245)=0),"Plot ID not in Plot &amp; Site Log. ","")&amp;IF($C245="","No plot type — say whether this came from a Medium or a Small plot. ","")&amp;IF(AND($C245="Medium",$D245="tree",$F245=""),"Short-statured tree with no diameter at 0.3 m. ","")&amp;IF(AND($C245="Medium",$D245="shrub",OR($G245="",$H245="",$I245="")),"Shrub needs all three of length, width and height. ","")&amp;IF(AND($C245="Medium",$D245="shrub",$F245&lt;&gt;""),"Diameter entered for a shrub — it is ignored. Crown volume is used instead. ","")&amp;IF(AND($C245="Medium",$E245&lt;&gt;"",$L245=""),"Species not in the coefficient list — use 'all shrubs' if you have no closer match. ","")&amp;IF(AND($C245="Small",$J245=""),"Small-plot row with no clipped dry mass yet. ","")&amp;IF($N245&lt;&gt;"","Above-ground only: no root biomass is included for understory. ",""))</f>
        <v/>
      </c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5"/>
      <c r="K246" s="14" t="str">
        <f aca="false">IF($C246="Small","",IF($D246="tree",IF($F246="","",$F246),IF(OR($G246="",$H246="",$I246=""),"",$G246*$H246*$I246)))</f>
        <v/>
      </c>
      <c r="L246" s="14" t="str">
        <f aca="false">IF($C246="Small","",IFERROR(INDEX('R2. Understory Coefficients'!$E$8:$E$14,MATCH($E246,'R2. Understory Coefficients'!$I$8:$I$14,0)),""))</f>
        <v/>
      </c>
      <c r="M246" s="14" t="str">
        <f aca="false">IF($C246="Small","",IFERROR(INDEX('R2. Understory Coefficients'!$F$8:$F$14,MATCH($E246,'R2. Understory Coefficients'!$I$8:$I$14,0)),""))</f>
        <v/>
      </c>
      <c r="N246" s="14" t="str">
        <f aca="false">IF($C246="Small",IF($J246="","",$J246/1000),IF(OR($K246="",$L246="",$M246=""),"",($L246*($K246^$M246))/1000))</f>
        <v/>
      </c>
      <c r="O246" s="14" t="str">
        <f aca="false">IF($N246="","",$N246*CARBON_FRACTION_BIOMASS)</f>
        <v/>
      </c>
      <c r="P246" s="14" t="str">
        <f aca="false">IF(AND($A246="",$E246="",$J246=""),"",IF(AND($A246&lt;&gt;"",COUNTIF('1. Plot &amp; Site Log'!$A$5:$A$64,$A246)=0),"Plot ID not in Plot &amp; Site Log. ","")&amp;IF($C246="","No plot type — say whether this came from a Medium or a Small plot. ","")&amp;IF(AND($C246="Medium",$D246="tree",$F246=""),"Short-statured tree with no diameter at 0.3 m. ","")&amp;IF(AND($C246="Medium",$D246="shrub",OR($G246="",$H246="",$I246="")),"Shrub needs all three of length, width and height. ","")&amp;IF(AND($C246="Medium",$D246="shrub",$F246&lt;&gt;""),"Diameter entered for a shrub — it is ignored. Crown volume is used instead. ","")&amp;IF(AND($C246="Medium",$E246&lt;&gt;"",$L246=""),"Species not in the coefficient list — use 'all shrubs' if you have no closer match. ","")&amp;IF(AND($C246="Small",$J246=""),"Small-plot row with no clipped dry mass yet. ","")&amp;IF($N246&lt;&gt;"","Above-ground only: no root biomass is included for understory. ",""))</f>
        <v/>
      </c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5"/>
      <c r="K247" s="14" t="str">
        <f aca="false">IF($C247="Small","",IF($D247="tree",IF($F247="","",$F247),IF(OR($G247="",$H247="",$I247=""),"",$G247*$H247*$I247)))</f>
        <v/>
      </c>
      <c r="L247" s="14" t="str">
        <f aca="false">IF($C247="Small","",IFERROR(INDEX('R2. Understory Coefficients'!$E$8:$E$14,MATCH($E247,'R2. Understory Coefficients'!$I$8:$I$14,0)),""))</f>
        <v/>
      </c>
      <c r="M247" s="14" t="str">
        <f aca="false">IF($C247="Small","",IFERROR(INDEX('R2. Understory Coefficients'!$F$8:$F$14,MATCH($E247,'R2. Understory Coefficients'!$I$8:$I$14,0)),""))</f>
        <v/>
      </c>
      <c r="N247" s="14" t="str">
        <f aca="false">IF($C247="Small",IF($J247="","",$J247/1000),IF(OR($K247="",$L247="",$M247=""),"",($L247*($K247^$M247))/1000))</f>
        <v/>
      </c>
      <c r="O247" s="14" t="str">
        <f aca="false">IF($N247="","",$N247*CARBON_FRACTION_BIOMASS)</f>
        <v/>
      </c>
      <c r="P247" s="14" t="str">
        <f aca="false">IF(AND($A247="",$E247="",$J247=""),"",IF(AND($A247&lt;&gt;"",COUNTIF('1. Plot &amp; Site Log'!$A$5:$A$64,$A247)=0),"Plot ID not in Plot &amp; Site Log. ","")&amp;IF($C247="","No plot type — say whether this came from a Medium or a Small plot. ","")&amp;IF(AND($C247="Medium",$D247="tree",$F247=""),"Short-statured tree with no diameter at 0.3 m. ","")&amp;IF(AND($C247="Medium",$D247="shrub",OR($G247="",$H247="",$I247="")),"Shrub needs all three of length, width and height. ","")&amp;IF(AND($C247="Medium",$D247="shrub",$F247&lt;&gt;""),"Diameter entered for a shrub — it is ignored. Crown volume is used instead. ","")&amp;IF(AND($C247="Medium",$E247&lt;&gt;"",$L247=""),"Species not in the coefficient list — use 'all shrubs' if you have no closer match. ","")&amp;IF(AND($C247="Small",$J247=""),"Small-plot row with no clipped dry mass yet. ","")&amp;IF($N247&lt;&gt;"","Above-ground only: no root biomass is included for understory. ",""))</f>
        <v/>
      </c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5"/>
      <c r="K248" s="14" t="str">
        <f aca="false">IF($C248="Small","",IF($D248="tree",IF($F248="","",$F248),IF(OR($G248="",$H248="",$I248=""),"",$G248*$H248*$I248)))</f>
        <v/>
      </c>
      <c r="L248" s="14" t="str">
        <f aca="false">IF($C248="Small","",IFERROR(INDEX('R2. Understory Coefficients'!$E$8:$E$14,MATCH($E248,'R2. Understory Coefficients'!$I$8:$I$14,0)),""))</f>
        <v/>
      </c>
      <c r="M248" s="14" t="str">
        <f aca="false">IF($C248="Small","",IFERROR(INDEX('R2. Understory Coefficients'!$F$8:$F$14,MATCH($E248,'R2. Understory Coefficients'!$I$8:$I$14,0)),""))</f>
        <v/>
      </c>
      <c r="N248" s="14" t="str">
        <f aca="false">IF($C248="Small",IF($J248="","",$J248/1000),IF(OR($K248="",$L248="",$M248=""),"",($L248*($K248^$M248))/1000))</f>
        <v/>
      </c>
      <c r="O248" s="14" t="str">
        <f aca="false">IF($N248="","",$N248*CARBON_FRACTION_BIOMASS)</f>
        <v/>
      </c>
      <c r="P248" s="14" t="str">
        <f aca="false">IF(AND($A248="",$E248="",$J248=""),"",IF(AND($A248&lt;&gt;"",COUNTIF('1. Plot &amp; Site Log'!$A$5:$A$64,$A248)=0),"Plot ID not in Plot &amp; Site Log. ","")&amp;IF($C248="","No plot type — say whether this came from a Medium or a Small plot. ","")&amp;IF(AND($C248="Medium",$D248="tree",$F248=""),"Short-statured tree with no diameter at 0.3 m. ","")&amp;IF(AND($C248="Medium",$D248="shrub",OR($G248="",$H248="",$I248="")),"Shrub needs all three of length, width and height. ","")&amp;IF(AND($C248="Medium",$D248="shrub",$F248&lt;&gt;""),"Diameter entered for a shrub — it is ignored. Crown volume is used instead. ","")&amp;IF(AND($C248="Medium",$E248&lt;&gt;"",$L248=""),"Species not in the coefficient list — use 'all shrubs' if you have no closer match. ","")&amp;IF(AND($C248="Small",$J248=""),"Small-plot row with no clipped dry mass yet. ","")&amp;IF($N248&lt;&gt;"","Above-ground only: no root biomass is included for understory. ",""))</f>
        <v/>
      </c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5"/>
      <c r="K249" s="14" t="str">
        <f aca="false">IF($C249="Small","",IF($D249="tree",IF($F249="","",$F249),IF(OR($G249="",$H249="",$I249=""),"",$G249*$H249*$I249)))</f>
        <v/>
      </c>
      <c r="L249" s="14" t="str">
        <f aca="false">IF($C249="Small","",IFERROR(INDEX('R2. Understory Coefficients'!$E$8:$E$14,MATCH($E249,'R2. Understory Coefficients'!$I$8:$I$14,0)),""))</f>
        <v/>
      </c>
      <c r="M249" s="14" t="str">
        <f aca="false">IF($C249="Small","",IFERROR(INDEX('R2. Understory Coefficients'!$F$8:$F$14,MATCH($E249,'R2. Understory Coefficients'!$I$8:$I$14,0)),""))</f>
        <v/>
      </c>
      <c r="N249" s="14" t="str">
        <f aca="false">IF($C249="Small",IF($J249="","",$J249/1000),IF(OR($K249="",$L249="",$M249=""),"",($L249*($K249^$M249))/1000))</f>
        <v/>
      </c>
      <c r="O249" s="14" t="str">
        <f aca="false">IF($N249="","",$N249*CARBON_FRACTION_BIOMASS)</f>
        <v/>
      </c>
      <c r="P249" s="14" t="str">
        <f aca="false">IF(AND($A249="",$E249="",$J249=""),"",IF(AND($A249&lt;&gt;"",COUNTIF('1. Plot &amp; Site Log'!$A$5:$A$64,$A249)=0),"Plot ID not in Plot &amp; Site Log. ","")&amp;IF($C249="","No plot type — say whether this came from a Medium or a Small plot. ","")&amp;IF(AND($C249="Medium",$D249="tree",$F249=""),"Short-statured tree with no diameter at 0.3 m. ","")&amp;IF(AND($C249="Medium",$D249="shrub",OR($G249="",$H249="",$I249="")),"Shrub needs all three of length, width and height. ","")&amp;IF(AND($C249="Medium",$D249="shrub",$F249&lt;&gt;""),"Diameter entered for a shrub — it is ignored. Crown volume is used instead. ","")&amp;IF(AND($C249="Medium",$E249&lt;&gt;"",$L249=""),"Species not in the coefficient list — use 'all shrubs' if you have no closer match. ","")&amp;IF(AND($C249="Small",$J249=""),"Small-plot row with no clipped dry mass yet. ","")&amp;IF($N249&lt;&gt;"","Above-ground only: no root biomass is included for understory. ",""))</f>
        <v/>
      </c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5"/>
      <c r="K250" s="14" t="str">
        <f aca="false">IF($C250="Small","",IF($D250="tree",IF($F250="","",$F250),IF(OR($G250="",$H250="",$I250=""),"",$G250*$H250*$I250)))</f>
        <v/>
      </c>
      <c r="L250" s="14" t="str">
        <f aca="false">IF($C250="Small","",IFERROR(INDEX('R2. Understory Coefficients'!$E$8:$E$14,MATCH($E250,'R2. Understory Coefficients'!$I$8:$I$14,0)),""))</f>
        <v/>
      </c>
      <c r="M250" s="14" t="str">
        <f aca="false">IF($C250="Small","",IFERROR(INDEX('R2. Understory Coefficients'!$F$8:$F$14,MATCH($E250,'R2. Understory Coefficients'!$I$8:$I$14,0)),""))</f>
        <v/>
      </c>
      <c r="N250" s="14" t="str">
        <f aca="false">IF($C250="Small",IF($J250="","",$J250/1000),IF(OR($K250="",$L250="",$M250=""),"",($L250*($K250^$M250))/1000))</f>
        <v/>
      </c>
      <c r="O250" s="14" t="str">
        <f aca="false">IF($N250="","",$N250*CARBON_FRACTION_BIOMASS)</f>
        <v/>
      </c>
      <c r="P250" s="14" t="str">
        <f aca="false">IF(AND($A250="",$E250="",$J250=""),"",IF(AND($A250&lt;&gt;"",COUNTIF('1. Plot &amp; Site Log'!$A$5:$A$64,$A250)=0),"Plot ID not in Plot &amp; Site Log. ","")&amp;IF($C250="","No plot type — say whether this came from a Medium or a Small plot. ","")&amp;IF(AND($C250="Medium",$D250="tree",$F250=""),"Short-statured tree with no diameter at 0.3 m. ","")&amp;IF(AND($C250="Medium",$D250="shrub",OR($G250="",$H250="",$I250="")),"Shrub needs all three of length, width and height. ","")&amp;IF(AND($C250="Medium",$D250="shrub",$F250&lt;&gt;""),"Diameter entered for a shrub — it is ignored. Crown volume is used instead. ","")&amp;IF(AND($C250="Medium",$E250&lt;&gt;"",$L250=""),"Species not in the coefficient list — use 'all shrubs' if you have no closer match. ","")&amp;IF(AND($C250="Small",$J250=""),"Small-plot row with no clipped dry mass yet. ","")&amp;IF($N250&lt;&gt;"","Above-ground only: no root biomass is included for understory. ",""))</f>
        <v/>
      </c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5"/>
      <c r="K251" s="14" t="str">
        <f aca="false">IF($C251="Small","",IF($D251="tree",IF($F251="","",$F251),IF(OR($G251="",$H251="",$I251=""),"",$G251*$H251*$I251)))</f>
        <v/>
      </c>
      <c r="L251" s="14" t="str">
        <f aca="false">IF($C251="Small","",IFERROR(INDEX('R2. Understory Coefficients'!$E$8:$E$14,MATCH($E251,'R2. Understory Coefficients'!$I$8:$I$14,0)),""))</f>
        <v/>
      </c>
      <c r="M251" s="14" t="str">
        <f aca="false">IF($C251="Small","",IFERROR(INDEX('R2. Understory Coefficients'!$F$8:$F$14,MATCH($E251,'R2. Understory Coefficients'!$I$8:$I$14,0)),""))</f>
        <v/>
      </c>
      <c r="N251" s="14" t="str">
        <f aca="false">IF($C251="Small",IF($J251="","",$J251/1000),IF(OR($K251="",$L251="",$M251=""),"",($L251*($K251^$M251))/1000))</f>
        <v/>
      </c>
      <c r="O251" s="14" t="str">
        <f aca="false">IF($N251="","",$N251*CARBON_FRACTION_BIOMASS)</f>
        <v/>
      </c>
      <c r="P251" s="14" t="str">
        <f aca="false">IF(AND($A251="",$E251="",$J251=""),"",IF(AND($A251&lt;&gt;"",COUNTIF('1. Plot &amp; Site Log'!$A$5:$A$64,$A251)=0),"Plot ID not in Plot &amp; Site Log. ","")&amp;IF($C251="","No plot type — say whether this came from a Medium or a Small plot. ","")&amp;IF(AND($C251="Medium",$D251="tree",$F251=""),"Short-statured tree with no diameter at 0.3 m. ","")&amp;IF(AND($C251="Medium",$D251="shrub",OR($G251="",$H251="",$I251="")),"Shrub needs all three of length, width and height. ","")&amp;IF(AND($C251="Medium",$D251="shrub",$F251&lt;&gt;""),"Diameter entered for a shrub — it is ignored. Crown volume is used instead. ","")&amp;IF(AND($C251="Medium",$E251&lt;&gt;"",$L251=""),"Species not in the coefficient list — use 'all shrubs' if you have no closer match. ","")&amp;IF(AND($C251="Small",$J251=""),"Small-plot row with no clipped dry mass yet. ","")&amp;IF($N251&lt;&gt;"","Above-ground only: no root biomass is included for understory. ",""))</f>
        <v/>
      </c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5"/>
      <c r="K252" s="14" t="str">
        <f aca="false">IF($C252="Small","",IF($D252="tree",IF($F252="","",$F252),IF(OR($G252="",$H252="",$I252=""),"",$G252*$H252*$I252)))</f>
        <v/>
      </c>
      <c r="L252" s="14" t="str">
        <f aca="false">IF($C252="Small","",IFERROR(INDEX('R2. Understory Coefficients'!$E$8:$E$14,MATCH($E252,'R2. Understory Coefficients'!$I$8:$I$14,0)),""))</f>
        <v/>
      </c>
      <c r="M252" s="14" t="str">
        <f aca="false">IF($C252="Small","",IFERROR(INDEX('R2. Understory Coefficients'!$F$8:$F$14,MATCH($E252,'R2. Understory Coefficients'!$I$8:$I$14,0)),""))</f>
        <v/>
      </c>
      <c r="N252" s="14" t="str">
        <f aca="false">IF($C252="Small",IF($J252="","",$J252/1000),IF(OR($K252="",$L252="",$M252=""),"",($L252*($K252^$M252))/1000))</f>
        <v/>
      </c>
      <c r="O252" s="14" t="str">
        <f aca="false">IF($N252="","",$N252*CARBON_FRACTION_BIOMASS)</f>
        <v/>
      </c>
      <c r="P252" s="14" t="str">
        <f aca="false">IF(AND($A252="",$E252="",$J252=""),"",IF(AND($A252&lt;&gt;"",COUNTIF('1. Plot &amp; Site Log'!$A$5:$A$64,$A252)=0),"Plot ID not in Plot &amp; Site Log. ","")&amp;IF($C252="","No plot type — say whether this came from a Medium or a Small plot. ","")&amp;IF(AND($C252="Medium",$D252="tree",$F252=""),"Short-statured tree with no diameter at 0.3 m. ","")&amp;IF(AND($C252="Medium",$D252="shrub",OR($G252="",$H252="",$I252="")),"Shrub needs all three of length, width and height. ","")&amp;IF(AND($C252="Medium",$D252="shrub",$F252&lt;&gt;""),"Diameter entered for a shrub — it is ignored. Crown volume is used instead. ","")&amp;IF(AND($C252="Medium",$E252&lt;&gt;"",$L252=""),"Species not in the coefficient list — use 'all shrubs' if you have no closer match. ","")&amp;IF(AND($C252="Small",$J252=""),"Small-plot row with no clipped dry mass yet. ","")&amp;IF($N252&lt;&gt;"","Above-ground only: no root biomass is included for understory. ",""))</f>
        <v/>
      </c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5"/>
      <c r="K253" s="14" t="str">
        <f aca="false">IF($C253="Small","",IF($D253="tree",IF($F253="","",$F253),IF(OR($G253="",$H253="",$I253=""),"",$G253*$H253*$I253)))</f>
        <v/>
      </c>
      <c r="L253" s="14" t="str">
        <f aca="false">IF($C253="Small","",IFERROR(INDEX('R2. Understory Coefficients'!$E$8:$E$14,MATCH($E253,'R2. Understory Coefficients'!$I$8:$I$14,0)),""))</f>
        <v/>
      </c>
      <c r="M253" s="14" t="str">
        <f aca="false">IF($C253="Small","",IFERROR(INDEX('R2. Understory Coefficients'!$F$8:$F$14,MATCH($E253,'R2. Understory Coefficients'!$I$8:$I$14,0)),""))</f>
        <v/>
      </c>
      <c r="N253" s="14" t="str">
        <f aca="false">IF($C253="Small",IF($J253="","",$J253/1000),IF(OR($K253="",$L253="",$M253=""),"",($L253*($K253^$M253))/1000))</f>
        <v/>
      </c>
      <c r="O253" s="14" t="str">
        <f aca="false">IF($N253="","",$N253*CARBON_FRACTION_BIOMASS)</f>
        <v/>
      </c>
      <c r="P253" s="14" t="str">
        <f aca="false">IF(AND($A253="",$E253="",$J253=""),"",IF(AND($A253&lt;&gt;"",COUNTIF('1. Plot &amp; Site Log'!$A$5:$A$64,$A253)=0),"Plot ID not in Plot &amp; Site Log. ","")&amp;IF($C253="","No plot type — say whether this came from a Medium or a Small plot. ","")&amp;IF(AND($C253="Medium",$D253="tree",$F253=""),"Short-statured tree with no diameter at 0.3 m. ","")&amp;IF(AND($C253="Medium",$D253="shrub",OR($G253="",$H253="",$I253="")),"Shrub needs all three of length, width and height. ","")&amp;IF(AND($C253="Medium",$D253="shrub",$F253&lt;&gt;""),"Diameter entered for a shrub — it is ignored. Crown volume is used instead. ","")&amp;IF(AND($C253="Medium",$E253&lt;&gt;"",$L253=""),"Species not in the coefficient list — use 'all shrubs' if you have no closer match. ","")&amp;IF(AND($C253="Small",$J253=""),"Small-plot row with no clipped dry mass yet. ","")&amp;IF($N253&lt;&gt;"","Above-ground only: no root biomass is included for understory. ",""))</f>
        <v/>
      </c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5"/>
      <c r="K254" s="14" t="str">
        <f aca="false">IF($C254="Small","",IF($D254="tree",IF($F254="","",$F254),IF(OR($G254="",$H254="",$I254=""),"",$G254*$H254*$I254)))</f>
        <v/>
      </c>
      <c r="L254" s="14" t="str">
        <f aca="false">IF($C254="Small","",IFERROR(INDEX('R2. Understory Coefficients'!$E$8:$E$14,MATCH($E254,'R2. Understory Coefficients'!$I$8:$I$14,0)),""))</f>
        <v/>
      </c>
      <c r="M254" s="14" t="str">
        <f aca="false">IF($C254="Small","",IFERROR(INDEX('R2. Understory Coefficients'!$F$8:$F$14,MATCH($E254,'R2. Understory Coefficients'!$I$8:$I$14,0)),""))</f>
        <v/>
      </c>
      <c r="N254" s="14" t="str">
        <f aca="false">IF($C254="Small",IF($J254="","",$J254/1000),IF(OR($K254="",$L254="",$M254=""),"",($L254*($K254^$M254))/1000))</f>
        <v/>
      </c>
      <c r="O254" s="14" t="str">
        <f aca="false">IF($N254="","",$N254*CARBON_FRACTION_BIOMASS)</f>
        <v/>
      </c>
      <c r="P254" s="14" t="str">
        <f aca="false">IF(AND($A254="",$E254="",$J254=""),"",IF(AND($A254&lt;&gt;"",COUNTIF('1. Plot &amp; Site Log'!$A$5:$A$64,$A254)=0),"Plot ID not in Plot &amp; Site Log. ","")&amp;IF($C254="","No plot type — say whether this came from a Medium or a Small plot. ","")&amp;IF(AND($C254="Medium",$D254="tree",$F254=""),"Short-statured tree with no diameter at 0.3 m. ","")&amp;IF(AND($C254="Medium",$D254="shrub",OR($G254="",$H254="",$I254="")),"Shrub needs all three of length, width and height. ","")&amp;IF(AND($C254="Medium",$D254="shrub",$F254&lt;&gt;""),"Diameter entered for a shrub — it is ignored. Crown volume is used instead. ","")&amp;IF(AND($C254="Medium",$E254&lt;&gt;"",$L254=""),"Species not in the coefficient list — use 'all shrubs' if you have no closer match. ","")&amp;IF(AND($C254="Small",$J254=""),"Small-plot row with no clipped dry mass yet. ","")&amp;IF($N254&lt;&gt;"","Above-ground only: no root biomass is included for understory. ",""))</f>
        <v/>
      </c>
    </row>
  </sheetData>
  <mergeCells count="1">
    <mergeCell ref="A2:P2"/>
  </mergeCells>
  <dataValidations count="4">
    <dataValidation allowBlank="true" errorStyle="stop" operator="between" showDropDown="false" showErrorMessage="false" showInputMessage="false" sqref="C5:C254" type="list">
      <formula1>"Medium,Small"</formula1>
      <formula2>0</formula2>
    </dataValidation>
    <dataValidation allowBlank="true" errorStyle="stop" operator="between" showDropDown="false" showErrorMessage="false" showInputMessage="false" sqref="D5:D254" type="list">
      <formula1>"tree,shrub,ground"</formula1>
      <formula2>0</formula2>
    </dataValidation>
    <dataValidation allowBlank="true" errorStyle="stop" operator="between" showDropDown="false" showErrorMessage="false" showInputMessage="false" sqref="E5:E254" type="list">
      <formula1>'R2. Understory Coefficients'!$I$8:$I$14</formula1>
      <formula2>0</formula2>
    </dataValidation>
    <dataValidation allowBlank="true" errorStyle="stop" operator="between" showDropDown="false" showErrorMessage="false" showInputMessage="false" sqref="A5:A254" type="list">
      <formula1>'1. Plot &amp; Site Log'!$A$5:$A$64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6" min="14" style="0" width="15"/>
    <col collapsed="false" customWidth="true" hidden="false" outlineLevel="0" max="17" min="17" style="0" width="46"/>
    <col collapsed="false" customWidth="true" hidden="false" outlineLevel="0" max="18" min="18" style="0" width="26"/>
  </cols>
  <sheetData>
    <row r="1" customFormat="false" ht="17.35" hidden="false" customHeight="false" outlineLevel="0" collapsed="false">
      <c r="A1" s="10" t="s">
        <v>176</v>
      </c>
    </row>
    <row r="2" customFormat="false" ht="30" hidden="false" customHeight="true" outlineLevel="0" collapsed="false">
      <c r="A2" s="11" t="s">
        <v>177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4" customFormat="false" ht="42" hidden="false" customHeight="true" outlineLevel="0" collapsed="false">
      <c r="A4" s="12" t="s">
        <v>55</v>
      </c>
      <c r="B4" s="12" t="s">
        <v>96</v>
      </c>
      <c r="C4" s="12" t="s">
        <v>143</v>
      </c>
      <c r="D4" s="12" t="s">
        <v>178</v>
      </c>
      <c r="E4" s="12" t="s">
        <v>179</v>
      </c>
      <c r="F4" s="12" t="s">
        <v>180</v>
      </c>
      <c r="G4" s="12" t="s">
        <v>181</v>
      </c>
      <c r="H4" s="12" t="s">
        <v>182</v>
      </c>
      <c r="I4" s="12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  <c r="O4" s="12" t="s">
        <v>104</v>
      </c>
      <c r="P4" s="12" t="s">
        <v>189</v>
      </c>
      <c r="Q4" s="12" t="s">
        <v>107</v>
      </c>
      <c r="R4" s="12" t="s">
        <v>73</v>
      </c>
    </row>
    <row r="5" customFormat="false" ht="15" hidden="false" customHeight="false" outlineLevel="0" collapsed="false">
      <c r="A5" s="13" t="s">
        <v>74</v>
      </c>
      <c r="B5" s="13" t="s">
        <v>108</v>
      </c>
      <c r="C5" s="13" t="n">
        <v>1</v>
      </c>
      <c r="D5" s="13" t="n">
        <v>0</v>
      </c>
      <c r="E5" s="13" t="n">
        <v>5</v>
      </c>
      <c r="F5" s="13" t="n">
        <f aca="false">IF(OR($D5="",$E5=""),"",$E5-$D5)</f>
        <v>5</v>
      </c>
      <c r="G5" s="13" t="n">
        <v>0</v>
      </c>
      <c r="H5" s="13" t="s">
        <v>190</v>
      </c>
      <c r="I5" s="15" t="n">
        <v>0.238</v>
      </c>
      <c r="J5" s="15"/>
      <c r="K5" s="15" t="n">
        <v>29.06</v>
      </c>
      <c r="L5" s="14" t="n">
        <f aca="false">IF($K5&lt;&gt;"",$K5,IF($J5&lt;&gt;"",$J5*CARBON_FRACTION_OM,""))</f>
        <v>29.06</v>
      </c>
      <c r="M5" s="14" t="n">
        <f aca="false">IF($H5="Fine earth / fine-earth volume",1-IF($G5="",0,$G5)/100,1)</f>
        <v>1</v>
      </c>
      <c r="N5" s="14" t="n">
        <f aca="false">IF(OR($D5="",$E5=""),"",MAX(0,MIN($E5,REPORTING_DEPTH_CM)-MIN($D5,REPORTING_DEPTH_CM)))</f>
        <v>5</v>
      </c>
      <c r="O5" s="14" t="n">
        <f aca="false">IF(OR($I5="",$L5="",$N5=""),"",$I5*($L5/100)*$N5*$M5*10)</f>
        <v>3.45814</v>
      </c>
      <c r="P5" s="14" t="n">
        <f aca="false">IF(OR($I5="",$L5="",$F5=""),"",$I5*($L5/100)*$F5*$M5*10)</f>
        <v>3.45814</v>
      </c>
      <c r="Q5" s="14" t="str">
        <f aca="false">IF(AND($A5="",$B5="",$D5=""),"",IF(AND($B5&lt;&gt;"",COUNTIF('2. Core Log'!$A$5:$A$124,$B5)=0),"Core ID not in Core Log. ","")&amp;IF(AND($A5&lt;&gt;"",COUNTIF('1. Plot &amp; Site Log'!$A$5:$A$64,$A5)=0),"Plot ID not in Plot &amp; Site Log. ","")&amp;IF(AND($D5&lt;&gt;"",$E5&lt;&gt;"",$E5&lt;=$D5),"Bottom depth is not below top depth. ","")&amp;IF($H5="","Say which bulk-density basis the lab reported, or the coarse-fragment correction cannot be applied safely. ","")&amp;IF(AND($I5&lt;&gt;"",OR($I5&lt;QC_BD_MIN,$I5&gt;QC_BD_MAX)),"Bulk density outside "&amp;QC_BD_MIN&amp;"–"&amp;QC_BD_MAX&amp;" g/cm³. ","")&amp;IF(AND($L5&lt;&gt;"",$L5&gt;QC_CARBON_PCT_MAX),"Carbon above "&amp;QC_CARBON_PCT_MAX&amp;"% — check units; this may be organic matter rather than carbon. ","")&amp;IF(AND($J5&lt;&gt;"",$K5&lt;&gt;""),"Both LOI and measured carbon given — the measured value is used. ","")&amp;IF(AND($N5&lt;&gt;"",$N5=0),"Slice lies entirely below the reporting depth — it counts to the full-core stock only. ",""))</f>
        <v/>
      </c>
      <c r="R5" s="13"/>
    </row>
    <row r="6" customFormat="false" ht="15" hidden="false" customHeight="false" outlineLevel="0" collapsed="false">
      <c r="A6" s="13" t="s">
        <v>74</v>
      </c>
      <c r="B6" s="13" t="s">
        <v>108</v>
      </c>
      <c r="C6" s="13" t="n">
        <v>2</v>
      </c>
      <c r="D6" s="13" t="n">
        <v>5</v>
      </c>
      <c r="E6" s="13" t="n">
        <v>10</v>
      </c>
      <c r="F6" s="13" t="n">
        <f aca="false">IF(OR($D6="",$E6=""),"",$E6-$D6)</f>
        <v>5</v>
      </c>
      <c r="G6" s="13" t="n">
        <v>6</v>
      </c>
      <c r="H6" s="13" t="s">
        <v>190</v>
      </c>
      <c r="I6" s="15" t="n">
        <v>0.354</v>
      </c>
      <c r="J6" s="15"/>
      <c r="K6" s="15" t="n">
        <v>14.95</v>
      </c>
      <c r="L6" s="14" t="n">
        <f aca="false">IF($K6&lt;&gt;"",$K6,IF($J6&lt;&gt;"",$J6*CARBON_FRACTION_OM,""))</f>
        <v>14.95</v>
      </c>
      <c r="M6" s="14" t="n">
        <f aca="false">IF($H6="Fine earth / fine-earth volume",1-IF($G6="",0,$G6)/100,1)</f>
        <v>1</v>
      </c>
      <c r="N6" s="14" t="n">
        <f aca="false">IF(OR($D6="",$E6=""),"",MAX(0,MIN($E6,REPORTING_DEPTH_CM)-MIN($D6,REPORTING_DEPTH_CM)))</f>
        <v>5</v>
      </c>
      <c r="O6" s="14" t="n">
        <f aca="false">IF(OR($I6="",$L6="",$N6=""),"",$I6*($L6/100)*$N6*$M6*10)</f>
        <v>2.64615</v>
      </c>
      <c r="P6" s="14" t="n">
        <f aca="false">IF(OR($I6="",$L6="",$F6=""),"",$I6*($L6/100)*$F6*$M6*10)</f>
        <v>2.64615</v>
      </c>
      <c r="Q6" s="14" t="str">
        <f aca="false">IF(AND($A6="",$B6="",$D6=""),"",IF(AND($B6&lt;&gt;"",COUNTIF('2. Core Log'!$A$5:$A$124,$B6)=0),"Core ID not in Core Log. ","")&amp;IF(AND($A6&lt;&gt;"",COUNTIF('1. Plot &amp; Site Log'!$A$5:$A$64,$A6)=0),"Plot ID not in Plot &amp; Site Log. ","")&amp;IF(AND($D6&lt;&gt;"",$E6&lt;&gt;"",$E6&lt;=$D6),"Bottom depth is not below top depth. ","")&amp;IF($H6="","Say which bulk-density basis the lab reported, or the coarse-fragment correction cannot be applied safely. ","")&amp;IF(AND($I6&lt;&gt;"",OR($I6&lt;QC_BD_MIN,$I6&gt;QC_BD_MAX)),"Bulk density outside "&amp;QC_BD_MIN&amp;"–"&amp;QC_BD_MAX&amp;" g/cm³. ","")&amp;IF(AND($L6&lt;&gt;"",$L6&gt;QC_CARBON_PCT_MAX),"Carbon above "&amp;QC_CARBON_PCT_MAX&amp;"% — check units; this may be organic matter rather than carbon. ","")&amp;IF(AND($J6&lt;&gt;"",$K6&lt;&gt;""),"Both LOI and measured carbon given — the measured value is used. ","")&amp;IF(AND($N6&lt;&gt;"",$N6=0),"Slice lies entirely below the reporting depth — it counts to the full-core stock only. ",""))</f>
        <v/>
      </c>
      <c r="R6" s="13"/>
    </row>
    <row r="7" customFormat="false" ht="15" hidden="false" customHeight="false" outlineLevel="0" collapsed="false">
      <c r="A7" s="13" t="s">
        <v>74</v>
      </c>
      <c r="B7" s="13" t="s">
        <v>108</v>
      </c>
      <c r="C7" s="13" t="n">
        <v>3</v>
      </c>
      <c r="D7" s="13" t="n">
        <v>10</v>
      </c>
      <c r="E7" s="13" t="n">
        <v>15</v>
      </c>
      <c r="F7" s="13" t="n">
        <f aca="false">IF(OR($D7="",$E7=""),"",$E7-$D7)</f>
        <v>5</v>
      </c>
      <c r="G7" s="13" t="n">
        <v>0</v>
      </c>
      <c r="H7" s="13" t="s">
        <v>190</v>
      </c>
      <c r="I7" s="15" t="n">
        <v>0.427</v>
      </c>
      <c r="J7" s="15"/>
      <c r="K7" s="15" t="n">
        <v>9.09</v>
      </c>
      <c r="L7" s="14" t="n">
        <f aca="false">IF($K7&lt;&gt;"",$K7,IF($J7&lt;&gt;"",$J7*CARBON_FRACTION_OM,""))</f>
        <v>9.09</v>
      </c>
      <c r="M7" s="14" t="n">
        <f aca="false">IF($H7="Fine earth / fine-earth volume",1-IF($G7="",0,$G7)/100,1)</f>
        <v>1</v>
      </c>
      <c r="N7" s="14" t="n">
        <f aca="false">IF(OR($D7="",$E7=""),"",MAX(0,MIN($E7,REPORTING_DEPTH_CM)-MIN($D7,REPORTING_DEPTH_CM)))</f>
        <v>5</v>
      </c>
      <c r="O7" s="14" t="n">
        <f aca="false">IF(OR($I7="",$L7="",$N7=""),"",$I7*($L7/100)*$N7*$M7*10)</f>
        <v>1.940715</v>
      </c>
      <c r="P7" s="14" t="n">
        <f aca="false">IF(OR($I7="",$L7="",$F7=""),"",$I7*($L7/100)*$F7*$M7*10)</f>
        <v>1.940715</v>
      </c>
      <c r="Q7" s="14" t="str">
        <f aca="false">IF(AND($A7="",$B7="",$D7=""),"",IF(AND($B7&lt;&gt;"",COUNTIF('2. Core Log'!$A$5:$A$124,$B7)=0),"Core ID not in Core Log. ","")&amp;IF(AND($A7&lt;&gt;"",COUNTIF('1. Plot &amp; Site Log'!$A$5:$A$64,$A7)=0),"Plot ID not in Plot &amp; Site Log. ","")&amp;IF(AND($D7&lt;&gt;"",$E7&lt;&gt;"",$E7&lt;=$D7),"Bottom depth is not below top depth. ","")&amp;IF($H7="","Say which bulk-density basis the lab reported, or the coarse-fragment correction cannot be applied safely. ","")&amp;IF(AND($I7&lt;&gt;"",OR($I7&lt;QC_BD_MIN,$I7&gt;QC_BD_MAX)),"Bulk density outside "&amp;QC_BD_MIN&amp;"–"&amp;QC_BD_MAX&amp;" g/cm³. ","")&amp;IF(AND($L7&lt;&gt;"",$L7&gt;QC_CARBON_PCT_MAX),"Carbon above "&amp;QC_CARBON_PCT_MAX&amp;"% — check units; this may be organic matter rather than carbon. ","")&amp;IF(AND($J7&lt;&gt;"",$K7&lt;&gt;""),"Both LOI and measured carbon given — the measured value is used. ","")&amp;IF(AND($N7&lt;&gt;"",$N7=0),"Slice lies entirely below the reporting depth — it counts to the full-core stock only. ",""))</f>
        <v/>
      </c>
      <c r="R7" s="13"/>
    </row>
    <row r="8" customFormat="false" ht="15" hidden="false" customHeight="false" outlineLevel="0" collapsed="false">
      <c r="A8" s="13" t="s">
        <v>74</v>
      </c>
      <c r="B8" s="13" t="s">
        <v>108</v>
      </c>
      <c r="C8" s="13" t="n">
        <v>4</v>
      </c>
      <c r="D8" s="13" t="n">
        <v>15</v>
      </c>
      <c r="E8" s="13" t="n">
        <v>20</v>
      </c>
      <c r="F8" s="13" t="n">
        <f aca="false">IF(OR($D8="",$E8=""),"",$E8-$D8)</f>
        <v>5</v>
      </c>
      <c r="G8" s="13" t="n">
        <v>0</v>
      </c>
      <c r="H8" s="13" t="s">
        <v>190</v>
      </c>
      <c r="I8" s="15" t="n">
        <v>0.533</v>
      </c>
      <c r="J8" s="15"/>
      <c r="K8" s="15" t="n">
        <v>4.64</v>
      </c>
      <c r="L8" s="14" t="n">
        <f aca="false">IF($K8&lt;&gt;"",$K8,IF($J8&lt;&gt;"",$J8*CARBON_FRACTION_OM,""))</f>
        <v>4.64</v>
      </c>
      <c r="M8" s="14" t="n">
        <f aca="false">IF($H8="Fine earth / fine-earth volume",1-IF($G8="",0,$G8)/100,1)</f>
        <v>1</v>
      </c>
      <c r="N8" s="14" t="n">
        <f aca="false">IF(OR($D8="",$E8=""),"",MAX(0,MIN($E8,REPORTING_DEPTH_CM)-MIN($D8,REPORTING_DEPTH_CM)))</f>
        <v>5</v>
      </c>
      <c r="O8" s="14" t="n">
        <f aca="false">IF(OR($I8="",$L8="",$N8=""),"",$I8*($L8/100)*$N8*$M8*10)</f>
        <v>1.23656</v>
      </c>
      <c r="P8" s="14" t="n">
        <f aca="false">IF(OR($I8="",$L8="",$F8=""),"",$I8*($L8/100)*$F8*$M8*10)</f>
        <v>1.23656</v>
      </c>
      <c r="Q8" s="14" t="str">
        <f aca="false">IF(AND($A8="",$B8="",$D8=""),"",IF(AND($B8&lt;&gt;"",COUNTIF('2. Core Log'!$A$5:$A$124,$B8)=0),"Core ID not in Core Log. ","")&amp;IF(AND($A8&lt;&gt;"",COUNTIF('1. Plot &amp; Site Log'!$A$5:$A$64,$A8)=0),"Plot ID not in Plot &amp; Site Log. ","")&amp;IF(AND($D8&lt;&gt;"",$E8&lt;&gt;"",$E8&lt;=$D8),"Bottom depth is not below top depth. ","")&amp;IF($H8="","Say which bulk-density basis the lab reported, or the coarse-fragment correction cannot be applied safely. ","")&amp;IF(AND($I8&lt;&gt;"",OR($I8&lt;QC_BD_MIN,$I8&gt;QC_BD_MAX)),"Bulk density outside "&amp;QC_BD_MIN&amp;"–"&amp;QC_BD_MAX&amp;" g/cm³. ","")&amp;IF(AND($L8&lt;&gt;"",$L8&gt;QC_CARBON_PCT_MAX),"Carbon above "&amp;QC_CARBON_PCT_MAX&amp;"% — check units; this may be organic matter rather than carbon. ","")&amp;IF(AND($J8&lt;&gt;"",$K8&lt;&gt;""),"Both LOI and measured carbon given — the measured value is used. ","")&amp;IF(AND($N8&lt;&gt;"",$N8=0),"Slice lies entirely below the reporting depth — it counts to the full-core stock only. ",""))</f>
        <v/>
      </c>
      <c r="R8" s="13"/>
    </row>
    <row r="9" customFormat="false" ht="15" hidden="false" customHeight="false" outlineLevel="0" collapsed="false">
      <c r="A9" s="13" t="s">
        <v>74</v>
      </c>
      <c r="B9" s="13" t="s">
        <v>108</v>
      </c>
      <c r="C9" s="13" t="n">
        <v>5</v>
      </c>
      <c r="D9" s="13" t="n">
        <v>20</v>
      </c>
      <c r="E9" s="13" t="n">
        <v>30</v>
      </c>
      <c r="F9" s="13" t="n">
        <f aca="false">IF(OR($D9="",$E9=""),"",$E9-$D9)</f>
        <v>10</v>
      </c>
      <c r="G9" s="13" t="n">
        <v>0</v>
      </c>
      <c r="H9" s="13" t="s">
        <v>190</v>
      </c>
      <c r="I9" s="15" t="n">
        <v>0.691</v>
      </c>
      <c r="J9" s="15"/>
      <c r="K9" s="15" t="n">
        <v>1.72</v>
      </c>
      <c r="L9" s="14" t="n">
        <f aca="false">IF($K9&lt;&gt;"",$K9,IF($J9&lt;&gt;"",$J9*CARBON_FRACTION_OM,""))</f>
        <v>1.72</v>
      </c>
      <c r="M9" s="14" t="n">
        <f aca="false">IF($H9="Fine earth / fine-earth volume",1-IF($G9="",0,$G9)/100,1)</f>
        <v>1</v>
      </c>
      <c r="N9" s="14" t="n">
        <f aca="false">IF(OR($D9="",$E9=""),"",MAX(0,MIN($E9,REPORTING_DEPTH_CM)-MIN($D9,REPORTING_DEPTH_CM)))</f>
        <v>10</v>
      </c>
      <c r="O9" s="14" t="n">
        <f aca="false">IF(OR($I9="",$L9="",$N9=""),"",$I9*($L9/100)*$N9*$M9*10)</f>
        <v>1.18852</v>
      </c>
      <c r="P9" s="14" t="n">
        <f aca="false">IF(OR($I9="",$L9="",$F9=""),"",$I9*($L9/100)*$F9*$M9*10)</f>
        <v>1.18852</v>
      </c>
      <c r="Q9" s="14" t="str">
        <f aca="false">IF(AND($A9="",$B9="",$D9=""),"",IF(AND($B9&lt;&gt;"",COUNTIF('2. Core Log'!$A$5:$A$124,$B9)=0),"Core ID not in Core Log. ","")&amp;IF(AND($A9&lt;&gt;"",COUNTIF('1. Plot &amp; Site Log'!$A$5:$A$64,$A9)=0),"Plot ID not in Plot &amp; Site Log. ","")&amp;IF(AND($D9&lt;&gt;"",$E9&lt;&gt;"",$E9&lt;=$D9),"Bottom depth is not below top depth. ","")&amp;IF($H9="","Say which bulk-density basis the lab reported, or the coarse-fragment correction cannot be applied safely. ","")&amp;IF(AND($I9&lt;&gt;"",OR($I9&lt;QC_BD_MIN,$I9&gt;QC_BD_MAX)),"Bulk density outside "&amp;QC_BD_MIN&amp;"–"&amp;QC_BD_MAX&amp;" g/cm³. ","")&amp;IF(AND($L9&lt;&gt;"",$L9&gt;QC_CARBON_PCT_MAX),"Carbon above "&amp;QC_CARBON_PCT_MAX&amp;"% — check units; this may be organic matter rather than carbon. ","")&amp;IF(AND($J9&lt;&gt;"",$K9&lt;&gt;""),"Both LOI and measured carbon given — the measured value is used. ","")&amp;IF(AND($N9&lt;&gt;"",$N9=0),"Slice lies entirely below the reporting depth — it counts to the full-core stock only. ",""))</f>
        <v/>
      </c>
      <c r="R9" s="13"/>
    </row>
    <row r="10" customFormat="false" ht="15" hidden="false" customHeight="false" outlineLevel="0" collapsed="false">
      <c r="A10" s="13" t="s">
        <v>74</v>
      </c>
      <c r="B10" s="13" t="s">
        <v>108</v>
      </c>
      <c r="C10" s="13" t="n">
        <v>6</v>
      </c>
      <c r="D10" s="13" t="n">
        <v>30</v>
      </c>
      <c r="E10" s="13" t="n">
        <v>40</v>
      </c>
      <c r="F10" s="13" t="n">
        <f aca="false">IF(OR($D10="",$E10=""),"",$E10-$D10)</f>
        <v>10</v>
      </c>
      <c r="G10" s="13" t="n">
        <v>0</v>
      </c>
      <c r="H10" s="13" t="s">
        <v>190</v>
      </c>
      <c r="I10" s="15" t="n">
        <v>0.917</v>
      </c>
      <c r="J10" s="15"/>
      <c r="K10" s="15" t="n">
        <v>0.9</v>
      </c>
      <c r="L10" s="14" t="n">
        <f aca="false">IF($K10&lt;&gt;"",$K10,IF($J10&lt;&gt;"",$J10*CARBON_FRACTION_OM,""))</f>
        <v>0.9</v>
      </c>
      <c r="M10" s="14" t="n">
        <f aca="false">IF($H10="Fine earth / fine-earth volume",1-IF($G10="",0,$G10)/100,1)</f>
        <v>1</v>
      </c>
      <c r="N10" s="14" t="n">
        <f aca="false">IF(OR($D10="",$E10=""),"",MAX(0,MIN($E10,REPORTING_DEPTH_CM)-MIN($D10,REPORTING_DEPTH_CM)))</f>
        <v>0</v>
      </c>
      <c r="O10" s="14" t="n">
        <f aca="false">IF(OR($I10="",$L10="",$N10=""),"",$I10*($L10/100)*$N10*$M10*10)</f>
        <v>0</v>
      </c>
      <c r="P10" s="14" t="n">
        <f aca="false">IF(OR($I10="",$L10="",$F10=""),"",$I10*($L10/100)*$F10*$M10*10)</f>
        <v>0.8253</v>
      </c>
      <c r="Q10" s="14" t="str">
        <f aca="false">IF(AND($A10="",$B10="",$D10=""),"",IF(AND($B10&lt;&gt;"",COUNTIF('2. Core Log'!$A$5:$A$124,$B10)=0),"Core ID not in Core Log. ","")&amp;IF(AND($A10&lt;&gt;"",COUNTIF('1. Plot &amp; Site Log'!$A$5:$A$64,$A10)=0),"Plot ID not in Plot &amp; Site Log. ","")&amp;IF(AND($D10&lt;&gt;"",$E10&lt;&gt;"",$E10&lt;=$D10),"Bottom depth is not below top depth. ","")&amp;IF($H10="","Say which bulk-density basis the lab reported, or the coarse-fragment correction cannot be applied safely. ","")&amp;IF(AND($I10&lt;&gt;"",OR($I10&lt;QC_BD_MIN,$I10&gt;QC_BD_MAX)),"Bulk density outside "&amp;QC_BD_MIN&amp;"–"&amp;QC_BD_MAX&amp;" g/cm³. ","")&amp;IF(AND($L10&lt;&gt;"",$L10&gt;QC_CARBON_PCT_MAX),"Carbon above "&amp;QC_CARBON_PCT_MAX&amp;"% — check units; this may be organic matter rather than carbon. ","")&amp;IF(AND($J10&lt;&gt;"",$K10&lt;&gt;""),"Both LOI and measured carbon given — the measured value is used. ","")&amp;IF(AND($N10&lt;&gt;"",$N10=0),"Slice lies entirely below the reporting depth — it counts to the full-core stock only. ",""))</f>
        <v>Slice lies entirely below the reporting depth — it counts to the full-core stock only. </v>
      </c>
      <c r="R10" s="13"/>
    </row>
    <row r="11" customFormat="false" ht="15" hidden="false" customHeight="false" outlineLevel="0" collapsed="false">
      <c r="A11" s="13" t="s">
        <v>74</v>
      </c>
      <c r="B11" s="13" t="s">
        <v>108</v>
      </c>
      <c r="C11" s="13" t="n">
        <v>7</v>
      </c>
      <c r="D11" s="13" t="n">
        <v>40</v>
      </c>
      <c r="E11" s="13" t="n">
        <v>50</v>
      </c>
      <c r="F11" s="13" t="n">
        <f aca="false">IF(OR($D11="",$E11=""),"",$E11-$D11)</f>
        <v>10</v>
      </c>
      <c r="G11" s="13" t="n">
        <v>0</v>
      </c>
      <c r="H11" s="13" t="s">
        <v>190</v>
      </c>
      <c r="I11" s="15" t="n">
        <v>1.12</v>
      </c>
      <c r="J11" s="15"/>
      <c r="K11" s="15" t="n">
        <v>0.9</v>
      </c>
      <c r="L11" s="14" t="n">
        <f aca="false">IF($K11&lt;&gt;"",$K11,IF($J11&lt;&gt;"",$J11*CARBON_FRACTION_OM,""))</f>
        <v>0.9</v>
      </c>
      <c r="M11" s="14" t="n">
        <f aca="false">IF($H11="Fine earth / fine-earth volume",1-IF($G11="",0,$G11)/100,1)</f>
        <v>1</v>
      </c>
      <c r="N11" s="14" t="n">
        <f aca="false">IF(OR($D11="",$E11=""),"",MAX(0,MIN($E11,REPORTING_DEPTH_CM)-MIN($D11,REPORTING_DEPTH_CM)))</f>
        <v>0</v>
      </c>
      <c r="O11" s="14" t="n">
        <f aca="false">IF(OR($I11="",$L11="",$N11=""),"",$I11*($L11/100)*$N11*$M11*10)</f>
        <v>0</v>
      </c>
      <c r="P11" s="14" t="n">
        <f aca="false">IF(OR($I11="",$L11="",$F11=""),"",$I11*($L11/100)*$F11*$M11*10)</f>
        <v>1.008</v>
      </c>
      <c r="Q11" s="14" t="str">
        <f aca="false">IF(AND($A11="",$B11="",$D11=""),"",IF(AND($B11&lt;&gt;"",COUNTIF('2. Core Log'!$A$5:$A$124,$B11)=0),"Core ID not in Core Log. ","")&amp;IF(AND($A11&lt;&gt;"",COUNTIF('1. Plot &amp; Site Log'!$A$5:$A$64,$A11)=0),"Plot ID not in Plot &amp; Site Log. ","")&amp;IF(AND($D11&lt;&gt;"",$E11&lt;&gt;"",$E11&lt;=$D11),"Bottom depth is not below top depth. ","")&amp;IF($H11="","Say which bulk-density basis the lab reported, or the coarse-fragment correction cannot be applied safely. ","")&amp;IF(AND($I11&lt;&gt;"",OR($I11&lt;QC_BD_MIN,$I11&gt;QC_BD_MAX)),"Bulk density outside "&amp;QC_BD_MIN&amp;"–"&amp;QC_BD_MAX&amp;" g/cm³. ","")&amp;IF(AND($L11&lt;&gt;"",$L11&gt;QC_CARBON_PCT_MAX),"Carbon above "&amp;QC_CARBON_PCT_MAX&amp;"% — check units; this may be organic matter rather than carbon. ","")&amp;IF(AND($J11&lt;&gt;"",$K11&lt;&gt;""),"Both LOI and measured carbon given — the measured value is used. ","")&amp;IF(AND($N11&lt;&gt;"",$N11=0),"Slice lies entirely below the reporting depth — it counts to the full-core stock only. ",""))</f>
        <v>Slice lies entirely below the reporting depth — it counts to the full-core stock only. </v>
      </c>
      <c r="R11" s="13"/>
    </row>
    <row r="12" customFormat="false" ht="15" hidden="false" customHeight="false" outlineLevel="0" collapsed="false">
      <c r="A12" s="13" t="s">
        <v>74</v>
      </c>
      <c r="B12" s="13" t="s">
        <v>110</v>
      </c>
      <c r="C12" s="13" t="n">
        <v>1</v>
      </c>
      <c r="D12" s="13" t="n">
        <v>0</v>
      </c>
      <c r="E12" s="13" t="n">
        <v>5</v>
      </c>
      <c r="F12" s="13" t="n">
        <f aca="false">IF(OR($D12="",$E12=""),"",$E12-$D12)</f>
        <v>5</v>
      </c>
      <c r="G12" s="13" t="n">
        <v>3</v>
      </c>
      <c r="H12" s="13" t="s">
        <v>190</v>
      </c>
      <c r="I12" s="15" t="n">
        <v>0.246</v>
      </c>
      <c r="J12" s="15"/>
      <c r="K12" s="15" t="n">
        <v>29.16</v>
      </c>
      <c r="L12" s="14" t="n">
        <f aca="false">IF($K12&lt;&gt;"",$K12,IF($J12&lt;&gt;"",$J12*CARBON_FRACTION_OM,""))</f>
        <v>29.16</v>
      </c>
      <c r="M12" s="14" t="n">
        <f aca="false">IF($H12="Fine earth / fine-earth volume",1-IF($G12="",0,$G12)/100,1)</f>
        <v>1</v>
      </c>
      <c r="N12" s="14" t="n">
        <f aca="false">IF(OR($D12="",$E12=""),"",MAX(0,MIN($E12,REPORTING_DEPTH_CM)-MIN($D12,REPORTING_DEPTH_CM)))</f>
        <v>5</v>
      </c>
      <c r="O12" s="14" t="n">
        <f aca="false">IF(OR($I12="",$L12="",$N12=""),"",$I12*($L12/100)*$N12*$M12*10)</f>
        <v>3.58668</v>
      </c>
      <c r="P12" s="14" t="n">
        <f aca="false">IF(OR($I12="",$L12="",$F12=""),"",$I12*($L12/100)*$F12*$M12*10)</f>
        <v>3.58668</v>
      </c>
      <c r="Q12" s="14" t="str">
        <f aca="false">IF(AND($A12="",$B12="",$D12=""),"",IF(AND($B12&lt;&gt;"",COUNTIF('2. Core Log'!$A$5:$A$124,$B12)=0),"Core ID not in Core Log. ","")&amp;IF(AND($A12&lt;&gt;"",COUNTIF('1. Plot &amp; Site Log'!$A$5:$A$64,$A12)=0),"Plot ID not in Plot &amp; Site Log. ","")&amp;IF(AND($D12&lt;&gt;"",$E12&lt;&gt;"",$E12&lt;=$D12),"Bottom depth is not below top depth. ","")&amp;IF($H12="","Say which bulk-density basis the lab reported, or the coarse-fragment correction cannot be applied safely. ","")&amp;IF(AND($I12&lt;&gt;"",OR($I12&lt;QC_BD_MIN,$I12&gt;QC_BD_MAX)),"Bulk density outside "&amp;QC_BD_MIN&amp;"–"&amp;QC_BD_MAX&amp;" g/cm³. ","")&amp;IF(AND($L12&lt;&gt;"",$L12&gt;QC_CARBON_PCT_MAX),"Carbon above "&amp;QC_CARBON_PCT_MAX&amp;"% — check units; this may be organic matter rather than carbon. ","")&amp;IF(AND($J12&lt;&gt;"",$K12&lt;&gt;""),"Both LOI and measured carbon given — the measured value is used. ","")&amp;IF(AND($N12&lt;&gt;"",$N12=0),"Slice lies entirely below the reporting depth — it counts to the full-core stock only. ",""))</f>
        <v/>
      </c>
      <c r="R12" s="13"/>
    </row>
    <row r="13" customFormat="false" ht="15" hidden="false" customHeight="false" outlineLevel="0" collapsed="false">
      <c r="A13" s="13" t="s">
        <v>74</v>
      </c>
      <c r="B13" s="13" t="s">
        <v>110</v>
      </c>
      <c r="C13" s="13" t="n">
        <v>2</v>
      </c>
      <c r="D13" s="13" t="n">
        <v>5</v>
      </c>
      <c r="E13" s="13" t="n">
        <v>10</v>
      </c>
      <c r="F13" s="13" t="n">
        <f aca="false">IF(OR($D13="",$E13=""),"",$E13-$D13)</f>
        <v>5</v>
      </c>
      <c r="G13" s="13" t="n">
        <v>6</v>
      </c>
      <c r="H13" s="13" t="s">
        <v>190</v>
      </c>
      <c r="I13" s="15" t="n">
        <v>0.321</v>
      </c>
      <c r="J13" s="15"/>
      <c r="K13" s="15" t="n">
        <v>15.91</v>
      </c>
      <c r="L13" s="14" t="n">
        <f aca="false">IF($K13&lt;&gt;"",$K13,IF($J13&lt;&gt;"",$J13*CARBON_FRACTION_OM,""))</f>
        <v>15.91</v>
      </c>
      <c r="M13" s="14" t="n">
        <f aca="false">IF($H13="Fine earth / fine-earth volume",1-IF($G13="",0,$G13)/100,1)</f>
        <v>1</v>
      </c>
      <c r="N13" s="14" t="n">
        <f aca="false">IF(OR($D13="",$E13=""),"",MAX(0,MIN($E13,REPORTING_DEPTH_CM)-MIN($D13,REPORTING_DEPTH_CM)))</f>
        <v>5</v>
      </c>
      <c r="O13" s="14" t="n">
        <f aca="false">IF(OR($I13="",$L13="",$N13=""),"",$I13*($L13/100)*$N13*$M13*10)</f>
        <v>2.553555</v>
      </c>
      <c r="P13" s="14" t="n">
        <f aca="false">IF(OR($I13="",$L13="",$F13=""),"",$I13*($L13/100)*$F13*$M13*10)</f>
        <v>2.553555</v>
      </c>
      <c r="Q13" s="14" t="str">
        <f aca="false">IF(AND($A13="",$B13="",$D13=""),"",IF(AND($B13&lt;&gt;"",COUNTIF('2. Core Log'!$A$5:$A$124,$B13)=0),"Core ID not in Core Log. ","")&amp;IF(AND($A13&lt;&gt;"",COUNTIF('1. Plot &amp; Site Log'!$A$5:$A$64,$A13)=0),"Plot ID not in Plot &amp; Site Log. ","")&amp;IF(AND($D13&lt;&gt;"",$E13&lt;&gt;"",$E13&lt;=$D13),"Bottom depth is not below top depth. ","")&amp;IF($H13="","Say which bulk-density basis the lab reported, or the coarse-fragment correction cannot be applied safely. ","")&amp;IF(AND($I13&lt;&gt;"",OR($I13&lt;QC_BD_MIN,$I13&gt;QC_BD_MAX)),"Bulk density outside "&amp;QC_BD_MIN&amp;"–"&amp;QC_BD_MAX&amp;" g/cm³. ","")&amp;IF(AND($L13&lt;&gt;"",$L13&gt;QC_CARBON_PCT_MAX),"Carbon above "&amp;QC_CARBON_PCT_MAX&amp;"% — check units; this may be organic matter rather than carbon. ","")&amp;IF(AND($J13&lt;&gt;"",$K13&lt;&gt;""),"Both LOI and measured carbon given — the measured value is used. ","")&amp;IF(AND($N13&lt;&gt;"",$N13=0),"Slice lies entirely below the reporting depth — it counts to the full-core stock only. ",""))</f>
        <v/>
      </c>
      <c r="R13" s="13"/>
    </row>
    <row r="14" customFormat="false" ht="15" hidden="false" customHeight="false" outlineLevel="0" collapsed="false">
      <c r="A14" s="13" t="s">
        <v>74</v>
      </c>
      <c r="B14" s="13" t="s">
        <v>110</v>
      </c>
      <c r="C14" s="13" t="n">
        <v>3</v>
      </c>
      <c r="D14" s="13" t="n">
        <v>10</v>
      </c>
      <c r="E14" s="13" t="n">
        <v>15</v>
      </c>
      <c r="F14" s="13" t="n">
        <f aca="false">IF(OR($D14="",$E14=""),"",$E14-$D14)</f>
        <v>5</v>
      </c>
      <c r="G14" s="13" t="n">
        <v>11</v>
      </c>
      <c r="H14" s="13" t="s">
        <v>190</v>
      </c>
      <c r="I14" s="15" t="n">
        <v>0.461</v>
      </c>
      <c r="J14" s="15"/>
      <c r="K14" s="15" t="n">
        <v>7.44</v>
      </c>
      <c r="L14" s="14" t="n">
        <f aca="false">IF($K14&lt;&gt;"",$K14,IF($J14&lt;&gt;"",$J14*CARBON_FRACTION_OM,""))</f>
        <v>7.44</v>
      </c>
      <c r="M14" s="14" t="n">
        <f aca="false">IF($H14="Fine earth / fine-earth volume",1-IF($G14="",0,$G14)/100,1)</f>
        <v>1</v>
      </c>
      <c r="N14" s="14" t="n">
        <f aca="false">IF(OR($D14="",$E14=""),"",MAX(0,MIN($E14,REPORTING_DEPTH_CM)-MIN($D14,REPORTING_DEPTH_CM)))</f>
        <v>5</v>
      </c>
      <c r="O14" s="14" t="n">
        <f aca="false">IF(OR($I14="",$L14="",$N14=""),"",$I14*($L14/100)*$N14*$M14*10)</f>
        <v>1.71492</v>
      </c>
      <c r="P14" s="14" t="n">
        <f aca="false">IF(OR($I14="",$L14="",$F14=""),"",$I14*($L14/100)*$F14*$M14*10)</f>
        <v>1.71492</v>
      </c>
      <c r="Q14" s="14" t="str">
        <f aca="false">IF(AND($A14="",$B14="",$D14=""),"",IF(AND($B14&lt;&gt;"",COUNTIF('2. Core Log'!$A$5:$A$124,$B14)=0),"Core ID not in Core Log. ","")&amp;IF(AND($A14&lt;&gt;"",COUNTIF('1. Plot &amp; Site Log'!$A$5:$A$64,$A14)=0),"Plot ID not in Plot &amp; Site Log. ","")&amp;IF(AND($D14&lt;&gt;"",$E14&lt;&gt;"",$E14&lt;=$D14),"Bottom depth is not below top depth. ","")&amp;IF($H14="","Say which bulk-density basis the lab reported, or the coarse-fragment correction cannot be applied safely. ","")&amp;IF(AND($I14&lt;&gt;"",OR($I14&lt;QC_BD_MIN,$I14&gt;QC_BD_MAX)),"Bulk density outside "&amp;QC_BD_MIN&amp;"–"&amp;QC_BD_MAX&amp;" g/cm³. ","")&amp;IF(AND($L14&lt;&gt;"",$L14&gt;QC_CARBON_PCT_MAX),"Carbon above "&amp;QC_CARBON_PCT_MAX&amp;"% — check units; this may be organic matter rather than carbon. ","")&amp;IF(AND($J14&lt;&gt;"",$K14&lt;&gt;""),"Both LOI and measured carbon given — the measured value is used. ","")&amp;IF(AND($N14&lt;&gt;"",$N14=0),"Slice lies entirely below the reporting depth — it counts to the full-core stock only. ",""))</f>
        <v/>
      </c>
      <c r="R14" s="13"/>
    </row>
    <row r="15" customFormat="false" ht="15" hidden="false" customHeight="false" outlineLevel="0" collapsed="false">
      <c r="A15" s="13" t="s">
        <v>74</v>
      </c>
      <c r="B15" s="13" t="s">
        <v>110</v>
      </c>
      <c r="C15" s="13" t="n">
        <v>4</v>
      </c>
      <c r="D15" s="13" t="n">
        <v>15</v>
      </c>
      <c r="E15" s="13" t="n">
        <v>20</v>
      </c>
      <c r="F15" s="13" t="n">
        <f aca="false">IF(OR($D15="",$E15=""),"",$E15-$D15)</f>
        <v>5</v>
      </c>
      <c r="G15" s="13" t="n">
        <v>3</v>
      </c>
      <c r="H15" s="13" t="s">
        <v>190</v>
      </c>
      <c r="I15" s="15" t="n">
        <v>0.538</v>
      </c>
      <c r="J15" s="15"/>
      <c r="K15" s="15" t="n">
        <v>3.95</v>
      </c>
      <c r="L15" s="14" t="n">
        <f aca="false">IF($K15&lt;&gt;"",$K15,IF($J15&lt;&gt;"",$J15*CARBON_FRACTION_OM,""))</f>
        <v>3.95</v>
      </c>
      <c r="M15" s="14" t="n">
        <f aca="false">IF($H15="Fine earth / fine-earth volume",1-IF($G15="",0,$G15)/100,1)</f>
        <v>1</v>
      </c>
      <c r="N15" s="14" t="n">
        <f aca="false">IF(OR($D15="",$E15=""),"",MAX(0,MIN($E15,REPORTING_DEPTH_CM)-MIN($D15,REPORTING_DEPTH_CM)))</f>
        <v>5</v>
      </c>
      <c r="O15" s="14" t="n">
        <f aca="false">IF(OR($I15="",$L15="",$N15=""),"",$I15*($L15/100)*$N15*$M15*10)</f>
        <v>1.06255</v>
      </c>
      <c r="P15" s="14" t="n">
        <f aca="false">IF(OR($I15="",$L15="",$F15=""),"",$I15*($L15/100)*$F15*$M15*10)</f>
        <v>1.06255</v>
      </c>
      <c r="Q15" s="14" t="str">
        <f aca="false">IF(AND($A15="",$B15="",$D15=""),"",IF(AND($B15&lt;&gt;"",COUNTIF('2. Core Log'!$A$5:$A$124,$B15)=0),"Core ID not in Core Log. ","")&amp;IF(AND($A15&lt;&gt;"",COUNTIF('1. Plot &amp; Site Log'!$A$5:$A$64,$A15)=0),"Plot ID not in Plot &amp; Site Log. ","")&amp;IF(AND($D15&lt;&gt;"",$E15&lt;&gt;"",$E15&lt;=$D15),"Bottom depth is not below top depth. ","")&amp;IF($H15="","Say which bulk-density basis the lab reported, or the coarse-fragment correction cannot be applied safely. ","")&amp;IF(AND($I15&lt;&gt;"",OR($I15&lt;QC_BD_MIN,$I15&gt;QC_BD_MAX)),"Bulk density outside "&amp;QC_BD_MIN&amp;"–"&amp;QC_BD_MAX&amp;" g/cm³. ","")&amp;IF(AND($L15&lt;&gt;"",$L15&gt;QC_CARBON_PCT_MAX),"Carbon above "&amp;QC_CARBON_PCT_MAX&amp;"% — check units; this may be organic matter rather than carbon. ","")&amp;IF(AND($J15&lt;&gt;"",$K15&lt;&gt;""),"Both LOI and measured carbon given — the measured value is used. ","")&amp;IF(AND($N15&lt;&gt;"",$N15=0),"Slice lies entirely below the reporting depth — it counts to the full-core stock only. ",""))</f>
        <v/>
      </c>
      <c r="R15" s="13"/>
    </row>
    <row r="16" customFormat="false" ht="15" hidden="false" customHeight="false" outlineLevel="0" collapsed="false">
      <c r="A16" s="13" t="s">
        <v>74</v>
      </c>
      <c r="B16" s="13" t="s">
        <v>110</v>
      </c>
      <c r="C16" s="13" t="n">
        <v>5</v>
      </c>
      <c r="D16" s="13" t="n">
        <v>20</v>
      </c>
      <c r="E16" s="13" t="n">
        <v>30</v>
      </c>
      <c r="F16" s="13" t="n">
        <f aca="false">IF(OR($D16="",$E16=""),"",$E16-$D16)</f>
        <v>10</v>
      </c>
      <c r="G16" s="13" t="n">
        <v>11</v>
      </c>
      <c r="H16" s="13" t="s">
        <v>190</v>
      </c>
      <c r="I16" s="15" t="n">
        <v>0.725</v>
      </c>
      <c r="J16" s="15"/>
      <c r="K16" s="15" t="n">
        <v>2.35</v>
      </c>
      <c r="L16" s="14" t="n">
        <f aca="false">IF($K16&lt;&gt;"",$K16,IF($J16&lt;&gt;"",$J16*CARBON_FRACTION_OM,""))</f>
        <v>2.35</v>
      </c>
      <c r="M16" s="14" t="n">
        <f aca="false">IF($H16="Fine earth / fine-earth volume",1-IF($G16="",0,$G16)/100,1)</f>
        <v>1</v>
      </c>
      <c r="N16" s="14" t="n">
        <f aca="false">IF(OR($D16="",$E16=""),"",MAX(0,MIN($E16,REPORTING_DEPTH_CM)-MIN($D16,REPORTING_DEPTH_CM)))</f>
        <v>10</v>
      </c>
      <c r="O16" s="14" t="n">
        <f aca="false">IF(OR($I16="",$L16="",$N16=""),"",$I16*($L16/100)*$N16*$M16*10)</f>
        <v>1.70375</v>
      </c>
      <c r="P16" s="14" t="n">
        <f aca="false">IF(OR($I16="",$L16="",$F16=""),"",$I16*($L16/100)*$F16*$M16*10)</f>
        <v>1.70375</v>
      </c>
      <c r="Q16" s="14" t="str">
        <f aca="false">IF(AND($A16="",$B16="",$D16=""),"",IF(AND($B16&lt;&gt;"",COUNTIF('2. Core Log'!$A$5:$A$124,$B16)=0),"Core ID not in Core Log. ","")&amp;IF(AND($A16&lt;&gt;"",COUNTIF('1. Plot &amp; Site Log'!$A$5:$A$64,$A16)=0),"Plot ID not in Plot &amp; Site Log. ","")&amp;IF(AND($D16&lt;&gt;"",$E16&lt;&gt;"",$E16&lt;=$D16),"Bottom depth is not below top depth. ","")&amp;IF($H16="","Say which bulk-density basis the lab reported, or the coarse-fragment correction cannot be applied safely. ","")&amp;IF(AND($I16&lt;&gt;"",OR($I16&lt;QC_BD_MIN,$I16&gt;QC_BD_MAX)),"Bulk density outside "&amp;QC_BD_MIN&amp;"–"&amp;QC_BD_MAX&amp;" g/cm³. ","")&amp;IF(AND($L16&lt;&gt;"",$L16&gt;QC_CARBON_PCT_MAX),"Carbon above "&amp;QC_CARBON_PCT_MAX&amp;"% — check units; this may be organic matter rather than carbon. ","")&amp;IF(AND($J16&lt;&gt;"",$K16&lt;&gt;""),"Both LOI and measured carbon given — the measured value is used. ","")&amp;IF(AND($N16&lt;&gt;"",$N16=0),"Slice lies entirely below the reporting depth — it counts to the full-core stock only. ",""))</f>
        <v/>
      </c>
      <c r="R16" s="13"/>
    </row>
    <row r="17" customFormat="false" ht="15" hidden="false" customHeight="false" outlineLevel="0" collapsed="false">
      <c r="A17" s="13" t="s">
        <v>82</v>
      </c>
      <c r="B17" s="13" t="s">
        <v>111</v>
      </c>
      <c r="C17" s="13" t="n">
        <v>1</v>
      </c>
      <c r="D17" s="13" t="n">
        <v>0</v>
      </c>
      <c r="E17" s="13" t="n">
        <v>5</v>
      </c>
      <c r="F17" s="13" t="n">
        <f aca="false">IF(OR($D17="",$E17=""),"",$E17-$D17)</f>
        <v>5</v>
      </c>
      <c r="G17" s="13" t="n">
        <v>6</v>
      </c>
      <c r="H17" s="13" t="s">
        <v>190</v>
      </c>
      <c r="I17" s="15" t="n">
        <v>0.25</v>
      </c>
      <c r="J17" s="15"/>
      <c r="K17" s="15" t="n">
        <v>28.63</v>
      </c>
      <c r="L17" s="14" t="n">
        <f aca="false">IF($K17&lt;&gt;"",$K17,IF($J17&lt;&gt;"",$J17*CARBON_FRACTION_OM,""))</f>
        <v>28.63</v>
      </c>
      <c r="M17" s="14" t="n">
        <f aca="false">IF($H17="Fine earth / fine-earth volume",1-IF($G17="",0,$G17)/100,1)</f>
        <v>1</v>
      </c>
      <c r="N17" s="14" t="n">
        <f aca="false">IF(OR($D17="",$E17=""),"",MAX(0,MIN($E17,REPORTING_DEPTH_CM)-MIN($D17,REPORTING_DEPTH_CM)))</f>
        <v>5</v>
      </c>
      <c r="O17" s="14" t="n">
        <f aca="false">IF(OR($I17="",$L17="",$N17=""),"",$I17*($L17/100)*$N17*$M17*10)</f>
        <v>3.57875</v>
      </c>
      <c r="P17" s="14" t="n">
        <f aca="false">IF(OR($I17="",$L17="",$F17=""),"",$I17*($L17/100)*$F17*$M17*10)</f>
        <v>3.57875</v>
      </c>
      <c r="Q17" s="14" t="str">
        <f aca="false">IF(AND($A17="",$B17="",$D17=""),"",IF(AND($B17&lt;&gt;"",COUNTIF('2. Core Log'!$A$5:$A$124,$B17)=0),"Core ID not in Core Log. ","")&amp;IF(AND($A17&lt;&gt;"",COUNTIF('1. Plot &amp; Site Log'!$A$5:$A$64,$A17)=0),"Plot ID not in Plot &amp; Site Log. ","")&amp;IF(AND($D17&lt;&gt;"",$E17&lt;&gt;"",$E17&lt;=$D17),"Bottom depth is not below top depth. ","")&amp;IF($H17="","Say which bulk-density basis the lab reported, or the coarse-fragment correction cannot be applied safely. ","")&amp;IF(AND($I17&lt;&gt;"",OR($I17&lt;QC_BD_MIN,$I17&gt;QC_BD_MAX)),"Bulk density outside "&amp;QC_BD_MIN&amp;"–"&amp;QC_BD_MAX&amp;" g/cm³. ","")&amp;IF(AND($L17&lt;&gt;"",$L17&gt;QC_CARBON_PCT_MAX),"Carbon above "&amp;QC_CARBON_PCT_MAX&amp;"% — check units; this may be organic matter rather than carbon. ","")&amp;IF(AND($J17&lt;&gt;"",$K17&lt;&gt;""),"Both LOI and measured carbon given — the measured value is used. ","")&amp;IF(AND($N17&lt;&gt;"",$N17=0),"Slice lies entirely below the reporting depth — it counts to the full-core stock only. ",""))</f>
        <v/>
      </c>
      <c r="R17" s="13"/>
    </row>
    <row r="18" customFormat="false" ht="15" hidden="false" customHeight="false" outlineLevel="0" collapsed="false">
      <c r="A18" s="13" t="s">
        <v>82</v>
      </c>
      <c r="B18" s="13" t="s">
        <v>111</v>
      </c>
      <c r="C18" s="13" t="n">
        <v>2</v>
      </c>
      <c r="D18" s="13" t="n">
        <v>5</v>
      </c>
      <c r="E18" s="13" t="n">
        <v>10</v>
      </c>
      <c r="F18" s="13" t="n">
        <f aca="false">IF(OR($D18="",$E18=""),"",$E18-$D18)</f>
        <v>5</v>
      </c>
      <c r="G18" s="13" t="n">
        <v>0</v>
      </c>
      <c r="H18" s="13" t="s">
        <v>190</v>
      </c>
      <c r="I18" s="15" t="n">
        <v>0.343</v>
      </c>
      <c r="J18" s="15"/>
      <c r="K18" s="15" t="n">
        <v>14.66</v>
      </c>
      <c r="L18" s="14" t="n">
        <f aca="false">IF($K18&lt;&gt;"",$K18,IF($J18&lt;&gt;"",$J18*CARBON_FRACTION_OM,""))</f>
        <v>14.66</v>
      </c>
      <c r="M18" s="14" t="n">
        <f aca="false">IF($H18="Fine earth / fine-earth volume",1-IF($G18="",0,$G18)/100,1)</f>
        <v>1</v>
      </c>
      <c r="N18" s="14" t="n">
        <f aca="false">IF(OR($D18="",$E18=""),"",MAX(0,MIN($E18,REPORTING_DEPTH_CM)-MIN($D18,REPORTING_DEPTH_CM)))</f>
        <v>5</v>
      </c>
      <c r="O18" s="14" t="n">
        <f aca="false">IF(OR($I18="",$L18="",$N18=""),"",$I18*($L18/100)*$N18*$M18*10)</f>
        <v>2.51419</v>
      </c>
      <c r="P18" s="14" t="n">
        <f aca="false">IF(OR($I18="",$L18="",$F18=""),"",$I18*($L18/100)*$F18*$M18*10)</f>
        <v>2.51419</v>
      </c>
      <c r="Q18" s="14" t="str">
        <f aca="false">IF(AND($A18="",$B18="",$D18=""),"",IF(AND($B18&lt;&gt;"",COUNTIF('2. Core Log'!$A$5:$A$124,$B18)=0),"Core ID not in Core Log. ","")&amp;IF(AND($A18&lt;&gt;"",COUNTIF('1. Plot &amp; Site Log'!$A$5:$A$64,$A18)=0),"Plot ID not in Plot &amp; Site Log. ","")&amp;IF(AND($D18&lt;&gt;"",$E18&lt;&gt;"",$E18&lt;=$D18),"Bottom depth is not below top depth. ","")&amp;IF($H18="","Say which bulk-density basis the lab reported, or the coarse-fragment correction cannot be applied safely. ","")&amp;IF(AND($I18&lt;&gt;"",OR($I18&lt;QC_BD_MIN,$I18&gt;QC_BD_MAX)),"Bulk density outside "&amp;QC_BD_MIN&amp;"–"&amp;QC_BD_MAX&amp;" g/cm³. ","")&amp;IF(AND($L18&lt;&gt;"",$L18&gt;QC_CARBON_PCT_MAX),"Carbon above "&amp;QC_CARBON_PCT_MAX&amp;"% — check units; this may be organic matter rather than carbon. ","")&amp;IF(AND($J18&lt;&gt;"",$K18&lt;&gt;""),"Both LOI and measured carbon given — the measured value is used. ","")&amp;IF(AND($N18&lt;&gt;"",$N18=0),"Slice lies entirely below the reporting depth — it counts to the full-core stock only. ",""))</f>
        <v/>
      </c>
      <c r="R18" s="13"/>
    </row>
    <row r="19" customFormat="false" ht="15" hidden="false" customHeight="false" outlineLevel="0" collapsed="false">
      <c r="A19" s="13" t="s">
        <v>82</v>
      </c>
      <c r="B19" s="13" t="s">
        <v>111</v>
      </c>
      <c r="C19" s="13" t="n">
        <v>3</v>
      </c>
      <c r="D19" s="13" t="n">
        <v>10</v>
      </c>
      <c r="E19" s="13" t="n">
        <v>15</v>
      </c>
      <c r="F19" s="13" t="n">
        <f aca="false">IF(OR($D19="",$E19=""),"",$E19-$D19)</f>
        <v>5</v>
      </c>
      <c r="G19" s="13" t="n">
        <v>6</v>
      </c>
      <c r="H19" s="13" t="s">
        <v>190</v>
      </c>
      <c r="I19" s="15" t="n">
        <v>0.458</v>
      </c>
      <c r="J19" s="15"/>
      <c r="K19" s="15" t="n">
        <v>9.03</v>
      </c>
      <c r="L19" s="14" t="n">
        <f aca="false">IF($K19&lt;&gt;"",$K19,IF($J19&lt;&gt;"",$J19*CARBON_FRACTION_OM,""))</f>
        <v>9.03</v>
      </c>
      <c r="M19" s="14" t="n">
        <f aca="false">IF($H19="Fine earth / fine-earth volume",1-IF($G19="",0,$G19)/100,1)</f>
        <v>1</v>
      </c>
      <c r="N19" s="14" t="n">
        <f aca="false">IF(OR($D19="",$E19=""),"",MAX(0,MIN($E19,REPORTING_DEPTH_CM)-MIN($D19,REPORTING_DEPTH_CM)))</f>
        <v>5</v>
      </c>
      <c r="O19" s="14" t="n">
        <f aca="false">IF(OR($I19="",$L19="",$N19=""),"",$I19*($L19/100)*$N19*$M19*10)</f>
        <v>2.06787</v>
      </c>
      <c r="P19" s="14" t="n">
        <f aca="false">IF(OR($I19="",$L19="",$F19=""),"",$I19*($L19/100)*$F19*$M19*10)</f>
        <v>2.06787</v>
      </c>
      <c r="Q19" s="14" t="str">
        <f aca="false">IF(AND($A19="",$B19="",$D19=""),"",IF(AND($B19&lt;&gt;"",COUNTIF('2. Core Log'!$A$5:$A$124,$B19)=0),"Core ID not in Core Log. ","")&amp;IF(AND($A19&lt;&gt;"",COUNTIF('1. Plot &amp; Site Log'!$A$5:$A$64,$A19)=0),"Plot ID not in Plot &amp; Site Log. ","")&amp;IF(AND($D19&lt;&gt;"",$E19&lt;&gt;"",$E19&lt;=$D19),"Bottom depth is not below top depth. ","")&amp;IF($H19="","Say which bulk-density basis the lab reported, or the coarse-fragment correction cannot be applied safely. ","")&amp;IF(AND($I19&lt;&gt;"",OR($I19&lt;QC_BD_MIN,$I19&gt;QC_BD_MAX)),"Bulk density outside "&amp;QC_BD_MIN&amp;"–"&amp;QC_BD_MAX&amp;" g/cm³. ","")&amp;IF(AND($L19&lt;&gt;"",$L19&gt;QC_CARBON_PCT_MAX),"Carbon above "&amp;QC_CARBON_PCT_MAX&amp;"% — check units; this may be organic matter rather than carbon. ","")&amp;IF(AND($J19&lt;&gt;"",$K19&lt;&gt;""),"Both LOI and measured carbon given — the measured value is used. ","")&amp;IF(AND($N19&lt;&gt;"",$N19=0),"Slice lies entirely below the reporting depth — it counts to the full-core stock only. ",""))</f>
        <v/>
      </c>
      <c r="R19" s="13"/>
    </row>
    <row r="20" customFormat="false" ht="15" hidden="false" customHeight="false" outlineLevel="0" collapsed="false">
      <c r="A20" s="13" t="s">
        <v>82</v>
      </c>
      <c r="B20" s="13" t="s">
        <v>111</v>
      </c>
      <c r="C20" s="13" t="n">
        <v>4</v>
      </c>
      <c r="D20" s="13" t="n">
        <v>15</v>
      </c>
      <c r="E20" s="13" t="n">
        <v>20</v>
      </c>
      <c r="F20" s="13" t="n">
        <f aca="false">IF(OR($D20="",$E20=""),"",$E20-$D20)</f>
        <v>5</v>
      </c>
      <c r="G20" s="13" t="n">
        <v>0</v>
      </c>
      <c r="H20" s="13" t="s">
        <v>190</v>
      </c>
      <c r="I20" s="15" t="n">
        <v>0.539</v>
      </c>
      <c r="J20" s="15"/>
      <c r="K20" s="15" t="n">
        <v>3.78</v>
      </c>
      <c r="L20" s="14" t="n">
        <f aca="false">IF($K20&lt;&gt;"",$K20,IF($J20&lt;&gt;"",$J20*CARBON_FRACTION_OM,""))</f>
        <v>3.78</v>
      </c>
      <c r="M20" s="14" t="n">
        <f aca="false">IF($H20="Fine earth / fine-earth volume",1-IF($G20="",0,$G20)/100,1)</f>
        <v>1</v>
      </c>
      <c r="N20" s="14" t="n">
        <f aca="false">IF(OR($D20="",$E20=""),"",MAX(0,MIN($E20,REPORTING_DEPTH_CM)-MIN($D20,REPORTING_DEPTH_CM)))</f>
        <v>5</v>
      </c>
      <c r="O20" s="14" t="n">
        <f aca="false">IF(OR($I20="",$L20="",$N20=""),"",$I20*($L20/100)*$N20*$M20*10)</f>
        <v>1.01871</v>
      </c>
      <c r="P20" s="14" t="n">
        <f aca="false">IF(OR($I20="",$L20="",$F20=""),"",$I20*($L20/100)*$F20*$M20*10)</f>
        <v>1.01871</v>
      </c>
      <c r="Q20" s="14" t="str">
        <f aca="false">IF(AND($A20="",$B20="",$D20=""),"",IF(AND($B20&lt;&gt;"",COUNTIF('2. Core Log'!$A$5:$A$124,$B20)=0),"Core ID not in Core Log. ","")&amp;IF(AND($A20&lt;&gt;"",COUNTIF('1. Plot &amp; Site Log'!$A$5:$A$64,$A20)=0),"Plot ID not in Plot &amp; Site Log. ","")&amp;IF(AND($D20&lt;&gt;"",$E20&lt;&gt;"",$E20&lt;=$D20),"Bottom depth is not below top depth. ","")&amp;IF($H20="","Say which bulk-density basis the lab reported, or the coarse-fragment correction cannot be applied safely. ","")&amp;IF(AND($I20&lt;&gt;"",OR($I20&lt;QC_BD_MIN,$I20&gt;QC_BD_MAX)),"Bulk density outside "&amp;QC_BD_MIN&amp;"–"&amp;QC_BD_MAX&amp;" g/cm³. ","")&amp;IF(AND($L20&lt;&gt;"",$L20&gt;QC_CARBON_PCT_MAX),"Carbon above "&amp;QC_CARBON_PCT_MAX&amp;"% — check units; this may be organic matter rather than carbon. ","")&amp;IF(AND($J20&lt;&gt;"",$K20&lt;&gt;""),"Both LOI and measured carbon given — the measured value is used. ","")&amp;IF(AND($N20&lt;&gt;"",$N20=0),"Slice lies entirely below the reporting depth — it counts to the full-core stock only. ",""))</f>
        <v/>
      </c>
      <c r="R20" s="13"/>
    </row>
    <row r="21" customFormat="false" ht="15" hidden="false" customHeight="false" outlineLevel="0" collapsed="false">
      <c r="A21" s="13" t="s">
        <v>82</v>
      </c>
      <c r="B21" s="13" t="s">
        <v>111</v>
      </c>
      <c r="C21" s="13" t="n">
        <v>5</v>
      </c>
      <c r="D21" s="13" t="n">
        <v>20</v>
      </c>
      <c r="E21" s="13" t="n">
        <v>30</v>
      </c>
      <c r="F21" s="13" t="n">
        <f aca="false">IF(OR($D21="",$E21=""),"",$E21-$D21)</f>
        <v>10</v>
      </c>
      <c r="G21" s="13" t="n">
        <v>11</v>
      </c>
      <c r="H21" s="13" t="s">
        <v>190</v>
      </c>
      <c r="I21" s="15" t="n">
        <v>0.684</v>
      </c>
      <c r="J21" s="15"/>
      <c r="K21" s="15" t="n">
        <v>1.94</v>
      </c>
      <c r="L21" s="14" t="n">
        <f aca="false">IF($K21&lt;&gt;"",$K21,IF($J21&lt;&gt;"",$J21*CARBON_FRACTION_OM,""))</f>
        <v>1.94</v>
      </c>
      <c r="M21" s="14" t="n">
        <f aca="false">IF($H21="Fine earth / fine-earth volume",1-IF($G21="",0,$G21)/100,1)</f>
        <v>1</v>
      </c>
      <c r="N21" s="14" t="n">
        <f aca="false">IF(OR($D21="",$E21=""),"",MAX(0,MIN($E21,REPORTING_DEPTH_CM)-MIN($D21,REPORTING_DEPTH_CM)))</f>
        <v>10</v>
      </c>
      <c r="O21" s="14" t="n">
        <f aca="false">IF(OR($I21="",$L21="",$N21=""),"",$I21*($L21/100)*$N21*$M21*10)</f>
        <v>1.32696</v>
      </c>
      <c r="P21" s="14" t="n">
        <f aca="false">IF(OR($I21="",$L21="",$F21=""),"",$I21*($L21/100)*$F21*$M21*10)</f>
        <v>1.32696</v>
      </c>
      <c r="Q21" s="14" t="str">
        <f aca="false">IF(AND($A21="",$B21="",$D21=""),"",IF(AND($B21&lt;&gt;"",COUNTIF('2. Core Log'!$A$5:$A$124,$B21)=0),"Core ID not in Core Log. ","")&amp;IF(AND($A21&lt;&gt;"",COUNTIF('1. Plot &amp; Site Log'!$A$5:$A$64,$A21)=0),"Plot ID not in Plot &amp; Site Log. ","")&amp;IF(AND($D21&lt;&gt;"",$E21&lt;&gt;"",$E21&lt;=$D21),"Bottom depth is not below top depth. ","")&amp;IF($H21="","Say which bulk-density basis the lab reported, or the coarse-fragment correction cannot be applied safely. ","")&amp;IF(AND($I21&lt;&gt;"",OR($I21&lt;QC_BD_MIN,$I21&gt;QC_BD_MAX)),"Bulk density outside "&amp;QC_BD_MIN&amp;"–"&amp;QC_BD_MAX&amp;" g/cm³. ","")&amp;IF(AND($L21&lt;&gt;"",$L21&gt;QC_CARBON_PCT_MAX),"Carbon above "&amp;QC_CARBON_PCT_MAX&amp;"% — check units; this may be organic matter rather than carbon. ","")&amp;IF(AND($J21&lt;&gt;"",$K21&lt;&gt;""),"Both LOI and measured carbon given — the measured value is used. ","")&amp;IF(AND($N21&lt;&gt;"",$N21=0),"Slice lies entirely below the reporting depth — it counts to the full-core stock only. ",""))</f>
        <v/>
      </c>
      <c r="R21" s="13"/>
    </row>
    <row r="22" customFormat="false" ht="15" hidden="false" customHeight="false" outlineLevel="0" collapsed="false">
      <c r="A22" s="13" t="s">
        <v>82</v>
      </c>
      <c r="B22" s="13" t="s">
        <v>111</v>
      </c>
      <c r="C22" s="13" t="n">
        <v>6</v>
      </c>
      <c r="D22" s="13" t="n">
        <v>30</v>
      </c>
      <c r="E22" s="13" t="n">
        <v>40</v>
      </c>
      <c r="F22" s="13" t="n">
        <f aca="false">IF(OR($D22="",$E22=""),"",$E22-$D22)</f>
        <v>10</v>
      </c>
      <c r="G22" s="13" t="n">
        <v>0</v>
      </c>
      <c r="H22" s="13" t="s">
        <v>190</v>
      </c>
      <c r="I22" s="15" t="n">
        <v>0.907</v>
      </c>
      <c r="J22" s="15"/>
      <c r="K22" s="15" t="n">
        <v>0.9</v>
      </c>
      <c r="L22" s="14" t="n">
        <f aca="false">IF($K22&lt;&gt;"",$K22,IF($J22&lt;&gt;"",$J22*CARBON_FRACTION_OM,""))</f>
        <v>0.9</v>
      </c>
      <c r="M22" s="14" t="n">
        <f aca="false">IF($H22="Fine earth / fine-earth volume",1-IF($G22="",0,$G22)/100,1)</f>
        <v>1</v>
      </c>
      <c r="N22" s="14" t="n">
        <f aca="false">IF(OR($D22="",$E22=""),"",MAX(0,MIN($E22,REPORTING_DEPTH_CM)-MIN($D22,REPORTING_DEPTH_CM)))</f>
        <v>0</v>
      </c>
      <c r="O22" s="14" t="n">
        <f aca="false">IF(OR($I22="",$L22="",$N22=""),"",$I22*($L22/100)*$N22*$M22*10)</f>
        <v>0</v>
      </c>
      <c r="P22" s="14" t="n">
        <f aca="false">IF(OR($I22="",$L22="",$F22=""),"",$I22*($L22/100)*$F22*$M22*10)</f>
        <v>0.8163</v>
      </c>
      <c r="Q22" s="14" t="str">
        <f aca="false">IF(AND($A22="",$B22="",$D22=""),"",IF(AND($B22&lt;&gt;"",COUNTIF('2. Core Log'!$A$5:$A$124,$B22)=0),"Core ID not in Core Log. ","")&amp;IF(AND($A22&lt;&gt;"",COUNTIF('1. Plot &amp; Site Log'!$A$5:$A$64,$A22)=0),"Plot ID not in Plot &amp; Site Log. ","")&amp;IF(AND($D22&lt;&gt;"",$E22&lt;&gt;"",$E22&lt;=$D22),"Bottom depth is not below top depth. ","")&amp;IF($H22="","Say which bulk-density basis the lab reported, or the coarse-fragment correction cannot be applied safely. ","")&amp;IF(AND($I22&lt;&gt;"",OR($I22&lt;QC_BD_MIN,$I22&gt;QC_BD_MAX)),"Bulk density outside "&amp;QC_BD_MIN&amp;"–"&amp;QC_BD_MAX&amp;" g/cm³. ","")&amp;IF(AND($L22&lt;&gt;"",$L22&gt;QC_CARBON_PCT_MAX),"Carbon above "&amp;QC_CARBON_PCT_MAX&amp;"% — check units; this may be organic matter rather than carbon. ","")&amp;IF(AND($J22&lt;&gt;"",$K22&lt;&gt;""),"Both LOI and measured carbon given — the measured value is used. ","")&amp;IF(AND($N22&lt;&gt;"",$N22=0),"Slice lies entirely below the reporting depth — it counts to the full-core stock only. ",""))</f>
        <v>Slice lies entirely below the reporting depth — it counts to the full-core stock only. </v>
      </c>
      <c r="R22" s="13"/>
    </row>
    <row r="23" customFormat="false" ht="15" hidden="false" customHeight="false" outlineLevel="0" collapsed="false">
      <c r="A23" s="13" t="s">
        <v>83</v>
      </c>
      <c r="B23" s="13" t="s">
        <v>112</v>
      </c>
      <c r="C23" s="13" t="n">
        <v>1</v>
      </c>
      <c r="D23" s="13" t="n">
        <v>0</v>
      </c>
      <c r="E23" s="13" t="n">
        <v>5</v>
      </c>
      <c r="F23" s="13" t="n">
        <f aca="false">IF(OR($D23="",$E23=""),"",$E23-$D23)</f>
        <v>5</v>
      </c>
      <c r="G23" s="13" t="n">
        <v>18</v>
      </c>
      <c r="H23" s="13" t="s">
        <v>190</v>
      </c>
      <c r="I23" s="15" t="n">
        <v>0.24</v>
      </c>
      <c r="J23" s="15"/>
      <c r="K23" s="15" t="n">
        <v>28.74</v>
      </c>
      <c r="L23" s="14" t="n">
        <f aca="false">IF($K23&lt;&gt;"",$K23,IF($J23&lt;&gt;"",$J23*CARBON_FRACTION_OM,""))</f>
        <v>28.74</v>
      </c>
      <c r="M23" s="14" t="n">
        <f aca="false">IF($H23="Fine earth / fine-earth volume",1-IF($G23="",0,$G23)/100,1)</f>
        <v>1</v>
      </c>
      <c r="N23" s="14" t="n">
        <f aca="false">IF(OR($D23="",$E23=""),"",MAX(0,MIN($E23,REPORTING_DEPTH_CM)-MIN($D23,REPORTING_DEPTH_CM)))</f>
        <v>5</v>
      </c>
      <c r="O23" s="14" t="n">
        <f aca="false">IF(OR($I23="",$L23="",$N23=""),"",$I23*($L23/100)*$N23*$M23*10)</f>
        <v>3.4488</v>
      </c>
      <c r="P23" s="14" t="n">
        <f aca="false">IF(OR($I23="",$L23="",$F23=""),"",$I23*($L23/100)*$F23*$M23*10)</f>
        <v>3.4488</v>
      </c>
      <c r="Q23" s="14" t="str">
        <f aca="false">IF(AND($A23="",$B23="",$D23=""),"",IF(AND($B23&lt;&gt;"",COUNTIF('2. Core Log'!$A$5:$A$124,$B23)=0),"Core ID not in Core Log. ","")&amp;IF(AND($A23&lt;&gt;"",COUNTIF('1. Plot &amp; Site Log'!$A$5:$A$64,$A23)=0),"Plot ID not in Plot &amp; Site Log. ","")&amp;IF(AND($D23&lt;&gt;"",$E23&lt;&gt;"",$E23&lt;=$D23),"Bottom depth is not below top depth. ","")&amp;IF($H23="","Say which bulk-density basis the lab reported, or the coarse-fragment correction cannot be applied safely. ","")&amp;IF(AND($I23&lt;&gt;"",OR($I23&lt;QC_BD_MIN,$I23&gt;QC_BD_MAX)),"Bulk density outside "&amp;QC_BD_MIN&amp;"–"&amp;QC_BD_MAX&amp;" g/cm³. ","")&amp;IF(AND($L23&lt;&gt;"",$L23&gt;QC_CARBON_PCT_MAX),"Carbon above "&amp;QC_CARBON_PCT_MAX&amp;"% — check units; this may be organic matter rather than carbon. ","")&amp;IF(AND($J23&lt;&gt;"",$K23&lt;&gt;""),"Both LOI and measured carbon given — the measured value is used. ","")&amp;IF(AND($N23&lt;&gt;"",$N23=0),"Slice lies entirely below the reporting depth — it counts to the full-core stock only. ",""))</f>
        <v/>
      </c>
      <c r="R23" s="13"/>
    </row>
    <row r="24" customFormat="false" ht="15" hidden="false" customHeight="false" outlineLevel="0" collapsed="false">
      <c r="A24" s="13" t="s">
        <v>83</v>
      </c>
      <c r="B24" s="13" t="s">
        <v>112</v>
      </c>
      <c r="C24" s="13" t="n">
        <v>2</v>
      </c>
      <c r="D24" s="13" t="n">
        <v>5</v>
      </c>
      <c r="E24" s="13" t="n">
        <v>10</v>
      </c>
      <c r="F24" s="13" t="n">
        <f aca="false">IF(OR($D24="",$E24=""),"",$E24-$D24)</f>
        <v>5</v>
      </c>
      <c r="G24" s="13" t="n">
        <v>18</v>
      </c>
      <c r="H24" s="13" t="s">
        <v>190</v>
      </c>
      <c r="I24" s="15" t="n">
        <v>0.33</v>
      </c>
      <c r="J24" s="15"/>
      <c r="K24" s="15" t="n">
        <v>16.06</v>
      </c>
      <c r="L24" s="14" t="n">
        <f aca="false">IF($K24&lt;&gt;"",$K24,IF($J24&lt;&gt;"",$J24*CARBON_FRACTION_OM,""))</f>
        <v>16.06</v>
      </c>
      <c r="M24" s="14" t="n">
        <f aca="false">IF($H24="Fine earth / fine-earth volume",1-IF($G24="",0,$G24)/100,1)</f>
        <v>1</v>
      </c>
      <c r="N24" s="14" t="n">
        <f aca="false">IF(OR($D24="",$E24=""),"",MAX(0,MIN($E24,REPORTING_DEPTH_CM)-MIN($D24,REPORTING_DEPTH_CM)))</f>
        <v>5</v>
      </c>
      <c r="O24" s="14" t="n">
        <f aca="false">IF(OR($I24="",$L24="",$N24=""),"",$I24*($L24/100)*$N24*$M24*10)</f>
        <v>2.6499</v>
      </c>
      <c r="P24" s="14" t="n">
        <f aca="false">IF(OR($I24="",$L24="",$F24=""),"",$I24*($L24/100)*$F24*$M24*10)</f>
        <v>2.6499</v>
      </c>
      <c r="Q24" s="14" t="str">
        <f aca="false">IF(AND($A24="",$B24="",$D24=""),"",IF(AND($B24&lt;&gt;"",COUNTIF('2. Core Log'!$A$5:$A$124,$B24)=0),"Core ID not in Core Log. ","")&amp;IF(AND($A24&lt;&gt;"",COUNTIF('1. Plot &amp; Site Log'!$A$5:$A$64,$A24)=0),"Plot ID not in Plot &amp; Site Log. ","")&amp;IF(AND($D24&lt;&gt;"",$E24&lt;&gt;"",$E24&lt;=$D24),"Bottom depth is not below top depth. ","")&amp;IF($H24="","Say which bulk-density basis the lab reported, or the coarse-fragment correction cannot be applied safely. ","")&amp;IF(AND($I24&lt;&gt;"",OR($I24&lt;QC_BD_MIN,$I24&gt;QC_BD_MAX)),"Bulk density outside "&amp;QC_BD_MIN&amp;"–"&amp;QC_BD_MAX&amp;" g/cm³. ","")&amp;IF(AND($L24&lt;&gt;"",$L24&gt;QC_CARBON_PCT_MAX),"Carbon above "&amp;QC_CARBON_PCT_MAX&amp;"% — check units; this may be organic matter rather than carbon. ","")&amp;IF(AND($J24&lt;&gt;"",$K24&lt;&gt;""),"Both LOI and measured carbon given — the measured value is used. ","")&amp;IF(AND($N24&lt;&gt;"",$N24=0),"Slice lies entirely below the reporting depth — it counts to the full-core stock only. ",""))</f>
        <v/>
      </c>
      <c r="R24" s="13"/>
    </row>
    <row r="25" customFormat="false" ht="15" hidden="false" customHeight="false" outlineLevel="0" collapsed="false">
      <c r="A25" s="13" t="s">
        <v>83</v>
      </c>
      <c r="B25" s="13" t="s">
        <v>112</v>
      </c>
      <c r="C25" s="13" t="n">
        <v>3</v>
      </c>
      <c r="D25" s="13" t="n">
        <v>10</v>
      </c>
      <c r="E25" s="13" t="n">
        <v>15</v>
      </c>
      <c r="F25" s="13" t="n">
        <f aca="false">IF(OR($D25="",$E25=""),"",$E25-$D25)</f>
        <v>5</v>
      </c>
      <c r="G25" s="13" t="n">
        <v>18</v>
      </c>
      <c r="H25" s="13" t="s">
        <v>190</v>
      </c>
      <c r="I25" s="15" t="n">
        <v>0.438</v>
      </c>
      <c r="J25" s="15"/>
      <c r="K25" s="15" t="n">
        <v>9.03</v>
      </c>
      <c r="L25" s="14" t="n">
        <f aca="false">IF($K25&lt;&gt;"",$K25,IF($J25&lt;&gt;"",$J25*CARBON_FRACTION_OM,""))</f>
        <v>9.03</v>
      </c>
      <c r="M25" s="14" t="n">
        <f aca="false">IF($H25="Fine earth / fine-earth volume",1-IF($G25="",0,$G25)/100,1)</f>
        <v>1</v>
      </c>
      <c r="N25" s="14" t="n">
        <f aca="false">IF(OR($D25="",$E25=""),"",MAX(0,MIN($E25,REPORTING_DEPTH_CM)-MIN($D25,REPORTING_DEPTH_CM)))</f>
        <v>5</v>
      </c>
      <c r="O25" s="14" t="n">
        <f aca="false">IF(OR($I25="",$L25="",$N25=""),"",$I25*($L25/100)*$N25*$M25*10)</f>
        <v>1.97757</v>
      </c>
      <c r="P25" s="14" t="n">
        <f aca="false">IF(OR($I25="",$L25="",$F25=""),"",$I25*($L25/100)*$F25*$M25*10)</f>
        <v>1.97757</v>
      </c>
      <c r="Q25" s="14" t="str">
        <f aca="false">IF(AND($A25="",$B25="",$D25=""),"",IF(AND($B25&lt;&gt;"",COUNTIF('2. Core Log'!$A$5:$A$124,$B25)=0),"Core ID not in Core Log. ","")&amp;IF(AND($A25&lt;&gt;"",COUNTIF('1. Plot &amp; Site Log'!$A$5:$A$64,$A25)=0),"Plot ID not in Plot &amp; Site Log. ","")&amp;IF(AND($D25&lt;&gt;"",$E25&lt;&gt;"",$E25&lt;=$D25),"Bottom depth is not below top depth. ","")&amp;IF($H25="","Say which bulk-density basis the lab reported, or the coarse-fragment correction cannot be applied safely. ","")&amp;IF(AND($I25&lt;&gt;"",OR($I25&lt;QC_BD_MIN,$I25&gt;QC_BD_MAX)),"Bulk density outside "&amp;QC_BD_MIN&amp;"–"&amp;QC_BD_MAX&amp;" g/cm³. ","")&amp;IF(AND($L25&lt;&gt;"",$L25&gt;QC_CARBON_PCT_MAX),"Carbon above "&amp;QC_CARBON_PCT_MAX&amp;"% — check units; this may be organic matter rather than carbon. ","")&amp;IF(AND($J25&lt;&gt;"",$K25&lt;&gt;""),"Both LOI and measured carbon given — the measured value is used. ","")&amp;IF(AND($N25&lt;&gt;"",$N25=0),"Slice lies entirely below the reporting depth — it counts to the full-core stock only. ",""))</f>
        <v/>
      </c>
      <c r="R25" s="13"/>
    </row>
    <row r="26" customFormat="false" ht="15" hidden="false" customHeight="false" outlineLevel="0" collapsed="false">
      <c r="A26" s="13" t="s">
        <v>83</v>
      </c>
      <c r="B26" s="13" t="s">
        <v>112</v>
      </c>
      <c r="C26" s="13" t="n">
        <v>4</v>
      </c>
      <c r="D26" s="13" t="n">
        <v>15</v>
      </c>
      <c r="E26" s="13" t="n">
        <v>20</v>
      </c>
      <c r="F26" s="13" t="n">
        <f aca="false">IF(OR($D26="",$E26=""),"",$E26-$D26)</f>
        <v>5</v>
      </c>
      <c r="G26" s="13" t="n">
        <v>18</v>
      </c>
      <c r="H26" s="13" t="s">
        <v>190</v>
      </c>
      <c r="I26" s="15" t="n">
        <v>0.562</v>
      </c>
      <c r="J26" s="15"/>
      <c r="K26" s="15" t="n">
        <v>4.16</v>
      </c>
      <c r="L26" s="14" t="n">
        <f aca="false">IF($K26&lt;&gt;"",$K26,IF($J26&lt;&gt;"",$J26*CARBON_FRACTION_OM,""))</f>
        <v>4.16</v>
      </c>
      <c r="M26" s="14" t="n">
        <f aca="false">IF($H26="Fine earth / fine-earth volume",1-IF($G26="",0,$G26)/100,1)</f>
        <v>1</v>
      </c>
      <c r="N26" s="14" t="n">
        <f aca="false">IF(OR($D26="",$E26=""),"",MAX(0,MIN($E26,REPORTING_DEPTH_CM)-MIN($D26,REPORTING_DEPTH_CM)))</f>
        <v>5</v>
      </c>
      <c r="O26" s="14" t="n">
        <f aca="false">IF(OR($I26="",$L26="",$N26=""),"",$I26*($L26/100)*$N26*$M26*10)</f>
        <v>1.16896</v>
      </c>
      <c r="P26" s="14" t="n">
        <f aca="false">IF(OR($I26="",$L26="",$F26=""),"",$I26*($L26/100)*$F26*$M26*10)</f>
        <v>1.16896</v>
      </c>
      <c r="Q26" s="14" t="str">
        <f aca="false">IF(AND($A26="",$B26="",$D26=""),"",IF(AND($B26&lt;&gt;"",COUNTIF('2. Core Log'!$A$5:$A$124,$B26)=0),"Core ID not in Core Log. ","")&amp;IF(AND($A26&lt;&gt;"",COUNTIF('1. Plot &amp; Site Log'!$A$5:$A$64,$A26)=0),"Plot ID not in Plot &amp; Site Log. ","")&amp;IF(AND($D26&lt;&gt;"",$E26&lt;&gt;"",$E26&lt;=$D26),"Bottom depth is not below top depth. ","")&amp;IF($H26="","Say which bulk-density basis the lab reported, or the coarse-fragment correction cannot be applied safely. ","")&amp;IF(AND($I26&lt;&gt;"",OR($I26&lt;QC_BD_MIN,$I26&gt;QC_BD_MAX)),"Bulk density outside "&amp;QC_BD_MIN&amp;"–"&amp;QC_BD_MAX&amp;" g/cm³. ","")&amp;IF(AND($L26&lt;&gt;"",$L26&gt;QC_CARBON_PCT_MAX),"Carbon above "&amp;QC_CARBON_PCT_MAX&amp;"% — check units; this may be organic matter rather than carbon. ","")&amp;IF(AND($J26&lt;&gt;"",$K26&lt;&gt;""),"Both LOI and measured carbon given — the measured value is used. ","")&amp;IF(AND($N26&lt;&gt;"",$N26=0),"Slice lies entirely below the reporting depth — it counts to the full-core stock only. ",""))</f>
        <v/>
      </c>
      <c r="R26" s="13"/>
    </row>
    <row r="27" customFormat="false" ht="15" hidden="false" customHeight="false" outlineLevel="0" collapsed="false">
      <c r="A27" s="13" t="s">
        <v>83</v>
      </c>
      <c r="B27" s="13" t="s">
        <v>112</v>
      </c>
      <c r="C27" s="13" t="n">
        <v>5</v>
      </c>
      <c r="D27" s="13" t="n">
        <v>20</v>
      </c>
      <c r="E27" s="13" t="n">
        <v>22</v>
      </c>
      <c r="F27" s="13" t="n">
        <f aca="false">IF(OR($D27="",$E27=""),"",$E27-$D27)</f>
        <v>2</v>
      </c>
      <c r="G27" s="13" t="n">
        <v>18</v>
      </c>
      <c r="H27" s="13" t="s">
        <v>190</v>
      </c>
      <c r="I27" s="15" t="n">
        <v>0.619</v>
      </c>
      <c r="J27" s="15"/>
      <c r="K27" s="15" t="n">
        <v>4.13</v>
      </c>
      <c r="L27" s="14" t="n">
        <f aca="false">IF($K27&lt;&gt;"",$K27,IF($J27&lt;&gt;"",$J27*CARBON_FRACTION_OM,""))</f>
        <v>4.13</v>
      </c>
      <c r="M27" s="14" t="n">
        <f aca="false">IF($H27="Fine earth / fine-earth volume",1-IF($G27="",0,$G27)/100,1)</f>
        <v>1</v>
      </c>
      <c r="N27" s="14" t="n">
        <f aca="false">IF(OR($D27="",$E27=""),"",MAX(0,MIN($E27,REPORTING_DEPTH_CM)-MIN($D27,REPORTING_DEPTH_CM)))</f>
        <v>2</v>
      </c>
      <c r="O27" s="14" t="n">
        <f aca="false">IF(OR($I27="",$L27="",$N27=""),"",$I27*($L27/100)*$N27*$M27*10)</f>
        <v>0.511294</v>
      </c>
      <c r="P27" s="14" t="n">
        <f aca="false">IF(OR($I27="",$L27="",$F27=""),"",$I27*($L27/100)*$F27*$M27*10)</f>
        <v>0.511294</v>
      </c>
      <c r="Q27" s="14" t="str">
        <f aca="false">IF(AND($A27="",$B27="",$D27=""),"",IF(AND($B27&lt;&gt;"",COUNTIF('2. Core Log'!$A$5:$A$124,$B27)=0),"Core ID not in Core Log. ","")&amp;IF(AND($A27&lt;&gt;"",COUNTIF('1. Plot &amp; Site Log'!$A$5:$A$64,$A27)=0),"Plot ID not in Plot &amp; Site Log. ","")&amp;IF(AND($D27&lt;&gt;"",$E27&lt;&gt;"",$E27&lt;=$D27),"Bottom depth is not below top depth. ","")&amp;IF($H27="","Say which bulk-density basis the lab reported, or the coarse-fragment correction cannot be applied safely. ","")&amp;IF(AND($I27&lt;&gt;"",OR($I27&lt;QC_BD_MIN,$I27&gt;QC_BD_MAX)),"Bulk density outside "&amp;QC_BD_MIN&amp;"–"&amp;QC_BD_MAX&amp;" g/cm³. ","")&amp;IF(AND($L27&lt;&gt;"",$L27&gt;QC_CARBON_PCT_MAX),"Carbon above "&amp;QC_CARBON_PCT_MAX&amp;"% — check units; this may be organic matter rather than carbon. ","")&amp;IF(AND($J27&lt;&gt;"",$K27&lt;&gt;""),"Both LOI and measured carbon given — the measured value is used. ","")&amp;IF(AND($N27&lt;&gt;"",$N27=0),"Slice lies entirely below the reporting depth — it counts to the full-core stock only. ",""))</f>
        <v/>
      </c>
      <c r="R27" s="13"/>
    </row>
    <row r="28" customFormat="false" ht="15" hidden="false" customHeight="false" outlineLevel="0" collapsed="false">
      <c r="A28" s="13" t="s">
        <v>86</v>
      </c>
      <c r="B28" s="13" t="s">
        <v>113</v>
      </c>
      <c r="C28" s="13" t="n">
        <v>1</v>
      </c>
      <c r="D28" s="13" t="n">
        <v>0</v>
      </c>
      <c r="E28" s="13" t="n">
        <v>5</v>
      </c>
      <c r="F28" s="13" t="n">
        <f aca="false">IF(OR($D28="",$E28=""),"",$E28-$D28)</f>
        <v>5</v>
      </c>
      <c r="G28" s="13" t="n">
        <v>3</v>
      </c>
      <c r="H28" s="13" t="s">
        <v>190</v>
      </c>
      <c r="I28" s="15" t="n">
        <v>0.194</v>
      </c>
      <c r="J28" s="15"/>
      <c r="K28" s="15" t="n">
        <v>35.3</v>
      </c>
      <c r="L28" s="14" t="n">
        <f aca="false">IF($K28&lt;&gt;"",$K28,IF($J28&lt;&gt;"",$J28*CARBON_FRACTION_OM,""))</f>
        <v>35.3</v>
      </c>
      <c r="M28" s="14" t="n">
        <f aca="false">IF($H28="Fine earth / fine-earth volume",1-IF($G28="",0,$G28)/100,1)</f>
        <v>1</v>
      </c>
      <c r="N28" s="14" t="n">
        <f aca="false">IF(OR($D28="",$E28=""),"",MAX(0,MIN($E28,REPORTING_DEPTH_CM)-MIN($D28,REPORTING_DEPTH_CM)))</f>
        <v>5</v>
      </c>
      <c r="O28" s="14" t="n">
        <f aca="false">IF(OR($I28="",$L28="",$N28=""),"",$I28*($L28/100)*$N28*$M28*10)</f>
        <v>3.4241</v>
      </c>
      <c r="P28" s="14" t="n">
        <f aca="false">IF(OR($I28="",$L28="",$F28=""),"",$I28*($L28/100)*$F28*$M28*10)</f>
        <v>3.4241</v>
      </c>
      <c r="Q28" s="14" t="str">
        <f aca="false">IF(AND($A28="",$B28="",$D28=""),"",IF(AND($B28&lt;&gt;"",COUNTIF('2. Core Log'!$A$5:$A$124,$B28)=0),"Core ID not in Core Log. ","")&amp;IF(AND($A28&lt;&gt;"",COUNTIF('1. Plot &amp; Site Log'!$A$5:$A$64,$A28)=0),"Plot ID not in Plot &amp; Site Log. ","")&amp;IF(AND($D28&lt;&gt;"",$E28&lt;&gt;"",$E28&lt;=$D28),"Bottom depth is not below top depth. ","")&amp;IF($H28="","Say which bulk-density basis the lab reported, or the coarse-fragment correction cannot be applied safely. ","")&amp;IF(AND($I28&lt;&gt;"",OR($I28&lt;QC_BD_MIN,$I28&gt;QC_BD_MAX)),"Bulk density outside "&amp;QC_BD_MIN&amp;"–"&amp;QC_BD_MAX&amp;" g/cm³. ","")&amp;IF(AND($L28&lt;&gt;"",$L28&gt;QC_CARBON_PCT_MAX),"Carbon above "&amp;QC_CARBON_PCT_MAX&amp;"% — check units; this may be organic matter rather than carbon. ","")&amp;IF(AND($J28&lt;&gt;"",$K28&lt;&gt;""),"Both LOI and measured carbon given — the measured value is used. ","")&amp;IF(AND($N28&lt;&gt;"",$N28=0),"Slice lies entirely below the reporting depth — it counts to the full-core stock only. ",""))</f>
        <v/>
      </c>
      <c r="R28" s="13"/>
    </row>
    <row r="29" customFormat="false" ht="15" hidden="false" customHeight="false" outlineLevel="0" collapsed="false">
      <c r="A29" s="13" t="s">
        <v>86</v>
      </c>
      <c r="B29" s="13" t="s">
        <v>113</v>
      </c>
      <c r="C29" s="13" t="n">
        <v>2</v>
      </c>
      <c r="D29" s="13" t="n">
        <v>5</v>
      </c>
      <c r="E29" s="13" t="n">
        <v>10</v>
      </c>
      <c r="F29" s="13" t="n">
        <f aca="false">IF(OR($D29="",$E29=""),"",$E29-$D29)</f>
        <v>5</v>
      </c>
      <c r="G29" s="13" t="n">
        <v>0</v>
      </c>
      <c r="H29" s="13" t="s">
        <v>190</v>
      </c>
      <c r="I29" s="15" t="n">
        <v>0.289</v>
      </c>
      <c r="J29" s="15"/>
      <c r="K29" s="15" t="n">
        <v>19.01</v>
      </c>
      <c r="L29" s="14" t="n">
        <f aca="false">IF($K29&lt;&gt;"",$K29,IF($J29&lt;&gt;"",$J29*CARBON_FRACTION_OM,""))</f>
        <v>19.01</v>
      </c>
      <c r="M29" s="14" t="n">
        <f aca="false">IF($H29="Fine earth / fine-earth volume",1-IF($G29="",0,$G29)/100,1)</f>
        <v>1</v>
      </c>
      <c r="N29" s="14" t="n">
        <f aca="false">IF(OR($D29="",$E29=""),"",MAX(0,MIN($E29,REPORTING_DEPTH_CM)-MIN($D29,REPORTING_DEPTH_CM)))</f>
        <v>5</v>
      </c>
      <c r="O29" s="14" t="n">
        <f aca="false">IF(OR($I29="",$L29="",$N29=""),"",$I29*($L29/100)*$N29*$M29*10)</f>
        <v>2.746945</v>
      </c>
      <c r="P29" s="14" t="n">
        <f aca="false">IF(OR($I29="",$L29="",$F29=""),"",$I29*($L29/100)*$F29*$M29*10)</f>
        <v>2.746945</v>
      </c>
      <c r="Q29" s="14" t="str">
        <f aca="false">IF(AND($A29="",$B29="",$D29=""),"",IF(AND($B29&lt;&gt;"",COUNTIF('2. Core Log'!$A$5:$A$124,$B29)=0),"Core ID not in Core Log. ","")&amp;IF(AND($A29&lt;&gt;"",COUNTIF('1. Plot &amp; Site Log'!$A$5:$A$64,$A29)=0),"Plot ID not in Plot &amp; Site Log. ","")&amp;IF(AND($D29&lt;&gt;"",$E29&lt;&gt;"",$E29&lt;=$D29),"Bottom depth is not below top depth. ","")&amp;IF($H29="","Say which bulk-density basis the lab reported, or the coarse-fragment correction cannot be applied safely. ","")&amp;IF(AND($I29&lt;&gt;"",OR($I29&lt;QC_BD_MIN,$I29&gt;QC_BD_MAX)),"Bulk density outside "&amp;QC_BD_MIN&amp;"–"&amp;QC_BD_MAX&amp;" g/cm³. ","")&amp;IF(AND($L29&lt;&gt;"",$L29&gt;QC_CARBON_PCT_MAX),"Carbon above "&amp;QC_CARBON_PCT_MAX&amp;"% — check units; this may be organic matter rather than carbon. ","")&amp;IF(AND($J29&lt;&gt;"",$K29&lt;&gt;""),"Both LOI and measured carbon given — the measured value is used. ","")&amp;IF(AND($N29&lt;&gt;"",$N29=0),"Slice lies entirely below the reporting depth — it counts to the full-core stock only. ",""))</f>
        <v/>
      </c>
      <c r="R29" s="13"/>
    </row>
    <row r="30" customFormat="false" ht="15" hidden="false" customHeight="false" outlineLevel="0" collapsed="false">
      <c r="A30" s="13" t="s">
        <v>86</v>
      </c>
      <c r="B30" s="13" t="s">
        <v>113</v>
      </c>
      <c r="C30" s="13" t="n">
        <v>3</v>
      </c>
      <c r="D30" s="13" t="n">
        <v>10</v>
      </c>
      <c r="E30" s="13" t="n">
        <v>15</v>
      </c>
      <c r="F30" s="13" t="n">
        <f aca="false">IF(OR($D30="",$E30=""),"",$E30-$D30)</f>
        <v>5</v>
      </c>
      <c r="G30" s="13" t="n">
        <v>11</v>
      </c>
      <c r="H30" s="13" t="s">
        <v>190</v>
      </c>
      <c r="I30" s="15" t="n">
        <v>0.417</v>
      </c>
      <c r="J30" s="15"/>
      <c r="K30" s="15" t="n">
        <v>10.33</v>
      </c>
      <c r="L30" s="14" t="n">
        <f aca="false">IF($K30&lt;&gt;"",$K30,IF($J30&lt;&gt;"",$J30*CARBON_FRACTION_OM,""))</f>
        <v>10.33</v>
      </c>
      <c r="M30" s="14" t="n">
        <f aca="false">IF($H30="Fine earth / fine-earth volume",1-IF($G30="",0,$G30)/100,1)</f>
        <v>1</v>
      </c>
      <c r="N30" s="14" t="n">
        <f aca="false">IF(OR($D30="",$E30=""),"",MAX(0,MIN($E30,REPORTING_DEPTH_CM)-MIN($D30,REPORTING_DEPTH_CM)))</f>
        <v>5</v>
      </c>
      <c r="O30" s="14" t="n">
        <f aca="false">IF(OR($I30="",$L30="",$N30=""),"",$I30*($L30/100)*$N30*$M30*10)</f>
        <v>2.153805</v>
      </c>
      <c r="P30" s="14" t="n">
        <f aca="false">IF(OR($I30="",$L30="",$F30=""),"",$I30*($L30/100)*$F30*$M30*10)</f>
        <v>2.153805</v>
      </c>
      <c r="Q30" s="14" t="str">
        <f aca="false">IF(AND($A30="",$B30="",$D30=""),"",IF(AND($B30&lt;&gt;"",COUNTIF('2. Core Log'!$A$5:$A$124,$B30)=0),"Core ID not in Core Log. ","")&amp;IF(AND($A30&lt;&gt;"",COUNTIF('1. Plot &amp; Site Log'!$A$5:$A$64,$A30)=0),"Plot ID not in Plot &amp; Site Log. ","")&amp;IF(AND($D30&lt;&gt;"",$E30&lt;&gt;"",$E30&lt;=$D30),"Bottom depth is not below top depth. ","")&amp;IF($H30="","Say which bulk-density basis the lab reported, or the coarse-fragment correction cannot be applied safely. ","")&amp;IF(AND($I30&lt;&gt;"",OR($I30&lt;QC_BD_MIN,$I30&gt;QC_BD_MAX)),"Bulk density outside "&amp;QC_BD_MIN&amp;"–"&amp;QC_BD_MAX&amp;" g/cm³. ","")&amp;IF(AND($L30&lt;&gt;"",$L30&gt;QC_CARBON_PCT_MAX),"Carbon above "&amp;QC_CARBON_PCT_MAX&amp;"% — check units; this may be organic matter rather than carbon. ","")&amp;IF(AND($J30&lt;&gt;"",$K30&lt;&gt;""),"Both LOI and measured carbon given — the measured value is used. ","")&amp;IF(AND($N30&lt;&gt;"",$N30=0),"Slice lies entirely below the reporting depth — it counts to the full-core stock only. ",""))</f>
        <v/>
      </c>
      <c r="R30" s="13"/>
    </row>
    <row r="31" customFormat="false" ht="15" hidden="false" customHeight="false" outlineLevel="0" collapsed="false">
      <c r="A31" s="13" t="s">
        <v>86</v>
      </c>
      <c r="B31" s="13" t="s">
        <v>113</v>
      </c>
      <c r="C31" s="13" t="n">
        <v>4</v>
      </c>
      <c r="D31" s="13" t="n">
        <v>15</v>
      </c>
      <c r="E31" s="13" t="n">
        <v>20</v>
      </c>
      <c r="F31" s="13" t="n">
        <f aca="false">IF(OR($D31="",$E31=""),"",$E31-$D31)</f>
        <v>5</v>
      </c>
      <c r="G31" s="13" t="n">
        <v>0</v>
      </c>
      <c r="H31" s="13" t="s">
        <v>190</v>
      </c>
      <c r="I31" s="15" t="n">
        <v>0.521</v>
      </c>
      <c r="J31" s="15"/>
      <c r="K31" s="15" t="n">
        <v>5.65</v>
      </c>
      <c r="L31" s="14" t="n">
        <f aca="false">IF($K31&lt;&gt;"",$K31,IF($J31&lt;&gt;"",$J31*CARBON_FRACTION_OM,""))</f>
        <v>5.65</v>
      </c>
      <c r="M31" s="14" t="n">
        <f aca="false">IF($H31="Fine earth / fine-earth volume",1-IF($G31="",0,$G31)/100,1)</f>
        <v>1</v>
      </c>
      <c r="N31" s="14" t="n">
        <f aca="false">IF(OR($D31="",$E31=""),"",MAX(0,MIN($E31,REPORTING_DEPTH_CM)-MIN($D31,REPORTING_DEPTH_CM)))</f>
        <v>5</v>
      </c>
      <c r="O31" s="14" t="n">
        <f aca="false">IF(OR($I31="",$L31="",$N31=""),"",$I31*($L31/100)*$N31*$M31*10)</f>
        <v>1.471825</v>
      </c>
      <c r="P31" s="14" t="n">
        <f aca="false">IF(OR($I31="",$L31="",$F31=""),"",$I31*($L31/100)*$F31*$M31*10)</f>
        <v>1.471825</v>
      </c>
      <c r="Q31" s="14" t="str">
        <f aca="false">IF(AND($A31="",$B31="",$D31=""),"",IF(AND($B31&lt;&gt;"",COUNTIF('2. Core Log'!$A$5:$A$124,$B31)=0),"Core ID not in Core Log. ","")&amp;IF(AND($A31&lt;&gt;"",COUNTIF('1. Plot &amp; Site Log'!$A$5:$A$64,$A31)=0),"Plot ID not in Plot &amp; Site Log. ","")&amp;IF(AND($D31&lt;&gt;"",$E31&lt;&gt;"",$E31&lt;=$D31),"Bottom depth is not below top depth. ","")&amp;IF($H31="","Say which bulk-density basis the lab reported, or the coarse-fragment correction cannot be applied safely. ","")&amp;IF(AND($I31&lt;&gt;"",OR($I31&lt;QC_BD_MIN,$I31&gt;QC_BD_MAX)),"Bulk density outside "&amp;QC_BD_MIN&amp;"–"&amp;QC_BD_MAX&amp;" g/cm³. ","")&amp;IF(AND($L31&lt;&gt;"",$L31&gt;QC_CARBON_PCT_MAX),"Carbon above "&amp;QC_CARBON_PCT_MAX&amp;"% — check units; this may be organic matter rather than carbon. ","")&amp;IF(AND($J31&lt;&gt;"",$K31&lt;&gt;""),"Both LOI and measured carbon given — the measured value is used. ","")&amp;IF(AND($N31&lt;&gt;"",$N31=0),"Slice lies entirely below the reporting depth — it counts to the full-core stock only. ",""))</f>
        <v/>
      </c>
      <c r="R31" s="13"/>
    </row>
    <row r="32" customFormat="false" ht="15" hidden="false" customHeight="false" outlineLevel="0" collapsed="false">
      <c r="A32" s="13" t="s">
        <v>86</v>
      </c>
      <c r="B32" s="13" t="s">
        <v>113</v>
      </c>
      <c r="C32" s="13" t="n">
        <v>5</v>
      </c>
      <c r="D32" s="13" t="n">
        <v>20</v>
      </c>
      <c r="E32" s="13" t="n">
        <v>30</v>
      </c>
      <c r="F32" s="13" t="n">
        <f aca="false">IF(OR($D32="",$E32=""),"",$E32-$D32)</f>
        <v>10</v>
      </c>
      <c r="G32" s="13" t="n">
        <v>11</v>
      </c>
      <c r="H32" s="13" t="s">
        <v>190</v>
      </c>
      <c r="I32" s="15" t="n">
        <v>0.673</v>
      </c>
      <c r="J32" s="15"/>
      <c r="K32" s="15" t="n">
        <v>3.11</v>
      </c>
      <c r="L32" s="14" t="n">
        <f aca="false">IF($K32&lt;&gt;"",$K32,IF($J32&lt;&gt;"",$J32*CARBON_FRACTION_OM,""))</f>
        <v>3.11</v>
      </c>
      <c r="M32" s="14" t="n">
        <f aca="false">IF($H32="Fine earth / fine-earth volume",1-IF($G32="",0,$G32)/100,1)</f>
        <v>1</v>
      </c>
      <c r="N32" s="14" t="n">
        <f aca="false">IF(OR($D32="",$E32=""),"",MAX(0,MIN($E32,REPORTING_DEPTH_CM)-MIN($D32,REPORTING_DEPTH_CM)))</f>
        <v>10</v>
      </c>
      <c r="O32" s="14" t="n">
        <f aca="false">IF(OR($I32="",$L32="",$N32=""),"",$I32*($L32/100)*$N32*$M32*10)</f>
        <v>2.09303</v>
      </c>
      <c r="P32" s="14" t="n">
        <f aca="false">IF(OR($I32="",$L32="",$F32=""),"",$I32*($L32/100)*$F32*$M32*10)</f>
        <v>2.09303</v>
      </c>
      <c r="Q32" s="14" t="str">
        <f aca="false">IF(AND($A32="",$B32="",$D32=""),"",IF(AND($B32&lt;&gt;"",COUNTIF('2. Core Log'!$A$5:$A$124,$B32)=0),"Core ID not in Core Log. ","")&amp;IF(AND($A32&lt;&gt;"",COUNTIF('1. Plot &amp; Site Log'!$A$5:$A$64,$A32)=0),"Plot ID not in Plot &amp; Site Log. ","")&amp;IF(AND($D32&lt;&gt;"",$E32&lt;&gt;"",$E32&lt;=$D32),"Bottom depth is not below top depth. ","")&amp;IF($H32="","Say which bulk-density basis the lab reported, or the coarse-fragment correction cannot be applied safely. ","")&amp;IF(AND($I32&lt;&gt;"",OR($I32&lt;QC_BD_MIN,$I32&gt;QC_BD_MAX)),"Bulk density outside "&amp;QC_BD_MIN&amp;"–"&amp;QC_BD_MAX&amp;" g/cm³. ","")&amp;IF(AND($L32&lt;&gt;"",$L32&gt;QC_CARBON_PCT_MAX),"Carbon above "&amp;QC_CARBON_PCT_MAX&amp;"% — check units; this may be organic matter rather than carbon. ","")&amp;IF(AND($J32&lt;&gt;"",$K32&lt;&gt;""),"Both LOI and measured carbon given — the measured value is used. ","")&amp;IF(AND($N32&lt;&gt;"",$N32=0),"Slice lies entirely below the reporting depth — it counts to the full-core stock only. ",""))</f>
        <v/>
      </c>
      <c r="R32" s="13"/>
    </row>
    <row r="33" customFormat="false" ht="15" hidden="false" customHeight="false" outlineLevel="0" collapsed="false">
      <c r="A33" s="13" t="s">
        <v>86</v>
      </c>
      <c r="B33" s="13" t="s">
        <v>113</v>
      </c>
      <c r="C33" s="13" t="n">
        <v>6</v>
      </c>
      <c r="D33" s="13" t="n">
        <v>30</v>
      </c>
      <c r="E33" s="13" t="n">
        <v>40</v>
      </c>
      <c r="F33" s="13" t="n">
        <f aca="false">IF(OR($D33="",$E33=""),"",$E33-$D33)</f>
        <v>10</v>
      </c>
      <c r="G33" s="13" t="n">
        <v>6</v>
      </c>
      <c r="H33" s="13" t="s">
        <v>190</v>
      </c>
      <c r="I33" s="15" t="n">
        <v>0.856</v>
      </c>
      <c r="J33" s="15"/>
      <c r="K33" s="15" t="n">
        <v>1.04</v>
      </c>
      <c r="L33" s="14" t="n">
        <f aca="false">IF($K33&lt;&gt;"",$K33,IF($J33&lt;&gt;"",$J33*CARBON_FRACTION_OM,""))</f>
        <v>1.04</v>
      </c>
      <c r="M33" s="14" t="n">
        <f aca="false">IF($H33="Fine earth / fine-earth volume",1-IF($G33="",0,$G33)/100,1)</f>
        <v>1</v>
      </c>
      <c r="N33" s="14" t="n">
        <f aca="false">IF(OR($D33="",$E33=""),"",MAX(0,MIN($E33,REPORTING_DEPTH_CM)-MIN($D33,REPORTING_DEPTH_CM)))</f>
        <v>0</v>
      </c>
      <c r="O33" s="14" t="n">
        <f aca="false">IF(OR($I33="",$L33="",$N33=""),"",$I33*($L33/100)*$N33*$M33*10)</f>
        <v>0</v>
      </c>
      <c r="P33" s="14" t="n">
        <f aca="false">IF(OR($I33="",$L33="",$F33=""),"",$I33*($L33/100)*$F33*$M33*10)</f>
        <v>0.89024</v>
      </c>
      <c r="Q33" s="14" t="str">
        <f aca="false">IF(AND($A33="",$B33="",$D33=""),"",IF(AND($B33&lt;&gt;"",COUNTIF('2. Core Log'!$A$5:$A$124,$B33)=0),"Core ID not in Core Log. ","")&amp;IF(AND($A33&lt;&gt;"",COUNTIF('1. Plot &amp; Site Log'!$A$5:$A$64,$A33)=0),"Plot ID not in Plot &amp; Site Log. ","")&amp;IF(AND($D33&lt;&gt;"",$E33&lt;&gt;"",$E33&lt;=$D33),"Bottom depth is not below top depth. ","")&amp;IF($H33="","Say which bulk-density basis the lab reported, or the coarse-fragment correction cannot be applied safely. ","")&amp;IF(AND($I33&lt;&gt;"",OR($I33&lt;QC_BD_MIN,$I33&gt;QC_BD_MAX)),"Bulk density outside "&amp;QC_BD_MIN&amp;"–"&amp;QC_BD_MAX&amp;" g/cm³. ","")&amp;IF(AND($L33&lt;&gt;"",$L33&gt;QC_CARBON_PCT_MAX),"Carbon above "&amp;QC_CARBON_PCT_MAX&amp;"% — check units; this may be organic matter rather than carbon. ","")&amp;IF(AND($J33&lt;&gt;"",$K33&lt;&gt;""),"Both LOI and measured carbon given — the measured value is used. ","")&amp;IF(AND($N33&lt;&gt;"",$N33=0),"Slice lies entirely below the reporting depth — it counts to the full-core stock only. ",""))</f>
        <v>Slice lies entirely below the reporting depth — it counts to the full-core stock only. </v>
      </c>
      <c r="R33" s="13"/>
    </row>
    <row r="34" customFormat="false" ht="15" hidden="false" customHeight="false" outlineLevel="0" collapsed="false">
      <c r="A34" s="13" t="s">
        <v>86</v>
      </c>
      <c r="B34" s="13" t="s">
        <v>113</v>
      </c>
      <c r="C34" s="13" t="n">
        <v>7</v>
      </c>
      <c r="D34" s="13" t="n">
        <v>40</v>
      </c>
      <c r="E34" s="13" t="n">
        <v>50</v>
      </c>
      <c r="F34" s="13" t="n">
        <f aca="false">IF(OR($D34="",$E34=""),"",$E34-$D34)</f>
        <v>10</v>
      </c>
      <c r="G34" s="13" t="n">
        <v>11</v>
      </c>
      <c r="H34" s="13" t="s">
        <v>190</v>
      </c>
      <c r="I34" s="15" t="n">
        <v>1.091</v>
      </c>
      <c r="J34" s="15"/>
      <c r="K34" s="15" t="n">
        <v>0.9</v>
      </c>
      <c r="L34" s="14" t="n">
        <f aca="false">IF($K34&lt;&gt;"",$K34,IF($J34&lt;&gt;"",$J34*CARBON_FRACTION_OM,""))</f>
        <v>0.9</v>
      </c>
      <c r="M34" s="14" t="n">
        <f aca="false">IF($H34="Fine earth / fine-earth volume",1-IF($G34="",0,$G34)/100,1)</f>
        <v>1</v>
      </c>
      <c r="N34" s="14" t="n">
        <f aca="false">IF(OR($D34="",$E34=""),"",MAX(0,MIN($E34,REPORTING_DEPTH_CM)-MIN($D34,REPORTING_DEPTH_CM)))</f>
        <v>0</v>
      </c>
      <c r="O34" s="14" t="n">
        <f aca="false">IF(OR($I34="",$L34="",$N34=""),"",$I34*($L34/100)*$N34*$M34*10)</f>
        <v>0</v>
      </c>
      <c r="P34" s="14" t="n">
        <f aca="false">IF(OR($I34="",$L34="",$F34=""),"",$I34*($L34/100)*$F34*$M34*10)</f>
        <v>0.9819</v>
      </c>
      <c r="Q34" s="14" t="str">
        <f aca="false">IF(AND($A34="",$B34="",$D34=""),"",IF(AND($B34&lt;&gt;"",COUNTIF('2. Core Log'!$A$5:$A$124,$B34)=0),"Core ID not in Core Log. ","")&amp;IF(AND($A34&lt;&gt;"",COUNTIF('1. Plot &amp; Site Log'!$A$5:$A$64,$A34)=0),"Plot ID not in Plot &amp; Site Log. ","")&amp;IF(AND($D34&lt;&gt;"",$E34&lt;&gt;"",$E34&lt;=$D34),"Bottom depth is not below top depth. ","")&amp;IF($H34="","Say which bulk-density basis the lab reported, or the coarse-fragment correction cannot be applied safely. ","")&amp;IF(AND($I34&lt;&gt;"",OR($I34&lt;QC_BD_MIN,$I34&gt;QC_BD_MAX)),"Bulk density outside "&amp;QC_BD_MIN&amp;"–"&amp;QC_BD_MAX&amp;" g/cm³. ","")&amp;IF(AND($L34&lt;&gt;"",$L34&gt;QC_CARBON_PCT_MAX),"Carbon above "&amp;QC_CARBON_PCT_MAX&amp;"% — check units; this may be organic matter rather than carbon. ","")&amp;IF(AND($J34&lt;&gt;"",$K34&lt;&gt;""),"Both LOI and measured carbon given — the measured value is used. ","")&amp;IF(AND($N34&lt;&gt;"",$N34=0),"Slice lies entirely below the reporting depth — it counts to the full-core stock only. ",""))</f>
        <v>Slice lies entirely below the reporting depth — it counts to the full-core stock only. </v>
      </c>
      <c r="R34" s="13"/>
    </row>
    <row r="35" customFormat="false" ht="15" hidden="false" customHeight="false" outlineLevel="0" collapsed="false">
      <c r="A35" s="13" t="s">
        <v>86</v>
      </c>
      <c r="B35" s="13" t="s">
        <v>114</v>
      </c>
      <c r="C35" s="13" t="n">
        <v>1</v>
      </c>
      <c r="D35" s="13" t="n">
        <v>0</v>
      </c>
      <c r="E35" s="13" t="n">
        <v>5</v>
      </c>
      <c r="F35" s="13" t="n">
        <f aca="false">IF(OR($D35="",$E35=""),"",$E35-$D35)</f>
        <v>5</v>
      </c>
      <c r="G35" s="13" t="n">
        <v>11</v>
      </c>
      <c r="H35" s="13" t="s">
        <v>190</v>
      </c>
      <c r="I35" s="15" t="n">
        <v>0.18</v>
      </c>
      <c r="J35" s="15"/>
      <c r="K35" s="15" t="n">
        <v>35.61</v>
      </c>
      <c r="L35" s="14" t="n">
        <f aca="false">IF($K35&lt;&gt;"",$K35,IF($J35&lt;&gt;"",$J35*CARBON_FRACTION_OM,""))</f>
        <v>35.61</v>
      </c>
      <c r="M35" s="14" t="n">
        <f aca="false">IF($H35="Fine earth / fine-earth volume",1-IF($G35="",0,$G35)/100,1)</f>
        <v>1</v>
      </c>
      <c r="N35" s="14" t="n">
        <f aca="false">IF(OR($D35="",$E35=""),"",MAX(0,MIN($E35,REPORTING_DEPTH_CM)-MIN($D35,REPORTING_DEPTH_CM)))</f>
        <v>5</v>
      </c>
      <c r="O35" s="14" t="n">
        <f aca="false">IF(OR($I35="",$L35="",$N35=""),"",$I35*($L35/100)*$N35*$M35*10)</f>
        <v>3.2049</v>
      </c>
      <c r="P35" s="14" t="n">
        <f aca="false">IF(OR($I35="",$L35="",$F35=""),"",$I35*($L35/100)*$F35*$M35*10)</f>
        <v>3.2049</v>
      </c>
      <c r="Q35" s="14" t="str">
        <f aca="false">IF(AND($A35="",$B35="",$D35=""),"",IF(AND($B35&lt;&gt;"",COUNTIF('2. Core Log'!$A$5:$A$124,$B35)=0),"Core ID not in Core Log. ","")&amp;IF(AND($A35&lt;&gt;"",COUNTIF('1. Plot &amp; Site Log'!$A$5:$A$64,$A35)=0),"Plot ID not in Plot &amp; Site Log. ","")&amp;IF(AND($D35&lt;&gt;"",$E35&lt;&gt;"",$E35&lt;=$D35),"Bottom depth is not below top depth. ","")&amp;IF($H35="","Say which bulk-density basis the lab reported, or the coarse-fragment correction cannot be applied safely. ","")&amp;IF(AND($I35&lt;&gt;"",OR($I35&lt;QC_BD_MIN,$I35&gt;QC_BD_MAX)),"Bulk density outside "&amp;QC_BD_MIN&amp;"–"&amp;QC_BD_MAX&amp;" g/cm³. ","")&amp;IF(AND($L35&lt;&gt;"",$L35&gt;QC_CARBON_PCT_MAX),"Carbon above "&amp;QC_CARBON_PCT_MAX&amp;"% — check units; this may be organic matter rather than carbon. ","")&amp;IF(AND($J35&lt;&gt;"",$K35&lt;&gt;""),"Both LOI and measured carbon given — the measured value is used. ","")&amp;IF(AND($N35&lt;&gt;"",$N35=0),"Slice lies entirely below the reporting depth — it counts to the full-core stock only. ",""))</f>
        <v/>
      </c>
      <c r="R35" s="13"/>
    </row>
    <row r="36" customFormat="false" ht="15" hidden="false" customHeight="false" outlineLevel="0" collapsed="false">
      <c r="A36" s="13" t="s">
        <v>86</v>
      </c>
      <c r="B36" s="13" t="s">
        <v>114</v>
      </c>
      <c r="C36" s="13" t="n">
        <v>2</v>
      </c>
      <c r="D36" s="13" t="n">
        <v>5</v>
      </c>
      <c r="E36" s="13" t="n">
        <v>10</v>
      </c>
      <c r="F36" s="13" t="n">
        <f aca="false">IF(OR($D36="",$E36=""),"",$E36-$D36)</f>
        <v>5</v>
      </c>
      <c r="G36" s="13" t="n">
        <v>11</v>
      </c>
      <c r="H36" s="13" t="s">
        <v>190</v>
      </c>
      <c r="I36" s="15" t="n">
        <v>0.29</v>
      </c>
      <c r="J36" s="15"/>
      <c r="K36" s="15" t="n">
        <v>19.13</v>
      </c>
      <c r="L36" s="14" t="n">
        <f aca="false">IF($K36&lt;&gt;"",$K36,IF($J36&lt;&gt;"",$J36*CARBON_FRACTION_OM,""))</f>
        <v>19.13</v>
      </c>
      <c r="M36" s="14" t="n">
        <f aca="false">IF($H36="Fine earth / fine-earth volume",1-IF($G36="",0,$G36)/100,1)</f>
        <v>1</v>
      </c>
      <c r="N36" s="14" t="n">
        <f aca="false">IF(OR($D36="",$E36=""),"",MAX(0,MIN($E36,REPORTING_DEPTH_CM)-MIN($D36,REPORTING_DEPTH_CM)))</f>
        <v>5</v>
      </c>
      <c r="O36" s="14" t="n">
        <f aca="false">IF(OR($I36="",$L36="",$N36=""),"",$I36*($L36/100)*$N36*$M36*10)</f>
        <v>2.77385</v>
      </c>
      <c r="P36" s="14" t="n">
        <f aca="false">IF(OR($I36="",$L36="",$F36=""),"",$I36*($L36/100)*$F36*$M36*10)</f>
        <v>2.77385</v>
      </c>
      <c r="Q36" s="14" t="str">
        <f aca="false">IF(AND($A36="",$B36="",$D36=""),"",IF(AND($B36&lt;&gt;"",COUNTIF('2. Core Log'!$A$5:$A$124,$B36)=0),"Core ID not in Core Log. ","")&amp;IF(AND($A36&lt;&gt;"",COUNTIF('1. Plot &amp; Site Log'!$A$5:$A$64,$A36)=0),"Plot ID not in Plot &amp; Site Log. ","")&amp;IF(AND($D36&lt;&gt;"",$E36&lt;&gt;"",$E36&lt;=$D36),"Bottom depth is not below top depth. ","")&amp;IF($H36="","Say which bulk-density basis the lab reported, or the coarse-fragment correction cannot be applied safely. ","")&amp;IF(AND($I36&lt;&gt;"",OR($I36&lt;QC_BD_MIN,$I36&gt;QC_BD_MAX)),"Bulk density outside "&amp;QC_BD_MIN&amp;"–"&amp;QC_BD_MAX&amp;" g/cm³. ","")&amp;IF(AND($L36&lt;&gt;"",$L36&gt;QC_CARBON_PCT_MAX),"Carbon above "&amp;QC_CARBON_PCT_MAX&amp;"% — check units; this may be organic matter rather than carbon. ","")&amp;IF(AND($J36&lt;&gt;"",$K36&lt;&gt;""),"Both LOI and measured carbon given — the measured value is used. ","")&amp;IF(AND($N36&lt;&gt;"",$N36=0),"Slice lies entirely below the reporting depth — it counts to the full-core stock only. ",""))</f>
        <v/>
      </c>
      <c r="R36" s="13"/>
    </row>
    <row r="37" customFormat="false" ht="15" hidden="false" customHeight="false" outlineLevel="0" collapsed="false">
      <c r="A37" s="13" t="s">
        <v>86</v>
      </c>
      <c r="B37" s="13" t="s">
        <v>114</v>
      </c>
      <c r="C37" s="13" t="n">
        <v>3</v>
      </c>
      <c r="D37" s="13" t="n">
        <v>10</v>
      </c>
      <c r="E37" s="13" t="n">
        <v>15</v>
      </c>
      <c r="F37" s="13" t="n">
        <f aca="false">IF(OR($D37="",$E37=""),"",$E37-$D37)</f>
        <v>5</v>
      </c>
      <c r="G37" s="13" t="n">
        <v>0</v>
      </c>
      <c r="H37" s="13" t="s">
        <v>190</v>
      </c>
      <c r="I37" s="15" t="n">
        <v>0.404</v>
      </c>
      <c r="J37" s="15"/>
      <c r="K37" s="15" t="n">
        <v>10.19</v>
      </c>
      <c r="L37" s="14" t="n">
        <f aca="false">IF($K37&lt;&gt;"",$K37,IF($J37&lt;&gt;"",$J37*CARBON_FRACTION_OM,""))</f>
        <v>10.19</v>
      </c>
      <c r="M37" s="14" t="n">
        <f aca="false">IF($H37="Fine earth / fine-earth volume",1-IF($G37="",0,$G37)/100,1)</f>
        <v>1</v>
      </c>
      <c r="N37" s="14" t="n">
        <f aca="false">IF(OR($D37="",$E37=""),"",MAX(0,MIN($E37,REPORTING_DEPTH_CM)-MIN($D37,REPORTING_DEPTH_CM)))</f>
        <v>5</v>
      </c>
      <c r="O37" s="14" t="n">
        <f aca="false">IF(OR($I37="",$L37="",$N37=""),"",$I37*($L37/100)*$N37*$M37*10)</f>
        <v>2.05838</v>
      </c>
      <c r="P37" s="14" t="n">
        <f aca="false">IF(OR($I37="",$L37="",$F37=""),"",$I37*($L37/100)*$F37*$M37*10)</f>
        <v>2.05838</v>
      </c>
      <c r="Q37" s="14" t="str">
        <f aca="false">IF(AND($A37="",$B37="",$D37=""),"",IF(AND($B37&lt;&gt;"",COUNTIF('2. Core Log'!$A$5:$A$124,$B37)=0),"Core ID not in Core Log. ","")&amp;IF(AND($A37&lt;&gt;"",COUNTIF('1. Plot &amp; Site Log'!$A$5:$A$64,$A37)=0),"Plot ID not in Plot &amp; Site Log. ","")&amp;IF(AND($D37&lt;&gt;"",$E37&lt;&gt;"",$E37&lt;=$D37),"Bottom depth is not below top depth. ","")&amp;IF($H37="","Say which bulk-density basis the lab reported, or the coarse-fragment correction cannot be applied safely. ","")&amp;IF(AND($I37&lt;&gt;"",OR($I37&lt;QC_BD_MIN,$I37&gt;QC_BD_MAX)),"Bulk density outside "&amp;QC_BD_MIN&amp;"–"&amp;QC_BD_MAX&amp;" g/cm³. ","")&amp;IF(AND($L37&lt;&gt;"",$L37&gt;QC_CARBON_PCT_MAX),"Carbon above "&amp;QC_CARBON_PCT_MAX&amp;"% — check units; this may be organic matter rather than carbon. ","")&amp;IF(AND($J37&lt;&gt;"",$K37&lt;&gt;""),"Both LOI and measured carbon given — the measured value is used. ","")&amp;IF(AND($N37&lt;&gt;"",$N37=0),"Slice lies entirely below the reporting depth — it counts to the full-core stock only. ",""))</f>
        <v/>
      </c>
      <c r="R37" s="13"/>
    </row>
    <row r="38" customFormat="false" ht="15" hidden="false" customHeight="false" outlineLevel="0" collapsed="false">
      <c r="A38" s="13" t="s">
        <v>86</v>
      </c>
      <c r="B38" s="13" t="s">
        <v>114</v>
      </c>
      <c r="C38" s="13" t="n">
        <v>4</v>
      </c>
      <c r="D38" s="13" t="n">
        <v>15</v>
      </c>
      <c r="E38" s="13" t="n">
        <v>20</v>
      </c>
      <c r="F38" s="13" t="n">
        <f aca="false">IF(OR($D38="",$E38=""),"",$E38-$D38)</f>
        <v>5</v>
      </c>
      <c r="G38" s="13" t="n">
        <v>0</v>
      </c>
      <c r="H38" s="13" t="s">
        <v>190</v>
      </c>
      <c r="I38" s="15" t="n">
        <v>0.482</v>
      </c>
      <c r="J38" s="15"/>
      <c r="K38" s="15" t="n">
        <v>5.03</v>
      </c>
      <c r="L38" s="14" t="n">
        <f aca="false">IF($K38&lt;&gt;"",$K38,IF($J38&lt;&gt;"",$J38*CARBON_FRACTION_OM,""))</f>
        <v>5.03</v>
      </c>
      <c r="M38" s="14" t="n">
        <f aca="false">IF($H38="Fine earth / fine-earth volume",1-IF($G38="",0,$G38)/100,1)</f>
        <v>1</v>
      </c>
      <c r="N38" s="14" t="n">
        <f aca="false">IF(OR($D38="",$E38=""),"",MAX(0,MIN($E38,REPORTING_DEPTH_CM)-MIN($D38,REPORTING_DEPTH_CM)))</f>
        <v>5</v>
      </c>
      <c r="O38" s="14" t="n">
        <f aca="false">IF(OR($I38="",$L38="",$N38=""),"",$I38*($L38/100)*$N38*$M38*10)</f>
        <v>1.21223</v>
      </c>
      <c r="P38" s="14" t="n">
        <f aca="false">IF(OR($I38="",$L38="",$F38=""),"",$I38*($L38/100)*$F38*$M38*10)</f>
        <v>1.21223</v>
      </c>
      <c r="Q38" s="14" t="str">
        <f aca="false">IF(AND($A38="",$B38="",$D38=""),"",IF(AND($B38&lt;&gt;"",COUNTIF('2. Core Log'!$A$5:$A$124,$B38)=0),"Core ID not in Core Log. ","")&amp;IF(AND($A38&lt;&gt;"",COUNTIF('1. Plot &amp; Site Log'!$A$5:$A$64,$A38)=0),"Plot ID not in Plot &amp; Site Log. ","")&amp;IF(AND($D38&lt;&gt;"",$E38&lt;&gt;"",$E38&lt;=$D38),"Bottom depth is not below top depth. ","")&amp;IF($H38="","Say which bulk-density basis the lab reported, or the coarse-fragment correction cannot be applied safely. ","")&amp;IF(AND($I38&lt;&gt;"",OR($I38&lt;QC_BD_MIN,$I38&gt;QC_BD_MAX)),"Bulk density outside "&amp;QC_BD_MIN&amp;"–"&amp;QC_BD_MAX&amp;" g/cm³. ","")&amp;IF(AND($L38&lt;&gt;"",$L38&gt;QC_CARBON_PCT_MAX),"Carbon above "&amp;QC_CARBON_PCT_MAX&amp;"% — check units; this may be organic matter rather than carbon. ","")&amp;IF(AND($J38&lt;&gt;"",$K38&lt;&gt;""),"Both LOI and measured carbon given — the measured value is used. ","")&amp;IF(AND($N38&lt;&gt;"",$N38=0),"Slice lies entirely below the reporting depth — it counts to the full-core stock only. ",""))</f>
        <v/>
      </c>
      <c r="R38" s="13"/>
    </row>
    <row r="39" customFormat="false" ht="15" hidden="false" customHeight="false" outlineLevel="0" collapsed="false">
      <c r="A39" s="13" t="s">
        <v>86</v>
      </c>
      <c r="B39" s="13" t="s">
        <v>114</v>
      </c>
      <c r="C39" s="13" t="n">
        <v>5</v>
      </c>
      <c r="D39" s="13" t="n">
        <v>20</v>
      </c>
      <c r="E39" s="13" t="n">
        <v>30</v>
      </c>
      <c r="F39" s="13" t="n">
        <f aca="false">IF(OR($D39="",$E39=""),"",$E39-$D39)</f>
        <v>10</v>
      </c>
      <c r="G39" s="13" t="n">
        <v>0</v>
      </c>
      <c r="H39" s="13" t="s">
        <v>190</v>
      </c>
      <c r="I39" s="15" t="n">
        <v>0.652</v>
      </c>
      <c r="J39" s="15"/>
      <c r="K39" s="15" t="n">
        <v>3.17</v>
      </c>
      <c r="L39" s="14" t="n">
        <f aca="false">IF($K39&lt;&gt;"",$K39,IF($J39&lt;&gt;"",$J39*CARBON_FRACTION_OM,""))</f>
        <v>3.17</v>
      </c>
      <c r="M39" s="14" t="n">
        <f aca="false">IF($H39="Fine earth / fine-earth volume",1-IF($G39="",0,$G39)/100,1)</f>
        <v>1</v>
      </c>
      <c r="N39" s="14" t="n">
        <f aca="false">IF(OR($D39="",$E39=""),"",MAX(0,MIN($E39,REPORTING_DEPTH_CM)-MIN($D39,REPORTING_DEPTH_CM)))</f>
        <v>10</v>
      </c>
      <c r="O39" s="14" t="n">
        <f aca="false">IF(OR($I39="",$L39="",$N39=""),"",$I39*($L39/100)*$N39*$M39*10)</f>
        <v>2.06684</v>
      </c>
      <c r="P39" s="14" t="n">
        <f aca="false">IF(OR($I39="",$L39="",$F39=""),"",$I39*($L39/100)*$F39*$M39*10)</f>
        <v>2.06684</v>
      </c>
      <c r="Q39" s="14" t="str">
        <f aca="false">IF(AND($A39="",$B39="",$D39=""),"",IF(AND($B39&lt;&gt;"",COUNTIF('2. Core Log'!$A$5:$A$124,$B39)=0),"Core ID not in Core Log. ","")&amp;IF(AND($A39&lt;&gt;"",COUNTIF('1. Plot &amp; Site Log'!$A$5:$A$64,$A39)=0),"Plot ID not in Plot &amp; Site Log. ","")&amp;IF(AND($D39&lt;&gt;"",$E39&lt;&gt;"",$E39&lt;=$D39),"Bottom depth is not below top depth. ","")&amp;IF($H39="","Say which bulk-density basis the lab reported, or the coarse-fragment correction cannot be applied safely. ","")&amp;IF(AND($I39&lt;&gt;"",OR($I39&lt;QC_BD_MIN,$I39&gt;QC_BD_MAX)),"Bulk density outside "&amp;QC_BD_MIN&amp;"–"&amp;QC_BD_MAX&amp;" g/cm³. ","")&amp;IF(AND($L39&lt;&gt;"",$L39&gt;QC_CARBON_PCT_MAX),"Carbon above "&amp;QC_CARBON_PCT_MAX&amp;"% — check units; this may be organic matter rather than carbon. ","")&amp;IF(AND($J39&lt;&gt;"",$K39&lt;&gt;""),"Both LOI and measured carbon given — the measured value is used. ","")&amp;IF(AND($N39&lt;&gt;"",$N39=0),"Slice lies entirely below the reporting depth — it counts to the full-core stock only. ",""))</f>
        <v/>
      </c>
      <c r="R39" s="13"/>
    </row>
    <row r="40" customFormat="false" ht="15" hidden="false" customHeight="false" outlineLevel="0" collapsed="false">
      <c r="A40" s="13" t="s">
        <v>86</v>
      </c>
      <c r="B40" s="13" t="s">
        <v>114</v>
      </c>
      <c r="C40" s="13" t="n">
        <v>6</v>
      </c>
      <c r="D40" s="13" t="n">
        <v>30</v>
      </c>
      <c r="E40" s="13" t="n">
        <v>40</v>
      </c>
      <c r="F40" s="13" t="n">
        <f aca="false">IF(OR($D40="",$E40=""),"",$E40-$D40)</f>
        <v>10</v>
      </c>
      <c r="G40" s="13" t="n">
        <v>0</v>
      </c>
      <c r="H40" s="13" t="s">
        <v>190</v>
      </c>
      <c r="I40" s="15" t="n">
        <v>0.89</v>
      </c>
      <c r="J40" s="15"/>
      <c r="K40" s="15" t="n">
        <v>0.9</v>
      </c>
      <c r="L40" s="14" t="n">
        <f aca="false">IF($K40&lt;&gt;"",$K40,IF($J40&lt;&gt;"",$J40*CARBON_FRACTION_OM,""))</f>
        <v>0.9</v>
      </c>
      <c r="M40" s="14" t="n">
        <f aca="false">IF($H40="Fine earth / fine-earth volume",1-IF($G40="",0,$G40)/100,1)</f>
        <v>1</v>
      </c>
      <c r="N40" s="14" t="n">
        <f aca="false">IF(OR($D40="",$E40=""),"",MAX(0,MIN($E40,REPORTING_DEPTH_CM)-MIN($D40,REPORTING_DEPTH_CM)))</f>
        <v>0</v>
      </c>
      <c r="O40" s="14" t="n">
        <f aca="false">IF(OR($I40="",$L40="",$N40=""),"",$I40*($L40/100)*$N40*$M40*10)</f>
        <v>0</v>
      </c>
      <c r="P40" s="14" t="n">
        <f aca="false">IF(OR($I40="",$L40="",$F40=""),"",$I40*($L40/100)*$F40*$M40*10)</f>
        <v>0.801</v>
      </c>
      <c r="Q40" s="14" t="str">
        <f aca="false">IF(AND($A40="",$B40="",$D40=""),"",IF(AND($B40&lt;&gt;"",COUNTIF('2. Core Log'!$A$5:$A$124,$B40)=0),"Core ID not in Core Log. ","")&amp;IF(AND($A40&lt;&gt;"",COUNTIF('1. Plot &amp; Site Log'!$A$5:$A$64,$A40)=0),"Plot ID not in Plot &amp; Site Log. ","")&amp;IF(AND($D40&lt;&gt;"",$E40&lt;&gt;"",$E40&lt;=$D40),"Bottom depth is not below top depth. ","")&amp;IF($H40="","Say which bulk-density basis the lab reported, or the coarse-fragment correction cannot be applied safely. ","")&amp;IF(AND($I40&lt;&gt;"",OR($I40&lt;QC_BD_MIN,$I40&gt;QC_BD_MAX)),"Bulk density outside "&amp;QC_BD_MIN&amp;"–"&amp;QC_BD_MAX&amp;" g/cm³. ","")&amp;IF(AND($L40&lt;&gt;"",$L40&gt;QC_CARBON_PCT_MAX),"Carbon above "&amp;QC_CARBON_PCT_MAX&amp;"% — check units; this may be organic matter rather than carbon. ","")&amp;IF(AND($J40&lt;&gt;"",$K40&lt;&gt;""),"Both LOI and measured carbon given — the measured value is used. ","")&amp;IF(AND($N40&lt;&gt;"",$N40=0),"Slice lies entirely below the reporting depth — it counts to the full-core stock only. ",""))</f>
        <v>Slice lies entirely below the reporting depth — it counts to the full-core stock only. </v>
      </c>
      <c r="R40" s="13"/>
    </row>
    <row r="41" customFormat="false" ht="15" hidden="false" customHeight="false" outlineLevel="0" collapsed="false">
      <c r="A41" s="13" t="s">
        <v>86</v>
      </c>
      <c r="B41" s="13" t="s">
        <v>114</v>
      </c>
      <c r="C41" s="13" t="n">
        <v>7</v>
      </c>
      <c r="D41" s="13" t="n">
        <v>40</v>
      </c>
      <c r="E41" s="13" t="n">
        <v>50</v>
      </c>
      <c r="F41" s="13" t="n">
        <f aca="false">IF(OR($D41="",$E41=""),"",$E41-$D41)</f>
        <v>10</v>
      </c>
      <c r="G41" s="13" t="n">
        <v>6</v>
      </c>
      <c r="H41" s="13" t="s">
        <v>190</v>
      </c>
      <c r="I41" s="15" t="n">
        <v>1.06</v>
      </c>
      <c r="J41" s="15"/>
      <c r="K41" s="15" t="n">
        <v>0.95</v>
      </c>
      <c r="L41" s="14" t="n">
        <f aca="false">IF($K41&lt;&gt;"",$K41,IF($J41&lt;&gt;"",$J41*CARBON_FRACTION_OM,""))</f>
        <v>0.95</v>
      </c>
      <c r="M41" s="14" t="n">
        <f aca="false">IF($H41="Fine earth / fine-earth volume",1-IF($G41="",0,$G41)/100,1)</f>
        <v>1</v>
      </c>
      <c r="N41" s="14" t="n">
        <f aca="false">IF(OR($D41="",$E41=""),"",MAX(0,MIN($E41,REPORTING_DEPTH_CM)-MIN($D41,REPORTING_DEPTH_CM)))</f>
        <v>0</v>
      </c>
      <c r="O41" s="14" t="n">
        <f aca="false">IF(OR($I41="",$L41="",$N41=""),"",$I41*($L41/100)*$N41*$M41*10)</f>
        <v>0</v>
      </c>
      <c r="P41" s="14" t="n">
        <f aca="false">IF(OR($I41="",$L41="",$F41=""),"",$I41*($L41/100)*$F41*$M41*10)</f>
        <v>1.007</v>
      </c>
      <c r="Q41" s="14" t="str">
        <f aca="false">IF(AND($A41="",$B41="",$D41=""),"",IF(AND($B41&lt;&gt;"",COUNTIF('2. Core Log'!$A$5:$A$124,$B41)=0),"Core ID not in Core Log. ","")&amp;IF(AND($A41&lt;&gt;"",COUNTIF('1. Plot &amp; Site Log'!$A$5:$A$64,$A41)=0),"Plot ID not in Plot &amp; Site Log. ","")&amp;IF(AND($D41&lt;&gt;"",$E41&lt;&gt;"",$E41&lt;=$D41),"Bottom depth is not below top depth. ","")&amp;IF($H41="","Say which bulk-density basis the lab reported, or the coarse-fragment correction cannot be applied safely. ","")&amp;IF(AND($I41&lt;&gt;"",OR($I41&lt;QC_BD_MIN,$I41&gt;QC_BD_MAX)),"Bulk density outside "&amp;QC_BD_MIN&amp;"–"&amp;QC_BD_MAX&amp;" g/cm³. ","")&amp;IF(AND($L41&lt;&gt;"",$L41&gt;QC_CARBON_PCT_MAX),"Carbon above "&amp;QC_CARBON_PCT_MAX&amp;"% — check units; this may be organic matter rather than carbon. ","")&amp;IF(AND($J41&lt;&gt;"",$K41&lt;&gt;""),"Both LOI and measured carbon given — the measured value is used. ","")&amp;IF(AND($N41&lt;&gt;"",$N41=0),"Slice lies entirely below the reporting depth — it counts to the full-core stock only. ",""))</f>
        <v>Slice lies entirely below the reporting depth — it counts to the full-core stock only. </v>
      </c>
      <c r="R41" s="13"/>
    </row>
    <row r="42" customFormat="false" ht="15" hidden="false" customHeight="false" outlineLevel="0" collapsed="false">
      <c r="A42" s="13" t="s">
        <v>91</v>
      </c>
      <c r="B42" s="13" t="s">
        <v>115</v>
      </c>
      <c r="C42" s="13" t="n">
        <v>1</v>
      </c>
      <c r="D42" s="13" t="n">
        <v>0</v>
      </c>
      <c r="E42" s="13" t="n">
        <v>5</v>
      </c>
      <c r="F42" s="13" t="n">
        <f aca="false">IF(OR($D42="",$E42=""),"",$E42-$D42)</f>
        <v>5</v>
      </c>
      <c r="G42" s="13" t="n">
        <v>11</v>
      </c>
      <c r="H42" s="13" t="s">
        <v>190</v>
      </c>
      <c r="I42" s="15" t="n">
        <v>0.207</v>
      </c>
      <c r="J42" s="15"/>
      <c r="K42" s="15" t="n">
        <v>35.18</v>
      </c>
      <c r="L42" s="14" t="n">
        <f aca="false">IF($K42&lt;&gt;"",$K42,IF($J42&lt;&gt;"",$J42*CARBON_FRACTION_OM,""))</f>
        <v>35.18</v>
      </c>
      <c r="M42" s="14" t="n">
        <f aca="false">IF($H42="Fine earth / fine-earth volume",1-IF($G42="",0,$G42)/100,1)</f>
        <v>1</v>
      </c>
      <c r="N42" s="14" t="n">
        <f aca="false">IF(OR($D42="",$E42=""),"",MAX(0,MIN($E42,REPORTING_DEPTH_CM)-MIN($D42,REPORTING_DEPTH_CM)))</f>
        <v>5</v>
      </c>
      <c r="O42" s="14" t="n">
        <f aca="false">IF(OR($I42="",$L42="",$N42=""),"",$I42*($L42/100)*$N42*$M42*10)</f>
        <v>3.64113</v>
      </c>
      <c r="P42" s="14" t="n">
        <f aca="false">IF(OR($I42="",$L42="",$F42=""),"",$I42*($L42/100)*$F42*$M42*10)</f>
        <v>3.64113</v>
      </c>
      <c r="Q42" s="14" t="str">
        <f aca="false">IF(AND($A42="",$B42="",$D42=""),"",IF(AND($B42&lt;&gt;"",COUNTIF('2. Core Log'!$A$5:$A$124,$B42)=0),"Core ID not in Core Log. ","")&amp;IF(AND($A42&lt;&gt;"",COUNTIF('1. Plot &amp; Site Log'!$A$5:$A$64,$A42)=0),"Plot ID not in Plot &amp; Site Log. ","")&amp;IF(AND($D42&lt;&gt;"",$E42&lt;&gt;"",$E42&lt;=$D42),"Bottom depth is not below top depth. ","")&amp;IF($H42="","Say which bulk-density basis the lab reported, or the coarse-fragment correction cannot be applied safely. ","")&amp;IF(AND($I42&lt;&gt;"",OR($I42&lt;QC_BD_MIN,$I42&gt;QC_BD_MAX)),"Bulk density outside "&amp;QC_BD_MIN&amp;"–"&amp;QC_BD_MAX&amp;" g/cm³. ","")&amp;IF(AND($L42&lt;&gt;"",$L42&gt;QC_CARBON_PCT_MAX),"Carbon above "&amp;QC_CARBON_PCT_MAX&amp;"% — check units; this may be organic matter rather than carbon. ","")&amp;IF(AND($J42&lt;&gt;"",$K42&lt;&gt;""),"Both LOI and measured carbon given — the measured value is used. ","")&amp;IF(AND($N42&lt;&gt;"",$N42=0),"Slice lies entirely below the reporting depth — it counts to the full-core stock only. ",""))</f>
        <v/>
      </c>
      <c r="R42" s="13"/>
    </row>
    <row r="43" customFormat="false" ht="15" hidden="false" customHeight="false" outlineLevel="0" collapsed="false">
      <c r="A43" s="13" t="s">
        <v>91</v>
      </c>
      <c r="B43" s="13" t="s">
        <v>115</v>
      </c>
      <c r="C43" s="13" t="n">
        <v>2</v>
      </c>
      <c r="D43" s="13" t="n">
        <v>5</v>
      </c>
      <c r="E43" s="13" t="n">
        <v>10</v>
      </c>
      <c r="F43" s="13" t="n">
        <f aca="false">IF(OR($D43="",$E43=""),"",$E43-$D43)</f>
        <v>5</v>
      </c>
      <c r="G43" s="13" t="n">
        <v>6</v>
      </c>
      <c r="H43" s="13" t="s">
        <v>190</v>
      </c>
      <c r="I43" s="15" t="n">
        <v>0.285</v>
      </c>
      <c r="J43" s="15"/>
      <c r="K43" s="15" t="n">
        <v>19.49</v>
      </c>
      <c r="L43" s="14" t="n">
        <f aca="false">IF($K43&lt;&gt;"",$K43,IF($J43&lt;&gt;"",$J43*CARBON_FRACTION_OM,""))</f>
        <v>19.49</v>
      </c>
      <c r="M43" s="14" t="n">
        <f aca="false">IF($H43="Fine earth / fine-earth volume",1-IF($G43="",0,$G43)/100,1)</f>
        <v>1</v>
      </c>
      <c r="N43" s="14" t="n">
        <f aca="false">IF(OR($D43="",$E43=""),"",MAX(0,MIN($E43,REPORTING_DEPTH_CM)-MIN($D43,REPORTING_DEPTH_CM)))</f>
        <v>5</v>
      </c>
      <c r="O43" s="14" t="n">
        <f aca="false">IF(OR($I43="",$L43="",$N43=""),"",$I43*($L43/100)*$N43*$M43*10)</f>
        <v>2.777325</v>
      </c>
      <c r="P43" s="14" t="n">
        <f aca="false">IF(OR($I43="",$L43="",$F43=""),"",$I43*($L43/100)*$F43*$M43*10)</f>
        <v>2.777325</v>
      </c>
      <c r="Q43" s="14" t="str">
        <f aca="false">IF(AND($A43="",$B43="",$D43=""),"",IF(AND($B43&lt;&gt;"",COUNTIF('2. Core Log'!$A$5:$A$124,$B43)=0),"Core ID not in Core Log. ","")&amp;IF(AND($A43&lt;&gt;"",COUNTIF('1. Plot &amp; Site Log'!$A$5:$A$64,$A43)=0),"Plot ID not in Plot &amp; Site Log. ","")&amp;IF(AND($D43&lt;&gt;"",$E43&lt;&gt;"",$E43&lt;=$D43),"Bottom depth is not below top depth. ","")&amp;IF($H43="","Say which bulk-density basis the lab reported, or the coarse-fragment correction cannot be applied safely. ","")&amp;IF(AND($I43&lt;&gt;"",OR($I43&lt;QC_BD_MIN,$I43&gt;QC_BD_MAX)),"Bulk density outside "&amp;QC_BD_MIN&amp;"–"&amp;QC_BD_MAX&amp;" g/cm³. ","")&amp;IF(AND($L43&lt;&gt;"",$L43&gt;QC_CARBON_PCT_MAX),"Carbon above "&amp;QC_CARBON_PCT_MAX&amp;"% — check units; this may be organic matter rather than carbon. ","")&amp;IF(AND($J43&lt;&gt;"",$K43&lt;&gt;""),"Both LOI and measured carbon given — the measured value is used. ","")&amp;IF(AND($N43&lt;&gt;"",$N43=0),"Slice lies entirely below the reporting depth — it counts to the full-core stock only. ",""))</f>
        <v/>
      </c>
      <c r="R43" s="13"/>
    </row>
    <row r="44" customFormat="false" ht="15" hidden="false" customHeight="false" outlineLevel="0" collapsed="false">
      <c r="A44" s="13" t="s">
        <v>91</v>
      </c>
      <c r="B44" s="13" t="s">
        <v>115</v>
      </c>
      <c r="C44" s="13" t="n">
        <v>3</v>
      </c>
      <c r="D44" s="13" t="n">
        <v>10</v>
      </c>
      <c r="E44" s="13" t="n">
        <v>15</v>
      </c>
      <c r="F44" s="13" t="n">
        <f aca="false">IF(OR($D44="",$E44=""),"",$E44-$D44)</f>
        <v>5</v>
      </c>
      <c r="G44" s="13" t="n">
        <v>6</v>
      </c>
      <c r="H44" s="13" t="s">
        <v>190</v>
      </c>
      <c r="I44" s="15" t="n">
        <v>0.376</v>
      </c>
      <c r="J44" s="15"/>
      <c r="K44" s="15" t="n">
        <v>9.76</v>
      </c>
      <c r="L44" s="14" t="n">
        <f aca="false">IF($K44&lt;&gt;"",$K44,IF($J44&lt;&gt;"",$J44*CARBON_FRACTION_OM,""))</f>
        <v>9.76</v>
      </c>
      <c r="M44" s="14" t="n">
        <f aca="false">IF($H44="Fine earth / fine-earth volume",1-IF($G44="",0,$G44)/100,1)</f>
        <v>1</v>
      </c>
      <c r="N44" s="14" t="n">
        <f aca="false">IF(OR($D44="",$E44=""),"",MAX(0,MIN($E44,REPORTING_DEPTH_CM)-MIN($D44,REPORTING_DEPTH_CM)))</f>
        <v>5</v>
      </c>
      <c r="O44" s="14" t="n">
        <f aca="false">IF(OR($I44="",$L44="",$N44=""),"",$I44*($L44/100)*$N44*$M44*10)</f>
        <v>1.83488</v>
      </c>
      <c r="P44" s="14" t="n">
        <f aca="false">IF(OR($I44="",$L44="",$F44=""),"",$I44*($L44/100)*$F44*$M44*10)</f>
        <v>1.83488</v>
      </c>
      <c r="Q44" s="14" t="str">
        <f aca="false">IF(AND($A44="",$B44="",$D44=""),"",IF(AND($B44&lt;&gt;"",COUNTIF('2. Core Log'!$A$5:$A$124,$B44)=0),"Core ID not in Core Log. ","")&amp;IF(AND($A44&lt;&gt;"",COUNTIF('1. Plot &amp; Site Log'!$A$5:$A$64,$A44)=0),"Plot ID not in Plot &amp; Site Log. ","")&amp;IF(AND($D44&lt;&gt;"",$E44&lt;&gt;"",$E44&lt;=$D44),"Bottom depth is not below top depth. ","")&amp;IF($H44="","Say which bulk-density basis the lab reported, or the coarse-fragment correction cannot be applied safely. ","")&amp;IF(AND($I44&lt;&gt;"",OR($I44&lt;QC_BD_MIN,$I44&gt;QC_BD_MAX)),"Bulk density outside "&amp;QC_BD_MIN&amp;"–"&amp;QC_BD_MAX&amp;" g/cm³. ","")&amp;IF(AND($L44&lt;&gt;"",$L44&gt;QC_CARBON_PCT_MAX),"Carbon above "&amp;QC_CARBON_PCT_MAX&amp;"% — check units; this may be organic matter rather than carbon. ","")&amp;IF(AND($J44&lt;&gt;"",$K44&lt;&gt;""),"Both LOI and measured carbon given — the measured value is used. ","")&amp;IF(AND($N44&lt;&gt;"",$N44=0),"Slice lies entirely below the reporting depth — it counts to the full-core stock only. ",""))</f>
        <v/>
      </c>
      <c r="R44" s="13"/>
    </row>
    <row r="45" customFormat="false" ht="15" hidden="false" customHeight="false" outlineLevel="0" collapsed="false">
      <c r="A45" s="13" t="s">
        <v>91</v>
      </c>
      <c r="B45" s="13" t="s">
        <v>115</v>
      </c>
      <c r="C45" s="13" t="n">
        <v>4</v>
      </c>
      <c r="D45" s="13" t="n">
        <v>15</v>
      </c>
      <c r="E45" s="13" t="n">
        <v>20</v>
      </c>
      <c r="F45" s="13" t="n">
        <f aca="false">IF(OR($D45="",$E45=""),"",$E45-$D45)</f>
        <v>5</v>
      </c>
      <c r="G45" s="13" t="n">
        <v>0</v>
      </c>
      <c r="H45" s="13" t="s">
        <v>190</v>
      </c>
      <c r="I45" s="15" t="n">
        <v>0.496</v>
      </c>
      <c r="J45" s="15"/>
      <c r="K45" s="15" t="n">
        <v>4.77</v>
      </c>
      <c r="L45" s="14" t="n">
        <f aca="false">IF($K45&lt;&gt;"",$K45,IF($J45&lt;&gt;"",$J45*CARBON_FRACTION_OM,""))</f>
        <v>4.77</v>
      </c>
      <c r="M45" s="14" t="n">
        <f aca="false">IF($H45="Fine earth / fine-earth volume",1-IF($G45="",0,$G45)/100,1)</f>
        <v>1</v>
      </c>
      <c r="N45" s="14" t="n">
        <f aca="false">IF(OR($D45="",$E45=""),"",MAX(0,MIN($E45,REPORTING_DEPTH_CM)-MIN($D45,REPORTING_DEPTH_CM)))</f>
        <v>5</v>
      </c>
      <c r="O45" s="14" t="n">
        <f aca="false">IF(OR($I45="",$L45="",$N45=""),"",$I45*($L45/100)*$N45*$M45*10)</f>
        <v>1.18296</v>
      </c>
      <c r="P45" s="14" t="n">
        <f aca="false">IF(OR($I45="",$L45="",$F45=""),"",$I45*($L45/100)*$F45*$M45*10)</f>
        <v>1.18296</v>
      </c>
      <c r="Q45" s="14" t="str">
        <f aca="false">IF(AND($A45="",$B45="",$D45=""),"",IF(AND($B45&lt;&gt;"",COUNTIF('2. Core Log'!$A$5:$A$124,$B45)=0),"Core ID not in Core Log. ","")&amp;IF(AND($A45&lt;&gt;"",COUNTIF('1. Plot &amp; Site Log'!$A$5:$A$64,$A45)=0),"Plot ID not in Plot &amp; Site Log. ","")&amp;IF(AND($D45&lt;&gt;"",$E45&lt;&gt;"",$E45&lt;=$D45),"Bottom depth is not below top depth. ","")&amp;IF($H45="","Say which bulk-density basis the lab reported, or the coarse-fragment correction cannot be applied safely. ","")&amp;IF(AND($I45&lt;&gt;"",OR($I45&lt;QC_BD_MIN,$I45&gt;QC_BD_MAX)),"Bulk density outside "&amp;QC_BD_MIN&amp;"–"&amp;QC_BD_MAX&amp;" g/cm³. ","")&amp;IF(AND($L45&lt;&gt;"",$L45&gt;QC_CARBON_PCT_MAX),"Carbon above "&amp;QC_CARBON_PCT_MAX&amp;"% — check units; this may be organic matter rather than carbon. ","")&amp;IF(AND($J45&lt;&gt;"",$K45&lt;&gt;""),"Both LOI and measured carbon given — the measured value is used. ","")&amp;IF(AND($N45&lt;&gt;"",$N45=0),"Slice lies entirely below the reporting depth — it counts to the full-core stock only. ",""))</f>
        <v/>
      </c>
      <c r="R45" s="13"/>
    </row>
    <row r="46" customFormat="false" ht="15" hidden="false" customHeight="false" outlineLevel="0" collapsed="false">
      <c r="A46" s="13" t="s">
        <v>91</v>
      </c>
      <c r="B46" s="13" t="s">
        <v>115</v>
      </c>
      <c r="C46" s="13" t="n">
        <v>5</v>
      </c>
      <c r="D46" s="13" t="n">
        <v>20</v>
      </c>
      <c r="E46" s="13" t="n">
        <v>30</v>
      </c>
      <c r="F46" s="13" t="n">
        <f aca="false">IF(OR($D46="",$E46=""),"",$E46-$D46)</f>
        <v>10</v>
      </c>
      <c r="G46" s="13" t="n">
        <v>0</v>
      </c>
      <c r="H46" s="13" t="s">
        <v>190</v>
      </c>
      <c r="I46" s="15" t="n">
        <v>0.666</v>
      </c>
      <c r="J46" s="15"/>
      <c r="K46" s="15" t="n">
        <v>2.04</v>
      </c>
      <c r="L46" s="14" t="n">
        <f aca="false">IF($K46&lt;&gt;"",$K46,IF($J46&lt;&gt;"",$J46*CARBON_FRACTION_OM,""))</f>
        <v>2.04</v>
      </c>
      <c r="M46" s="14" t="n">
        <f aca="false">IF($H46="Fine earth / fine-earth volume",1-IF($G46="",0,$G46)/100,1)</f>
        <v>1</v>
      </c>
      <c r="N46" s="14" t="n">
        <f aca="false">IF(OR($D46="",$E46=""),"",MAX(0,MIN($E46,REPORTING_DEPTH_CM)-MIN($D46,REPORTING_DEPTH_CM)))</f>
        <v>10</v>
      </c>
      <c r="O46" s="14" t="n">
        <f aca="false">IF(OR($I46="",$L46="",$N46=""),"",$I46*($L46/100)*$N46*$M46*10)</f>
        <v>1.35864</v>
      </c>
      <c r="P46" s="14" t="n">
        <f aca="false">IF(OR($I46="",$L46="",$F46=""),"",$I46*($L46/100)*$F46*$M46*10)</f>
        <v>1.35864</v>
      </c>
      <c r="Q46" s="14" t="str">
        <f aca="false">IF(AND($A46="",$B46="",$D46=""),"",IF(AND($B46&lt;&gt;"",COUNTIF('2. Core Log'!$A$5:$A$124,$B46)=0),"Core ID not in Core Log. ","")&amp;IF(AND($A46&lt;&gt;"",COUNTIF('1. Plot &amp; Site Log'!$A$5:$A$64,$A46)=0),"Plot ID not in Plot &amp; Site Log. ","")&amp;IF(AND($D46&lt;&gt;"",$E46&lt;&gt;"",$E46&lt;=$D46),"Bottom depth is not below top depth. ","")&amp;IF($H46="","Say which bulk-density basis the lab reported, or the coarse-fragment correction cannot be applied safely. ","")&amp;IF(AND($I46&lt;&gt;"",OR($I46&lt;QC_BD_MIN,$I46&gt;QC_BD_MAX)),"Bulk density outside "&amp;QC_BD_MIN&amp;"–"&amp;QC_BD_MAX&amp;" g/cm³. ","")&amp;IF(AND($L46&lt;&gt;"",$L46&gt;QC_CARBON_PCT_MAX),"Carbon above "&amp;QC_CARBON_PCT_MAX&amp;"% — check units; this may be organic matter rather than carbon. ","")&amp;IF(AND($J46&lt;&gt;"",$K46&lt;&gt;""),"Both LOI and measured carbon given — the measured value is used. ","")&amp;IF(AND($N46&lt;&gt;"",$N46=0),"Slice lies entirely below the reporting depth — it counts to the full-core stock only. ",""))</f>
        <v/>
      </c>
      <c r="R46" s="13"/>
    </row>
    <row r="47" customFormat="false" ht="15" hidden="false" customHeight="false" outlineLevel="0" collapsed="false">
      <c r="A47" s="13" t="s">
        <v>91</v>
      </c>
      <c r="B47" s="13" t="s">
        <v>115</v>
      </c>
      <c r="C47" s="13" t="n">
        <v>6</v>
      </c>
      <c r="D47" s="13" t="n">
        <v>30</v>
      </c>
      <c r="E47" s="13" t="n">
        <v>40</v>
      </c>
      <c r="F47" s="13" t="n">
        <f aca="false">IF(OR($D47="",$E47=""),"",$E47-$D47)</f>
        <v>10</v>
      </c>
      <c r="G47" s="13" t="n">
        <v>0</v>
      </c>
      <c r="H47" s="13" t="s">
        <v>190</v>
      </c>
      <c r="I47" s="15" t="n">
        <v>0.895</v>
      </c>
      <c r="J47" s="15"/>
      <c r="K47" s="15" t="n">
        <v>0.9</v>
      </c>
      <c r="L47" s="14" t="n">
        <f aca="false">IF($K47&lt;&gt;"",$K47,IF($J47&lt;&gt;"",$J47*CARBON_FRACTION_OM,""))</f>
        <v>0.9</v>
      </c>
      <c r="M47" s="14" t="n">
        <f aca="false">IF($H47="Fine earth / fine-earth volume",1-IF($G47="",0,$G47)/100,1)</f>
        <v>1</v>
      </c>
      <c r="N47" s="14" t="n">
        <f aca="false">IF(OR($D47="",$E47=""),"",MAX(0,MIN($E47,REPORTING_DEPTH_CM)-MIN($D47,REPORTING_DEPTH_CM)))</f>
        <v>0</v>
      </c>
      <c r="O47" s="14" t="n">
        <f aca="false">IF(OR($I47="",$L47="",$N47=""),"",$I47*($L47/100)*$N47*$M47*10)</f>
        <v>0</v>
      </c>
      <c r="P47" s="14" t="n">
        <f aca="false">IF(OR($I47="",$L47="",$F47=""),"",$I47*($L47/100)*$F47*$M47*10)</f>
        <v>0.8055</v>
      </c>
      <c r="Q47" s="14" t="str">
        <f aca="false">IF(AND($A47="",$B47="",$D47=""),"",IF(AND($B47&lt;&gt;"",COUNTIF('2. Core Log'!$A$5:$A$124,$B47)=0),"Core ID not in Core Log. ","")&amp;IF(AND($A47&lt;&gt;"",COUNTIF('1. Plot &amp; Site Log'!$A$5:$A$64,$A47)=0),"Plot ID not in Plot &amp; Site Log. ","")&amp;IF(AND($D47&lt;&gt;"",$E47&lt;&gt;"",$E47&lt;=$D47),"Bottom depth is not below top depth. ","")&amp;IF($H47="","Say which bulk-density basis the lab reported, or the coarse-fragment correction cannot be applied safely. ","")&amp;IF(AND($I47&lt;&gt;"",OR($I47&lt;QC_BD_MIN,$I47&gt;QC_BD_MAX)),"Bulk density outside "&amp;QC_BD_MIN&amp;"–"&amp;QC_BD_MAX&amp;" g/cm³. ","")&amp;IF(AND($L47&lt;&gt;"",$L47&gt;QC_CARBON_PCT_MAX),"Carbon above "&amp;QC_CARBON_PCT_MAX&amp;"% — check units; this may be organic matter rather than carbon. ","")&amp;IF(AND($J47&lt;&gt;"",$K47&lt;&gt;""),"Both LOI and measured carbon given — the measured value is used. ","")&amp;IF(AND($N47&lt;&gt;"",$N47=0),"Slice lies entirely below the reporting depth — it counts to the full-core stock only. ",""))</f>
        <v>Slice lies entirely below the reporting depth — it counts to the full-core stock only. </v>
      </c>
      <c r="R47" s="13"/>
    </row>
    <row r="48" customFormat="false" ht="15" hidden="false" customHeight="false" outlineLevel="0" collapsed="false">
      <c r="A48" s="13" t="s">
        <v>92</v>
      </c>
      <c r="B48" s="13" t="s">
        <v>116</v>
      </c>
      <c r="C48" s="13" t="n">
        <v>1</v>
      </c>
      <c r="D48" s="13" t="n">
        <v>0</v>
      </c>
      <c r="E48" s="13" t="n">
        <v>5</v>
      </c>
      <c r="F48" s="13" t="n">
        <f aca="false">IF(OR($D48="",$E48=""),"",$E48-$D48)</f>
        <v>5</v>
      </c>
      <c r="G48" s="13" t="n">
        <v>0</v>
      </c>
      <c r="H48" s="13" t="s">
        <v>190</v>
      </c>
      <c r="I48" s="15" t="n">
        <v>0.175</v>
      </c>
      <c r="J48" s="15"/>
      <c r="K48" s="15" t="n">
        <v>35.66</v>
      </c>
      <c r="L48" s="14" t="n">
        <f aca="false">IF($K48&lt;&gt;"",$K48,IF($J48&lt;&gt;"",$J48*CARBON_FRACTION_OM,""))</f>
        <v>35.66</v>
      </c>
      <c r="M48" s="14" t="n">
        <f aca="false">IF($H48="Fine earth / fine-earth volume",1-IF($G48="",0,$G48)/100,1)</f>
        <v>1</v>
      </c>
      <c r="N48" s="14" t="n">
        <f aca="false">IF(OR($D48="",$E48=""),"",MAX(0,MIN($E48,REPORTING_DEPTH_CM)-MIN($D48,REPORTING_DEPTH_CM)))</f>
        <v>5</v>
      </c>
      <c r="O48" s="14" t="n">
        <f aca="false">IF(OR($I48="",$L48="",$N48=""),"",$I48*($L48/100)*$N48*$M48*10)</f>
        <v>3.12025</v>
      </c>
      <c r="P48" s="14" t="n">
        <f aca="false">IF(OR($I48="",$L48="",$F48=""),"",$I48*($L48/100)*$F48*$M48*10)</f>
        <v>3.12025</v>
      </c>
      <c r="Q48" s="14" t="str">
        <f aca="false">IF(AND($A48="",$B48="",$D48=""),"",IF(AND($B48&lt;&gt;"",COUNTIF('2. Core Log'!$A$5:$A$124,$B48)=0),"Core ID not in Core Log. ","")&amp;IF(AND($A48&lt;&gt;"",COUNTIF('1. Plot &amp; Site Log'!$A$5:$A$64,$A48)=0),"Plot ID not in Plot &amp; Site Log. ","")&amp;IF(AND($D48&lt;&gt;"",$E48&lt;&gt;"",$E48&lt;=$D48),"Bottom depth is not below top depth. ","")&amp;IF($H48="","Say which bulk-density basis the lab reported, or the coarse-fragment correction cannot be applied safely. ","")&amp;IF(AND($I48&lt;&gt;"",OR($I48&lt;QC_BD_MIN,$I48&gt;QC_BD_MAX)),"Bulk density outside "&amp;QC_BD_MIN&amp;"–"&amp;QC_BD_MAX&amp;" g/cm³. ","")&amp;IF(AND($L48&lt;&gt;"",$L48&gt;QC_CARBON_PCT_MAX),"Carbon above "&amp;QC_CARBON_PCT_MAX&amp;"% — check units; this may be organic matter rather than carbon. ","")&amp;IF(AND($J48&lt;&gt;"",$K48&lt;&gt;""),"Both LOI and measured carbon given — the measured value is used. ","")&amp;IF(AND($N48&lt;&gt;"",$N48=0),"Slice lies entirely below the reporting depth — it counts to the full-core stock only. ",""))</f>
        <v/>
      </c>
      <c r="R48" s="13"/>
    </row>
    <row r="49" customFormat="false" ht="15" hidden="false" customHeight="false" outlineLevel="0" collapsed="false">
      <c r="A49" s="13" t="s">
        <v>92</v>
      </c>
      <c r="B49" s="13" t="s">
        <v>116</v>
      </c>
      <c r="C49" s="13" t="n">
        <v>2</v>
      </c>
      <c r="D49" s="13" t="n">
        <v>5</v>
      </c>
      <c r="E49" s="13" t="n">
        <v>10</v>
      </c>
      <c r="F49" s="13" t="n">
        <f aca="false">IF(OR($D49="",$E49=""),"",$E49-$D49)</f>
        <v>5</v>
      </c>
      <c r="G49" s="13" t="n">
        <v>3</v>
      </c>
      <c r="H49" s="13" t="s">
        <v>190</v>
      </c>
      <c r="I49" s="15" t="n">
        <v>0.269</v>
      </c>
      <c r="J49" s="15"/>
      <c r="K49" s="15" t="n">
        <v>18.09</v>
      </c>
      <c r="L49" s="14" t="n">
        <f aca="false">IF($K49&lt;&gt;"",$K49,IF($J49&lt;&gt;"",$J49*CARBON_FRACTION_OM,""))</f>
        <v>18.09</v>
      </c>
      <c r="M49" s="14" t="n">
        <f aca="false">IF($H49="Fine earth / fine-earth volume",1-IF($G49="",0,$G49)/100,1)</f>
        <v>1</v>
      </c>
      <c r="N49" s="14" t="n">
        <f aca="false">IF(OR($D49="",$E49=""),"",MAX(0,MIN($E49,REPORTING_DEPTH_CM)-MIN($D49,REPORTING_DEPTH_CM)))</f>
        <v>5</v>
      </c>
      <c r="O49" s="14" t="n">
        <f aca="false">IF(OR($I49="",$L49="",$N49=""),"",$I49*($L49/100)*$N49*$M49*10)</f>
        <v>2.433105</v>
      </c>
      <c r="P49" s="14" t="n">
        <f aca="false">IF(OR($I49="",$L49="",$F49=""),"",$I49*($L49/100)*$F49*$M49*10)</f>
        <v>2.433105</v>
      </c>
      <c r="Q49" s="14" t="str">
        <f aca="false">IF(AND($A49="",$B49="",$D49=""),"",IF(AND($B49&lt;&gt;"",COUNTIF('2. Core Log'!$A$5:$A$124,$B49)=0),"Core ID not in Core Log. ","")&amp;IF(AND($A49&lt;&gt;"",COUNTIF('1. Plot &amp; Site Log'!$A$5:$A$64,$A49)=0),"Plot ID not in Plot &amp; Site Log. ","")&amp;IF(AND($D49&lt;&gt;"",$E49&lt;&gt;"",$E49&lt;=$D49),"Bottom depth is not below top depth. ","")&amp;IF($H49="","Say which bulk-density basis the lab reported, or the coarse-fragment correction cannot be applied safely. ","")&amp;IF(AND($I49&lt;&gt;"",OR($I49&lt;QC_BD_MIN,$I49&gt;QC_BD_MAX)),"Bulk density outside "&amp;QC_BD_MIN&amp;"–"&amp;QC_BD_MAX&amp;" g/cm³. ","")&amp;IF(AND($L49&lt;&gt;"",$L49&gt;QC_CARBON_PCT_MAX),"Carbon above "&amp;QC_CARBON_PCT_MAX&amp;"% — check units; this may be organic matter rather than carbon. ","")&amp;IF(AND($J49&lt;&gt;"",$K49&lt;&gt;""),"Both LOI and measured carbon given — the measured value is used. ","")&amp;IF(AND($N49&lt;&gt;"",$N49=0),"Slice lies entirely below the reporting depth — it counts to the full-core stock only. ",""))</f>
        <v/>
      </c>
      <c r="R49" s="13"/>
    </row>
    <row r="50" customFormat="false" ht="15" hidden="false" customHeight="false" outlineLevel="0" collapsed="false">
      <c r="A50" s="13" t="s">
        <v>92</v>
      </c>
      <c r="B50" s="13" t="s">
        <v>116</v>
      </c>
      <c r="C50" s="13" t="n">
        <v>3</v>
      </c>
      <c r="D50" s="13" t="n">
        <v>10</v>
      </c>
      <c r="E50" s="13" t="n">
        <v>15</v>
      </c>
      <c r="F50" s="13" t="n">
        <f aca="false">IF(OR($D50="",$E50=""),"",$E50-$D50)</f>
        <v>5</v>
      </c>
      <c r="G50" s="13" t="n">
        <v>11</v>
      </c>
      <c r="H50" s="13" t="s">
        <v>190</v>
      </c>
      <c r="I50" s="15" t="n">
        <v>0.401</v>
      </c>
      <c r="J50" s="15"/>
      <c r="K50" s="15" t="n">
        <v>10.32</v>
      </c>
      <c r="L50" s="14" t="n">
        <f aca="false">IF($K50&lt;&gt;"",$K50,IF($J50&lt;&gt;"",$J50*CARBON_FRACTION_OM,""))</f>
        <v>10.32</v>
      </c>
      <c r="M50" s="14" t="n">
        <f aca="false">IF($H50="Fine earth / fine-earth volume",1-IF($G50="",0,$G50)/100,1)</f>
        <v>1</v>
      </c>
      <c r="N50" s="14" t="n">
        <f aca="false">IF(OR($D50="",$E50=""),"",MAX(0,MIN($E50,REPORTING_DEPTH_CM)-MIN($D50,REPORTING_DEPTH_CM)))</f>
        <v>5</v>
      </c>
      <c r="O50" s="14" t="n">
        <f aca="false">IF(OR($I50="",$L50="",$N50=""),"",$I50*($L50/100)*$N50*$M50*10)</f>
        <v>2.06916</v>
      </c>
      <c r="P50" s="14" t="n">
        <f aca="false">IF(OR($I50="",$L50="",$F50=""),"",$I50*($L50/100)*$F50*$M50*10)</f>
        <v>2.06916</v>
      </c>
      <c r="Q50" s="14" t="str">
        <f aca="false">IF(AND($A50="",$B50="",$D50=""),"",IF(AND($B50&lt;&gt;"",COUNTIF('2. Core Log'!$A$5:$A$124,$B50)=0),"Core ID not in Core Log. ","")&amp;IF(AND($A50&lt;&gt;"",COUNTIF('1. Plot &amp; Site Log'!$A$5:$A$64,$A50)=0),"Plot ID not in Plot &amp; Site Log. ","")&amp;IF(AND($D50&lt;&gt;"",$E50&lt;&gt;"",$E50&lt;=$D50),"Bottom depth is not below top depth. ","")&amp;IF($H50="","Say which bulk-density basis the lab reported, or the coarse-fragment correction cannot be applied safely. ","")&amp;IF(AND($I50&lt;&gt;"",OR($I50&lt;QC_BD_MIN,$I50&gt;QC_BD_MAX)),"Bulk density outside "&amp;QC_BD_MIN&amp;"–"&amp;QC_BD_MAX&amp;" g/cm³. ","")&amp;IF(AND($L50&lt;&gt;"",$L50&gt;QC_CARBON_PCT_MAX),"Carbon above "&amp;QC_CARBON_PCT_MAX&amp;"% — check units; this may be organic matter rather than carbon. ","")&amp;IF(AND($J50&lt;&gt;"",$K50&lt;&gt;""),"Both LOI and measured carbon given — the measured value is used. ","")&amp;IF(AND($N50&lt;&gt;"",$N50=0),"Slice lies entirely below the reporting depth — it counts to the full-core stock only. ",""))</f>
        <v/>
      </c>
      <c r="R50" s="13"/>
    </row>
    <row r="51" customFormat="false" ht="15" hidden="false" customHeight="false" outlineLevel="0" collapsed="false">
      <c r="A51" s="13" t="s">
        <v>92</v>
      </c>
      <c r="B51" s="13" t="s">
        <v>116</v>
      </c>
      <c r="C51" s="13" t="n">
        <v>4</v>
      </c>
      <c r="D51" s="13" t="n">
        <v>15</v>
      </c>
      <c r="E51" s="13" t="n">
        <v>20</v>
      </c>
      <c r="F51" s="13" t="n">
        <f aca="false">IF(OR($D51="",$E51=""),"",$E51-$D51)</f>
        <v>5</v>
      </c>
      <c r="G51" s="13" t="n">
        <v>3</v>
      </c>
      <c r="H51" s="13" t="s">
        <v>190</v>
      </c>
      <c r="I51" s="15" t="n">
        <v>0.485</v>
      </c>
      <c r="J51" s="15"/>
      <c r="K51" s="15" t="n">
        <v>6.27</v>
      </c>
      <c r="L51" s="14" t="n">
        <f aca="false">IF($K51&lt;&gt;"",$K51,IF($J51&lt;&gt;"",$J51*CARBON_FRACTION_OM,""))</f>
        <v>6.27</v>
      </c>
      <c r="M51" s="14" t="n">
        <f aca="false">IF($H51="Fine earth / fine-earth volume",1-IF($G51="",0,$G51)/100,1)</f>
        <v>1</v>
      </c>
      <c r="N51" s="14" t="n">
        <f aca="false">IF(OR($D51="",$E51=""),"",MAX(0,MIN($E51,REPORTING_DEPTH_CM)-MIN($D51,REPORTING_DEPTH_CM)))</f>
        <v>5</v>
      </c>
      <c r="O51" s="14" t="n">
        <f aca="false">IF(OR($I51="",$L51="",$N51=""),"",$I51*($L51/100)*$N51*$M51*10)</f>
        <v>1.520475</v>
      </c>
      <c r="P51" s="14" t="n">
        <f aca="false">IF(OR($I51="",$L51="",$F51=""),"",$I51*($L51/100)*$F51*$M51*10)</f>
        <v>1.520475</v>
      </c>
      <c r="Q51" s="14" t="str">
        <f aca="false">IF(AND($A51="",$B51="",$D51=""),"",IF(AND($B51&lt;&gt;"",COUNTIF('2. Core Log'!$A$5:$A$124,$B51)=0),"Core ID not in Core Log. ","")&amp;IF(AND($A51&lt;&gt;"",COUNTIF('1. Plot &amp; Site Log'!$A$5:$A$64,$A51)=0),"Plot ID not in Plot &amp; Site Log. ","")&amp;IF(AND($D51&lt;&gt;"",$E51&lt;&gt;"",$E51&lt;=$D51),"Bottom depth is not below top depth. ","")&amp;IF($H51="","Say which bulk-density basis the lab reported, or the coarse-fragment correction cannot be applied safely. ","")&amp;IF(AND($I51&lt;&gt;"",OR($I51&lt;QC_BD_MIN,$I51&gt;QC_BD_MAX)),"Bulk density outside "&amp;QC_BD_MIN&amp;"–"&amp;QC_BD_MAX&amp;" g/cm³. ","")&amp;IF(AND($L51&lt;&gt;"",$L51&gt;QC_CARBON_PCT_MAX),"Carbon above "&amp;QC_CARBON_PCT_MAX&amp;"% — check units; this may be organic matter rather than carbon. ","")&amp;IF(AND($J51&lt;&gt;"",$K51&lt;&gt;""),"Both LOI and measured carbon given — the measured value is used. ","")&amp;IF(AND($N51&lt;&gt;"",$N51=0),"Slice lies entirely below the reporting depth — it counts to the full-core stock only. ",""))</f>
        <v/>
      </c>
      <c r="R51" s="13"/>
    </row>
    <row r="52" customFormat="false" ht="15" hidden="false" customHeight="false" outlineLevel="0" collapsed="false">
      <c r="A52" s="13" t="s">
        <v>92</v>
      </c>
      <c r="B52" s="13" t="s">
        <v>116</v>
      </c>
      <c r="C52" s="13" t="n">
        <v>5</v>
      </c>
      <c r="D52" s="13" t="n">
        <v>20</v>
      </c>
      <c r="E52" s="13" t="n">
        <v>30</v>
      </c>
      <c r="F52" s="13" t="n">
        <f aca="false">IF(OR($D52="",$E52=""),"",$E52-$D52)</f>
        <v>10</v>
      </c>
      <c r="G52" s="13" t="n">
        <v>11</v>
      </c>
      <c r="H52" s="13" t="s">
        <v>190</v>
      </c>
      <c r="I52" s="15" t="n">
        <v>0.643</v>
      </c>
      <c r="J52" s="15"/>
      <c r="K52" s="15" t="n">
        <v>2.24</v>
      </c>
      <c r="L52" s="14" t="n">
        <f aca="false">IF($K52&lt;&gt;"",$K52,IF($J52&lt;&gt;"",$J52*CARBON_FRACTION_OM,""))</f>
        <v>2.24</v>
      </c>
      <c r="M52" s="14" t="n">
        <f aca="false">IF($H52="Fine earth / fine-earth volume",1-IF($G52="",0,$G52)/100,1)</f>
        <v>1</v>
      </c>
      <c r="N52" s="14" t="n">
        <f aca="false">IF(OR($D52="",$E52=""),"",MAX(0,MIN($E52,REPORTING_DEPTH_CM)-MIN($D52,REPORTING_DEPTH_CM)))</f>
        <v>10</v>
      </c>
      <c r="O52" s="14" t="n">
        <f aca="false">IF(OR($I52="",$L52="",$N52=""),"",$I52*($L52/100)*$N52*$M52*10)</f>
        <v>1.44032</v>
      </c>
      <c r="P52" s="14" t="n">
        <f aca="false">IF(OR($I52="",$L52="",$F52=""),"",$I52*($L52/100)*$F52*$M52*10)</f>
        <v>1.44032</v>
      </c>
      <c r="Q52" s="14" t="str">
        <f aca="false">IF(AND($A52="",$B52="",$D52=""),"",IF(AND($B52&lt;&gt;"",COUNTIF('2. Core Log'!$A$5:$A$124,$B52)=0),"Core ID not in Core Log. ","")&amp;IF(AND($A52&lt;&gt;"",COUNTIF('1. Plot &amp; Site Log'!$A$5:$A$64,$A52)=0),"Plot ID not in Plot &amp; Site Log. ","")&amp;IF(AND($D52&lt;&gt;"",$E52&lt;&gt;"",$E52&lt;=$D52),"Bottom depth is not below top depth. ","")&amp;IF($H52="","Say which bulk-density basis the lab reported, or the coarse-fragment correction cannot be applied safely. ","")&amp;IF(AND($I52&lt;&gt;"",OR($I52&lt;QC_BD_MIN,$I52&gt;QC_BD_MAX)),"Bulk density outside "&amp;QC_BD_MIN&amp;"–"&amp;QC_BD_MAX&amp;" g/cm³. ","")&amp;IF(AND($L52&lt;&gt;"",$L52&gt;QC_CARBON_PCT_MAX),"Carbon above "&amp;QC_CARBON_PCT_MAX&amp;"% — check units; this may be organic matter rather than carbon. ","")&amp;IF(AND($J52&lt;&gt;"",$K52&lt;&gt;""),"Both LOI and measured carbon given — the measured value is used. ","")&amp;IF(AND($N52&lt;&gt;"",$N52=0),"Slice lies entirely below the reporting depth — it counts to the full-core stock only. ",""))</f>
        <v/>
      </c>
      <c r="R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 t="str">
        <f aca="false">IF(OR($D53="",$E53=""),"",$E53-$D53)</f>
        <v/>
      </c>
      <c r="G53" s="13"/>
      <c r="H53" s="13"/>
      <c r="I53" s="15"/>
      <c r="J53" s="15"/>
      <c r="K53" s="15"/>
      <c r="L53" s="14" t="str">
        <f aca="false">IF($K53&lt;&gt;"",$K53,IF($J53&lt;&gt;"",$J53*CARBON_FRACTION_OM,""))</f>
        <v/>
      </c>
      <c r="M53" s="14" t="n">
        <f aca="false">IF($H53="Fine earth / fine-earth volume",1-IF($G53="",0,$G53)/100,1)</f>
        <v>1</v>
      </c>
      <c r="N53" s="14" t="str">
        <f aca="false">IF(OR($D53="",$E53=""),"",MAX(0,MIN($E53,REPORTING_DEPTH_CM)-MIN($D53,REPORTING_DEPTH_CM)))</f>
        <v/>
      </c>
      <c r="O53" s="14" t="str">
        <f aca="false">IF(OR($I53="",$L53="",$N53=""),"",$I53*($L53/100)*$N53*$M53*10)</f>
        <v/>
      </c>
      <c r="P53" s="14" t="str">
        <f aca="false">IF(OR($I53="",$L53="",$F53=""),"",$I53*($L53/100)*$F53*$M53*10)</f>
        <v/>
      </c>
      <c r="Q53" s="14" t="str">
        <f aca="false">IF(AND($A53="",$B53="",$D53=""),"",IF(AND($B53&lt;&gt;"",COUNTIF('2. Core Log'!$A$5:$A$124,$B53)=0),"Core ID not in Core Log. ","")&amp;IF(AND($A53&lt;&gt;"",COUNTIF('1. Plot &amp; Site Log'!$A$5:$A$64,$A53)=0),"Plot ID not in Plot &amp; Site Log. ","")&amp;IF(AND($D53&lt;&gt;"",$E53&lt;&gt;"",$E53&lt;=$D53),"Bottom depth is not below top depth. ","")&amp;IF($H53="","Say which bulk-density basis the lab reported, or the coarse-fragment correction cannot be applied safely. ","")&amp;IF(AND($I53&lt;&gt;"",OR($I53&lt;QC_BD_MIN,$I53&gt;QC_BD_MAX)),"Bulk density outside "&amp;QC_BD_MIN&amp;"–"&amp;QC_BD_MAX&amp;" g/cm³. ","")&amp;IF(AND($L53&lt;&gt;"",$L53&gt;QC_CARBON_PCT_MAX),"Carbon above "&amp;QC_CARBON_PCT_MAX&amp;"% — check units; this may be organic matter rather than carbon. ","")&amp;IF(AND($J53&lt;&gt;"",$K53&lt;&gt;""),"Both LOI and measured carbon given — the measured value is used. ","")&amp;IF(AND($N53&lt;&gt;"",$N53=0),"Slice lies entirely below the reporting depth — it counts to the full-core stock only. ",""))</f>
        <v/>
      </c>
      <c r="R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 t="str">
        <f aca="false">IF(OR($D54="",$E54=""),"",$E54-$D54)</f>
        <v/>
      </c>
      <c r="G54" s="13"/>
      <c r="H54" s="13"/>
      <c r="I54" s="15"/>
      <c r="J54" s="15"/>
      <c r="K54" s="15"/>
      <c r="L54" s="14" t="str">
        <f aca="false">IF($K54&lt;&gt;"",$K54,IF($J54&lt;&gt;"",$J54*CARBON_FRACTION_OM,""))</f>
        <v/>
      </c>
      <c r="M54" s="14" t="n">
        <f aca="false">IF($H54="Fine earth / fine-earth volume",1-IF($G54="",0,$G54)/100,1)</f>
        <v>1</v>
      </c>
      <c r="N54" s="14" t="str">
        <f aca="false">IF(OR($D54="",$E54=""),"",MAX(0,MIN($E54,REPORTING_DEPTH_CM)-MIN($D54,REPORTING_DEPTH_CM)))</f>
        <v/>
      </c>
      <c r="O54" s="14" t="str">
        <f aca="false">IF(OR($I54="",$L54="",$N54=""),"",$I54*($L54/100)*$N54*$M54*10)</f>
        <v/>
      </c>
      <c r="P54" s="14" t="str">
        <f aca="false">IF(OR($I54="",$L54="",$F54=""),"",$I54*($L54/100)*$F54*$M54*10)</f>
        <v/>
      </c>
      <c r="Q54" s="14" t="str">
        <f aca="false">IF(AND($A54="",$B54="",$D54=""),"",IF(AND($B54&lt;&gt;"",COUNTIF('2. Core Log'!$A$5:$A$124,$B54)=0),"Core ID not in Core Log. ","")&amp;IF(AND($A54&lt;&gt;"",COUNTIF('1. Plot &amp; Site Log'!$A$5:$A$64,$A54)=0),"Plot ID not in Plot &amp; Site Log. ","")&amp;IF(AND($D54&lt;&gt;"",$E54&lt;&gt;"",$E54&lt;=$D54),"Bottom depth is not below top depth. ","")&amp;IF($H54="","Say which bulk-density basis the lab reported, or the coarse-fragment correction cannot be applied safely. ","")&amp;IF(AND($I54&lt;&gt;"",OR($I54&lt;QC_BD_MIN,$I54&gt;QC_BD_MAX)),"Bulk density outside "&amp;QC_BD_MIN&amp;"–"&amp;QC_BD_MAX&amp;" g/cm³. ","")&amp;IF(AND($L54&lt;&gt;"",$L54&gt;QC_CARBON_PCT_MAX),"Carbon above "&amp;QC_CARBON_PCT_MAX&amp;"% — check units; this may be organic matter rather than carbon. ","")&amp;IF(AND($J54&lt;&gt;"",$K54&lt;&gt;""),"Both LOI and measured carbon given — the measured value is used. ","")&amp;IF(AND($N54&lt;&gt;"",$N54=0),"Slice lies entirely below the reporting depth — it counts to the full-core stock only. ",""))</f>
        <v/>
      </c>
      <c r="R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 t="str">
        <f aca="false">IF(OR($D55="",$E55=""),"",$E55-$D55)</f>
        <v/>
      </c>
      <c r="G55" s="13"/>
      <c r="H55" s="13"/>
      <c r="I55" s="15"/>
      <c r="J55" s="15"/>
      <c r="K55" s="15"/>
      <c r="L55" s="14" t="str">
        <f aca="false">IF($K55&lt;&gt;"",$K55,IF($J55&lt;&gt;"",$J55*CARBON_FRACTION_OM,""))</f>
        <v/>
      </c>
      <c r="M55" s="14" t="n">
        <f aca="false">IF($H55="Fine earth / fine-earth volume",1-IF($G55="",0,$G55)/100,1)</f>
        <v>1</v>
      </c>
      <c r="N55" s="14" t="str">
        <f aca="false">IF(OR($D55="",$E55=""),"",MAX(0,MIN($E55,REPORTING_DEPTH_CM)-MIN($D55,REPORTING_DEPTH_CM)))</f>
        <v/>
      </c>
      <c r="O55" s="14" t="str">
        <f aca="false">IF(OR($I55="",$L55="",$N55=""),"",$I55*($L55/100)*$N55*$M55*10)</f>
        <v/>
      </c>
      <c r="P55" s="14" t="str">
        <f aca="false">IF(OR($I55="",$L55="",$F55=""),"",$I55*($L55/100)*$F55*$M55*10)</f>
        <v/>
      </c>
      <c r="Q55" s="14" t="str">
        <f aca="false">IF(AND($A55="",$B55="",$D55=""),"",IF(AND($B55&lt;&gt;"",COUNTIF('2. Core Log'!$A$5:$A$124,$B55)=0),"Core ID not in Core Log. ","")&amp;IF(AND($A55&lt;&gt;"",COUNTIF('1. Plot &amp; Site Log'!$A$5:$A$64,$A55)=0),"Plot ID not in Plot &amp; Site Log. ","")&amp;IF(AND($D55&lt;&gt;"",$E55&lt;&gt;"",$E55&lt;=$D55),"Bottom depth is not below top depth. ","")&amp;IF($H55="","Say which bulk-density basis the lab reported, or the coarse-fragment correction cannot be applied safely. ","")&amp;IF(AND($I55&lt;&gt;"",OR($I55&lt;QC_BD_MIN,$I55&gt;QC_BD_MAX)),"Bulk density outside "&amp;QC_BD_MIN&amp;"–"&amp;QC_BD_MAX&amp;" g/cm³. ","")&amp;IF(AND($L55&lt;&gt;"",$L55&gt;QC_CARBON_PCT_MAX),"Carbon above "&amp;QC_CARBON_PCT_MAX&amp;"% — check units; this may be organic matter rather than carbon. ","")&amp;IF(AND($J55&lt;&gt;"",$K55&lt;&gt;""),"Both LOI and measured carbon given — the measured value is used. ","")&amp;IF(AND($N55&lt;&gt;"",$N55=0),"Slice lies entirely below the reporting depth — it counts to the full-core stock only. ",""))</f>
        <v/>
      </c>
      <c r="R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 t="str">
        <f aca="false">IF(OR($D56="",$E56=""),"",$E56-$D56)</f>
        <v/>
      </c>
      <c r="G56" s="13"/>
      <c r="H56" s="13"/>
      <c r="I56" s="15"/>
      <c r="J56" s="15"/>
      <c r="K56" s="15"/>
      <c r="L56" s="14" t="str">
        <f aca="false">IF($K56&lt;&gt;"",$K56,IF($J56&lt;&gt;"",$J56*CARBON_FRACTION_OM,""))</f>
        <v/>
      </c>
      <c r="M56" s="14" t="n">
        <f aca="false">IF($H56="Fine earth / fine-earth volume",1-IF($G56="",0,$G56)/100,1)</f>
        <v>1</v>
      </c>
      <c r="N56" s="14" t="str">
        <f aca="false">IF(OR($D56="",$E56=""),"",MAX(0,MIN($E56,REPORTING_DEPTH_CM)-MIN($D56,REPORTING_DEPTH_CM)))</f>
        <v/>
      </c>
      <c r="O56" s="14" t="str">
        <f aca="false">IF(OR($I56="",$L56="",$N56=""),"",$I56*($L56/100)*$N56*$M56*10)</f>
        <v/>
      </c>
      <c r="P56" s="14" t="str">
        <f aca="false">IF(OR($I56="",$L56="",$F56=""),"",$I56*($L56/100)*$F56*$M56*10)</f>
        <v/>
      </c>
      <c r="Q56" s="14" t="str">
        <f aca="false">IF(AND($A56="",$B56="",$D56=""),"",IF(AND($B56&lt;&gt;"",COUNTIF('2. Core Log'!$A$5:$A$124,$B56)=0),"Core ID not in Core Log. ","")&amp;IF(AND($A56&lt;&gt;"",COUNTIF('1. Plot &amp; Site Log'!$A$5:$A$64,$A56)=0),"Plot ID not in Plot &amp; Site Log. ","")&amp;IF(AND($D56&lt;&gt;"",$E56&lt;&gt;"",$E56&lt;=$D56),"Bottom depth is not below top depth. ","")&amp;IF($H56="","Say which bulk-density basis the lab reported, or the coarse-fragment correction cannot be applied safely. ","")&amp;IF(AND($I56&lt;&gt;"",OR($I56&lt;QC_BD_MIN,$I56&gt;QC_BD_MAX)),"Bulk density outside "&amp;QC_BD_MIN&amp;"–"&amp;QC_BD_MAX&amp;" g/cm³. ","")&amp;IF(AND($L56&lt;&gt;"",$L56&gt;QC_CARBON_PCT_MAX),"Carbon above "&amp;QC_CARBON_PCT_MAX&amp;"% — check units; this may be organic matter rather than carbon. ","")&amp;IF(AND($J56&lt;&gt;"",$K56&lt;&gt;""),"Both LOI and measured carbon given — the measured value is used. ","")&amp;IF(AND($N56&lt;&gt;"",$N56=0),"Slice lies entirely below the reporting depth — it counts to the full-core stock only. ",""))</f>
        <v/>
      </c>
      <c r="R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 t="str">
        <f aca="false">IF(OR($D57="",$E57=""),"",$E57-$D57)</f>
        <v/>
      </c>
      <c r="G57" s="13"/>
      <c r="H57" s="13"/>
      <c r="I57" s="15"/>
      <c r="J57" s="15"/>
      <c r="K57" s="15"/>
      <c r="L57" s="14" t="str">
        <f aca="false">IF($K57&lt;&gt;"",$K57,IF($J57&lt;&gt;"",$J57*CARBON_FRACTION_OM,""))</f>
        <v/>
      </c>
      <c r="M57" s="14" t="n">
        <f aca="false">IF($H57="Fine earth / fine-earth volume",1-IF($G57="",0,$G57)/100,1)</f>
        <v>1</v>
      </c>
      <c r="N57" s="14" t="str">
        <f aca="false">IF(OR($D57="",$E57=""),"",MAX(0,MIN($E57,REPORTING_DEPTH_CM)-MIN($D57,REPORTING_DEPTH_CM)))</f>
        <v/>
      </c>
      <c r="O57" s="14" t="str">
        <f aca="false">IF(OR($I57="",$L57="",$N57=""),"",$I57*($L57/100)*$N57*$M57*10)</f>
        <v/>
      </c>
      <c r="P57" s="14" t="str">
        <f aca="false">IF(OR($I57="",$L57="",$F57=""),"",$I57*($L57/100)*$F57*$M57*10)</f>
        <v/>
      </c>
      <c r="Q57" s="14" t="str">
        <f aca="false">IF(AND($A57="",$B57="",$D57=""),"",IF(AND($B57&lt;&gt;"",COUNTIF('2. Core Log'!$A$5:$A$124,$B57)=0),"Core ID not in Core Log. ","")&amp;IF(AND($A57&lt;&gt;"",COUNTIF('1. Plot &amp; Site Log'!$A$5:$A$64,$A57)=0),"Plot ID not in Plot &amp; Site Log. ","")&amp;IF(AND($D57&lt;&gt;"",$E57&lt;&gt;"",$E57&lt;=$D57),"Bottom depth is not below top depth. ","")&amp;IF($H57="","Say which bulk-density basis the lab reported, or the coarse-fragment correction cannot be applied safely. ","")&amp;IF(AND($I57&lt;&gt;"",OR($I57&lt;QC_BD_MIN,$I57&gt;QC_BD_MAX)),"Bulk density outside "&amp;QC_BD_MIN&amp;"–"&amp;QC_BD_MAX&amp;" g/cm³. ","")&amp;IF(AND($L57&lt;&gt;"",$L57&gt;QC_CARBON_PCT_MAX),"Carbon above "&amp;QC_CARBON_PCT_MAX&amp;"% — check units; this may be organic matter rather than carbon. ","")&amp;IF(AND($J57&lt;&gt;"",$K57&lt;&gt;""),"Both LOI and measured carbon given — the measured value is used. ","")&amp;IF(AND($N57&lt;&gt;"",$N57=0),"Slice lies entirely below the reporting depth — it counts to the full-core stock only. ",""))</f>
        <v/>
      </c>
      <c r="R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 t="str">
        <f aca="false">IF(OR($D58="",$E58=""),"",$E58-$D58)</f>
        <v/>
      </c>
      <c r="G58" s="13"/>
      <c r="H58" s="13"/>
      <c r="I58" s="15"/>
      <c r="J58" s="15"/>
      <c r="K58" s="15"/>
      <c r="L58" s="14" t="str">
        <f aca="false">IF($K58&lt;&gt;"",$K58,IF($J58&lt;&gt;"",$J58*CARBON_FRACTION_OM,""))</f>
        <v/>
      </c>
      <c r="M58" s="14" t="n">
        <f aca="false">IF($H58="Fine earth / fine-earth volume",1-IF($G58="",0,$G58)/100,1)</f>
        <v>1</v>
      </c>
      <c r="N58" s="14" t="str">
        <f aca="false">IF(OR($D58="",$E58=""),"",MAX(0,MIN($E58,REPORTING_DEPTH_CM)-MIN($D58,REPORTING_DEPTH_CM)))</f>
        <v/>
      </c>
      <c r="O58" s="14" t="str">
        <f aca="false">IF(OR($I58="",$L58="",$N58=""),"",$I58*($L58/100)*$N58*$M58*10)</f>
        <v/>
      </c>
      <c r="P58" s="14" t="str">
        <f aca="false">IF(OR($I58="",$L58="",$F58=""),"",$I58*($L58/100)*$F58*$M58*10)</f>
        <v/>
      </c>
      <c r="Q58" s="14" t="str">
        <f aca="false">IF(AND($A58="",$B58="",$D58=""),"",IF(AND($B58&lt;&gt;"",COUNTIF('2. Core Log'!$A$5:$A$124,$B58)=0),"Core ID not in Core Log. ","")&amp;IF(AND($A58&lt;&gt;"",COUNTIF('1. Plot &amp; Site Log'!$A$5:$A$64,$A58)=0),"Plot ID not in Plot &amp; Site Log. ","")&amp;IF(AND($D58&lt;&gt;"",$E58&lt;&gt;"",$E58&lt;=$D58),"Bottom depth is not below top depth. ","")&amp;IF($H58="","Say which bulk-density basis the lab reported, or the coarse-fragment correction cannot be applied safely. ","")&amp;IF(AND($I58&lt;&gt;"",OR($I58&lt;QC_BD_MIN,$I58&gt;QC_BD_MAX)),"Bulk density outside "&amp;QC_BD_MIN&amp;"–"&amp;QC_BD_MAX&amp;" g/cm³. ","")&amp;IF(AND($L58&lt;&gt;"",$L58&gt;QC_CARBON_PCT_MAX),"Carbon above "&amp;QC_CARBON_PCT_MAX&amp;"% — check units; this may be organic matter rather than carbon. ","")&amp;IF(AND($J58&lt;&gt;"",$K58&lt;&gt;""),"Both LOI and measured carbon given — the measured value is used. ","")&amp;IF(AND($N58&lt;&gt;"",$N58=0),"Slice lies entirely below the reporting depth — it counts to the full-core stock only. ",""))</f>
        <v/>
      </c>
      <c r="R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 t="str">
        <f aca="false">IF(OR($D59="",$E59=""),"",$E59-$D59)</f>
        <v/>
      </c>
      <c r="G59" s="13"/>
      <c r="H59" s="13"/>
      <c r="I59" s="15"/>
      <c r="J59" s="15"/>
      <c r="K59" s="15"/>
      <c r="L59" s="14" t="str">
        <f aca="false">IF($K59&lt;&gt;"",$K59,IF($J59&lt;&gt;"",$J59*CARBON_FRACTION_OM,""))</f>
        <v/>
      </c>
      <c r="M59" s="14" t="n">
        <f aca="false">IF($H59="Fine earth / fine-earth volume",1-IF($G59="",0,$G59)/100,1)</f>
        <v>1</v>
      </c>
      <c r="N59" s="14" t="str">
        <f aca="false">IF(OR($D59="",$E59=""),"",MAX(0,MIN($E59,REPORTING_DEPTH_CM)-MIN($D59,REPORTING_DEPTH_CM)))</f>
        <v/>
      </c>
      <c r="O59" s="14" t="str">
        <f aca="false">IF(OR($I59="",$L59="",$N59=""),"",$I59*($L59/100)*$N59*$M59*10)</f>
        <v/>
      </c>
      <c r="P59" s="14" t="str">
        <f aca="false">IF(OR($I59="",$L59="",$F59=""),"",$I59*($L59/100)*$F59*$M59*10)</f>
        <v/>
      </c>
      <c r="Q59" s="14" t="str">
        <f aca="false">IF(AND($A59="",$B59="",$D59=""),"",IF(AND($B59&lt;&gt;"",COUNTIF('2. Core Log'!$A$5:$A$124,$B59)=0),"Core ID not in Core Log. ","")&amp;IF(AND($A59&lt;&gt;"",COUNTIF('1. Plot &amp; Site Log'!$A$5:$A$64,$A59)=0),"Plot ID not in Plot &amp; Site Log. ","")&amp;IF(AND($D59&lt;&gt;"",$E59&lt;&gt;"",$E59&lt;=$D59),"Bottom depth is not below top depth. ","")&amp;IF($H59="","Say which bulk-density basis the lab reported, or the coarse-fragment correction cannot be applied safely. ","")&amp;IF(AND($I59&lt;&gt;"",OR($I59&lt;QC_BD_MIN,$I59&gt;QC_BD_MAX)),"Bulk density outside "&amp;QC_BD_MIN&amp;"–"&amp;QC_BD_MAX&amp;" g/cm³. ","")&amp;IF(AND($L59&lt;&gt;"",$L59&gt;QC_CARBON_PCT_MAX),"Carbon above "&amp;QC_CARBON_PCT_MAX&amp;"% — check units; this may be organic matter rather than carbon. ","")&amp;IF(AND($J59&lt;&gt;"",$K59&lt;&gt;""),"Both LOI and measured carbon given — the measured value is used. ","")&amp;IF(AND($N59&lt;&gt;"",$N59=0),"Slice lies entirely below the reporting depth — it counts to the full-core stock only. ",""))</f>
        <v/>
      </c>
      <c r="R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 t="str">
        <f aca="false">IF(OR($D60="",$E60=""),"",$E60-$D60)</f>
        <v/>
      </c>
      <c r="G60" s="13"/>
      <c r="H60" s="13"/>
      <c r="I60" s="15"/>
      <c r="J60" s="15"/>
      <c r="K60" s="15"/>
      <c r="L60" s="14" t="str">
        <f aca="false">IF($K60&lt;&gt;"",$K60,IF($J60&lt;&gt;"",$J60*CARBON_FRACTION_OM,""))</f>
        <v/>
      </c>
      <c r="M60" s="14" t="n">
        <f aca="false">IF($H60="Fine earth / fine-earth volume",1-IF($G60="",0,$G60)/100,1)</f>
        <v>1</v>
      </c>
      <c r="N60" s="14" t="str">
        <f aca="false">IF(OR($D60="",$E60=""),"",MAX(0,MIN($E60,REPORTING_DEPTH_CM)-MIN($D60,REPORTING_DEPTH_CM)))</f>
        <v/>
      </c>
      <c r="O60" s="14" t="str">
        <f aca="false">IF(OR($I60="",$L60="",$N60=""),"",$I60*($L60/100)*$N60*$M60*10)</f>
        <v/>
      </c>
      <c r="P60" s="14" t="str">
        <f aca="false">IF(OR($I60="",$L60="",$F60=""),"",$I60*($L60/100)*$F60*$M60*10)</f>
        <v/>
      </c>
      <c r="Q60" s="14" t="str">
        <f aca="false">IF(AND($A60="",$B60="",$D60=""),"",IF(AND($B60&lt;&gt;"",COUNTIF('2. Core Log'!$A$5:$A$124,$B60)=0),"Core ID not in Core Log. ","")&amp;IF(AND($A60&lt;&gt;"",COUNTIF('1. Plot &amp; Site Log'!$A$5:$A$64,$A60)=0),"Plot ID not in Plot &amp; Site Log. ","")&amp;IF(AND($D60&lt;&gt;"",$E60&lt;&gt;"",$E60&lt;=$D60),"Bottom depth is not below top depth. ","")&amp;IF($H60="","Say which bulk-density basis the lab reported, or the coarse-fragment correction cannot be applied safely. ","")&amp;IF(AND($I60&lt;&gt;"",OR($I60&lt;QC_BD_MIN,$I60&gt;QC_BD_MAX)),"Bulk density outside "&amp;QC_BD_MIN&amp;"–"&amp;QC_BD_MAX&amp;" g/cm³. ","")&amp;IF(AND($L60&lt;&gt;"",$L60&gt;QC_CARBON_PCT_MAX),"Carbon above "&amp;QC_CARBON_PCT_MAX&amp;"% — check units; this may be organic matter rather than carbon. ","")&amp;IF(AND($J60&lt;&gt;"",$K60&lt;&gt;""),"Both LOI and measured carbon given — the measured value is used. ","")&amp;IF(AND($N60&lt;&gt;"",$N60=0),"Slice lies entirely below the reporting depth — it counts to the full-core stock only. ",""))</f>
        <v/>
      </c>
      <c r="R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 t="str">
        <f aca="false">IF(OR($D61="",$E61=""),"",$E61-$D61)</f>
        <v/>
      </c>
      <c r="G61" s="13"/>
      <c r="H61" s="13"/>
      <c r="I61" s="15"/>
      <c r="J61" s="15"/>
      <c r="K61" s="15"/>
      <c r="L61" s="14" t="str">
        <f aca="false">IF($K61&lt;&gt;"",$K61,IF($J61&lt;&gt;"",$J61*CARBON_FRACTION_OM,""))</f>
        <v/>
      </c>
      <c r="M61" s="14" t="n">
        <f aca="false">IF($H61="Fine earth / fine-earth volume",1-IF($G61="",0,$G61)/100,1)</f>
        <v>1</v>
      </c>
      <c r="N61" s="14" t="str">
        <f aca="false">IF(OR($D61="",$E61=""),"",MAX(0,MIN($E61,REPORTING_DEPTH_CM)-MIN($D61,REPORTING_DEPTH_CM)))</f>
        <v/>
      </c>
      <c r="O61" s="14" t="str">
        <f aca="false">IF(OR($I61="",$L61="",$N61=""),"",$I61*($L61/100)*$N61*$M61*10)</f>
        <v/>
      </c>
      <c r="P61" s="14" t="str">
        <f aca="false">IF(OR($I61="",$L61="",$F61=""),"",$I61*($L61/100)*$F61*$M61*10)</f>
        <v/>
      </c>
      <c r="Q61" s="14" t="str">
        <f aca="false">IF(AND($A61="",$B61="",$D61=""),"",IF(AND($B61&lt;&gt;"",COUNTIF('2. Core Log'!$A$5:$A$124,$B61)=0),"Core ID not in Core Log. ","")&amp;IF(AND($A61&lt;&gt;"",COUNTIF('1. Plot &amp; Site Log'!$A$5:$A$64,$A61)=0),"Plot ID not in Plot &amp; Site Log. ","")&amp;IF(AND($D61&lt;&gt;"",$E61&lt;&gt;"",$E61&lt;=$D61),"Bottom depth is not below top depth. ","")&amp;IF($H61="","Say which bulk-density basis the lab reported, or the coarse-fragment correction cannot be applied safely. ","")&amp;IF(AND($I61&lt;&gt;"",OR($I61&lt;QC_BD_MIN,$I61&gt;QC_BD_MAX)),"Bulk density outside "&amp;QC_BD_MIN&amp;"–"&amp;QC_BD_MAX&amp;" g/cm³. ","")&amp;IF(AND($L61&lt;&gt;"",$L61&gt;QC_CARBON_PCT_MAX),"Carbon above "&amp;QC_CARBON_PCT_MAX&amp;"% — check units; this may be organic matter rather than carbon. ","")&amp;IF(AND($J61&lt;&gt;"",$K61&lt;&gt;""),"Both LOI and measured carbon given — the measured value is used. ","")&amp;IF(AND($N61&lt;&gt;"",$N61=0),"Slice lies entirely below the reporting depth — it counts to the full-core stock only. ",""))</f>
        <v/>
      </c>
      <c r="R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 t="str">
        <f aca="false">IF(OR($D62="",$E62=""),"",$E62-$D62)</f>
        <v/>
      </c>
      <c r="G62" s="13"/>
      <c r="H62" s="13"/>
      <c r="I62" s="15"/>
      <c r="J62" s="15"/>
      <c r="K62" s="15"/>
      <c r="L62" s="14" t="str">
        <f aca="false">IF($K62&lt;&gt;"",$K62,IF($J62&lt;&gt;"",$J62*CARBON_FRACTION_OM,""))</f>
        <v/>
      </c>
      <c r="M62" s="14" t="n">
        <f aca="false">IF($H62="Fine earth / fine-earth volume",1-IF($G62="",0,$G62)/100,1)</f>
        <v>1</v>
      </c>
      <c r="N62" s="14" t="str">
        <f aca="false">IF(OR($D62="",$E62=""),"",MAX(0,MIN($E62,REPORTING_DEPTH_CM)-MIN($D62,REPORTING_DEPTH_CM)))</f>
        <v/>
      </c>
      <c r="O62" s="14" t="str">
        <f aca="false">IF(OR($I62="",$L62="",$N62=""),"",$I62*($L62/100)*$N62*$M62*10)</f>
        <v/>
      </c>
      <c r="P62" s="14" t="str">
        <f aca="false">IF(OR($I62="",$L62="",$F62=""),"",$I62*($L62/100)*$F62*$M62*10)</f>
        <v/>
      </c>
      <c r="Q62" s="14" t="str">
        <f aca="false">IF(AND($A62="",$B62="",$D62=""),"",IF(AND($B62&lt;&gt;"",COUNTIF('2. Core Log'!$A$5:$A$124,$B62)=0),"Core ID not in Core Log. ","")&amp;IF(AND($A62&lt;&gt;"",COUNTIF('1. Plot &amp; Site Log'!$A$5:$A$64,$A62)=0),"Plot ID not in Plot &amp; Site Log. ","")&amp;IF(AND($D62&lt;&gt;"",$E62&lt;&gt;"",$E62&lt;=$D62),"Bottom depth is not below top depth. ","")&amp;IF($H62="","Say which bulk-density basis the lab reported, or the coarse-fragment correction cannot be applied safely. ","")&amp;IF(AND($I62&lt;&gt;"",OR($I62&lt;QC_BD_MIN,$I62&gt;QC_BD_MAX)),"Bulk density outside "&amp;QC_BD_MIN&amp;"–"&amp;QC_BD_MAX&amp;" g/cm³. ","")&amp;IF(AND($L62&lt;&gt;"",$L62&gt;QC_CARBON_PCT_MAX),"Carbon above "&amp;QC_CARBON_PCT_MAX&amp;"% — check units; this may be organic matter rather than carbon. ","")&amp;IF(AND($J62&lt;&gt;"",$K62&lt;&gt;""),"Both LOI and measured carbon given — the measured value is used. ","")&amp;IF(AND($N62&lt;&gt;"",$N62=0),"Slice lies entirely below the reporting depth — it counts to the full-core stock only. ",""))</f>
        <v/>
      </c>
      <c r="R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 t="str">
        <f aca="false">IF(OR($D63="",$E63=""),"",$E63-$D63)</f>
        <v/>
      </c>
      <c r="G63" s="13"/>
      <c r="H63" s="13"/>
      <c r="I63" s="15"/>
      <c r="J63" s="15"/>
      <c r="K63" s="15"/>
      <c r="L63" s="14" t="str">
        <f aca="false">IF($K63&lt;&gt;"",$K63,IF($J63&lt;&gt;"",$J63*CARBON_FRACTION_OM,""))</f>
        <v/>
      </c>
      <c r="M63" s="14" t="n">
        <f aca="false">IF($H63="Fine earth / fine-earth volume",1-IF($G63="",0,$G63)/100,1)</f>
        <v>1</v>
      </c>
      <c r="N63" s="14" t="str">
        <f aca="false">IF(OR($D63="",$E63=""),"",MAX(0,MIN($E63,REPORTING_DEPTH_CM)-MIN($D63,REPORTING_DEPTH_CM)))</f>
        <v/>
      </c>
      <c r="O63" s="14" t="str">
        <f aca="false">IF(OR($I63="",$L63="",$N63=""),"",$I63*($L63/100)*$N63*$M63*10)</f>
        <v/>
      </c>
      <c r="P63" s="14" t="str">
        <f aca="false">IF(OR($I63="",$L63="",$F63=""),"",$I63*($L63/100)*$F63*$M63*10)</f>
        <v/>
      </c>
      <c r="Q63" s="14" t="str">
        <f aca="false">IF(AND($A63="",$B63="",$D63=""),"",IF(AND($B63&lt;&gt;"",COUNTIF('2. Core Log'!$A$5:$A$124,$B63)=0),"Core ID not in Core Log. ","")&amp;IF(AND($A63&lt;&gt;"",COUNTIF('1. Plot &amp; Site Log'!$A$5:$A$64,$A63)=0),"Plot ID not in Plot &amp; Site Log. ","")&amp;IF(AND($D63&lt;&gt;"",$E63&lt;&gt;"",$E63&lt;=$D63),"Bottom depth is not below top depth. ","")&amp;IF($H63="","Say which bulk-density basis the lab reported, or the coarse-fragment correction cannot be applied safely. ","")&amp;IF(AND($I63&lt;&gt;"",OR($I63&lt;QC_BD_MIN,$I63&gt;QC_BD_MAX)),"Bulk density outside "&amp;QC_BD_MIN&amp;"–"&amp;QC_BD_MAX&amp;" g/cm³. ","")&amp;IF(AND($L63&lt;&gt;"",$L63&gt;QC_CARBON_PCT_MAX),"Carbon above "&amp;QC_CARBON_PCT_MAX&amp;"% — check units; this may be organic matter rather than carbon. ","")&amp;IF(AND($J63&lt;&gt;"",$K63&lt;&gt;""),"Both LOI and measured carbon given — the measured value is used. ","")&amp;IF(AND($N63&lt;&gt;"",$N63=0),"Slice lies entirely below the reporting depth — it counts to the full-core stock only. ",""))</f>
        <v/>
      </c>
      <c r="R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 t="str">
        <f aca="false">IF(OR($D64="",$E64=""),"",$E64-$D64)</f>
        <v/>
      </c>
      <c r="G64" s="13"/>
      <c r="H64" s="13"/>
      <c r="I64" s="15"/>
      <c r="J64" s="15"/>
      <c r="K64" s="15"/>
      <c r="L64" s="14" t="str">
        <f aca="false">IF($K64&lt;&gt;"",$K64,IF($J64&lt;&gt;"",$J64*CARBON_FRACTION_OM,""))</f>
        <v/>
      </c>
      <c r="M64" s="14" t="n">
        <f aca="false">IF($H64="Fine earth / fine-earth volume",1-IF($G64="",0,$G64)/100,1)</f>
        <v>1</v>
      </c>
      <c r="N64" s="14" t="str">
        <f aca="false">IF(OR($D64="",$E64=""),"",MAX(0,MIN($E64,REPORTING_DEPTH_CM)-MIN($D64,REPORTING_DEPTH_CM)))</f>
        <v/>
      </c>
      <c r="O64" s="14" t="str">
        <f aca="false">IF(OR($I64="",$L64="",$N64=""),"",$I64*($L64/100)*$N64*$M64*10)</f>
        <v/>
      </c>
      <c r="P64" s="14" t="str">
        <f aca="false">IF(OR($I64="",$L64="",$F64=""),"",$I64*($L64/100)*$F64*$M64*10)</f>
        <v/>
      </c>
      <c r="Q64" s="14" t="str">
        <f aca="false">IF(AND($A64="",$B64="",$D64=""),"",IF(AND($B64&lt;&gt;"",COUNTIF('2. Core Log'!$A$5:$A$124,$B64)=0),"Core ID not in Core Log. ","")&amp;IF(AND($A64&lt;&gt;"",COUNTIF('1. Plot &amp; Site Log'!$A$5:$A$64,$A64)=0),"Plot ID not in Plot &amp; Site Log. ","")&amp;IF(AND($D64&lt;&gt;"",$E64&lt;&gt;"",$E64&lt;=$D64),"Bottom depth is not below top depth. ","")&amp;IF($H64="","Say which bulk-density basis the lab reported, or the coarse-fragment correction cannot be applied safely. ","")&amp;IF(AND($I64&lt;&gt;"",OR($I64&lt;QC_BD_MIN,$I64&gt;QC_BD_MAX)),"Bulk density outside "&amp;QC_BD_MIN&amp;"–"&amp;QC_BD_MAX&amp;" g/cm³. ","")&amp;IF(AND($L64&lt;&gt;"",$L64&gt;QC_CARBON_PCT_MAX),"Carbon above "&amp;QC_CARBON_PCT_MAX&amp;"% — check units; this may be organic matter rather than carbon. ","")&amp;IF(AND($J64&lt;&gt;"",$K64&lt;&gt;""),"Both LOI and measured carbon given — the measured value is used. ","")&amp;IF(AND($N64&lt;&gt;"",$N64=0),"Slice lies entirely below the reporting depth — it counts to the full-core stock only. ",""))</f>
        <v/>
      </c>
      <c r="R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 t="str">
        <f aca="false">IF(OR($D65="",$E65=""),"",$E65-$D65)</f>
        <v/>
      </c>
      <c r="G65" s="13"/>
      <c r="H65" s="13"/>
      <c r="I65" s="15"/>
      <c r="J65" s="15"/>
      <c r="K65" s="15"/>
      <c r="L65" s="14" t="str">
        <f aca="false">IF($K65&lt;&gt;"",$K65,IF($J65&lt;&gt;"",$J65*CARBON_FRACTION_OM,""))</f>
        <v/>
      </c>
      <c r="M65" s="14" t="n">
        <f aca="false">IF($H65="Fine earth / fine-earth volume",1-IF($G65="",0,$G65)/100,1)</f>
        <v>1</v>
      </c>
      <c r="N65" s="14" t="str">
        <f aca="false">IF(OR($D65="",$E65=""),"",MAX(0,MIN($E65,REPORTING_DEPTH_CM)-MIN($D65,REPORTING_DEPTH_CM)))</f>
        <v/>
      </c>
      <c r="O65" s="14" t="str">
        <f aca="false">IF(OR($I65="",$L65="",$N65=""),"",$I65*($L65/100)*$N65*$M65*10)</f>
        <v/>
      </c>
      <c r="P65" s="14" t="str">
        <f aca="false">IF(OR($I65="",$L65="",$F65=""),"",$I65*($L65/100)*$F65*$M65*10)</f>
        <v/>
      </c>
      <c r="Q65" s="14" t="str">
        <f aca="false">IF(AND($A65="",$B65="",$D65=""),"",IF(AND($B65&lt;&gt;"",COUNTIF('2. Core Log'!$A$5:$A$124,$B65)=0),"Core ID not in Core Log. ","")&amp;IF(AND($A65&lt;&gt;"",COUNTIF('1. Plot &amp; Site Log'!$A$5:$A$64,$A65)=0),"Plot ID not in Plot &amp; Site Log. ","")&amp;IF(AND($D65&lt;&gt;"",$E65&lt;&gt;"",$E65&lt;=$D65),"Bottom depth is not below top depth. ","")&amp;IF($H65="","Say which bulk-density basis the lab reported, or the coarse-fragment correction cannot be applied safely. ","")&amp;IF(AND($I65&lt;&gt;"",OR($I65&lt;QC_BD_MIN,$I65&gt;QC_BD_MAX)),"Bulk density outside "&amp;QC_BD_MIN&amp;"–"&amp;QC_BD_MAX&amp;" g/cm³. ","")&amp;IF(AND($L65&lt;&gt;"",$L65&gt;QC_CARBON_PCT_MAX),"Carbon above "&amp;QC_CARBON_PCT_MAX&amp;"% — check units; this may be organic matter rather than carbon. ","")&amp;IF(AND($J65&lt;&gt;"",$K65&lt;&gt;""),"Both LOI and measured carbon given — the measured value is used. ","")&amp;IF(AND($N65&lt;&gt;"",$N65=0),"Slice lies entirely below the reporting depth — it counts to the full-core stock only. ",""))</f>
        <v/>
      </c>
      <c r="R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 t="str">
        <f aca="false">IF(OR($D66="",$E66=""),"",$E66-$D66)</f>
        <v/>
      </c>
      <c r="G66" s="13"/>
      <c r="H66" s="13"/>
      <c r="I66" s="15"/>
      <c r="J66" s="15"/>
      <c r="K66" s="15"/>
      <c r="L66" s="14" t="str">
        <f aca="false">IF($K66&lt;&gt;"",$K66,IF($J66&lt;&gt;"",$J66*CARBON_FRACTION_OM,""))</f>
        <v/>
      </c>
      <c r="M66" s="14" t="n">
        <f aca="false">IF($H66="Fine earth / fine-earth volume",1-IF($G66="",0,$G66)/100,1)</f>
        <v>1</v>
      </c>
      <c r="N66" s="14" t="str">
        <f aca="false">IF(OR($D66="",$E66=""),"",MAX(0,MIN($E66,REPORTING_DEPTH_CM)-MIN($D66,REPORTING_DEPTH_CM)))</f>
        <v/>
      </c>
      <c r="O66" s="14" t="str">
        <f aca="false">IF(OR($I66="",$L66="",$N66=""),"",$I66*($L66/100)*$N66*$M66*10)</f>
        <v/>
      </c>
      <c r="P66" s="14" t="str">
        <f aca="false">IF(OR($I66="",$L66="",$F66=""),"",$I66*($L66/100)*$F66*$M66*10)</f>
        <v/>
      </c>
      <c r="Q66" s="14" t="str">
        <f aca="false">IF(AND($A66="",$B66="",$D66=""),"",IF(AND($B66&lt;&gt;"",COUNTIF('2. Core Log'!$A$5:$A$124,$B66)=0),"Core ID not in Core Log. ","")&amp;IF(AND($A66&lt;&gt;"",COUNTIF('1. Plot &amp; Site Log'!$A$5:$A$64,$A66)=0),"Plot ID not in Plot &amp; Site Log. ","")&amp;IF(AND($D66&lt;&gt;"",$E66&lt;&gt;"",$E66&lt;=$D66),"Bottom depth is not below top depth. ","")&amp;IF($H66="","Say which bulk-density basis the lab reported, or the coarse-fragment correction cannot be applied safely. ","")&amp;IF(AND($I66&lt;&gt;"",OR($I66&lt;QC_BD_MIN,$I66&gt;QC_BD_MAX)),"Bulk density outside "&amp;QC_BD_MIN&amp;"–"&amp;QC_BD_MAX&amp;" g/cm³. ","")&amp;IF(AND($L66&lt;&gt;"",$L66&gt;QC_CARBON_PCT_MAX),"Carbon above "&amp;QC_CARBON_PCT_MAX&amp;"% — check units; this may be organic matter rather than carbon. ","")&amp;IF(AND($J66&lt;&gt;"",$K66&lt;&gt;""),"Both LOI and measured carbon given — the measured value is used. ","")&amp;IF(AND($N66&lt;&gt;"",$N66=0),"Slice lies entirely below the reporting depth — it counts to the full-core stock only. ",""))</f>
        <v/>
      </c>
      <c r="R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 t="str">
        <f aca="false">IF(OR($D67="",$E67=""),"",$E67-$D67)</f>
        <v/>
      </c>
      <c r="G67" s="13"/>
      <c r="H67" s="13"/>
      <c r="I67" s="15"/>
      <c r="J67" s="15"/>
      <c r="K67" s="15"/>
      <c r="L67" s="14" t="str">
        <f aca="false">IF($K67&lt;&gt;"",$K67,IF($J67&lt;&gt;"",$J67*CARBON_FRACTION_OM,""))</f>
        <v/>
      </c>
      <c r="M67" s="14" t="n">
        <f aca="false">IF($H67="Fine earth / fine-earth volume",1-IF($G67="",0,$G67)/100,1)</f>
        <v>1</v>
      </c>
      <c r="N67" s="14" t="str">
        <f aca="false">IF(OR($D67="",$E67=""),"",MAX(0,MIN($E67,REPORTING_DEPTH_CM)-MIN($D67,REPORTING_DEPTH_CM)))</f>
        <v/>
      </c>
      <c r="O67" s="14" t="str">
        <f aca="false">IF(OR($I67="",$L67="",$N67=""),"",$I67*($L67/100)*$N67*$M67*10)</f>
        <v/>
      </c>
      <c r="P67" s="14" t="str">
        <f aca="false">IF(OR($I67="",$L67="",$F67=""),"",$I67*($L67/100)*$F67*$M67*10)</f>
        <v/>
      </c>
      <c r="Q67" s="14" t="str">
        <f aca="false">IF(AND($A67="",$B67="",$D67=""),"",IF(AND($B67&lt;&gt;"",COUNTIF('2. Core Log'!$A$5:$A$124,$B67)=0),"Core ID not in Core Log. ","")&amp;IF(AND($A67&lt;&gt;"",COUNTIF('1. Plot &amp; Site Log'!$A$5:$A$64,$A67)=0),"Plot ID not in Plot &amp; Site Log. ","")&amp;IF(AND($D67&lt;&gt;"",$E67&lt;&gt;"",$E67&lt;=$D67),"Bottom depth is not below top depth. ","")&amp;IF($H67="","Say which bulk-density basis the lab reported, or the coarse-fragment correction cannot be applied safely. ","")&amp;IF(AND($I67&lt;&gt;"",OR($I67&lt;QC_BD_MIN,$I67&gt;QC_BD_MAX)),"Bulk density outside "&amp;QC_BD_MIN&amp;"–"&amp;QC_BD_MAX&amp;" g/cm³. ","")&amp;IF(AND($L67&lt;&gt;"",$L67&gt;QC_CARBON_PCT_MAX),"Carbon above "&amp;QC_CARBON_PCT_MAX&amp;"% — check units; this may be organic matter rather than carbon. ","")&amp;IF(AND($J67&lt;&gt;"",$K67&lt;&gt;""),"Both LOI and measured carbon given — the measured value is used. ","")&amp;IF(AND($N67&lt;&gt;"",$N67=0),"Slice lies entirely below the reporting depth — it counts to the full-core stock only. ",""))</f>
        <v/>
      </c>
      <c r="R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 t="str">
        <f aca="false">IF(OR($D68="",$E68=""),"",$E68-$D68)</f>
        <v/>
      </c>
      <c r="G68" s="13"/>
      <c r="H68" s="13"/>
      <c r="I68" s="15"/>
      <c r="J68" s="15"/>
      <c r="K68" s="15"/>
      <c r="L68" s="14" t="str">
        <f aca="false">IF($K68&lt;&gt;"",$K68,IF($J68&lt;&gt;"",$J68*CARBON_FRACTION_OM,""))</f>
        <v/>
      </c>
      <c r="M68" s="14" t="n">
        <f aca="false">IF($H68="Fine earth / fine-earth volume",1-IF($G68="",0,$G68)/100,1)</f>
        <v>1</v>
      </c>
      <c r="N68" s="14" t="str">
        <f aca="false">IF(OR($D68="",$E68=""),"",MAX(0,MIN($E68,REPORTING_DEPTH_CM)-MIN($D68,REPORTING_DEPTH_CM)))</f>
        <v/>
      </c>
      <c r="O68" s="14" t="str">
        <f aca="false">IF(OR($I68="",$L68="",$N68=""),"",$I68*($L68/100)*$N68*$M68*10)</f>
        <v/>
      </c>
      <c r="P68" s="14" t="str">
        <f aca="false">IF(OR($I68="",$L68="",$F68=""),"",$I68*($L68/100)*$F68*$M68*10)</f>
        <v/>
      </c>
      <c r="Q68" s="14" t="str">
        <f aca="false">IF(AND($A68="",$B68="",$D68=""),"",IF(AND($B68&lt;&gt;"",COUNTIF('2. Core Log'!$A$5:$A$124,$B68)=0),"Core ID not in Core Log. ","")&amp;IF(AND($A68&lt;&gt;"",COUNTIF('1. Plot &amp; Site Log'!$A$5:$A$64,$A68)=0),"Plot ID not in Plot &amp; Site Log. ","")&amp;IF(AND($D68&lt;&gt;"",$E68&lt;&gt;"",$E68&lt;=$D68),"Bottom depth is not below top depth. ","")&amp;IF($H68="","Say which bulk-density basis the lab reported, or the coarse-fragment correction cannot be applied safely. ","")&amp;IF(AND($I68&lt;&gt;"",OR($I68&lt;QC_BD_MIN,$I68&gt;QC_BD_MAX)),"Bulk density outside "&amp;QC_BD_MIN&amp;"–"&amp;QC_BD_MAX&amp;" g/cm³. ","")&amp;IF(AND($L68&lt;&gt;"",$L68&gt;QC_CARBON_PCT_MAX),"Carbon above "&amp;QC_CARBON_PCT_MAX&amp;"% — check units; this may be organic matter rather than carbon. ","")&amp;IF(AND($J68&lt;&gt;"",$K68&lt;&gt;""),"Both LOI and measured carbon given — the measured value is used. ","")&amp;IF(AND($N68&lt;&gt;"",$N68=0),"Slice lies entirely below the reporting depth — it counts to the full-core stock only. ",""))</f>
        <v/>
      </c>
      <c r="R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 t="str">
        <f aca="false">IF(OR($D69="",$E69=""),"",$E69-$D69)</f>
        <v/>
      </c>
      <c r="G69" s="13"/>
      <c r="H69" s="13"/>
      <c r="I69" s="15"/>
      <c r="J69" s="15"/>
      <c r="K69" s="15"/>
      <c r="L69" s="14" t="str">
        <f aca="false">IF($K69&lt;&gt;"",$K69,IF($J69&lt;&gt;"",$J69*CARBON_FRACTION_OM,""))</f>
        <v/>
      </c>
      <c r="M69" s="14" t="n">
        <f aca="false">IF($H69="Fine earth / fine-earth volume",1-IF($G69="",0,$G69)/100,1)</f>
        <v>1</v>
      </c>
      <c r="N69" s="14" t="str">
        <f aca="false">IF(OR($D69="",$E69=""),"",MAX(0,MIN($E69,REPORTING_DEPTH_CM)-MIN($D69,REPORTING_DEPTH_CM)))</f>
        <v/>
      </c>
      <c r="O69" s="14" t="str">
        <f aca="false">IF(OR($I69="",$L69="",$N69=""),"",$I69*($L69/100)*$N69*$M69*10)</f>
        <v/>
      </c>
      <c r="P69" s="14" t="str">
        <f aca="false">IF(OR($I69="",$L69="",$F69=""),"",$I69*($L69/100)*$F69*$M69*10)</f>
        <v/>
      </c>
      <c r="Q69" s="14" t="str">
        <f aca="false">IF(AND($A69="",$B69="",$D69=""),"",IF(AND($B69&lt;&gt;"",COUNTIF('2. Core Log'!$A$5:$A$124,$B69)=0),"Core ID not in Core Log. ","")&amp;IF(AND($A69&lt;&gt;"",COUNTIF('1. Plot &amp; Site Log'!$A$5:$A$64,$A69)=0),"Plot ID not in Plot &amp; Site Log. ","")&amp;IF(AND($D69&lt;&gt;"",$E69&lt;&gt;"",$E69&lt;=$D69),"Bottom depth is not below top depth. ","")&amp;IF($H69="","Say which bulk-density basis the lab reported, or the coarse-fragment correction cannot be applied safely. ","")&amp;IF(AND($I69&lt;&gt;"",OR($I69&lt;QC_BD_MIN,$I69&gt;QC_BD_MAX)),"Bulk density outside "&amp;QC_BD_MIN&amp;"–"&amp;QC_BD_MAX&amp;" g/cm³. ","")&amp;IF(AND($L69&lt;&gt;"",$L69&gt;QC_CARBON_PCT_MAX),"Carbon above "&amp;QC_CARBON_PCT_MAX&amp;"% — check units; this may be organic matter rather than carbon. ","")&amp;IF(AND($J69&lt;&gt;"",$K69&lt;&gt;""),"Both LOI and measured carbon given — the measured value is used. ","")&amp;IF(AND($N69&lt;&gt;"",$N69=0),"Slice lies entirely below the reporting depth — it counts to the full-core stock only. ",""))</f>
        <v/>
      </c>
      <c r="R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 t="str">
        <f aca="false">IF(OR($D70="",$E70=""),"",$E70-$D70)</f>
        <v/>
      </c>
      <c r="G70" s="13"/>
      <c r="H70" s="13"/>
      <c r="I70" s="15"/>
      <c r="J70" s="15"/>
      <c r="K70" s="15"/>
      <c r="L70" s="14" t="str">
        <f aca="false">IF($K70&lt;&gt;"",$K70,IF($J70&lt;&gt;"",$J70*CARBON_FRACTION_OM,""))</f>
        <v/>
      </c>
      <c r="M70" s="14" t="n">
        <f aca="false">IF($H70="Fine earth / fine-earth volume",1-IF($G70="",0,$G70)/100,1)</f>
        <v>1</v>
      </c>
      <c r="N70" s="14" t="str">
        <f aca="false">IF(OR($D70="",$E70=""),"",MAX(0,MIN($E70,REPORTING_DEPTH_CM)-MIN($D70,REPORTING_DEPTH_CM)))</f>
        <v/>
      </c>
      <c r="O70" s="14" t="str">
        <f aca="false">IF(OR($I70="",$L70="",$N70=""),"",$I70*($L70/100)*$N70*$M70*10)</f>
        <v/>
      </c>
      <c r="P70" s="14" t="str">
        <f aca="false">IF(OR($I70="",$L70="",$F70=""),"",$I70*($L70/100)*$F70*$M70*10)</f>
        <v/>
      </c>
      <c r="Q70" s="14" t="str">
        <f aca="false">IF(AND($A70="",$B70="",$D70=""),"",IF(AND($B70&lt;&gt;"",COUNTIF('2. Core Log'!$A$5:$A$124,$B70)=0),"Core ID not in Core Log. ","")&amp;IF(AND($A70&lt;&gt;"",COUNTIF('1. Plot &amp; Site Log'!$A$5:$A$64,$A70)=0),"Plot ID not in Plot &amp; Site Log. ","")&amp;IF(AND($D70&lt;&gt;"",$E70&lt;&gt;"",$E70&lt;=$D70),"Bottom depth is not below top depth. ","")&amp;IF($H70="","Say which bulk-density basis the lab reported, or the coarse-fragment correction cannot be applied safely. ","")&amp;IF(AND($I70&lt;&gt;"",OR($I70&lt;QC_BD_MIN,$I70&gt;QC_BD_MAX)),"Bulk density outside "&amp;QC_BD_MIN&amp;"–"&amp;QC_BD_MAX&amp;" g/cm³. ","")&amp;IF(AND($L70&lt;&gt;"",$L70&gt;QC_CARBON_PCT_MAX),"Carbon above "&amp;QC_CARBON_PCT_MAX&amp;"% — check units; this may be organic matter rather than carbon. ","")&amp;IF(AND($J70&lt;&gt;"",$K70&lt;&gt;""),"Both LOI and measured carbon given — the measured value is used. ","")&amp;IF(AND($N70&lt;&gt;"",$N70=0),"Slice lies entirely below the reporting depth — it counts to the full-core stock only. ",""))</f>
        <v/>
      </c>
      <c r="R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 t="str">
        <f aca="false">IF(OR($D71="",$E71=""),"",$E71-$D71)</f>
        <v/>
      </c>
      <c r="G71" s="13"/>
      <c r="H71" s="13"/>
      <c r="I71" s="15"/>
      <c r="J71" s="15"/>
      <c r="K71" s="15"/>
      <c r="L71" s="14" t="str">
        <f aca="false">IF($K71&lt;&gt;"",$K71,IF($J71&lt;&gt;"",$J71*CARBON_FRACTION_OM,""))</f>
        <v/>
      </c>
      <c r="M71" s="14" t="n">
        <f aca="false">IF($H71="Fine earth / fine-earth volume",1-IF($G71="",0,$G71)/100,1)</f>
        <v>1</v>
      </c>
      <c r="N71" s="14" t="str">
        <f aca="false">IF(OR($D71="",$E71=""),"",MAX(0,MIN($E71,REPORTING_DEPTH_CM)-MIN($D71,REPORTING_DEPTH_CM)))</f>
        <v/>
      </c>
      <c r="O71" s="14" t="str">
        <f aca="false">IF(OR($I71="",$L71="",$N71=""),"",$I71*($L71/100)*$N71*$M71*10)</f>
        <v/>
      </c>
      <c r="P71" s="14" t="str">
        <f aca="false">IF(OR($I71="",$L71="",$F71=""),"",$I71*($L71/100)*$F71*$M71*10)</f>
        <v/>
      </c>
      <c r="Q71" s="14" t="str">
        <f aca="false">IF(AND($A71="",$B71="",$D71=""),"",IF(AND($B71&lt;&gt;"",COUNTIF('2. Core Log'!$A$5:$A$124,$B71)=0),"Core ID not in Core Log. ","")&amp;IF(AND($A71&lt;&gt;"",COUNTIF('1. Plot &amp; Site Log'!$A$5:$A$64,$A71)=0),"Plot ID not in Plot &amp; Site Log. ","")&amp;IF(AND($D71&lt;&gt;"",$E71&lt;&gt;"",$E71&lt;=$D71),"Bottom depth is not below top depth. ","")&amp;IF($H71="","Say which bulk-density basis the lab reported, or the coarse-fragment correction cannot be applied safely. ","")&amp;IF(AND($I71&lt;&gt;"",OR($I71&lt;QC_BD_MIN,$I71&gt;QC_BD_MAX)),"Bulk density outside "&amp;QC_BD_MIN&amp;"–"&amp;QC_BD_MAX&amp;" g/cm³. ","")&amp;IF(AND($L71&lt;&gt;"",$L71&gt;QC_CARBON_PCT_MAX),"Carbon above "&amp;QC_CARBON_PCT_MAX&amp;"% — check units; this may be organic matter rather than carbon. ","")&amp;IF(AND($J71&lt;&gt;"",$K71&lt;&gt;""),"Both LOI and measured carbon given — the measured value is used. ","")&amp;IF(AND($N71&lt;&gt;"",$N71=0),"Slice lies entirely below the reporting depth — it counts to the full-core stock only. ",""))</f>
        <v/>
      </c>
      <c r="R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 t="str">
        <f aca="false">IF(OR($D72="",$E72=""),"",$E72-$D72)</f>
        <v/>
      </c>
      <c r="G72" s="13"/>
      <c r="H72" s="13"/>
      <c r="I72" s="15"/>
      <c r="J72" s="15"/>
      <c r="K72" s="15"/>
      <c r="L72" s="14" t="str">
        <f aca="false">IF($K72&lt;&gt;"",$K72,IF($J72&lt;&gt;"",$J72*CARBON_FRACTION_OM,""))</f>
        <v/>
      </c>
      <c r="M72" s="14" t="n">
        <f aca="false">IF($H72="Fine earth / fine-earth volume",1-IF($G72="",0,$G72)/100,1)</f>
        <v>1</v>
      </c>
      <c r="N72" s="14" t="str">
        <f aca="false">IF(OR($D72="",$E72=""),"",MAX(0,MIN($E72,REPORTING_DEPTH_CM)-MIN($D72,REPORTING_DEPTH_CM)))</f>
        <v/>
      </c>
      <c r="O72" s="14" t="str">
        <f aca="false">IF(OR($I72="",$L72="",$N72=""),"",$I72*($L72/100)*$N72*$M72*10)</f>
        <v/>
      </c>
      <c r="P72" s="14" t="str">
        <f aca="false">IF(OR($I72="",$L72="",$F72=""),"",$I72*($L72/100)*$F72*$M72*10)</f>
        <v/>
      </c>
      <c r="Q72" s="14" t="str">
        <f aca="false">IF(AND($A72="",$B72="",$D72=""),"",IF(AND($B72&lt;&gt;"",COUNTIF('2. Core Log'!$A$5:$A$124,$B72)=0),"Core ID not in Core Log. ","")&amp;IF(AND($A72&lt;&gt;"",COUNTIF('1. Plot &amp; Site Log'!$A$5:$A$64,$A72)=0),"Plot ID not in Plot &amp; Site Log. ","")&amp;IF(AND($D72&lt;&gt;"",$E72&lt;&gt;"",$E72&lt;=$D72),"Bottom depth is not below top depth. ","")&amp;IF($H72="","Say which bulk-density basis the lab reported, or the coarse-fragment correction cannot be applied safely. ","")&amp;IF(AND($I72&lt;&gt;"",OR($I72&lt;QC_BD_MIN,$I72&gt;QC_BD_MAX)),"Bulk density outside "&amp;QC_BD_MIN&amp;"–"&amp;QC_BD_MAX&amp;" g/cm³. ","")&amp;IF(AND($L72&lt;&gt;"",$L72&gt;QC_CARBON_PCT_MAX),"Carbon above "&amp;QC_CARBON_PCT_MAX&amp;"% — check units; this may be organic matter rather than carbon. ","")&amp;IF(AND($J72&lt;&gt;"",$K72&lt;&gt;""),"Both LOI and measured carbon given — the measured value is used. ","")&amp;IF(AND($N72&lt;&gt;"",$N72=0),"Slice lies entirely below the reporting depth — it counts to the full-core stock only. ",""))</f>
        <v/>
      </c>
      <c r="R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 t="str">
        <f aca="false">IF(OR($D73="",$E73=""),"",$E73-$D73)</f>
        <v/>
      </c>
      <c r="G73" s="13"/>
      <c r="H73" s="13"/>
      <c r="I73" s="15"/>
      <c r="J73" s="15"/>
      <c r="K73" s="15"/>
      <c r="L73" s="14" t="str">
        <f aca="false">IF($K73&lt;&gt;"",$K73,IF($J73&lt;&gt;"",$J73*CARBON_FRACTION_OM,""))</f>
        <v/>
      </c>
      <c r="M73" s="14" t="n">
        <f aca="false">IF($H73="Fine earth / fine-earth volume",1-IF($G73="",0,$G73)/100,1)</f>
        <v>1</v>
      </c>
      <c r="N73" s="14" t="str">
        <f aca="false">IF(OR($D73="",$E73=""),"",MAX(0,MIN($E73,REPORTING_DEPTH_CM)-MIN($D73,REPORTING_DEPTH_CM)))</f>
        <v/>
      </c>
      <c r="O73" s="14" t="str">
        <f aca="false">IF(OR($I73="",$L73="",$N73=""),"",$I73*($L73/100)*$N73*$M73*10)</f>
        <v/>
      </c>
      <c r="P73" s="14" t="str">
        <f aca="false">IF(OR($I73="",$L73="",$F73=""),"",$I73*($L73/100)*$F73*$M73*10)</f>
        <v/>
      </c>
      <c r="Q73" s="14" t="str">
        <f aca="false">IF(AND($A73="",$B73="",$D73=""),"",IF(AND($B73&lt;&gt;"",COUNTIF('2. Core Log'!$A$5:$A$124,$B73)=0),"Core ID not in Core Log. ","")&amp;IF(AND($A73&lt;&gt;"",COUNTIF('1. Plot &amp; Site Log'!$A$5:$A$64,$A73)=0),"Plot ID not in Plot &amp; Site Log. ","")&amp;IF(AND($D73&lt;&gt;"",$E73&lt;&gt;"",$E73&lt;=$D73),"Bottom depth is not below top depth. ","")&amp;IF($H73="","Say which bulk-density basis the lab reported, or the coarse-fragment correction cannot be applied safely. ","")&amp;IF(AND($I73&lt;&gt;"",OR($I73&lt;QC_BD_MIN,$I73&gt;QC_BD_MAX)),"Bulk density outside "&amp;QC_BD_MIN&amp;"–"&amp;QC_BD_MAX&amp;" g/cm³. ","")&amp;IF(AND($L73&lt;&gt;"",$L73&gt;QC_CARBON_PCT_MAX),"Carbon above "&amp;QC_CARBON_PCT_MAX&amp;"% — check units; this may be organic matter rather than carbon. ","")&amp;IF(AND($J73&lt;&gt;"",$K73&lt;&gt;""),"Both LOI and measured carbon given — the measured value is used. ","")&amp;IF(AND($N73&lt;&gt;"",$N73=0),"Slice lies entirely below the reporting depth — it counts to the full-core stock only. ",""))</f>
        <v/>
      </c>
      <c r="R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 t="str">
        <f aca="false">IF(OR($D74="",$E74=""),"",$E74-$D74)</f>
        <v/>
      </c>
      <c r="G74" s="13"/>
      <c r="H74" s="13"/>
      <c r="I74" s="15"/>
      <c r="J74" s="15"/>
      <c r="K74" s="15"/>
      <c r="L74" s="14" t="str">
        <f aca="false">IF($K74&lt;&gt;"",$K74,IF($J74&lt;&gt;"",$J74*CARBON_FRACTION_OM,""))</f>
        <v/>
      </c>
      <c r="M74" s="14" t="n">
        <f aca="false">IF($H74="Fine earth / fine-earth volume",1-IF($G74="",0,$G74)/100,1)</f>
        <v>1</v>
      </c>
      <c r="N74" s="14" t="str">
        <f aca="false">IF(OR($D74="",$E74=""),"",MAX(0,MIN($E74,REPORTING_DEPTH_CM)-MIN($D74,REPORTING_DEPTH_CM)))</f>
        <v/>
      </c>
      <c r="O74" s="14" t="str">
        <f aca="false">IF(OR($I74="",$L74="",$N74=""),"",$I74*($L74/100)*$N74*$M74*10)</f>
        <v/>
      </c>
      <c r="P74" s="14" t="str">
        <f aca="false">IF(OR($I74="",$L74="",$F74=""),"",$I74*($L74/100)*$F74*$M74*10)</f>
        <v/>
      </c>
      <c r="Q74" s="14" t="str">
        <f aca="false">IF(AND($A74="",$B74="",$D74=""),"",IF(AND($B74&lt;&gt;"",COUNTIF('2. Core Log'!$A$5:$A$124,$B74)=0),"Core ID not in Core Log. ","")&amp;IF(AND($A74&lt;&gt;"",COUNTIF('1. Plot &amp; Site Log'!$A$5:$A$64,$A74)=0),"Plot ID not in Plot &amp; Site Log. ","")&amp;IF(AND($D74&lt;&gt;"",$E74&lt;&gt;"",$E74&lt;=$D74),"Bottom depth is not below top depth. ","")&amp;IF($H74="","Say which bulk-density basis the lab reported, or the coarse-fragment correction cannot be applied safely. ","")&amp;IF(AND($I74&lt;&gt;"",OR($I74&lt;QC_BD_MIN,$I74&gt;QC_BD_MAX)),"Bulk density outside "&amp;QC_BD_MIN&amp;"–"&amp;QC_BD_MAX&amp;" g/cm³. ","")&amp;IF(AND($L74&lt;&gt;"",$L74&gt;QC_CARBON_PCT_MAX),"Carbon above "&amp;QC_CARBON_PCT_MAX&amp;"% — check units; this may be organic matter rather than carbon. ","")&amp;IF(AND($J74&lt;&gt;"",$K74&lt;&gt;""),"Both LOI and measured carbon given — the measured value is used. ","")&amp;IF(AND($N74&lt;&gt;"",$N74=0),"Slice lies entirely below the reporting depth — it counts to the full-core stock only. ",""))</f>
        <v/>
      </c>
      <c r="R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 t="str">
        <f aca="false">IF(OR($D75="",$E75=""),"",$E75-$D75)</f>
        <v/>
      </c>
      <c r="G75" s="13"/>
      <c r="H75" s="13"/>
      <c r="I75" s="15"/>
      <c r="J75" s="15"/>
      <c r="K75" s="15"/>
      <c r="L75" s="14" t="str">
        <f aca="false">IF($K75&lt;&gt;"",$K75,IF($J75&lt;&gt;"",$J75*CARBON_FRACTION_OM,""))</f>
        <v/>
      </c>
      <c r="M75" s="14" t="n">
        <f aca="false">IF($H75="Fine earth / fine-earth volume",1-IF($G75="",0,$G75)/100,1)</f>
        <v>1</v>
      </c>
      <c r="N75" s="14" t="str">
        <f aca="false">IF(OR($D75="",$E75=""),"",MAX(0,MIN($E75,REPORTING_DEPTH_CM)-MIN($D75,REPORTING_DEPTH_CM)))</f>
        <v/>
      </c>
      <c r="O75" s="14" t="str">
        <f aca="false">IF(OR($I75="",$L75="",$N75=""),"",$I75*($L75/100)*$N75*$M75*10)</f>
        <v/>
      </c>
      <c r="P75" s="14" t="str">
        <f aca="false">IF(OR($I75="",$L75="",$F75=""),"",$I75*($L75/100)*$F75*$M75*10)</f>
        <v/>
      </c>
      <c r="Q75" s="14" t="str">
        <f aca="false">IF(AND($A75="",$B75="",$D75=""),"",IF(AND($B75&lt;&gt;"",COUNTIF('2. Core Log'!$A$5:$A$124,$B75)=0),"Core ID not in Core Log. ","")&amp;IF(AND($A75&lt;&gt;"",COUNTIF('1. Plot &amp; Site Log'!$A$5:$A$64,$A75)=0),"Plot ID not in Plot &amp; Site Log. ","")&amp;IF(AND($D75&lt;&gt;"",$E75&lt;&gt;"",$E75&lt;=$D75),"Bottom depth is not below top depth. ","")&amp;IF($H75="","Say which bulk-density basis the lab reported, or the coarse-fragment correction cannot be applied safely. ","")&amp;IF(AND($I75&lt;&gt;"",OR($I75&lt;QC_BD_MIN,$I75&gt;QC_BD_MAX)),"Bulk density outside "&amp;QC_BD_MIN&amp;"–"&amp;QC_BD_MAX&amp;" g/cm³. ","")&amp;IF(AND($L75&lt;&gt;"",$L75&gt;QC_CARBON_PCT_MAX),"Carbon above "&amp;QC_CARBON_PCT_MAX&amp;"% — check units; this may be organic matter rather than carbon. ","")&amp;IF(AND($J75&lt;&gt;"",$K75&lt;&gt;""),"Both LOI and measured carbon given — the measured value is used. ","")&amp;IF(AND($N75&lt;&gt;"",$N75=0),"Slice lies entirely below the reporting depth — it counts to the full-core stock only. ",""))</f>
        <v/>
      </c>
      <c r="R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 t="str">
        <f aca="false">IF(OR($D76="",$E76=""),"",$E76-$D76)</f>
        <v/>
      </c>
      <c r="G76" s="13"/>
      <c r="H76" s="13"/>
      <c r="I76" s="15"/>
      <c r="J76" s="15"/>
      <c r="K76" s="15"/>
      <c r="L76" s="14" t="str">
        <f aca="false">IF($K76&lt;&gt;"",$K76,IF($J76&lt;&gt;"",$J76*CARBON_FRACTION_OM,""))</f>
        <v/>
      </c>
      <c r="M76" s="14" t="n">
        <f aca="false">IF($H76="Fine earth / fine-earth volume",1-IF($G76="",0,$G76)/100,1)</f>
        <v>1</v>
      </c>
      <c r="N76" s="14" t="str">
        <f aca="false">IF(OR($D76="",$E76=""),"",MAX(0,MIN($E76,REPORTING_DEPTH_CM)-MIN($D76,REPORTING_DEPTH_CM)))</f>
        <v/>
      </c>
      <c r="O76" s="14" t="str">
        <f aca="false">IF(OR($I76="",$L76="",$N76=""),"",$I76*($L76/100)*$N76*$M76*10)</f>
        <v/>
      </c>
      <c r="P76" s="14" t="str">
        <f aca="false">IF(OR($I76="",$L76="",$F76=""),"",$I76*($L76/100)*$F76*$M76*10)</f>
        <v/>
      </c>
      <c r="Q76" s="14" t="str">
        <f aca="false">IF(AND($A76="",$B76="",$D76=""),"",IF(AND($B76&lt;&gt;"",COUNTIF('2. Core Log'!$A$5:$A$124,$B76)=0),"Core ID not in Core Log. ","")&amp;IF(AND($A76&lt;&gt;"",COUNTIF('1. Plot &amp; Site Log'!$A$5:$A$64,$A76)=0),"Plot ID not in Plot &amp; Site Log. ","")&amp;IF(AND($D76&lt;&gt;"",$E76&lt;&gt;"",$E76&lt;=$D76),"Bottom depth is not below top depth. ","")&amp;IF($H76="","Say which bulk-density basis the lab reported, or the coarse-fragment correction cannot be applied safely. ","")&amp;IF(AND($I76&lt;&gt;"",OR($I76&lt;QC_BD_MIN,$I76&gt;QC_BD_MAX)),"Bulk density outside "&amp;QC_BD_MIN&amp;"–"&amp;QC_BD_MAX&amp;" g/cm³. ","")&amp;IF(AND($L76&lt;&gt;"",$L76&gt;QC_CARBON_PCT_MAX),"Carbon above "&amp;QC_CARBON_PCT_MAX&amp;"% — check units; this may be organic matter rather than carbon. ","")&amp;IF(AND($J76&lt;&gt;"",$K76&lt;&gt;""),"Both LOI and measured carbon given — the measured value is used. ","")&amp;IF(AND($N76&lt;&gt;"",$N76=0),"Slice lies entirely below the reporting depth — it counts to the full-core stock only. ",""))</f>
        <v/>
      </c>
      <c r="R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 t="str">
        <f aca="false">IF(OR($D77="",$E77=""),"",$E77-$D77)</f>
        <v/>
      </c>
      <c r="G77" s="13"/>
      <c r="H77" s="13"/>
      <c r="I77" s="15"/>
      <c r="J77" s="15"/>
      <c r="K77" s="15"/>
      <c r="L77" s="14" t="str">
        <f aca="false">IF($K77&lt;&gt;"",$K77,IF($J77&lt;&gt;"",$J77*CARBON_FRACTION_OM,""))</f>
        <v/>
      </c>
      <c r="M77" s="14" t="n">
        <f aca="false">IF($H77="Fine earth / fine-earth volume",1-IF($G77="",0,$G77)/100,1)</f>
        <v>1</v>
      </c>
      <c r="N77" s="14" t="str">
        <f aca="false">IF(OR($D77="",$E77=""),"",MAX(0,MIN($E77,REPORTING_DEPTH_CM)-MIN($D77,REPORTING_DEPTH_CM)))</f>
        <v/>
      </c>
      <c r="O77" s="14" t="str">
        <f aca="false">IF(OR($I77="",$L77="",$N77=""),"",$I77*($L77/100)*$N77*$M77*10)</f>
        <v/>
      </c>
      <c r="P77" s="14" t="str">
        <f aca="false">IF(OR($I77="",$L77="",$F77=""),"",$I77*($L77/100)*$F77*$M77*10)</f>
        <v/>
      </c>
      <c r="Q77" s="14" t="str">
        <f aca="false">IF(AND($A77="",$B77="",$D77=""),"",IF(AND($B77&lt;&gt;"",COUNTIF('2. Core Log'!$A$5:$A$124,$B77)=0),"Core ID not in Core Log. ","")&amp;IF(AND($A77&lt;&gt;"",COUNTIF('1. Plot &amp; Site Log'!$A$5:$A$64,$A77)=0),"Plot ID not in Plot &amp; Site Log. ","")&amp;IF(AND($D77&lt;&gt;"",$E77&lt;&gt;"",$E77&lt;=$D77),"Bottom depth is not below top depth. ","")&amp;IF($H77="","Say which bulk-density basis the lab reported, or the coarse-fragment correction cannot be applied safely. ","")&amp;IF(AND($I77&lt;&gt;"",OR($I77&lt;QC_BD_MIN,$I77&gt;QC_BD_MAX)),"Bulk density outside "&amp;QC_BD_MIN&amp;"–"&amp;QC_BD_MAX&amp;" g/cm³. ","")&amp;IF(AND($L77&lt;&gt;"",$L77&gt;QC_CARBON_PCT_MAX),"Carbon above "&amp;QC_CARBON_PCT_MAX&amp;"% — check units; this may be organic matter rather than carbon. ","")&amp;IF(AND($J77&lt;&gt;"",$K77&lt;&gt;""),"Both LOI and measured carbon given — the measured value is used. ","")&amp;IF(AND($N77&lt;&gt;"",$N77=0),"Slice lies entirely below the reporting depth — it counts to the full-core stock only. ",""))</f>
        <v/>
      </c>
      <c r="R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 t="str">
        <f aca="false">IF(OR($D78="",$E78=""),"",$E78-$D78)</f>
        <v/>
      </c>
      <c r="G78" s="13"/>
      <c r="H78" s="13"/>
      <c r="I78" s="15"/>
      <c r="J78" s="15"/>
      <c r="K78" s="15"/>
      <c r="L78" s="14" t="str">
        <f aca="false">IF($K78&lt;&gt;"",$K78,IF($J78&lt;&gt;"",$J78*CARBON_FRACTION_OM,""))</f>
        <v/>
      </c>
      <c r="M78" s="14" t="n">
        <f aca="false">IF($H78="Fine earth / fine-earth volume",1-IF($G78="",0,$G78)/100,1)</f>
        <v>1</v>
      </c>
      <c r="N78" s="14" t="str">
        <f aca="false">IF(OR($D78="",$E78=""),"",MAX(0,MIN($E78,REPORTING_DEPTH_CM)-MIN($D78,REPORTING_DEPTH_CM)))</f>
        <v/>
      </c>
      <c r="O78" s="14" t="str">
        <f aca="false">IF(OR($I78="",$L78="",$N78=""),"",$I78*($L78/100)*$N78*$M78*10)</f>
        <v/>
      </c>
      <c r="P78" s="14" t="str">
        <f aca="false">IF(OR($I78="",$L78="",$F78=""),"",$I78*($L78/100)*$F78*$M78*10)</f>
        <v/>
      </c>
      <c r="Q78" s="14" t="str">
        <f aca="false">IF(AND($A78="",$B78="",$D78=""),"",IF(AND($B78&lt;&gt;"",COUNTIF('2. Core Log'!$A$5:$A$124,$B78)=0),"Core ID not in Core Log. ","")&amp;IF(AND($A78&lt;&gt;"",COUNTIF('1. Plot &amp; Site Log'!$A$5:$A$64,$A78)=0),"Plot ID not in Plot &amp; Site Log. ","")&amp;IF(AND($D78&lt;&gt;"",$E78&lt;&gt;"",$E78&lt;=$D78),"Bottom depth is not below top depth. ","")&amp;IF($H78="","Say which bulk-density basis the lab reported, or the coarse-fragment correction cannot be applied safely. ","")&amp;IF(AND($I78&lt;&gt;"",OR($I78&lt;QC_BD_MIN,$I78&gt;QC_BD_MAX)),"Bulk density outside "&amp;QC_BD_MIN&amp;"–"&amp;QC_BD_MAX&amp;" g/cm³. ","")&amp;IF(AND($L78&lt;&gt;"",$L78&gt;QC_CARBON_PCT_MAX),"Carbon above "&amp;QC_CARBON_PCT_MAX&amp;"% — check units; this may be organic matter rather than carbon. ","")&amp;IF(AND($J78&lt;&gt;"",$K78&lt;&gt;""),"Both LOI and measured carbon given — the measured value is used. ","")&amp;IF(AND($N78&lt;&gt;"",$N78=0),"Slice lies entirely below the reporting depth — it counts to the full-core stock only. ",""))</f>
        <v/>
      </c>
      <c r="R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 t="str">
        <f aca="false">IF(OR($D79="",$E79=""),"",$E79-$D79)</f>
        <v/>
      </c>
      <c r="G79" s="13"/>
      <c r="H79" s="13"/>
      <c r="I79" s="15"/>
      <c r="J79" s="15"/>
      <c r="K79" s="15"/>
      <c r="L79" s="14" t="str">
        <f aca="false">IF($K79&lt;&gt;"",$K79,IF($J79&lt;&gt;"",$J79*CARBON_FRACTION_OM,""))</f>
        <v/>
      </c>
      <c r="M79" s="14" t="n">
        <f aca="false">IF($H79="Fine earth / fine-earth volume",1-IF($G79="",0,$G79)/100,1)</f>
        <v>1</v>
      </c>
      <c r="N79" s="14" t="str">
        <f aca="false">IF(OR($D79="",$E79=""),"",MAX(0,MIN($E79,REPORTING_DEPTH_CM)-MIN($D79,REPORTING_DEPTH_CM)))</f>
        <v/>
      </c>
      <c r="O79" s="14" t="str">
        <f aca="false">IF(OR($I79="",$L79="",$N79=""),"",$I79*($L79/100)*$N79*$M79*10)</f>
        <v/>
      </c>
      <c r="P79" s="14" t="str">
        <f aca="false">IF(OR($I79="",$L79="",$F79=""),"",$I79*($L79/100)*$F79*$M79*10)</f>
        <v/>
      </c>
      <c r="Q79" s="14" t="str">
        <f aca="false">IF(AND($A79="",$B79="",$D79=""),"",IF(AND($B79&lt;&gt;"",COUNTIF('2. Core Log'!$A$5:$A$124,$B79)=0),"Core ID not in Core Log. ","")&amp;IF(AND($A79&lt;&gt;"",COUNTIF('1. Plot &amp; Site Log'!$A$5:$A$64,$A79)=0),"Plot ID not in Plot &amp; Site Log. ","")&amp;IF(AND($D79&lt;&gt;"",$E79&lt;&gt;"",$E79&lt;=$D79),"Bottom depth is not below top depth. ","")&amp;IF($H79="","Say which bulk-density basis the lab reported, or the coarse-fragment correction cannot be applied safely. ","")&amp;IF(AND($I79&lt;&gt;"",OR($I79&lt;QC_BD_MIN,$I79&gt;QC_BD_MAX)),"Bulk density outside "&amp;QC_BD_MIN&amp;"–"&amp;QC_BD_MAX&amp;" g/cm³. ","")&amp;IF(AND($L79&lt;&gt;"",$L79&gt;QC_CARBON_PCT_MAX),"Carbon above "&amp;QC_CARBON_PCT_MAX&amp;"% — check units; this may be organic matter rather than carbon. ","")&amp;IF(AND($J79&lt;&gt;"",$K79&lt;&gt;""),"Both LOI and measured carbon given — the measured value is used. ","")&amp;IF(AND($N79&lt;&gt;"",$N79=0),"Slice lies entirely below the reporting depth — it counts to the full-core stock only. ",""))</f>
        <v/>
      </c>
      <c r="R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 t="str">
        <f aca="false">IF(OR($D80="",$E80=""),"",$E80-$D80)</f>
        <v/>
      </c>
      <c r="G80" s="13"/>
      <c r="H80" s="13"/>
      <c r="I80" s="15"/>
      <c r="J80" s="15"/>
      <c r="K80" s="15"/>
      <c r="L80" s="14" t="str">
        <f aca="false">IF($K80&lt;&gt;"",$K80,IF($J80&lt;&gt;"",$J80*CARBON_FRACTION_OM,""))</f>
        <v/>
      </c>
      <c r="M80" s="14" t="n">
        <f aca="false">IF($H80="Fine earth / fine-earth volume",1-IF($G80="",0,$G80)/100,1)</f>
        <v>1</v>
      </c>
      <c r="N80" s="14" t="str">
        <f aca="false">IF(OR($D80="",$E80=""),"",MAX(0,MIN($E80,REPORTING_DEPTH_CM)-MIN($D80,REPORTING_DEPTH_CM)))</f>
        <v/>
      </c>
      <c r="O80" s="14" t="str">
        <f aca="false">IF(OR($I80="",$L80="",$N80=""),"",$I80*($L80/100)*$N80*$M80*10)</f>
        <v/>
      </c>
      <c r="P80" s="14" t="str">
        <f aca="false">IF(OR($I80="",$L80="",$F80=""),"",$I80*($L80/100)*$F80*$M80*10)</f>
        <v/>
      </c>
      <c r="Q80" s="14" t="str">
        <f aca="false">IF(AND($A80="",$B80="",$D80=""),"",IF(AND($B80&lt;&gt;"",COUNTIF('2. Core Log'!$A$5:$A$124,$B80)=0),"Core ID not in Core Log. ","")&amp;IF(AND($A80&lt;&gt;"",COUNTIF('1. Plot &amp; Site Log'!$A$5:$A$64,$A80)=0),"Plot ID not in Plot &amp; Site Log. ","")&amp;IF(AND($D80&lt;&gt;"",$E80&lt;&gt;"",$E80&lt;=$D80),"Bottom depth is not below top depth. ","")&amp;IF($H80="","Say which bulk-density basis the lab reported, or the coarse-fragment correction cannot be applied safely. ","")&amp;IF(AND($I80&lt;&gt;"",OR($I80&lt;QC_BD_MIN,$I80&gt;QC_BD_MAX)),"Bulk density outside "&amp;QC_BD_MIN&amp;"–"&amp;QC_BD_MAX&amp;" g/cm³. ","")&amp;IF(AND($L80&lt;&gt;"",$L80&gt;QC_CARBON_PCT_MAX),"Carbon above "&amp;QC_CARBON_PCT_MAX&amp;"% — check units; this may be organic matter rather than carbon. ","")&amp;IF(AND($J80&lt;&gt;"",$K80&lt;&gt;""),"Both LOI and measured carbon given — the measured value is used. ","")&amp;IF(AND($N80&lt;&gt;"",$N80=0),"Slice lies entirely below the reporting depth — it counts to the full-core stock only. ",""))</f>
        <v/>
      </c>
      <c r="R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 t="str">
        <f aca="false">IF(OR($D81="",$E81=""),"",$E81-$D81)</f>
        <v/>
      </c>
      <c r="G81" s="13"/>
      <c r="H81" s="13"/>
      <c r="I81" s="15"/>
      <c r="J81" s="15"/>
      <c r="K81" s="15"/>
      <c r="L81" s="14" t="str">
        <f aca="false">IF($K81&lt;&gt;"",$K81,IF($J81&lt;&gt;"",$J81*CARBON_FRACTION_OM,""))</f>
        <v/>
      </c>
      <c r="M81" s="14" t="n">
        <f aca="false">IF($H81="Fine earth / fine-earth volume",1-IF($G81="",0,$G81)/100,1)</f>
        <v>1</v>
      </c>
      <c r="N81" s="14" t="str">
        <f aca="false">IF(OR($D81="",$E81=""),"",MAX(0,MIN($E81,REPORTING_DEPTH_CM)-MIN($D81,REPORTING_DEPTH_CM)))</f>
        <v/>
      </c>
      <c r="O81" s="14" t="str">
        <f aca="false">IF(OR($I81="",$L81="",$N81=""),"",$I81*($L81/100)*$N81*$M81*10)</f>
        <v/>
      </c>
      <c r="P81" s="14" t="str">
        <f aca="false">IF(OR($I81="",$L81="",$F81=""),"",$I81*($L81/100)*$F81*$M81*10)</f>
        <v/>
      </c>
      <c r="Q81" s="14" t="str">
        <f aca="false">IF(AND($A81="",$B81="",$D81=""),"",IF(AND($B81&lt;&gt;"",COUNTIF('2. Core Log'!$A$5:$A$124,$B81)=0),"Core ID not in Core Log. ","")&amp;IF(AND($A81&lt;&gt;"",COUNTIF('1. Plot &amp; Site Log'!$A$5:$A$64,$A81)=0),"Plot ID not in Plot &amp; Site Log. ","")&amp;IF(AND($D81&lt;&gt;"",$E81&lt;&gt;"",$E81&lt;=$D81),"Bottom depth is not below top depth. ","")&amp;IF($H81="","Say which bulk-density basis the lab reported, or the coarse-fragment correction cannot be applied safely. ","")&amp;IF(AND($I81&lt;&gt;"",OR($I81&lt;QC_BD_MIN,$I81&gt;QC_BD_MAX)),"Bulk density outside "&amp;QC_BD_MIN&amp;"–"&amp;QC_BD_MAX&amp;" g/cm³. ","")&amp;IF(AND($L81&lt;&gt;"",$L81&gt;QC_CARBON_PCT_MAX),"Carbon above "&amp;QC_CARBON_PCT_MAX&amp;"% — check units; this may be organic matter rather than carbon. ","")&amp;IF(AND($J81&lt;&gt;"",$K81&lt;&gt;""),"Both LOI and measured carbon given — the measured value is used. ","")&amp;IF(AND($N81&lt;&gt;"",$N81=0),"Slice lies entirely below the reporting depth — it counts to the full-core stock only. ",""))</f>
        <v/>
      </c>
      <c r="R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 t="str">
        <f aca="false">IF(OR($D82="",$E82=""),"",$E82-$D82)</f>
        <v/>
      </c>
      <c r="G82" s="13"/>
      <c r="H82" s="13"/>
      <c r="I82" s="15"/>
      <c r="J82" s="15"/>
      <c r="K82" s="15"/>
      <c r="L82" s="14" t="str">
        <f aca="false">IF($K82&lt;&gt;"",$K82,IF($J82&lt;&gt;"",$J82*CARBON_FRACTION_OM,""))</f>
        <v/>
      </c>
      <c r="M82" s="14" t="n">
        <f aca="false">IF($H82="Fine earth / fine-earth volume",1-IF($G82="",0,$G82)/100,1)</f>
        <v>1</v>
      </c>
      <c r="N82" s="14" t="str">
        <f aca="false">IF(OR($D82="",$E82=""),"",MAX(0,MIN($E82,REPORTING_DEPTH_CM)-MIN($D82,REPORTING_DEPTH_CM)))</f>
        <v/>
      </c>
      <c r="O82" s="14" t="str">
        <f aca="false">IF(OR($I82="",$L82="",$N82=""),"",$I82*($L82/100)*$N82*$M82*10)</f>
        <v/>
      </c>
      <c r="P82" s="14" t="str">
        <f aca="false">IF(OR($I82="",$L82="",$F82=""),"",$I82*($L82/100)*$F82*$M82*10)</f>
        <v/>
      </c>
      <c r="Q82" s="14" t="str">
        <f aca="false">IF(AND($A82="",$B82="",$D82=""),"",IF(AND($B82&lt;&gt;"",COUNTIF('2. Core Log'!$A$5:$A$124,$B82)=0),"Core ID not in Core Log. ","")&amp;IF(AND($A82&lt;&gt;"",COUNTIF('1. Plot &amp; Site Log'!$A$5:$A$64,$A82)=0),"Plot ID not in Plot &amp; Site Log. ","")&amp;IF(AND($D82&lt;&gt;"",$E82&lt;&gt;"",$E82&lt;=$D82),"Bottom depth is not below top depth. ","")&amp;IF($H82="","Say which bulk-density basis the lab reported, or the coarse-fragment correction cannot be applied safely. ","")&amp;IF(AND($I82&lt;&gt;"",OR($I82&lt;QC_BD_MIN,$I82&gt;QC_BD_MAX)),"Bulk density outside "&amp;QC_BD_MIN&amp;"–"&amp;QC_BD_MAX&amp;" g/cm³. ","")&amp;IF(AND($L82&lt;&gt;"",$L82&gt;QC_CARBON_PCT_MAX),"Carbon above "&amp;QC_CARBON_PCT_MAX&amp;"% — check units; this may be organic matter rather than carbon. ","")&amp;IF(AND($J82&lt;&gt;"",$K82&lt;&gt;""),"Both LOI and measured carbon given — the measured value is used. ","")&amp;IF(AND($N82&lt;&gt;"",$N82=0),"Slice lies entirely below the reporting depth — it counts to the full-core stock only. ",""))</f>
        <v/>
      </c>
      <c r="R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 t="str">
        <f aca="false">IF(OR($D83="",$E83=""),"",$E83-$D83)</f>
        <v/>
      </c>
      <c r="G83" s="13"/>
      <c r="H83" s="13"/>
      <c r="I83" s="15"/>
      <c r="J83" s="15"/>
      <c r="K83" s="15"/>
      <c r="L83" s="14" t="str">
        <f aca="false">IF($K83&lt;&gt;"",$K83,IF($J83&lt;&gt;"",$J83*CARBON_FRACTION_OM,""))</f>
        <v/>
      </c>
      <c r="M83" s="14" t="n">
        <f aca="false">IF($H83="Fine earth / fine-earth volume",1-IF($G83="",0,$G83)/100,1)</f>
        <v>1</v>
      </c>
      <c r="N83" s="14" t="str">
        <f aca="false">IF(OR($D83="",$E83=""),"",MAX(0,MIN($E83,REPORTING_DEPTH_CM)-MIN($D83,REPORTING_DEPTH_CM)))</f>
        <v/>
      </c>
      <c r="O83" s="14" t="str">
        <f aca="false">IF(OR($I83="",$L83="",$N83=""),"",$I83*($L83/100)*$N83*$M83*10)</f>
        <v/>
      </c>
      <c r="P83" s="14" t="str">
        <f aca="false">IF(OR($I83="",$L83="",$F83=""),"",$I83*($L83/100)*$F83*$M83*10)</f>
        <v/>
      </c>
      <c r="Q83" s="14" t="str">
        <f aca="false">IF(AND($A83="",$B83="",$D83=""),"",IF(AND($B83&lt;&gt;"",COUNTIF('2. Core Log'!$A$5:$A$124,$B83)=0),"Core ID not in Core Log. ","")&amp;IF(AND($A83&lt;&gt;"",COUNTIF('1. Plot &amp; Site Log'!$A$5:$A$64,$A83)=0),"Plot ID not in Plot &amp; Site Log. ","")&amp;IF(AND($D83&lt;&gt;"",$E83&lt;&gt;"",$E83&lt;=$D83),"Bottom depth is not below top depth. ","")&amp;IF($H83="","Say which bulk-density basis the lab reported, or the coarse-fragment correction cannot be applied safely. ","")&amp;IF(AND($I83&lt;&gt;"",OR($I83&lt;QC_BD_MIN,$I83&gt;QC_BD_MAX)),"Bulk density outside "&amp;QC_BD_MIN&amp;"–"&amp;QC_BD_MAX&amp;" g/cm³. ","")&amp;IF(AND($L83&lt;&gt;"",$L83&gt;QC_CARBON_PCT_MAX),"Carbon above "&amp;QC_CARBON_PCT_MAX&amp;"% — check units; this may be organic matter rather than carbon. ","")&amp;IF(AND($J83&lt;&gt;"",$K83&lt;&gt;""),"Both LOI and measured carbon given — the measured value is used. ","")&amp;IF(AND($N83&lt;&gt;"",$N83=0),"Slice lies entirely below the reporting depth — it counts to the full-core stock only. ",""))</f>
        <v/>
      </c>
      <c r="R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 t="str">
        <f aca="false">IF(OR($D84="",$E84=""),"",$E84-$D84)</f>
        <v/>
      </c>
      <c r="G84" s="13"/>
      <c r="H84" s="13"/>
      <c r="I84" s="15"/>
      <c r="J84" s="15"/>
      <c r="K84" s="15"/>
      <c r="L84" s="14" t="str">
        <f aca="false">IF($K84&lt;&gt;"",$K84,IF($J84&lt;&gt;"",$J84*CARBON_FRACTION_OM,""))</f>
        <v/>
      </c>
      <c r="M84" s="14" t="n">
        <f aca="false">IF($H84="Fine earth / fine-earth volume",1-IF($G84="",0,$G84)/100,1)</f>
        <v>1</v>
      </c>
      <c r="N84" s="14" t="str">
        <f aca="false">IF(OR($D84="",$E84=""),"",MAX(0,MIN($E84,REPORTING_DEPTH_CM)-MIN($D84,REPORTING_DEPTH_CM)))</f>
        <v/>
      </c>
      <c r="O84" s="14" t="str">
        <f aca="false">IF(OR($I84="",$L84="",$N84=""),"",$I84*($L84/100)*$N84*$M84*10)</f>
        <v/>
      </c>
      <c r="P84" s="14" t="str">
        <f aca="false">IF(OR($I84="",$L84="",$F84=""),"",$I84*($L84/100)*$F84*$M84*10)</f>
        <v/>
      </c>
      <c r="Q84" s="14" t="str">
        <f aca="false">IF(AND($A84="",$B84="",$D84=""),"",IF(AND($B84&lt;&gt;"",COUNTIF('2. Core Log'!$A$5:$A$124,$B84)=0),"Core ID not in Core Log. ","")&amp;IF(AND($A84&lt;&gt;"",COUNTIF('1. Plot &amp; Site Log'!$A$5:$A$64,$A84)=0),"Plot ID not in Plot &amp; Site Log. ","")&amp;IF(AND($D84&lt;&gt;"",$E84&lt;&gt;"",$E84&lt;=$D84),"Bottom depth is not below top depth. ","")&amp;IF($H84="","Say which bulk-density basis the lab reported, or the coarse-fragment correction cannot be applied safely. ","")&amp;IF(AND($I84&lt;&gt;"",OR($I84&lt;QC_BD_MIN,$I84&gt;QC_BD_MAX)),"Bulk density outside "&amp;QC_BD_MIN&amp;"–"&amp;QC_BD_MAX&amp;" g/cm³. ","")&amp;IF(AND($L84&lt;&gt;"",$L84&gt;QC_CARBON_PCT_MAX),"Carbon above "&amp;QC_CARBON_PCT_MAX&amp;"% — check units; this may be organic matter rather than carbon. ","")&amp;IF(AND($J84&lt;&gt;"",$K84&lt;&gt;""),"Both LOI and measured carbon given — the measured value is used. ","")&amp;IF(AND($N84&lt;&gt;"",$N84=0),"Slice lies entirely below the reporting depth — it counts to the full-core stock only. ",""))</f>
        <v/>
      </c>
      <c r="R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 t="str">
        <f aca="false">IF(OR($D85="",$E85=""),"",$E85-$D85)</f>
        <v/>
      </c>
      <c r="G85" s="13"/>
      <c r="H85" s="13"/>
      <c r="I85" s="15"/>
      <c r="J85" s="15"/>
      <c r="K85" s="15"/>
      <c r="L85" s="14" t="str">
        <f aca="false">IF($K85&lt;&gt;"",$K85,IF($J85&lt;&gt;"",$J85*CARBON_FRACTION_OM,""))</f>
        <v/>
      </c>
      <c r="M85" s="14" t="n">
        <f aca="false">IF($H85="Fine earth / fine-earth volume",1-IF($G85="",0,$G85)/100,1)</f>
        <v>1</v>
      </c>
      <c r="N85" s="14" t="str">
        <f aca="false">IF(OR($D85="",$E85=""),"",MAX(0,MIN($E85,REPORTING_DEPTH_CM)-MIN($D85,REPORTING_DEPTH_CM)))</f>
        <v/>
      </c>
      <c r="O85" s="14" t="str">
        <f aca="false">IF(OR($I85="",$L85="",$N85=""),"",$I85*($L85/100)*$N85*$M85*10)</f>
        <v/>
      </c>
      <c r="P85" s="14" t="str">
        <f aca="false">IF(OR($I85="",$L85="",$F85=""),"",$I85*($L85/100)*$F85*$M85*10)</f>
        <v/>
      </c>
      <c r="Q85" s="14" t="str">
        <f aca="false">IF(AND($A85="",$B85="",$D85=""),"",IF(AND($B85&lt;&gt;"",COUNTIF('2. Core Log'!$A$5:$A$124,$B85)=0),"Core ID not in Core Log. ","")&amp;IF(AND($A85&lt;&gt;"",COUNTIF('1. Plot &amp; Site Log'!$A$5:$A$64,$A85)=0),"Plot ID not in Plot &amp; Site Log. ","")&amp;IF(AND($D85&lt;&gt;"",$E85&lt;&gt;"",$E85&lt;=$D85),"Bottom depth is not below top depth. ","")&amp;IF($H85="","Say which bulk-density basis the lab reported, or the coarse-fragment correction cannot be applied safely. ","")&amp;IF(AND($I85&lt;&gt;"",OR($I85&lt;QC_BD_MIN,$I85&gt;QC_BD_MAX)),"Bulk density outside "&amp;QC_BD_MIN&amp;"–"&amp;QC_BD_MAX&amp;" g/cm³. ","")&amp;IF(AND($L85&lt;&gt;"",$L85&gt;QC_CARBON_PCT_MAX),"Carbon above "&amp;QC_CARBON_PCT_MAX&amp;"% — check units; this may be organic matter rather than carbon. ","")&amp;IF(AND($J85&lt;&gt;"",$K85&lt;&gt;""),"Both LOI and measured carbon given — the measured value is used. ","")&amp;IF(AND($N85&lt;&gt;"",$N85=0),"Slice lies entirely below the reporting depth — it counts to the full-core stock only. ",""))</f>
        <v/>
      </c>
      <c r="R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 t="str">
        <f aca="false">IF(OR($D86="",$E86=""),"",$E86-$D86)</f>
        <v/>
      </c>
      <c r="G86" s="13"/>
      <c r="H86" s="13"/>
      <c r="I86" s="15"/>
      <c r="J86" s="15"/>
      <c r="K86" s="15"/>
      <c r="L86" s="14" t="str">
        <f aca="false">IF($K86&lt;&gt;"",$K86,IF($J86&lt;&gt;"",$J86*CARBON_FRACTION_OM,""))</f>
        <v/>
      </c>
      <c r="M86" s="14" t="n">
        <f aca="false">IF($H86="Fine earth / fine-earth volume",1-IF($G86="",0,$G86)/100,1)</f>
        <v>1</v>
      </c>
      <c r="N86" s="14" t="str">
        <f aca="false">IF(OR($D86="",$E86=""),"",MAX(0,MIN($E86,REPORTING_DEPTH_CM)-MIN($D86,REPORTING_DEPTH_CM)))</f>
        <v/>
      </c>
      <c r="O86" s="14" t="str">
        <f aca="false">IF(OR($I86="",$L86="",$N86=""),"",$I86*($L86/100)*$N86*$M86*10)</f>
        <v/>
      </c>
      <c r="P86" s="14" t="str">
        <f aca="false">IF(OR($I86="",$L86="",$F86=""),"",$I86*($L86/100)*$F86*$M86*10)</f>
        <v/>
      </c>
      <c r="Q86" s="14" t="str">
        <f aca="false">IF(AND($A86="",$B86="",$D86=""),"",IF(AND($B86&lt;&gt;"",COUNTIF('2. Core Log'!$A$5:$A$124,$B86)=0),"Core ID not in Core Log. ","")&amp;IF(AND($A86&lt;&gt;"",COUNTIF('1. Plot &amp; Site Log'!$A$5:$A$64,$A86)=0),"Plot ID not in Plot &amp; Site Log. ","")&amp;IF(AND($D86&lt;&gt;"",$E86&lt;&gt;"",$E86&lt;=$D86),"Bottom depth is not below top depth. ","")&amp;IF($H86="","Say which bulk-density basis the lab reported, or the coarse-fragment correction cannot be applied safely. ","")&amp;IF(AND($I86&lt;&gt;"",OR($I86&lt;QC_BD_MIN,$I86&gt;QC_BD_MAX)),"Bulk density outside "&amp;QC_BD_MIN&amp;"–"&amp;QC_BD_MAX&amp;" g/cm³. ","")&amp;IF(AND($L86&lt;&gt;"",$L86&gt;QC_CARBON_PCT_MAX),"Carbon above "&amp;QC_CARBON_PCT_MAX&amp;"% — check units; this may be organic matter rather than carbon. ","")&amp;IF(AND($J86&lt;&gt;"",$K86&lt;&gt;""),"Both LOI and measured carbon given — the measured value is used. ","")&amp;IF(AND($N86&lt;&gt;"",$N86=0),"Slice lies entirely below the reporting depth — it counts to the full-core stock only. ",""))</f>
        <v/>
      </c>
      <c r="R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 t="str">
        <f aca="false">IF(OR($D87="",$E87=""),"",$E87-$D87)</f>
        <v/>
      </c>
      <c r="G87" s="13"/>
      <c r="H87" s="13"/>
      <c r="I87" s="15"/>
      <c r="J87" s="15"/>
      <c r="K87" s="15"/>
      <c r="L87" s="14" t="str">
        <f aca="false">IF($K87&lt;&gt;"",$K87,IF($J87&lt;&gt;"",$J87*CARBON_FRACTION_OM,""))</f>
        <v/>
      </c>
      <c r="M87" s="14" t="n">
        <f aca="false">IF($H87="Fine earth / fine-earth volume",1-IF($G87="",0,$G87)/100,1)</f>
        <v>1</v>
      </c>
      <c r="N87" s="14" t="str">
        <f aca="false">IF(OR($D87="",$E87=""),"",MAX(0,MIN($E87,REPORTING_DEPTH_CM)-MIN($D87,REPORTING_DEPTH_CM)))</f>
        <v/>
      </c>
      <c r="O87" s="14" t="str">
        <f aca="false">IF(OR($I87="",$L87="",$N87=""),"",$I87*($L87/100)*$N87*$M87*10)</f>
        <v/>
      </c>
      <c r="P87" s="14" t="str">
        <f aca="false">IF(OR($I87="",$L87="",$F87=""),"",$I87*($L87/100)*$F87*$M87*10)</f>
        <v/>
      </c>
      <c r="Q87" s="14" t="str">
        <f aca="false">IF(AND($A87="",$B87="",$D87=""),"",IF(AND($B87&lt;&gt;"",COUNTIF('2. Core Log'!$A$5:$A$124,$B87)=0),"Core ID not in Core Log. ","")&amp;IF(AND($A87&lt;&gt;"",COUNTIF('1. Plot &amp; Site Log'!$A$5:$A$64,$A87)=0),"Plot ID not in Plot &amp; Site Log. ","")&amp;IF(AND($D87&lt;&gt;"",$E87&lt;&gt;"",$E87&lt;=$D87),"Bottom depth is not below top depth. ","")&amp;IF($H87="","Say which bulk-density basis the lab reported, or the coarse-fragment correction cannot be applied safely. ","")&amp;IF(AND($I87&lt;&gt;"",OR($I87&lt;QC_BD_MIN,$I87&gt;QC_BD_MAX)),"Bulk density outside "&amp;QC_BD_MIN&amp;"–"&amp;QC_BD_MAX&amp;" g/cm³. ","")&amp;IF(AND($L87&lt;&gt;"",$L87&gt;QC_CARBON_PCT_MAX),"Carbon above "&amp;QC_CARBON_PCT_MAX&amp;"% — check units; this may be organic matter rather than carbon. ","")&amp;IF(AND($J87&lt;&gt;"",$K87&lt;&gt;""),"Both LOI and measured carbon given — the measured value is used. ","")&amp;IF(AND($N87&lt;&gt;"",$N87=0),"Slice lies entirely below the reporting depth — it counts to the full-core stock only. ",""))</f>
        <v/>
      </c>
      <c r="R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 t="str">
        <f aca="false">IF(OR($D88="",$E88=""),"",$E88-$D88)</f>
        <v/>
      </c>
      <c r="G88" s="13"/>
      <c r="H88" s="13"/>
      <c r="I88" s="15"/>
      <c r="J88" s="15"/>
      <c r="K88" s="15"/>
      <c r="L88" s="14" t="str">
        <f aca="false">IF($K88&lt;&gt;"",$K88,IF($J88&lt;&gt;"",$J88*CARBON_FRACTION_OM,""))</f>
        <v/>
      </c>
      <c r="M88" s="14" t="n">
        <f aca="false">IF($H88="Fine earth / fine-earth volume",1-IF($G88="",0,$G88)/100,1)</f>
        <v>1</v>
      </c>
      <c r="N88" s="14" t="str">
        <f aca="false">IF(OR($D88="",$E88=""),"",MAX(0,MIN($E88,REPORTING_DEPTH_CM)-MIN($D88,REPORTING_DEPTH_CM)))</f>
        <v/>
      </c>
      <c r="O88" s="14" t="str">
        <f aca="false">IF(OR($I88="",$L88="",$N88=""),"",$I88*($L88/100)*$N88*$M88*10)</f>
        <v/>
      </c>
      <c r="P88" s="14" t="str">
        <f aca="false">IF(OR($I88="",$L88="",$F88=""),"",$I88*($L88/100)*$F88*$M88*10)</f>
        <v/>
      </c>
      <c r="Q88" s="14" t="str">
        <f aca="false">IF(AND($A88="",$B88="",$D88=""),"",IF(AND($B88&lt;&gt;"",COUNTIF('2. Core Log'!$A$5:$A$124,$B88)=0),"Core ID not in Core Log. ","")&amp;IF(AND($A88&lt;&gt;"",COUNTIF('1. Plot &amp; Site Log'!$A$5:$A$64,$A88)=0),"Plot ID not in Plot &amp; Site Log. ","")&amp;IF(AND($D88&lt;&gt;"",$E88&lt;&gt;"",$E88&lt;=$D88),"Bottom depth is not below top depth. ","")&amp;IF($H88="","Say which bulk-density basis the lab reported, or the coarse-fragment correction cannot be applied safely. ","")&amp;IF(AND($I88&lt;&gt;"",OR($I88&lt;QC_BD_MIN,$I88&gt;QC_BD_MAX)),"Bulk density outside "&amp;QC_BD_MIN&amp;"–"&amp;QC_BD_MAX&amp;" g/cm³. ","")&amp;IF(AND($L88&lt;&gt;"",$L88&gt;QC_CARBON_PCT_MAX),"Carbon above "&amp;QC_CARBON_PCT_MAX&amp;"% — check units; this may be organic matter rather than carbon. ","")&amp;IF(AND($J88&lt;&gt;"",$K88&lt;&gt;""),"Both LOI and measured carbon given — the measured value is used. ","")&amp;IF(AND($N88&lt;&gt;"",$N88=0),"Slice lies entirely below the reporting depth — it counts to the full-core stock only. ",""))</f>
        <v/>
      </c>
      <c r="R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 t="str">
        <f aca="false">IF(OR($D89="",$E89=""),"",$E89-$D89)</f>
        <v/>
      </c>
      <c r="G89" s="13"/>
      <c r="H89" s="13"/>
      <c r="I89" s="15"/>
      <c r="J89" s="15"/>
      <c r="K89" s="15"/>
      <c r="L89" s="14" t="str">
        <f aca="false">IF($K89&lt;&gt;"",$K89,IF($J89&lt;&gt;"",$J89*CARBON_FRACTION_OM,""))</f>
        <v/>
      </c>
      <c r="M89" s="14" t="n">
        <f aca="false">IF($H89="Fine earth / fine-earth volume",1-IF($G89="",0,$G89)/100,1)</f>
        <v>1</v>
      </c>
      <c r="N89" s="14" t="str">
        <f aca="false">IF(OR($D89="",$E89=""),"",MAX(0,MIN($E89,REPORTING_DEPTH_CM)-MIN($D89,REPORTING_DEPTH_CM)))</f>
        <v/>
      </c>
      <c r="O89" s="14" t="str">
        <f aca="false">IF(OR($I89="",$L89="",$N89=""),"",$I89*($L89/100)*$N89*$M89*10)</f>
        <v/>
      </c>
      <c r="P89" s="14" t="str">
        <f aca="false">IF(OR($I89="",$L89="",$F89=""),"",$I89*($L89/100)*$F89*$M89*10)</f>
        <v/>
      </c>
      <c r="Q89" s="14" t="str">
        <f aca="false">IF(AND($A89="",$B89="",$D89=""),"",IF(AND($B89&lt;&gt;"",COUNTIF('2. Core Log'!$A$5:$A$124,$B89)=0),"Core ID not in Core Log. ","")&amp;IF(AND($A89&lt;&gt;"",COUNTIF('1. Plot &amp; Site Log'!$A$5:$A$64,$A89)=0),"Plot ID not in Plot &amp; Site Log. ","")&amp;IF(AND($D89&lt;&gt;"",$E89&lt;&gt;"",$E89&lt;=$D89),"Bottom depth is not below top depth. ","")&amp;IF($H89="","Say which bulk-density basis the lab reported, or the coarse-fragment correction cannot be applied safely. ","")&amp;IF(AND($I89&lt;&gt;"",OR($I89&lt;QC_BD_MIN,$I89&gt;QC_BD_MAX)),"Bulk density outside "&amp;QC_BD_MIN&amp;"–"&amp;QC_BD_MAX&amp;" g/cm³. ","")&amp;IF(AND($L89&lt;&gt;"",$L89&gt;QC_CARBON_PCT_MAX),"Carbon above "&amp;QC_CARBON_PCT_MAX&amp;"% — check units; this may be organic matter rather than carbon. ","")&amp;IF(AND($J89&lt;&gt;"",$K89&lt;&gt;""),"Both LOI and measured carbon given — the measured value is used. ","")&amp;IF(AND($N89&lt;&gt;"",$N89=0),"Slice lies entirely below the reporting depth — it counts to the full-core stock only. ",""))</f>
        <v/>
      </c>
      <c r="R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 t="str">
        <f aca="false">IF(OR($D90="",$E90=""),"",$E90-$D90)</f>
        <v/>
      </c>
      <c r="G90" s="13"/>
      <c r="H90" s="13"/>
      <c r="I90" s="15"/>
      <c r="J90" s="15"/>
      <c r="K90" s="15"/>
      <c r="L90" s="14" t="str">
        <f aca="false">IF($K90&lt;&gt;"",$K90,IF($J90&lt;&gt;"",$J90*CARBON_FRACTION_OM,""))</f>
        <v/>
      </c>
      <c r="M90" s="14" t="n">
        <f aca="false">IF($H90="Fine earth / fine-earth volume",1-IF($G90="",0,$G90)/100,1)</f>
        <v>1</v>
      </c>
      <c r="N90" s="14" t="str">
        <f aca="false">IF(OR($D90="",$E90=""),"",MAX(0,MIN($E90,REPORTING_DEPTH_CM)-MIN($D90,REPORTING_DEPTH_CM)))</f>
        <v/>
      </c>
      <c r="O90" s="14" t="str">
        <f aca="false">IF(OR($I90="",$L90="",$N90=""),"",$I90*($L90/100)*$N90*$M90*10)</f>
        <v/>
      </c>
      <c r="P90" s="14" t="str">
        <f aca="false">IF(OR($I90="",$L90="",$F90=""),"",$I90*($L90/100)*$F90*$M90*10)</f>
        <v/>
      </c>
      <c r="Q90" s="14" t="str">
        <f aca="false">IF(AND($A90="",$B90="",$D90=""),"",IF(AND($B90&lt;&gt;"",COUNTIF('2. Core Log'!$A$5:$A$124,$B90)=0),"Core ID not in Core Log. ","")&amp;IF(AND($A90&lt;&gt;"",COUNTIF('1. Plot &amp; Site Log'!$A$5:$A$64,$A90)=0),"Plot ID not in Plot &amp; Site Log. ","")&amp;IF(AND($D90&lt;&gt;"",$E90&lt;&gt;"",$E90&lt;=$D90),"Bottom depth is not below top depth. ","")&amp;IF($H90="","Say which bulk-density basis the lab reported, or the coarse-fragment correction cannot be applied safely. ","")&amp;IF(AND($I90&lt;&gt;"",OR($I90&lt;QC_BD_MIN,$I90&gt;QC_BD_MAX)),"Bulk density outside "&amp;QC_BD_MIN&amp;"–"&amp;QC_BD_MAX&amp;" g/cm³. ","")&amp;IF(AND($L90&lt;&gt;"",$L90&gt;QC_CARBON_PCT_MAX),"Carbon above "&amp;QC_CARBON_PCT_MAX&amp;"% — check units; this may be organic matter rather than carbon. ","")&amp;IF(AND($J90&lt;&gt;"",$K90&lt;&gt;""),"Both LOI and measured carbon given — the measured value is used. ","")&amp;IF(AND($N90&lt;&gt;"",$N90=0),"Slice lies entirely below the reporting depth — it counts to the full-core stock only. ",""))</f>
        <v/>
      </c>
      <c r="R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 t="str">
        <f aca="false">IF(OR($D91="",$E91=""),"",$E91-$D91)</f>
        <v/>
      </c>
      <c r="G91" s="13"/>
      <c r="H91" s="13"/>
      <c r="I91" s="15"/>
      <c r="J91" s="15"/>
      <c r="K91" s="15"/>
      <c r="L91" s="14" t="str">
        <f aca="false">IF($K91&lt;&gt;"",$K91,IF($J91&lt;&gt;"",$J91*CARBON_FRACTION_OM,""))</f>
        <v/>
      </c>
      <c r="M91" s="14" t="n">
        <f aca="false">IF($H91="Fine earth / fine-earth volume",1-IF($G91="",0,$G91)/100,1)</f>
        <v>1</v>
      </c>
      <c r="N91" s="14" t="str">
        <f aca="false">IF(OR($D91="",$E91=""),"",MAX(0,MIN($E91,REPORTING_DEPTH_CM)-MIN($D91,REPORTING_DEPTH_CM)))</f>
        <v/>
      </c>
      <c r="O91" s="14" t="str">
        <f aca="false">IF(OR($I91="",$L91="",$N91=""),"",$I91*($L91/100)*$N91*$M91*10)</f>
        <v/>
      </c>
      <c r="P91" s="14" t="str">
        <f aca="false">IF(OR($I91="",$L91="",$F91=""),"",$I91*($L91/100)*$F91*$M91*10)</f>
        <v/>
      </c>
      <c r="Q91" s="14" t="str">
        <f aca="false">IF(AND($A91="",$B91="",$D91=""),"",IF(AND($B91&lt;&gt;"",COUNTIF('2. Core Log'!$A$5:$A$124,$B91)=0),"Core ID not in Core Log. ","")&amp;IF(AND($A91&lt;&gt;"",COUNTIF('1. Plot &amp; Site Log'!$A$5:$A$64,$A91)=0),"Plot ID not in Plot &amp; Site Log. ","")&amp;IF(AND($D91&lt;&gt;"",$E91&lt;&gt;"",$E91&lt;=$D91),"Bottom depth is not below top depth. ","")&amp;IF($H91="","Say which bulk-density basis the lab reported, or the coarse-fragment correction cannot be applied safely. ","")&amp;IF(AND($I91&lt;&gt;"",OR($I91&lt;QC_BD_MIN,$I91&gt;QC_BD_MAX)),"Bulk density outside "&amp;QC_BD_MIN&amp;"–"&amp;QC_BD_MAX&amp;" g/cm³. ","")&amp;IF(AND($L91&lt;&gt;"",$L91&gt;QC_CARBON_PCT_MAX),"Carbon above "&amp;QC_CARBON_PCT_MAX&amp;"% — check units; this may be organic matter rather than carbon. ","")&amp;IF(AND($J91&lt;&gt;"",$K91&lt;&gt;""),"Both LOI and measured carbon given — the measured value is used. ","")&amp;IF(AND($N91&lt;&gt;"",$N91=0),"Slice lies entirely below the reporting depth — it counts to the full-core stock only. ",""))</f>
        <v/>
      </c>
      <c r="R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 t="str">
        <f aca="false">IF(OR($D92="",$E92=""),"",$E92-$D92)</f>
        <v/>
      </c>
      <c r="G92" s="13"/>
      <c r="H92" s="13"/>
      <c r="I92" s="15"/>
      <c r="J92" s="15"/>
      <c r="K92" s="15"/>
      <c r="L92" s="14" t="str">
        <f aca="false">IF($K92&lt;&gt;"",$K92,IF($J92&lt;&gt;"",$J92*CARBON_FRACTION_OM,""))</f>
        <v/>
      </c>
      <c r="M92" s="14" t="n">
        <f aca="false">IF($H92="Fine earth / fine-earth volume",1-IF($G92="",0,$G92)/100,1)</f>
        <v>1</v>
      </c>
      <c r="N92" s="14" t="str">
        <f aca="false">IF(OR($D92="",$E92=""),"",MAX(0,MIN($E92,REPORTING_DEPTH_CM)-MIN($D92,REPORTING_DEPTH_CM)))</f>
        <v/>
      </c>
      <c r="O92" s="14" t="str">
        <f aca="false">IF(OR($I92="",$L92="",$N92=""),"",$I92*($L92/100)*$N92*$M92*10)</f>
        <v/>
      </c>
      <c r="P92" s="14" t="str">
        <f aca="false">IF(OR($I92="",$L92="",$F92=""),"",$I92*($L92/100)*$F92*$M92*10)</f>
        <v/>
      </c>
      <c r="Q92" s="14" t="str">
        <f aca="false">IF(AND($A92="",$B92="",$D92=""),"",IF(AND($B92&lt;&gt;"",COUNTIF('2. Core Log'!$A$5:$A$124,$B92)=0),"Core ID not in Core Log. ","")&amp;IF(AND($A92&lt;&gt;"",COUNTIF('1. Plot &amp; Site Log'!$A$5:$A$64,$A92)=0),"Plot ID not in Plot &amp; Site Log. ","")&amp;IF(AND($D92&lt;&gt;"",$E92&lt;&gt;"",$E92&lt;=$D92),"Bottom depth is not below top depth. ","")&amp;IF($H92="","Say which bulk-density basis the lab reported, or the coarse-fragment correction cannot be applied safely. ","")&amp;IF(AND($I92&lt;&gt;"",OR($I92&lt;QC_BD_MIN,$I92&gt;QC_BD_MAX)),"Bulk density outside "&amp;QC_BD_MIN&amp;"–"&amp;QC_BD_MAX&amp;" g/cm³. ","")&amp;IF(AND($L92&lt;&gt;"",$L92&gt;QC_CARBON_PCT_MAX),"Carbon above "&amp;QC_CARBON_PCT_MAX&amp;"% — check units; this may be organic matter rather than carbon. ","")&amp;IF(AND($J92&lt;&gt;"",$K92&lt;&gt;""),"Both LOI and measured carbon given — the measured value is used. ","")&amp;IF(AND($N92&lt;&gt;"",$N92=0),"Slice lies entirely below the reporting depth — it counts to the full-core stock only. ",""))</f>
        <v/>
      </c>
      <c r="R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 t="str">
        <f aca="false">IF(OR($D93="",$E93=""),"",$E93-$D93)</f>
        <v/>
      </c>
      <c r="G93" s="13"/>
      <c r="H93" s="13"/>
      <c r="I93" s="15"/>
      <c r="J93" s="15"/>
      <c r="K93" s="15"/>
      <c r="L93" s="14" t="str">
        <f aca="false">IF($K93&lt;&gt;"",$K93,IF($J93&lt;&gt;"",$J93*CARBON_FRACTION_OM,""))</f>
        <v/>
      </c>
      <c r="M93" s="14" t="n">
        <f aca="false">IF($H93="Fine earth / fine-earth volume",1-IF($G93="",0,$G93)/100,1)</f>
        <v>1</v>
      </c>
      <c r="N93" s="14" t="str">
        <f aca="false">IF(OR($D93="",$E93=""),"",MAX(0,MIN($E93,REPORTING_DEPTH_CM)-MIN($D93,REPORTING_DEPTH_CM)))</f>
        <v/>
      </c>
      <c r="O93" s="14" t="str">
        <f aca="false">IF(OR($I93="",$L93="",$N93=""),"",$I93*($L93/100)*$N93*$M93*10)</f>
        <v/>
      </c>
      <c r="P93" s="14" t="str">
        <f aca="false">IF(OR($I93="",$L93="",$F93=""),"",$I93*($L93/100)*$F93*$M93*10)</f>
        <v/>
      </c>
      <c r="Q93" s="14" t="str">
        <f aca="false">IF(AND($A93="",$B93="",$D93=""),"",IF(AND($B93&lt;&gt;"",COUNTIF('2. Core Log'!$A$5:$A$124,$B93)=0),"Core ID not in Core Log. ","")&amp;IF(AND($A93&lt;&gt;"",COUNTIF('1. Plot &amp; Site Log'!$A$5:$A$64,$A93)=0),"Plot ID not in Plot &amp; Site Log. ","")&amp;IF(AND($D93&lt;&gt;"",$E93&lt;&gt;"",$E93&lt;=$D93),"Bottom depth is not below top depth. ","")&amp;IF($H93="","Say which bulk-density basis the lab reported, or the coarse-fragment correction cannot be applied safely. ","")&amp;IF(AND($I93&lt;&gt;"",OR($I93&lt;QC_BD_MIN,$I93&gt;QC_BD_MAX)),"Bulk density outside "&amp;QC_BD_MIN&amp;"–"&amp;QC_BD_MAX&amp;" g/cm³. ","")&amp;IF(AND($L93&lt;&gt;"",$L93&gt;QC_CARBON_PCT_MAX),"Carbon above "&amp;QC_CARBON_PCT_MAX&amp;"% — check units; this may be organic matter rather than carbon. ","")&amp;IF(AND($J93&lt;&gt;"",$K93&lt;&gt;""),"Both LOI and measured carbon given — the measured value is used. ","")&amp;IF(AND($N93&lt;&gt;"",$N93=0),"Slice lies entirely below the reporting depth — it counts to the full-core stock only. ",""))</f>
        <v/>
      </c>
      <c r="R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 t="str">
        <f aca="false">IF(OR($D94="",$E94=""),"",$E94-$D94)</f>
        <v/>
      </c>
      <c r="G94" s="13"/>
      <c r="H94" s="13"/>
      <c r="I94" s="15"/>
      <c r="J94" s="15"/>
      <c r="K94" s="15"/>
      <c r="L94" s="14" t="str">
        <f aca="false">IF($K94&lt;&gt;"",$K94,IF($J94&lt;&gt;"",$J94*CARBON_FRACTION_OM,""))</f>
        <v/>
      </c>
      <c r="M94" s="14" t="n">
        <f aca="false">IF($H94="Fine earth / fine-earth volume",1-IF($G94="",0,$G94)/100,1)</f>
        <v>1</v>
      </c>
      <c r="N94" s="14" t="str">
        <f aca="false">IF(OR($D94="",$E94=""),"",MAX(0,MIN($E94,REPORTING_DEPTH_CM)-MIN($D94,REPORTING_DEPTH_CM)))</f>
        <v/>
      </c>
      <c r="O94" s="14" t="str">
        <f aca="false">IF(OR($I94="",$L94="",$N94=""),"",$I94*($L94/100)*$N94*$M94*10)</f>
        <v/>
      </c>
      <c r="P94" s="14" t="str">
        <f aca="false">IF(OR($I94="",$L94="",$F94=""),"",$I94*($L94/100)*$F94*$M94*10)</f>
        <v/>
      </c>
      <c r="Q94" s="14" t="str">
        <f aca="false">IF(AND($A94="",$B94="",$D94=""),"",IF(AND($B94&lt;&gt;"",COUNTIF('2. Core Log'!$A$5:$A$124,$B94)=0),"Core ID not in Core Log. ","")&amp;IF(AND($A94&lt;&gt;"",COUNTIF('1. Plot &amp; Site Log'!$A$5:$A$64,$A94)=0),"Plot ID not in Plot &amp; Site Log. ","")&amp;IF(AND($D94&lt;&gt;"",$E94&lt;&gt;"",$E94&lt;=$D94),"Bottom depth is not below top depth. ","")&amp;IF($H94="","Say which bulk-density basis the lab reported, or the coarse-fragment correction cannot be applied safely. ","")&amp;IF(AND($I94&lt;&gt;"",OR($I94&lt;QC_BD_MIN,$I94&gt;QC_BD_MAX)),"Bulk density outside "&amp;QC_BD_MIN&amp;"–"&amp;QC_BD_MAX&amp;" g/cm³. ","")&amp;IF(AND($L94&lt;&gt;"",$L94&gt;QC_CARBON_PCT_MAX),"Carbon above "&amp;QC_CARBON_PCT_MAX&amp;"% — check units; this may be organic matter rather than carbon. ","")&amp;IF(AND($J94&lt;&gt;"",$K94&lt;&gt;""),"Both LOI and measured carbon given — the measured value is used. ","")&amp;IF(AND($N94&lt;&gt;"",$N94=0),"Slice lies entirely below the reporting depth — it counts to the full-core stock only. ",""))</f>
        <v/>
      </c>
      <c r="R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 t="str">
        <f aca="false">IF(OR($D95="",$E95=""),"",$E95-$D95)</f>
        <v/>
      </c>
      <c r="G95" s="13"/>
      <c r="H95" s="13"/>
      <c r="I95" s="15"/>
      <c r="J95" s="15"/>
      <c r="K95" s="15"/>
      <c r="L95" s="14" t="str">
        <f aca="false">IF($K95&lt;&gt;"",$K95,IF($J95&lt;&gt;"",$J95*CARBON_FRACTION_OM,""))</f>
        <v/>
      </c>
      <c r="M95" s="14" t="n">
        <f aca="false">IF($H95="Fine earth / fine-earth volume",1-IF($G95="",0,$G95)/100,1)</f>
        <v>1</v>
      </c>
      <c r="N95" s="14" t="str">
        <f aca="false">IF(OR($D95="",$E95=""),"",MAX(0,MIN($E95,REPORTING_DEPTH_CM)-MIN($D95,REPORTING_DEPTH_CM)))</f>
        <v/>
      </c>
      <c r="O95" s="14" t="str">
        <f aca="false">IF(OR($I95="",$L95="",$N95=""),"",$I95*($L95/100)*$N95*$M95*10)</f>
        <v/>
      </c>
      <c r="P95" s="14" t="str">
        <f aca="false">IF(OR($I95="",$L95="",$F95=""),"",$I95*($L95/100)*$F95*$M95*10)</f>
        <v/>
      </c>
      <c r="Q95" s="14" t="str">
        <f aca="false">IF(AND($A95="",$B95="",$D95=""),"",IF(AND($B95&lt;&gt;"",COUNTIF('2. Core Log'!$A$5:$A$124,$B95)=0),"Core ID not in Core Log. ","")&amp;IF(AND($A95&lt;&gt;"",COUNTIF('1. Plot &amp; Site Log'!$A$5:$A$64,$A95)=0),"Plot ID not in Plot &amp; Site Log. ","")&amp;IF(AND($D95&lt;&gt;"",$E95&lt;&gt;"",$E95&lt;=$D95),"Bottom depth is not below top depth. ","")&amp;IF($H95="","Say which bulk-density basis the lab reported, or the coarse-fragment correction cannot be applied safely. ","")&amp;IF(AND($I95&lt;&gt;"",OR($I95&lt;QC_BD_MIN,$I95&gt;QC_BD_MAX)),"Bulk density outside "&amp;QC_BD_MIN&amp;"–"&amp;QC_BD_MAX&amp;" g/cm³. ","")&amp;IF(AND($L95&lt;&gt;"",$L95&gt;QC_CARBON_PCT_MAX),"Carbon above "&amp;QC_CARBON_PCT_MAX&amp;"% — check units; this may be organic matter rather than carbon. ","")&amp;IF(AND($J95&lt;&gt;"",$K95&lt;&gt;""),"Both LOI and measured carbon given — the measured value is used. ","")&amp;IF(AND($N95&lt;&gt;"",$N95=0),"Slice lies entirely below the reporting depth — it counts to the full-core stock only. ",""))</f>
        <v/>
      </c>
      <c r="R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 t="str">
        <f aca="false">IF(OR($D96="",$E96=""),"",$E96-$D96)</f>
        <v/>
      </c>
      <c r="G96" s="13"/>
      <c r="H96" s="13"/>
      <c r="I96" s="15"/>
      <c r="J96" s="15"/>
      <c r="K96" s="15"/>
      <c r="L96" s="14" t="str">
        <f aca="false">IF($K96&lt;&gt;"",$K96,IF($J96&lt;&gt;"",$J96*CARBON_FRACTION_OM,""))</f>
        <v/>
      </c>
      <c r="M96" s="14" t="n">
        <f aca="false">IF($H96="Fine earth / fine-earth volume",1-IF($G96="",0,$G96)/100,1)</f>
        <v>1</v>
      </c>
      <c r="N96" s="14" t="str">
        <f aca="false">IF(OR($D96="",$E96=""),"",MAX(0,MIN($E96,REPORTING_DEPTH_CM)-MIN($D96,REPORTING_DEPTH_CM)))</f>
        <v/>
      </c>
      <c r="O96" s="14" t="str">
        <f aca="false">IF(OR($I96="",$L96="",$N96=""),"",$I96*($L96/100)*$N96*$M96*10)</f>
        <v/>
      </c>
      <c r="P96" s="14" t="str">
        <f aca="false">IF(OR($I96="",$L96="",$F96=""),"",$I96*($L96/100)*$F96*$M96*10)</f>
        <v/>
      </c>
      <c r="Q96" s="14" t="str">
        <f aca="false">IF(AND($A96="",$B96="",$D96=""),"",IF(AND($B96&lt;&gt;"",COUNTIF('2. Core Log'!$A$5:$A$124,$B96)=0),"Core ID not in Core Log. ","")&amp;IF(AND($A96&lt;&gt;"",COUNTIF('1. Plot &amp; Site Log'!$A$5:$A$64,$A96)=0),"Plot ID not in Plot &amp; Site Log. ","")&amp;IF(AND($D96&lt;&gt;"",$E96&lt;&gt;"",$E96&lt;=$D96),"Bottom depth is not below top depth. ","")&amp;IF($H96="","Say which bulk-density basis the lab reported, or the coarse-fragment correction cannot be applied safely. ","")&amp;IF(AND($I96&lt;&gt;"",OR($I96&lt;QC_BD_MIN,$I96&gt;QC_BD_MAX)),"Bulk density outside "&amp;QC_BD_MIN&amp;"–"&amp;QC_BD_MAX&amp;" g/cm³. ","")&amp;IF(AND($L96&lt;&gt;"",$L96&gt;QC_CARBON_PCT_MAX),"Carbon above "&amp;QC_CARBON_PCT_MAX&amp;"% — check units; this may be organic matter rather than carbon. ","")&amp;IF(AND($J96&lt;&gt;"",$K96&lt;&gt;""),"Both LOI and measured carbon given — the measured value is used. ","")&amp;IF(AND($N96&lt;&gt;"",$N96=0),"Slice lies entirely below the reporting depth — it counts to the full-core stock only. ",""))</f>
        <v/>
      </c>
      <c r="R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 t="str">
        <f aca="false">IF(OR($D97="",$E97=""),"",$E97-$D97)</f>
        <v/>
      </c>
      <c r="G97" s="13"/>
      <c r="H97" s="13"/>
      <c r="I97" s="15"/>
      <c r="J97" s="15"/>
      <c r="K97" s="15"/>
      <c r="L97" s="14" t="str">
        <f aca="false">IF($K97&lt;&gt;"",$K97,IF($J97&lt;&gt;"",$J97*CARBON_FRACTION_OM,""))</f>
        <v/>
      </c>
      <c r="M97" s="14" t="n">
        <f aca="false">IF($H97="Fine earth / fine-earth volume",1-IF($G97="",0,$G97)/100,1)</f>
        <v>1</v>
      </c>
      <c r="N97" s="14" t="str">
        <f aca="false">IF(OR($D97="",$E97=""),"",MAX(0,MIN($E97,REPORTING_DEPTH_CM)-MIN($D97,REPORTING_DEPTH_CM)))</f>
        <v/>
      </c>
      <c r="O97" s="14" t="str">
        <f aca="false">IF(OR($I97="",$L97="",$N97=""),"",$I97*($L97/100)*$N97*$M97*10)</f>
        <v/>
      </c>
      <c r="P97" s="14" t="str">
        <f aca="false">IF(OR($I97="",$L97="",$F97=""),"",$I97*($L97/100)*$F97*$M97*10)</f>
        <v/>
      </c>
      <c r="Q97" s="14" t="str">
        <f aca="false">IF(AND($A97="",$B97="",$D97=""),"",IF(AND($B97&lt;&gt;"",COUNTIF('2. Core Log'!$A$5:$A$124,$B97)=0),"Core ID not in Core Log. ","")&amp;IF(AND($A97&lt;&gt;"",COUNTIF('1. Plot &amp; Site Log'!$A$5:$A$64,$A97)=0),"Plot ID not in Plot &amp; Site Log. ","")&amp;IF(AND($D97&lt;&gt;"",$E97&lt;&gt;"",$E97&lt;=$D97),"Bottom depth is not below top depth. ","")&amp;IF($H97="","Say which bulk-density basis the lab reported, or the coarse-fragment correction cannot be applied safely. ","")&amp;IF(AND($I97&lt;&gt;"",OR($I97&lt;QC_BD_MIN,$I97&gt;QC_BD_MAX)),"Bulk density outside "&amp;QC_BD_MIN&amp;"–"&amp;QC_BD_MAX&amp;" g/cm³. ","")&amp;IF(AND($L97&lt;&gt;"",$L97&gt;QC_CARBON_PCT_MAX),"Carbon above "&amp;QC_CARBON_PCT_MAX&amp;"% — check units; this may be organic matter rather than carbon. ","")&amp;IF(AND($J97&lt;&gt;"",$K97&lt;&gt;""),"Both LOI and measured carbon given — the measured value is used. ","")&amp;IF(AND($N97&lt;&gt;"",$N97=0),"Slice lies entirely below the reporting depth — it counts to the full-core stock only. ",""))</f>
        <v/>
      </c>
      <c r="R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 t="str">
        <f aca="false">IF(OR($D98="",$E98=""),"",$E98-$D98)</f>
        <v/>
      </c>
      <c r="G98" s="13"/>
      <c r="H98" s="13"/>
      <c r="I98" s="15"/>
      <c r="J98" s="15"/>
      <c r="K98" s="15"/>
      <c r="L98" s="14" t="str">
        <f aca="false">IF($K98&lt;&gt;"",$K98,IF($J98&lt;&gt;"",$J98*CARBON_FRACTION_OM,""))</f>
        <v/>
      </c>
      <c r="M98" s="14" t="n">
        <f aca="false">IF($H98="Fine earth / fine-earth volume",1-IF($G98="",0,$G98)/100,1)</f>
        <v>1</v>
      </c>
      <c r="N98" s="14" t="str">
        <f aca="false">IF(OR($D98="",$E98=""),"",MAX(0,MIN($E98,REPORTING_DEPTH_CM)-MIN($D98,REPORTING_DEPTH_CM)))</f>
        <v/>
      </c>
      <c r="O98" s="14" t="str">
        <f aca="false">IF(OR($I98="",$L98="",$N98=""),"",$I98*($L98/100)*$N98*$M98*10)</f>
        <v/>
      </c>
      <c r="P98" s="14" t="str">
        <f aca="false">IF(OR($I98="",$L98="",$F98=""),"",$I98*($L98/100)*$F98*$M98*10)</f>
        <v/>
      </c>
      <c r="Q98" s="14" t="str">
        <f aca="false">IF(AND($A98="",$B98="",$D98=""),"",IF(AND($B98&lt;&gt;"",COUNTIF('2. Core Log'!$A$5:$A$124,$B98)=0),"Core ID not in Core Log. ","")&amp;IF(AND($A98&lt;&gt;"",COUNTIF('1. Plot &amp; Site Log'!$A$5:$A$64,$A98)=0),"Plot ID not in Plot &amp; Site Log. ","")&amp;IF(AND($D98&lt;&gt;"",$E98&lt;&gt;"",$E98&lt;=$D98),"Bottom depth is not below top depth. ","")&amp;IF($H98="","Say which bulk-density basis the lab reported, or the coarse-fragment correction cannot be applied safely. ","")&amp;IF(AND($I98&lt;&gt;"",OR($I98&lt;QC_BD_MIN,$I98&gt;QC_BD_MAX)),"Bulk density outside "&amp;QC_BD_MIN&amp;"–"&amp;QC_BD_MAX&amp;" g/cm³. ","")&amp;IF(AND($L98&lt;&gt;"",$L98&gt;QC_CARBON_PCT_MAX),"Carbon above "&amp;QC_CARBON_PCT_MAX&amp;"% — check units; this may be organic matter rather than carbon. ","")&amp;IF(AND($J98&lt;&gt;"",$K98&lt;&gt;""),"Both LOI and measured carbon given — the measured value is used. ","")&amp;IF(AND($N98&lt;&gt;"",$N98=0),"Slice lies entirely below the reporting depth — it counts to the full-core stock only. ",""))</f>
        <v/>
      </c>
      <c r="R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 t="str">
        <f aca="false">IF(OR($D99="",$E99=""),"",$E99-$D99)</f>
        <v/>
      </c>
      <c r="G99" s="13"/>
      <c r="H99" s="13"/>
      <c r="I99" s="15"/>
      <c r="J99" s="15"/>
      <c r="K99" s="15"/>
      <c r="L99" s="14" t="str">
        <f aca="false">IF($K99&lt;&gt;"",$K99,IF($J99&lt;&gt;"",$J99*CARBON_FRACTION_OM,""))</f>
        <v/>
      </c>
      <c r="M99" s="14" t="n">
        <f aca="false">IF($H99="Fine earth / fine-earth volume",1-IF($G99="",0,$G99)/100,1)</f>
        <v>1</v>
      </c>
      <c r="N99" s="14" t="str">
        <f aca="false">IF(OR($D99="",$E99=""),"",MAX(0,MIN($E99,REPORTING_DEPTH_CM)-MIN($D99,REPORTING_DEPTH_CM)))</f>
        <v/>
      </c>
      <c r="O99" s="14" t="str">
        <f aca="false">IF(OR($I99="",$L99="",$N99=""),"",$I99*($L99/100)*$N99*$M99*10)</f>
        <v/>
      </c>
      <c r="P99" s="14" t="str">
        <f aca="false">IF(OR($I99="",$L99="",$F99=""),"",$I99*($L99/100)*$F99*$M99*10)</f>
        <v/>
      </c>
      <c r="Q99" s="14" t="str">
        <f aca="false">IF(AND($A99="",$B99="",$D99=""),"",IF(AND($B99&lt;&gt;"",COUNTIF('2. Core Log'!$A$5:$A$124,$B99)=0),"Core ID not in Core Log. ","")&amp;IF(AND($A99&lt;&gt;"",COUNTIF('1. Plot &amp; Site Log'!$A$5:$A$64,$A99)=0),"Plot ID not in Plot &amp; Site Log. ","")&amp;IF(AND($D99&lt;&gt;"",$E99&lt;&gt;"",$E99&lt;=$D99),"Bottom depth is not below top depth. ","")&amp;IF($H99="","Say which bulk-density basis the lab reported, or the coarse-fragment correction cannot be applied safely. ","")&amp;IF(AND($I99&lt;&gt;"",OR($I99&lt;QC_BD_MIN,$I99&gt;QC_BD_MAX)),"Bulk density outside "&amp;QC_BD_MIN&amp;"–"&amp;QC_BD_MAX&amp;" g/cm³. ","")&amp;IF(AND($L99&lt;&gt;"",$L99&gt;QC_CARBON_PCT_MAX),"Carbon above "&amp;QC_CARBON_PCT_MAX&amp;"% — check units; this may be organic matter rather than carbon. ","")&amp;IF(AND($J99&lt;&gt;"",$K99&lt;&gt;""),"Both LOI and measured carbon given — the measured value is used. ","")&amp;IF(AND($N99&lt;&gt;"",$N99=0),"Slice lies entirely below the reporting depth — it counts to the full-core stock only. ",""))</f>
        <v/>
      </c>
      <c r="R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 t="str">
        <f aca="false">IF(OR($D100="",$E100=""),"",$E100-$D100)</f>
        <v/>
      </c>
      <c r="G100" s="13"/>
      <c r="H100" s="13"/>
      <c r="I100" s="15"/>
      <c r="J100" s="15"/>
      <c r="K100" s="15"/>
      <c r="L100" s="14" t="str">
        <f aca="false">IF($K100&lt;&gt;"",$K100,IF($J100&lt;&gt;"",$J100*CARBON_FRACTION_OM,""))</f>
        <v/>
      </c>
      <c r="M100" s="14" t="n">
        <f aca="false">IF($H100="Fine earth / fine-earth volume",1-IF($G100="",0,$G100)/100,1)</f>
        <v>1</v>
      </c>
      <c r="N100" s="14" t="str">
        <f aca="false">IF(OR($D100="",$E100=""),"",MAX(0,MIN($E100,REPORTING_DEPTH_CM)-MIN($D100,REPORTING_DEPTH_CM)))</f>
        <v/>
      </c>
      <c r="O100" s="14" t="str">
        <f aca="false">IF(OR($I100="",$L100="",$N100=""),"",$I100*($L100/100)*$N100*$M100*10)</f>
        <v/>
      </c>
      <c r="P100" s="14" t="str">
        <f aca="false">IF(OR($I100="",$L100="",$F100=""),"",$I100*($L100/100)*$F100*$M100*10)</f>
        <v/>
      </c>
      <c r="Q100" s="14" t="str">
        <f aca="false">IF(AND($A100="",$B100="",$D100=""),"",IF(AND($B100&lt;&gt;"",COUNTIF('2. Core Log'!$A$5:$A$124,$B100)=0),"Core ID not in Core Log. ","")&amp;IF(AND($A100&lt;&gt;"",COUNTIF('1. Plot &amp; Site Log'!$A$5:$A$64,$A100)=0),"Plot ID not in Plot &amp; Site Log. ","")&amp;IF(AND($D100&lt;&gt;"",$E100&lt;&gt;"",$E100&lt;=$D100),"Bottom depth is not below top depth. ","")&amp;IF($H100="","Say which bulk-density basis the lab reported, or the coarse-fragment correction cannot be applied safely. ","")&amp;IF(AND($I100&lt;&gt;"",OR($I100&lt;QC_BD_MIN,$I100&gt;QC_BD_MAX)),"Bulk density outside "&amp;QC_BD_MIN&amp;"–"&amp;QC_BD_MAX&amp;" g/cm³. ","")&amp;IF(AND($L100&lt;&gt;"",$L100&gt;QC_CARBON_PCT_MAX),"Carbon above "&amp;QC_CARBON_PCT_MAX&amp;"% — check units; this may be organic matter rather than carbon. ","")&amp;IF(AND($J100&lt;&gt;"",$K100&lt;&gt;""),"Both LOI and measured carbon given — the measured value is used. ","")&amp;IF(AND($N100&lt;&gt;"",$N100=0),"Slice lies entirely below the reporting depth — it counts to the full-core stock only. ",""))</f>
        <v/>
      </c>
      <c r="R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 t="str">
        <f aca="false">IF(OR($D101="",$E101=""),"",$E101-$D101)</f>
        <v/>
      </c>
      <c r="G101" s="13"/>
      <c r="H101" s="13"/>
      <c r="I101" s="15"/>
      <c r="J101" s="15"/>
      <c r="K101" s="15"/>
      <c r="L101" s="14" t="str">
        <f aca="false">IF($K101&lt;&gt;"",$K101,IF($J101&lt;&gt;"",$J101*CARBON_FRACTION_OM,""))</f>
        <v/>
      </c>
      <c r="M101" s="14" t="n">
        <f aca="false">IF($H101="Fine earth / fine-earth volume",1-IF($G101="",0,$G101)/100,1)</f>
        <v>1</v>
      </c>
      <c r="N101" s="14" t="str">
        <f aca="false">IF(OR($D101="",$E101=""),"",MAX(0,MIN($E101,REPORTING_DEPTH_CM)-MIN($D101,REPORTING_DEPTH_CM)))</f>
        <v/>
      </c>
      <c r="O101" s="14" t="str">
        <f aca="false">IF(OR($I101="",$L101="",$N101=""),"",$I101*($L101/100)*$N101*$M101*10)</f>
        <v/>
      </c>
      <c r="P101" s="14" t="str">
        <f aca="false">IF(OR($I101="",$L101="",$F101=""),"",$I101*($L101/100)*$F101*$M101*10)</f>
        <v/>
      </c>
      <c r="Q101" s="14" t="str">
        <f aca="false">IF(AND($A101="",$B101="",$D101=""),"",IF(AND($B101&lt;&gt;"",COUNTIF('2. Core Log'!$A$5:$A$124,$B101)=0),"Core ID not in Core Log. ","")&amp;IF(AND($A101&lt;&gt;"",COUNTIF('1. Plot &amp; Site Log'!$A$5:$A$64,$A101)=0),"Plot ID not in Plot &amp; Site Log. ","")&amp;IF(AND($D101&lt;&gt;"",$E101&lt;&gt;"",$E101&lt;=$D101),"Bottom depth is not below top depth. ","")&amp;IF($H101="","Say which bulk-density basis the lab reported, or the coarse-fragment correction cannot be applied safely. ","")&amp;IF(AND($I101&lt;&gt;"",OR($I101&lt;QC_BD_MIN,$I101&gt;QC_BD_MAX)),"Bulk density outside "&amp;QC_BD_MIN&amp;"–"&amp;QC_BD_MAX&amp;" g/cm³. ","")&amp;IF(AND($L101&lt;&gt;"",$L101&gt;QC_CARBON_PCT_MAX),"Carbon above "&amp;QC_CARBON_PCT_MAX&amp;"% — check units; this may be organic matter rather than carbon. ","")&amp;IF(AND($J101&lt;&gt;"",$K101&lt;&gt;""),"Both LOI and measured carbon given — the measured value is used. ","")&amp;IF(AND($N101&lt;&gt;"",$N101=0),"Slice lies entirely below the reporting depth — it counts to the full-core stock only. ",""))</f>
        <v/>
      </c>
      <c r="R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 t="str">
        <f aca="false">IF(OR($D102="",$E102=""),"",$E102-$D102)</f>
        <v/>
      </c>
      <c r="G102" s="13"/>
      <c r="H102" s="13"/>
      <c r="I102" s="15"/>
      <c r="J102" s="15"/>
      <c r="K102" s="15"/>
      <c r="L102" s="14" t="str">
        <f aca="false">IF($K102&lt;&gt;"",$K102,IF($J102&lt;&gt;"",$J102*CARBON_FRACTION_OM,""))</f>
        <v/>
      </c>
      <c r="M102" s="14" t="n">
        <f aca="false">IF($H102="Fine earth / fine-earth volume",1-IF($G102="",0,$G102)/100,1)</f>
        <v>1</v>
      </c>
      <c r="N102" s="14" t="str">
        <f aca="false">IF(OR($D102="",$E102=""),"",MAX(0,MIN($E102,REPORTING_DEPTH_CM)-MIN($D102,REPORTING_DEPTH_CM)))</f>
        <v/>
      </c>
      <c r="O102" s="14" t="str">
        <f aca="false">IF(OR($I102="",$L102="",$N102=""),"",$I102*($L102/100)*$N102*$M102*10)</f>
        <v/>
      </c>
      <c r="P102" s="14" t="str">
        <f aca="false">IF(OR($I102="",$L102="",$F102=""),"",$I102*($L102/100)*$F102*$M102*10)</f>
        <v/>
      </c>
      <c r="Q102" s="14" t="str">
        <f aca="false">IF(AND($A102="",$B102="",$D102=""),"",IF(AND($B102&lt;&gt;"",COUNTIF('2. Core Log'!$A$5:$A$124,$B102)=0),"Core ID not in Core Log. ","")&amp;IF(AND($A102&lt;&gt;"",COUNTIF('1. Plot &amp; Site Log'!$A$5:$A$64,$A102)=0),"Plot ID not in Plot &amp; Site Log. ","")&amp;IF(AND($D102&lt;&gt;"",$E102&lt;&gt;"",$E102&lt;=$D102),"Bottom depth is not below top depth. ","")&amp;IF($H102="","Say which bulk-density basis the lab reported, or the coarse-fragment correction cannot be applied safely. ","")&amp;IF(AND($I102&lt;&gt;"",OR($I102&lt;QC_BD_MIN,$I102&gt;QC_BD_MAX)),"Bulk density outside "&amp;QC_BD_MIN&amp;"–"&amp;QC_BD_MAX&amp;" g/cm³. ","")&amp;IF(AND($L102&lt;&gt;"",$L102&gt;QC_CARBON_PCT_MAX),"Carbon above "&amp;QC_CARBON_PCT_MAX&amp;"% — check units; this may be organic matter rather than carbon. ","")&amp;IF(AND($J102&lt;&gt;"",$K102&lt;&gt;""),"Both LOI and measured carbon given — the measured value is used. ","")&amp;IF(AND($N102&lt;&gt;"",$N102=0),"Slice lies entirely below the reporting depth — it counts to the full-core stock only. ",""))</f>
        <v/>
      </c>
      <c r="R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 t="str">
        <f aca="false">IF(OR($D103="",$E103=""),"",$E103-$D103)</f>
        <v/>
      </c>
      <c r="G103" s="13"/>
      <c r="H103" s="13"/>
      <c r="I103" s="15"/>
      <c r="J103" s="15"/>
      <c r="K103" s="15"/>
      <c r="L103" s="14" t="str">
        <f aca="false">IF($K103&lt;&gt;"",$K103,IF($J103&lt;&gt;"",$J103*CARBON_FRACTION_OM,""))</f>
        <v/>
      </c>
      <c r="M103" s="14" t="n">
        <f aca="false">IF($H103="Fine earth / fine-earth volume",1-IF($G103="",0,$G103)/100,1)</f>
        <v>1</v>
      </c>
      <c r="N103" s="14" t="str">
        <f aca="false">IF(OR($D103="",$E103=""),"",MAX(0,MIN($E103,REPORTING_DEPTH_CM)-MIN($D103,REPORTING_DEPTH_CM)))</f>
        <v/>
      </c>
      <c r="O103" s="14" t="str">
        <f aca="false">IF(OR($I103="",$L103="",$N103=""),"",$I103*($L103/100)*$N103*$M103*10)</f>
        <v/>
      </c>
      <c r="P103" s="14" t="str">
        <f aca="false">IF(OR($I103="",$L103="",$F103=""),"",$I103*($L103/100)*$F103*$M103*10)</f>
        <v/>
      </c>
      <c r="Q103" s="14" t="str">
        <f aca="false">IF(AND($A103="",$B103="",$D103=""),"",IF(AND($B103&lt;&gt;"",COUNTIF('2. Core Log'!$A$5:$A$124,$B103)=0),"Core ID not in Core Log. ","")&amp;IF(AND($A103&lt;&gt;"",COUNTIF('1. Plot &amp; Site Log'!$A$5:$A$64,$A103)=0),"Plot ID not in Plot &amp; Site Log. ","")&amp;IF(AND($D103&lt;&gt;"",$E103&lt;&gt;"",$E103&lt;=$D103),"Bottom depth is not below top depth. ","")&amp;IF($H103="","Say which bulk-density basis the lab reported, or the coarse-fragment correction cannot be applied safely. ","")&amp;IF(AND($I103&lt;&gt;"",OR($I103&lt;QC_BD_MIN,$I103&gt;QC_BD_MAX)),"Bulk density outside "&amp;QC_BD_MIN&amp;"–"&amp;QC_BD_MAX&amp;" g/cm³. ","")&amp;IF(AND($L103&lt;&gt;"",$L103&gt;QC_CARBON_PCT_MAX),"Carbon above "&amp;QC_CARBON_PCT_MAX&amp;"% — check units; this may be organic matter rather than carbon. ","")&amp;IF(AND($J103&lt;&gt;"",$K103&lt;&gt;""),"Both LOI and measured carbon given — the measured value is used. ","")&amp;IF(AND($N103&lt;&gt;"",$N103=0),"Slice lies entirely below the reporting depth — it counts to the full-core stock only. ",""))</f>
        <v/>
      </c>
      <c r="R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 t="str">
        <f aca="false">IF(OR($D104="",$E104=""),"",$E104-$D104)</f>
        <v/>
      </c>
      <c r="G104" s="13"/>
      <c r="H104" s="13"/>
      <c r="I104" s="15"/>
      <c r="J104" s="15"/>
      <c r="K104" s="15"/>
      <c r="L104" s="14" t="str">
        <f aca="false">IF($K104&lt;&gt;"",$K104,IF($J104&lt;&gt;"",$J104*CARBON_FRACTION_OM,""))</f>
        <v/>
      </c>
      <c r="M104" s="14" t="n">
        <f aca="false">IF($H104="Fine earth / fine-earth volume",1-IF($G104="",0,$G104)/100,1)</f>
        <v>1</v>
      </c>
      <c r="N104" s="14" t="str">
        <f aca="false">IF(OR($D104="",$E104=""),"",MAX(0,MIN($E104,REPORTING_DEPTH_CM)-MIN($D104,REPORTING_DEPTH_CM)))</f>
        <v/>
      </c>
      <c r="O104" s="14" t="str">
        <f aca="false">IF(OR($I104="",$L104="",$N104=""),"",$I104*($L104/100)*$N104*$M104*10)</f>
        <v/>
      </c>
      <c r="P104" s="14" t="str">
        <f aca="false">IF(OR($I104="",$L104="",$F104=""),"",$I104*($L104/100)*$F104*$M104*10)</f>
        <v/>
      </c>
      <c r="Q104" s="14" t="str">
        <f aca="false">IF(AND($A104="",$B104="",$D104=""),"",IF(AND($B104&lt;&gt;"",COUNTIF('2. Core Log'!$A$5:$A$124,$B104)=0),"Core ID not in Core Log. ","")&amp;IF(AND($A104&lt;&gt;"",COUNTIF('1. Plot &amp; Site Log'!$A$5:$A$64,$A104)=0),"Plot ID not in Plot &amp; Site Log. ","")&amp;IF(AND($D104&lt;&gt;"",$E104&lt;&gt;"",$E104&lt;=$D104),"Bottom depth is not below top depth. ","")&amp;IF($H104="","Say which bulk-density basis the lab reported, or the coarse-fragment correction cannot be applied safely. ","")&amp;IF(AND($I104&lt;&gt;"",OR($I104&lt;QC_BD_MIN,$I104&gt;QC_BD_MAX)),"Bulk density outside "&amp;QC_BD_MIN&amp;"–"&amp;QC_BD_MAX&amp;" g/cm³. ","")&amp;IF(AND($L104&lt;&gt;"",$L104&gt;QC_CARBON_PCT_MAX),"Carbon above "&amp;QC_CARBON_PCT_MAX&amp;"% — check units; this may be organic matter rather than carbon. ","")&amp;IF(AND($J104&lt;&gt;"",$K104&lt;&gt;""),"Both LOI and measured carbon given — the measured value is used. ","")&amp;IF(AND($N104&lt;&gt;"",$N104=0),"Slice lies entirely below the reporting depth — it counts to the full-core stock only. ",""))</f>
        <v/>
      </c>
      <c r="R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 t="str">
        <f aca="false">IF(OR($D105="",$E105=""),"",$E105-$D105)</f>
        <v/>
      </c>
      <c r="G105" s="13"/>
      <c r="H105" s="13"/>
      <c r="I105" s="15"/>
      <c r="J105" s="15"/>
      <c r="K105" s="15"/>
      <c r="L105" s="14" t="str">
        <f aca="false">IF($K105&lt;&gt;"",$K105,IF($J105&lt;&gt;"",$J105*CARBON_FRACTION_OM,""))</f>
        <v/>
      </c>
      <c r="M105" s="14" t="n">
        <f aca="false">IF($H105="Fine earth / fine-earth volume",1-IF($G105="",0,$G105)/100,1)</f>
        <v>1</v>
      </c>
      <c r="N105" s="14" t="str">
        <f aca="false">IF(OR($D105="",$E105=""),"",MAX(0,MIN($E105,REPORTING_DEPTH_CM)-MIN($D105,REPORTING_DEPTH_CM)))</f>
        <v/>
      </c>
      <c r="O105" s="14" t="str">
        <f aca="false">IF(OR($I105="",$L105="",$N105=""),"",$I105*($L105/100)*$N105*$M105*10)</f>
        <v/>
      </c>
      <c r="P105" s="14" t="str">
        <f aca="false">IF(OR($I105="",$L105="",$F105=""),"",$I105*($L105/100)*$F105*$M105*10)</f>
        <v/>
      </c>
      <c r="Q105" s="14" t="str">
        <f aca="false">IF(AND($A105="",$B105="",$D105=""),"",IF(AND($B105&lt;&gt;"",COUNTIF('2. Core Log'!$A$5:$A$124,$B105)=0),"Core ID not in Core Log. ","")&amp;IF(AND($A105&lt;&gt;"",COUNTIF('1. Plot &amp; Site Log'!$A$5:$A$64,$A105)=0),"Plot ID not in Plot &amp; Site Log. ","")&amp;IF(AND($D105&lt;&gt;"",$E105&lt;&gt;"",$E105&lt;=$D105),"Bottom depth is not below top depth. ","")&amp;IF($H105="","Say which bulk-density basis the lab reported, or the coarse-fragment correction cannot be applied safely. ","")&amp;IF(AND($I105&lt;&gt;"",OR($I105&lt;QC_BD_MIN,$I105&gt;QC_BD_MAX)),"Bulk density outside "&amp;QC_BD_MIN&amp;"–"&amp;QC_BD_MAX&amp;" g/cm³. ","")&amp;IF(AND($L105&lt;&gt;"",$L105&gt;QC_CARBON_PCT_MAX),"Carbon above "&amp;QC_CARBON_PCT_MAX&amp;"% — check units; this may be organic matter rather than carbon. ","")&amp;IF(AND($J105&lt;&gt;"",$K105&lt;&gt;""),"Both LOI and measured carbon given — the measured value is used. ","")&amp;IF(AND($N105&lt;&gt;"",$N105=0),"Slice lies entirely below the reporting depth — it counts to the full-core stock only. ",""))</f>
        <v/>
      </c>
      <c r="R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 t="str">
        <f aca="false">IF(OR($D106="",$E106=""),"",$E106-$D106)</f>
        <v/>
      </c>
      <c r="G106" s="13"/>
      <c r="H106" s="13"/>
      <c r="I106" s="15"/>
      <c r="J106" s="15"/>
      <c r="K106" s="15"/>
      <c r="L106" s="14" t="str">
        <f aca="false">IF($K106&lt;&gt;"",$K106,IF($J106&lt;&gt;"",$J106*CARBON_FRACTION_OM,""))</f>
        <v/>
      </c>
      <c r="M106" s="14" t="n">
        <f aca="false">IF($H106="Fine earth / fine-earth volume",1-IF($G106="",0,$G106)/100,1)</f>
        <v>1</v>
      </c>
      <c r="N106" s="14" t="str">
        <f aca="false">IF(OR($D106="",$E106=""),"",MAX(0,MIN($E106,REPORTING_DEPTH_CM)-MIN($D106,REPORTING_DEPTH_CM)))</f>
        <v/>
      </c>
      <c r="O106" s="14" t="str">
        <f aca="false">IF(OR($I106="",$L106="",$N106=""),"",$I106*($L106/100)*$N106*$M106*10)</f>
        <v/>
      </c>
      <c r="P106" s="14" t="str">
        <f aca="false">IF(OR($I106="",$L106="",$F106=""),"",$I106*($L106/100)*$F106*$M106*10)</f>
        <v/>
      </c>
      <c r="Q106" s="14" t="str">
        <f aca="false">IF(AND($A106="",$B106="",$D106=""),"",IF(AND($B106&lt;&gt;"",COUNTIF('2. Core Log'!$A$5:$A$124,$B106)=0),"Core ID not in Core Log. ","")&amp;IF(AND($A106&lt;&gt;"",COUNTIF('1. Plot &amp; Site Log'!$A$5:$A$64,$A106)=0),"Plot ID not in Plot &amp; Site Log. ","")&amp;IF(AND($D106&lt;&gt;"",$E106&lt;&gt;"",$E106&lt;=$D106),"Bottom depth is not below top depth. ","")&amp;IF($H106="","Say which bulk-density basis the lab reported, or the coarse-fragment correction cannot be applied safely. ","")&amp;IF(AND($I106&lt;&gt;"",OR($I106&lt;QC_BD_MIN,$I106&gt;QC_BD_MAX)),"Bulk density outside "&amp;QC_BD_MIN&amp;"–"&amp;QC_BD_MAX&amp;" g/cm³. ","")&amp;IF(AND($L106&lt;&gt;"",$L106&gt;QC_CARBON_PCT_MAX),"Carbon above "&amp;QC_CARBON_PCT_MAX&amp;"% — check units; this may be organic matter rather than carbon. ","")&amp;IF(AND($J106&lt;&gt;"",$K106&lt;&gt;""),"Both LOI and measured carbon given — the measured value is used. ","")&amp;IF(AND($N106&lt;&gt;"",$N106=0),"Slice lies entirely below the reporting depth — it counts to the full-core stock only. ",""))</f>
        <v/>
      </c>
      <c r="R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 t="str">
        <f aca="false">IF(OR($D107="",$E107=""),"",$E107-$D107)</f>
        <v/>
      </c>
      <c r="G107" s="13"/>
      <c r="H107" s="13"/>
      <c r="I107" s="15"/>
      <c r="J107" s="15"/>
      <c r="K107" s="15"/>
      <c r="L107" s="14" t="str">
        <f aca="false">IF($K107&lt;&gt;"",$K107,IF($J107&lt;&gt;"",$J107*CARBON_FRACTION_OM,""))</f>
        <v/>
      </c>
      <c r="M107" s="14" t="n">
        <f aca="false">IF($H107="Fine earth / fine-earth volume",1-IF($G107="",0,$G107)/100,1)</f>
        <v>1</v>
      </c>
      <c r="N107" s="14" t="str">
        <f aca="false">IF(OR($D107="",$E107=""),"",MAX(0,MIN($E107,REPORTING_DEPTH_CM)-MIN($D107,REPORTING_DEPTH_CM)))</f>
        <v/>
      </c>
      <c r="O107" s="14" t="str">
        <f aca="false">IF(OR($I107="",$L107="",$N107=""),"",$I107*($L107/100)*$N107*$M107*10)</f>
        <v/>
      </c>
      <c r="P107" s="14" t="str">
        <f aca="false">IF(OR($I107="",$L107="",$F107=""),"",$I107*($L107/100)*$F107*$M107*10)</f>
        <v/>
      </c>
      <c r="Q107" s="14" t="str">
        <f aca="false">IF(AND($A107="",$B107="",$D107=""),"",IF(AND($B107&lt;&gt;"",COUNTIF('2. Core Log'!$A$5:$A$124,$B107)=0),"Core ID not in Core Log. ","")&amp;IF(AND($A107&lt;&gt;"",COUNTIF('1. Plot &amp; Site Log'!$A$5:$A$64,$A107)=0),"Plot ID not in Plot &amp; Site Log. ","")&amp;IF(AND($D107&lt;&gt;"",$E107&lt;&gt;"",$E107&lt;=$D107),"Bottom depth is not below top depth. ","")&amp;IF($H107="","Say which bulk-density basis the lab reported, or the coarse-fragment correction cannot be applied safely. ","")&amp;IF(AND($I107&lt;&gt;"",OR($I107&lt;QC_BD_MIN,$I107&gt;QC_BD_MAX)),"Bulk density outside "&amp;QC_BD_MIN&amp;"–"&amp;QC_BD_MAX&amp;" g/cm³. ","")&amp;IF(AND($L107&lt;&gt;"",$L107&gt;QC_CARBON_PCT_MAX),"Carbon above "&amp;QC_CARBON_PCT_MAX&amp;"% — check units; this may be organic matter rather than carbon. ","")&amp;IF(AND($J107&lt;&gt;"",$K107&lt;&gt;""),"Both LOI and measured carbon given — the measured value is used. ","")&amp;IF(AND($N107&lt;&gt;"",$N107=0),"Slice lies entirely below the reporting depth — it counts to the full-core stock only. ",""))</f>
        <v/>
      </c>
      <c r="R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 t="str">
        <f aca="false">IF(OR($D108="",$E108=""),"",$E108-$D108)</f>
        <v/>
      </c>
      <c r="G108" s="13"/>
      <c r="H108" s="13"/>
      <c r="I108" s="15"/>
      <c r="J108" s="15"/>
      <c r="K108" s="15"/>
      <c r="L108" s="14" t="str">
        <f aca="false">IF($K108&lt;&gt;"",$K108,IF($J108&lt;&gt;"",$J108*CARBON_FRACTION_OM,""))</f>
        <v/>
      </c>
      <c r="M108" s="14" t="n">
        <f aca="false">IF($H108="Fine earth / fine-earth volume",1-IF($G108="",0,$G108)/100,1)</f>
        <v>1</v>
      </c>
      <c r="N108" s="14" t="str">
        <f aca="false">IF(OR($D108="",$E108=""),"",MAX(0,MIN($E108,REPORTING_DEPTH_CM)-MIN($D108,REPORTING_DEPTH_CM)))</f>
        <v/>
      </c>
      <c r="O108" s="14" t="str">
        <f aca="false">IF(OR($I108="",$L108="",$N108=""),"",$I108*($L108/100)*$N108*$M108*10)</f>
        <v/>
      </c>
      <c r="P108" s="14" t="str">
        <f aca="false">IF(OR($I108="",$L108="",$F108=""),"",$I108*($L108/100)*$F108*$M108*10)</f>
        <v/>
      </c>
      <c r="Q108" s="14" t="str">
        <f aca="false">IF(AND($A108="",$B108="",$D108=""),"",IF(AND($B108&lt;&gt;"",COUNTIF('2. Core Log'!$A$5:$A$124,$B108)=0),"Core ID not in Core Log. ","")&amp;IF(AND($A108&lt;&gt;"",COUNTIF('1. Plot &amp; Site Log'!$A$5:$A$64,$A108)=0),"Plot ID not in Plot &amp; Site Log. ","")&amp;IF(AND($D108&lt;&gt;"",$E108&lt;&gt;"",$E108&lt;=$D108),"Bottom depth is not below top depth. ","")&amp;IF($H108="","Say which bulk-density basis the lab reported, or the coarse-fragment correction cannot be applied safely. ","")&amp;IF(AND($I108&lt;&gt;"",OR($I108&lt;QC_BD_MIN,$I108&gt;QC_BD_MAX)),"Bulk density outside "&amp;QC_BD_MIN&amp;"–"&amp;QC_BD_MAX&amp;" g/cm³. ","")&amp;IF(AND($L108&lt;&gt;"",$L108&gt;QC_CARBON_PCT_MAX),"Carbon above "&amp;QC_CARBON_PCT_MAX&amp;"% — check units; this may be organic matter rather than carbon. ","")&amp;IF(AND($J108&lt;&gt;"",$K108&lt;&gt;""),"Both LOI and measured carbon given — the measured value is used. ","")&amp;IF(AND($N108&lt;&gt;"",$N108=0),"Slice lies entirely below the reporting depth — it counts to the full-core stock only. ",""))</f>
        <v/>
      </c>
      <c r="R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 t="str">
        <f aca="false">IF(OR($D109="",$E109=""),"",$E109-$D109)</f>
        <v/>
      </c>
      <c r="G109" s="13"/>
      <c r="H109" s="13"/>
      <c r="I109" s="15"/>
      <c r="J109" s="15"/>
      <c r="K109" s="15"/>
      <c r="L109" s="14" t="str">
        <f aca="false">IF($K109&lt;&gt;"",$K109,IF($J109&lt;&gt;"",$J109*CARBON_FRACTION_OM,""))</f>
        <v/>
      </c>
      <c r="M109" s="14" t="n">
        <f aca="false">IF($H109="Fine earth / fine-earth volume",1-IF($G109="",0,$G109)/100,1)</f>
        <v>1</v>
      </c>
      <c r="N109" s="14" t="str">
        <f aca="false">IF(OR($D109="",$E109=""),"",MAX(0,MIN($E109,REPORTING_DEPTH_CM)-MIN($D109,REPORTING_DEPTH_CM)))</f>
        <v/>
      </c>
      <c r="O109" s="14" t="str">
        <f aca="false">IF(OR($I109="",$L109="",$N109=""),"",$I109*($L109/100)*$N109*$M109*10)</f>
        <v/>
      </c>
      <c r="P109" s="14" t="str">
        <f aca="false">IF(OR($I109="",$L109="",$F109=""),"",$I109*($L109/100)*$F109*$M109*10)</f>
        <v/>
      </c>
      <c r="Q109" s="14" t="str">
        <f aca="false">IF(AND($A109="",$B109="",$D109=""),"",IF(AND($B109&lt;&gt;"",COUNTIF('2. Core Log'!$A$5:$A$124,$B109)=0),"Core ID not in Core Log. ","")&amp;IF(AND($A109&lt;&gt;"",COUNTIF('1. Plot &amp; Site Log'!$A$5:$A$64,$A109)=0),"Plot ID not in Plot &amp; Site Log. ","")&amp;IF(AND($D109&lt;&gt;"",$E109&lt;&gt;"",$E109&lt;=$D109),"Bottom depth is not below top depth. ","")&amp;IF($H109="","Say which bulk-density basis the lab reported, or the coarse-fragment correction cannot be applied safely. ","")&amp;IF(AND($I109&lt;&gt;"",OR($I109&lt;QC_BD_MIN,$I109&gt;QC_BD_MAX)),"Bulk density outside "&amp;QC_BD_MIN&amp;"–"&amp;QC_BD_MAX&amp;" g/cm³. ","")&amp;IF(AND($L109&lt;&gt;"",$L109&gt;QC_CARBON_PCT_MAX),"Carbon above "&amp;QC_CARBON_PCT_MAX&amp;"% — check units; this may be organic matter rather than carbon. ","")&amp;IF(AND($J109&lt;&gt;"",$K109&lt;&gt;""),"Both LOI and measured carbon given — the measured value is used. ","")&amp;IF(AND($N109&lt;&gt;"",$N109=0),"Slice lies entirely below the reporting depth — it counts to the full-core stock only. ",""))</f>
        <v/>
      </c>
      <c r="R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 t="str">
        <f aca="false">IF(OR($D110="",$E110=""),"",$E110-$D110)</f>
        <v/>
      </c>
      <c r="G110" s="13"/>
      <c r="H110" s="13"/>
      <c r="I110" s="15"/>
      <c r="J110" s="15"/>
      <c r="K110" s="15"/>
      <c r="L110" s="14" t="str">
        <f aca="false">IF($K110&lt;&gt;"",$K110,IF($J110&lt;&gt;"",$J110*CARBON_FRACTION_OM,""))</f>
        <v/>
      </c>
      <c r="M110" s="14" t="n">
        <f aca="false">IF($H110="Fine earth / fine-earth volume",1-IF($G110="",0,$G110)/100,1)</f>
        <v>1</v>
      </c>
      <c r="N110" s="14" t="str">
        <f aca="false">IF(OR($D110="",$E110=""),"",MAX(0,MIN($E110,REPORTING_DEPTH_CM)-MIN($D110,REPORTING_DEPTH_CM)))</f>
        <v/>
      </c>
      <c r="O110" s="14" t="str">
        <f aca="false">IF(OR($I110="",$L110="",$N110=""),"",$I110*($L110/100)*$N110*$M110*10)</f>
        <v/>
      </c>
      <c r="P110" s="14" t="str">
        <f aca="false">IF(OR($I110="",$L110="",$F110=""),"",$I110*($L110/100)*$F110*$M110*10)</f>
        <v/>
      </c>
      <c r="Q110" s="14" t="str">
        <f aca="false">IF(AND($A110="",$B110="",$D110=""),"",IF(AND($B110&lt;&gt;"",COUNTIF('2. Core Log'!$A$5:$A$124,$B110)=0),"Core ID not in Core Log. ","")&amp;IF(AND($A110&lt;&gt;"",COUNTIF('1. Plot &amp; Site Log'!$A$5:$A$64,$A110)=0),"Plot ID not in Plot &amp; Site Log. ","")&amp;IF(AND($D110&lt;&gt;"",$E110&lt;&gt;"",$E110&lt;=$D110),"Bottom depth is not below top depth. ","")&amp;IF($H110="","Say which bulk-density basis the lab reported, or the coarse-fragment correction cannot be applied safely. ","")&amp;IF(AND($I110&lt;&gt;"",OR($I110&lt;QC_BD_MIN,$I110&gt;QC_BD_MAX)),"Bulk density outside "&amp;QC_BD_MIN&amp;"–"&amp;QC_BD_MAX&amp;" g/cm³. ","")&amp;IF(AND($L110&lt;&gt;"",$L110&gt;QC_CARBON_PCT_MAX),"Carbon above "&amp;QC_CARBON_PCT_MAX&amp;"% — check units; this may be organic matter rather than carbon. ","")&amp;IF(AND($J110&lt;&gt;"",$K110&lt;&gt;""),"Both LOI and measured carbon given — the measured value is used. ","")&amp;IF(AND($N110&lt;&gt;"",$N110=0),"Slice lies entirely below the reporting depth — it counts to the full-core stock only. ",""))</f>
        <v/>
      </c>
      <c r="R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 t="str">
        <f aca="false">IF(OR($D111="",$E111=""),"",$E111-$D111)</f>
        <v/>
      </c>
      <c r="G111" s="13"/>
      <c r="H111" s="13"/>
      <c r="I111" s="15"/>
      <c r="J111" s="15"/>
      <c r="K111" s="15"/>
      <c r="L111" s="14" t="str">
        <f aca="false">IF($K111&lt;&gt;"",$K111,IF($J111&lt;&gt;"",$J111*CARBON_FRACTION_OM,""))</f>
        <v/>
      </c>
      <c r="M111" s="14" t="n">
        <f aca="false">IF($H111="Fine earth / fine-earth volume",1-IF($G111="",0,$G111)/100,1)</f>
        <v>1</v>
      </c>
      <c r="N111" s="14" t="str">
        <f aca="false">IF(OR($D111="",$E111=""),"",MAX(0,MIN($E111,REPORTING_DEPTH_CM)-MIN($D111,REPORTING_DEPTH_CM)))</f>
        <v/>
      </c>
      <c r="O111" s="14" t="str">
        <f aca="false">IF(OR($I111="",$L111="",$N111=""),"",$I111*($L111/100)*$N111*$M111*10)</f>
        <v/>
      </c>
      <c r="P111" s="14" t="str">
        <f aca="false">IF(OR($I111="",$L111="",$F111=""),"",$I111*($L111/100)*$F111*$M111*10)</f>
        <v/>
      </c>
      <c r="Q111" s="14" t="str">
        <f aca="false">IF(AND($A111="",$B111="",$D111=""),"",IF(AND($B111&lt;&gt;"",COUNTIF('2. Core Log'!$A$5:$A$124,$B111)=0),"Core ID not in Core Log. ","")&amp;IF(AND($A111&lt;&gt;"",COUNTIF('1. Plot &amp; Site Log'!$A$5:$A$64,$A111)=0),"Plot ID not in Plot &amp; Site Log. ","")&amp;IF(AND($D111&lt;&gt;"",$E111&lt;&gt;"",$E111&lt;=$D111),"Bottom depth is not below top depth. ","")&amp;IF($H111="","Say which bulk-density basis the lab reported, or the coarse-fragment correction cannot be applied safely. ","")&amp;IF(AND($I111&lt;&gt;"",OR($I111&lt;QC_BD_MIN,$I111&gt;QC_BD_MAX)),"Bulk density outside "&amp;QC_BD_MIN&amp;"–"&amp;QC_BD_MAX&amp;" g/cm³. ","")&amp;IF(AND($L111&lt;&gt;"",$L111&gt;QC_CARBON_PCT_MAX),"Carbon above "&amp;QC_CARBON_PCT_MAX&amp;"% — check units; this may be organic matter rather than carbon. ","")&amp;IF(AND($J111&lt;&gt;"",$K111&lt;&gt;""),"Both LOI and measured carbon given — the measured value is used. ","")&amp;IF(AND($N111&lt;&gt;"",$N111=0),"Slice lies entirely below the reporting depth — it counts to the full-core stock only. ",""))</f>
        <v/>
      </c>
      <c r="R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 t="str">
        <f aca="false">IF(OR($D112="",$E112=""),"",$E112-$D112)</f>
        <v/>
      </c>
      <c r="G112" s="13"/>
      <c r="H112" s="13"/>
      <c r="I112" s="15"/>
      <c r="J112" s="15"/>
      <c r="K112" s="15"/>
      <c r="L112" s="14" t="str">
        <f aca="false">IF($K112&lt;&gt;"",$K112,IF($J112&lt;&gt;"",$J112*CARBON_FRACTION_OM,""))</f>
        <v/>
      </c>
      <c r="M112" s="14" t="n">
        <f aca="false">IF($H112="Fine earth / fine-earth volume",1-IF($G112="",0,$G112)/100,1)</f>
        <v>1</v>
      </c>
      <c r="N112" s="14" t="str">
        <f aca="false">IF(OR($D112="",$E112=""),"",MAX(0,MIN($E112,REPORTING_DEPTH_CM)-MIN($D112,REPORTING_DEPTH_CM)))</f>
        <v/>
      </c>
      <c r="O112" s="14" t="str">
        <f aca="false">IF(OR($I112="",$L112="",$N112=""),"",$I112*($L112/100)*$N112*$M112*10)</f>
        <v/>
      </c>
      <c r="P112" s="14" t="str">
        <f aca="false">IF(OR($I112="",$L112="",$F112=""),"",$I112*($L112/100)*$F112*$M112*10)</f>
        <v/>
      </c>
      <c r="Q112" s="14" t="str">
        <f aca="false">IF(AND($A112="",$B112="",$D112=""),"",IF(AND($B112&lt;&gt;"",COUNTIF('2. Core Log'!$A$5:$A$124,$B112)=0),"Core ID not in Core Log. ","")&amp;IF(AND($A112&lt;&gt;"",COUNTIF('1. Plot &amp; Site Log'!$A$5:$A$64,$A112)=0),"Plot ID not in Plot &amp; Site Log. ","")&amp;IF(AND($D112&lt;&gt;"",$E112&lt;&gt;"",$E112&lt;=$D112),"Bottom depth is not below top depth. ","")&amp;IF($H112="","Say which bulk-density basis the lab reported, or the coarse-fragment correction cannot be applied safely. ","")&amp;IF(AND($I112&lt;&gt;"",OR($I112&lt;QC_BD_MIN,$I112&gt;QC_BD_MAX)),"Bulk density outside "&amp;QC_BD_MIN&amp;"–"&amp;QC_BD_MAX&amp;" g/cm³. ","")&amp;IF(AND($L112&lt;&gt;"",$L112&gt;QC_CARBON_PCT_MAX),"Carbon above "&amp;QC_CARBON_PCT_MAX&amp;"% — check units; this may be organic matter rather than carbon. ","")&amp;IF(AND($J112&lt;&gt;"",$K112&lt;&gt;""),"Both LOI and measured carbon given — the measured value is used. ","")&amp;IF(AND($N112&lt;&gt;"",$N112=0),"Slice lies entirely below the reporting depth — it counts to the full-core stock only. ",""))</f>
        <v/>
      </c>
      <c r="R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 t="str">
        <f aca="false">IF(OR($D113="",$E113=""),"",$E113-$D113)</f>
        <v/>
      </c>
      <c r="G113" s="13"/>
      <c r="H113" s="13"/>
      <c r="I113" s="15"/>
      <c r="J113" s="15"/>
      <c r="K113" s="15"/>
      <c r="L113" s="14" t="str">
        <f aca="false">IF($K113&lt;&gt;"",$K113,IF($J113&lt;&gt;"",$J113*CARBON_FRACTION_OM,""))</f>
        <v/>
      </c>
      <c r="M113" s="14" t="n">
        <f aca="false">IF($H113="Fine earth / fine-earth volume",1-IF($G113="",0,$G113)/100,1)</f>
        <v>1</v>
      </c>
      <c r="N113" s="14" t="str">
        <f aca="false">IF(OR($D113="",$E113=""),"",MAX(0,MIN($E113,REPORTING_DEPTH_CM)-MIN($D113,REPORTING_DEPTH_CM)))</f>
        <v/>
      </c>
      <c r="O113" s="14" t="str">
        <f aca="false">IF(OR($I113="",$L113="",$N113=""),"",$I113*($L113/100)*$N113*$M113*10)</f>
        <v/>
      </c>
      <c r="P113" s="14" t="str">
        <f aca="false">IF(OR($I113="",$L113="",$F113=""),"",$I113*($L113/100)*$F113*$M113*10)</f>
        <v/>
      </c>
      <c r="Q113" s="14" t="str">
        <f aca="false">IF(AND($A113="",$B113="",$D113=""),"",IF(AND($B113&lt;&gt;"",COUNTIF('2. Core Log'!$A$5:$A$124,$B113)=0),"Core ID not in Core Log. ","")&amp;IF(AND($A113&lt;&gt;"",COUNTIF('1. Plot &amp; Site Log'!$A$5:$A$64,$A113)=0),"Plot ID not in Plot &amp; Site Log. ","")&amp;IF(AND($D113&lt;&gt;"",$E113&lt;&gt;"",$E113&lt;=$D113),"Bottom depth is not below top depth. ","")&amp;IF($H113="","Say which bulk-density basis the lab reported, or the coarse-fragment correction cannot be applied safely. ","")&amp;IF(AND($I113&lt;&gt;"",OR($I113&lt;QC_BD_MIN,$I113&gt;QC_BD_MAX)),"Bulk density outside "&amp;QC_BD_MIN&amp;"–"&amp;QC_BD_MAX&amp;" g/cm³. ","")&amp;IF(AND($L113&lt;&gt;"",$L113&gt;QC_CARBON_PCT_MAX),"Carbon above "&amp;QC_CARBON_PCT_MAX&amp;"% — check units; this may be organic matter rather than carbon. ","")&amp;IF(AND($J113&lt;&gt;"",$K113&lt;&gt;""),"Both LOI and measured carbon given — the measured value is used. ","")&amp;IF(AND($N113&lt;&gt;"",$N113=0),"Slice lies entirely below the reporting depth — it counts to the full-core stock only. ",""))</f>
        <v/>
      </c>
      <c r="R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 t="str">
        <f aca="false">IF(OR($D114="",$E114=""),"",$E114-$D114)</f>
        <v/>
      </c>
      <c r="G114" s="13"/>
      <c r="H114" s="13"/>
      <c r="I114" s="15"/>
      <c r="J114" s="15"/>
      <c r="K114" s="15"/>
      <c r="L114" s="14" t="str">
        <f aca="false">IF($K114&lt;&gt;"",$K114,IF($J114&lt;&gt;"",$J114*CARBON_FRACTION_OM,""))</f>
        <v/>
      </c>
      <c r="M114" s="14" t="n">
        <f aca="false">IF($H114="Fine earth / fine-earth volume",1-IF($G114="",0,$G114)/100,1)</f>
        <v>1</v>
      </c>
      <c r="N114" s="14" t="str">
        <f aca="false">IF(OR($D114="",$E114=""),"",MAX(0,MIN($E114,REPORTING_DEPTH_CM)-MIN($D114,REPORTING_DEPTH_CM)))</f>
        <v/>
      </c>
      <c r="O114" s="14" t="str">
        <f aca="false">IF(OR($I114="",$L114="",$N114=""),"",$I114*($L114/100)*$N114*$M114*10)</f>
        <v/>
      </c>
      <c r="P114" s="14" t="str">
        <f aca="false">IF(OR($I114="",$L114="",$F114=""),"",$I114*($L114/100)*$F114*$M114*10)</f>
        <v/>
      </c>
      <c r="Q114" s="14" t="str">
        <f aca="false">IF(AND($A114="",$B114="",$D114=""),"",IF(AND($B114&lt;&gt;"",COUNTIF('2. Core Log'!$A$5:$A$124,$B114)=0),"Core ID not in Core Log. ","")&amp;IF(AND($A114&lt;&gt;"",COUNTIF('1. Plot &amp; Site Log'!$A$5:$A$64,$A114)=0),"Plot ID not in Plot &amp; Site Log. ","")&amp;IF(AND($D114&lt;&gt;"",$E114&lt;&gt;"",$E114&lt;=$D114),"Bottom depth is not below top depth. ","")&amp;IF($H114="","Say which bulk-density basis the lab reported, or the coarse-fragment correction cannot be applied safely. ","")&amp;IF(AND($I114&lt;&gt;"",OR($I114&lt;QC_BD_MIN,$I114&gt;QC_BD_MAX)),"Bulk density outside "&amp;QC_BD_MIN&amp;"–"&amp;QC_BD_MAX&amp;" g/cm³. ","")&amp;IF(AND($L114&lt;&gt;"",$L114&gt;QC_CARBON_PCT_MAX),"Carbon above "&amp;QC_CARBON_PCT_MAX&amp;"% — check units; this may be organic matter rather than carbon. ","")&amp;IF(AND($J114&lt;&gt;"",$K114&lt;&gt;""),"Both LOI and measured carbon given — the measured value is used. ","")&amp;IF(AND($N114&lt;&gt;"",$N114=0),"Slice lies entirely below the reporting depth — it counts to the full-core stock only. ",""))</f>
        <v/>
      </c>
      <c r="R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 t="str">
        <f aca="false">IF(OR($D115="",$E115=""),"",$E115-$D115)</f>
        <v/>
      </c>
      <c r="G115" s="13"/>
      <c r="H115" s="13"/>
      <c r="I115" s="15"/>
      <c r="J115" s="15"/>
      <c r="K115" s="15"/>
      <c r="L115" s="14" t="str">
        <f aca="false">IF($K115&lt;&gt;"",$K115,IF($J115&lt;&gt;"",$J115*CARBON_FRACTION_OM,""))</f>
        <v/>
      </c>
      <c r="M115" s="14" t="n">
        <f aca="false">IF($H115="Fine earth / fine-earth volume",1-IF($G115="",0,$G115)/100,1)</f>
        <v>1</v>
      </c>
      <c r="N115" s="14" t="str">
        <f aca="false">IF(OR($D115="",$E115=""),"",MAX(0,MIN($E115,REPORTING_DEPTH_CM)-MIN($D115,REPORTING_DEPTH_CM)))</f>
        <v/>
      </c>
      <c r="O115" s="14" t="str">
        <f aca="false">IF(OR($I115="",$L115="",$N115=""),"",$I115*($L115/100)*$N115*$M115*10)</f>
        <v/>
      </c>
      <c r="P115" s="14" t="str">
        <f aca="false">IF(OR($I115="",$L115="",$F115=""),"",$I115*($L115/100)*$F115*$M115*10)</f>
        <v/>
      </c>
      <c r="Q115" s="14" t="str">
        <f aca="false">IF(AND($A115="",$B115="",$D115=""),"",IF(AND($B115&lt;&gt;"",COUNTIF('2. Core Log'!$A$5:$A$124,$B115)=0),"Core ID not in Core Log. ","")&amp;IF(AND($A115&lt;&gt;"",COUNTIF('1. Plot &amp; Site Log'!$A$5:$A$64,$A115)=0),"Plot ID not in Plot &amp; Site Log. ","")&amp;IF(AND($D115&lt;&gt;"",$E115&lt;&gt;"",$E115&lt;=$D115),"Bottom depth is not below top depth. ","")&amp;IF($H115="","Say which bulk-density basis the lab reported, or the coarse-fragment correction cannot be applied safely. ","")&amp;IF(AND($I115&lt;&gt;"",OR($I115&lt;QC_BD_MIN,$I115&gt;QC_BD_MAX)),"Bulk density outside "&amp;QC_BD_MIN&amp;"–"&amp;QC_BD_MAX&amp;" g/cm³. ","")&amp;IF(AND($L115&lt;&gt;"",$L115&gt;QC_CARBON_PCT_MAX),"Carbon above "&amp;QC_CARBON_PCT_MAX&amp;"% — check units; this may be organic matter rather than carbon. ","")&amp;IF(AND($J115&lt;&gt;"",$K115&lt;&gt;""),"Both LOI and measured carbon given — the measured value is used. ","")&amp;IF(AND($N115&lt;&gt;"",$N115=0),"Slice lies entirely below the reporting depth — it counts to the full-core stock only. ",""))</f>
        <v/>
      </c>
      <c r="R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 t="str">
        <f aca="false">IF(OR($D116="",$E116=""),"",$E116-$D116)</f>
        <v/>
      </c>
      <c r="G116" s="13"/>
      <c r="H116" s="13"/>
      <c r="I116" s="15"/>
      <c r="J116" s="15"/>
      <c r="K116" s="15"/>
      <c r="L116" s="14" t="str">
        <f aca="false">IF($K116&lt;&gt;"",$K116,IF($J116&lt;&gt;"",$J116*CARBON_FRACTION_OM,""))</f>
        <v/>
      </c>
      <c r="M116" s="14" t="n">
        <f aca="false">IF($H116="Fine earth / fine-earth volume",1-IF($G116="",0,$G116)/100,1)</f>
        <v>1</v>
      </c>
      <c r="N116" s="14" t="str">
        <f aca="false">IF(OR($D116="",$E116=""),"",MAX(0,MIN($E116,REPORTING_DEPTH_CM)-MIN($D116,REPORTING_DEPTH_CM)))</f>
        <v/>
      </c>
      <c r="O116" s="14" t="str">
        <f aca="false">IF(OR($I116="",$L116="",$N116=""),"",$I116*($L116/100)*$N116*$M116*10)</f>
        <v/>
      </c>
      <c r="P116" s="14" t="str">
        <f aca="false">IF(OR($I116="",$L116="",$F116=""),"",$I116*($L116/100)*$F116*$M116*10)</f>
        <v/>
      </c>
      <c r="Q116" s="14" t="str">
        <f aca="false">IF(AND($A116="",$B116="",$D116=""),"",IF(AND($B116&lt;&gt;"",COUNTIF('2. Core Log'!$A$5:$A$124,$B116)=0),"Core ID not in Core Log. ","")&amp;IF(AND($A116&lt;&gt;"",COUNTIF('1. Plot &amp; Site Log'!$A$5:$A$64,$A116)=0),"Plot ID not in Plot &amp; Site Log. ","")&amp;IF(AND($D116&lt;&gt;"",$E116&lt;&gt;"",$E116&lt;=$D116),"Bottom depth is not below top depth. ","")&amp;IF($H116="","Say which bulk-density basis the lab reported, or the coarse-fragment correction cannot be applied safely. ","")&amp;IF(AND($I116&lt;&gt;"",OR($I116&lt;QC_BD_MIN,$I116&gt;QC_BD_MAX)),"Bulk density outside "&amp;QC_BD_MIN&amp;"–"&amp;QC_BD_MAX&amp;" g/cm³. ","")&amp;IF(AND($L116&lt;&gt;"",$L116&gt;QC_CARBON_PCT_MAX),"Carbon above "&amp;QC_CARBON_PCT_MAX&amp;"% — check units; this may be organic matter rather than carbon. ","")&amp;IF(AND($J116&lt;&gt;"",$K116&lt;&gt;""),"Both LOI and measured carbon given — the measured value is used. ","")&amp;IF(AND($N116&lt;&gt;"",$N116=0),"Slice lies entirely below the reporting depth — it counts to the full-core stock only. ",""))</f>
        <v/>
      </c>
      <c r="R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 t="str">
        <f aca="false">IF(OR($D117="",$E117=""),"",$E117-$D117)</f>
        <v/>
      </c>
      <c r="G117" s="13"/>
      <c r="H117" s="13"/>
      <c r="I117" s="15"/>
      <c r="J117" s="15"/>
      <c r="K117" s="15"/>
      <c r="L117" s="14" t="str">
        <f aca="false">IF($K117&lt;&gt;"",$K117,IF($J117&lt;&gt;"",$J117*CARBON_FRACTION_OM,""))</f>
        <v/>
      </c>
      <c r="M117" s="14" t="n">
        <f aca="false">IF($H117="Fine earth / fine-earth volume",1-IF($G117="",0,$G117)/100,1)</f>
        <v>1</v>
      </c>
      <c r="N117" s="14" t="str">
        <f aca="false">IF(OR($D117="",$E117=""),"",MAX(0,MIN($E117,REPORTING_DEPTH_CM)-MIN($D117,REPORTING_DEPTH_CM)))</f>
        <v/>
      </c>
      <c r="O117" s="14" t="str">
        <f aca="false">IF(OR($I117="",$L117="",$N117=""),"",$I117*($L117/100)*$N117*$M117*10)</f>
        <v/>
      </c>
      <c r="P117" s="14" t="str">
        <f aca="false">IF(OR($I117="",$L117="",$F117=""),"",$I117*($L117/100)*$F117*$M117*10)</f>
        <v/>
      </c>
      <c r="Q117" s="14" t="str">
        <f aca="false">IF(AND($A117="",$B117="",$D117=""),"",IF(AND($B117&lt;&gt;"",COUNTIF('2. Core Log'!$A$5:$A$124,$B117)=0),"Core ID not in Core Log. ","")&amp;IF(AND($A117&lt;&gt;"",COUNTIF('1. Plot &amp; Site Log'!$A$5:$A$64,$A117)=0),"Plot ID not in Plot &amp; Site Log. ","")&amp;IF(AND($D117&lt;&gt;"",$E117&lt;&gt;"",$E117&lt;=$D117),"Bottom depth is not below top depth. ","")&amp;IF($H117="","Say which bulk-density basis the lab reported, or the coarse-fragment correction cannot be applied safely. ","")&amp;IF(AND($I117&lt;&gt;"",OR($I117&lt;QC_BD_MIN,$I117&gt;QC_BD_MAX)),"Bulk density outside "&amp;QC_BD_MIN&amp;"–"&amp;QC_BD_MAX&amp;" g/cm³. ","")&amp;IF(AND($L117&lt;&gt;"",$L117&gt;QC_CARBON_PCT_MAX),"Carbon above "&amp;QC_CARBON_PCT_MAX&amp;"% — check units; this may be organic matter rather than carbon. ","")&amp;IF(AND($J117&lt;&gt;"",$K117&lt;&gt;""),"Both LOI and measured carbon given — the measured value is used. ","")&amp;IF(AND($N117&lt;&gt;"",$N117=0),"Slice lies entirely below the reporting depth — it counts to the full-core stock only. ",""))</f>
        <v/>
      </c>
      <c r="R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 t="str">
        <f aca="false">IF(OR($D118="",$E118=""),"",$E118-$D118)</f>
        <v/>
      </c>
      <c r="G118" s="13"/>
      <c r="H118" s="13"/>
      <c r="I118" s="15"/>
      <c r="J118" s="15"/>
      <c r="K118" s="15"/>
      <c r="L118" s="14" t="str">
        <f aca="false">IF($K118&lt;&gt;"",$K118,IF($J118&lt;&gt;"",$J118*CARBON_FRACTION_OM,""))</f>
        <v/>
      </c>
      <c r="M118" s="14" t="n">
        <f aca="false">IF($H118="Fine earth / fine-earth volume",1-IF($G118="",0,$G118)/100,1)</f>
        <v>1</v>
      </c>
      <c r="N118" s="14" t="str">
        <f aca="false">IF(OR($D118="",$E118=""),"",MAX(0,MIN($E118,REPORTING_DEPTH_CM)-MIN($D118,REPORTING_DEPTH_CM)))</f>
        <v/>
      </c>
      <c r="O118" s="14" t="str">
        <f aca="false">IF(OR($I118="",$L118="",$N118=""),"",$I118*($L118/100)*$N118*$M118*10)</f>
        <v/>
      </c>
      <c r="P118" s="14" t="str">
        <f aca="false">IF(OR($I118="",$L118="",$F118=""),"",$I118*($L118/100)*$F118*$M118*10)</f>
        <v/>
      </c>
      <c r="Q118" s="14" t="str">
        <f aca="false">IF(AND($A118="",$B118="",$D118=""),"",IF(AND($B118&lt;&gt;"",COUNTIF('2. Core Log'!$A$5:$A$124,$B118)=0),"Core ID not in Core Log. ","")&amp;IF(AND($A118&lt;&gt;"",COUNTIF('1. Plot &amp; Site Log'!$A$5:$A$64,$A118)=0),"Plot ID not in Plot &amp; Site Log. ","")&amp;IF(AND($D118&lt;&gt;"",$E118&lt;&gt;"",$E118&lt;=$D118),"Bottom depth is not below top depth. ","")&amp;IF($H118="","Say which bulk-density basis the lab reported, or the coarse-fragment correction cannot be applied safely. ","")&amp;IF(AND($I118&lt;&gt;"",OR($I118&lt;QC_BD_MIN,$I118&gt;QC_BD_MAX)),"Bulk density outside "&amp;QC_BD_MIN&amp;"–"&amp;QC_BD_MAX&amp;" g/cm³. ","")&amp;IF(AND($L118&lt;&gt;"",$L118&gt;QC_CARBON_PCT_MAX),"Carbon above "&amp;QC_CARBON_PCT_MAX&amp;"% — check units; this may be organic matter rather than carbon. ","")&amp;IF(AND($J118&lt;&gt;"",$K118&lt;&gt;""),"Both LOI and measured carbon given — the measured value is used. ","")&amp;IF(AND($N118&lt;&gt;"",$N118=0),"Slice lies entirely below the reporting depth — it counts to the full-core stock only. ",""))</f>
        <v/>
      </c>
      <c r="R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 t="str">
        <f aca="false">IF(OR($D119="",$E119=""),"",$E119-$D119)</f>
        <v/>
      </c>
      <c r="G119" s="13"/>
      <c r="H119" s="13"/>
      <c r="I119" s="15"/>
      <c r="J119" s="15"/>
      <c r="K119" s="15"/>
      <c r="L119" s="14" t="str">
        <f aca="false">IF($K119&lt;&gt;"",$K119,IF($J119&lt;&gt;"",$J119*CARBON_FRACTION_OM,""))</f>
        <v/>
      </c>
      <c r="M119" s="14" t="n">
        <f aca="false">IF($H119="Fine earth / fine-earth volume",1-IF($G119="",0,$G119)/100,1)</f>
        <v>1</v>
      </c>
      <c r="N119" s="14" t="str">
        <f aca="false">IF(OR($D119="",$E119=""),"",MAX(0,MIN($E119,REPORTING_DEPTH_CM)-MIN($D119,REPORTING_DEPTH_CM)))</f>
        <v/>
      </c>
      <c r="O119" s="14" t="str">
        <f aca="false">IF(OR($I119="",$L119="",$N119=""),"",$I119*($L119/100)*$N119*$M119*10)</f>
        <v/>
      </c>
      <c r="P119" s="14" t="str">
        <f aca="false">IF(OR($I119="",$L119="",$F119=""),"",$I119*($L119/100)*$F119*$M119*10)</f>
        <v/>
      </c>
      <c r="Q119" s="14" t="str">
        <f aca="false">IF(AND($A119="",$B119="",$D119=""),"",IF(AND($B119&lt;&gt;"",COUNTIF('2. Core Log'!$A$5:$A$124,$B119)=0),"Core ID not in Core Log. ","")&amp;IF(AND($A119&lt;&gt;"",COUNTIF('1. Plot &amp; Site Log'!$A$5:$A$64,$A119)=0),"Plot ID not in Plot &amp; Site Log. ","")&amp;IF(AND($D119&lt;&gt;"",$E119&lt;&gt;"",$E119&lt;=$D119),"Bottom depth is not below top depth. ","")&amp;IF($H119="","Say which bulk-density basis the lab reported, or the coarse-fragment correction cannot be applied safely. ","")&amp;IF(AND($I119&lt;&gt;"",OR($I119&lt;QC_BD_MIN,$I119&gt;QC_BD_MAX)),"Bulk density outside "&amp;QC_BD_MIN&amp;"–"&amp;QC_BD_MAX&amp;" g/cm³. ","")&amp;IF(AND($L119&lt;&gt;"",$L119&gt;QC_CARBON_PCT_MAX),"Carbon above "&amp;QC_CARBON_PCT_MAX&amp;"% — check units; this may be organic matter rather than carbon. ","")&amp;IF(AND($J119&lt;&gt;"",$K119&lt;&gt;""),"Both LOI and measured carbon given — the measured value is used. ","")&amp;IF(AND($N119&lt;&gt;"",$N119=0),"Slice lies entirely below the reporting depth — it counts to the full-core stock only. ",""))</f>
        <v/>
      </c>
      <c r="R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 t="str">
        <f aca="false">IF(OR($D120="",$E120=""),"",$E120-$D120)</f>
        <v/>
      </c>
      <c r="G120" s="13"/>
      <c r="H120" s="13"/>
      <c r="I120" s="15"/>
      <c r="J120" s="15"/>
      <c r="K120" s="15"/>
      <c r="L120" s="14" t="str">
        <f aca="false">IF($K120&lt;&gt;"",$K120,IF($J120&lt;&gt;"",$J120*CARBON_FRACTION_OM,""))</f>
        <v/>
      </c>
      <c r="M120" s="14" t="n">
        <f aca="false">IF($H120="Fine earth / fine-earth volume",1-IF($G120="",0,$G120)/100,1)</f>
        <v>1</v>
      </c>
      <c r="N120" s="14" t="str">
        <f aca="false">IF(OR($D120="",$E120=""),"",MAX(0,MIN($E120,REPORTING_DEPTH_CM)-MIN($D120,REPORTING_DEPTH_CM)))</f>
        <v/>
      </c>
      <c r="O120" s="14" t="str">
        <f aca="false">IF(OR($I120="",$L120="",$N120=""),"",$I120*($L120/100)*$N120*$M120*10)</f>
        <v/>
      </c>
      <c r="P120" s="14" t="str">
        <f aca="false">IF(OR($I120="",$L120="",$F120=""),"",$I120*($L120/100)*$F120*$M120*10)</f>
        <v/>
      </c>
      <c r="Q120" s="14" t="str">
        <f aca="false">IF(AND($A120="",$B120="",$D120=""),"",IF(AND($B120&lt;&gt;"",COUNTIF('2. Core Log'!$A$5:$A$124,$B120)=0),"Core ID not in Core Log. ","")&amp;IF(AND($A120&lt;&gt;"",COUNTIF('1. Plot &amp; Site Log'!$A$5:$A$64,$A120)=0),"Plot ID not in Plot &amp; Site Log. ","")&amp;IF(AND($D120&lt;&gt;"",$E120&lt;&gt;"",$E120&lt;=$D120),"Bottom depth is not below top depth. ","")&amp;IF($H120="","Say which bulk-density basis the lab reported, or the coarse-fragment correction cannot be applied safely. ","")&amp;IF(AND($I120&lt;&gt;"",OR($I120&lt;QC_BD_MIN,$I120&gt;QC_BD_MAX)),"Bulk density outside "&amp;QC_BD_MIN&amp;"–"&amp;QC_BD_MAX&amp;" g/cm³. ","")&amp;IF(AND($L120&lt;&gt;"",$L120&gt;QC_CARBON_PCT_MAX),"Carbon above "&amp;QC_CARBON_PCT_MAX&amp;"% — check units; this may be organic matter rather than carbon. ","")&amp;IF(AND($J120&lt;&gt;"",$K120&lt;&gt;""),"Both LOI and measured carbon given — the measured value is used. ","")&amp;IF(AND($N120&lt;&gt;"",$N120=0),"Slice lies entirely below the reporting depth — it counts to the full-core stock only. ",""))</f>
        <v/>
      </c>
      <c r="R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 t="str">
        <f aca="false">IF(OR($D121="",$E121=""),"",$E121-$D121)</f>
        <v/>
      </c>
      <c r="G121" s="13"/>
      <c r="H121" s="13"/>
      <c r="I121" s="15"/>
      <c r="J121" s="15"/>
      <c r="K121" s="15"/>
      <c r="L121" s="14" t="str">
        <f aca="false">IF($K121&lt;&gt;"",$K121,IF($J121&lt;&gt;"",$J121*CARBON_FRACTION_OM,""))</f>
        <v/>
      </c>
      <c r="M121" s="14" t="n">
        <f aca="false">IF($H121="Fine earth / fine-earth volume",1-IF($G121="",0,$G121)/100,1)</f>
        <v>1</v>
      </c>
      <c r="N121" s="14" t="str">
        <f aca="false">IF(OR($D121="",$E121=""),"",MAX(0,MIN($E121,REPORTING_DEPTH_CM)-MIN($D121,REPORTING_DEPTH_CM)))</f>
        <v/>
      </c>
      <c r="O121" s="14" t="str">
        <f aca="false">IF(OR($I121="",$L121="",$N121=""),"",$I121*($L121/100)*$N121*$M121*10)</f>
        <v/>
      </c>
      <c r="P121" s="14" t="str">
        <f aca="false">IF(OR($I121="",$L121="",$F121=""),"",$I121*($L121/100)*$F121*$M121*10)</f>
        <v/>
      </c>
      <c r="Q121" s="14" t="str">
        <f aca="false">IF(AND($A121="",$B121="",$D121=""),"",IF(AND($B121&lt;&gt;"",COUNTIF('2. Core Log'!$A$5:$A$124,$B121)=0),"Core ID not in Core Log. ","")&amp;IF(AND($A121&lt;&gt;"",COUNTIF('1. Plot &amp; Site Log'!$A$5:$A$64,$A121)=0),"Plot ID not in Plot &amp; Site Log. ","")&amp;IF(AND($D121&lt;&gt;"",$E121&lt;&gt;"",$E121&lt;=$D121),"Bottom depth is not below top depth. ","")&amp;IF($H121="","Say which bulk-density basis the lab reported, or the coarse-fragment correction cannot be applied safely. ","")&amp;IF(AND($I121&lt;&gt;"",OR($I121&lt;QC_BD_MIN,$I121&gt;QC_BD_MAX)),"Bulk density outside "&amp;QC_BD_MIN&amp;"–"&amp;QC_BD_MAX&amp;" g/cm³. ","")&amp;IF(AND($L121&lt;&gt;"",$L121&gt;QC_CARBON_PCT_MAX),"Carbon above "&amp;QC_CARBON_PCT_MAX&amp;"% — check units; this may be organic matter rather than carbon. ","")&amp;IF(AND($J121&lt;&gt;"",$K121&lt;&gt;""),"Both LOI and measured carbon given — the measured value is used. ","")&amp;IF(AND($N121&lt;&gt;"",$N121=0),"Slice lies entirely below the reporting depth — it counts to the full-core stock only. ",""))</f>
        <v/>
      </c>
      <c r="R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 t="str">
        <f aca="false">IF(OR($D122="",$E122=""),"",$E122-$D122)</f>
        <v/>
      </c>
      <c r="G122" s="13"/>
      <c r="H122" s="13"/>
      <c r="I122" s="15"/>
      <c r="J122" s="15"/>
      <c r="K122" s="15"/>
      <c r="L122" s="14" t="str">
        <f aca="false">IF($K122&lt;&gt;"",$K122,IF($J122&lt;&gt;"",$J122*CARBON_FRACTION_OM,""))</f>
        <v/>
      </c>
      <c r="M122" s="14" t="n">
        <f aca="false">IF($H122="Fine earth / fine-earth volume",1-IF($G122="",0,$G122)/100,1)</f>
        <v>1</v>
      </c>
      <c r="N122" s="14" t="str">
        <f aca="false">IF(OR($D122="",$E122=""),"",MAX(0,MIN($E122,REPORTING_DEPTH_CM)-MIN($D122,REPORTING_DEPTH_CM)))</f>
        <v/>
      </c>
      <c r="O122" s="14" t="str">
        <f aca="false">IF(OR($I122="",$L122="",$N122=""),"",$I122*($L122/100)*$N122*$M122*10)</f>
        <v/>
      </c>
      <c r="P122" s="14" t="str">
        <f aca="false">IF(OR($I122="",$L122="",$F122=""),"",$I122*($L122/100)*$F122*$M122*10)</f>
        <v/>
      </c>
      <c r="Q122" s="14" t="str">
        <f aca="false">IF(AND($A122="",$B122="",$D122=""),"",IF(AND($B122&lt;&gt;"",COUNTIF('2. Core Log'!$A$5:$A$124,$B122)=0),"Core ID not in Core Log. ","")&amp;IF(AND($A122&lt;&gt;"",COUNTIF('1. Plot &amp; Site Log'!$A$5:$A$64,$A122)=0),"Plot ID not in Plot &amp; Site Log. ","")&amp;IF(AND($D122&lt;&gt;"",$E122&lt;&gt;"",$E122&lt;=$D122),"Bottom depth is not below top depth. ","")&amp;IF($H122="","Say which bulk-density basis the lab reported, or the coarse-fragment correction cannot be applied safely. ","")&amp;IF(AND($I122&lt;&gt;"",OR($I122&lt;QC_BD_MIN,$I122&gt;QC_BD_MAX)),"Bulk density outside "&amp;QC_BD_MIN&amp;"–"&amp;QC_BD_MAX&amp;" g/cm³. ","")&amp;IF(AND($L122&lt;&gt;"",$L122&gt;QC_CARBON_PCT_MAX),"Carbon above "&amp;QC_CARBON_PCT_MAX&amp;"% — check units; this may be organic matter rather than carbon. ","")&amp;IF(AND($J122&lt;&gt;"",$K122&lt;&gt;""),"Both LOI and measured carbon given — the measured value is used. ","")&amp;IF(AND($N122&lt;&gt;"",$N122=0),"Slice lies entirely below the reporting depth — it counts to the full-core stock only. ",""))</f>
        <v/>
      </c>
      <c r="R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 t="str">
        <f aca="false">IF(OR($D123="",$E123=""),"",$E123-$D123)</f>
        <v/>
      </c>
      <c r="G123" s="13"/>
      <c r="H123" s="13"/>
      <c r="I123" s="15"/>
      <c r="J123" s="15"/>
      <c r="K123" s="15"/>
      <c r="L123" s="14" t="str">
        <f aca="false">IF($K123&lt;&gt;"",$K123,IF($J123&lt;&gt;"",$J123*CARBON_FRACTION_OM,""))</f>
        <v/>
      </c>
      <c r="M123" s="14" t="n">
        <f aca="false">IF($H123="Fine earth / fine-earth volume",1-IF($G123="",0,$G123)/100,1)</f>
        <v>1</v>
      </c>
      <c r="N123" s="14" t="str">
        <f aca="false">IF(OR($D123="",$E123=""),"",MAX(0,MIN($E123,REPORTING_DEPTH_CM)-MIN($D123,REPORTING_DEPTH_CM)))</f>
        <v/>
      </c>
      <c r="O123" s="14" t="str">
        <f aca="false">IF(OR($I123="",$L123="",$N123=""),"",$I123*($L123/100)*$N123*$M123*10)</f>
        <v/>
      </c>
      <c r="P123" s="14" t="str">
        <f aca="false">IF(OR($I123="",$L123="",$F123=""),"",$I123*($L123/100)*$F123*$M123*10)</f>
        <v/>
      </c>
      <c r="Q123" s="14" t="str">
        <f aca="false">IF(AND($A123="",$B123="",$D123=""),"",IF(AND($B123&lt;&gt;"",COUNTIF('2. Core Log'!$A$5:$A$124,$B123)=0),"Core ID not in Core Log. ","")&amp;IF(AND($A123&lt;&gt;"",COUNTIF('1. Plot &amp; Site Log'!$A$5:$A$64,$A123)=0),"Plot ID not in Plot &amp; Site Log. ","")&amp;IF(AND($D123&lt;&gt;"",$E123&lt;&gt;"",$E123&lt;=$D123),"Bottom depth is not below top depth. ","")&amp;IF($H123="","Say which bulk-density basis the lab reported, or the coarse-fragment correction cannot be applied safely. ","")&amp;IF(AND($I123&lt;&gt;"",OR($I123&lt;QC_BD_MIN,$I123&gt;QC_BD_MAX)),"Bulk density outside "&amp;QC_BD_MIN&amp;"–"&amp;QC_BD_MAX&amp;" g/cm³. ","")&amp;IF(AND($L123&lt;&gt;"",$L123&gt;QC_CARBON_PCT_MAX),"Carbon above "&amp;QC_CARBON_PCT_MAX&amp;"% — check units; this may be organic matter rather than carbon. ","")&amp;IF(AND($J123&lt;&gt;"",$K123&lt;&gt;""),"Both LOI and measured carbon given — the measured value is used. ","")&amp;IF(AND($N123&lt;&gt;"",$N123=0),"Slice lies entirely below the reporting depth — it counts to the full-core stock only. ",""))</f>
        <v/>
      </c>
      <c r="R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 t="str">
        <f aca="false">IF(OR($D124="",$E124=""),"",$E124-$D124)</f>
        <v/>
      </c>
      <c r="G124" s="13"/>
      <c r="H124" s="13"/>
      <c r="I124" s="15"/>
      <c r="J124" s="15"/>
      <c r="K124" s="15"/>
      <c r="L124" s="14" t="str">
        <f aca="false">IF($K124&lt;&gt;"",$K124,IF($J124&lt;&gt;"",$J124*CARBON_FRACTION_OM,""))</f>
        <v/>
      </c>
      <c r="M124" s="14" t="n">
        <f aca="false">IF($H124="Fine earth / fine-earth volume",1-IF($G124="",0,$G124)/100,1)</f>
        <v>1</v>
      </c>
      <c r="N124" s="14" t="str">
        <f aca="false">IF(OR($D124="",$E124=""),"",MAX(0,MIN($E124,REPORTING_DEPTH_CM)-MIN($D124,REPORTING_DEPTH_CM)))</f>
        <v/>
      </c>
      <c r="O124" s="14" t="str">
        <f aca="false">IF(OR($I124="",$L124="",$N124=""),"",$I124*($L124/100)*$N124*$M124*10)</f>
        <v/>
      </c>
      <c r="P124" s="14" t="str">
        <f aca="false">IF(OR($I124="",$L124="",$F124=""),"",$I124*($L124/100)*$F124*$M124*10)</f>
        <v/>
      </c>
      <c r="Q124" s="14" t="str">
        <f aca="false">IF(AND($A124="",$B124="",$D124=""),"",IF(AND($B124&lt;&gt;"",COUNTIF('2. Core Log'!$A$5:$A$124,$B124)=0),"Core ID not in Core Log. ","")&amp;IF(AND($A124&lt;&gt;"",COUNTIF('1. Plot &amp; Site Log'!$A$5:$A$64,$A124)=0),"Plot ID not in Plot &amp; Site Log. ","")&amp;IF(AND($D124&lt;&gt;"",$E124&lt;&gt;"",$E124&lt;=$D124),"Bottom depth is not below top depth. ","")&amp;IF($H124="","Say which bulk-density basis the lab reported, or the coarse-fragment correction cannot be applied safely. ","")&amp;IF(AND($I124&lt;&gt;"",OR($I124&lt;QC_BD_MIN,$I124&gt;QC_BD_MAX)),"Bulk density outside "&amp;QC_BD_MIN&amp;"–"&amp;QC_BD_MAX&amp;" g/cm³. ","")&amp;IF(AND($L124&lt;&gt;"",$L124&gt;QC_CARBON_PCT_MAX),"Carbon above "&amp;QC_CARBON_PCT_MAX&amp;"% — check units; this may be organic matter rather than carbon. ","")&amp;IF(AND($J124&lt;&gt;"",$K124&lt;&gt;""),"Both LOI and measured carbon given — the measured value is used. ","")&amp;IF(AND($N124&lt;&gt;"",$N124=0),"Slice lies entirely below the reporting depth — it counts to the full-core stock only. ",""))</f>
        <v/>
      </c>
      <c r="R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 t="str">
        <f aca="false">IF(OR($D125="",$E125=""),"",$E125-$D125)</f>
        <v/>
      </c>
      <c r="G125" s="13"/>
      <c r="H125" s="13"/>
      <c r="I125" s="15"/>
      <c r="J125" s="15"/>
      <c r="K125" s="15"/>
      <c r="L125" s="14" t="str">
        <f aca="false">IF($K125&lt;&gt;"",$K125,IF($J125&lt;&gt;"",$J125*CARBON_FRACTION_OM,""))</f>
        <v/>
      </c>
      <c r="M125" s="14" t="n">
        <f aca="false">IF($H125="Fine earth / fine-earth volume",1-IF($G125="",0,$G125)/100,1)</f>
        <v>1</v>
      </c>
      <c r="N125" s="14" t="str">
        <f aca="false">IF(OR($D125="",$E125=""),"",MAX(0,MIN($E125,REPORTING_DEPTH_CM)-MIN($D125,REPORTING_DEPTH_CM)))</f>
        <v/>
      </c>
      <c r="O125" s="14" t="str">
        <f aca="false">IF(OR($I125="",$L125="",$N125=""),"",$I125*($L125/100)*$N125*$M125*10)</f>
        <v/>
      </c>
      <c r="P125" s="14" t="str">
        <f aca="false">IF(OR($I125="",$L125="",$F125=""),"",$I125*($L125/100)*$F125*$M125*10)</f>
        <v/>
      </c>
      <c r="Q125" s="14" t="str">
        <f aca="false">IF(AND($A125="",$B125="",$D125=""),"",IF(AND($B125&lt;&gt;"",COUNTIF('2. Core Log'!$A$5:$A$124,$B125)=0),"Core ID not in Core Log. ","")&amp;IF(AND($A125&lt;&gt;"",COUNTIF('1. Plot &amp; Site Log'!$A$5:$A$64,$A125)=0),"Plot ID not in Plot &amp; Site Log. ","")&amp;IF(AND($D125&lt;&gt;"",$E125&lt;&gt;"",$E125&lt;=$D125),"Bottom depth is not below top depth. ","")&amp;IF($H125="","Say which bulk-density basis the lab reported, or the coarse-fragment correction cannot be applied safely. ","")&amp;IF(AND($I125&lt;&gt;"",OR($I125&lt;QC_BD_MIN,$I125&gt;QC_BD_MAX)),"Bulk density outside "&amp;QC_BD_MIN&amp;"–"&amp;QC_BD_MAX&amp;" g/cm³. ","")&amp;IF(AND($L125&lt;&gt;"",$L125&gt;QC_CARBON_PCT_MAX),"Carbon above "&amp;QC_CARBON_PCT_MAX&amp;"% — check units; this may be organic matter rather than carbon. ","")&amp;IF(AND($J125&lt;&gt;"",$K125&lt;&gt;""),"Both LOI and measured carbon given — the measured value is used. ","")&amp;IF(AND($N125&lt;&gt;"",$N125=0),"Slice lies entirely below the reporting depth — it counts to the full-core stock only. ",""))</f>
        <v/>
      </c>
      <c r="R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 t="str">
        <f aca="false">IF(OR($D126="",$E126=""),"",$E126-$D126)</f>
        <v/>
      </c>
      <c r="G126" s="13"/>
      <c r="H126" s="13"/>
      <c r="I126" s="15"/>
      <c r="J126" s="15"/>
      <c r="K126" s="15"/>
      <c r="L126" s="14" t="str">
        <f aca="false">IF($K126&lt;&gt;"",$K126,IF($J126&lt;&gt;"",$J126*CARBON_FRACTION_OM,""))</f>
        <v/>
      </c>
      <c r="M126" s="14" t="n">
        <f aca="false">IF($H126="Fine earth / fine-earth volume",1-IF($G126="",0,$G126)/100,1)</f>
        <v>1</v>
      </c>
      <c r="N126" s="14" t="str">
        <f aca="false">IF(OR($D126="",$E126=""),"",MAX(0,MIN($E126,REPORTING_DEPTH_CM)-MIN($D126,REPORTING_DEPTH_CM)))</f>
        <v/>
      </c>
      <c r="O126" s="14" t="str">
        <f aca="false">IF(OR($I126="",$L126="",$N126=""),"",$I126*($L126/100)*$N126*$M126*10)</f>
        <v/>
      </c>
      <c r="P126" s="14" t="str">
        <f aca="false">IF(OR($I126="",$L126="",$F126=""),"",$I126*($L126/100)*$F126*$M126*10)</f>
        <v/>
      </c>
      <c r="Q126" s="14" t="str">
        <f aca="false">IF(AND($A126="",$B126="",$D126=""),"",IF(AND($B126&lt;&gt;"",COUNTIF('2. Core Log'!$A$5:$A$124,$B126)=0),"Core ID not in Core Log. ","")&amp;IF(AND($A126&lt;&gt;"",COUNTIF('1. Plot &amp; Site Log'!$A$5:$A$64,$A126)=0),"Plot ID not in Plot &amp; Site Log. ","")&amp;IF(AND($D126&lt;&gt;"",$E126&lt;&gt;"",$E126&lt;=$D126),"Bottom depth is not below top depth. ","")&amp;IF($H126="","Say which bulk-density basis the lab reported, or the coarse-fragment correction cannot be applied safely. ","")&amp;IF(AND($I126&lt;&gt;"",OR($I126&lt;QC_BD_MIN,$I126&gt;QC_BD_MAX)),"Bulk density outside "&amp;QC_BD_MIN&amp;"–"&amp;QC_BD_MAX&amp;" g/cm³. ","")&amp;IF(AND($L126&lt;&gt;"",$L126&gt;QC_CARBON_PCT_MAX),"Carbon above "&amp;QC_CARBON_PCT_MAX&amp;"% — check units; this may be organic matter rather than carbon. ","")&amp;IF(AND($J126&lt;&gt;"",$K126&lt;&gt;""),"Both LOI and measured carbon given — the measured value is used. ","")&amp;IF(AND($N126&lt;&gt;"",$N126=0),"Slice lies entirely below the reporting depth — it counts to the full-core stock only. ",""))</f>
        <v/>
      </c>
      <c r="R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 t="str">
        <f aca="false">IF(OR($D127="",$E127=""),"",$E127-$D127)</f>
        <v/>
      </c>
      <c r="G127" s="13"/>
      <c r="H127" s="13"/>
      <c r="I127" s="15"/>
      <c r="J127" s="15"/>
      <c r="K127" s="15"/>
      <c r="L127" s="14" t="str">
        <f aca="false">IF($K127&lt;&gt;"",$K127,IF($J127&lt;&gt;"",$J127*CARBON_FRACTION_OM,""))</f>
        <v/>
      </c>
      <c r="M127" s="14" t="n">
        <f aca="false">IF($H127="Fine earth / fine-earth volume",1-IF($G127="",0,$G127)/100,1)</f>
        <v>1</v>
      </c>
      <c r="N127" s="14" t="str">
        <f aca="false">IF(OR($D127="",$E127=""),"",MAX(0,MIN($E127,REPORTING_DEPTH_CM)-MIN($D127,REPORTING_DEPTH_CM)))</f>
        <v/>
      </c>
      <c r="O127" s="14" t="str">
        <f aca="false">IF(OR($I127="",$L127="",$N127=""),"",$I127*($L127/100)*$N127*$M127*10)</f>
        <v/>
      </c>
      <c r="P127" s="14" t="str">
        <f aca="false">IF(OR($I127="",$L127="",$F127=""),"",$I127*($L127/100)*$F127*$M127*10)</f>
        <v/>
      </c>
      <c r="Q127" s="14" t="str">
        <f aca="false">IF(AND($A127="",$B127="",$D127=""),"",IF(AND($B127&lt;&gt;"",COUNTIF('2. Core Log'!$A$5:$A$124,$B127)=0),"Core ID not in Core Log. ","")&amp;IF(AND($A127&lt;&gt;"",COUNTIF('1. Plot &amp; Site Log'!$A$5:$A$64,$A127)=0),"Plot ID not in Plot &amp; Site Log. ","")&amp;IF(AND($D127&lt;&gt;"",$E127&lt;&gt;"",$E127&lt;=$D127),"Bottom depth is not below top depth. ","")&amp;IF($H127="","Say which bulk-density basis the lab reported, or the coarse-fragment correction cannot be applied safely. ","")&amp;IF(AND($I127&lt;&gt;"",OR($I127&lt;QC_BD_MIN,$I127&gt;QC_BD_MAX)),"Bulk density outside "&amp;QC_BD_MIN&amp;"–"&amp;QC_BD_MAX&amp;" g/cm³. ","")&amp;IF(AND($L127&lt;&gt;"",$L127&gt;QC_CARBON_PCT_MAX),"Carbon above "&amp;QC_CARBON_PCT_MAX&amp;"% — check units; this may be organic matter rather than carbon. ","")&amp;IF(AND($J127&lt;&gt;"",$K127&lt;&gt;""),"Both LOI and measured carbon given — the measured value is used. ","")&amp;IF(AND($N127&lt;&gt;"",$N127=0),"Slice lies entirely below the reporting depth — it counts to the full-core stock only. ",""))</f>
        <v/>
      </c>
      <c r="R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 t="str">
        <f aca="false">IF(OR($D128="",$E128=""),"",$E128-$D128)</f>
        <v/>
      </c>
      <c r="G128" s="13"/>
      <c r="H128" s="13"/>
      <c r="I128" s="15"/>
      <c r="J128" s="15"/>
      <c r="K128" s="15"/>
      <c r="L128" s="14" t="str">
        <f aca="false">IF($K128&lt;&gt;"",$K128,IF($J128&lt;&gt;"",$J128*CARBON_FRACTION_OM,""))</f>
        <v/>
      </c>
      <c r="M128" s="14" t="n">
        <f aca="false">IF($H128="Fine earth / fine-earth volume",1-IF($G128="",0,$G128)/100,1)</f>
        <v>1</v>
      </c>
      <c r="N128" s="14" t="str">
        <f aca="false">IF(OR($D128="",$E128=""),"",MAX(0,MIN($E128,REPORTING_DEPTH_CM)-MIN($D128,REPORTING_DEPTH_CM)))</f>
        <v/>
      </c>
      <c r="O128" s="14" t="str">
        <f aca="false">IF(OR($I128="",$L128="",$N128=""),"",$I128*($L128/100)*$N128*$M128*10)</f>
        <v/>
      </c>
      <c r="P128" s="14" t="str">
        <f aca="false">IF(OR($I128="",$L128="",$F128=""),"",$I128*($L128/100)*$F128*$M128*10)</f>
        <v/>
      </c>
      <c r="Q128" s="14" t="str">
        <f aca="false">IF(AND($A128="",$B128="",$D128=""),"",IF(AND($B128&lt;&gt;"",COUNTIF('2. Core Log'!$A$5:$A$124,$B128)=0),"Core ID not in Core Log. ","")&amp;IF(AND($A128&lt;&gt;"",COUNTIF('1. Plot &amp; Site Log'!$A$5:$A$64,$A128)=0),"Plot ID not in Plot &amp; Site Log. ","")&amp;IF(AND($D128&lt;&gt;"",$E128&lt;&gt;"",$E128&lt;=$D128),"Bottom depth is not below top depth. ","")&amp;IF($H128="","Say which bulk-density basis the lab reported, or the coarse-fragment correction cannot be applied safely. ","")&amp;IF(AND($I128&lt;&gt;"",OR($I128&lt;QC_BD_MIN,$I128&gt;QC_BD_MAX)),"Bulk density outside "&amp;QC_BD_MIN&amp;"–"&amp;QC_BD_MAX&amp;" g/cm³. ","")&amp;IF(AND($L128&lt;&gt;"",$L128&gt;QC_CARBON_PCT_MAX),"Carbon above "&amp;QC_CARBON_PCT_MAX&amp;"% — check units; this may be organic matter rather than carbon. ","")&amp;IF(AND($J128&lt;&gt;"",$K128&lt;&gt;""),"Both LOI and measured carbon given — the measured value is used. ","")&amp;IF(AND($N128&lt;&gt;"",$N128=0),"Slice lies entirely below the reporting depth — it counts to the full-core stock only. ",""))</f>
        <v/>
      </c>
      <c r="R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 t="str">
        <f aca="false">IF(OR($D129="",$E129=""),"",$E129-$D129)</f>
        <v/>
      </c>
      <c r="G129" s="13"/>
      <c r="H129" s="13"/>
      <c r="I129" s="15"/>
      <c r="J129" s="15"/>
      <c r="K129" s="15"/>
      <c r="L129" s="14" t="str">
        <f aca="false">IF($K129&lt;&gt;"",$K129,IF($J129&lt;&gt;"",$J129*CARBON_FRACTION_OM,""))</f>
        <v/>
      </c>
      <c r="M129" s="14" t="n">
        <f aca="false">IF($H129="Fine earth / fine-earth volume",1-IF($G129="",0,$G129)/100,1)</f>
        <v>1</v>
      </c>
      <c r="N129" s="14" t="str">
        <f aca="false">IF(OR($D129="",$E129=""),"",MAX(0,MIN($E129,REPORTING_DEPTH_CM)-MIN($D129,REPORTING_DEPTH_CM)))</f>
        <v/>
      </c>
      <c r="O129" s="14" t="str">
        <f aca="false">IF(OR($I129="",$L129="",$N129=""),"",$I129*($L129/100)*$N129*$M129*10)</f>
        <v/>
      </c>
      <c r="P129" s="14" t="str">
        <f aca="false">IF(OR($I129="",$L129="",$F129=""),"",$I129*($L129/100)*$F129*$M129*10)</f>
        <v/>
      </c>
      <c r="Q129" s="14" t="str">
        <f aca="false">IF(AND($A129="",$B129="",$D129=""),"",IF(AND($B129&lt;&gt;"",COUNTIF('2. Core Log'!$A$5:$A$124,$B129)=0),"Core ID not in Core Log. ","")&amp;IF(AND($A129&lt;&gt;"",COUNTIF('1. Plot &amp; Site Log'!$A$5:$A$64,$A129)=0),"Plot ID not in Plot &amp; Site Log. ","")&amp;IF(AND($D129&lt;&gt;"",$E129&lt;&gt;"",$E129&lt;=$D129),"Bottom depth is not below top depth. ","")&amp;IF($H129="","Say which bulk-density basis the lab reported, or the coarse-fragment correction cannot be applied safely. ","")&amp;IF(AND($I129&lt;&gt;"",OR($I129&lt;QC_BD_MIN,$I129&gt;QC_BD_MAX)),"Bulk density outside "&amp;QC_BD_MIN&amp;"–"&amp;QC_BD_MAX&amp;" g/cm³. ","")&amp;IF(AND($L129&lt;&gt;"",$L129&gt;QC_CARBON_PCT_MAX),"Carbon above "&amp;QC_CARBON_PCT_MAX&amp;"% — check units; this may be organic matter rather than carbon. ","")&amp;IF(AND($J129&lt;&gt;"",$K129&lt;&gt;""),"Both LOI and measured carbon given — the measured value is used. ","")&amp;IF(AND($N129&lt;&gt;"",$N129=0),"Slice lies entirely below the reporting depth — it counts to the full-core stock only. ",""))</f>
        <v/>
      </c>
      <c r="R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 t="str">
        <f aca="false">IF(OR($D130="",$E130=""),"",$E130-$D130)</f>
        <v/>
      </c>
      <c r="G130" s="13"/>
      <c r="H130" s="13"/>
      <c r="I130" s="15"/>
      <c r="J130" s="15"/>
      <c r="K130" s="15"/>
      <c r="L130" s="14" t="str">
        <f aca="false">IF($K130&lt;&gt;"",$K130,IF($J130&lt;&gt;"",$J130*CARBON_FRACTION_OM,""))</f>
        <v/>
      </c>
      <c r="M130" s="14" t="n">
        <f aca="false">IF($H130="Fine earth / fine-earth volume",1-IF($G130="",0,$G130)/100,1)</f>
        <v>1</v>
      </c>
      <c r="N130" s="14" t="str">
        <f aca="false">IF(OR($D130="",$E130=""),"",MAX(0,MIN($E130,REPORTING_DEPTH_CM)-MIN($D130,REPORTING_DEPTH_CM)))</f>
        <v/>
      </c>
      <c r="O130" s="14" t="str">
        <f aca="false">IF(OR($I130="",$L130="",$N130=""),"",$I130*($L130/100)*$N130*$M130*10)</f>
        <v/>
      </c>
      <c r="P130" s="14" t="str">
        <f aca="false">IF(OR($I130="",$L130="",$F130=""),"",$I130*($L130/100)*$F130*$M130*10)</f>
        <v/>
      </c>
      <c r="Q130" s="14" t="str">
        <f aca="false">IF(AND($A130="",$B130="",$D130=""),"",IF(AND($B130&lt;&gt;"",COUNTIF('2. Core Log'!$A$5:$A$124,$B130)=0),"Core ID not in Core Log. ","")&amp;IF(AND($A130&lt;&gt;"",COUNTIF('1. Plot &amp; Site Log'!$A$5:$A$64,$A130)=0),"Plot ID not in Plot &amp; Site Log. ","")&amp;IF(AND($D130&lt;&gt;"",$E130&lt;&gt;"",$E130&lt;=$D130),"Bottom depth is not below top depth. ","")&amp;IF($H130="","Say which bulk-density basis the lab reported, or the coarse-fragment correction cannot be applied safely. ","")&amp;IF(AND($I130&lt;&gt;"",OR($I130&lt;QC_BD_MIN,$I130&gt;QC_BD_MAX)),"Bulk density outside "&amp;QC_BD_MIN&amp;"–"&amp;QC_BD_MAX&amp;" g/cm³. ","")&amp;IF(AND($L130&lt;&gt;"",$L130&gt;QC_CARBON_PCT_MAX),"Carbon above "&amp;QC_CARBON_PCT_MAX&amp;"% — check units; this may be organic matter rather than carbon. ","")&amp;IF(AND($J130&lt;&gt;"",$K130&lt;&gt;""),"Both LOI and measured carbon given — the measured value is used. ","")&amp;IF(AND($N130&lt;&gt;"",$N130=0),"Slice lies entirely below the reporting depth — it counts to the full-core stock only. ",""))</f>
        <v/>
      </c>
      <c r="R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 t="str">
        <f aca="false">IF(OR($D131="",$E131=""),"",$E131-$D131)</f>
        <v/>
      </c>
      <c r="G131" s="13"/>
      <c r="H131" s="13"/>
      <c r="I131" s="15"/>
      <c r="J131" s="15"/>
      <c r="K131" s="15"/>
      <c r="L131" s="14" t="str">
        <f aca="false">IF($K131&lt;&gt;"",$K131,IF($J131&lt;&gt;"",$J131*CARBON_FRACTION_OM,""))</f>
        <v/>
      </c>
      <c r="M131" s="14" t="n">
        <f aca="false">IF($H131="Fine earth / fine-earth volume",1-IF($G131="",0,$G131)/100,1)</f>
        <v>1</v>
      </c>
      <c r="N131" s="14" t="str">
        <f aca="false">IF(OR($D131="",$E131=""),"",MAX(0,MIN($E131,REPORTING_DEPTH_CM)-MIN($D131,REPORTING_DEPTH_CM)))</f>
        <v/>
      </c>
      <c r="O131" s="14" t="str">
        <f aca="false">IF(OR($I131="",$L131="",$N131=""),"",$I131*($L131/100)*$N131*$M131*10)</f>
        <v/>
      </c>
      <c r="P131" s="14" t="str">
        <f aca="false">IF(OR($I131="",$L131="",$F131=""),"",$I131*($L131/100)*$F131*$M131*10)</f>
        <v/>
      </c>
      <c r="Q131" s="14" t="str">
        <f aca="false">IF(AND($A131="",$B131="",$D131=""),"",IF(AND($B131&lt;&gt;"",COUNTIF('2. Core Log'!$A$5:$A$124,$B131)=0),"Core ID not in Core Log. ","")&amp;IF(AND($A131&lt;&gt;"",COUNTIF('1. Plot &amp; Site Log'!$A$5:$A$64,$A131)=0),"Plot ID not in Plot &amp; Site Log. ","")&amp;IF(AND($D131&lt;&gt;"",$E131&lt;&gt;"",$E131&lt;=$D131),"Bottom depth is not below top depth. ","")&amp;IF($H131="","Say which bulk-density basis the lab reported, or the coarse-fragment correction cannot be applied safely. ","")&amp;IF(AND($I131&lt;&gt;"",OR($I131&lt;QC_BD_MIN,$I131&gt;QC_BD_MAX)),"Bulk density outside "&amp;QC_BD_MIN&amp;"–"&amp;QC_BD_MAX&amp;" g/cm³. ","")&amp;IF(AND($L131&lt;&gt;"",$L131&gt;QC_CARBON_PCT_MAX),"Carbon above "&amp;QC_CARBON_PCT_MAX&amp;"% — check units; this may be organic matter rather than carbon. ","")&amp;IF(AND($J131&lt;&gt;"",$K131&lt;&gt;""),"Both LOI and measured carbon given — the measured value is used. ","")&amp;IF(AND($N131&lt;&gt;"",$N131=0),"Slice lies entirely below the reporting depth — it counts to the full-core stock only. ",""))</f>
        <v/>
      </c>
      <c r="R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 t="str">
        <f aca="false">IF(OR($D132="",$E132=""),"",$E132-$D132)</f>
        <v/>
      </c>
      <c r="G132" s="13"/>
      <c r="H132" s="13"/>
      <c r="I132" s="15"/>
      <c r="J132" s="15"/>
      <c r="K132" s="15"/>
      <c r="L132" s="14" t="str">
        <f aca="false">IF($K132&lt;&gt;"",$K132,IF($J132&lt;&gt;"",$J132*CARBON_FRACTION_OM,""))</f>
        <v/>
      </c>
      <c r="M132" s="14" t="n">
        <f aca="false">IF($H132="Fine earth / fine-earth volume",1-IF($G132="",0,$G132)/100,1)</f>
        <v>1</v>
      </c>
      <c r="N132" s="14" t="str">
        <f aca="false">IF(OR($D132="",$E132=""),"",MAX(0,MIN($E132,REPORTING_DEPTH_CM)-MIN($D132,REPORTING_DEPTH_CM)))</f>
        <v/>
      </c>
      <c r="O132" s="14" t="str">
        <f aca="false">IF(OR($I132="",$L132="",$N132=""),"",$I132*($L132/100)*$N132*$M132*10)</f>
        <v/>
      </c>
      <c r="P132" s="14" t="str">
        <f aca="false">IF(OR($I132="",$L132="",$F132=""),"",$I132*($L132/100)*$F132*$M132*10)</f>
        <v/>
      </c>
      <c r="Q132" s="14" t="str">
        <f aca="false">IF(AND($A132="",$B132="",$D132=""),"",IF(AND($B132&lt;&gt;"",COUNTIF('2. Core Log'!$A$5:$A$124,$B132)=0),"Core ID not in Core Log. ","")&amp;IF(AND($A132&lt;&gt;"",COUNTIF('1. Plot &amp; Site Log'!$A$5:$A$64,$A132)=0),"Plot ID not in Plot &amp; Site Log. ","")&amp;IF(AND($D132&lt;&gt;"",$E132&lt;&gt;"",$E132&lt;=$D132),"Bottom depth is not below top depth. ","")&amp;IF($H132="","Say which bulk-density basis the lab reported, or the coarse-fragment correction cannot be applied safely. ","")&amp;IF(AND($I132&lt;&gt;"",OR($I132&lt;QC_BD_MIN,$I132&gt;QC_BD_MAX)),"Bulk density outside "&amp;QC_BD_MIN&amp;"–"&amp;QC_BD_MAX&amp;" g/cm³. ","")&amp;IF(AND($L132&lt;&gt;"",$L132&gt;QC_CARBON_PCT_MAX),"Carbon above "&amp;QC_CARBON_PCT_MAX&amp;"% — check units; this may be organic matter rather than carbon. ","")&amp;IF(AND($J132&lt;&gt;"",$K132&lt;&gt;""),"Both LOI and measured carbon given — the measured value is used. ","")&amp;IF(AND($N132&lt;&gt;"",$N132=0),"Slice lies entirely below the reporting depth — it counts to the full-core stock only. ",""))</f>
        <v/>
      </c>
      <c r="R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 t="str">
        <f aca="false">IF(OR($D133="",$E133=""),"",$E133-$D133)</f>
        <v/>
      </c>
      <c r="G133" s="13"/>
      <c r="H133" s="13"/>
      <c r="I133" s="15"/>
      <c r="J133" s="15"/>
      <c r="K133" s="15"/>
      <c r="L133" s="14" t="str">
        <f aca="false">IF($K133&lt;&gt;"",$K133,IF($J133&lt;&gt;"",$J133*CARBON_FRACTION_OM,""))</f>
        <v/>
      </c>
      <c r="M133" s="14" t="n">
        <f aca="false">IF($H133="Fine earth / fine-earth volume",1-IF($G133="",0,$G133)/100,1)</f>
        <v>1</v>
      </c>
      <c r="N133" s="14" t="str">
        <f aca="false">IF(OR($D133="",$E133=""),"",MAX(0,MIN($E133,REPORTING_DEPTH_CM)-MIN($D133,REPORTING_DEPTH_CM)))</f>
        <v/>
      </c>
      <c r="O133" s="14" t="str">
        <f aca="false">IF(OR($I133="",$L133="",$N133=""),"",$I133*($L133/100)*$N133*$M133*10)</f>
        <v/>
      </c>
      <c r="P133" s="14" t="str">
        <f aca="false">IF(OR($I133="",$L133="",$F133=""),"",$I133*($L133/100)*$F133*$M133*10)</f>
        <v/>
      </c>
      <c r="Q133" s="14" t="str">
        <f aca="false">IF(AND($A133="",$B133="",$D133=""),"",IF(AND($B133&lt;&gt;"",COUNTIF('2. Core Log'!$A$5:$A$124,$B133)=0),"Core ID not in Core Log. ","")&amp;IF(AND($A133&lt;&gt;"",COUNTIF('1. Plot &amp; Site Log'!$A$5:$A$64,$A133)=0),"Plot ID not in Plot &amp; Site Log. ","")&amp;IF(AND($D133&lt;&gt;"",$E133&lt;&gt;"",$E133&lt;=$D133),"Bottom depth is not below top depth. ","")&amp;IF($H133="","Say which bulk-density basis the lab reported, or the coarse-fragment correction cannot be applied safely. ","")&amp;IF(AND($I133&lt;&gt;"",OR($I133&lt;QC_BD_MIN,$I133&gt;QC_BD_MAX)),"Bulk density outside "&amp;QC_BD_MIN&amp;"–"&amp;QC_BD_MAX&amp;" g/cm³. ","")&amp;IF(AND($L133&lt;&gt;"",$L133&gt;QC_CARBON_PCT_MAX),"Carbon above "&amp;QC_CARBON_PCT_MAX&amp;"% — check units; this may be organic matter rather than carbon. ","")&amp;IF(AND($J133&lt;&gt;"",$K133&lt;&gt;""),"Both LOI and measured carbon given — the measured value is used. ","")&amp;IF(AND($N133&lt;&gt;"",$N133=0),"Slice lies entirely below the reporting depth — it counts to the full-core stock only. ",""))</f>
        <v/>
      </c>
      <c r="R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 t="str">
        <f aca="false">IF(OR($D134="",$E134=""),"",$E134-$D134)</f>
        <v/>
      </c>
      <c r="G134" s="13"/>
      <c r="H134" s="13"/>
      <c r="I134" s="15"/>
      <c r="J134" s="15"/>
      <c r="K134" s="15"/>
      <c r="L134" s="14" t="str">
        <f aca="false">IF($K134&lt;&gt;"",$K134,IF($J134&lt;&gt;"",$J134*CARBON_FRACTION_OM,""))</f>
        <v/>
      </c>
      <c r="M134" s="14" t="n">
        <f aca="false">IF($H134="Fine earth / fine-earth volume",1-IF($G134="",0,$G134)/100,1)</f>
        <v>1</v>
      </c>
      <c r="N134" s="14" t="str">
        <f aca="false">IF(OR($D134="",$E134=""),"",MAX(0,MIN($E134,REPORTING_DEPTH_CM)-MIN($D134,REPORTING_DEPTH_CM)))</f>
        <v/>
      </c>
      <c r="O134" s="14" t="str">
        <f aca="false">IF(OR($I134="",$L134="",$N134=""),"",$I134*($L134/100)*$N134*$M134*10)</f>
        <v/>
      </c>
      <c r="P134" s="14" t="str">
        <f aca="false">IF(OR($I134="",$L134="",$F134=""),"",$I134*($L134/100)*$F134*$M134*10)</f>
        <v/>
      </c>
      <c r="Q134" s="14" t="str">
        <f aca="false">IF(AND($A134="",$B134="",$D134=""),"",IF(AND($B134&lt;&gt;"",COUNTIF('2. Core Log'!$A$5:$A$124,$B134)=0),"Core ID not in Core Log. ","")&amp;IF(AND($A134&lt;&gt;"",COUNTIF('1. Plot &amp; Site Log'!$A$5:$A$64,$A134)=0),"Plot ID not in Plot &amp; Site Log. ","")&amp;IF(AND($D134&lt;&gt;"",$E134&lt;&gt;"",$E134&lt;=$D134),"Bottom depth is not below top depth. ","")&amp;IF($H134="","Say which bulk-density basis the lab reported, or the coarse-fragment correction cannot be applied safely. ","")&amp;IF(AND($I134&lt;&gt;"",OR($I134&lt;QC_BD_MIN,$I134&gt;QC_BD_MAX)),"Bulk density outside "&amp;QC_BD_MIN&amp;"–"&amp;QC_BD_MAX&amp;" g/cm³. ","")&amp;IF(AND($L134&lt;&gt;"",$L134&gt;QC_CARBON_PCT_MAX),"Carbon above "&amp;QC_CARBON_PCT_MAX&amp;"% — check units; this may be organic matter rather than carbon. ","")&amp;IF(AND($J134&lt;&gt;"",$K134&lt;&gt;""),"Both LOI and measured carbon given — the measured value is used. ","")&amp;IF(AND($N134&lt;&gt;"",$N134=0),"Slice lies entirely below the reporting depth — it counts to the full-core stock only. ",""))</f>
        <v/>
      </c>
      <c r="R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 t="str">
        <f aca="false">IF(OR($D135="",$E135=""),"",$E135-$D135)</f>
        <v/>
      </c>
      <c r="G135" s="13"/>
      <c r="H135" s="13"/>
      <c r="I135" s="15"/>
      <c r="J135" s="15"/>
      <c r="K135" s="15"/>
      <c r="L135" s="14" t="str">
        <f aca="false">IF($K135&lt;&gt;"",$K135,IF($J135&lt;&gt;"",$J135*CARBON_FRACTION_OM,""))</f>
        <v/>
      </c>
      <c r="M135" s="14" t="n">
        <f aca="false">IF($H135="Fine earth / fine-earth volume",1-IF($G135="",0,$G135)/100,1)</f>
        <v>1</v>
      </c>
      <c r="N135" s="14" t="str">
        <f aca="false">IF(OR($D135="",$E135=""),"",MAX(0,MIN($E135,REPORTING_DEPTH_CM)-MIN($D135,REPORTING_DEPTH_CM)))</f>
        <v/>
      </c>
      <c r="O135" s="14" t="str">
        <f aca="false">IF(OR($I135="",$L135="",$N135=""),"",$I135*($L135/100)*$N135*$M135*10)</f>
        <v/>
      </c>
      <c r="P135" s="14" t="str">
        <f aca="false">IF(OR($I135="",$L135="",$F135=""),"",$I135*($L135/100)*$F135*$M135*10)</f>
        <v/>
      </c>
      <c r="Q135" s="14" t="str">
        <f aca="false">IF(AND($A135="",$B135="",$D135=""),"",IF(AND($B135&lt;&gt;"",COUNTIF('2. Core Log'!$A$5:$A$124,$B135)=0),"Core ID not in Core Log. ","")&amp;IF(AND($A135&lt;&gt;"",COUNTIF('1. Plot &amp; Site Log'!$A$5:$A$64,$A135)=0),"Plot ID not in Plot &amp; Site Log. ","")&amp;IF(AND($D135&lt;&gt;"",$E135&lt;&gt;"",$E135&lt;=$D135),"Bottom depth is not below top depth. ","")&amp;IF($H135="","Say which bulk-density basis the lab reported, or the coarse-fragment correction cannot be applied safely. ","")&amp;IF(AND($I135&lt;&gt;"",OR($I135&lt;QC_BD_MIN,$I135&gt;QC_BD_MAX)),"Bulk density outside "&amp;QC_BD_MIN&amp;"–"&amp;QC_BD_MAX&amp;" g/cm³. ","")&amp;IF(AND($L135&lt;&gt;"",$L135&gt;QC_CARBON_PCT_MAX),"Carbon above "&amp;QC_CARBON_PCT_MAX&amp;"% — check units; this may be organic matter rather than carbon. ","")&amp;IF(AND($J135&lt;&gt;"",$K135&lt;&gt;""),"Both LOI and measured carbon given — the measured value is used. ","")&amp;IF(AND($N135&lt;&gt;"",$N135=0),"Slice lies entirely below the reporting depth — it counts to the full-core stock only. ",""))</f>
        <v/>
      </c>
      <c r="R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 t="str">
        <f aca="false">IF(OR($D136="",$E136=""),"",$E136-$D136)</f>
        <v/>
      </c>
      <c r="G136" s="13"/>
      <c r="H136" s="13"/>
      <c r="I136" s="15"/>
      <c r="J136" s="15"/>
      <c r="K136" s="15"/>
      <c r="L136" s="14" t="str">
        <f aca="false">IF($K136&lt;&gt;"",$K136,IF($J136&lt;&gt;"",$J136*CARBON_FRACTION_OM,""))</f>
        <v/>
      </c>
      <c r="M136" s="14" t="n">
        <f aca="false">IF($H136="Fine earth / fine-earth volume",1-IF($G136="",0,$G136)/100,1)</f>
        <v>1</v>
      </c>
      <c r="N136" s="14" t="str">
        <f aca="false">IF(OR($D136="",$E136=""),"",MAX(0,MIN($E136,REPORTING_DEPTH_CM)-MIN($D136,REPORTING_DEPTH_CM)))</f>
        <v/>
      </c>
      <c r="O136" s="14" t="str">
        <f aca="false">IF(OR($I136="",$L136="",$N136=""),"",$I136*($L136/100)*$N136*$M136*10)</f>
        <v/>
      </c>
      <c r="P136" s="14" t="str">
        <f aca="false">IF(OR($I136="",$L136="",$F136=""),"",$I136*($L136/100)*$F136*$M136*10)</f>
        <v/>
      </c>
      <c r="Q136" s="14" t="str">
        <f aca="false">IF(AND($A136="",$B136="",$D136=""),"",IF(AND($B136&lt;&gt;"",COUNTIF('2. Core Log'!$A$5:$A$124,$B136)=0),"Core ID not in Core Log. ","")&amp;IF(AND($A136&lt;&gt;"",COUNTIF('1. Plot &amp; Site Log'!$A$5:$A$64,$A136)=0),"Plot ID not in Plot &amp; Site Log. ","")&amp;IF(AND($D136&lt;&gt;"",$E136&lt;&gt;"",$E136&lt;=$D136),"Bottom depth is not below top depth. ","")&amp;IF($H136="","Say which bulk-density basis the lab reported, or the coarse-fragment correction cannot be applied safely. ","")&amp;IF(AND($I136&lt;&gt;"",OR($I136&lt;QC_BD_MIN,$I136&gt;QC_BD_MAX)),"Bulk density outside "&amp;QC_BD_MIN&amp;"–"&amp;QC_BD_MAX&amp;" g/cm³. ","")&amp;IF(AND($L136&lt;&gt;"",$L136&gt;QC_CARBON_PCT_MAX),"Carbon above "&amp;QC_CARBON_PCT_MAX&amp;"% — check units; this may be organic matter rather than carbon. ","")&amp;IF(AND($J136&lt;&gt;"",$K136&lt;&gt;""),"Both LOI and measured carbon given — the measured value is used. ","")&amp;IF(AND($N136&lt;&gt;"",$N136=0),"Slice lies entirely below the reporting depth — it counts to the full-core stock only. ",""))</f>
        <v/>
      </c>
      <c r="R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 t="str">
        <f aca="false">IF(OR($D137="",$E137=""),"",$E137-$D137)</f>
        <v/>
      </c>
      <c r="G137" s="13"/>
      <c r="H137" s="13"/>
      <c r="I137" s="15"/>
      <c r="J137" s="15"/>
      <c r="K137" s="15"/>
      <c r="L137" s="14" t="str">
        <f aca="false">IF($K137&lt;&gt;"",$K137,IF($J137&lt;&gt;"",$J137*CARBON_FRACTION_OM,""))</f>
        <v/>
      </c>
      <c r="M137" s="14" t="n">
        <f aca="false">IF($H137="Fine earth / fine-earth volume",1-IF($G137="",0,$G137)/100,1)</f>
        <v>1</v>
      </c>
      <c r="N137" s="14" t="str">
        <f aca="false">IF(OR($D137="",$E137=""),"",MAX(0,MIN($E137,REPORTING_DEPTH_CM)-MIN($D137,REPORTING_DEPTH_CM)))</f>
        <v/>
      </c>
      <c r="O137" s="14" t="str">
        <f aca="false">IF(OR($I137="",$L137="",$N137=""),"",$I137*($L137/100)*$N137*$M137*10)</f>
        <v/>
      </c>
      <c r="P137" s="14" t="str">
        <f aca="false">IF(OR($I137="",$L137="",$F137=""),"",$I137*($L137/100)*$F137*$M137*10)</f>
        <v/>
      </c>
      <c r="Q137" s="14" t="str">
        <f aca="false">IF(AND($A137="",$B137="",$D137=""),"",IF(AND($B137&lt;&gt;"",COUNTIF('2. Core Log'!$A$5:$A$124,$B137)=0),"Core ID not in Core Log. ","")&amp;IF(AND($A137&lt;&gt;"",COUNTIF('1. Plot &amp; Site Log'!$A$5:$A$64,$A137)=0),"Plot ID not in Plot &amp; Site Log. ","")&amp;IF(AND($D137&lt;&gt;"",$E137&lt;&gt;"",$E137&lt;=$D137),"Bottom depth is not below top depth. ","")&amp;IF($H137="","Say which bulk-density basis the lab reported, or the coarse-fragment correction cannot be applied safely. ","")&amp;IF(AND($I137&lt;&gt;"",OR($I137&lt;QC_BD_MIN,$I137&gt;QC_BD_MAX)),"Bulk density outside "&amp;QC_BD_MIN&amp;"–"&amp;QC_BD_MAX&amp;" g/cm³. ","")&amp;IF(AND($L137&lt;&gt;"",$L137&gt;QC_CARBON_PCT_MAX),"Carbon above "&amp;QC_CARBON_PCT_MAX&amp;"% — check units; this may be organic matter rather than carbon. ","")&amp;IF(AND($J137&lt;&gt;"",$K137&lt;&gt;""),"Both LOI and measured carbon given — the measured value is used. ","")&amp;IF(AND($N137&lt;&gt;"",$N137=0),"Slice lies entirely below the reporting depth — it counts to the full-core stock only. ",""))</f>
        <v/>
      </c>
      <c r="R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 t="str">
        <f aca="false">IF(OR($D138="",$E138=""),"",$E138-$D138)</f>
        <v/>
      </c>
      <c r="G138" s="13"/>
      <c r="H138" s="13"/>
      <c r="I138" s="15"/>
      <c r="J138" s="15"/>
      <c r="K138" s="15"/>
      <c r="L138" s="14" t="str">
        <f aca="false">IF($K138&lt;&gt;"",$K138,IF($J138&lt;&gt;"",$J138*CARBON_FRACTION_OM,""))</f>
        <v/>
      </c>
      <c r="M138" s="14" t="n">
        <f aca="false">IF($H138="Fine earth / fine-earth volume",1-IF($G138="",0,$G138)/100,1)</f>
        <v>1</v>
      </c>
      <c r="N138" s="14" t="str">
        <f aca="false">IF(OR($D138="",$E138=""),"",MAX(0,MIN($E138,REPORTING_DEPTH_CM)-MIN($D138,REPORTING_DEPTH_CM)))</f>
        <v/>
      </c>
      <c r="O138" s="14" t="str">
        <f aca="false">IF(OR($I138="",$L138="",$N138=""),"",$I138*($L138/100)*$N138*$M138*10)</f>
        <v/>
      </c>
      <c r="P138" s="14" t="str">
        <f aca="false">IF(OR($I138="",$L138="",$F138=""),"",$I138*($L138/100)*$F138*$M138*10)</f>
        <v/>
      </c>
      <c r="Q138" s="14" t="str">
        <f aca="false">IF(AND($A138="",$B138="",$D138=""),"",IF(AND($B138&lt;&gt;"",COUNTIF('2. Core Log'!$A$5:$A$124,$B138)=0),"Core ID not in Core Log. ","")&amp;IF(AND($A138&lt;&gt;"",COUNTIF('1. Plot &amp; Site Log'!$A$5:$A$64,$A138)=0),"Plot ID not in Plot &amp; Site Log. ","")&amp;IF(AND($D138&lt;&gt;"",$E138&lt;&gt;"",$E138&lt;=$D138),"Bottom depth is not below top depth. ","")&amp;IF($H138="","Say which bulk-density basis the lab reported, or the coarse-fragment correction cannot be applied safely. ","")&amp;IF(AND($I138&lt;&gt;"",OR($I138&lt;QC_BD_MIN,$I138&gt;QC_BD_MAX)),"Bulk density outside "&amp;QC_BD_MIN&amp;"–"&amp;QC_BD_MAX&amp;" g/cm³. ","")&amp;IF(AND($L138&lt;&gt;"",$L138&gt;QC_CARBON_PCT_MAX),"Carbon above "&amp;QC_CARBON_PCT_MAX&amp;"% — check units; this may be organic matter rather than carbon. ","")&amp;IF(AND($J138&lt;&gt;"",$K138&lt;&gt;""),"Both LOI and measured carbon given — the measured value is used. ","")&amp;IF(AND($N138&lt;&gt;"",$N138=0),"Slice lies entirely below the reporting depth — it counts to the full-core stock only. ",""))</f>
        <v/>
      </c>
      <c r="R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 t="str">
        <f aca="false">IF(OR($D139="",$E139=""),"",$E139-$D139)</f>
        <v/>
      </c>
      <c r="G139" s="13"/>
      <c r="H139" s="13"/>
      <c r="I139" s="15"/>
      <c r="J139" s="15"/>
      <c r="K139" s="15"/>
      <c r="L139" s="14" t="str">
        <f aca="false">IF($K139&lt;&gt;"",$K139,IF($J139&lt;&gt;"",$J139*CARBON_FRACTION_OM,""))</f>
        <v/>
      </c>
      <c r="M139" s="14" t="n">
        <f aca="false">IF($H139="Fine earth / fine-earth volume",1-IF($G139="",0,$G139)/100,1)</f>
        <v>1</v>
      </c>
      <c r="N139" s="14" t="str">
        <f aca="false">IF(OR($D139="",$E139=""),"",MAX(0,MIN($E139,REPORTING_DEPTH_CM)-MIN($D139,REPORTING_DEPTH_CM)))</f>
        <v/>
      </c>
      <c r="O139" s="14" t="str">
        <f aca="false">IF(OR($I139="",$L139="",$N139=""),"",$I139*($L139/100)*$N139*$M139*10)</f>
        <v/>
      </c>
      <c r="P139" s="14" t="str">
        <f aca="false">IF(OR($I139="",$L139="",$F139=""),"",$I139*($L139/100)*$F139*$M139*10)</f>
        <v/>
      </c>
      <c r="Q139" s="14" t="str">
        <f aca="false">IF(AND($A139="",$B139="",$D139=""),"",IF(AND($B139&lt;&gt;"",COUNTIF('2. Core Log'!$A$5:$A$124,$B139)=0),"Core ID not in Core Log. ","")&amp;IF(AND($A139&lt;&gt;"",COUNTIF('1. Plot &amp; Site Log'!$A$5:$A$64,$A139)=0),"Plot ID not in Plot &amp; Site Log. ","")&amp;IF(AND($D139&lt;&gt;"",$E139&lt;&gt;"",$E139&lt;=$D139),"Bottom depth is not below top depth. ","")&amp;IF($H139="","Say which bulk-density basis the lab reported, or the coarse-fragment correction cannot be applied safely. ","")&amp;IF(AND($I139&lt;&gt;"",OR($I139&lt;QC_BD_MIN,$I139&gt;QC_BD_MAX)),"Bulk density outside "&amp;QC_BD_MIN&amp;"–"&amp;QC_BD_MAX&amp;" g/cm³. ","")&amp;IF(AND($L139&lt;&gt;"",$L139&gt;QC_CARBON_PCT_MAX),"Carbon above "&amp;QC_CARBON_PCT_MAX&amp;"% — check units; this may be organic matter rather than carbon. ","")&amp;IF(AND($J139&lt;&gt;"",$K139&lt;&gt;""),"Both LOI and measured carbon given — the measured value is used. ","")&amp;IF(AND($N139&lt;&gt;"",$N139=0),"Slice lies entirely below the reporting depth — it counts to the full-core stock only. ",""))</f>
        <v/>
      </c>
      <c r="R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 t="str">
        <f aca="false">IF(OR($D140="",$E140=""),"",$E140-$D140)</f>
        <v/>
      </c>
      <c r="G140" s="13"/>
      <c r="H140" s="13"/>
      <c r="I140" s="15"/>
      <c r="J140" s="15"/>
      <c r="K140" s="15"/>
      <c r="L140" s="14" t="str">
        <f aca="false">IF($K140&lt;&gt;"",$K140,IF($J140&lt;&gt;"",$J140*CARBON_FRACTION_OM,""))</f>
        <v/>
      </c>
      <c r="M140" s="14" t="n">
        <f aca="false">IF($H140="Fine earth / fine-earth volume",1-IF($G140="",0,$G140)/100,1)</f>
        <v>1</v>
      </c>
      <c r="N140" s="14" t="str">
        <f aca="false">IF(OR($D140="",$E140=""),"",MAX(0,MIN($E140,REPORTING_DEPTH_CM)-MIN($D140,REPORTING_DEPTH_CM)))</f>
        <v/>
      </c>
      <c r="O140" s="14" t="str">
        <f aca="false">IF(OR($I140="",$L140="",$N140=""),"",$I140*($L140/100)*$N140*$M140*10)</f>
        <v/>
      </c>
      <c r="P140" s="14" t="str">
        <f aca="false">IF(OR($I140="",$L140="",$F140=""),"",$I140*($L140/100)*$F140*$M140*10)</f>
        <v/>
      </c>
      <c r="Q140" s="14" t="str">
        <f aca="false">IF(AND($A140="",$B140="",$D140=""),"",IF(AND($B140&lt;&gt;"",COUNTIF('2. Core Log'!$A$5:$A$124,$B140)=0),"Core ID not in Core Log. ","")&amp;IF(AND($A140&lt;&gt;"",COUNTIF('1. Plot &amp; Site Log'!$A$5:$A$64,$A140)=0),"Plot ID not in Plot &amp; Site Log. ","")&amp;IF(AND($D140&lt;&gt;"",$E140&lt;&gt;"",$E140&lt;=$D140),"Bottom depth is not below top depth. ","")&amp;IF($H140="","Say which bulk-density basis the lab reported, or the coarse-fragment correction cannot be applied safely. ","")&amp;IF(AND($I140&lt;&gt;"",OR($I140&lt;QC_BD_MIN,$I140&gt;QC_BD_MAX)),"Bulk density outside "&amp;QC_BD_MIN&amp;"–"&amp;QC_BD_MAX&amp;" g/cm³. ","")&amp;IF(AND($L140&lt;&gt;"",$L140&gt;QC_CARBON_PCT_MAX),"Carbon above "&amp;QC_CARBON_PCT_MAX&amp;"% — check units; this may be organic matter rather than carbon. ","")&amp;IF(AND($J140&lt;&gt;"",$K140&lt;&gt;""),"Both LOI and measured carbon given — the measured value is used. ","")&amp;IF(AND($N140&lt;&gt;"",$N140=0),"Slice lies entirely below the reporting depth — it counts to the full-core stock only. ",""))</f>
        <v/>
      </c>
      <c r="R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 t="str">
        <f aca="false">IF(OR($D141="",$E141=""),"",$E141-$D141)</f>
        <v/>
      </c>
      <c r="G141" s="13"/>
      <c r="H141" s="13"/>
      <c r="I141" s="15"/>
      <c r="J141" s="15"/>
      <c r="K141" s="15"/>
      <c r="L141" s="14" t="str">
        <f aca="false">IF($K141&lt;&gt;"",$K141,IF($J141&lt;&gt;"",$J141*CARBON_FRACTION_OM,""))</f>
        <v/>
      </c>
      <c r="M141" s="14" t="n">
        <f aca="false">IF($H141="Fine earth / fine-earth volume",1-IF($G141="",0,$G141)/100,1)</f>
        <v>1</v>
      </c>
      <c r="N141" s="14" t="str">
        <f aca="false">IF(OR($D141="",$E141=""),"",MAX(0,MIN($E141,REPORTING_DEPTH_CM)-MIN($D141,REPORTING_DEPTH_CM)))</f>
        <v/>
      </c>
      <c r="O141" s="14" t="str">
        <f aca="false">IF(OR($I141="",$L141="",$N141=""),"",$I141*($L141/100)*$N141*$M141*10)</f>
        <v/>
      </c>
      <c r="P141" s="14" t="str">
        <f aca="false">IF(OR($I141="",$L141="",$F141=""),"",$I141*($L141/100)*$F141*$M141*10)</f>
        <v/>
      </c>
      <c r="Q141" s="14" t="str">
        <f aca="false">IF(AND($A141="",$B141="",$D141=""),"",IF(AND($B141&lt;&gt;"",COUNTIF('2. Core Log'!$A$5:$A$124,$B141)=0),"Core ID not in Core Log. ","")&amp;IF(AND($A141&lt;&gt;"",COUNTIF('1. Plot &amp; Site Log'!$A$5:$A$64,$A141)=0),"Plot ID not in Plot &amp; Site Log. ","")&amp;IF(AND($D141&lt;&gt;"",$E141&lt;&gt;"",$E141&lt;=$D141),"Bottom depth is not below top depth. ","")&amp;IF($H141="","Say which bulk-density basis the lab reported, or the coarse-fragment correction cannot be applied safely. ","")&amp;IF(AND($I141&lt;&gt;"",OR($I141&lt;QC_BD_MIN,$I141&gt;QC_BD_MAX)),"Bulk density outside "&amp;QC_BD_MIN&amp;"–"&amp;QC_BD_MAX&amp;" g/cm³. ","")&amp;IF(AND($L141&lt;&gt;"",$L141&gt;QC_CARBON_PCT_MAX),"Carbon above "&amp;QC_CARBON_PCT_MAX&amp;"% — check units; this may be organic matter rather than carbon. ","")&amp;IF(AND($J141&lt;&gt;"",$K141&lt;&gt;""),"Both LOI and measured carbon given — the measured value is used. ","")&amp;IF(AND($N141&lt;&gt;"",$N141=0),"Slice lies entirely below the reporting depth — it counts to the full-core stock only. ",""))</f>
        <v/>
      </c>
      <c r="R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 t="str">
        <f aca="false">IF(OR($D142="",$E142=""),"",$E142-$D142)</f>
        <v/>
      </c>
      <c r="G142" s="13"/>
      <c r="H142" s="13"/>
      <c r="I142" s="15"/>
      <c r="J142" s="15"/>
      <c r="K142" s="15"/>
      <c r="L142" s="14" t="str">
        <f aca="false">IF($K142&lt;&gt;"",$K142,IF($J142&lt;&gt;"",$J142*CARBON_FRACTION_OM,""))</f>
        <v/>
      </c>
      <c r="M142" s="14" t="n">
        <f aca="false">IF($H142="Fine earth / fine-earth volume",1-IF($G142="",0,$G142)/100,1)</f>
        <v>1</v>
      </c>
      <c r="N142" s="14" t="str">
        <f aca="false">IF(OR($D142="",$E142=""),"",MAX(0,MIN($E142,REPORTING_DEPTH_CM)-MIN($D142,REPORTING_DEPTH_CM)))</f>
        <v/>
      </c>
      <c r="O142" s="14" t="str">
        <f aca="false">IF(OR($I142="",$L142="",$N142=""),"",$I142*($L142/100)*$N142*$M142*10)</f>
        <v/>
      </c>
      <c r="P142" s="14" t="str">
        <f aca="false">IF(OR($I142="",$L142="",$F142=""),"",$I142*($L142/100)*$F142*$M142*10)</f>
        <v/>
      </c>
      <c r="Q142" s="14" t="str">
        <f aca="false">IF(AND($A142="",$B142="",$D142=""),"",IF(AND($B142&lt;&gt;"",COUNTIF('2. Core Log'!$A$5:$A$124,$B142)=0),"Core ID not in Core Log. ","")&amp;IF(AND($A142&lt;&gt;"",COUNTIF('1. Plot &amp; Site Log'!$A$5:$A$64,$A142)=0),"Plot ID not in Plot &amp; Site Log. ","")&amp;IF(AND($D142&lt;&gt;"",$E142&lt;&gt;"",$E142&lt;=$D142),"Bottom depth is not below top depth. ","")&amp;IF($H142="","Say which bulk-density basis the lab reported, or the coarse-fragment correction cannot be applied safely. ","")&amp;IF(AND($I142&lt;&gt;"",OR($I142&lt;QC_BD_MIN,$I142&gt;QC_BD_MAX)),"Bulk density outside "&amp;QC_BD_MIN&amp;"–"&amp;QC_BD_MAX&amp;" g/cm³. ","")&amp;IF(AND($L142&lt;&gt;"",$L142&gt;QC_CARBON_PCT_MAX),"Carbon above "&amp;QC_CARBON_PCT_MAX&amp;"% — check units; this may be organic matter rather than carbon. ","")&amp;IF(AND($J142&lt;&gt;"",$K142&lt;&gt;""),"Both LOI and measured carbon given — the measured value is used. ","")&amp;IF(AND($N142&lt;&gt;"",$N142=0),"Slice lies entirely below the reporting depth — it counts to the full-core stock only. ",""))</f>
        <v/>
      </c>
      <c r="R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 t="str">
        <f aca="false">IF(OR($D143="",$E143=""),"",$E143-$D143)</f>
        <v/>
      </c>
      <c r="G143" s="13"/>
      <c r="H143" s="13"/>
      <c r="I143" s="15"/>
      <c r="J143" s="15"/>
      <c r="K143" s="15"/>
      <c r="L143" s="14" t="str">
        <f aca="false">IF($K143&lt;&gt;"",$K143,IF($J143&lt;&gt;"",$J143*CARBON_FRACTION_OM,""))</f>
        <v/>
      </c>
      <c r="M143" s="14" t="n">
        <f aca="false">IF($H143="Fine earth / fine-earth volume",1-IF($G143="",0,$G143)/100,1)</f>
        <v>1</v>
      </c>
      <c r="N143" s="14" t="str">
        <f aca="false">IF(OR($D143="",$E143=""),"",MAX(0,MIN($E143,REPORTING_DEPTH_CM)-MIN($D143,REPORTING_DEPTH_CM)))</f>
        <v/>
      </c>
      <c r="O143" s="14" t="str">
        <f aca="false">IF(OR($I143="",$L143="",$N143=""),"",$I143*($L143/100)*$N143*$M143*10)</f>
        <v/>
      </c>
      <c r="P143" s="14" t="str">
        <f aca="false">IF(OR($I143="",$L143="",$F143=""),"",$I143*($L143/100)*$F143*$M143*10)</f>
        <v/>
      </c>
      <c r="Q143" s="14" t="str">
        <f aca="false">IF(AND($A143="",$B143="",$D143=""),"",IF(AND($B143&lt;&gt;"",COUNTIF('2. Core Log'!$A$5:$A$124,$B143)=0),"Core ID not in Core Log. ","")&amp;IF(AND($A143&lt;&gt;"",COUNTIF('1. Plot &amp; Site Log'!$A$5:$A$64,$A143)=0),"Plot ID not in Plot &amp; Site Log. ","")&amp;IF(AND($D143&lt;&gt;"",$E143&lt;&gt;"",$E143&lt;=$D143),"Bottom depth is not below top depth. ","")&amp;IF($H143="","Say which bulk-density basis the lab reported, or the coarse-fragment correction cannot be applied safely. ","")&amp;IF(AND($I143&lt;&gt;"",OR($I143&lt;QC_BD_MIN,$I143&gt;QC_BD_MAX)),"Bulk density outside "&amp;QC_BD_MIN&amp;"–"&amp;QC_BD_MAX&amp;" g/cm³. ","")&amp;IF(AND($L143&lt;&gt;"",$L143&gt;QC_CARBON_PCT_MAX),"Carbon above "&amp;QC_CARBON_PCT_MAX&amp;"% — check units; this may be organic matter rather than carbon. ","")&amp;IF(AND($J143&lt;&gt;"",$K143&lt;&gt;""),"Both LOI and measured carbon given — the measured value is used. ","")&amp;IF(AND($N143&lt;&gt;"",$N143=0),"Slice lies entirely below the reporting depth — it counts to the full-core stock only. ",""))</f>
        <v/>
      </c>
      <c r="R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 t="str">
        <f aca="false">IF(OR($D144="",$E144=""),"",$E144-$D144)</f>
        <v/>
      </c>
      <c r="G144" s="13"/>
      <c r="H144" s="13"/>
      <c r="I144" s="15"/>
      <c r="J144" s="15"/>
      <c r="K144" s="15"/>
      <c r="L144" s="14" t="str">
        <f aca="false">IF($K144&lt;&gt;"",$K144,IF($J144&lt;&gt;"",$J144*CARBON_FRACTION_OM,""))</f>
        <v/>
      </c>
      <c r="M144" s="14" t="n">
        <f aca="false">IF($H144="Fine earth / fine-earth volume",1-IF($G144="",0,$G144)/100,1)</f>
        <v>1</v>
      </c>
      <c r="N144" s="14" t="str">
        <f aca="false">IF(OR($D144="",$E144=""),"",MAX(0,MIN($E144,REPORTING_DEPTH_CM)-MIN($D144,REPORTING_DEPTH_CM)))</f>
        <v/>
      </c>
      <c r="O144" s="14" t="str">
        <f aca="false">IF(OR($I144="",$L144="",$N144=""),"",$I144*($L144/100)*$N144*$M144*10)</f>
        <v/>
      </c>
      <c r="P144" s="14" t="str">
        <f aca="false">IF(OR($I144="",$L144="",$F144=""),"",$I144*($L144/100)*$F144*$M144*10)</f>
        <v/>
      </c>
      <c r="Q144" s="14" t="str">
        <f aca="false">IF(AND($A144="",$B144="",$D144=""),"",IF(AND($B144&lt;&gt;"",COUNTIF('2. Core Log'!$A$5:$A$124,$B144)=0),"Core ID not in Core Log. ","")&amp;IF(AND($A144&lt;&gt;"",COUNTIF('1. Plot &amp; Site Log'!$A$5:$A$64,$A144)=0),"Plot ID not in Plot &amp; Site Log. ","")&amp;IF(AND($D144&lt;&gt;"",$E144&lt;&gt;"",$E144&lt;=$D144),"Bottom depth is not below top depth. ","")&amp;IF($H144="","Say which bulk-density basis the lab reported, or the coarse-fragment correction cannot be applied safely. ","")&amp;IF(AND($I144&lt;&gt;"",OR($I144&lt;QC_BD_MIN,$I144&gt;QC_BD_MAX)),"Bulk density outside "&amp;QC_BD_MIN&amp;"–"&amp;QC_BD_MAX&amp;" g/cm³. ","")&amp;IF(AND($L144&lt;&gt;"",$L144&gt;QC_CARBON_PCT_MAX),"Carbon above "&amp;QC_CARBON_PCT_MAX&amp;"% — check units; this may be organic matter rather than carbon. ","")&amp;IF(AND($J144&lt;&gt;"",$K144&lt;&gt;""),"Both LOI and measured carbon given — the measured value is used. ","")&amp;IF(AND($N144&lt;&gt;"",$N144=0),"Slice lies entirely below the reporting depth — it counts to the full-core stock only. ",""))</f>
        <v/>
      </c>
      <c r="R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 t="str">
        <f aca="false">IF(OR($D145="",$E145=""),"",$E145-$D145)</f>
        <v/>
      </c>
      <c r="G145" s="13"/>
      <c r="H145" s="13"/>
      <c r="I145" s="15"/>
      <c r="J145" s="15"/>
      <c r="K145" s="15"/>
      <c r="L145" s="14" t="str">
        <f aca="false">IF($K145&lt;&gt;"",$K145,IF($J145&lt;&gt;"",$J145*CARBON_FRACTION_OM,""))</f>
        <v/>
      </c>
      <c r="M145" s="14" t="n">
        <f aca="false">IF($H145="Fine earth / fine-earth volume",1-IF($G145="",0,$G145)/100,1)</f>
        <v>1</v>
      </c>
      <c r="N145" s="14" t="str">
        <f aca="false">IF(OR($D145="",$E145=""),"",MAX(0,MIN($E145,REPORTING_DEPTH_CM)-MIN($D145,REPORTING_DEPTH_CM)))</f>
        <v/>
      </c>
      <c r="O145" s="14" t="str">
        <f aca="false">IF(OR($I145="",$L145="",$N145=""),"",$I145*($L145/100)*$N145*$M145*10)</f>
        <v/>
      </c>
      <c r="P145" s="14" t="str">
        <f aca="false">IF(OR($I145="",$L145="",$F145=""),"",$I145*($L145/100)*$F145*$M145*10)</f>
        <v/>
      </c>
      <c r="Q145" s="14" t="str">
        <f aca="false">IF(AND($A145="",$B145="",$D145=""),"",IF(AND($B145&lt;&gt;"",COUNTIF('2. Core Log'!$A$5:$A$124,$B145)=0),"Core ID not in Core Log. ","")&amp;IF(AND($A145&lt;&gt;"",COUNTIF('1. Plot &amp; Site Log'!$A$5:$A$64,$A145)=0),"Plot ID not in Plot &amp; Site Log. ","")&amp;IF(AND($D145&lt;&gt;"",$E145&lt;&gt;"",$E145&lt;=$D145),"Bottom depth is not below top depth. ","")&amp;IF($H145="","Say which bulk-density basis the lab reported, or the coarse-fragment correction cannot be applied safely. ","")&amp;IF(AND($I145&lt;&gt;"",OR($I145&lt;QC_BD_MIN,$I145&gt;QC_BD_MAX)),"Bulk density outside "&amp;QC_BD_MIN&amp;"–"&amp;QC_BD_MAX&amp;" g/cm³. ","")&amp;IF(AND($L145&lt;&gt;"",$L145&gt;QC_CARBON_PCT_MAX),"Carbon above "&amp;QC_CARBON_PCT_MAX&amp;"% — check units; this may be organic matter rather than carbon. ","")&amp;IF(AND($J145&lt;&gt;"",$K145&lt;&gt;""),"Both LOI and measured carbon given — the measured value is used. ","")&amp;IF(AND($N145&lt;&gt;"",$N145=0),"Slice lies entirely below the reporting depth — it counts to the full-core stock only. ",""))</f>
        <v/>
      </c>
      <c r="R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 t="str">
        <f aca="false">IF(OR($D146="",$E146=""),"",$E146-$D146)</f>
        <v/>
      </c>
      <c r="G146" s="13"/>
      <c r="H146" s="13"/>
      <c r="I146" s="15"/>
      <c r="J146" s="15"/>
      <c r="K146" s="15"/>
      <c r="L146" s="14" t="str">
        <f aca="false">IF($K146&lt;&gt;"",$K146,IF($J146&lt;&gt;"",$J146*CARBON_FRACTION_OM,""))</f>
        <v/>
      </c>
      <c r="M146" s="14" t="n">
        <f aca="false">IF($H146="Fine earth / fine-earth volume",1-IF($G146="",0,$G146)/100,1)</f>
        <v>1</v>
      </c>
      <c r="N146" s="14" t="str">
        <f aca="false">IF(OR($D146="",$E146=""),"",MAX(0,MIN($E146,REPORTING_DEPTH_CM)-MIN($D146,REPORTING_DEPTH_CM)))</f>
        <v/>
      </c>
      <c r="O146" s="14" t="str">
        <f aca="false">IF(OR($I146="",$L146="",$N146=""),"",$I146*($L146/100)*$N146*$M146*10)</f>
        <v/>
      </c>
      <c r="P146" s="14" t="str">
        <f aca="false">IF(OR($I146="",$L146="",$F146=""),"",$I146*($L146/100)*$F146*$M146*10)</f>
        <v/>
      </c>
      <c r="Q146" s="14" t="str">
        <f aca="false">IF(AND($A146="",$B146="",$D146=""),"",IF(AND($B146&lt;&gt;"",COUNTIF('2. Core Log'!$A$5:$A$124,$B146)=0),"Core ID not in Core Log. ","")&amp;IF(AND($A146&lt;&gt;"",COUNTIF('1. Plot &amp; Site Log'!$A$5:$A$64,$A146)=0),"Plot ID not in Plot &amp; Site Log. ","")&amp;IF(AND($D146&lt;&gt;"",$E146&lt;&gt;"",$E146&lt;=$D146),"Bottom depth is not below top depth. ","")&amp;IF($H146="","Say which bulk-density basis the lab reported, or the coarse-fragment correction cannot be applied safely. ","")&amp;IF(AND($I146&lt;&gt;"",OR($I146&lt;QC_BD_MIN,$I146&gt;QC_BD_MAX)),"Bulk density outside "&amp;QC_BD_MIN&amp;"–"&amp;QC_BD_MAX&amp;" g/cm³. ","")&amp;IF(AND($L146&lt;&gt;"",$L146&gt;QC_CARBON_PCT_MAX),"Carbon above "&amp;QC_CARBON_PCT_MAX&amp;"% — check units; this may be organic matter rather than carbon. ","")&amp;IF(AND($J146&lt;&gt;"",$K146&lt;&gt;""),"Both LOI and measured carbon given — the measured value is used. ","")&amp;IF(AND($N146&lt;&gt;"",$N146=0),"Slice lies entirely below the reporting depth — it counts to the full-core stock only. ",""))</f>
        <v/>
      </c>
      <c r="R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 t="str">
        <f aca="false">IF(OR($D147="",$E147=""),"",$E147-$D147)</f>
        <v/>
      </c>
      <c r="G147" s="13"/>
      <c r="H147" s="13"/>
      <c r="I147" s="15"/>
      <c r="J147" s="15"/>
      <c r="K147" s="15"/>
      <c r="L147" s="14" t="str">
        <f aca="false">IF($K147&lt;&gt;"",$K147,IF($J147&lt;&gt;"",$J147*CARBON_FRACTION_OM,""))</f>
        <v/>
      </c>
      <c r="M147" s="14" t="n">
        <f aca="false">IF($H147="Fine earth / fine-earth volume",1-IF($G147="",0,$G147)/100,1)</f>
        <v>1</v>
      </c>
      <c r="N147" s="14" t="str">
        <f aca="false">IF(OR($D147="",$E147=""),"",MAX(0,MIN($E147,REPORTING_DEPTH_CM)-MIN($D147,REPORTING_DEPTH_CM)))</f>
        <v/>
      </c>
      <c r="O147" s="14" t="str">
        <f aca="false">IF(OR($I147="",$L147="",$N147=""),"",$I147*($L147/100)*$N147*$M147*10)</f>
        <v/>
      </c>
      <c r="P147" s="14" t="str">
        <f aca="false">IF(OR($I147="",$L147="",$F147=""),"",$I147*($L147/100)*$F147*$M147*10)</f>
        <v/>
      </c>
      <c r="Q147" s="14" t="str">
        <f aca="false">IF(AND($A147="",$B147="",$D147=""),"",IF(AND($B147&lt;&gt;"",COUNTIF('2. Core Log'!$A$5:$A$124,$B147)=0),"Core ID not in Core Log. ","")&amp;IF(AND($A147&lt;&gt;"",COUNTIF('1. Plot &amp; Site Log'!$A$5:$A$64,$A147)=0),"Plot ID not in Plot &amp; Site Log. ","")&amp;IF(AND($D147&lt;&gt;"",$E147&lt;&gt;"",$E147&lt;=$D147),"Bottom depth is not below top depth. ","")&amp;IF($H147="","Say which bulk-density basis the lab reported, or the coarse-fragment correction cannot be applied safely. ","")&amp;IF(AND($I147&lt;&gt;"",OR($I147&lt;QC_BD_MIN,$I147&gt;QC_BD_MAX)),"Bulk density outside "&amp;QC_BD_MIN&amp;"–"&amp;QC_BD_MAX&amp;" g/cm³. ","")&amp;IF(AND($L147&lt;&gt;"",$L147&gt;QC_CARBON_PCT_MAX),"Carbon above "&amp;QC_CARBON_PCT_MAX&amp;"% — check units; this may be organic matter rather than carbon. ","")&amp;IF(AND($J147&lt;&gt;"",$K147&lt;&gt;""),"Both LOI and measured carbon given — the measured value is used. ","")&amp;IF(AND($N147&lt;&gt;"",$N147=0),"Slice lies entirely below the reporting depth — it counts to the full-core stock only. ",""))</f>
        <v/>
      </c>
      <c r="R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 t="str">
        <f aca="false">IF(OR($D148="",$E148=""),"",$E148-$D148)</f>
        <v/>
      </c>
      <c r="G148" s="13"/>
      <c r="H148" s="13"/>
      <c r="I148" s="15"/>
      <c r="J148" s="15"/>
      <c r="K148" s="15"/>
      <c r="L148" s="14" t="str">
        <f aca="false">IF($K148&lt;&gt;"",$K148,IF($J148&lt;&gt;"",$J148*CARBON_FRACTION_OM,""))</f>
        <v/>
      </c>
      <c r="M148" s="14" t="n">
        <f aca="false">IF($H148="Fine earth / fine-earth volume",1-IF($G148="",0,$G148)/100,1)</f>
        <v>1</v>
      </c>
      <c r="N148" s="14" t="str">
        <f aca="false">IF(OR($D148="",$E148=""),"",MAX(0,MIN($E148,REPORTING_DEPTH_CM)-MIN($D148,REPORTING_DEPTH_CM)))</f>
        <v/>
      </c>
      <c r="O148" s="14" t="str">
        <f aca="false">IF(OR($I148="",$L148="",$N148=""),"",$I148*($L148/100)*$N148*$M148*10)</f>
        <v/>
      </c>
      <c r="P148" s="14" t="str">
        <f aca="false">IF(OR($I148="",$L148="",$F148=""),"",$I148*($L148/100)*$F148*$M148*10)</f>
        <v/>
      </c>
      <c r="Q148" s="14" t="str">
        <f aca="false">IF(AND($A148="",$B148="",$D148=""),"",IF(AND($B148&lt;&gt;"",COUNTIF('2. Core Log'!$A$5:$A$124,$B148)=0),"Core ID not in Core Log. ","")&amp;IF(AND($A148&lt;&gt;"",COUNTIF('1. Plot &amp; Site Log'!$A$5:$A$64,$A148)=0),"Plot ID not in Plot &amp; Site Log. ","")&amp;IF(AND($D148&lt;&gt;"",$E148&lt;&gt;"",$E148&lt;=$D148),"Bottom depth is not below top depth. ","")&amp;IF($H148="","Say which bulk-density basis the lab reported, or the coarse-fragment correction cannot be applied safely. ","")&amp;IF(AND($I148&lt;&gt;"",OR($I148&lt;QC_BD_MIN,$I148&gt;QC_BD_MAX)),"Bulk density outside "&amp;QC_BD_MIN&amp;"–"&amp;QC_BD_MAX&amp;" g/cm³. ","")&amp;IF(AND($L148&lt;&gt;"",$L148&gt;QC_CARBON_PCT_MAX),"Carbon above "&amp;QC_CARBON_PCT_MAX&amp;"% — check units; this may be organic matter rather than carbon. ","")&amp;IF(AND($J148&lt;&gt;"",$K148&lt;&gt;""),"Both LOI and measured carbon given — the measured value is used. ","")&amp;IF(AND($N148&lt;&gt;"",$N148=0),"Slice lies entirely below the reporting depth — it counts to the full-core stock only. ",""))</f>
        <v/>
      </c>
      <c r="R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 t="str">
        <f aca="false">IF(OR($D149="",$E149=""),"",$E149-$D149)</f>
        <v/>
      </c>
      <c r="G149" s="13"/>
      <c r="H149" s="13"/>
      <c r="I149" s="15"/>
      <c r="J149" s="15"/>
      <c r="K149" s="15"/>
      <c r="L149" s="14" t="str">
        <f aca="false">IF($K149&lt;&gt;"",$K149,IF($J149&lt;&gt;"",$J149*CARBON_FRACTION_OM,""))</f>
        <v/>
      </c>
      <c r="M149" s="14" t="n">
        <f aca="false">IF($H149="Fine earth / fine-earth volume",1-IF($G149="",0,$G149)/100,1)</f>
        <v>1</v>
      </c>
      <c r="N149" s="14" t="str">
        <f aca="false">IF(OR($D149="",$E149=""),"",MAX(0,MIN($E149,REPORTING_DEPTH_CM)-MIN($D149,REPORTING_DEPTH_CM)))</f>
        <v/>
      </c>
      <c r="O149" s="14" t="str">
        <f aca="false">IF(OR($I149="",$L149="",$N149=""),"",$I149*($L149/100)*$N149*$M149*10)</f>
        <v/>
      </c>
      <c r="P149" s="14" t="str">
        <f aca="false">IF(OR($I149="",$L149="",$F149=""),"",$I149*($L149/100)*$F149*$M149*10)</f>
        <v/>
      </c>
      <c r="Q149" s="14" t="str">
        <f aca="false">IF(AND($A149="",$B149="",$D149=""),"",IF(AND($B149&lt;&gt;"",COUNTIF('2. Core Log'!$A$5:$A$124,$B149)=0),"Core ID not in Core Log. ","")&amp;IF(AND($A149&lt;&gt;"",COUNTIF('1. Plot &amp; Site Log'!$A$5:$A$64,$A149)=0),"Plot ID not in Plot &amp; Site Log. ","")&amp;IF(AND($D149&lt;&gt;"",$E149&lt;&gt;"",$E149&lt;=$D149),"Bottom depth is not below top depth. ","")&amp;IF($H149="","Say which bulk-density basis the lab reported, or the coarse-fragment correction cannot be applied safely. ","")&amp;IF(AND($I149&lt;&gt;"",OR($I149&lt;QC_BD_MIN,$I149&gt;QC_BD_MAX)),"Bulk density outside "&amp;QC_BD_MIN&amp;"–"&amp;QC_BD_MAX&amp;" g/cm³. ","")&amp;IF(AND($L149&lt;&gt;"",$L149&gt;QC_CARBON_PCT_MAX),"Carbon above "&amp;QC_CARBON_PCT_MAX&amp;"% — check units; this may be organic matter rather than carbon. ","")&amp;IF(AND($J149&lt;&gt;"",$K149&lt;&gt;""),"Both LOI and measured carbon given — the measured value is used. ","")&amp;IF(AND($N149&lt;&gt;"",$N149=0),"Slice lies entirely below the reporting depth — it counts to the full-core stock only. ",""))</f>
        <v/>
      </c>
      <c r="R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 t="str">
        <f aca="false">IF(OR($D150="",$E150=""),"",$E150-$D150)</f>
        <v/>
      </c>
      <c r="G150" s="13"/>
      <c r="H150" s="13"/>
      <c r="I150" s="15"/>
      <c r="J150" s="15"/>
      <c r="K150" s="15"/>
      <c r="L150" s="14" t="str">
        <f aca="false">IF($K150&lt;&gt;"",$K150,IF($J150&lt;&gt;"",$J150*CARBON_FRACTION_OM,""))</f>
        <v/>
      </c>
      <c r="M150" s="14" t="n">
        <f aca="false">IF($H150="Fine earth / fine-earth volume",1-IF($G150="",0,$G150)/100,1)</f>
        <v>1</v>
      </c>
      <c r="N150" s="14" t="str">
        <f aca="false">IF(OR($D150="",$E150=""),"",MAX(0,MIN($E150,REPORTING_DEPTH_CM)-MIN($D150,REPORTING_DEPTH_CM)))</f>
        <v/>
      </c>
      <c r="O150" s="14" t="str">
        <f aca="false">IF(OR($I150="",$L150="",$N150=""),"",$I150*($L150/100)*$N150*$M150*10)</f>
        <v/>
      </c>
      <c r="P150" s="14" t="str">
        <f aca="false">IF(OR($I150="",$L150="",$F150=""),"",$I150*($L150/100)*$F150*$M150*10)</f>
        <v/>
      </c>
      <c r="Q150" s="14" t="str">
        <f aca="false">IF(AND($A150="",$B150="",$D150=""),"",IF(AND($B150&lt;&gt;"",COUNTIF('2. Core Log'!$A$5:$A$124,$B150)=0),"Core ID not in Core Log. ","")&amp;IF(AND($A150&lt;&gt;"",COUNTIF('1. Plot &amp; Site Log'!$A$5:$A$64,$A150)=0),"Plot ID not in Plot &amp; Site Log. ","")&amp;IF(AND($D150&lt;&gt;"",$E150&lt;&gt;"",$E150&lt;=$D150),"Bottom depth is not below top depth. ","")&amp;IF($H150="","Say which bulk-density basis the lab reported, or the coarse-fragment correction cannot be applied safely. ","")&amp;IF(AND($I150&lt;&gt;"",OR($I150&lt;QC_BD_MIN,$I150&gt;QC_BD_MAX)),"Bulk density outside "&amp;QC_BD_MIN&amp;"–"&amp;QC_BD_MAX&amp;" g/cm³. ","")&amp;IF(AND($L150&lt;&gt;"",$L150&gt;QC_CARBON_PCT_MAX),"Carbon above "&amp;QC_CARBON_PCT_MAX&amp;"% — check units; this may be organic matter rather than carbon. ","")&amp;IF(AND($J150&lt;&gt;"",$K150&lt;&gt;""),"Both LOI and measured carbon given — the measured value is used. ","")&amp;IF(AND($N150&lt;&gt;"",$N150=0),"Slice lies entirely below the reporting depth — it counts to the full-core stock only. ",""))</f>
        <v/>
      </c>
      <c r="R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 t="str">
        <f aca="false">IF(OR($D151="",$E151=""),"",$E151-$D151)</f>
        <v/>
      </c>
      <c r="G151" s="13"/>
      <c r="H151" s="13"/>
      <c r="I151" s="15"/>
      <c r="J151" s="15"/>
      <c r="K151" s="15"/>
      <c r="L151" s="14" t="str">
        <f aca="false">IF($K151&lt;&gt;"",$K151,IF($J151&lt;&gt;"",$J151*CARBON_FRACTION_OM,""))</f>
        <v/>
      </c>
      <c r="M151" s="14" t="n">
        <f aca="false">IF($H151="Fine earth / fine-earth volume",1-IF($G151="",0,$G151)/100,1)</f>
        <v>1</v>
      </c>
      <c r="N151" s="14" t="str">
        <f aca="false">IF(OR($D151="",$E151=""),"",MAX(0,MIN($E151,REPORTING_DEPTH_CM)-MIN($D151,REPORTING_DEPTH_CM)))</f>
        <v/>
      </c>
      <c r="O151" s="14" t="str">
        <f aca="false">IF(OR($I151="",$L151="",$N151=""),"",$I151*($L151/100)*$N151*$M151*10)</f>
        <v/>
      </c>
      <c r="P151" s="14" t="str">
        <f aca="false">IF(OR($I151="",$L151="",$F151=""),"",$I151*($L151/100)*$F151*$M151*10)</f>
        <v/>
      </c>
      <c r="Q151" s="14" t="str">
        <f aca="false">IF(AND($A151="",$B151="",$D151=""),"",IF(AND($B151&lt;&gt;"",COUNTIF('2. Core Log'!$A$5:$A$124,$B151)=0),"Core ID not in Core Log. ","")&amp;IF(AND($A151&lt;&gt;"",COUNTIF('1. Plot &amp; Site Log'!$A$5:$A$64,$A151)=0),"Plot ID not in Plot &amp; Site Log. ","")&amp;IF(AND($D151&lt;&gt;"",$E151&lt;&gt;"",$E151&lt;=$D151),"Bottom depth is not below top depth. ","")&amp;IF($H151="","Say which bulk-density basis the lab reported, or the coarse-fragment correction cannot be applied safely. ","")&amp;IF(AND($I151&lt;&gt;"",OR($I151&lt;QC_BD_MIN,$I151&gt;QC_BD_MAX)),"Bulk density outside "&amp;QC_BD_MIN&amp;"–"&amp;QC_BD_MAX&amp;" g/cm³. ","")&amp;IF(AND($L151&lt;&gt;"",$L151&gt;QC_CARBON_PCT_MAX),"Carbon above "&amp;QC_CARBON_PCT_MAX&amp;"% — check units; this may be organic matter rather than carbon. ","")&amp;IF(AND($J151&lt;&gt;"",$K151&lt;&gt;""),"Both LOI and measured carbon given — the measured value is used. ","")&amp;IF(AND($N151&lt;&gt;"",$N151=0),"Slice lies entirely below the reporting depth — it counts to the full-core stock only. ",""))</f>
        <v/>
      </c>
      <c r="R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 t="str">
        <f aca="false">IF(OR($D152="",$E152=""),"",$E152-$D152)</f>
        <v/>
      </c>
      <c r="G152" s="13"/>
      <c r="H152" s="13"/>
      <c r="I152" s="15"/>
      <c r="J152" s="15"/>
      <c r="K152" s="15"/>
      <c r="L152" s="14" t="str">
        <f aca="false">IF($K152&lt;&gt;"",$K152,IF($J152&lt;&gt;"",$J152*CARBON_FRACTION_OM,""))</f>
        <v/>
      </c>
      <c r="M152" s="14" t="n">
        <f aca="false">IF($H152="Fine earth / fine-earth volume",1-IF($G152="",0,$G152)/100,1)</f>
        <v>1</v>
      </c>
      <c r="N152" s="14" t="str">
        <f aca="false">IF(OR($D152="",$E152=""),"",MAX(0,MIN($E152,REPORTING_DEPTH_CM)-MIN($D152,REPORTING_DEPTH_CM)))</f>
        <v/>
      </c>
      <c r="O152" s="14" t="str">
        <f aca="false">IF(OR($I152="",$L152="",$N152=""),"",$I152*($L152/100)*$N152*$M152*10)</f>
        <v/>
      </c>
      <c r="P152" s="14" t="str">
        <f aca="false">IF(OR($I152="",$L152="",$F152=""),"",$I152*($L152/100)*$F152*$M152*10)</f>
        <v/>
      </c>
      <c r="Q152" s="14" t="str">
        <f aca="false">IF(AND($A152="",$B152="",$D152=""),"",IF(AND($B152&lt;&gt;"",COUNTIF('2. Core Log'!$A$5:$A$124,$B152)=0),"Core ID not in Core Log. ","")&amp;IF(AND($A152&lt;&gt;"",COUNTIF('1. Plot &amp; Site Log'!$A$5:$A$64,$A152)=0),"Plot ID not in Plot &amp; Site Log. ","")&amp;IF(AND($D152&lt;&gt;"",$E152&lt;&gt;"",$E152&lt;=$D152),"Bottom depth is not below top depth. ","")&amp;IF($H152="","Say which bulk-density basis the lab reported, or the coarse-fragment correction cannot be applied safely. ","")&amp;IF(AND($I152&lt;&gt;"",OR($I152&lt;QC_BD_MIN,$I152&gt;QC_BD_MAX)),"Bulk density outside "&amp;QC_BD_MIN&amp;"–"&amp;QC_BD_MAX&amp;" g/cm³. ","")&amp;IF(AND($L152&lt;&gt;"",$L152&gt;QC_CARBON_PCT_MAX),"Carbon above "&amp;QC_CARBON_PCT_MAX&amp;"% — check units; this may be organic matter rather than carbon. ","")&amp;IF(AND($J152&lt;&gt;"",$K152&lt;&gt;""),"Both LOI and measured carbon given — the measured value is used. ","")&amp;IF(AND($N152&lt;&gt;"",$N152=0),"Slice lies entirely below the reporting depth — it counts to the full-core stock only. ",""))</f>
        <v/>
      </c>
      <c r="R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 t="str">
        <f aca="false">IF(OR($D153="",$E153=""),"",$E153-$D153)</f>
        <v/>
      </c>
      <c r="G153" s="13"/>
      <c r="H153" s="13"/>
      <c r="I153" s="15"/>
      <c r="J153" s="15"/>
      <c r="K153" s="15"/>
      <c r="L153" s="14" t="str">
        <f aca="false">IF($K153&lt;&gt;"",$K153,IF($J153&lt;&gt;"",$J153*CARBON_FRACTION_OM,""))</f>
        <v/>
      </c>
      <c r="M153" s="14" t="n">
        <f aca="false">IF($H153="Fine earth / fine-earth volume",1-IF($G153="",0,$G153)/100,1)</f>
        <v>1</v>
      </c>
      <c r="N153" s="14" t="str">
        <f aca="false">IF(OR($D153="",$E153=""),"",MAX(0,MIN($E153,REPORTING_DEPTH_CM)-MIN($D153,REPORTING_DEPTH_CM)))</f>
        <v/>
      </c>
      <c r="O153" s="14" t="str">
        <f aca="false">IF(OR($I153="",$L153="",$N153=""),"",$I153*($L153/100)*$N153*$M153*10)</f>
        <v/>
      </c>
      <c r="P153" s="14" t="str">
        <f aca="false">IF(OR($I153="",$L153="",$F153=""),"",$I153*($L153/100)*$F153*$M153*10)</f>
        <v/>
      </c>
      <c r="Q153" s="14" t="str">
        <f aca="false">IF(AND($A153="",$B153="",$D153=""),"",IF(AND($B153&lt;&gt;"",COUNTIF('2. Core Log'!$A$5:$A$124,$B153)=0),"Core ID not in Core Log. ","")&amp;IF(AND($A153&lt;&gt;"",COUNTIF('1. Plot &amp; Site Log'!$A$5:$A$64,$A153)=0),"Plot ID not in Plot &amp; Site Log. ","")&amp;IF(AND($D153&lt;&gt;"",$E153&lt;&gt;"",$E153&lt;=$D153),"Bottom depth is not below top depth. ","")&amp;IF($H153="","Say which bulk-density basis the lab reported, or the coarse-fragment correction cannot be applied safely. ","")&amp;IF(AND($I153&lt;&gt;"",OR($I153&lt;QC_BD_MIN,$I153&gt;QC_BD_MAX)),"Bulk density outside "&amp;QC_BD_MIN&amp;"–"&amp;QC_BD_MAX&amp;" g/cm³. ","")&amp;IF(AND($L153&lt;&gt;"",$L153&gt;QC_CARBON_PCT_MAX),"Carbon above "&amp;QC_CARBON_PCT_MAX&amp;"% — check units; this may be organic matter rather than carbon. ","")&amp;IF(AND($J153&lt;&gt;"",$K153&lt;&gt;""),"Both LOI and measured carbon given — the measured value is used. ","")&amp;IF(AND($N153&lt;&gt;"",$N153=0),"Slice lies entirely below the reporting depth — it counts to the full-core stock only. ",""))</f>
        <v/>
      </c>
      <c r="R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 t="str">
        <f aca="false">IF(OR($D154="",$E154=""),"",$E154-$D154)</f>
        <v/>
      </c>
      <c r="G154" s="13"/>
      <c r="H154" s="13"/>
      <c r="I154" s="15"/>
      <c r="J154" s="15"/>
      <c r="K154" s="15"/>
      <c r="L154" s="14" t="str">
        <f aca="false">IF($K154&lt;&gt;"",$K154,IF($J154&lt;&gt;"",$J154*CARBON_FRACTION_OM,""))</f>
        <v/>
      </c>
      <c r="M154" s="14" t="n">
        <f aca="false">IF($H154="Fine earth / fine-earth volume",1-IF($G154="",0,$G154)/100,1)</f>
        <v>1</v>
      </c>
      <c r="N154" s="14" t="str">
        <f aca="false">IF(OR($D154="",$E154=""),"",MAX(0,MIN($E154,REPORTING_DEPTH_CM)-MIN($D154,REPORTING_DEPTH_CM)))</f>
        <v/>
      </c>
      <c r="O154" s="14" t="str">
        <f aca="false">IF(OR($I154="",$L154="",$N154=""),"",$I154*($L154/100)*$N154*$M154*10)</f>
        <v/>
      </c>
      <c r="P154" s="14" t="str">
        <f aca="false">IF(OR($I154="",$L154="",$F154=""),"",$I154*($L154/100)*$F154*$M154*10)</f>
        <v/>
      </c>
      <c r="Q154" s="14" t="str">
        <f aca="false">IF(AND($A154="",$B154="",$D154=""),"",IF(AND($B154&lt;&gt;"",COUNTIF('2. Core Log'!$A$5:$A$124,$B154)=0),"Core ID not in Core Log. ","")&amp;IF(AND($A154&lt;&gt;"",COUNTIF('1. Plot &amp; Site Log'!$A$5:$A$64,$A154)=0),"Plot ID not in Plot &amp; Site Log. ","")&amp;IF(AND($D154&lt;&gt;"",$E154&lt;&gt;"",$E154&lt;=$D154),"Bottom depth is not below top depth. ","")&amp;IF($H154="","Say which bulk-density basis the lab reported, or the coarse-fragment correction cannot be applied safely. ","")&amp;IF(AND($I154&lt;&gt;"",OR($I154&lt;QC_BD_MIN,$I154&gt;QC_BD_MAX)),"Bulk density outside "&amp;QC_BD_MIN&amp;"–"&amp;QC_BD_MAX&amp;" g/cm³. ","")&amp;IF(AND($L154&lt;&gt;"",$L154&gt;QC_CARBON_PCT_MAX),"Carbon above "&amp;QC_CARBON_PCT_MAX&amp;"% — check units; this may be organic matter rather than carbon. ","")&amp;IF(AND($J154&lt;&gt;"",$K154&lt;&gt;""),"Both LOI and measured carbon given — the measured value is used. ","")&amp;IF(AND($N154&lt;&gt;"",$N154=0),"Slice lies entirely below the reporting depth — it counts to the full-core stock only. ",""))</f>
        <v/>
      </c>
      <c r="R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 t="str">
        <f aca="false">IF(OR($D155="",$E155=""),"",$E155-$D155)</f>
        <v/>
      </c>
      <c r="G155" s="13"/>
      <c r="H155" s="13"/>
      <c r="I155" s="15"/>
      <c r="J155" s="15"/>
      <c r="K155" s="15"/>
      <c r="L155" s="14" t="str">
        <f aca="false">IF($K155&lt;&gt;"",$K155,IF($J155&lt;&gt;"",$J155*CARBON_FRACTION_OM,""))</f>
        <v/>
      </c>
      <c r="M155" s="14" t="n">
        <f aca="false">IF($H155="Fine earth / fine-earth volume",1-IF($G155="",0,$G155)/100,1)</f>
        <v>1</v>
      </c>
      <c r="N155" s="14" t="str">
        <f aca="false">IF(OR($D155="",$E155=""),"",MAX(0,MIN($E155,REPORTING_DEPTH_CM)-MIN($D155,REPORTING_DEPTH_CM)))</f>
        <v/>
      </c>
      <c r="O155" s="14" t="str">
        <f aca="false">IF(OR($I155="",$L155="",$N155=""),"",$I155*($L155/100)*$N155*$M155*10)</f>
        <v/>
      </c>
      <c r="P155" s="14" t="str">
        <f aca="false">IF(OR($I155="",$L155="",$F155=""),"",$I155*($L155/100)*$F155*$M155*10)</f>
        <v/>
      </c>
      <c r="Q155" s="14" t="str">
        <f aca="false">IF(AND($A155="",$B155="",$D155=""),"",IF(AND($B155&lt;&gt;"",COUNTIF('2. Core Log'!$A$5:$A$124,$B155)=0),"Core ID not in Core Log. ","")&amp;IF(AND($A155&lt;&gt;"",COUNTIF('1. Plot &amp; Site Log'!$A$5:$A$64,$A155)=0),"Plot ID not in Plot &amp; Site Log. ","")&amp;IF(AND($D155&lt;&gt;"",$E155&lt;&gt;"",$E155&lt;=$D155),"Bottom depth is not below top depth. ","")&amp;IF($H155="","Say which bulk-density basis the lab reported, or the coarse-fragment correction cannot be applied safely. ","")&amp;IF(AND($I155&lt;&gt;"",OR($I155&lt;QC_BD_MIN,$I155&gt;QC_BD_MAX)),"Bulk density outside "&amp;QC_BD_MIN&amp;"–"&amp;QC_BD_MAX&amp;" g/cm³. ","")&amp;IF(AND($L155&lt;&gt;"",$L155&gt;QC_CARBON_PCT_MAX),"Carbon above "&amp;QC_CARBON_PCT_MAX&amp;"% — check units; this may be organic matter rather than carbon. ","")&amp;IF(AND($J155&lt;&gt;"",$K155&lt;&gt;""),"Both LOI and measured carbon given — the measured value is used. ","")&amp;IF(AND($N155&lt;&gt;"",$N155=0),"Slice lies entirely below the reporting depth — it counts to the full-core stock only. ",""))</f>
        <v/>
      </c>
      <c r="R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 t="str">
        <f aca="false">IF(OR($D156="",$E156=""),"",$E156-$D156)</f>
        <v/>
      </c>
      <c r="G156" s="13"/>
      <c r="H156" s="13"/>
      <c r="I156" s="15"/>
      <c r="J156" s="15"/>
      <c r="K156" s="15"/>
      <c r="L156" s="14" t="str">
        <f aca="false">IF($K156&lt;&gt;"",$K156,IF($J156&lt;&gt;"",$J156*CARBON_FRACTION_OM,""))</f>
        <v/>
      </c>
      <c r="M156" s="14" t="n">
        <f aca="false">IF($H156="Fine earth / fine-earth volume",1-IF($G156="",0,$G156)/100,1)</f>
        <v>1</v>
      </c>
      <c r="N156" s="14" t="str">
        <f aca="false">IF(OR($D156="",$E156=""),"",MAX(0,MIN($E156,REPORTING_DEPTH_CM)-MIN($D156,REPORTING_DEPTH_CM)))</f>
        <v/>
      </c>
      <c r="O156" s="14" t="str">
        <f aca="false">IF(OR($I156="",$L156="",$N156=""),"",$I156*($L156/100)*$N156*$M156*10)</f>
        <v/>
      </c>
      <c r="P156" s="14" t="str">
        <f aca="false">IF(OR($I156="",$L156="",$F156=""),"",$I156*($L156/100)*$F156*$M156*10)</f>
        <v/>
      </c>
      <c r="Q156" s="14" t="str">
        <f aca="false">IF(AND($A156="",$B156="",$D156=""),"",IF(AND($B156&lt;&gt;"",COUNTIF('2. Core Log'!$A$5:$A$124,$B156)=0),"Core ID not in Core Log. ","")&amp;IF(AND($A156&lt;&gt;"",COUNTIF('1. Plot &amp; Site Log'!$A$5:$A$64,$A156)=0),"Plot ID not in Plot &amp; Site Log. ","")&amp;IF(AND($D156&lt;&gt;"",$E156&lt;&gt;"",$E156&lt;=$D156),"Bottom depth is not below top depth. ","")&amp;IF($H156="","Say which bulk-density basis the lab reported, or the coarse-fragment correction cannot be applied safely. ","")&amp;IF(AND($I156&lt;&gt;"",OR($I156&lt;QC_BD_MIN,$I156&gt;QC_BD_MAX)),"Bulk density outside "&amp;QC_BD_MIN&amp;"–"&amp;QC_BD_MAX&amp;" g/cm³. ","")&amp;IF(AND($L156&lt;&gt;"",$L156&gt;QC_CARBON_PCT_MAX),"Carbon above "&amp;QC_CARBON_PCT_MAX&amp;"% — check units; this may be organic matter rather than carbon. ","")&amp;IF(AND($J156&lt;&gt;"",$K156&lt;&gt;""),"Both LOI and measured carbon given — the measured value is used. ","")&amp;IF(AND($N156&lt;&gt;"",$N156=0),"Slice lies entirely below the reporting depth — it counts to the full-core stock only. ",""))</f>
        <v/>
      </c>
      <c r="R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 t="str">
        <f aca="false">IF(OR($D157="",$E157=""),"",$E157-$D157)</f>
        <v/>
      </c>
      <c r="G157" s="13"/>
      <c r="H157" s="13"/>
      <c r="I157" s="15"/>
      <c r="J157" s="15"/>
      <c r="K157" s="15"/>
      <c r="L157" s="14" t="str">
        <f aca="false">IF($K157&lt;&gt;"",$K157,IF($J157&lt;&gt;"",$J157*CARBON_FRACTION_OM,""))</f>
        <v/>
      </c>
      <c r="M157" s="14" t="n">
        <f aca="false">IF($H157="Fine earth / fine-earth volume",1-IF($G157="",0,$G157)/100,1)</f>
        <v>1</v>
      </c>
      <c r="N157" s="14" t="str">
        <f aca="false">IF(OR($D157="",$E157=""),"",MAX(0,MIN($E157,REPORTING_DEPTH_CM)-MIN($D157,REPORTING_DEPTH_CM)))</f>
        <v/>
      </c>
      <c r="O157" s="14" t="str">
        <f aca="false">IF(OR($I157="",$L157="",$N157=""),"",$I157*($L157/100)*$N157*$M157*10)</f>
        <v/>
      </c>
      <c r="P157" s="14" t="str">
        <f aca="false">IF(OR($I157="",$L157="",$F157=""),"",$I157*($L157/100)*$F157*$M157*10)</f>
        <v/>
      </c>
      <c r="Q157" s="14" t="str">
        <f aca="false">IF(AND($A157="",$B157="",$D157=""),"",IF(AND($B157&lt;&gt;"",COUNTIF('2. Core Log'!$A$5:$A$124,$B157)=0),"Core ID not in Core Log. ","")&amp;IF(AND($A157&lt;&gt;"",COUNTIF('1. Plot &amp; Site Log'!$A$5:$A$64,$A157)=0),"Plot ID not in Plot &amp; Site Log. ","")&amp;IF(AND($D157&lt;&gt;"",$E157&lt;&gt;"",$E157&lt;=$D157),"Bottom depth is not below top depth. ","")&amp;IF($H157="","Say which bulk-density basis the lab reported, or the coarse-fragment correction cannot be applied safely. ","")&amp;IF(AND($I157&lt;&gt;"",OR($I157&lt;QC_BD_MIN,$I157&gt;QC_BD_MAX)),"Bulk density outside "&amp;QC_BD_MIN&amp;"–"&amp;QC_BD_MAX&amp;" g/cm³. ","")&amp;IF(AND($L157&lt;&gt;"",$L157&gt;QC_CARBON_PCT_MAX),"Carbon above "&amp;QC_CARBON_PCT_MAX&amp;"% — check units; this may be organic matter rather than carbon. ","")&amp;IF(AND($J157&lt;&gt;"",$K157&lt;&gt;""),"Both LOI and measured carbon given — the measured value is used. ","")&amp;IF(AND($N157&lt;&gt;"",$N157=0),"Slice lies entirely below the reporting depth — it counts to the full-core stock only. ",""))</f>
        <v/>
      </c>
      <c r="R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 t="str">
        <f aca="false">IF(OR($D158="",$E158=""),"",$E158-$D158)</f>
        <v/>
      </c>
      <c r="G158" s="13"/>
      <c r="H158" s="13"/>
      <c r="I158" s="15"/>
      <c r="J158" s="15"/>
      <c r="K158" s="15"/>
      <c r="L158" s="14" t="str">
        <f aca="false">IF($K158&lt;&gt;"",$K158,IF($J158&lt;&gt;"",$J158*CARBON_FRACTION_OM,""))</f>
        <v/>
      </c>
      <c r="M158" s="14" t="n">
        <f aca="false">IF($H158="Fine earth / fine-earth volume",1-IF($G158="",0,$G158)/100,1)</f>
        <v>1</v>
      </c>
      <c r="N158" s="14" t="str">
        <f aca="false">IF(OR($D158="",$E158=""),"",MAX(0,MIN($E158,REPORTING_DEPTH_CM)-MIN($D158,REPORTING_DEPTH_CM)))</f>
        <v/>
      </c>
      <c r="O158" s="14" t="str">
        <f aca="false">IF(OR($I158="",$L158="",$N158=""),"",$I158*($L158/100)*$N158*$M158*10)</f>
        <v/>
      </c>
      <c r="P158" s="14" t="str">
        <f aca="false">IF(OR($I158="",$L158="",$F158=""),"",$I158*($L158/100)*$F158*$M158*10)</f>
        <v/>
      </c>
      <c r="Q158" s="14" t="str">
        <f aca="false">IF(AND($A158="",$B158="",$D158=""),"",IF(AND($B158&lt;&gt;"",COUNTIF('2. Core Log'!$A$5:$A$124,$B158)=0),"Core ID not in Core Log. ","")&amp;IF(AND($A158&lt;&gt;"",COUNTIF('1. Plot &amp; Site Log'!$A$5:$A$64,$A158)=0),"Plot ID not in Plot &amp; Site Log. ","")&amp;IF(AND($D158&lt;&gt;"",$E158&lt;&gt;"",$E158&lt;=$D158),"Bottom depth is not below top depth. ","")&amp;IF($H158="","Say which bulk-density basis the lab reported, or the coarse-fragment correction cannot be applied safely. ","")&amp;IF(AND($I158&lt;&gt;"",OR($I158&lt;QC_BD_MIN,$I158&gt;QC_BD_MAX)),"Bulk density outside "&amp;QC_BD_MIN&amp;"–"&amp;QC_BD_MAX&amp;" g/cm³. ","")&amp;IF(AND($L158&lt;&gt;"",$L158&gt;QC_CARBON_PCT_MAX),"Carbon above "&amp;QC_CARBON_PCT_MAX&amp;"% — check units; this may be organic matter rather than carbon. ","")&amp;IF(AND($J158&lt;&gt;"",$K158&lt;&gt;""),"Both LOI and measured carbon given — the measured value is used. ","")&amp;IF(AND($N158&lt;&gt;"",$N158=0),"Slice lies entirely below the reporting depth — it counts to the full-core stock only. ",""))</f>
        <v/>
      </c>
      <c r="R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 t="str">
        <f aca="false">IF(OR($D159="",$E159=""),"",$E159-$D159)</f>
        <v/>
      </c>
      <c r="G159" s="13"/>
      <c r="H159" s="13"/>
      <c r="I159" s="15"/>
      <c r="J159" s="15"/>
      <c r="K159" s="15"/>
      <c r="L159" s="14" t="str">
        <f aca="false">IF($K159&lt;&gt;"",$K159,IF($J159&lt;&gt;"",$J159*CARBON_FRACTION_OM,""))</f>
        <v/>
      </c>
      <c r="M159" s="14" t="n">
        <f aca="false">IF($H159="Fine earth / fine-earth volume",1-IF($G159="",0,$G159)/100,1)</f>
        <v>1</v>
      </c>
      <c r="N159" s="14" t="str">
        <f aca="false">IF(OR($D159="",$E159=""),"",MAX(0,MIN($E159,REPORTING_DEPTH_CM)-MIN($D159,REPORTING_DEPTH_CM)))</f>
        <v/>
      </c>
      <c r="O159" s="14" t="str">
        <f aca="false">IF(OR($I159="",$L159="",$N159=""),"",$I159*($L159/100)*$N159*$M159*10)</f>
        <v/>
      </c>
      <c r="P159" s="14" t="str">
        <f aca="false">IF(OR($I159="",$L159="",$F159=""),"",$I159*($L159/100)*$F159*$M159*10)</f>
        <v/>
      </c>
      <c r="Q159" s="14" t="str">
        <f aca="false">IF(AND($A159="",$B159="",$D159=""),"",IF(AND($B159&lt;&gt;"",COUNTIF('2. Core Log'!$A$5:$A$124,$B159)=0),"Core ID not in Core Log. ","")&amp;IF(AND($A159&lt;&gt;"",COUNTIF('1. Plot &amp; Site Log'!$A$5:$A$64,$A159)=0),"Plot ID not in Plot &amp; Site Log. ","")&amp;IF(AND($D159&lt;&gt;"",$E159&lt;&gt;"",$E159&lt;=$D159),"Bottom depth is not below top depth. ","")&amp;IF($H159="","Say which bulk-density basis the lab reported, or the coarse-fragment correction cannot be applied safely. ","")&amp;IF(AND($I159&lt;&gt;"",OR($I159&lt;QC_BD_MIN,$I159&gt;QC_BD_MAX)),"Bulk density outside "&amp;QC_BD_MIN&amp;"–"&amp;QC_BD_MAX&amp;" g/cm³. ","")&amp;IF(AND($L159&lt;&gt;"",$L159&gt;QC_CARBON_PCT_MAX),"Carbon above "&amp;QC_CARBON_PCT_MAX&amp;"% — check units; this may be organic matter rather than carbon. ","")&amp;IF(AND($J159&lt;&gt;"",$K159&lt;&gt;""),"Both LOI and measured carbon given — the measured value is used. ","")&amp;IF(AND($N159&lt;&gt;"",$N159=0),"Slice lies entirely below the reporting depth — it counts to the full-core stock only. ",""))</f>
        <v/>
      </c>
      <c r="R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 t="str">
        <f aca="false">IF(OR($D160="",$E160=""),"",$E160-$D160)</f>
        <v/>
      </c>
      <c r="G160" s="13"/>
      <c r="H160" s="13"/>
      <c r="I160" s="15"/>
      <c r="J160" s="15"/>
      <c r="K160" s="15"/>
      <c r="L160" s="14" t="str">
        <f aca="false">IF($K160&lt;&gt;"",$K160,IF($J160&lt;&gt;"",$J160*CARBON_FRACTION_OM,""))</f>
        <v/>
      </c>
      <c r="M160" s="14" t="n">
        <f aca="false">IF($H160="Fine earth / fine-earth volume",1-IF($G160="",0,$G160)/100,1)</f>
        <v>1</v>
      </c>
      <c r="N160" s="14" t="str">
        <f aca="false">IF(OR($D160="",$E160=""),"",MAX(0,MIN($E160,REPORTING_DEPTH_CM)-MIN($D160,REPORTING_DEPTH_CM)))</f>
        <v/>
      </c>
      <c r="O160" s="14" t="str">
        <f aca="false">IF(OR($I160="",$L160="",$N160=""),"",$I160*($L160/100)*$N160*$M160*10)</f>
        <v/>
      </c>
      <c r="P160" s="14" t="str">
        <f aca="false">IF(OR($I160="",$L160="",$F160=""),"",$I160*($L160/100)*$F160*$M160*10)</f>
        <v/>
      </c>
      <c r="Q160" s="14" t="str">
        <f aca="false">IF(AND($A160="",$B160="",$D160=""),"",IF(AND($B160&lt;&gt;"",COUNTIF('2. Core Log'!$A$5:$A$124,$B160)=0),"Core ID not in Core Log. ","")&amp;IF(AND($A160&lt;&gt;"",COUNTIF('1. Plot &amp; Site Log'!$A$5:$A$64,$A160)=0),"Plot ID not in Plot &amp; Site Log. ","")&amp;IF(AND($D160&lt;&gt;"",$E160&lt;&gt;"",$E160&lt;=$D160),"Bottom depth is not below top depth. ","")&amp;IF($H160="","Say which bulk-density basis the lab reported, or the coarse-fragment correction cannot be applied safely. ","")&amp;IF(AND($I160&lt;&gt;"",OR($I160&lt;QC_BD_MIN,$I160&gt;QC_BD_MAX)),"Bulk density outside "&amp;QC_BD_MIN&amp;"–"&amp;QC_BD_MAX&amp;" g/cm³. ","")&amp;IF(AND($L160&lt;&gt;"",$L160&gt;QC_CARBON_PCT_MAX),"Carbon above "&amp;QC_CARBON_PCT_MAX&amp;"% — check units; this may be organic matter rather than carbon. ","")&amp;IF(AND($J160&lt;&gt;"",$K160&lt;&gt;""),"Both LOI and measured carbon given — the measured value is used. ","")&amp;IF(AND($N160&lt;&gt;"",$N160=0),"Slice lies entirely below the reporting depth — it counts to the full-core stock only. ",""))</f>
        <v/>
      </c>
      <c r="R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 t="str">
        <f aca="false">IF(OR($D161="",$E161=""),"",$E161-$D161)</f>
        <v/>
      </c>
      <c r="G161" s="13"/>
      <c r="H161" s="13"/>
      <c r="I161" s="15"/>
      <c r="J161" s="15"/>
      <c r="K161" s="15"/>
      <c r="L161" s="14" t="str">
        <f aca="false">IF($K161&lt;&gt;"",$K161,IF($J161&lt;&gt;"",$J161*CARBON_FRACTION_OM,""))</f>
        <v/>
      </c>
      <c r="M161" s="14" t="n">
        <f aca="false">IF($H161="Fine earth / fine-earth volume",1-IF($G161="",0,$G161)/100,1)</f>
        <v>1</v>
      </c>
      <c r="N161" s="14" t="str">
        <f aca="false">IF(OR($D161="",$E161=""),"",MAX(0,MIN($E161,REPORTING_DEPTH_CM)-MIN($D161,REPORTING_DEPTH_CM)))</f>
        <v/>
      </c>
      <c r="O161" s="14" t="str">
        <f aca="false">IF(OR($I161="",$L161="",$N161=""),"",$I161*($L161/100)*$N161*$M161*10)</f>
        <v/>
      </c>
      <c r="P161" s="14" t="str">
        <f aca="false">IF(OR($I161="",$L161="",$F161=""),"",$I161*($L161/100)*$F161*$M161*10)</f>
        <v/>
      </c>
      <c r="Q161" s="14" t="str">
        <f aca="false">IF(AND($A161="",$B161="",$D161=""),"",IF(AND($B161&lt;&gt;"",COUNTIF('2. Core Log'!$A$5:$A$124,$B161)=0),"Core ID not in Core Log. ","")&amp;IF(AND($A161&lt;&gt;"",COUNTIF('1. Plot &amp; Site Log'!$A$5:$A$64,$A161)=0),"Plot ID not in Plot &amp; Site Log. ","")&amp;IF(AND($D161&lt;&gt;"",$E161&lt;&gt;"",$E161&lt;=$D161),"Bottom depth is not below top depth. ","")&amp;IF($H161="","Say which bulk-density basis the lab reported, or the coarse-fragment correction cannot be applied safely. ","")&amp;IF(AND($I161&lt;&gt;"",OR($I161&lt;QC_BD_MIN,$I161&gt;QC_BD_MAX)),"Bulk density outside "&amp;QC_BD_MIN&amp;"–"&amp;QC_BD_MAX&amp;" g/cm³. ","")&amp;IF(AND($L161&lt;&gt;"",$L161&gt;QC_CARBON_PCT_MAX),"Carbon above "&amp;QC_CARBON_PCT_MAX&amp;"% — check units; this may be organic matter rather than carbon. ","")&amp;IF(AND($J161&lt;&gt;"",$K161&lt;&gt;""),"Both LOI and measured carbon given — the measured value is used. ","")&amp;IF(AND($N161&lt;&gt;"",$N161=0),"Slice lies entirely below the reporting depth — it counts to the full-core stock only. ",""))</f>
        <v/>
      </c>
      <c r="R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 t="str">
        <f aca="false">IF(OR($D162="",$E162=""),"",$E162-$D162)</f>
        <v/>
      </c>
      <c r="G162" s="13"/>
      <c r="H162" s="13"/>
      <c r="I162" s="15"/>
      <c r="J162" s="15"/>
      <c r="K162" s="15"/>
      <c r="L162" s="14" t="str">
        <f aca="false">IF($K162&lt;&gt;"",$K162,IF($J162&lt;&gt;"",$J162*CARBON_FRACTION_OM,""))</f>
        <v/>
      </c>
      <c r="M162" s="14" t="n">
        <f aca="false">IF($H162="Fine earth / fine-earth volume",1-IF($G162="",0,$G162)/100,1)</f>
        <v>1</v>
      </c>
      <c r="N162" s="14" t="str">
        <f aca="false">IF(OR($D162="",$E162=""),"",MAX(0,MIN($E162,REPORTING_DEPTH_CM)-MIN($D162,REPORTING_DEPTH_CM)))</f>
        <v/>
      </c>
      <c r="O162" s="14" t="str">
        <f aca="false">IF(OR($I162="",$L162="",$N162=""),"",$I162*($L162/100)*$N162*$M162*10)</f>
        <v/>
      </c>
      <c r="P162" s="14" t="str">
        <f aca="false">IF(OR($I162="",$L162="",$F162=""),"",$I162*($L162/100)*$F162*$M162*10)</f>
        <v/>
      </c>
      <c r="Q162" s="14" t="str">
        <f aca="false">IF(AND($A162="",$B162="",$D162=""),"",IF(AND($B162&lt;&gt;"",COUNTIF('2. Core Log'!$A$5:$A$124,$B162)=0),"Core ID not in Core Log. ","")&amp;IF(AND($A162&lt;&gt;"",COUNTIF('1. Plot &amp; Site Log'!$A$5:$A$64,$A162)=0),"Plot ID not in Plot &amp; Site Log. ","")&amp;IF(AND($D162&lt;&gt;"",$E162&lt;&gt;"",$E162&lt;=$D162),"Bottom depth is not below top depth. ","")&amp;IF($H162="","Say which bulk-density basis the lab reported, or the coarse-fragment correction cannot be applied safely. ","")&amp;IF(AND($I162&lt;&gt;"",OR($I162&lt;QC_BD_MIN,$I162&gt;QC_BD_MAX)),"Bulk density outside "&amp;QC_BD_MIN&amp;"–"&amp;QC_BD_MAX&amp;" g/cm³. ","")&amp;IF(AND($L162&lt;&gt;"",$L162&gt;QC_CARBON_PCT_MAX),"Carbon above "&amp;QC_CARBON_PCT_MAX&amp;"% — check units; this may be organic matter rather than carbon. ","")&amp;IF(AND($J162&lt;&gt;"",$K162&lt;&gt;""),"Both LOI and measured carbon given — the measured value is used. ","")&amp;IF(AND($N162&lt;&gt;"",$N162=0),"Slice lies entirely below the reporting depth — it counts to the full-core stock only. ",""))</f>
        <v/>
      </c>
      <c r="R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 t="str">
        <f aca="false">IF(OR($D163="",$E163=""),"",$E163-$D163)</f>
        <v/>
      </c>
      <c r="G163" s="13"/>
      <c r="H163" s="13"/>
      <c r="I163" s="15"/>
      <c r="J163" s="15"/>
      <c r="K163" s="15"/>
      <c r="L163" s="14" t="str">
        <f aca="false">IF($K163&lt;&gt;"",$K163,IF($J163&lt;&gt;"",$J163*CARBON_FRACTION_OM,""))</f>
        <v/>
      </c>
      <c r="M163" s="14" t="n">
        <f aca="false">IF($H163="Fine earth / fine-earth volume",1-IF($G163="",0,$G163)/100,1)</f>
        <v>1</v>
      </c>
      <c r="N163" s="14" t="str">
        <f aca="false">IF(OR($D163="",$E163=""),"",MAX(0,MIN($E163,REPORTING_DEPTH_CM)-MIN($D163,REPORTING_DEPTH_CM)))</f>
        <v/>
      </c>
      <c r="O163" s="14" t="str">
        <f aca="false">IF(OR($I163="",$L163="",$N163=""),"",$I163*($L163/100)*$N163*$M163*10)</f>
        <v/>
      </c>
      <c r="P163" s="14" t="str">
        <f aca="false">IF(OR($I163="",$L163="",$F163=""),"",$I163*($L163/100)*$F163*$M163*10)</f>
        <v/>
      </c>
      <c r="Q163" s="14" t="str">
        <f aca="false">IF(AND($A163="",$B163="",$D163=""),"",IF(AND($B163&lt;&gt;"",COUNTIF('2. Core Log'!$A$5:$A$124,$B163)=0),"Core ID not in Core Log. ","")&amp;IF(AND($A163&lt;&gt;"",COUNTIF('1. Plot &amp; Site Log'!$A$5:$A$64,$A163)=0),"Plot ID not in Plot &amp; Site Log. ","")&amp;IF(AND($D163&lt;&gt;"",$E163&lt;&gt;"",$E163&lt;=$D163),"Bottom depth is not below top depth. ","")&amp;IF($H163="","Say which bulk-density basis the lab reported, or the coarse-fragment correction cannot be applied safely. ","")&amp;IF(AND($I163&lt;&gt;"",OR($I163&lt;QC_BD_MIN,$I163&gt;QC_BD_MAX)),"Bulk density outside "&amp;QC_BD_MIN&amp;"–"&amp;QC_BD_MAX&amp;" g/cm³. ","")&amp;IF(AND($L163&lt;&gt;"",$L163&gt;QC_CARBON_PCT_MAX),"Carbon above "&amp;QC_CARBON_PCT_MAX&amp;"% — check units; this may be organic matter rather than carbon. ","")&amp;IF(AND($J163&lt;&gt;"",$K163&lt;&gt;""),"Both LOI and measured carbon given — the measured value is used. ","")&amp;IF(AND($N163&lt;&gt;"",$N163=0),"Slice lies entirely below the reporting depth — it counts to the full-core stock only. ",""))</f>
        <v/>
      </c>
      <c r="R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 t="str">
        <f aca="false">IF(OR($D164="",$E164=""),"",$E164-$D164)</f>
        <v/>
      </c>
      <c r="G164" s="13"/>
      <c r="H164" s="13"/>
      <c r="I164" s="15"/>
      <c r="J164" s="15"/>
      <c r="K164" s="15"/>
      <c r="L164" s="14" t="str">
        <f aca="false">IF($K164&lt;&gt;"",$K164,IF($J164&lt;&gt;"",$J164*CARBON_FRACTION_OM,""))</f>
        <v/>
      </c>
      <c r="M164" s="14" t="n">
        <f aca="false">IF($H164="Fine earth / fine-earth volume",1-IF($G164="",0,$G164)/100,1)</f>
        <v>1</v>
      </c>
      <c r="N164" s="14" t="str">
        <f aca="false">IF(OR($D164="",$E164=""),"",MAX(0,MIN($E164,REPORTING_DEPTH_CM)-MIN($D164,REPORTING_DEPTH_CM)))</f>
        <v/>
      </c>
      <c r="O164" s="14" t="str">
        <f aca="false">IF(OR($I164="",$L164="",$N164=""),"",$I164*($L164/100)*$N164*$M164*10)</f>
        <v/>
      </c>
      <c r="P164" s="14" t="str">
        <f aca="false">IF(OR($I164="",$L164="",$F164=""),"",$I164*($L164/100)*$F164*$M164*10)</f>
        <v/>
      </c>
      <c r="Q164" s="14" t="str">
        <f aca="false">IF(AND($A164="",$B164="",$D164=""),"",IF(AND($B164&lt;&gt;"",COUNTIF('2. Core Log'!$A$5:$A$124,$B164)=0),"Core ID not in Core Log. ","")&amp;IF(AND($A164&lt;&gt;"",COUNTIF('1. Plot &amp; Site Log'!$A$5:$A$64,$A164)=0),"Plot ID not in Plot &amp; Site Log. ","")&amp;IF(AND($D164&lt;&gt;"",$E164&lt;&gt;"",$E164&lt;=$D164),"Bottom depth is not below top depth. ","")&amp;IF($H164="","Say which bulk-density basis the lab reported, or the coarse-fragment correction cannot be applied safely. ","")&amp;IF(AND($I164&lt;&gt;"",OR($I164&lt;QC_BD_MIN,$I164&gt;QC_BD_MAX)),"Bulk density outside "&amp;QC_BD_MIN&amp;"–"&amp;QC_BD_MAX&amp;" g/cm³. ","")&amp;IF(AND($L164&lt;&gt;"",$L164&gt;QC_CARBON_PCT_MAX),"Carbon above "&amp;QC_CARBON_PCT_MAX&amp;"% — check units; this may be organic matter rather than carbon. ","")&amp;IF(AND($J164&lt;&gt;"",$K164&lt;&gt;""),"Both LOI and measured carbon given — the measured value is used. ","")&amp;IF(AND($N164&lt;&gt;"",$N164=0),"Slice lies entirely below the reporting depth — it counts to the full-core stock only. ",""))</f>
        <v/>
      </c>
      <c r="R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 t="str">
        <f aca="false">IF(OR($D165="",$E165=""),"",$E165-$D165)</f>
        <v/>
      </c>
      <c r="G165" s="13"/>
      <c r="H165" s="13"/>
      <c r="I165" s="15"/>
      <c r="J165" s="15"/>
      <c r="K165" s="15"/>
      <c r="L165" s="14" t="str">
        <f aca="false">IF($K165&lt;&gt;"",$K165,IF($J165&lt;&gt;"",$J165*CARBON_FRACTION_OM,""))</f>
        <v/>
      </c>
      <c r="M165" s="14" t="n">
        <f aca="false">IF($H165="Fine earth / fine-earth volume",1-IF($G165="",0,$G165)/100,1)</f>
        <v>1</v>
      </c>
      <c r="N165" s="14" t="str">
        <f aca="false">IF(OR($D165="",$E165=""),"",MAX(0,MIN($E165,REPORTING_DEPTH_CM)-MIN($D165,REPORTING_DEPTH_CM)))</f>
        <v/>
      </c>
      <c r="O165" s="14" t="str">
        <f aca="false">IF(OR($I165="",$L165="",$N165=""),"",$I165*($L165/100)*$N165*$M165*10)</f>
        <v/>
      </c>
      <c r="P165" s="14" t="str">
        <f aca="false">IF(OR($I165="",$L165="",$F165=""),"",$I165*($L165/100)*$F165*$M165*10)</f>
        <v/>
      </c>
      <c r="Q165" s="14" t="str">
        <f aca="false">IF(AND($A165="",$B165="",$D165=""),"",IF(AND($B165&lt;&gt;"",COUNTIF('2. Core Log'!$A$5:$A$124,$B165)=0),"Core ID not in Core Log. ","")&amp;IF(AND($A165&lt;&gt;"",COUNTIF('1. Plot &amp; Site Log'!$A$5:$A$64,$A165)=0),"Plot ID not in Plot &amp; Site Log. ","")&amp;IF(AND($D165&lt;&gt;"",$E165&lt;&gt;"",$E165&lt;=$D165),"Bottom depth is not below top depth. ","")&amp;IF($H165="","Say which bulk-density basis the lab reported, or the coarse-fragment correction cannot be applied safely. ","")&amp;IF(AND($I165&lt;&gt;"",OR($I165&lt;QC_BD_MIN,$I165&gt;QC_BD_MAX)),"Bulk density outside "&amp;QC_BD_MIN&amp;"–"&amp;QC_BD_MAX&amp;" g/cm³. ","")&amp;IF(AND($L165&lt;&gt;"",$L165&gt;QC_CARBON_PCT_MAX),"Carbon above "&amp;QC_CARBON_PCT_MAX&amp;"% — check units; this may be organic matter rather than carbon. ","")&amp;IF(AND($J165&lt;&gt;"",$K165&lt;&gt;""),"Both LOI and measured carbon given — the measured value is used. ","")&amp;IF(AND($N165&lt;&gt;"",$N165=0),"Slice lies entirely below the reporting depth — it counts to the full-core stock only. ",""))</f>
        <v/>
      </c>
      <c r="R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 t="str">
        <f aca="false">IF(OR($D166="",$E166=""),"",$E166-$D166)</f>
        <v/>
      </c>
      <c r="G166" s="13"/>
      <c r="H166" s="13"/>
      <c r="I166" s="15"/>
      <c r="J166" s="15"/>
      <c r="K166" s="15"/>
      <c r="L166" s="14" t="str">
        <f aca="false">IF($K166&lt;&gt;"",$K166,IF($J166&lt;&gt;"",$J166*CARBON_FRACTION_OM,""))</f>
        <v/>
      </c>
      <c r="M166" s="14" t="n">
        <f aca="false">IF($H166="Fine earth / fine-earth volume",1-IF($G166="",0,$G166)/100,1)</f>
        <v>1</v>
      </c>
      <c r="N166" s="14" t="str">
        <f aca="false">IF(OR($D166="",$E166=""),"",MAX(0,MIN($E166,REPORTING_DEPTH_CM)-MIN($D166,REPORTING_DEPTH_CM)))</f>
        <v/>
      </c>
      <c r="O166" s="14" t="str">
        <f aca="false">IF(OR($I166="",$L166="",$N166=""),"",$I166*($L166/100)*$N166*$M166*10)</f>
        <v/>
      </c>
      <c r="P166" s="14" t="str">
        <f aca="false">IF(OR($I166="",$L166="",$F166=""),"",$I166*($L166/100)*$F166*$M166*10)</f>
        <v/>
      </c>
      <c r="Q166" s="14" t="str">
        <f aca="false">IF(AND($A166="",$B166="",$D166=""),"",IF(AND($B166&lt;&gt;"",COUNTIF('2. Core Log'!$A$5:$A$124,$B166)=0),"Core ID not in Core Log. ","")&amp;IF(AND($A166&lt;&gt;"",COUNTIF('1. Plot &amp; Site Log'!$A$5:$A$64,$A166)=0),"Plot ID not in Plot &amp; Site Log. ","")&amp;IF(AND($D166&lt;&gt;"",$E166&lt;&gt;"",$E166&lt;=$D166),"Bottom depth is not below top depth. ","")&amp;IF($H166="","Say which bulk-density basis the lab reported, or the coarse-fragment correction cannot be applied safely. ","")&amp;IF(AND($I166&lt;&gt;"",OR($I166&lt;QC_BD_MIN,$I166&gt;QC_BD_MAX)),"Bulk density outside "&amp;QC_BD_MIN&amp;"–"&amp;QC_BD_MAX&amp;" g/cm³. ","")&amp;IF(AND($L166&lt;&gt;"",$L166&gt;QC_CARBON_PCT_MAX),"Carbon above "&amp;QC_CARBON_PCT_MAX&amp;"% — check units; this may be organic matter rather than carbon. ","")&amp;IF(AND($J166&lt;&gt;"",$K166&lt;&gt;""),"Both LOI and measured carbon given — the measured value is used. ","")&amp;IF(AND($N166&lt;&gt;"",$N166=0),"Slice lies entirely below the reporting depth — it counts to the full-core stock only. ",""))</f>
        <v/>
      </c>
      <c r="R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 t="str">
        <f aca="false">IF(OR($D167="",$E167=""),"",$E167-$D167)</f>
        <v/>
      </c>
      <c r="G167" s="13"/>
      <c r="H167" s="13"/>
      <c r="I167" s="15"/>
      <c r="J167" s="15"/>
      <c r="K167" s="15"/>
      <c r="L167" s="14" t="str">
        <f aca="false">IF($K167&lt;&gt;"",$K167,IF($J167&lt;&gt;"",$J167*CARBON_FRACTION_OM,""))</f>
        <v/>
      </c>
      <c r="M167" s="14" t="n">
        <f aca="false">IF($H167="Fine earth / fine-earth volume",1-IF($G167="",0,$G167)/100,1)</f>
        <v>1</v>
      </c>
      <c r="N167" s="14" t="str">
        <f aca="false">IF(OR($D167="",$E167=""),"",MAX(0,MIN($E167,REPORTING_DEPTH_CM)-MIN($D167,REPORTING_DEPTH_CM)))</f>
        <v/>
      </c>
      <c r="O167" s="14" t="str">
        <f aca="false">IF(OR($I167="",$L167="",$N167=""),"",$I167*($L167/100)*$N167*$M167*10)</f>
        <v/>
      </c>
      <c r="P167" s="14" t="str">
        <f aca="false">IF(OR($I167="",$L167="",$F167=""),"",$I167*($L167/100)*$F167*$M167*10)</f>
        <v/>
      </c>
      <c r="Q167" s="14" t="str">
        <f aca="false">IF(AND($A167="",$B167="",$D167=""),"",IF(AND($B167&lt;&gt;"",COUNTIF('2. Core Log'!$A$5:$A$124,$B167)=0),"Core ID not in Core Log. ","")&amp;IF(AND($A167&lt;&gt;"",COUNTIF('1. Plot &amp; Site Log'!$A$5:$A$64,$A167)=0),"Plot ID not in Plot &amp; Site Log. ","")&amp;IF(AND($D167&lt;&gt;"",$E167&lt;&gt;"",$E167&lt;=$D167),"Bottom depth is not below top depth. ","")&amp;IF($H167="","Say which bulk-density basis the lab reported, or the coarse-fragment correction cannot be applied safely. ","")&amp;IF(AND($I167&lt;&gt;"",OR($I167&lt;QC_BD_MIN,$I167&gt;QC_BD_MAX)),"Bulk density outside "&amp;QC_BD_MIN&amp;"–"&amp;QC_BD_MAX&amp;" g/cm³. ","")&amp;IF(AND($L167&lt;&gt;"",$L167&gt;QC_CARBON_PCT_MAX),"Carbon above "&amp;QC_CARBON_PCT_MAX&amp;"% — check units; this may be organic matter rather than carbon. ","")&amp;IF(AND($J167&lt;&gt;"",$K167&lt;&gt;""),"Both LOI and measured carbon given — the measured value is used. ","")&amp;IF(AND($N167&lt;&gt;"",$N167=0),"Slice lies entirely below the reporting depth — it counts to the full-core stock only. ",""))</f>
        <v/>
      </c>
      <c r="R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 t="str">
        <f aca="false">IF(OR($D168="",$E168=""),"",$E168-$D168)</f>
        <v/>
      </c>
      <c r="G168" s="13"/>
      <c r="H168" s="13"/>
      <c r="I168" s="15"/>
      <c r="J168" s="15"/>
      <c r="K168" s="15"/>
      <c r="L168" s="14" t="str">
        <f aca="false">IF($K168&lt;&gt;"",$K168,IF($J168&lt;&gt;"",$J168*CARBON_FRACTION_OM,""))</f>
        <v/>
      </c>
      <c r="M168" s="14" t="n">
        <f aca="false">IF($H168="Fine earth / fine-earth volume",1-IF($G168="",0,$G168)/100,1)</f>
        <v>1</v>
      </c>
      <c r="N168" s="14" t="str">
        <f aca="false">IF(OR($D168="",$E168=""),"",MAX(0,MIN($E168,REPORTING_DEPTH_CM)-MIN($D168,REPORTING_DEPTH_CM)))</f>
        <v/>
      </c>
      <c r="O168" s="14" t="str">
        <f aca="false">IF(OR($I168="",$L168="",$N168=""),"",$I168*($L168/100)*$N168*$M168*10)</f>
        <v/>
      </c>
      <c r="P168" s="14" t="str">
        <f aca="false">IF(OR($I168="",$L168="",$F168=""),"",$I168*($L168/100)*$F168*$M168*10)</f>
        <v/>
      </c>
      <c r="Q168" s="14" t="str">
        <f aca="false">IF(AND($A168="",$B168="",$D168=""),"",IF(AND($B168&lt;&gt;"",COUNTIF('2. Core Log'!$A$5:$A$124,$B168)=0),"Core ID not in Core Log. ","")&amp;IF(AND($A168&lt;&gt;"",COUNTIF('1. Plot &amp; Site Log'!$A$5:$A$64,$A168)=0),"Plot ID not in Plot &amp; Site Log. ","")&amp;IF(AND($D168&lt;&gt;"",$E168&lt;&gt;"",$E168&lt;=$D168),"Bottom depth is not below top depth. ","")&amp;IF($H168="","Say which bulk-density basis the lab reported, or the coarse-fragment correction cannot be applied safely. ","")&amp;IF(AND($I168&lt;&gt;"",OR($I168&lt;QC_BD_MIN,$I168&gt;QC_BD_MAX)),"Bulk density outside "&amp;QC_BD_MIN&amp;"–"&amp;QC_BD_MAX&amp;" g/cm³. ","")&amp;IF(AND($L168&lt;&gt;"",$L168&gt;QC_CARBON_PCT_MAX),"Carbon above "&amp;QC_CARBON_PCT_MAX&amp;"% — check units; this may be organic matter rather than carbon. ","")&amp;IF(AND($J168&lt;&gt;"",$K168&lt;&gt;""),"Both LOI and measured carbon given — the measured value is used. ","")&amp;IF(AND($N168&lt;&gt;"",$N168=0),"Slice lies entirely below the reporting depth — it counts to the full-core stock only. ",""))</f>
        <v/>
      </c>
      <c r="R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 t="str">
        <f aca="false">IF(OR($D169="",$E169=""),"",$E169-$D169)</f>
        <v/>
      </c>
      <c r="G169" s="13"/>
      <c r="H169" s="13"/>
      <c r="I169" s="15"/>
      <c r="J169" s="15"/>
      <c r="K169" s="15"/>
      <c r="L169" s="14" t="str">
        <f aca="false">IF($K169&lt;&gt;"",$K169,IF($J169&lt;&gt;"",$J169*CARBON_FRACTION_OM,""))</f>
        <v/>
      </c>
      <c r="M169" s="14" t="n">
        <f aca="false">IF($H169="Fine earth / fine-earth volume",1-IF($G169="",0,$G169)/100,1)</f>
        <v>1</v>
      </c>
      <c r="N169" s="14" t="str">
        <f aca="false">IF(OR($D169="",$E169=""),"",MAX(0,MIN($E169,REPORTING_DEPTH_CM)-MIN($D169,REPORTING_DEPTH_CM)))</f>
        <v/>
      </c>
      <c r="O169" s="14" t="str">
        <f aca="false">IF(OR($I169="",$L169="",$N169=""),"",$I169*($L169/100)*$N169*$M169*10)</f>
        <v/>
      </c>
      <c r="P169" s="14" t="str">
        <f aca="false">IF(OR($I169="",$L169="",$F169=""),"",$I169*($L169/100)*$F169*$M169*10)</f>
        <v/>
      </c>
      <c r="Q169" s="14" t="str">
        <f aca="false">IF(AND($A169="",$B169="",$D169=""),"",IF(AND($B169&lt;&gt;"",COUNTIF('2. Core Log'!$A$5:$A$124,$B169)=0),"Core ID not in Core Log. ","")&amp;IF(AND($A169&lt;&gt;"",COUNTIF('1. Plot &amp; Site Log'!$A$5:$A$64,$A169)=0),"Plot ID not in Plot &amp; Site Log. ","")&amp;IF(AND($D169&lt;&gt;"",$E169&lt;&gt;"",$E169&lt;=$D169),"Bottom depth is not below top depth. ","")&amp;IF($H169="","Say which bulk-density basis the lab reported, or the coarse-fragment correction cannot be applied safely. ","")&amp;IF(AND($I169&lt;&gt;"",OR($I169&lt;QC_BD_MIN,$I169&gt;QC_BD_MAX)),"Bulk density outside "&amp;QC_BD_MIN&amp;"–"&amp;QC_BD_MAX&amp;" g/cm³. ","")&amp;IF(AND($L169&lt;&gt;"",$L169&gt;QC_CARBON_PCT_MAX),"Carbon above "&amp;QC_CARBON_PCT_MAX&amp;"% — check units; this may be organic matter rather than carbon. ","")&amp;IF(AND($J169&lt;&gt;"",$K169&lt;&gt;""),"Both LOI and measured carbon given — the measured value is used. ","")&amp;IF(AND($N169&lt;&gt;"",$N169=0),"Slice lies entirely below the reporting depth — it counts to the full-core stock only. ",""))</f>
        <v/>
      </c>
      <c r="R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 t="str">
        <f aca="false">IF(OR($D170="",$E170=""),"",$E170-$D170)</f>
        <v/>
      </c>
      <c r="G170" s="13"/>
      <c r="H170" s="13"/>
      <c r="I170" s="15"/>
      <c r="J170" s="15"/>
      <c r="K170" s="15"/>
      <c r="L170" s="14" t="str">
        <f aca="false">IF($K170&lt;&gt;"",$K170,IF($J170&lt;&gt;"",$J170*CARBON_FRACTION_OM,""))</f>
        <v/>
      </c>
      <c r="M170" s="14" t="n">
        <f aca="false">IF($H170="Fine earth / fine-earth volume",1-IF($G170="",0,$G170)/100,1)</f>
        <v>1</v>
      </c>
      <c r="N170" s="14" t="str">
        <f aca="false">IF(OR($D170="",$E170=""),"",MAX(0,MIN($E170,REPORTING_DEPTH_CM)-MIN($D170,REPORTING_DEPTH_CM)))</f>
        <v/>
      </c>
      <c r="O170" s="14" t="str">
        <f aca="false">IF(OR($I170="",$L170="",$N170=""),"",$I170*($L170/100)*$N170*$M170*10)</f>
        <v/>
      </c>
      <c r="P170" s="14" t="str">
        <f aca="false">IF(OR($I170="",$L170="",$F170=""),"",$I170*($L170/100)*$F170*$M170*10)</f>
        <v/>
      </c>
      <c r="Q170" s="14" t="str">
        <f aca="false">IF(AND($A170="",$B170="",$D170=""),"",IF(AND($B170&lt;&gt;"",COUNTIF('2. Core Log'!$A$5:$A$124,$B170)=0),"Core ID not in Core Log. ","")&amp;IF(AND($A170&lt;&gt;"",COUNTIF('1. Plot &amp; Site Log'!$A$5:$A$64,$A170)=0),"Plot ID not in Plot &amp; Site Log. ","")&amp;IF(AND($D170&lt;&gt;"",$E170&lt;&gt;"",$E170&lt;=$D170),"Bottom depth is not below top depth. ","")&amp;IF($H170="","Say which bulk-density basis the lab reported, or the coarse-fragment correction cannot be applied safely. ","")&amp;IF(AND($I170&lt;&gt;"",OR($I170&lt;QC_BD_MIN,$I170&gt;QC_BD_MAX)),"Bulk density outside "&amp;QC_BD_MIN&amp;"–"&amp;QC_BD_MAX&amp;" g/cm³. ","")&amp;IF(AND($L170&lt;&gt;"",$L170&gt;QC_CARBON_PCT_MAX),"Carbon above "&amp;QC_CARBON_PCT_MAX&amp;"% — check units; this may be organic matter rather than carbon. ","")&amp;IF(AND($J170&lt;&gt;"",$K170&lt;&gt;""),"Both LOI and measured carbon given — the measured value is used. ","")&amp;IF(AND($N170&lt;&gt;"",$N170=0),"Slice lies entirely below the reporting depth — it counts to the full-core stock only. ",""))</f>
        <v/>
      </c>
      <c r="R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 t="str">
        <f aca="false">IF(OR($D171="",$E171=""),"",$E171-$D171)</f>
        <v/>
      </c>
      <c r="G171" s="13"/>
      <c r="H171" s="13"/>
      <c r="I171" s="15"/>
      <c r="J171" s="15"/>
      <c r="K171" s="15"/>
      <c r="L171" s="14" t="str">
        <f aca="false">IF($K171&lt;&gt;"",$K171,IF($J171&lt;&gt;"",$J171*CARBON_FRACTION_OM,""))</f>
        <v/>
      </c>
      <c r="M171" s="14" t="n">
        <f aca="false">IF($H171="Fine earth / fine-earth volume",1-IF($G171="",0,$G171)/100,1)</f>
        <v>1</v>
      </c>
      <c r="N171" s="14" t="str">
        <f aca="false">IF(OR($D171="",$E171=""),"",MAX(0,MIN($E171,REPORTING_DEPTH_CM)-MIN($D171,REPORTING_DEPTH_CM)))</f>
        <v/>
      </c>
      <c r="O171" s="14" t="str">
        <f aca="false">IF(OR($I171="",$L171="",$N171=""),"",$I171*($L171/100)*$N171*$M171*10)</f>
        <v/>
      </c>
      <c r="P171" s="14" t="str">
        <f aca="false">IF(OR($I171="",$L171="",$F171=""),"",$I171*($L171/100)*$F171*$M171*10)</f>
        <v/>
      </c>
      <c r="Q171" s="14" t="str">
        <f aca="false">IF(AND($A171="",$B171="",$D171=""),"",IF(AND($B171&lt;&gt;"",COUNTIF('2. Core Log'!$A$5:$A$124,$B171)=0),"Core ID not in Core Log. ","")&amp;IF(AND($A171&lt;&gt;"",COUNTIF('1. Plot &amp; Site Log'!$A$5:$A$64,$A171)=0),"Plot ID not in Plot &amp; Site Log. ","")&amp;IF(AND($D171&lt;&gt;"",$E171&lt;&gt;"",$E171&lt;=$D171),"Bottom depth is not below top depth. ","")&amp;IF($H171="","Say which bulk-density basis the lab reported, or the coarse-fragment correction cannot be applied safely. ","")&amp;IF(AND($I171&lt;&gt;"",OR($I171&lt;QC_BD_MIN,$I171&gt;QC_BD_MAX)),"Bulk density outside "&amp;QC_BD_MIN&amp;"–"&amp;QC_BD_MAX&amp;" g/cm³. ","")&amp;IF(AND($L171&lt;&gt;"",$L171&gt;QC_CARBON_PCT_MAX),"Carbon above "&amp;QC_CARBON_PCT_MAX&amp;"% — check units; this may be organic matter rather than carbon. ","")&amp;IF(AND($J171&lt;&gt;"",$K171&lt;&gt;""),"Both LOI and measured carbon given — the measured value is used. ","")&amp;IF(AND($N171&lt;&gt;"",$N171=0),"Slice lies entirely below the reporting depth — it counts to the full-core stock only. ",""))</f>
        <v/>
      </c>
      <c r="R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 t="str">
        <f aca="false">IF(OR($D172="",$E172=""),"",$E172-$D172)</f>
        <v/>
      </c>
      <c r="G172" s="13"/>
      <c r="H172" s="13"/>
      <c r="I172" s="15"/>
      <c r="J172" s="15"/>
      <c r="K172" s="15"/>
      <c r="L172" s="14" t="str">
        <f aca="false">IF($K172&lt;&gt;"",$K172,IF($J172&lt;&gt;"",$J172*CARBON_FRACTION_OM,""))</f>
        <v/>
      </c>
      <c r="M172" s="14" t="n">
        <f aca="false">IF($H172="Fine earth / fine-earth volume",1-IF($G172="",0,$G172)/100,1)</f>
        <v>1</v>
      </c>
      <c r="N172" s="14" t="str">
        <f aca="false">IF(OR($D172="",$E172=""),"",MAX(0,MIN($E172,REPORTING_DEPTH_CM)-MIN($D172,REPORTING_DEPTH_CM)))</f>
        <v/>
      </c>
      <c r="O172" s="14" t="str">
        <f aca="false">IF(OR($I172="",$L172="",$N172=""),"",$I172*($L172/100)*$N172*$M172*10)</f>
        <v/>
      </c>
      <c r="P172" s="14" t="str">
        <f aca="false">IF(OR($I172="",$L172="",$F172=""),"",$I172*($L172/100)*$F172*$M172*10)</f>
        <v/>
      </c>
      <c r="Q172" s="14" t="str">
        <f aca="false">IF(AND($A172="",$B172="",$D172=""),"",IF(AND($B172&lt;&gt;"",COUNTIF('2. Core Log'!$A$5:$A$124,$B172)=0),"Core ID not in Core Log. ","")&amp;IF(AND($A172&lt;&gt;"",COUNTIF('1. Plot &amp; Site Log'!$A$5:$A$64,$A172)=0),"Plot ID not in Plot &amp; Site Log. ","")&amp;IF(AND($D172&lt;&gt;"",$E172&lt;&gt;"",$E172&lt;=$D172),"Bottom depth is not below top depth. ","")&amp;IF($H172="","Say which bulk-density basis the lab reported, or the coarse-fragment correction cannot be applied safely. ","")&amp;IF(AND($I172&lt;&gt;"",OR($I172&lt;QC_BD_MIN,$I172&gt;QC_BD_MAX)),"Bulk density outside "&amp;QC_BD_MIN&amp;"–"&amp;QC_BD_MAX&amp;" g/cm³. ","")&amp;IF(AND($L172&lt;&gt;"",$L172&gt;QC_CARBON_PCT_MAX),"Carbon above "&amp;QC_CARBON_PCT_MAX&amp;"% — check units; this may be organic matter rather than carbon. ","")&amp;IF(AND($J172&lt;&gt;"",$K172&lt;&gt;""),"Both LOI and measured carbon given — the measured value is used. ","")&amp;IF(AND($N172&lt;&gt;"",$N172=0),"Slice lies entirely below the reporting depth — it counts to the full-core stock only. ",""))</f>
        <v/>
      </c>
      <c r="R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 t="str">
        <f aca="false">IF(OR($D173="",$E173=""),"",$E173-$D173)</f>
        <v/>
      </c>
      <c r="G173" s="13"/>
      <c r="H173" s="13"/>
      <c r="I173" s="15"/>
      <c r="J173" s="15"/>
      <c r="K173" s="15"/>
      <c r="L173" s="14" t="str">
        <f aca="false">IF($K173&lt;&gt;"",$K173,IF($J173&lt;&gt;"",$J173*CARBON_FRACTION_OM,""))</f>
        <v/>
      </c>
      <c r="M173" s="14" t="n">
        <f aca="false">IF($H173="Fine earth / fine-earth volume",1-IF($G173="",0,$G173)/100,1)</f>
        <v>1</v>
      </c>
      <c r="N173" s="14" t="str">
        <f aca="false">IF(OR($D173="",$E173=""),"",MAX(0,MIN($E173,REPORTING_DEPTH_CM)-MIN($D173,REPORTING_DEPTH_CM)))</f>
        <v/>
      </c>
      <c r="O173" s="14" t="str">
        <f aca="false">IF(OR($I173="",$L173="",$N173=""),"",$I173*($L173/100)*$N173*$M173*10)</f>
        <v/>
      </c>
      <c r="P173" s="14" t="str">
        <f aca="false">IF(OR($I173="",$L173="",$F173=""),"",$I173*($L173/100)*$F173*$M173*10)</f>
        <v/>
      </c>
      <c r="Q173" s="14" t="str">
        <f aca="false">IF(AND($A173="",$B173="",$D173=""),"",IF(AND($B173&lt;&gt;"",COUNTIF('2. Core Log'!$A$5:$A$124,$B173)=0),"Core ID not in Core Log. ","")&amp;IF(AND($A173&lt;&gt;"",COUNTIF('1. Plot &amp; Site Log'!$A$5:$A$64,$A173)=0),"Plot ID not in Plot &amp; Site Log. ","")&amp;IF(AND($D173&lt;&gt;"",$E173&lt;&gt;"",$E173&lt;=$D173),"Bottom depth is not below top depth. ","")&amp;IF($H173="","Say which bulk-density basis the lab reported, or the coarse-fragment correction cannot be applied safely. ","")&amp;IF(AND($I173&lt;&gt;"",OR($I173&lt;QC_BD_MIN,$I173&gt;QC_BD_MAX)),"Bulk density outside "&amp;QC_BD_MIN&amp;"–"&amp;QC_BD_MAX&amp;" g/cm³. ","")&amp;IF(AND($L173&lt;&gt;"",$L173&gt;QC_CARBON_PCT_MAX),"Carbon above "&amp;QC_CARBON_PCT_MAX&amp;"% — check units; this may be organic matter rather than carbon. ","")&amp;IF(AND($J173&lt;&gt;"",$K173&lt;&gt;""),"Both LOI and measured carbon given — the measured value is used. ","")&amp;IF(AND($N173&lt;&gt;"",$N173=0),"Slice lies entirely below the reporting depth — it counts to the full-core stock only. ",""))</f>
        <v/>
      </c>
      <c r="R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 t="str">
        <f aca="false">IF(OR($D174="",$E174=""),"",$E174-$D174)</f>
        <v/>
      </c>
      <c r="G174" s="13"/>
      <c r="H174" s="13"/>
      <c r="I174" s="15"/>
      <c r="J174" s="15"/>
      <c r="K174" s="15"/>
      <c r="L174" s="14" t="str">
        <f aca="false">IF($K174&lt;&gt;"",$K174,IF($J174&lt;&gt;"",$J174*CARBON_FRACTION_OM,""))</f>
        <v/>
      </c>
      <c r="M174" s="14" t="n">
        <f aca="false">IF($H174="Fine earth / fine-earth volume",1-IF($G174="",0,$G174)/100,1)</f>
        <v>1</v>
      </c>
      <c r="N174" s="14" t="str">
        <f aca="false">IF(OR($D174="",$E174=""),"",MAX(0,MIN($E174,REPORTING_DEPTH_CM)-MIN($D174,REPORTING_DEPTH_CM)))</f>
        <v/>
      </c>
      <c r="O174" s="14" t="str">
        <f aca="false">IF(OR($I174="",$L174="",$N174=""),"",$I174*($L174/100)*$N174*$M174*10)</f>
        <v/>
      </c>
      <c r="P174" s="14" t="str">
        <f aca="false">IF(OR($I174="",$L174="",$F174=""),"",$I174*($L174/100)*$F174*$M174*10)</f>
        <v/>
      </c>
      <c r="Q174" s="14" t="str">
        <f aca="false">IF(AND($A174="",$B174="",$D174=""),"",IF(AND($B174&lt;&gt;"",COUNTIF('2. Core Log'!$A$5:$A$124,$B174)=0),"Core ID not in Core Log. ","")&amp;IF(AND($A174&lt;&gt;"",COUNTIF('1. Plot &amp; Site Log'!$A$5:$A$64,$A174)=0),"Plot ID not in Plot &amp; Site Log. ","")&amp;IF(AND($D174&lt;&gt;"",$E174&lt;&gt;"",$E174&lt;=$D174),"Bottom depth is not below top depth. ","")&amp;IF($H174="","Say which bulk-density basis the lab reported, or the coarse-fragment correction cannot be applied safely. ","")&amp;IF(AND($I174&lt;&gt;"",OR($I174&lt;QC_BD_MIN,$I174&gt;QC_BD_MAX)),"Bulk density outside "&amp;QC_BD_MIN&amp;"–"&amp;QC_BD_MAX&amp;" g/cm³. ","")&amp;IF(AND($L174&lt;&gt;"",$L174&gt;QC_CARBON_PCT_MAX),"Carbon above "&amp;QC_CARBON_PCT_MAX&amp;"% — check units; this may be organic matter rather than carbon. ","")&amp;IF(AND($J174&lt;&gt;"",$K174&lt;&gt;""),"Both LOI and measured carbon given — the measured value is used. ","")&amp;IF(AND($N174&lt;&gt;"",$N174=0),"Slice lies entirely below the reporting depth — it counts to the full-core stock only. ",""))</f>
        <v/>
      </c>
      <c r="R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 t="str">
        <f aca="false">IF(OR($D175="",$E175=""),"",$E175-$D175)</f>
        <v/>
      </c>
      <c r="G175" s="13"/>
      <c r="H175" s="13"/>
      <c r="I175" s="15"/>
      <c r="J175" s="15"/>
      <c r="K175" s="15"/>
      <c r="L175" s="14" t="str">
        <f aca="false">IF($K175&lt;&gt;"",$K175,IF($J175&lt;&gt;"",$J175*CARBON_FRACTION_OM,""))</f>
        <v/>
      </c>
      <c r="M175" s="14" t="n">
        <f aca="false">IF($H175="Fine earth / fine-earth volume",1-IF($G175="",0,$G175)/100,1)</f>
        <v>1</v>
      </c>
      <c r="N175" s="14" t="str">
        <f aca="false">IF(OR($D175="",$E175=""),"",MAX(0,MIN($E175,REPORTING_DEPTH_CM)-MIN($D175,REPORTING_DEPTH_CM)))</f>
        <v/>
      </c>
      <c r="O175" s="14" t="str">
        <f aca="false">IF(OR($I175="",$L175="",$N175=""),"",$I175*($L175/100)*$N175*$M175*10)</f>
        <v/>
      </c>
      <c r="P175" s="14" t="str">
        <f aca="false">IF(OR($I175="",$L175="",$F175=""),"",$I175*($L175/100)*$F175*$M175*10)</f>
        <v/>
      </c>
      <c r="Q175" s="14" t="str">
        <f aca="false">IF(AND($A175="",$B175="",$D175=""),"",IF(AND($B175&lt;&gt;"",COUNTIF('2. Core Log'!$A$5:$A$124,$B175)=0),"Core ID not in Core Log. ","")&amp;IF(AND($A175&lt;&gt;"",COUNTIF('1. Plot &amp; Site Log'!$A$5:$A$64,$A175)=0),"Plot ID not in Plot &amp; Site Log. ","")&amp;IF(AND($D175&lt;&gt;"",$E175&lt;&gt;"",$E175&lt;=$D175),"Bottom depth is not below top depth. ","")&amp;IF($H175="","Say which bulk-density basis the lab reported, or the coarse-fragment correction cannot be applied safely. ","")&amp;IF(AND($I175&lt;&gt;"",OR($I175&lt;QC_BD_MIN,$I175&gt;QC_BD_MAX)),"Bulk density outside "&amp;QC_BD_MIN&amp;"–"&amp;QC_BD_MAX&amp;" g/cm³. ","")&amp;IF(AND($L175&lt;&gt;"",$L175&gt;QC_CARBON_PCT_MAX),"Carbon above "&amp;QC_CARBON_PCT_MAX&amp;"% — check units; this may be organic matter rather than carbon. ","")&amp;IF(AND($J175&lt;&gt;"",$K175&lt;&gt;""),"Both LOI and measured carbon given — the measured value is used. ","")&amp;IF(AND($N175&lt;&gt;"",$N175=0),"Slice lies entirely below the reporting depth — it counts to the full-core stock only. ",""))</f>
        <v/>
      </c>
      <c r="R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 t="str">
        <f aca="false">IF(OR($D176="",$E176=""),"",$E176-$D176)</f>
        <v/>
      </c>
      <c r="G176" s="13"/>
      <c r="H176" s="13"/>
      <c r="I176" s="15"/>
      <c r="J176" s="15"/>
      <c r="K176" s="15"/>
      <c r="L176" s="14" t="str">
        <f aca="false">IF($K176&lt;&gt;"",$K176,IF($J176&lt;&gt;"",$J176*CARBON_FRACTION_OM,""))</f>
        <v/>
      </c>
      <c r="M176" s="14" t="n">
        <f aca="false">IF($H176="Fine earth / fine-earth volume",1-IF($G176="",0,$G176)/100,1)</f>
        <v>1</v>
      </c>
      <c r="N176" s="14" t="str">
        <f aca="false">IF(OR($D176="",$E176=""),"",MAX(0,MIN($E176,REPORTING_DEPTH_CM)-MIN($D176,REPORTING_DEPTH_CM)))</f>
        <v/>
      </c>
      <c r="O176" s="14" t="str">
        <f aca="false">IF(OR($I176="",$L176="",$N176=""),"",$I176*($L176/100)*$N176*$M176*10)</f>
        <v/>
      </c>
      <c r="P176" s="14" t="str">
        <f aca="false">IF(OR($I176="",$L176="",$F176=""),"",$I176*($L176/100)*$F176*$M176*10)</f>
        <v/>
      </c>
      <c r="Q176" s="14" t="str">
        <f aca="false">IF(AND($A176="",$B176="",$D176=""),"",IF(AND($B176&lt;&gt;"",COUNTIF('2. Core Log'!$A$5:$A$124,$B176)=0),"Core ID not in Core Log. ","")&amp;IF(AND($A176&lt;&gt;"",COUNTIF('1. Plot &amp; Site Log'!$A$5:$A$64,$A176)=0),"Plot ID not in Plot &amp; Site Log. ","")&amp;IF(AND($D176&lt;&gt;"",$E176&lt;&gt;"",$E176&lt;=$D176),"Bottom depth is not below top depth. ","")&amp;IF($H176="","Say which bulk-density basis the lab reported, or the coarse-fragment correction cannot be applied safely. ","")&amp;IF(AND($I176&lt;&gt;"",OR($I176&lt;QC_BD_MIN,$I176&gt;QC_BD_MAX)),"Bulk density outside "&amp;QC_BD_MIN&amp;"–"&amp;QC_BD_MAX&amp;" g/cm³. ","")&amp;IF(AND($L176&lt;&gt;"",$L176&gt;QC_CARBON_PCT_MAX),"Carbon above "&amp;QC_CARBON_PCT_MAX&amp;"% — check units; this may be organic matter rather than carbon. ","")&amp;IF(AND($J176&lt;&gt;"",$K176&lt;&gt;""),"Both LOI and measured carbon given — the measured value is used. ","")&amp;IF(AND($N176&lt;&gt;"",$N176=0),"Slice lies entirely below the reporting depth — it counts to the full-core stock only. ",""))</f>
        <v/>
      </c>
      <c r="R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 t="str">
        <f aca="false">IF(OR($D177="",$E177=""),"",$E177-$D177)</f>
        <v/>
      </c>
      <c r="G177" s="13"/>
      <c r="H177" s="13"/>
      <c r="I177" s="15"/>
      <c r="J177" s="15"/>
      <c r="K177" s="15"/>
      <c r="L177" s="14" t="str">
        <f aca="false">IF($K177&lt;&gt;"",$K177,IF($J177&lt;&gt;"",$J177*CARBON_FRACTION_OM,""))</f>
        <v/>
      </c>
      <c r="M177" s="14" t="n">
        <f aca="false">IF($H177="Fine earth / fine-earth volume",1-IF($G177="",0,$G177)/100,1)</f>
        <v>1</v>
      </c>
      <c r="N177" s="14" t="str">
        <f aca="false">IF(OR($D177="",$E177=""),"",MAX(0,MIN($E177,REPORTING_DEPTH_CM)-MIN($D177,REPORTING_DEPTH_CM)))</f>
        <v/>
      </c>
      <c r="O177" s="14" t="str">
        <f aca="false">IF(OR($I177="",$L177="",$N177=""),"",$I177*($L177/100)*$N177*$M177*10)</f>
        <v/>
      </c>
      <c r="P177" s="14" t="str">
        <f aca="false">IF(OR($I177="",$L177="",$F177=""),"",$I177*($L177/100)*$F177*$M177*10)</f>
        <v/>
      </c>
      <c r="Q177" s="14" t="str">
        <f aca="false">IF(AND($A177="",$B177="",$D177=""),"",IF(AND($B177&lt;&gt;"",COUNTIF('2. Core Log'!$A$5:$A$124,$B177)=0),"Core ID not in Core Log. ","")&amp;IF(AND($A177&lt;&gt;"",COUNTIF('1. Plot &amp; Site Log'!$A$5:$A$64,$A177)=0),"Plot ID not in Plot &amp; Site Log. ","")&amp;IF(AND($D177&lt;&gt;"",$E177&lt;&gt;"",$E177&lt;=$D177),"Bottom depth is not below top depth. ","")&amp;IF($H177="","Say which bulk-density basis the lab reported, or the coarse-fragment correction cannot be applied safely. ","")&amp;IF(AND($I177&lt;&gt;"",OR($I177&lt;QC_BD_MIN,$I177&gt;QC_BD_MAX)),"Bulk density outside "&amp;QC_BD_MIN&amp;"–"&amp;QC_BD_MAX&amp;" g/cm³. ","")&amp;IF(AND($L177&lt;&gt;"",$L177&gt;QC_CARBON_PCT_MAX),"Carbon above "&amp;QC_CARBON_PCT_MAX&amp;"% — check units; this may be organic matter rather than carbon. ","")&amp;IF(AND($J177&lt;&gt;"",$K177&lt;&gt;""),"Both LOI and measured carbon given — the measured value is used. ","")&amp;IF(AND($N177&lt;&gt;"",$N177=0),"Slice lies entirely below the reporting depth — it counts to the full-core stock only. ",""))</f>
        <v/>
      </c>
      <c r="R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 t="str">
        <f aca="false">IF(OR($D178="",$E178=""),"",$E178-$D178)</f>
        <v/>
      </c>
      <c r="G178" s="13"/>
      <c r="H178" s="13"/>
      <c r="I178" s="15"/>
      <c r="J178" s="15"/>
      <c r="K178" s="15"/>
      <c r="L178" s="14" t="str">
        <f aca="false">IF($K178&lt;&gt;"",$K178,IF($J178&lt;&gt;"",$J178*CARBON_FRACTION_OM,""))</f>
        <v/>
      </c>
      <c r="M178" s="14" t="n">
        <f aca="false">IF($H178="Fine earth / fine-earth volume",1-IF($G178="",0,$G178)/100,1)</f>
        <v>1</v>
      </c>
      <c r="N178" s="14" t="str">
        <f aca="false">IF(OR($D178="",$E178=""),"",MAX(0,MIN($E178,REPORTING_DEPTH_CM)-MIN($D178,REPORTING_DEPTH_CM)))</f>
        <v/>
      </c>
      <c r="O178" s="14" t="str">
        <f aca="false">IF(OR($I178="",$L178="",$N178=""),"",$I178*($L178/100)*$N178*$M178*10)</f>
        <v/>
      </c>
      <c r="P178" s="14" t="str">
        <f aca="false">IF(OR($I178="",$L178="",$F178=""),"",$I178*($L178/100)*$F178*$M178*10)</f>
        <v/>
      </c>
      <c r="Q178" s="14" t="str">
        <f aca="false">IF(AND($A178="",$B178="",$D178=""),"",IF(AND($B178&lt;&gt;"",COUNTIF('2. Core Log'!$A$5:$A$124,$B178)=0),"Core ID not in Core Log. ","")&amp;IF(AND($A178&lt;&gt;"",COUNTIF('1. Plot &amp; Site Log'!$A$5:$A$64,$A178)=0),"Plot ID not in Plot &amp; Site Log. ","")&amp;IF(AND($D178&lt;&gt;"",$E178&lt;&gt;"",$E178&lt;=$D178),"Bottom depth is not below top depth. ","")&amp;IF($H178="","Say which bulk-density basis the lab reported, or the coarse-fragment correction cannot be applied safely. ","")&amp;IF(AND($I178&lt;&gt;"",OR($I178&lt;QC_BD_MIN,$I178&gt;QC_BD_MAX)),"Bulk density outside "&amp;QC_BD_MIN&amp;"–"&amp;QC_BD_MAX&amp;" g/cm³. ","")&amp;IF(AND($L178&lt;&gt;"",$L178&gt;QC_CARBON_PCT_MAX),"Carbon above "&amp;QC_CARBON_PCT_MAX&amp;"% — check units; this may be organic matter rather than carbon. ","")&amp;IF(AND($J178&lt;&gt;"",$K178&lt;&gt;""),"Both LOI and measured carbon given — the measured value is used. ","")&amp;IF(AND($N178&lt;&gt;"",$N178=0),"Slice lies entirely below the reporting depth — it counts to the full-core stock only. ",""))</f>
        <v/>
      </c>
      <c r="R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 t="str">
        <f aca="false">IF(OR($D179="",$E179=""),"",$E179-$D179)</f>
        <v/>
      </c>
      <c r="G179" s="13"/>
      <c r="H179" s="13"/>
      <c r="I179" s="15"/>
      <c r="J179" s="15"/>
      <c r="K179" s="15"/>
      <c r="L179" s="14" t="str">
        <f aca="false">IF($K179&lt;&gt;"",$K179,IF($J179&lt;&gt;"",$J179*CARBON_FRACTION_OM,""))</f>
        <v/>
      </c>
      <c r="M179" s="14" t="n">
        <f aca="false">IF($H179="Fine earth / fine-earth volume",1-IF($G179="",0,$G179)/100,1)</f>
        <v>1</v>
      </c>
      <c r="N179" s="14" t="str">
        <f aca="false">IF(OR($D179="",$E179=""),"",MAX(0,MIN($E179,REPORTING_DEPTH_CM)-MIN($D179,REPORTING_DEPTH_CM)))</f>
        <v/>
      </c>
      <c r="O179" s="14" t="str">
        <f aca="false">IF(OR($I179="",$L179="",$N179=""),"",$I179*($L179/100)*$N179*$M179*10)</f>
        <v/>
      </c>
      <c r="P179" s="14" t="str">
        <f aca="false">IF(OR($I179="",$L179="",$F179=""),"",$I179*($L179/100)*$F179*$M179*10)</f>
        <v/>
      </c>
      <c r="Q179" s="14" t="str">
        <f aca="false">IF(AND($A179="",$B179="",$D179=""),"",IF(AND($B179&lt;&gt;"",COUNTIF('2. Core Log'!$A$5:$A$124,$B179)=0),"Core ID not in Core Log. ","")&amp;IF(AND($A179&lt;&gt;"",COUNTIF('1. Plot &amp; Site Log'!$A$5:$A$64,$A179)=0),"Plot ID not in Plot &amp; Site Log. ","")&amp;IF(AND($D179&lt;&gt;"",$E179&lt;&gt;"",$E179&lt;=$D179),"Bottom depth is not below top depth. ","")&amp;IF($H179="","Say which bulk-density basis the lab reported, or the coarse-fragment correction cannot be applied safely. ","")&amp;IF(AND($I179&lt;&gt;"",OR($I179&lt;QC_BD_MIN,$I179&gt;QC_BD_MAX)),"Bulk density outside "&amp;QC_BD_MIN&amp;"–"&amp;QC_BD_MAX&amp;" g/cm³. ","")&amp;IF(AND($L179&lt;&gt;"",$L179&gt;QC_CARBON_PCT_MAX),"Carbon above "&amp;QC_CARBON_PCT_MAX&amp;"% — check units; this may be organic matter rather than carbon. ","")&amp;IF(AND($J179&lt;&gt;"",$K179&lt;&gt;""),"Both LOI and measured carbon given — the measured value is used. ","")&amp;IF(AND($N179&lt;&gt;"",$N179=0),"Slice lies entirely below the reporting depth — it counts to the full-core stock only. ",""))</f>
        <v/>
      </c>
      <c r="R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 t="str">
        <f aca="false">IF(OR($D180="",$E180=""),"",$E180-$D180)</f>
        <v/>
      </c>
      <c r="G180" s="13"/>
      <c r="H180" s="13"/>
      <c r="I180" s="15"/>
      <c r="J180" s="15"/>
      <c r="K180" s="15"/>
      <c r="L180" s="14" t="str">
        <f aca="false">IF($K180&lt;&gt;"",$K180,IF($J180&lt;&gt;"",$J180*CARBON_FRACTION_OM,""))</f>
        <v/>
      </c>
      <c r="M180" s="14" t="n">
        <f aca="false">IF($H180="Fine earth / fine-earth volume",1-IF($G180="",0,$G180)/100,1)</f>
        <v>1</v>
      </c>
      <c r="N180" s="14" t="str">
        <f aca="false">IF(OR($D180="",$E180=""),"",MAX(0,MIN($E180,REPORTING_DEPTH_CM)-MIN($D180,REPORTING_DEPTH_CM)))</f>
        <v/>
      </c>
      <c r="O180" s="14" t="str">
        <f aca="false">IF(OR($I180="",$L180="",$N180=""),"",$I180*($L180/100)*$N180*$M180*10)</f>
        <v/>
      </c>
      <c r="P180" s="14" t="str">
        <f aca="false">IF(OR($I180="",$L180="",$F180=""),"",$I180*($L180/100)*$F180*$M180*10)</f>
        <v/>
      </c>
      <c r="Q180" s="14" t="str">
        <f aca="false">IF(AND($A180="",$B180="",$D180=""),"",IF(AND($B180&lt;&gt;"",COUNTIF('2. Core Log'!$A$5:$A$124,$B180)=0),"Core ID not in Core Log. ","")&amp;IF(AND($A180&lt;&gt;"",COUNTIF('1. Plot &amp; Site Log'!$A$5:$A$64,$A180)=0),"Plot ID not in Plot &amp; Site Log. ","")&amp;IF(AND($D180&lt;&gt;"",$E180&lt;&gt;"",$E180&lt;=$D180),"Bottom depth is not below top depth. ","")&amp;IF($H180="","Say which bulk-density basis the lab reported, or the coarse-fragment correction cannot be applied safely. ","")&amp;IF(AND($I180&lt;&gt;"",OR($I180&lt;QC_BD_MIN,$I180&gt;QC_BD_MAX)),"Bulk density outside "&amp;QC_BD_MIN&amp;"–"&amp;QC_BD_MAX&amp;" g/cm³. ","")&amp;IF(AND($L180&lt;&gt;"",$L180&gt;QC_CARBON_PCT_MAX),"Carbon above "&amp;QC_CARBON_PCT_MAX&amp;"% — check units; this may be organic matter rather than carbon. ","")&amp;IF(AND($J180&lt;&gt;"",$K180&lt;&gt;""),"Both LOI and measured carbon given — the measured value is used. ","")&amp;IF(AND($N180&lt;&gt;"",$N180=0),"Slice lies entirely below the reporting depth — it counts to the full-core stock only. ",""))</f>
        <v/>
      </c>
      <c r="R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 t="str">
        <f aca="false">IF(OR($D181="",$E181=""),"",$E181-$D181)</f>
        <v/>
      </c>
      <c r="G181" s="13"/>
      <c r="H181" s="13"/>
      <c r="I181" s="15"/>
      <c r="J181" s="15"/>
      <c r="K181" s="15"/>
      <c r="L181" s="14" t="str">
        <f aca="false">IF($K181&lt;&gt;"",$K181,IF($J181&lt;&gt;"",$J181*CARBON_FRACTION_OM,""))</f>
        <v/>
      </c>
      <c r="M181" s="14" t="n">
        <f aca="false">IF($H181="Fine earth / fine-earth volume",1-IF($G181="",0,$G181)/100,1)</f>
        <v>1</v>
      </c>
      <c r="N181" s="14" t="str">
        <f aca="false">IF(OR($D181="",$E181=""),"",MAX(0,MIN($E181,REPORTING_DEPTH_CM)-MIN($D181,REPORTING_DEPTH_CM)))</f>
        <v/>
      </c>
      <c r="O181" s="14" t="str">
        <f aca="false">IF(OR($I181="",$L181="",$N181=""),"",$I181*($L181/100)*$N181*$M181*10)</f>
        <v/>
      </c>
      <c r="P181" s="14" t="str">
        <f aca="false">IF(OR($I181="",$L181="",$F181=""),"",$I181*($L181/100)*$F181*$M181*10)</f>
        <v/>
      </c>
      <c r="Q181" s="14" t="str">
        <f aca="false">IF(AND($A181="",$B181="",$D181=""),"",IF(AND($B181&lt;&gt;"",COUNTIF('2. Core Log'!$A$5:$A$124,$B181)=0),"Core ID not in Core Log. ","")&amp;IF(AND($A181&lt;&gt;"",COUNTIF('1. Plot &amp; Site Log'!$A$5:$A$64,$A181)=0),"Plot ID not in Plot &amp; Site Log. ","")&amp;IF(AND($D181&lt;&gt;"",$E181&lt;&gt;"",$E181&lt;=$D181),"Bottom depth is not below top depth. ","")&amp;IF($H181="","Say which bulk-density basis the lab reported, or the coarse-fragment correction cannot be applied safely. ","")&amp;IF(AND($I181&lt;&gt;"",OR($I181&lt;QC_BD_MIN,$I181&gt;QC_BD_MAX)),"Bulk density outside "&amp;QC_BD_MIN&amp;"–"&amp;QC_BD_MAX&amp;" g/cm³. ","")&amp;IF(AND($L181&lt;&gt;"",$L181&gt;QC_CARBON_PCT_MAX),"Carbon above "&amp;QC_CARBON_PCT_MAX&amp;"% — check units; this may be organic matter rather than carbon. ","")&amp;IF(AND($J181&lt;&gt;"",$K181&lt;&gt;""),"Both LOI and measured carbon given — the measured value is used. ","")&amp;IF(AND($N181&lt;&gt;"",$N181=0),"Slice lies entirely below the reporting depth — it counts to the full-core stock only. ",""))</f>
        <v/>
      </c>
      <c r="R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 t="str">
        <f aca="false">IF(OR($D182="",$E182=""),"",$E182-$D182)</f>
        <v/>
      </c>
      <c r="G182" s="13"/>
      <c r="H182" s="13"/>
      <c r="I182" s="15"/>
      <c r="J182" s="15"/>
      <c r="K182" s="15"/>
      <c r="L182" s="14" t="str">
        <f aca="false">IF($K182&lt;&gt;"",$K182,IF($J182&lt;&gt;"",$J182*CARBON_FRACTION_OM,""))</f>
        <v/>
      </c>
      <c r="M182" s="14" t="n">
        <f aca="false">IF($H182="Fine earth / fine-earth volume",1-IF($G182="",0,$G182)/100,1)</f>
        <v>1</v>
      </c>
      <c r="N182" s="14" t="str">
        <f aca="false">IF(OR($D182="",$E182=""),"",MAX(0,MIN($E182,REPORTING_DEPTH_CM)-MIN($D182,REPORTING_DEPTH_CM)))</f>
        <v/>
      </c>
      <c r="O182" s="14" t="str">
        <f aca="false">IF(OR($I182="",$L182="",$N182=""),"",$I182*($L182/100)*$N182*$M182*10)</f>
        <v/>
      </c>
      <c r="P182" s="14" t="str">
        <f aca="false">IF(OR($I182="",$L182="",$F182=""),"",$I182*($L182/100)*$F182*$M182*10)</f>
        <v/>
      </c>
      <c r="Q182" s="14" t="str">
        <f aca="false">IF(AND($A182="",$B182="",$D182=""),"",IF(AND($B182&lt;&gt;"",COUNTIF('2. Core Log'!$A$5:$A$124,$B182)=0),"Core ID not in Core Log. ","")&amp;IF(AND($A182&lt;&gt;"",COUNTIF('1. Plot &amp; Site Log'!$A$5:$A$64,$A182)=0),"Plot ID not in Plot &amp; Site Log. ","")&amp;IF(AND($D182&lt;&gt;"",$E182&lt;&gt;"",$E182&lt;=$D182),"Bottom depth is not below top depth. ","")&amp;IF($H182="","Say which bulk-density basis the lab reported, or the coarse-fragment correction cannot be applied safely. ","")&amp;IF(AND($I182&lt;&gt;"",OR($I182&lt;QC_BD_MIN,$I182&gt;QC_BD_MAX)),"Bulk density outside "&amp;QC_BD_MIN&amp;"–"&amp;QC_BD_MAX&amp;" g/cm³. ","")&amp;IF(AND($L182&lt;&gt;"",$L182&gt;QC_CARBON_PCT_MAX),"Carbon above "&amp;QC_CARBON_PCT_MAX&amp;"% — check units; this may be organic matter rather than carbon. ","")&amp;IF(AND($J182&lt;&gt;"",$K182&lt;&gt;""),"Both LOI and measured carbon given — the measured value is used. ","")&amp;IF(AND($N182&lt;&gt;"",$N182=0),"Slice lies entirely below the reporting depth — it counts to the full-core stock only. ",""))</f>
        <v/>
      </c>
      <c r="R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 t="str">
        <f aca="false">IF(OR($D183="",$E183=""),"",$E183-$D183)</f>
        <v/>
      </c>
      <c r="G183" s="13"/>
      <c r="H183" s="13"/>
      <c r="I183" s="15"/>
      <c r="J183" s="15"/>
      <c r="K183" s="15"/>
      <c r="L183" s="14" t="str">
        <f aca="false">IF($K183&lt;&gt;"",$K183,IF($J183&lt;&gt;"",$J183*CARBON_FRACTION_OM,""))</f>
        <v/>
      </c>
      <c r="M183" s="14" t="n">
        <f aca="false">IF($H183="Fine earth / fine-earth volume",1-IF($G183="",0,$G183)/100,1)</f>
        <v>1</v>
      </c>
      <c r="N183" s="14" t="str">
        <f aca="false">IF(OR($D183="",$E183=""),"",MAX(0,MIN($E183,REPORTING_DEPTH_CM)-MIN($D183,REPORTING_DEPTH_CM)))</f>
        <v/>
      </c>
      <c r="O183" s="14" t="str">
        <f aca="false">IF(OR($I183="",$L183="",$N183=""),"",$I183*($L183/100)*$N183*$M183*10)</f>
        <v/>
      </c>
      <c r="P183" s="14" t="str">
        <f aca="false">IF(OR($I183="",$L183="",$F183=""),"",$I183*($L183/100)*$F183*$M183*10)</f>
        <v/>
      </c>
      <c r="Q183" s="14" t="str">
        <f aca="false">IF(AND($A183="",$B183="",$D183=""),"",IF(AND($B183&lt;&gt;"",COUNTIF('2. Core Log'!$A$5:$A$124,$B183)=0),"Core ID not in Core Log. ","")&amp;IF(AND($A183&lt;&gt;"",COUNTIF('1. Plot &amp; Site Log'!$A$5:$A$64,$A183)=0),"Plot ID not in Plot &amp; Site Log. ","")&amp;IF(AND($D183&lt;&gt;"",$E183&lt;&gt;"",$E183&lt;=$D183),"Bottom depth is not below top depth. ","")&amp;IF($H183="","Say which bulk-density basis the lab reported, or the coarse-fragment correction cannot be applied safely. ","")&amp;IF(AND($I183&lt;&gt;"",OR($I183&lt;QC_BD_MIN,$I183&gt;QC_BD_MAX)),"Bulk density outside "&amp;QC_BD_MIN&amp;"–"&amp;QC_BD_MAX&amp;" g/cm³. ","")&amp;IF(AND($L183&lt;&gt;"",$L183&gt;QC_CARBON_PCT_MAX),"Carbon above "&amp;QC_CARBON_PCT_MAX&amp;"% — check units; this may be organic matter rather than carbon. ","")&amp;IF(AND($J183&lt;&gt;"",$K183&lt;&gt;""),"Both LOI and measured carbon given — the measured value is used. ","")&amp;IF(AND($N183&lt;&gt;"",$N183=0),"Slice lies entirely below the reporting depth — it counts to the full-core stock only. ",""))</f>
        <v/>
      </c>
      <c r="R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 t="str">
        <f aca="false">IF(OR($D184="",$E184=""),"",$E184-$D184)</f>
        <v/>
      </c>
      <c r="G184" s="13"/>
      <c r="H184" s="13"/>
      <c r="I184" s="15"/>
      <c r="J184" s="15"/>
      <c r="K184" s="15"/>
      <c r="L184" s="14" t="str">
        <f aca="false">IF($K184&lt;&gt;"",$K184,IF($J184&lt;&gt;"",$J184*CARBON_FRACTION_OM,""))</f>
        <v/>
      </c>
      <c r="M184" s="14" t="n">
        <f aca="false">IF($H184="Fine earth / fine-earth volume",1-IF($G184="",0,$G184)/100,1)</f>
        <v>1</v>
      </c>
      <c r="N184" s="14" t="str">
        <f aca="false">IF(OR($D184="",$E184=""),"",MAX(0,MIN($E184,REPORTING_DEPTH_CM)-MIN($D184,REPORTING_DEPTH_CM)))</f>
        <v/>
      </c>
      <c r="O184" s="14" t="str">
        <f aca="false">IF(OR($I184="",$L184="",$N184=""),"",$I184*($L184/100)*$N184*$M184*10)</f>
        <v/>
      </c>
      <c r="P184" s="14" t="str">
        <f aca="false">IF(OR($I184="",$L184="",$F184=""),"",$I184*($L184/100)*$F184*$M184*10)</f>
        <v/>
      </c>
      <c r="Q184" s="14" t="str">
        <f aca="false">IF(AND($A184="",$B184="",$D184=""),"",IF(AND($B184&lt;&gt;"",COUNTIF('2. Core Log'!$A$5:$A$124,$B184)=0),"Core ID not in Core Log. ","")&amp;IF(AND($A184&lt;&gt;"",COUNTIF('1. Plot &amp; Site Log'!$A$5:$A$64,$A184)=0),"Plot ID not in Plot &amp; Site Log. ","")&amp;IF(AND($D184&lt;&gt;"",$E184&lt;&gt;"",$E184&lt;=$D184),"Bottom depth is not below top depth. ","")&amp;IF($H184="","Say which bulk-density basis the lab reported, or the coarse-fragment correction cannot be applied safely. ","")&amp;IF(AND($I184&lt;&gt;"",OR($I184&lt;QC_BD_MIN,$I184&gt;QC_BD_MAX)),"Bulk density outside "&amp;QC_BD_MIN&amp;"–"&amp;QC_BD_MAX&amp;" g/cm³. ","")&amp;IF(AND($L184&lt;&gt;"",$L184&gt;QC_CARBON_PCT_MAX),"Carbon above "&amp;QC_CARBON_PCT_MAX&amp;"% — check units; this may be organic matter rather than carbon. ","")&amp;IF(AND($J184&lt;&gt;"",$K184&lt;&gt;""),"Both LOI and measured carbon given — the measured value is used. ","")&amp;IF(AND($N184&lt;&gt;"",$N184=0),"Slice lies entirely below the reporting depth — it counts to the full-core stock only. ",""))</f>
        <v/>
      </c>
      <c r="R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 t="str">
        <f aca="false">IF(OR($D185="",$E185=""),"",$E185-$D185)</f>
        <v/>
      </c>
      <c r="G185" s="13"/>
      <c r="H185" s="13"/>
      <c r="I185" s="15"/>
      <c r="J185" s="15"/>
      <c r="K185" s="15"/>
      <c r="L185" s="14" t="str">
        <f aca="false">IF($K185&lt;&gt;"",$K185,IF($J185&lt;&gt;"",$J185*CARBON_FRACTION_OM,""))</f>
        <v/>
      </c>
      <c r="M185" s="14" t="n">
        <f aca="false">IF($H185="Fine earth / fine-earth volume",1-IF($G185="",0,$G185)/100,1)</f>
        <v>1</v>
      </c>
      <c r="N185" s="14" t="str">
        <f aca="false">IF(OR($D185="",$E185=""),"",MAX(0,MIN($E185,REPORTING_DEPTH_CM)-MIN($D185,REPORTING_DEPTH_CM)))</f>
        <v/>
      </c>
      <c r="O185" s="14" t="str">
        <f aca="false">IF(OR($I185="",$L185="",$N185=""),"",$I185*($L185/100)*$N185*$M185*10)</f>
        <v/>
      </c>
      <c r="P185" s="14" t="str">
        <f aca="false">IF(OR($I185="",$L185="",$F185=""),"",$I185*($L185/100)*$F185*$M185*10)</f>
        <v/>
      </c>
      <c r="Q185" s="14" t="str">
        <f aca="false">IF(AND($A185="",$B185="",$D185=""),"",IF(AND($B185&lt;&gt;"",COUNTIF('2. Core Log'!$A$5:$A$124,$B185)=0),"Core ID not in Core Log. ","")&amp;IF(AND($A185&lt;&gt;"",COUNTIF('1. Plot &amp; Site Log'!$A$5:$A$64,$A185)=0),"Plot ID not in Plot &amp; Site Log. ","")&amp;IF(AND($D185&lt;&gt;"",$E185&lt;&gt;"",$E185&lt;=$D185),"Bottom depth is not below top depth. ","")&amp;IF($H185="","Say which bulk-density basis the lab reported, or the coarse-fragment correction cannot be applied safely. ","")&amp;IF(AND($I185&lt;&gt;"",OR($I185&lt;QC_BD_MIN,$I185&gt;QC_BD_MAX)),"Bulk density outside "&amp;QC_BD_MIN&amp;"–"&amp;QC_BD_MAX&amp;" g/cm³. ","")&amp;IF(AND($L185&lt;&gt;"",$L185&gt;QC_CARBON_PCT_MAX),"Carbon above "&amp;QC_CARBON_PCT_MAX&amp;"% — check units; this may be organic matter rather than carbon. ","")&amp;IF(AND($J185&lt;&gt;"",$K185&lt;&gt;""),"Both LOI and measured carbon given — the measured value is used. ","")&amp;IF(AND($N185&lt;&gt;"",$N185=0),"Slice lies entirely below the reporting depth — it counts to the full-core stock only. ",""))</f>
        <v/>
      </c>
      <c r="R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 t="str">
        <f aca="false">IF(OR($D186="",$E186=""),"",$E186-$D186)</f>
        <v/>
      </c>
      <c r="G186" s="13"/>
      <c r="H186" s="13"/>
      <c r="I186" s="15"/>
      <c r="J186" s="15"/>
      <c r="K186" s="15"/>
      <c r="L186" s="14" t="str">
        <f aca="false">IF($K186&lt;&gt;"",$K186,IF($J186&lt;&gt;"",$J186*CARBON_FRACTION_OM,""))</f>
        <v/>
      </c>
      <c r="M186" s="14" t="n">
        <f aca="false">IF($H186="Fine earth / fine-earth volume",1-IF($G186="",0,$G186)/100,1)</f>
        <v>1</v>
      </c>
      <c r="N186" s="14" t="str">
        <f aca="false">IF(OR($D186="",$E186=""),"",MAX(0,MIN($E186,REPORTING_DEPTH_CM)-MIN($D186,REPORTING_DEPTH_CM)))</f>
        <v/>
      </c>
      <c r="O186" s="14" t="str">
        <f aca="false">IF(OR($I186="",$L186="",$N186=""),"",$I186*($L186/100)*$N186*$M186*10)</f>
        <v/>
      </c>
      <c r="P186" s="14" t="str">
        <f aca="false">IF(OR($I186="",$L186="",$F186=""),"",$I186*($L186/100)*$F186*$M186*10)</f>
        <v/>
      </c>
      <c r="Q186" s="14" t="str">
        <f aca="false">IF(AND($A186="",$B186="",$D186=""),"",IF(AND($B186&lt;&gt;"",COUNTIF('2. Core Log'!$A$5:$A$124,$B186)=0),"Core ID not in Core Log. ","")&amp;IF(AND($A186&lt;&gt;"",COUNTIF('1. Plot &amp; Site Log'!$A$5:$A$64,$A186)=0),"Plot ID not in Plot &amp; Site Log. ","")&amp;IF(AND($D186&lt;&gt;"",$E186&lt;&gt;"",$E186&lt;=$D186),"Bottom depth is not below top depth. ","")&amp;IF($H186="","Say which bulk-density basis the lab reported, or the coarse-fragment correction cannot be applied safely. ","")&amp;IF(AND($I186&lt;&gt;"",OR($I186&lt;QC_BD_MIN,$I186&gt;QC_BD_MAX)),"Bulk density outside "&amp;QC_BD_MIN&amp;"–"&amp;QC_BD_MAX&amp;" g/cm³. ","")&amp;IF(AND($L186&lt;&gt;"",$L186&gt;QC_CARBON_PCT_MAX),"Carbon above "&amp;QC_CARBON_PCT_MAX&amp;"% — check units; this may be organic matter rather than carbon. ","")&amp;IF(AND($J186&lt;&gt;"",$K186&lt;&gt;""),"Both LOI and measured carbon given — the measured value is used. ","")&amp;IF(AND($N186&lt;&gt;"",$N186=0),"Slice lies entirely below the reporting depth — it counts to the full-core stock only. ",""))</f>
        <v/>
      </c>
      <c r="R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 t="str">
        <f aca="false">IF(OR($D187="",$E187=""),"",$E187-$D187)</f>
        <v/>
      </c>
      <c r="G187" s="13"/>
      <c r="H187" s="13"/>
      <c r="I187" s="15"/>
      <c r="J187" s="15"/>
      <c r="K187" s="15"/>
      <c r="L187" s="14" t="str">
        <f aca="false">IF($K187&lt;&gt;"",$K187,IF($J187&lt;&gt;"",$J187*CARBON_FRACTION_OM,""))</f>
        <v/>
      </c>
      <c r="M187" s="14" t="n">
        <f aca="false">IF($H187="Fine earth / fine-earth volume",1-IF($G187="",0,$G187)/100,1)</f>
        <v>1</v>
      </c>
      <c r="N187" s="14" t="str">
        <f aca="false">IF(OR($D187="",$E187=""),"",MAX(0,MIN($E187,REPORTING_DEPTH_CM)-MIN($D187,REPORTING_DEPTH_CM)))</f>
        <v/>
      </c>
      <c r="O187" s="14" t="str">
        <f aca="false">IF(OR($I187="",$L187="",$N187=""),"",$I187*($L187/100)*$N187*$M187*10)</f>
        <v/>
      </c>
      <c r="P187" s="14" t="str">
        <f aca="false">IF(OR($I187="",$L187="",$F187=""),"",$I187*($L187/100)*$F187*$M187*10)</f>
        <v/>
      </c>
      <c r="Q187" s="14" t="str">
        <f aca="false">IF(AND($A187="",$B187="",$D187=""),"",IF(AND($B187&lt;&gt;"",COUNTIF('2. Core Log'!$A$5:$A$124,$B187)=0),"Core ID not in Core Log. ","")&amp;IF(AND($A187&lt;&gt;"",COUNTIF('1. Plot &amp; Site Log'!$A$5:$A$64,$A187)=0),"Plot ID not in Plot &amp; Site Log. ","")&amp;IF(AND($D187&lt;&gt;"",$E187&lt;&gt;"",$E187&lt;=$D187),"Bottom depth is not below top depth. ","")&amp;IF($H187="","Say which bulk-density basis the lab reported, or the coarse-fragment correction cannot be applied safely. ","")&amp;IF(AND($I187&lt;&gt;"",OR($I187&lt;QC_BD_MIN,$I187&gt;QC_BD_MAX)),"Bulk density outside "&amp;QC_BD_MIN&amp;"–"&amp;QC_BD_MAX&amp;" g/cm³. ","")&amp;IF(AND($L187&lt;&gt;"",$L187&gt;QC_CARBON_PCT_MAX),"Carbon above "&amp;QC_CARBON_PCT_MAX&amp;"% — check units; this may be organic matter rather than carbon. ","")&amp;IF(AND($J187&lt;&gt;"",$K187&lt;&gt;""),"Both LOI and measured carbon given — the measured value is used. ","")&amp;IF(AND($N187&lt;&gt;"",$N187=0),"Slice lies entirely below the reporting depth — it counts to the full-core stock only. ",""))</f>
        <v/>
      </c>
      <c r="R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 t="str">
        <f aca="false">IF(OR($D188="",$E188=""),"",$E188-$D188)</f>
        <v/>
      </c>
      <c r="G188" s="13"/>
      <c r="H188" s="13"/>
      <c r="I188" s="15"/>
      <c r="J188" s="15"/>
      <c r="K188" s="15"/>
      <c r="L188" s="14" t="str">
        <f aca="false">IF($K188&lt;&gt;"",$K188,IF($J188&lt;&gt;"",$J188*CARBON_FRACTION_OM,""))</f>
        <v/>
      </c>
      <c r="M188" s="14" t="n">
        <f aca="false">IF($H188="Fine earth / fine-earth volume",1-IF($G188="",0,$G188)/100,1)</f>
        <v>1</v>
      </c>
      <c r="N188" s="14" t="str">
        <f aca="false">IF(OR($D188="",$E188=""),"",MAX(0,MIN($E188,REPORTING_DEPTH_CM)-MIN($D188,REPORTING_DEPTH_CM)))</f>
        <v/>
      </c>
      <c r="O188" s="14" t="str">
        <f aca="false">IF(OR($I188="",$L188="",$N188=""),"",$I188*($L188/100)*$N188*$M188*10)</f>
        <v/>
      </c>
      <c r="P188" s="14" t="str">
        <f aca="false">IF(OR($I188="",$L188="",$F188=""),"",$I188*($L188/100)*$F188*$M188*10)</f>
        <v/>
      </c>
      <c r="Q188" s="14" t="str">
        <f aca="false">IF(AND($A188="",$B188="",$D188=""),"",IF(AND($B188&lt;&gt;"",COUNTIF('2. Core Log'!$A$5:$A$124,$B188)=0),"Core ID not in Core Log. ","")&amp;IF(AND($A188&lt;&gt;"",COUNTIF('1. Plot &amp; Site Log'!$A$5:$A$64,$A188)=0),"Plot ID not in Plot &amp; Site Log. ","")&amp;IF(AND($D188&lt;&gt;"",$E188&lt;&gt;"",$E188&lt;=$D188),"Bottom depth is not below top depth. ","")&amp;IF($H188="","Say which bulk-density basis the lab reported, or the coarse-fragment correction cannot be applied safely. ","")&amp;IF(AND($I188&lt;&gt;"",OR($I188&lt;QC_BD_MIN,$I188&gt;QC_BD_MAX)),"Bulk density outside "&amp;QC_BD_MIN&amp;"–"&amp;QC_BD_MAX&amp;" g/cm³. ","")&amp;IF(AND($L188&lt;&gt;"",$L188&gt;QC_CARBON_PCT_MAX),"Carbon above "&amp;QC_CARBON_PCT_MAX&amp;"% — check units; this may be organic matter rather than carbon. ","")&amp;IF(AND($J188&lt;&gt;"",$K188&lt;&gt;""),"Both LOI and measured carbon given — the measured value is used. ","")&amp;IF(AND($N188&lt;&gt;"",$N188=0),"Slice lies entirely below the reporting depth — it counts to the full-core stock only. ",""))</f>
        <v/>
      </c>
      <c r="R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 t="str">
        <f aca="false">IF(OR($D189="",$E189=""),"",$E189-$D189)</f>
        <v/>
      </c>
      <c r="G189" s="13"/>
      <c r="H189" s="13"/>
      <c r="I189" s="15"/>
      <c r="J189" s="15"/>
      <c r="K189" s="15"/>
      <c r="L189" s="14" t="str">
        <f aca="false">IF($K189&lt;&gt;"",$K189,IF($J189&lt;&gt;"",$J189*CARBON_FRACTION_OM,""))</f>
        <v/>
      </c>
      <c r="M189" s="14" t="n">
        <f aca="false">IF($H189="Fine earth / fine-earth volume",1-IF($G189="",0,$G189)/100,1)</f>
        <v>1</v>
      </c>
      <c r="N189" s="14" t="str">
        <f aca="false">IF(OR($D189="",$E189=""),"",MAX(0,MIN($E189,REPORTING_DEPTH_CM)-MIN($D189,REPORTING_DEPTH_CM)))</f>
        <v/>
      </c>
      <c r="O189" s="14" t="str">
        <f aca="false">IF(OR($I189="",$L189="",$N189=""),"",$I189*($L189/100)*$N189*$M189*10)</f>
        <v/>
      </c>
      <c r="P189" s="14" t="str">
        <f aca="false">IF(OR($I189="",$L189="",$F189=""),"",$I189*($L189/100)*$F189*$M189*10)</f>
        <v/>
      </c>
      <c r="Q189" s="14" t="str">
        <f aca="false">IF(AND($A189="",$B189="",$D189=""),"",IF(AND($B189&lt;&gt;"",COUNTIF('2. Core Log'!$A$5:$A$124,$B189)=0),"Core ID not in Core Log. ","")&amp;IF(AND($A189&lt;&gt;"",COUNTIF('1. Plot &amp; Site Log'!$A$5:$A$64,$A189)=0),"Plot ID not in Plot &amp; Site Log. ","")&amp;IF(AND($D189&lt;&gt;"",$E189&lt;&gt;"",$E189&lt;=$D189),"Bottom depth is not below top depth. ","")&amp;IF($H189="","Say which bulk-density basis the lab reported, or the coarse-fragment correction cannot be applied safely. ","")&amp;IF(AND($I189&lt;&gt;"",OR($I189&lt;QC_BD_MIN,$I189&gt;QC_BD_MAX)),"Bulk density outside "&amp;QC_BD_MIN&amp;"–"&amp;QC_BD_MAX&amp;" g/cm³. ","")&amp;IF(AND($L189&lt;&gt;"",$L189&gt;QC_CARBON_PCT_MAX),"Carbon above "&amp;QC_CARBON_PCT_MAX&amp;"% — check units; this may be organic matter rather than carbon. ","")&amp;IF(AND($J189&lt;&gt;"",$K189&lt;&gt;""),"Both LOI and measured carbon given — the measured value is used. ","")&amp;IF(AND($N189&lt;&gt;"",$N189=0),"Slice lies entirely below the reporting depth — it counts to the full-core stock only. ",""))</f>
        <v/>
      </c>
      <c r="R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 t="str">
        <f aca="false">IF(OR($D190="",$E190=""),"",$E190-$D190)</f>
        <v/>
      </c>
      <c r="G190" s="13"/>
      <c r="H190" s="13"/>
      <c r="I190" s="15"/>
      <c r="J190" s="15"/>
      <c r="K190" s="15"/>
      <c r="L190" s="14" t="str">
        <f aca="false">IF($K190&lt;&gt;"",$K190,IF($J190&lt;&gt;"",$J190*CARBON_FRACTION_OM,""))</f>
        <v/>
      </c>
      <c r="M190" s="14" t="n">
        <f aca="false">IF($H190="Fine earth / fine-earth volume",1-IF($G190="",0,$G190)/100,1)</f>
        <v>1</v>
      </c>
      <c r="N190" s="14" t="str">
        <f aca="false">IF(OR($D190="",$E190=""),"",MAX(0,MIN($E190,REPORTING_DEPTH_CM)-MIN($D190,REPORTING_DEPTH_CM)))</f>
        <v/>
      </c>
      <c r="O190" s="14" t="str">
        <f aca="false">IF(OR($I190="",$L190="",$N190=""),"",$I190*($L190/100)*$N190*$M190*10)</f>
        <v/>
      </c>
      <c r="P190" s="14" t="str">
        <f aca="false">IF(OR($I190="",$L190="",$F190=""),"",$I190*($L190/100)*$F190*$M190*10)</f>
        <v/>
      </c>
      <c r="Q190" s="14" t="str">
        <f aca="false">IF(AND($A190="",$B190="",$D190=""),"",IF(AND($B190&lt;&gt;"",COUNTIF('2. Core Log'!$A$5:$A$124,$B190)=0),"Core ID not in Core Log. ","")&amp;IF(AND($A190&lt;&gt;"",COUNTIF('1. Plot &amp; Site Log'!$A$5:$A$64,$A190)=0),"Plot ID not in Plot &amp; Site Log. ","")&amp;IF(AND($D190&lt;&gt;"",$E190&lt;&gt;"",$E190&lt;=$D190),"Bottom depth is not below top depth. ","")&amp;IF($H190="","Say which bulk-density basis the lab reported, or the coarse-fragment correction cannot be applied safely. ","")&amp;IF(AND($I190&lt;&gt;"",OR($I190&lt;QC_BD_MIN,$I190&gt;QC_BD_MAX)),"Bulk density outside "&amp;QC_BD_MIN&amp;"–"&amp;QC_BD_MAX&amp;" g/cm³. ","")&amp;IF(AND($L190&lt;&gt;"",$L190&gt;QC_CARBON_PCT_MAX),"Carbon above "&amp;QC_CARBON_PCT_MAX&amp;"% — check units; this may be organic matter rather than carbon. ","")&amp;IF(AND($J190&lt;&gt;"",$K190&lt;&gt;""),"Both LOI and measured carbon given — the measured value is used. ","")&amp;IF(AND($N190&lt;&gt;"",$N190=0),"Slice lies entirely below the reporting depth — it counts to the full-core stock only. ",""))</f>
        <v/>
      </c>
      <c r="R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 t="str">
        <f aca="false">IF(OR($D191="",$E191=""),"",$E191-$D191)</f>
        <v/>
      </c>
      <c r="G191" s="13"/>
      <c r="H191" s="13"/>
      <c r="I191" s="15"/>
      <c r="J191" s="15"/>
      <c r="K191" s="15"/>
      <c r="L191" s="14" t="str">
        <f aca="false">IF($K191&lt;&gt;"",$K191,IF($J191&lt;&gt;"",$J191*CARBON_FRACTION_OM,""))</f>
        <v/>
      </c>
      <c r="M191" s="14" t="n">
        <f aca="false">IF($H191="Fine earth / fine-earth volume",1-IF($G191="",0,$G191)/100,1)</f>
        <v>1</v>
      </c>
      <c r="N191" s="14" t="str">
        <f aca="false">IF(OR($D191="",$E191=""),"",MAX(0,MIN($E191,REPORTING_DEPTH_CM)-MIN($D191,REPORTING_DEPTH_CM)))</f>
        <v/>
      </c>
      <c r="O191" s="14" t="str">
        <f aca="false">IF(OR($I191="",$L191="",$N191=""),"",$I191*($L191/100)*$N191*$M191*10)</f>
        <v/>
      </c>
      <c r="P191" s="14" t="str">
        <f aca="false">IF(OR($I191="",$L191="",$F191=""),"",$I191*($L191/100)*$F191*$M191*10)</f>
        <v/>
      </c>
      <c r="Q191" s="14" t="str">
        <f aca="false">IF(AND($A191="",$B191="",$D191=""),"",IF(AND($B191&lt;&gt;"",COUNTIF('2. Core Log'!$A$5:$A$124,$B191)=0),"Core ID not in Core Log. ","")&amp;IF(AND($A191&lt;&gt;"",COUNTIF('1. Plot &amp; Site Log'!$A$5:$A$64,$A191)=0),"Plot ID not in Plot &amp; Site Log. ","")&amp;IF(AND($D191&lt;&gt;"",$E191&lt;&gt;"",$E191&lt;=$D191),"Bottom depth is not below top depth. ","")&amp;IF($H191="","Say which bulk-density basis the lab reported, or the coarse-fragment correction cannot be applied safely. ","")&amp;IF(AND($I191&lt;&gt;"",OR($I191&lt;QC_BD_MIN,$I191&gt;QC_BD_MAX)),"Bulk density outside "&amp;QC_BD_MIN&amp;"–"&amp;QC_BD_MAX&amp;" g/cm³. ","")&amp;IF(AND($L191&lt;&gt;"",$L191&gt;QC_CARBON_PCT_MAX),"Carbon above "&amp;QC_CARBON_PCT_MAX&amp;"% — check units; this may be organic matter rather than carbon. ","")&amp;IF(AND($J191&lt;&gt;"",$K191&lt;&gt;""),"Both LOI and measured carbon given — the measured value is used. ","")&amp;IF(AND($N191&lt;&gt;"",$N191=0),"Slice lies entirely below the reporting depth — it counts to the full-core stock only. ",""))</f>
        <v/>
      </c>
      <c r="R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 t="str">
        <f aca="false">IF(OR($D192="",$E192=""),"",$E192-$D192)</f>
        <v/>
      </c>
      <c r="G192" s="13"/>
      <c r="H192" s="13"/>
      <c r="I192" s="15"/>
      <c r="J192" s="15"/>
      <c r="K192" s="15"/>
      <c r="L192" s="14" t="str">
        <f aca="false">IF($K192&lt;&gt;"",$K192,IF($J192&lt;&gt;"",$J192*CARBON_FRACTION_OM,""))</f>
        <v/>
      </c>
      <c r="M192" s="14" t="n">
        <f aca="false">IF($H192="Fine earth / fine-earth volume",1-IF($G192="",0,$G192)/100,1)</f>
        <v>1</v>
      </c>
      <c r="N192" s="14" t="str">
        <f aca="false">IF(OR($D192="",$E192=""),"",MAX(0,MIN($E192,REPORTING_DEPTH_CM)-MIN($D192,REPORTING_DEPTH_CM)))</f>
        <v/>
      </c>
      <c r="O192" s="14" t="str">
        <f aca="false">IF(OR($I192="",$L192="",$N192=""),"",$I192*($L192/100)*$N192*$M192*10)</f>
        <v/>
      </c>
      <c r="P192" s="14" t="str">
        <f aca="false">IF(OR($I192="",$L192="",$F192=""),"",$I192*($L192/100)*$F192*$M192*10)</f>
        <v/>
      </c>
      <c r="Q192" s="14" t="str">
        <f aca="false">IF(AND($A192="",$B192="",$D192=""),"",IF(AND($B192&lt;&gt;"",COUNTIF('2. Core Log'!$A$5:$A$124,$B192)=0),"Core ID not in Core Log. ","")&amp;IF(AND($A192&lt;&gt;"",COUNTIF('1. Plot &amp; Site Log'!$A$5:$A$64,$A192)=0),"Plot ID not in Plot &amp; Site Log. ","")&amp;IF(AND($D192&lt;&gt;"",$E192&lt;&gt;"",$E192&lt;=$D192),"Bottom depth is not below top depth. ","")&amp;IF($H192="","Say which bulk-density basis the lab reported, or the coarse-fragment correction cannot be applied safely. ","")&amp;IF(AND($I192&lt;&gt;"",OR($I192&lt;QC_BD_MIN,$I192&gt;QC_BD_MAX)),"Bulk density outside "&amp;QC_BD_MIN&amp;"–"&amp;QC_BD_MAX&amp;" g/cm³. ","")&amp;IF(AND($L192&lt;&gt;"",$L192&gt;QC_CARBON_PCT_MAX),"Carbon above "&amp;QC_CARBON_PCT_MAX&amp;"% — check units; this may be organic matter rather than carbon. ","")&amp;IF(AND($J192&lt;&gt;"",$K192&lt;&gt;""),"Both LOI and measured carbon given — the measured value is used. ","")&amp;IF(AND($N192&lt;&gt;"",$N192=0),"Slice lies entirely below the reporting depth — it counts to the full-core stock only. ",""))</f>
        <v/>
      </c>
      <c r="R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 t="str">
        <f aca="false">IF(OR($D193="",$E193=""),"",$E193-$D193)</f>
        <v/>
      </c>
      <c r="G193" s="13"/>
      <c r="H193" s="13"/>
      <c r="I193" s="15"/>
      <c r="J193" s="15"/>
      <c r="K193" s="15"/>
      <c r="L193" s="14" t="str">
        <f aca="false">IF($K193&lt;&gt;"",$K193,IF($J193&lt;&gt;"",$J193*CARBON_FRACTION_OM,""))</f>
        <v/>
      </c>
      <c r="M193" s="14" t="n">
        <f aca="false">IF($H193="Fine earth / fine-earth volume",1-IF($G193="",0,$G193)/100,1)</f>
        <v>1</v>
      </c>
      <c r="N193" s="14" t="str">
        <f aca="false">IF(OR($D193="",$E193=""),"",MAX(0,MIN($E193,REPORTING_DEPTH_CM)-MIN($D193,REPORTING_DEPTH_CM)))</f>
        <v/>
      </c>
      <c r="O193" s="14" t="str">
        <f aca="false">IF(OR($I193="",$L193="",$N193=""),"",$I193*($L193/100)*$N193*$M193*10)</f>
        <v/>
      </c>
      <c r="P193" s="14" t="str">
        <f aca="false">IF(OR($I193="",$L193="",$F193=""),"",$I193*($L193/100)*$F193*$M193*10)</f>
        <v/>
      </c>
      <c r="Q193" s="14" t="str">
        <f aca="false">IF(AND($A193="",$B193="",$D193=""),"",IF(AND($B193&lt;&gt;"",COUNTIF('2. Core Log'!$A$5:$A$124,$B193)=0),"Core ID not in Core Log. ","")&amp;IF(AND($A193&lt;&gt;"",COUNTIF('1. Plot &amp; Site Log'!$A$5:$A$64,$A193)=0),"Plot ID not in Plot &amp; Site Log. ","")&amp;IF(AND($D193&lt;&gt;"",$E193&lt;&gt;"",$E193&lt;=$D193),"Bottom depth is not below top depth. ","")&amp;IF($H193="","Say which bulk-density basis the lab reported, or the coarse-fragment correction cannot be applied safely. ","")&amp;IF(AND($I193&lt;&gt;"",OR($I193&lt;QC_BD_MIN,$I193&gt;QC_BD_MAX)),"Bulk density outside "&amp;QC_BD_MIN&amp;"–"&amp;QC_BD_MAX&amp;" g/cm³. ","")&amp;IF(AND($L193&lt;&gt;"",$L193&gt;QC_CARBON_PCT_MAX),"Carbon above "&amp;QC_CARBON_PCT_MAX&amp;"% — check units; this may be organic matter rather than carbon. ","")&amp;IF(AND($J193&lt;&gt;"",$K193&lt;&gt;""),"Both LOI and measured carbon given — the measured value is used. ","")&amp;IF(AND($N193&lt;&gt;"",$N193=0),"Slice lies entirely below the reporting depth — it counts to the full-core stock only. ",""))</f>
        <v/>
      </c>
      <c r="R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 t="str">
        <f aca="false">IF(OR($D194="",$E194=""),"",$E194-$D194)</f>
        <v/>
      </c>
      <c r="G194" s="13"/>
      <c r="H194" s="13"/>
      <c r="I194" s="15"/>
      <c r="J194" s="15"/>
      <c r="K194" s="15"/>
      <c r="L194" s="14" t="str">
        <f aca="false">IF($K194&lt;&gt;"",$K194,IF($J194&lt;&gt;"",$J194*CARBON_FRACTION_OM,""))</f>
        <v/>
      </c>
      <c r="M194" s="14" t="n">
        <f aca="false">IF($H194="Fine earth / fine-earth volume",1-IF($G194="",0,$G194)/100,1)</f>
        <v>1</v>
      </c>
      <c r="N194" s="14" t="str">
        <f aca="false">IF(OR($D194="",$E194=""),"",MAX(0,MIN($E194,REPORTING_DEPTH_CM)-MIN($D194,REPORTING_DEPTH_CM)))</f>
        <v/>
      </c>
      <c r="O194" s="14" t="str">
        <f aca="false">IF(OR($I194="",$L194="",$N194=""),"",$I194*($L194/100)*$N194*$M194*10)</f>
        <v/>
      </c>
      <c r="P194" s="14" t="str">
        <f aca="false">IF(OR($I194="",$L194="",$F194=""),"",$I194*($L194/100)*$F194*$M194*10)</f>
        <v/>
      </c>
      <c r="Q194" s="14" t="str">
        <f aca="false">IF(AND($A194="",$B194="",$D194=""),"",IF(AND($B194&lt;&gt;"",COUNTIF('2. Core Log'!$A$5:$A$124,$B194)=0),"Core ID not in Core Log. ","")&amp;IF(AND($A194&lt;&gt;"",COUNTIF('1. Plot &amp; Site Log'!$A$5:$A$64,$A194)=0),"Plot ID not in Plot &amp; Site Log. ","")&amp;IF(AND($D194&lt;&gt;"",$E194&lt;&gt;"",$E194&lt;=$D194),"Bottom depth is not below top depth. ","")&amp;IF($H194="","Say which bulk-density basis the lab reported, or the coarse-fragment correction cannot be applied safely. ","")&amp;IF(AND($I194&lt;&gt;"",OR($I194&lt;QC_BD_MIN,$I194&gt;QC_BD_MAX)),"Bulk density outside "&amp;QC_BD_MIN&amp;"–"&amp;QC_BD_MAX&amp;" g/cm³. ","")&amp;IF(AND($L194&lt;&gt;"",$L194&gt;QC_CARBON_PCT_MAX),"Carbon above "&amp;QC_CARBON_PCT_MAX&amp;"% — check units; this may be organic matter rather than carbon. ","")&amp;IF(AND($J194&lt;&gt;"",$K194&lt;&gt;""),"Both LOI and measured carbon given — the measured value is used. ","")&amp;IF(AND($N194&lt;&gt;"",$N194=0),"Slice lies entirely below the reporting depth — it counts to the full-core stock only. ",""))</f>
        <v/>
      </c>
      <c r="R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 t="str">
        <f aca="false">IF(OR($D195="",$E195=""),"",$E195-$D195)</f>
        <v/>
      </c>
      <c r="G195" s="13"/>
      <c r="H195" s="13"/>
      <c r="I195" s="15"/>
      <c r="J195" s="15"/>
      <c r="K195" s="15"/>
      <c r="L195" s="14" t="str">
        <f aca="false">IF($K195&lt;&gt;"",$K195,IF($J195&lt;&gt;"",$J195*CARBON_FRACTION_OM,""))</f>
        <v/>
      </c>
      <c r="M195" s="14" t="n">
        <f aca="false">IF($H195="Fine earth / fine-earth volume",1-IF($G195="",0,$G195)/100,1)</f>
        <v>1</v>
      </c>
      <c r="N195" s="14" t="str">
        <f aca="false">IF(OR($D195="",$E195=""),"",MAX(0,MIN($E195,REPORTING_DEPTH_CM)-MIN($D195,REPORTING_DEPTH_CM)))</f>
        <v/>
      </c>
      <c r="O195" s="14" t="str">
        <f aca="false">IF(OR($I195="",$L195="",$N195=""),"",$I195*($L195/100)*$N195*$M195*10)</f>
        <v/>
      </c>
      <c r="P195" s="14" t="str">
        <f aca="false">IF(OR($I195="",$L195="",$F195=""),"",$I195*($L195/100)*$F195*$M195*10)</f>
        <v/>
      </c>
      <c r="Q195" s="14" t="str">
        <f aca="false">IF(AND($A195="",$B195="",$D195=""),"",IF(AND($B195&lt;&gt;"",COUNTIF('2. Core Log'!$A$5:$A$124,$B195)=0),"Core ID not in Core Log. ","")&amp;IF(AND($A195&lt;&gt;"",COUNTIF('1. Plot &amp; Site Log'!$A$5:$A$64,$A195)=0),"Plot ID not in Plot &amp; Site Log. ","")&amp;IF(AND($D195&lt;&gt;"",$E195&lt;&gt;"",$E195&lt;=$D195),"Bottom depth is not below top depth. ","")&amp;IF($H195="","Say which bulk-density basis the lab reported, or the coarse-fragment correction cannot be applied safely. ","")&amp;IF(AND($I195&lt;&gt;"",OR($I195&lt;QC_BD_MIN,$I195&gt;QC_BD_MAX)),"Bulk density outside "&amp;QC_BD_MIN&amp;"–"&amp;QC_BD_MAX&amp;" g/cm³. ","")&amp;IF(AND($L195&lt;&gt;"",$L195&gt;QC_CARBON_PCT_MAX),"Carbon above "&amp;QC_CARBON_PCT_MAX&amp;"% — check units; this may be organic matter rather than carbon. ","")&amp;IF(AND($J195&lt;&gt;"",$K195&lt;&gt;""),"Both LOI and measured carbon given — the measured value is used. ","")&amp;IF(AND($N195&lt;&gt;"",$N195=0),"Slice lies entirely below the reporting depth — it counts to the full-core stock only. ",""))</f>
        <v/>
      </c>
      <c r="R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 t="str">
        <f aca="false">IF(OR($D196="",$E196=""),"",$E196-$D196)</f>
        <v/>
      </c>
      <c r="G196" s="13"/>
      <c r="H196" s="13"/>
      <c r="I196" s="15"/>
      <c r="J196" s="15"/>
      <c r="K196" s="15"/>
      <c r="L196" s="14" t="str">
        <f aca="false">IF($K196&lt;&gt;"",$K196,IF($J196&lt;&gt;"",$J196*CARBON_FRACTION_OM,""))</f>
        <v/>
      </c>
      <c r="M196" s="14" t="n">
        <f aca="false">IF($H196="Fine earth / fine-earth volume",1-IF($G196="",0,$G196)/100,1)</f>
        <v>1</v>
      </c>
      <c r="N196" s="14" t="str">
        <f aca="false">IF(OR($D196="",$E196=""),"",MAX(0,MIN($E196,REPORTING_DEPTH_CM)-MIN($D196,REPORTING_DEPTH_CM)))</f>
        <v/>
      </c>
      <c r="O196" s="14" t="str">
        <f aca="false">IF(OR($I196="",$L196="",$N196=""),"",$I196*($L196/100)*$N196*$M196*10)</f>
        <v/>
      </c>
      <c r="P196" s="14" t="str">
        <f aca="false">IF(OR($I196="",$L196="",$F196=""),"",$I196*($L196/100)*$F196*$M196*10)</f>
        <v/>
      </c>
      <c r="Q196" s="14" t="str">
        <f aca="false">IF(AND($A196="",$B196="",$D196=""),"",IF(AND($B196&lt;&gt;"",COUNTIF('2. Core Log'!$A$5:$A$124,$B196)=0),"Core ID not in Core Log. ","")&amp;IF(AND($A196&lt;&gt;"",COUNTIF('1. Plot &amp; Site Log'!$A$5:$A$64,$A196)=0),"Plot ID not in Plot &amp; Site Log. ","")&amp;IF(AND($D196&lt;&gt;"",$E196&lt;&gt;"",$E196&lt;=$D196),"Bottom depth is not below top depth. ","")&amp;IF($H196="","Say which bulk-density basis the lab reported, or the coarse-fragment correction cannot be applied safely. ","")&amp;IF(AND($I196&lt;&gt;"",OR($I196&lt;QC_BD_MIN,$I196&gt;QC_BD_MAX)),"Bulk density outside "&amp;QC_BD_MIN&amp;"–"&amp;QC_BD_MAX&amp;" g/cm³. ","")&amp;IF(AND($L196&lt;&gt;"",$L196&gt;QC_CARBON_PCT_MAX),"Carbon above "&amp;QC_CARBON_PCT_MAX&amp;"% — check units; this may be organic matter rather than carbon. ","")&amp;IF(AND($J196&lt;&gt;"",$K196&lt;&gt;""),"Both LOI and measured carbon given — the measured value is used. ","")&amp;IF(AND($N196&lt;&gt;"",$N196=0),"Slice lies entirely below the reporting depth — it counts to the full-core stock only. ",""))</f>
        <v/>
      </c>
      <c r="R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 t="str">
        <f aca="false">IF(OR($D197="",$E197=""),"",$E197-$D197)</f>
        <v/>
      </c>
      <c r="G197" s="13"/>
      <c r="H197" s="13"/>
      <c r="I197" s="15"/>
      <c r="J197" s="15"/>
      <c r="K197" s="15"/>
      <c r="L197" s="14" t="str">
        <f aca="false">IF($K197&lt;&gt;"",$K197,IF($J197&lt;&gt;"",$J197*CARBON_FRACTION_OM,""))</f>
        <v/>
      </c>
      <c r="M197" s="14" t="n">
        <f aca="false">IF($H197="Fine earth / fine-earth volume",1-IF($G197="",0,$G197)/100,1)</f>
        <v>1</v>
      </c>
      <c r="N197" s="14" t="str">
        <f aca="false">IF(OR($D197="",$E197=""),"",MAX(0,MIN($E197,REPORTING_DEPTH_CM)-MIN($D197,REPORTING_DEPTH_CM)))</f>
        <v/>
      </c>
      <c r="O197" s="14" t="str">
        <f aca="false">IF(OR($I197="",$L197="",$N197=""),"",$I197*($L197/100)*$N197*$M197*10)</f>
        <v/>
      </c>
      <c r="P197" s="14" t="str">
        <f aca="false">IF(OR($I197="",$L197="",$F197=""),"",$I197*($L197/100)*$F197*$M197*10)</f>
        <v/>
      </c>
      <c r="Q197" s="14" t="str">
        <f aca="false">IF(AND($A197="",$B197="",$D197=""),"",IF(AND($B197&lt;&gt;"",COUNTIF('2. Core Log'!$A$5:$A$124,$B197)=0),"Core ID not in Core Log. ","")&amp;IF(AND($A197&lt;&gt;"",COUNTIF('1. Plot &amp; Site Log'!$A$5:$A$64,$A197)=0),"Plot ID not in Plot &amp; Site Log. ","")&amp;IF(AND($D197&lt;&gt;"",$E197&lt;&gt;"",$E197&lt;=$D197),"Bottom depth is not below top depth. ","")&amp;IF($H197="","Say which bulk-density basis the lab reported, or the coarse-fragment correction cannot be applied safely. ","")&amp;IF(AND($I197&lt;&gt;"",OR($I197&lt;QC_BD_MIN,$I197&gt;QC_BD_MAX)),"Bulk density outside "&amp;QC_BD_MIN&amp;"–"&amp;QC_BD_MAX&amp;" g/cm³. ","")&amp;IF(AND($L197&lt;&gt;"",$L197&gt;QC_CARBON_PCT_MAX),"Carbon above "&amp;QC_CARBON_PCT_MAX&amp;"% — check units; this may be organic matter rather than carbon. ","")&amp;IF(AND($J197&lt;&gt;"",$K197&lt;&gt;""),"Both LOI and measured carbon given — the measured value is used. ","")&amp;IF(AND($N197&lt;&gt;"",$N197=0),"Slice lies entirely below the reporting depth — it counts to the full-core stock only. ",""))</f>
        <v/>
      </c>
      <c r="R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 t="str">
        <f aca="false">IF(OR($D198="",$E198=""),"",$E198-$D198)</f>
        <v/>
      </c>
      <c r="G198" s="13"/>
      <c r="H198" s="13"/>
      <c r="I198" s="15"/>
      <c r="J198" s="15"/>
      <c r="K198" s="15"/>
      <c r="L198" s="14" t="str">
        <f aca="false">IF($K198&lt;&gt;"",$K198,IF($J198&lt;&gt;"",$J198*CARBON_FRACTION_OM,""))</f>
        <v/>
      </c>
      <c r="M198" s="14" t="n">
        <f aca="false">IF($H198="Fine earth / fine-earth volume",1-IF($G198="",0,$G198)/100,1)</f>
        <v>1</v>
      </c>
      <c r="N198" s="14" t="str">
        <f aca="false">IF(OR($D198="",$E198=""),"",MAX(0,MIN($E198,REPORTING_DEPTH_CM)-MIN($D198,REPORTING_DEPTH_CM)))</f>
        <v/>
      </c>
      <c r="O198" s="14" t="str">
        <f aca="false">IF(OR($I198="",$L198="",$N198=""),"",$I198*($L198/100)*$N198*$M198*10)</f>
        <v/>
      </c>
      <c r="P198" s="14" t="str">
        <f aca="false">IF(OR($I198="",$L198="",$F198=""),"",$I198*($L198/100)*$F198*$M198*10)</f>
        <v/>
      </c>
      <c r="Q198" s="14" t="str">
        <f aca="false">IF(AND($A198="",$B198="",$D198=""),"",IF(AND($B198&lt;&gt;"",COUNTIF('2. Core Log'!$A$5:$A$124,$B198)=0),"Core ID not in Core Log. ","")&amp;IF(AND($A198&lt;&gt;"",COUNTIF('1. Plot &amp; Site Log'!$A$5:$A$64,$A198)=0),"Plot ID not in Plot &amp; Site Log. ","")&amp;IF(AND($D198&lt;&gt;"",$E198&lt;&gt;"",$E198&lt;=$D198),"Bottom depth is not below top depth. ","")&amp;IF($H198="","Say which bulk-density basis the lab reported, or the coarse-fragment correction cannot be applied safely. ","")&amp;IF(AND($I198&lt;&gt;"",OR($I198&lt;QC_BD_MIN,$I198&gt;QC_BD_MAX)),"Bulk density outside "&amp;QC_BD_MIN&amp;"–"&amp;QC_BD_MAX&amp;" g/cm³. ","")&amp;IF(AND($L198&lt;&gt;"",$L198&gt;QC_CARBON_PCT_MAX),"Carbon above "&amp;QC_CARBON_PCT_MAX&amp;"% — check units; this may be organic matter rather than carbon. ","")&amp;IF(AND($J198&lt;&gt;"",$K198&lt;&gt;""),"Both LOI and measured carbon given — the measured value is used. ","")&amp;IF(AND($N198&lt;&gt;"",$N198=0),"Slice lies entirely below the reporting depth — it counts to the full-core stock only. ",""))</f>
        <v/>
      </c>
      <c r="R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 t="str">
        <f aca="false">IF(OR($D199="",$E199=""),"",$E199-$D199)</f>
        <v/>
      </c>
      <c r="G199" s="13"/>
      <c r="H199" s="13"/>
      <c r="I199" s="15"/>
      <c r="J199" s="15"/>
      <c r="K199" s="15"/>
      <c r="L199" s="14" t="str">
        <f aca="false">IF($K199&lt;&gt;"",$K199,IF($J199&lt;&gt;"",$J199*CARBON_FRACTION_OM,""))</f>
        <v/>
      </c>
      <c r="M199" s="14" t="n">
        <f aca="false">IF($H199="Fine earth / fine-earth volume",1-IF($G199="",0,$G199)/100,1)</f>
        <v>1</v>
      </c>
      <c r="N199" s="14" t="str">
        <f aca="false">IF(OR($D199="",$E199=""),"",MAX(0,MIN($E199,REPORTING_DEPTH_CM)-MIN($D199,REPORTING_DEPTH_CM)))</f>
        <v/>
      </c>
      <c r="O199" s="14" t="str">
        <f aca="false">IF(OR($I199="",$L199="",$N199=""),"",$I199*($L199/100)*$N199*$M199*10)</f>
        <v/>
      </c>
      <c r="P199" s="14" t="str">
        <f aca="false">IF(OR($I199="",$L199="",$F199=""),"",$I199*($L199/100)*$F199*$M199*10)</f>
        <v/>
      </c>
      <c r="Q199" s="14" t="str">
        <f aca="false">IF(AND($A199="",$B199="",$D199=""),"",IF(AND($B199&lt;&gt;"",COUNTIF('2. Core Log'!$A$5:$A$124,$B199)=0),"Core ID not in Core Log. ","")&amp;IF(AND($A199&lt;&gt;"",COUNTIF('1. Plot &amp; Site Log'!$A$5:$A$64,$A199)=0),"Plot ID not in Plot &amp; Site Log. ","")&amp;IF(AND($D199&lt;&gt;"",$E199&lt;&gt;"",$E199&lt;=$D199),"Bottom depth is not below top depth. ","")&amp;IF($H199="","Say which bulk-density basis the lab reported, or the coarse-fragment correction cannot be applied safely. ","")&amp;IF(AND($I199&lt;&gt;"",OR($I199&lt;QC_BD_MIN,$I199&gt;QC_BD_MAX)),"Bulk density outside "&amp;QC_BD_MIN&amp;"–"&amp;QC_BD_MAX&amp;" g/cm³. ","")&amp;IF(AND($L199&lt;&gt;"",$L199&gt;QC_CARBON_PCT_MAX),"Carbon above "&amp;QC_CARBON_PCT_MAX&amp;"% — check units; this may be organic matter rather than carbon. ","")&amp;IF(AND($J199&lt;&gt;"",$K199&lt;&gt;""),"Both LOI and measured carbon given — the measured value is used. ","")&amp;IF(AND($N199&lt;&gt;"",$N199=0),"Slice lies entirely below the reporting depth — it counts to the full-core stock only. ",""))</f>
        <v/>
      </c>
      <c r="R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 t="str">
        <f aca="false">IF(OR($D200="",$E200=""),"",$E200-$D200)</f>
        <v/>
      </c>
      <c r="G200" s="13"/>
      <c r="H200" s="13"/>
      <c r="I200" s="15"/>
      <c r="J200" s="15"/>
      <c r="K200" s="15"/>
      <c r="L200" s="14" t="str">
        <f aca="false">IF($K200&lt;&gt;"",$K200,IF($J200&lt;&gt;"",$J200*CARBON_FRACTION_OM,""))</f>
        <v/>
      </c>
      <c r="M200" s="14" t="n">
        <f aca="false">IF($H200="Fine earth / fine-earth volume",1-IF($G200="",0,$G200)/100,1)</f>
        <v>1</v>
      </c>
      <c r="N200" s="14" t="str">
        <f aca="false">IF(OR($D200="",$E200=""),"",MAX(0,MIN($E200,REPORTING_DEPTH_CM)-MIN($D200,REPORTING_DEPTH_CM)))</f>
        <v/>
      </c>
      <c r="O200" s="14" t="str">
        <f aca="false">IF(OR($I200="",$L200="",$N200=""),"",$I200*($L200/100)*$N200*$M200*10)</f>
        <v/>
      </c>
      <c r="P200" s="14" t="str">
        <f aca="false">IF(OR($I200="",$L200="",$F200=""),"",$I200*($L200/100)*$F200*$M200*10)</f>
        <v/>
      </c>
      <c r="Q200" s="14" t="str">
        <f aca="false">IF(AND($A200="",$B200="",$D200=""),"",IF(AND($B200&lt;&gt;"",COUNTIF('2. Core Log'!$A$5:$A$124,$B200)=0),"Core ID not in Core Log. ","")&amp;IF(AND($A200&lt;&gt;"",COUNTIF('1. Plot &amp; Site Log'!$A$5:$A$64,$A200)=0),"Plot ID not in Plot &amp; Site Log. ","")&amp;IF(AND($D200&lt;&gt;"",$E200&lt;&gt;"",$E200&lt;=$D200),"Bottom depth is not below top depth. ","")&amp;IF($H200="","Say which bulk-density basis the lab reported, or the coarse-fragment correction cannot be applied safely. ","")&amp;IF(AND($I200&lt;&gt;"",OR($I200&lt;QC_BD_MIN,$I200&gt;QC_BD_MAX)),"Bulk density outside "&amp;QC_BD_MIN&amp;"–"&amp;QC_BD_MAX&amp;" g/cm³. ","")&amp;IF(AND($L200&lt;&gt;"",$L200&gt;QC_CARBON_PCT_MAX),"Carbon above "&amp;QC_CARBON_PCT_MAX&amp;"% — check units; this may be organic matter rather than carbon. ","")&amp;IF(AND($J200&lt;&gt;"",$K200&lt;&gt;""),"Both LOI and measured carbon given — the measured value is used. ","")&amp;IF(AND($N200&lt;&gt;"",$N200=0),"Slice lies entirely below the reporting depth — it counts to the full-core stock only. ",""))</f>
        <v/>
      </c>
      <c r="R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 t="str">
        <f aca="false">IF(OR($D201="",$E201=""),"",$E201-$D201)</f>
        <v/>
      </c>
      <c r="G201" s="13"/>
      <c r="H201" s="13"/>
      <c r="I201" s="15"/>
      <c r="J201" s="15"/>
      <c r="K201" s="15"/>
      <c r="L201" s="14" t="str">
        <f aca="false">IF($K201&lt;&gt;"",$K201,IF($J201&lt;&gt;"",$J201*CARBON_FRACTION_OM,""))</f>
        <v/>
      </c>
      <c r="M201" s="14" t="n">
        <f aca="false">IF($H201="Fine earth / fine-earth volume",1-IF($G201="",0,$G201)/100,1)</f>
        <v>1</v>
      </c>
      <c r="N201" s="14" t="str">
        <f aca="false">IF(OR($D201="",$E201=""),"",MAX(0,MIN($E201,REPORTING_DEPTH_CM)-MIN($D201,REPORTING_DEPTH_CM)))</f>
        <v/>
      </c>
      <c r="O201" s="14" t="str">
        <f aca="false">IF(OR($I201="",$L201="",$N201=""),"",$I201*($L201/100)*$N201*$M201*10)</f>
        <v/>
      </c>
      <c r="P201" s="14" t="str">
        <f aca="false">IF(OR($I201="",$L201="",$F201=""),"",$I201*($L201/100)*$F201*$M201*10)</f>
        <v/>
      </c>
      <c r="Q201" s="14" t="str">
        <f aca="false">IF(AND($A201="",$B201="",$D201=""),"",IF(AND($B201&lt;&gt;"",COUNTIF('2. Core Log'!$A$5:$A$124,$B201)=0),"Core ID not in Core Log. ","")&amp;IF(AND($A201&lt;&gt;"",COUNTIF('1. Plot &amp; Site Log'!$A$5:$A$64,$A201)=0),"Plot ID not in Plot &amp; Site Log. ","")&amp;IF(AND($D201&lt;&gt;"",$E201&lt;&gt;"",$E201&lt;=$D201),"Bottom depth is not below top depth. ","")&amp;IF($H201="","Say which bulk-density basis the lab reported, or the coarse-fragment correction cannot be applied safely. ","")&amp;IF(AND($I201&lt;&gt;"",OR($I201&lt;QC_BD_MIN,$I201&gt;QC_BD_MAX)),"Bulk density outside "&amp;QC_BD_MIN&amp;"–"&amp;QC_BD_MAX&amp;" g/cm³. ","")&amp;IF(AND($L201&lt;&gt;"",$L201&gt;QC_CARBON_PCT_MAX),"Carbon above "&amp;QC_CARBON_PCT_MAX&amp;"% — check units; this may be organic matter rather than carbon. ","")&amp;IF(AND($J201&lt;&gt;"",$K201&lt;&gt;""),"Both LOI and measured carbon given — the measured value is used. ","")&amp;IF(AND($N201&lt;&gt;"",$N201=0),"Slice lies entirely below the reporting depth — it counts to the full-core stock only. ",""))</f>
        <v/>
      </c>
      <c r="R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 t="str">
        <f aca="false">IF(OR($D202="",$E202=""),"",$E202-$D202)</f>
        <v/>
      </c>
      <c r="G202" s="13"/>
      <c r="H202" s="13"/>
      <c r="I202" s="15"/>
      <c r="J202" s="15"/>
      <c r="K202" s="15"/>
      <c r="L202" s="14" t="str">
        <f aca="false">IF($K202&lt;&gt;"",$K202,IF($J202&lt;&gt;"",$J202*CARBON_FRACTION_OM,""))</f>
        <v/>
      </c>
      <c r="M202" s="14" t="n">
        <f aca="false">IF($H202="Fine earth / fine-earth volume",1-IF($G202="",0,$G202)/100,1)</f>
        <v>1</v>
      </c>
      <c r="N202" s="14" t="str">
        <f aca="false">IF(OR($D202="",$E202=""),"",MAX(0,MIN($E202,REPORTING_DEPTH_CM)-MIN($D202,REPORTING_DEPTH_CM)))</f>
        <v/>
      </c>
      <c r="O202" s="14" t="str">
        <f aca="false">IF(OR($I202="",$L202="",$N202=""),"",$I202*($L202/100)*$N202*$M202*10)</f>
        <v/>
      </c>
      <c r="P202" s="14" t="str">
        <f aca="false">IF(OR($I202="",$L202="",$F202=""),"",$I202*($L202/100)*$F202*$M202*10)</f>
        <v/>
      </c>
      <c r="Q202" s="14" t="str">
        <f aca="false">IF(AND($A202="",$B202="",$D202=""),"",IF(AND($B202&lt;&gt;"",COUNTIF('2. Core Log'!$A$5:$A$124,$B202)=0),"Core ID not in Core Log. ","")&amp;IF(AND($A202&lt;&gt;"",COUNTIF('1. Plot &amp; Site Log'!$A$5:$A$64,$A202)=0),"Plot ID not in Plot &amp; Site Log. ","")&amp;IF(AND($D202&lt;&gt;"",$E202&lt;&gt;"",$E202&lt;=$D202),"Bottom depth is not below top depth. ","")&amp;IF($H202="","Say which bulk-density basis the lab reported, or the coarse-fragment correction cannot be applied safely. ","")&amp;IF(AND($I202&lt;&gt;"",OR($I202&lt;QC_BD_MIN,$I202&gt;QC_BD_MAX)),"Bulk density outside "&amp;QC_BD_MIN&amp;"–"&amp;QC_BD_MAX&amp;" g/cm³. ","")&amp;IF(AND($L202&lt;&gt;"",$L202&gt;QC_CARBON_PCT_MAX),"Carbon above "&amp;QC_CARBON_PCT_MAX&amp;"% — check units; this may be organic matter rather than carbon. ","")&amp;IF(AND($J202&lt;&gt;"",$K202&lt;&gt;""),"Both LOI and measured carbon given — the measured value is used. ","")&amp;IF(AND($N202&lt;&gt;"",$N202=0),"Slice lies entirely below the reporting depth — it counts to the full-core stock only. ",""))</f>
        <v/>
      </c>
      <c r="R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 t="str">
        <f aca="false">IF(OR($D203="",$E203=""),"",$E203-$D203)</f>
        <v/>
      </c>
      <c r="G203" s="13"/>
      <c r="H203" s="13"/>
      <c r="I203" s="15"/>
      <c r="J203" s="15"/>
      <c r="K203" s="15"/>
      <c r="L203" s="14" t="str">
        <f aca="false">IF($K203&lt;&gt;"",$K203,IF($J203&lt;&gt;"",$J203*CARBON_FRACTION_OM,""))</f>
        <v/>
      </c>
      <c r="M203" s="14" t="n">
        <f aca="false">IF($H203="Fine earth / fine-earth volume",1-IF($G203="",0,$G203)/100,1)</f>
        <v>1</v>
      </c>
      <c r="N203" s="14" t="str">
        <f aca="false">IF(OR($D203="",$E203=""),"",MAX(0,MIN($E203,REPORTING_DEPTH_CM)-MIN($D203,REPORTING_DEPTH_CM)))</f>
        <v/>
      </c>
      <c r="O203" s="14" t="str">
        <f aca="false">IF(OR($I203="",$L203="",$N203=""),"",$I203*($L203/100)*$N203*$M203*10)</f>
        <v/>
      </c>
      <c r="P203" s="14" t="str">
        <f aca="false">IF(OR($I203="",$L203="",$F203=""),"",$I203*($L203/100)*$F203*$M203*10)</f>
        <v/>
      </c>
      <c r="Q203" s="14" t="str">
        <f aca="false">IF(AND($A203="",$B203="",$D203=""),"",IF(AND($B203&lt;&gt;"",COUNTIF('2. Core Log'!$A$5:$A$124,$B203)=0),"Core ID not in Core Log. ","")&amp;IF(AND($A203&lt;&gt;"",COUNTIF('1. Plot &amp; Site Log'!$A$5:$A$64,$A203)=0),"Plot ID not in Plot &amp; Site Log. ","")&amp;IF(AND($D203&lt;&gt;"",$E203&lt;&gt;"",$E203&lt;=$D203),"Bottom depth is not below top depth. ","")&amp;IF($H203="","Say which bulk-density basis the lab reported, or the coarse-fragment correction cannot be applied safely. ","")&amp;IF(AND($I203&lt;&gt;"",OR($I203&lt;QC_BD_MIN,$I203&gt;QC_BD_MAX)),"Bulk density outside "&amp;QC_BD_MIN&amp;"–"&amp;QC_BD_MAX&amp;" g/cm³. ","")&amp;IF(AND($L203&lt;&gt;"",$L203&gt;QC_CARBON_PCT_MAX),"Carbon above "&amp;QC_CARBON_PCT_MAX&amp;"% — check units; this may be organic matter rather than carbon. ","")&amp;IF(AND($J203&lt;&gt;"",$K203&lt;&gt;""),"Both LOI and measured carbon given — the measured value is used. ","")&amp;IF(AND($N203&lt;&gt;"",$N203=0),"Slice lies entirely below the reporting depth — it counts to the full-core stock only. ",""))</f>
        <v/>
      </c>
      <c r="R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 t="str">
        <f aca="false">IF(OR($D204="",$E204=""),"",$E204-$D204)</f>
        <v/>
      </c>
      <c r="G204" s="13"/>
      <c r="H204" s="13"/>
      <c r="I204" s="15"/>
      <c r="J204" s="15"/>
      <c r="K204" s="15"/>
      <c r="L204" s="14" t="str">
        <f aca="false">IF($K204&lt;&gt;"",$K204,IF($J204&lt;&gt;"",$J204*CARBON_FRACTION_OM,""))</f>
        <v/>
      </c>
      <c r="M204" s="14" t="n">
        <f aca="false">IF($H204="Fine earth / fine-earth volume",1-IF($G204="",0,$G204)/100,1)</f>
        <v>1</v>
      </c>
      <c r="N204" s="14" t="str">
        <f aca="false">IF(OR($D204="",$E204=""),"",MAX(0,MIN($E204,REPORTING_DEPTH_CM)-MIN($D204,REPORTING_DEPTH_CM)))</f>
        <v/>
      </c>
      <c r="O204" s="14" t="str">
        <f aca="false">IF(OR($I204="",$L204="",$N204=""),"",$I204*($L204/100)*$N204*$M204*10)</f>
        <v/>
      </c>
      <c r="P204" s="14" t="str">
        <f aca="false">IF(OR($I204="",$L204="",$F204=""),"",$I204*($L204/100)*$F204*$M204*10)</f>
        <v/>
      </c>
      <c r="Q204" s="14" t="str">
        <f aca="false">IF(AND($A204="",$B204="",$D204=""),"",IF(AND($B204&lt;&gt;"",COUNTIF('2. Core Log'!$A$5:$A$124,$B204)=0),"Core ID not in Core Log. ","")&amp;IF(AND($A204&lt;&gt;"",COUNTIF('1. Plot &amp; Site Log'!$A$5:$A$64,$A204)=0),"Plot ID not in Plot &amp; Site Log. ","")&amp;IF(AND($D204&lt;&gt;"",$E204&lt;&gt;"",$E204&lt;=$D204),"Bottom depth is not below top depth. ","")&amp;IF($H204="","Say which bulk-density basis the lab reported, or the coarse-fragment correction cannot be applied safely. ","")&amp;IF(AND($I204&lt;&gt;"",OR($I204&lt;QC_BD_MIN,$I204&gt;QC_BD_MAX)),"Bulk density outside "&amp;QC_BD_MIN&amp;"–"&amp;QC_BD_MAX&amp;" g/cm³. ","")&amp;IF(AND($L204&lt;&gt;"",$L204&gt;QC_CARBON_PCT_MAX),"Carbon above "&amp;QC_CARBON_PCT_MAX&amp;"% — check units; this may be organic matter rather than carbon. ","")&amp;IF(AND($J204&lt;&gt;"",$K204&lt;&gt;""),"Both LOI and measured carbon given — the measured value is used. ","")&amp;IF(AND($N204&lt;&gt;"",$N204=0),"Slice lies entirely below the reporting depth — it counts to the full-core stock only. ",""))</f>
        <v/>
      </c>
      <c r="R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 t="str">
        <f aca="false">IF(OR($D205="",$E205=""),"",$E205-$D205)</f>
        <v/>
      </c>
      <c r="G205" s="13"/>
      <c r="H205" s="13"/>
      <c r="I205" s="15"/>
      <c r="J205" s="15"/>
      <c r="K205" s="15"/>
      <c r="L205" s="14" t="str">
        <f aca="false">IF($K205&lt;&gt;"",$K205,IF($J205&lt;&gt;"",$J205*CARBON_FRACTION_OM,""))</f>
        <v/>
      </c>
      <c r="M205" s="14" t="n">
        <f aca="false">IF($H205="Fine earth / fine-earth volume",1-IF($G205="",0,$G205)/100,1)</f>
        <v>1</v>
      </c>
      <c r="N205" s="14" t="str">
        <f aca="false">IF(OR($D205="",$E205=""),"",MAX(0,MIN($E205,REPORTING_DEPTH_CM)-MIN($D205,REPORTING_DEPTH_CM)))</f>
        <v/>
      </c>
      <c r="O205" s="14" t="str">
        <f aca="false">IF(OR($I205="",$L205="",$N205=""),"",$I205*($L205/100)*$N205*$M205*10)</f>
        <v/>
      </c>
      <c r="P205" s="14" t="str">
        <f aca="false">IF(OR($I205="",$L205="",$F205=""),"",$I205*($L205/100)*$F205*$M205*10)</f>
        <v/>
      </c>
      <c r="Q205" s="14" t="str">
        <f aca="false">IF(AND($A205="",$B205="",$D205=""),"",IF(AND($B205&lt;&gt;"",COUNTIF('2. Core Log'!$A$5:$A$124,$B205)=0),"Core ID not in Core Log. ","")&amp;IF(AND($A205&lt;&gt;"",COUNTIF('1. Plot &amp; Site Log'!$A$5:$A$64,$A205)=0),"Plot ID not in Plot &amp; Site Log. ","")&amp;IF(AND($D205&lt;&gt;"",$E205&lt;&gt;"",$E205&lt;=$D205),"Bottom depth is not below top depth. ","")&amp;IF($H205="","Say which bulk-density basis the lab reported, or the coarse-fragment correction cannot be applied safely. ","")&amp;IF(AND($I205&lt;&gt;"",OR($I205&lt;QC_BD_MIN,$I205&gt;QC_BD_MAX)),"Bulk density outside "&amp;QC_BD_MIN&amp;"–"&amp;QC_BD_MAX&amp;" g/cm³. ","")&amp;IF(AND($L205&lt;&gt;"",$L205&gt;QC_CARBON_PCT_MAX),"Carbon above "&amp;QC_CARBON_PCT_MAX&amp;"% — check units; this may be organic matter rather than carbon. ","")&amp;IF(AND($J205&lt;&gt;"",$K205&lt;&gt;""),"Both LOI and measured carbon given — the measured value is used. ","")&amp;IF(AND($N205&lt;&gt;"",$N205=0),"Slice lies entirely below the reporting depth — it counts to the full-core stock only. ",""))</f>
        <v/>
      </c>
      <c r="R205" s="1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 t="str">
        <f aca="false">IF(OR($D206="",$E206=""),"",$E206-$D206)</f>
        <v/>
      </c>
      <c r="G206" s="13"/>
      <c r="H206" s="13"/>
      <c r="I206" s="15"/>
      <c r="J206" s="15"/>
      <c r="K206" s="15"/>
      <c r="L206" s="14" t="str">
        <f aca="false">IF($K206&lt;&gt;"",$K206,IF($J206&lt;&gt;"",$J206*CARBON_FRACTION_OM,""))</f>
        <v/>
      </c>
      <c r="M206" s="14" t="n">
        <f aca="false">IF($H206="Fine earth / fine-earth volume",1-IF($G206="",0,$G206)/100,1)</f>
        <v>1</v>
      </c>
      <c r="N206" s="14" t="str">
        <f aca="false">IF(OR($D206="",$E206=""),"",MAX(0,MIN($E206,REPORTING_DEPTH_CM)-MIN($D206,REPORTING_DEPTH_CM)))</f>
        <v/>
      </c>
      <c r="O206" s="14" t="str">
        <f aca="false">IF(OR($I206="",$L206="",$N206=""),"",$I206*($L206/100)*$N206*$M206*10)</f>
        <v/>
      </c>
      <c r="P206" s="14" t="str">
        <f aca="false">IF(OR($I206="",$L206="",$F206=""),"",$I206*($L206/100)*$F206*$M206*10)</f>
        <v/>
      </c>
      <c r="Q206" s="14" t="str">
        <f aca="false">IF(AND($A206="",$B206="",$D206=""),"",IF(AND($B206&lt;&gt;"",COUNTIF('2. Core Log'!$A$5:$A$124,$B206)=0),"Core ID not in Core Log. ","")&amp;IF(AND($A206&lt;&gt;"",COUNTIF('1. Plot &amp; Site Log'!$A$5:$A$64,$A206)=0),"Plot ID not in Plot &amp; Site Log. ","")&amp;IF(AND($D206&lt;&gt;"",$E206&lt;&gt;"",$E206&lt;=$D206),"Bottom depth is not below top depth. ","")&amp;IF($H206="","Say which bulk-density basis the lab reported, or the coarse-fragment correction cannot be applied safely. ","")&amp;IF(AND($I206&lt;&gt;"",OR($I206&lt;QC_BD_MIN,$I206&gt;QC_BD_MAX)),"Bulk density outside "&amp;QC_BD_MIN&amp;"–"&amp;QC_BD_MAX&amp;" g/cm³. ","")&amp;IF(AND($L206&lt;&gt;"",$L206&gt;QC_CARBON_PCT_MAX),"Carbon above "&amp;QC_CARBON_PCT_MAX&amp;"% — check units; this may be organic matter rather than carbon. ","")&amp;IF(AND($J206&lt;&gt;"",$K206&lt;&gt;""),"Both LOI and measured carbon given — the measured value is used. ","")&amp;IF(AND($N206&lt;&gt;"",$N206=0),"Slice lies entirely below the reporting depth — it counts to the full-core stock only. ",""))</f>
        <v/>
      </c>
      <c r="R206" s="13"/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3" t="str">
        <f aca="false">IF(OR($D207="",$E207=""),"",$E207-$D207)</f>
        <v/>
      </c>
      <c r="G207" s="13"/>
      <c r="H207" s="13"/>
      <c r="I207" s="15"/>
      <c r="J207" s="15"/>
      <c r="K207" s="15"/>
      <c r="L207" s="14" t="str">
        <f aca="false">IF($K207&lt;&gt;"",$K207,IF($J207&lt;&gt;"",$J207*CARBON_FRACTION_OM,""))</f>
        <v/>
      </c>
      <c r="M207" s="14" t="n">
        <f aca="false">IF($H207="Fine earth / fine-earth volume",1-IF($G207="",0,$G207)/100,1)</f>
        <v>1</v>
      </c>
      <c r="N207" s="14" t="str">
        <f aca="false">IF(OR($D207="",$E207=""),"",MAX(0,MIN($E207,REPORTING_DEPTH_CM)-MIN($D207,REPORTING_DEPTH_CM)))</f>
        <v/>
      </c>
      <c r="O207" s="14" t="str">
        <f aca="false">IF(OR($I207="",$L207="",$N207=""),"",$I207*($L207/100)*$N207*$M207*10)</f>
        <v/>
      </c>
      <c r="P207" s="14" t="str">
        <f aca="false">IF(OR($I207="",$L207="",$F207=""),"",$I207*($L207/100)*$F207*$M207*10)</f>
        <v/>
      </c>
      <c r="Q207" s="14" t="str">
        <f aca="false">IF(AND($A207="",$B207="",$D207=""),"",IF(AND($B207&lt;&gt;"",COUNTIF('2. Core Log'!$A$5:$A$124,$B207)=0),"Core ID not in Core Log. ","")&amp;IF(AND($A207&lt;&gt;"",COUNTIF('1. Plot &amp; Site Log'!$A$5:$A$64,$A207)=0),"Plot ID not in Plot &amp; Site Log. ","")&amp;IF(AND($D207&lt;&gt;"",$E207&lt;&gt;"",$E207&lt;=$D207),"Bottom depth is not below top depth. ","")&amp;IF($H207="","Say which bulk-density basis the lab reported, or the coarse-fragment correction cannot be applied safely. ","")&amp;IF(AND($I207&lt;&gt;"",OR($I207&lt;QC_BD_MIN,$I207&gt;QC_BD_MAX)),"Bulk density outside "&amp;QC_BD_MIN&amp;"–"&amp;QC_BD_MAX&amp;" g/cm³. ","")&amp;IF(AND($L207&lt;&gt;"",$L207&gt;QC_CARBON_PCT_MAX),"Carbon above "&amp;QC_CARBON_PCT_MAX&amp;"% — check units; this may be organic matter rather than carbon. ","")&amp;IF(AND($J207&lt;&gt;"",$K207&lt;&gt;""),"Both LOI and measured carbon given — the measured value is used. ","")&amp;IF(AND($N207&lt;&gt;"",$N207=0),"Slice lies entirely below the reporting depth — it counts to the full-core stock only. ",""))</f>
        <v/>
      </c>
      <c r="R207" s="1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 t="str">
        <f aca="false">IF(OR($D208="",$E208=""),"",$E208-$D208)</f>
        <v/>
      </c>
      <c r="G208" s="13"/>
      <c r="H208" s="13"/>
      <c r="I208" s="15"/>
      <c r="J208" s="15"/>
      <c r="K208" s="15"/>
      <c r="L208" s="14" t="str">
        <f aca="false">IF($K208&lt;&gt;"",$K208,IF($J208&lt;&gt;"",$J208*CARBON_FRACTION_OM,""))</f>
        <v/>
      </c>
      <c r="M208" s="14" t="n">
        <f aca="false">IF($H208="Fine earth / fine-earth volume",1-IF($G208="",0,$G208)/100,1)</f>
        <v>1</v>
      </c>
      <c r="N208" s="14" t="str">
        <f aca="false">IF(OR($D208="",$E208=""),"",MAX(0,MIN($E208,REPORTING_DEPTH_CM)-MIN($D208,REPORTING_DEPTH_CM)))</f>
        <v/>
      </c>
      <c r="O208" s="14" t="str">
        <f aca="false">IF(OR($I208="",$L208="",$N208=""),"",$I208*($L208/100)*$N208*$M208*10)</f>
        <v/>
      </c>
      <c r="P208" s="14" t="str">
        <f aca="false">IF(OR($I208="",$L208="",$F208=""),"",$I208*($L208/100)*$F208*$M208*10)</f>
        <v/>
      </c>
      <c r="Q208" s="14" t="str">
        <f aca="false">IF(AND($A208="",$B208="",$D208=""),"",IF(AND($B208&lt;&gt;"",COUNTIF('2. Core Log'!$A$5:$A$124,$B208)=0),"Core ID not in Core Log. ","")&amp;IF(AND($A208&lt;&gt;"",COUNTIF('1. Plot &amp; Site Log'!$A$5:$A$64,$A208)=0),"Plot ID not in Plot &amp; Site Log. ","")&amp;IF(AND($D208&lt;&gt;"",$E208&lt;&gt;"",$E208&lt;=$D208),"Bottom depth is not below top depth. ","")&amp;IF($H208="","Say which bulk-density basis the lab reported, or the coarse-fragment correction cannot be applied safely. ","")&amp;IF(AND($I208&lt;&gt;"",OR($I208&lt;QC_BD_MIN,$I208&gt;QC_BD_MAX)),"Bulk density outside "&amp;QC_BD_MIN&amp;"–"&amp;QC_BD_MAX&amp;" g/cm³. ","")&amp;IF(AND($L208&lt;&gt;"",$L208&gt;QC_CARBON_PCT_MAX),"Carbon above "&amp;QC_CARBON_PCT_MAX&amp;"% — check units; this may be organic matter rather than carbon. ","")&amp;IF(AND($J208&lt;&gt;"",$K208&lt;&gt;""),"Both LOI and measured carbon given — the measured value is used. ","")&amp;IF(AND($N208&lt;&gt;"",$N208=0),"Slice lies entirely below the reporting depth — it counts to the full-core stock only. ",""))</f>
        <v/>
      </c>
      <c r="R208" s="13"/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3" t="str">
        <f aca="false">IF(OR($D209="",$E209=""),"",$E209-$D209)</f>
        <v/>
      </c>
      <c r="G209" s="13"/>
      <c r="H209" s="13"/>
      <c r="I209" s="15"/>
      <c r="J209" s="15"/>
      <c r="K209" s="15"/>
      <c r="L209" s="14" t="str">
        <f aca="false">IF($K209&lt;&gt;"",$K209,IF($J209&lt;&gt;"",$J209*CARBON_FRACTION_OM,""))</f>
        <v/>
      </c>
      <c r="M209" s="14" t="n">
        <f aca="false">IF($H209="Fine earth / fine-earth volume",1-IF($G209="",0,$G209)/100,1)</f>
        <v>1</v>
      </c>
      <c r="N209" s="14" t="str">
        <f aca="false">IF(OR($D209="",$E209=""),"",MAX(0,MIN($E209,REPORTING_DEPTH_CM)-MIN($D209,REPORTING_DEPTH_CM)))</f>
        <v/>
      </c>
      <c r="O209" s="14" t="str">
        <f aca="false">IF(OR($I209="",$L209="",$N209=""),"",$I209*($L209/100)*$N209*$M209*10)</f>
        <v/>
      </c>
      <c r="P209" s="14" t="str">
        <f aca="false">IF(OR($I209="",$L209="",$F209=""),"",$I209*($L209/100)*$F209*$M209*10)</f>
        <v/>
      </c>
      <c r="Q209" s="14" t="str">
        <f aca="false">IF(AND($A209="",$B209="",$D209=""),"",IF(AND($B209&lt;&gt;"",COUNTIF('2. Core Log'!$A$5:$A$124,$B209)=0),"Core ID not in Core Log. ","")&amp;IF(AND($A209&lt;&gt;"",COUNTIF('1. Plot &amp; Site Log'!$A$5:$A$64,$A209)=0),"Plot ID not in Plot &amp; Site Log. ","")&amp;IF(AND($D209&lt;&gt;"",$E209&lt;&gt;"",$E209&lt;=$D209),"Bottom depth is not below top depth. ","")&amp;IF($H209="","Say which bulk-density basis the lab reported, or the coarse-fragment correction cannot be applied safely. ","")&amp;IF(AND($I209&lt;&gt;"",OR($I209&lt;QC_BD_MIN,$I209&gt;QC_BD_MAX)),"Bulk density outside "&amp;QC_BD_MIN&amp;"–"&amp;QC_BD_MAX&amp;" g/cm³. ","")&amp;IF(AND($L209&lt;&gt;"",$L209&gt;QC_CARBON_PCT_MAX),"Carbon above "&amp;QC_CARBON_PCT_MAX&amp;"% — check units; this may be organic matter rather than carbon. ","")&amp;IF(AND($J209&lt;&gt;"",$K209&lt;&gt;""),"Both LOI and measured carbon given — the measured value is used. ","")&amp;IF(AND($N209&lt;&gt;"",$N209=0),"Slice lies entirely below the reporting depth — it counts to the full-core stock only. ",""))</f>
        <v/>
      </c>
      <c r="R209" s="1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 t="str">
        <f aca="false">IF(OR($D210="",$E210=""),"",$E210-$D210)</f>
        <v/>
      </c>
      <c r="G210" s="13"/>
      <c r="H210" s="13"/>
      <c r="I210" s="15"/>
      <c r="J210" s="15"/>
      <c r="K210" s="15"/>
      <c r="L210" s="14" t="str">
        <f aca="false">IF($K210&lt;&gt;"",$K210,IF($J210&lt;&gt;"",$J210*CARBON_FRACTION_OM,""))</f>
        <v/>
      </c>
      <c r="M210" s="14" t="n">
        <f aca="false">IF($H210="Fine earth / fine-earth volume",1-IF($G210="",0,$G210)/100,1)</f>
        <v>1</v>
      </c>
      <c r="N210" s="14" t="str">
        <f aca="false">IF(OR($D210="",$E210=""),"",MAX(0,MIN($E210,REPORTING_DEPTH_CM)-MIN($D210,REPORTING_DEPTH_CM)))</f>
        <v/>
      </c>
      <c r="O210" s="14" t="str">
        <f aca="false">IF(OR($I210="",$L210="",$N210=""),"",$I210*($L210/100)*$N210*$M210*10)</f>
        <v/>
      </c>
      <c r="P210" s="14" t="str">
        <f aca="false">IF(OR($I210="",$L210="",$F210=""),"",$I210*($L210/100)*$F210*$M210*10)</f>
        <v/>
      </c>
      <c r="Q210" s="14" t="str">
        <f aca="false">IF(AND($A210="",$B210="",$D210=""),"",IF(AND($B210&lt;&gt;"",COUNTIF('2. Core Log'!$A$5:$A$124,$B210)=0),"Core ID not in Core Log. ","")&amp;IF(AND($A210&lt;&gt;"",COUNTIF('1. Plot &amp; Site Log'!$A$5:$A$64,$A210)=0),"Plot ID not in Plot &amp; Site Log. ","")&amp;IF(AND($D210&lt;&gt;"",$E210&lt;&gt;"",$E210&lt;=$D210),"Bottom depth is not below top depth. ","")&amp;IF($H210="","Say which bulk-density basis the lab reported, or the coarse-fragment correction cannot be applied safely. ","")&amp;IF(AND($I210&lt;&gt;"",OR($I210&lt;QC_BD_MIN,$I210&gt;QC_BD_MAX)),"Bulk density outside "&amp;QC_BD_MIN&amp;"–"&amp;QC_BD_MAX&amp;" g/cm³. ","")&amp;IF(AND($L210&lt;&gt;"",$L210&gt;QC_CARBON_PCT_MAX),"Carbon above "&amp;QC_CARBON_PCT_MAX&amp;"% — check units; this may be organic matter rather than carbon. ","")&amp;IF(AND($J210&lt;&gt;"",$K210&lt;&gt;""),"Both LOI and measured carbon given — the measured value is used. ","")&amp;IF(AND($N210&lt;&gt;"",$N210=0),"Slice lies entirely below the reporting depth — it counts to the full-core stock only. ",""))</f>
        <v/>
      </c>
      <c r="R210" s="13"/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3" t="str">
        <f aca="false">IF(OR($D211="",$E211=""),"",$E211-$D211)</f>
        <v/>
      </c>
      <c r="G211" s="13"/>
      <c r="H211" s="13"/>
      <c r="I211" s="15"/>
      <c r="J211" s="15"/>
      <c r="K211" s="15"/>
      <c r="L211" s="14" t="str">
        <f aca="false">IF($K211&lt;&gt;"",$K211,IF($J211&lt;&gt;"",$J211*CARBON_FRACTION_OM,""))</f>
        <v/>
      </c>
      <c r="M211" s="14" t="n">
        <f aca="false">IF($H211="Fine earth / fine-earth volume",1-IF($G211="",0,$G211)/100,1)</f>
        <v>1</v>
      </c>
      <c r="N211" s="14" t="str">
        <f aca="false">IF(OR($D211="",$E211=""),"",MAX(0,MIN($E211,REPORTING_DEPTH_CM)-MIN($D211,REPORTING_DEPTH_CM)))</f>
        <v/>
      </c>
      <c r="O211" s="14" t="str">
        <f aca="false">IF(OR($I211="",$L211="",$N211=""),"",$I211*($L211/100)*$N211*$M211*10)</f>
        <v/>
      </c>
      <c r="P211" s="14" t="str">
        <f aca="false">IF(OR($I211="",$L211="",$F211=""),"",$I211*($L211/100)*$F211*$M211*10)</f>
        <v/>
      </c>
      <c r="Q211" s="14" t="str">
        <f aca="false">IF(AND($A211="",$B211="",$D211=""),"",IF(AND($B211&lt;&gt;"",COUNTIF('2. Core Log'!$A$5:$A$124,$B211)=0),"Core ID not in Core Log. ","")&amp;IF(AND($A211&lt;&gt;"",COUNTIF('1. Plot &amp; Site Log'!$A$5:$A$64,$A211)=0),"Plot ID not in Plot &amp; Site Log. ","")&amp;IF(AND($D211&lt;&gt;"",$E211&lt;&gt;"",$E211&lt;=$D211),"Bottom depth is not below top depth. ","")&amp;IF($H211="","Say which bulk-density basis the lab reported, or the coarse-fragment correction cannot be applied safely. ","")&amp;IF(AND($I211&lt;&gt;"",OR($I211&lt;QC_BD_MIN,$I211&gt;QC_BD_MAX)),"Bulk density outside "&amp;QC_BD_MIN&amp;"–"&amp;QC_BD_MAX&amp;" g/cm³. ","")&amp;IF(AND($L211&lt;&gt;"",$L211&gt;QC_CARBON_PCT_MAX),"Carbon above "&amp;QC_CARBON_PCT_MAX&amp;"% — check units; this may be organic matter rather than carbon. ","")&amp;IF(AND($J211&lt;&gt;"",$K211&lt;&gt;""),"Both LOI and measured carbon given — the measured value is used. ","")&amp;IF(AND($N211&lt;&gt;"",$N211=0),"Slice lies entirely below the reporting depth — it counts to the full-core stock only. ",""))</f>
        <v/>
      </c>
      <c r="R211" s="1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 t="str">
        <f aca="false">IF(OR($D212="",$E212=""),"",$E212-$D212)</f>
        <v/>
      </c>
      <c r="G212" s="13"/>
      <c r="H212" s="13"/>
      <c r="I212" s="15"/>
      <c r="J212" s="15"/>
      <c r="K212" s="15"/>
      <c r="L212" s="14" t="str">
        <f aca="false">IF($K212&lt;&gt;"",$K212,IF($J212&lt;&gt;"",$J212*CARBON_FRACTION_OM,""))</f>
        <v/>
      </c>
      <c r="M212" s="14" t="n">
        <f aca="false">IF($H212="Fine earth / fine-earth volume",1-IF($G212="",0,$G212)/100,1)</f>
        <v>1</v>
      </c>
      <c r="N212" s="14" t="str">
        <f aca="false">IF(OR($D212="",$E212=""),"",MAX(0,MIN($E212,REPORTING_DEPTH_CM)-MIN($D212,REPORTING_DEPTH_CM)))</f>
        <v/>
      </c>
      <c r="O212" s="14" t="str">
        <f aca="false">IF(OR($I212="",$L212="",$N212=""),"",$I212*($L212/100)*$N212*$M212*10)</f>
        <v/>
      </c>
      <c r="P212" s="14" t="str">
        <f aca="false">IF(OR($I212="",$L212="",$F212=""),"",$I212*($L212/100)*$F212*$M212*10)</f>
        <v/>
      </c>
      <c r="Q212" s="14" t="str">
        <f aca="false">IF(AND($A212="",$B212="",$D212=""),"",IF(AND($B212&lt;&gt;"",COUNTIF('2. Core Log'!$A$5:$A$124,$B212)=0),"Core ID not in Core Log. ","")&amp;IF(AND($A212&lt;&gt;"",COUNTIF('1. Plot &amp; Site Log'!$A$5:$A$64,$A212)=0),"Plot ID not in Plot &amp; Site Log. ","")&amp;IF(AND($D212&lt;&gt;"",$E212&lt;&gt;"",$E212&lt;=$D212),"Bottom depth is not below top depth. ","")&amp;IF($H212="","Say which bulk-density basis the lab reported, or the coarse-fragment correction cannot be applied safely. ","")&amp;IF(AND($I212&lt;&gt;"",OR($I212&lt;QC_BD_MIN,$I212&gt;QC_BD_MAX)),"Bulk density outside "&amp;QC_BD_MIN&amp;"–"&amp;QC_BD_MAX&amp;" g/cm³. ","")&amp;IF(AND($L212&lt;&gt;"",$L212&gt;QC_CARBON_PCT_MAX),"Carbon above "&amp;QC_CARBON_PCT_MAX&amp;"% — check units; this may be organic matter rather than carbon. ","")&amp;IF(AND($J212&lt;&gt;"",$K212&lt;&gt;""),"Both LOI and measured carbon given — the measured value is used. ","")&amp;IF(AND($N212&lt;&gt;"",$N212=0),"Slice lies entirely below the reporting depth — it counts to the full-core stock only. ",""))</f>
        <v/>
      </c>
      <c r="R212" s="13"/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3" t="str">
        <f aca="false">IF(OR($D213="",$E213=""),"",$E213-$D213)</f>
        <v/>
      </c>
      <c r="G213" s="13"/>
      <c r="H213" s="13"/>
      <c r="I213" s="15"/>
      <c r="J213" s="15"/>
      <c r="K213" s="15"/>
      <c r="L213" s="14" t="str">
        <f aca="false">IF($K213&lt;&gt;"",$K213,IF($J213&lt;&gt;"",$J213*CARBON_FRACTION_OM,""))</f>
        <v/>
      </c>
      <c r="M213" s="14" t="n">
        <f aca="false">IF($H213="Fine earth / fine-earth volume",1-IF($G213="",0,$G213)/100,1)</f>
        <v>1</v>
      </c>
      <c r="N213" s="14" t="str">
        <f aca="false">IF(OR($D213="",$E213=""),"",MAX(0,MIN($E213,REPORTING_DEPTH_CM)-MIN($D213,REPORTING_DEPTH_CM)))</f>
        <v/>
      </c>
      <c r="O213" s="14" t="str">
        <f aca="false">IF(OR($I213="",$L213="",$N213=""),"",$I213*($L213/100)*$N213*$M213*10)</f>
        <v/>
      </c>
      <c r="P213" s="14" t="str">
        <f aca="false">IF(OR($I213="",$L213="",$F213=""),"",$I213*($L213/100)*$F213*$M213*10)</f>
        <v/>
      </c>
      <c r="Q213" s="14" t="str">
        <f aca="false">IF(AND($A213="",$B213="",$D213=""),"",IF(AND($B213&lt;&gt;"",COUNTIF('2. Core Log'!$A$5:$A$124,$B213)=0),"Core ID not in Core Log. ","")&amp;IF(AND($A213&lt;&gt;"",COUNTIF('1. Plot &amp; Site Log'!$A$5:$A$64,$A213)=0),"Plot ID not in Plot &amp; Site Log. ","")&amp;IF(AND($D213&lt;&gt;"",$E213&lt;&gt;"",$E213&lt;=$D213),"Bottom depth is not below top depth. ","")&amp;IF($H213="","Say which bulk-density basis the lab reported, or the coarse-fragment correction cannot be applied safely. ","")&amp;IF(AND($I213&lt;&gt;"",OR($I213&lt;QC_BD_MIN,$I213&gt;QC_BD_MAX)),"Bulk density outside "&amp;QC_BD_MIN&amp;"–"&amp;QC_BD_MAX&amp;" g/cm³. ","")&amp;IF(AND($L213&lt;&gt;"",$L213&gt;QC_CARBON_PCT_MAX),"Carbon above "&amp;QC_CARBON_PCT_MAX&amp;"% — check units; this may be organic matter rather than carbon. ","")&amp;IF(AND($J213&lt;&gt;"",$K213&lt;&gt;""),"Both LOI and measured carbon given — the measured value is used. ","")&amp;IF(AND($N213&lt;&gt;"",$N213=0),"Slice lies entirely below the reporting depth — it counts to the full-core stock only. ",""))</f>
        <v/>
      </c>
      <c r="R213" s="1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 t="str">
        <f aca="false">IF(OR($D214="",$E214=""),"",$E214-$D214)</f>
        <v/>
      </c>
      <c r="G214" s="13"/>
      <c r="H214" s="13"/>
      <c r="I214" s="15"/>
      <c r="J214" s="15"/>
      <c r="K214" s="15"/>
      <c r="L214" s="14" t="str">
        <f aca="false">IF($K214&lt;&gt;"",$K214,IF($J214&lt;&gt;"",$J214*CARBON_FRACTION_OM,""))</f>
        <v/>
      </c>
      <c r="M214" s="14" t="n">
        <f aca="false">IF($H214="Fine earth / fine-earth volume",1-IF($G214="",0,$G214)/100,1)</f>
        <v>1</v>
      </c>
      <c r="N214" s="14" t="str">
        <f aca="false">IF(OR($D214="",$E214=""),"",MAX(0,MIN($E214,REPORTING_DEPTH_CM)-MIN($D214,REPORTING_DEPTH_CM)))</f>
        <v/>
      </c>
      <c r="O214" s="14" t="str">
        <f aca="false">IF(OR($I214="",$L214="",$N214=""),"",$I214*($L214/100)*$N214*$M214*10)</f>
        <v/>
      </c>
      <c r="P214" s="14" t="str">
        <f aca="false">IF(OR($I214="",$L214="",$F214=""),"",$I214*($L214/100)*$F214*$M214*10)</f>
        <v/>
      </c>
      <c r="Q214" s="14" t="str">
        <f aca="false">IF(AND($A214="",$B214="",$D214=""),"",IF(AND($B214&lt;&gt;"",COUNTIF('2. Core Log'!$A$5:$A$124,$B214)=0),"Core ID not in Core Log. ","")&amp;IF(AND($A214&lt;&gt;"",COUNTIF('1. Plot &amp; Site Log'!$A$5:$A$64,$A214)=0),"Plot ID not in Plot &amp; Site Log. ","")&amp;IF(AND($D214&lt;&gt;"",$E214&lt;&gt;"",$E214&lt;=$D214),"Bottom depth is not below top depth. ","")&amp;IF($H214="","Say which bulk-density basis the lab reported, or the coarse-fragment correction cannot be applied safely. ","")&amp;IF(AND($I214&lt;&gt;"",OR($I214&lt;QC_BD_MIN,$I214&gt;QC_BD_MAX)),"Bulk density outside "&amp;QC_BD_MIN&amp;"–"&amp;QC_BD_MAX&amp;" g/cm³. ","")&amp;IF(AND($L214&lt;&gt;"",$L214&gt;QC_CARBON_PCT_MAX),"Carbon above "&amp;QC_CARBON_PCT_MAX&amp;"% — check units; this may be organic matter rather than carbon. ","")&amp;IF(AND($J214&lt;&gt;"",$K214&lt;&gt;""),"Both LOI and measured carbon given — the measured value is used. ","")&amp;IF(AND($N214&lt;&gt;"",$N214=0),"Slice lies entirely below the reporting depth — it counts to the full-core stock only. ",""))</f>
        <v/>
      </c>
      <c r="R214" s="13"/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3" t="str">
        <f aca="false">IF(OR($D215="",$E215=""),"",$E215-$D215)</f>
        <v/>
      </c>
      <c r="G215" s="13"/>
      <c r="H215" s="13"/>
      <c r="I215" s="15"/>
      <c r="J215" s="15"/>
      <c r="K215" s="15"/>
      <c r="L215" s="14" t="str">
        <f aca="false">IF($K215&lt;&gt;"",$K215,IF($J215&lt;&gt;"",$J215*CARBON_FRACTION_OM,""))</f>
        <v/>
      </c>
      <c r="M215" s="14" t="n">
        <f aca="false">IF($H215="Fine earth / fine-earth volume",1-IF($G215="",0,$G215)/100,1)</f>
        <v>1</v>
      </c>
      <c r="N215" s="14" t="str">
        <f aca="false">IF(OR($D215="",$E215=""),"",MAX(0,MIN($E215,REPORTING_DEPTH_CM)-MIN($D215,REPORTING_DEPTH_CM)))</f>
        <v/>
      </c>
      <c r="O215" s="14" t="str">
        <f aca="false">IF(OR($I215="",$L215="",$N215=""),"",$I215*($L215/100)*$N215*$M215*10)</f>
        <v/>
      </c>
      <c r="P215" s="14" t="str">
        <f aca="false">IF(OR($I215="",$L215="",$F215=""),"",$I215*($L215/100)*$F215*$M215*10)</f>
        <v/>
      </c>
      <c r="Q215" s="14" t="str">
        <f aca="false">IF(AND($A215="",$B215="",$D215=""),"",IF(AND($B215&lt;&gt;"",COUNTIF('2. Core Log'!$A$5:$A$124,$B215)=0),"Core ID not in Core Log. ","")&amp;IF(AND($A215&lt;&gt;"",COUNTIF('1. Plot &amp; Site Log'!$A$5:$A$64,$A215)=0),"Plot ID not in Plot &amp; Site Log. ","")&amp;IF(AND($D215&lt;&gt;"",$E215&lt;&gt;"",$E215&lt;=$D215),"Bottom depth is not below top depth. ","")&amp;IF($H215="","Say which bulk-density basis the lab reported, or the coarse-fragment correction cannot be applied safely. ","")&amp;IF(AND($I215&lt;&gt;"",OR($I215&lt;QC_BD_MIN,$I215&gt;QC_BD_MAX)),"Bulk density outside "&amp;QC_BD_MIN&amp;"–"&amp;QC_BD_MAX&amp;" g/cm³. ","")&amp;IF(AND($L215&lt;&gt;"",$L215&gt;QC_CARBON_PCT_MAX),"Carbon above "&amp;QC_CARBON_PCT_MAX&amp;"% — check units; this may be organic matter rather than carbon. ","")&amp;IF(AND($J215&lt;&gt;"",$K215&lt;&gt;""),"Both LOI and measured carbon given — the measured value is used. ","")&amp;IF(AND($N215&lt;&gt;"",$N215=0),"Slice lies entirely below the reporting depth — it counts to the full-core stock only. ",""))</f>
        <v/>
      </c>
      <c r="R215" s="1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 t="str">
        <f aca="false">IF(OR($D216="",$E216=""),"",$E216-$D216)</f>
        <v/>
      </c>
      <c r="G216" s="13"/>
      <c r="H216" s="13"/>
      <c r="I216" s="15"/>
      <c r="J216" s="15"/>
      <c r="K216" s="15"/>
      <c r="L216" s="14" t="str">
        <f aca="false">IF($K216&lt;&gt;"",$K216,IF($J216&lt;&gt;"",$J216*CARBON_FRACTION_OM,""))</f>
        <v/>
      </c>
      <c r="M216" s="14" t="n">
        <f aca="false">IF($H216="Fine earth / fine-earth volume",1-IF($G216="",0,$G216)/100,1)</f>
        <v>1</v>
      </c>
      <c r="N216" s="14" t="str">
        <f aca="false">IF(OR($D216="",$E216=""),"",MAX(0,MIN($E216,REPORTING_DEPTH_CM)-MIN($D216,REPORTING_DEPTH_CM)))</f>
        <v/>
      </c>
      <c r="O216" s="14" t="str">
        <f aca="false">IF(OR($I216="",$L216="",$N216=""),"",$I216*($L216/100)*$N216*$M216*10)</f>
        <v/>
      </c>
      <c r="P216" s="14" t="str">
        <f aca="false">IF(OR($I216="",$L216="",$F216=""),"",$I216*($L216/100)*$F216*$M216*10)</f>
        <v/>
      </c>
      <c r="Q216" s="14" t="str">
        <f aca="false">IF(AND($A216="",$B216="",$D216=""),"",IF(AND($B216&lt;&gt;"",COUNTIF('2. Core Log'!$A$5:$A$124,$B216)=0),"Core ID not in Core Log. ","")&amp;IF(AND($A216&lt;&gt;"",COUNTIF('1. Plot &amp; Site Log'!$A$5:$A$64,$A216)=0),"Plot ID not in Plot &amp; Site Log. ","")&amp;IF(AND($D216&lt;&gt;"",$E216&lt;&gt;"",$E216&lt;=$D216),"Bottom depth is not below top depth. ","")&amp;IF($H216="","Say which bulk-density basis the lab reported, or the coarse-fragment correction cannot be applied safely. ","")&amp;IF(AND($I216&lt;&gt;"",OR($I216&lt;QC_BD_MIN,$I216&gt;QC_BD_MAX)),"Bulk density outside "&amp;QC_BD_MIN&amp;"–"&amp;QC_BD_MAX&amp;" g/cm³. ","")&amp;IF(AND($L216&lt;&gt;"",$L216&gt;QC_CARBON_PCT_MAX),"Carbon above "&amp;QC_CARBON_PCT_MAX&amp;"% — check units; this may be organic matter rather than carbon. ","")&amp;IF(AND($J216&lt;&gt;"",$K216&lt;&gt;""),"Both LOI and measured carbon given — the measured value is used. ","")&amp;IF(AND($N216&lt;&gt;"",$N216=0),"Slice lies entirely below the reporting depth — it counts to the full-core stock only. ",""))</f>
        <v/>
      </c>
      <c r="R216" s="13"/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3" t="str">
        <f aca="false">IF(OR($D217="",$E217=""),"",$E217-$D217)</f>
        <v/>
      </c>
      <c r="G217" s="13"/>
      <c r="H217" s="13"/>
      <c r="I217" s="15"/>
      <c r="J217" s="15"/>
      <c r="K217" s="15"/>
      <c r="L217" s="14" t="str">
        <f aca="false">IF($K217&lt;&gt;"",$K217,IF($J217&lt;&gt;"",$J217*CARBON_FRACTION_OM,""))</f>
        <v/>
      </c>
      <c r="M217" s="14" t="n">
        <f aca="false">IF($H217="Fine earth / fine-earth volume",1-IF($G217="",0,$G217)/100,1)</f>
        <v>1</v>
      </c>
      <c r="N217" s="14" t="str">
        <f aca="false">IF(OR($D217="",$E217=""),"",MAX(0,MIN($E217,REPORTING_DEPTH_CM)-MIN($D217,REPORTING_DEPTH_CM)))</f>
        <v/>
      </c>
      <c r="O217" s="14" t="str">
        <f aca="false">IF(OR($I217="",$L217="",$N217=""),"",$I217*($L217/100)*$N217*$M217*10)</f>
        <v/>
      </c>
      <c r="P217" s="14" t="str">
        <f aca="false">IF(OR($I217="",$L217="",$F217=""),"",$I217*($L217/100)*$F217*$M217*10)</f>
        <v/>
      </c>
      <c r="Q217" s="14" t="str">
        <f aca="false">IF(AND($A217="",$B217="",$D217=""),"",IF(AND($B217&lt;&gt;"",COUNTIF('2. Core Log'!$A$5:$A$124,$B217)=0),"Core ID not in Core Log. ","")&amp;IF(AND($A217&lt;&gt;"",COUNTIF('1. Plot &amp; Site Log'!$A$5:$A$64,$A217)=0),"Plot ID not in Plot &amp; Site Log. ","")&amp;IF(AND($D217&lt;&gt;"",$E217&lt;&gt;"",$E217&lt;=$D217),"Bottom depth is not below top depth. ","")&amp;IF($H217="","Say which bulk-density basis the lab reported, or the coarse-fragment correction cannot be applied safely. ","")&amp;IF(AND($I217&lt;&gt;"",OR($I217&lt;QC_BD_MIN,$I217&gt;QC_BD_MAX)),"Bulk density outside "&amp;QC_BD_MIN&amp;"–"&amp;QC_BD_MAX&amp;" g/cm³. ","")&amp;IF(AND($L217&lt;&gt;"",$L217&gt;QC_CARBON_PCT_MAX),"Carbon above "&amp;QC_CARBON_PCT_MAX&amp;"% — check units; this may be organic matter rather than carbon. ","")&amp;IF(AND($J217&lt;&gt;"",$K217&lt;&gt;""),"Both LOI and measured carbon given — the measured value is used. ","")&amp;IF(AND($N217&lt;&gt;"",$N217=0),"Slice lies entirely below the reporting depth — it counts to the full-core stock only. ",""))</f>
        <v/>
      </c>
      <c r="R217" s="1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 t="str">
        <f aca="false">IF(OR($D218="",$E218=""),"",$E218-$D218)</f>
        <v/>
      </c>
      <c r="G218" s="13"/>
      <c r="H218" s="13"/>
      <c r="I218" s="15"/>
      <c r="J218" s="15"/>
      <c r="K218" s="15"/>
      <c r="L218" s="14" t="str">
        <f aca="false">IF($K218&lt;&gt;"",$K218,IF($J218&lt;&gt;"",$J218*CARBON_FRACTION_OM,""))</f>
        <v/>
      </c>
      <c r="M218" s="14" t="n">
        <f aca="false">IF($H218="Fine earth / fine-earth volume",1-IF($G218="",0,$G218)/100,1)</f>
        <v>1</v>
      </c>
      <c r="N218" s="14" t="str">
        <f aca="false">IF(OR($D218="",$E218=""),"",MAX(0,MIN($E218,REPORTING_DEPTH_CM)-MIN($D218,REPORTING_DEPTH_CM)))</f>
        <v/>
      </c>
      <c r="O218" s="14" t="str">
        <f aca="false">IF(OR($I218="",$L218="",$N218=""),"",$I218*($L218/100)*$N218*$M218*10)</f>
        <v/>
      </c>
      <c r="P218" s="14" t="str">
        <f aca="false">IF(OR($I218="",$L218="",$F218=""),"",$I218*($L218/100)*$F218*$M218*10)</f>
        <v/>
      </c>
      <c r="Q218" s="14" t="str">
        <f aca="false">IF(AND($A218="",$B218="",$D218=""),"",IF(AND($B218&lt;&gt;"",COUNTIF('2. Core Log'!$A$5:$A$124,$B218)=0),"Core ID not in Core Log. ","")&amp;IF(AND($A218&lt;&gt;"",COUNTIF('1. Plot &amp; Site Log'!$A$5:$A$64,$A218)=0),"Plot ID not in Plot &amp; Site Log. ","")&amp;IF(AND($D218&lt;&gt;"",$E218&lt;&gt;"",$E218&lt;=$D218),"Bottom depth is not below top depth. ","")&amp;IF($H218="","Say which bulk-density basis the lab reported, or the coarse-fragment correction cannot be applied safely. ","")&amp;IF(AND($I218&lt;&gt;"",OR($I218&lt;QC_BD_MIN,$I218&gt;QC_BD_MAX)),"Bulk density outside "&amp;QC_BD_MIN&amp;"–"&amp;QC_BD_MAX&amp;" g/cm³. ","")&amp;IF(AND($L218&lt;&gt;"",$L218&gt;QC_CARBON_PCT_MAX),"Carbon above "&amp;QC_CARBON_PCT_MAX&amp;"% — check units; this may be organic matter rather than carbon. ","")&amp;IF(AND($J218&lt;&gt;"",$K218&lt;&gt;""),"Both LOI and measured carbon given — the measured value is used. ","")&amp;IF(AND($N218&lt;&gt;"",$N218=0),"Slice lies entirely below the reporting depth — it counts to the full-core stock only. ",""))</f>
        <v/>
      </c>
      <c r="R218" s="13"/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3" t="str">
        <f aca="false">IF(OR($D219="",$E219=""),"",$E219-$D219)</f>
        <v/>
      </c>
      <c r="G219" s="13"/>
      <c r="H219" s="13"/>
      <c r="I219" s="15"/>
      <c r="J219" s="15"/>
      <c r="K219" s="15"/>
      <c r="L219" s="14" t="str">
        <f aca="false">IF($K219&lt;&gt;"",$K219,IF($J219&lt;&gt;"",$J219*CARBON_FRACTION_OM,""))</f>
        <v/>
      </c>
      <c r="M219" s="14" t="n">
        <f aca="false">IF($H219="Fine earth / fine-earth volume",1-IF($G219="",0,$G219)/100,1)</f>
        <v>1</v>
      </c>
      <c r="N219" s="14" t="str">
        <f aca="false">IF(OR($D219="",$E219=""),"",MAX(0,MIN($E219,REPORTING_DEPTH_CM)-MIN($D219,REPORTING_DEPTH_CM)))</f>
        <v/>
      </c>
      <c r="O219" s="14" t="str">
        <f aca="false">IF(OR($I219="",$L219="",$N219=""),"",$I219*($L219/100)*$N219*$M219*10)</f>
        <v/>
      </c>
      <c r="P219" s="14" t="str">
        <f aca="false">IF(OR($I219="",$L219="",$F219=""),"",$I219*($L219/100)*$F219*$M219*10)</f>
        <v/>
      </c>
      <c r="Q219" s="14" t="str">
        <f aca="false">IF(AND($A219="",$B219="",$D219=""),"",IF(AND($B219&lt;&gt;"",COUNTIF('2. Core Log'!$A$5:$A$124,$B219)=0),"Core ID not in Core Log. ","")&amp;IF(AND($A219&lt;&gt;"",COUNTIF('1. Plot &amp; Site Log'!$A$5:$A$64,$A219)=0),"Plot ID not in Plot &amp; Site Log. ","")&amp;IF(AND($D219&lt;&gt;"",$E219&lt;&gt;"",$E219&lt;=$D219),"Bottom depth is not below top depth. ","")&amp;IF($H219="","Say which bulk-density basis the lab reported, or the coarse-fragment correction cannot be applied safely. ","")&amp;IF(AND($I219&lt;&gt;"",OR($I219&lt;QC_BD_MIN,$I219&gt;QC_BD_MAX)),"Bulk density outside "&amp;QC_BD_MIN&amp;"–"&amp;QC_BD_MAX&amp;" g/cm³. ","")&amp;IF(AND($L219&lt;&gt;"",$L219&gt;QC_CARBON_PCT_MAX),"Carbon above "&amp;QC_CARBON_PCT_MAX&amp;"% — check units; this may be organic matter rather than carbon. ","")&amp;IF(AND($J219&lt;&gt;"",$K219&lt;&gt;""),"Both LOI and measured carbon given — the measured value is used. ","")&amp;IF(AND($N219&lt;&gt;"",$N219=0),"Slice lies entirely below the reporting depth — it counts to the full-core stock only. ",""))</f>
        <v/>
      </c>
      <c r="R219" s="1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 t="str">
        <f aca="false">IF(OR($D220="",$E220=""),"",$E220-$D220)</f>
        <v/>
      </c>
      <c r="G220" s="13"/>
      <c r="H220" s="13"/>
      <c r="I220" s="15"/>
      <c r="J220" s="15"/>
      <c r="K220" s="15"/>
      <c r="L220" s="14" t="str">
        <f aca="false">IF($K220&lt;&gt;"",$K220,IF($J220&lt;&gt;"",$J220*CARBON_FRACTION_OM,""))</f>
        <v/>
      </c>
      <c r="M220" s="14" t="n">
        <f aca="false">IF($H220="Fine earth / fine-earth volume",1-IF($G220="",0,$G220)/100,1)</f>
        <v>1</v>
      </c>
      <c r="N220" s="14" t="str">
        <f aca="false">IF(OR($D220="",$E220=""),"",MAX(0,MIN($E220,REPORTING_DEPTH_CM)-MIN($D220,REPORTING_DEPTH_CM)))</f>
        <v/>
      </c>
      <c r="O220" s="14" t="str">
        <f aca="false">IF(OR($I220="",$L220="",$N220=""),"",$I220*($L220/100)*$N220*$M220*10)</f>
        <v/>
      </c>
      <c r="P220" s="14" t="str">
        <f aca="false">IF(OR($I220="",$L220="",$F220=""),"",$I220*($L220/100)*$F220*$M220*10)</f>
        <v/>
      </c>
      <c r="Q220" s="14" t="str">
        <f aca="false">IF(AND($A220="",$B220="",$D220=""),"",IF(AND($B220&lt;&gt;"",COUNTIF('2. Core Log'!$A$5:$A$124,$B220)=0),"Core ID not in Core Log. ","")&amp;IF(AND($A220&lt;&gt;"",COUNTIF('1. Plot &amp; Site Log'!$A$5:$A$64,$A220)=0),"Plot ID not in Plot &amp; Site Log. ","")&amp;IF(AND($D220&lt;&gt;"",$E220&lt;&gt;"",$E220&lt;=$D220),"Bottom depth is not below top depth. ","")&amp;IF($H220="","Say which bulk-density basis the lab reported, or the coarse-fragment correction cannot be applied safely. ","")&amp;IF(AND($I220&lt;&gt;"",OR($I220&lt;QC_BD_MIN,$I220&gt;QC_BD_MAX)),"Bulk density outside "&amp;QC_BD_MIN&amp;"–"&amp;QC_BD_MAX&amp;" g/cm³. ","")&amp;IF(AND($L220&lt;&gt;"",$L220&gt;QC_CARBON_PCT_MAX),"Carbon above "&amp;QC_CARBON_PCT_MAX&amp;"% — check units; this may be organic matter rather than carbon. ","")&amp;IF(AND($J220&lt;&gt;"",$K220&lt;&gt;""),"Both LOI and measured carbon given — the measured value is used. ","")&amp;IF(AND($N220&lt;&gt;"",$N220=0),"Slice lies entirely below the reporting depth — it counts to the full-core stock only. ",""))</f>
        <v/>
      </c>
      <c r="R220" s="13"/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3" t="str">
        <f aca="false">IF(OR($D221="",$E221=""),"",$E221-$D221)</f>
        <v/>
      </c>
      <c r="G221" s="13"/>
      <c r="H221" s="13"/>
      <c r="I221" s="15"/>
      <c r="J221" s="15"/>
      <c r="K221" s="15"/>
      <c r="L221" s="14" t="str">
        <f aca="false">IF($K221&lt;&gt;"",$K221,IF($J221&lt;&gt;"",$J221*CARBON_FRACTION_OM,""))</f>
        <v/>
      </c>
      <c r="M221" s="14" t="n">
        <f aca="false">IF($H221="Fine earth / fine-earth volume",1-IF($G221="",0,$G221)/100,1)</f>
        <v>1</v>
      </c>
      <c r="N221" s="14" t="str">
        <f aca="false">IF(OR($D221="",$E221=""),"",MAX(0,MIN($E221,REPORTING_DEPTH_CM)-MIN($D221,REPORTING_DEPTH_CM)))</f>
        <v/>
      </c>
      <c r="O221" s="14" t="str">
        <f aca="false">IF(OR($I221="",$L221="",$N221=""),"",$I221*($L221/100)*$N221*$M221*10)</f>
        <v/>
      </c>
      <c r="P221" s="14" t="str">
        <f aca="false">IF(OR($I221="",$L221="",$F221=""),"",$I221*($L221/100)*$F221*$M221*10)</f>
        <v/>
      </c>
      <c r="Q221" s="14" t="str">
        <f aca="false">IF(AND($A221="",$B221="",$D221=""),"",IF(AND($B221&lt;&gt;"",COUNTIF('2. Core Log'!$A$5:$A$124,$B221)=0),"Core ID not in Core Log. ","")&amp;IF(AND($A221&lt;&gt;"",COUNTIF('1. Plot &amp; Site Log'!$A$5:$A$64,$A221)=0),"Plot ID not in Plot &amp; Site Log. ","")&amp;IF(AND($D221&lt;&gt;"",$E221&lt;&gt;"",$E221&lt;=$D221),"Bottom depth is not below top depth. ","")&amp;IF($H221="","Say which bulk-density basis the lab reported, or the coarse-fragment correction cannot be applied safely. ","")&amp;IF(AND($I221&lt;&gt;"",OR($I221&lt;QC_BD_MIN,$I221&gt;QC_BD_MAX)),"Bulk density outside "&amp;QC_BD_MIN&amp;"–"&amp;QC_BD_MAX&amp;" g/cm³. ","")&amp;IF(AND($L221&lt;&gt;"",$L221&gt;QC_CARBON_PCT_MAX),"Carbon above "&amp;QC_CARBON_PCT_MAX&amp;"% — check units; this may be organic matter rather than carbon. ","")&amp;IF(AND($J221&lt;&gt;"",$K221&lt;&gt;""),"Both LOI and measured carbon given — the measured value is used. ","")&amp;IF(AND($N221&lt;&gt;"",$N221=0),"Slice lies entirely below the reporting depth — it counts to the full-core stock only. ",""))</f>
        <v/>
      </c>
      <c r="R221" s="1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 t="str">
        <f aca="false">IF(OR($D222="",$E222=""),"",$E222-$D222)</f>
        <v/>
      </c>
      <c r="G222" s="13"/>
      <c r="H222" s="13"/>
      <c r="I222" s="15"/>
      <c r="J222" s="15"/>
      <c r="K222" s="15"/>
      <c r="L222" s="14" t="str">
        <f aca="false">IF($K222&lt;&gt;"",$K222,IF($J222&lt;&gt;"",$J222*CARBON_FRACTION_OM,""))</f>
        <v/>
      </c>
      <c r="M222" s="14" t="n">
        <f aca="false">IF($H222="Fine earth / fine-earth volume",1-IF($G222="",0,$G222)/100,1)</f>
        <v>1</v>
      </c>
      <c r="N222" s="14" t="str">
        <f aca="false">IF(OR($D222="",$E222=""),"",MAX(0,MIN($E222,REPORTING_DEPTH_CM)-MIN($D222,REPORTING_DEPTH_CM)))</f>
        <v/>
      </c>
      <c r="O222" s="14" t="str">
        <f aca="false">IF(OR($I222="",$L222="",$N222=""),"",$I222*($L222/100)*$N222*$M222*10)</f>
        <v/>
      </c>
      <c r="P222" s="14" t="str">
        <f aca="false">IF(OR($I222="",$L222="",$F222=""),"",$I222*($L222/100)*$F222*$M222*10)</f>
        <v/>
      </c>
      <c r="Q222" s="14" t="str">
        <f aca="false">IF(AND($A222="",$B222="",$D222=""),"",IF(AND($B222&lt;&gt;"",COUNTIF('2. Core Log'!$A$5:$A$124,$B222)=0),"Core ID not in Core Log. ","")&amp;IF(AND($A222&lt;&gt;"",COUNTIF('1. Plot &amp; Site Log'!$A$5:$A$64,$A222)=0),"Plot ID not in Plot &amp; Site Log. ","")&amp;IF(AND($D222&lt;&gt;"",$E222&lt;&gt;"",$E222&lt;=$D222),"Bottom depth is not below top depth. ","")&amp;IF($H222="","Say which bulk-density basis the lab reported, or the coarse-fragment correction cannot be applied safely. ","")&amp;IF(AND($I222&lt;&gt;"",OR($I222&lt;QC_BD_MIN,$I222&gt;QC_BD_MAX)),"Bulk density outside "&amp;QC_BD_MIN&amp;"–"&amp;QC_BD_MAX&amp;" g/cm³. ","")&amp;IF(AND($L222&lt;&gt;"",$L222&gt;QC_CARBON_PCT_MAX),"Carbon above "&amp;QC_CARBON_PCT_MAX&amp;"% — check units; this may be organic matter rather than carbon. ","")&amp;IF(AND($J222&lt;&gt;"",$K222&lt;&gt;""),"Both LOI and measured carbon given — the measured value is used. ","")&amp;IF(AND($N222&lt;&gt;"",$N222=0),"Slice lies entirely below the reporting depth — it counts to the full-core stock only. ",""))</f>
        <v/>
      </c>
      <c r="R222" s="13"/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3" t="str">
        <f aca="false">IF(OR($D223="",$E223=""),"",$E223-$D223)</f>
        <v/>
      </c>
      <c r="G223" s="13"/>
      <c r="H223" s="13"/>
      <c r="I223" s="15"/>
      <c r="J223" s="15"/>
      <c r="K223" s="15"/>
      <c r="L223" s="14" t="str">
        <f aca="false">IF($K223&lt;&gt;"",$K223,IF($J223&lt;&gt;"",$J223*CARBON_FRACTION_OM,""))</f>
        <v/>
      </c>
      <c r="M223" s="14" t="n">
        <f aca="false">IF($H223="Fine earth / fine-earth volume",1-IF($G223="",0,$G223)/100,1)</f>
        <v>1</v>
      </c>
      <c r="N223" s="14" t="str">
        <f aca="false">IF(OR($D223="",$E223=""),"",MAX(0,MIN($E223,REPORTING_DEPTH_CM)-MIN($D223,REPORTING_DEPTH_CM)))</f>
        <v/>
      </c>
      <c r="O223" s="14" t="str">
        <f aca="false">IF(OR($I223="",$L223="",$N223=""),"",$I223*($L223/100)*$N223*$M223*10)</f>
        <v/>
      </c>
      <c r="P223" s="14" t="str">
        <f aca="false">IF(OR($I223="",$L223="",$F223=""),"",$I223*($L223/100)*$F223*$M223*10)</f>
        <v/>
      </c>
      <c r="Q223" s="14" t="str">
        <f aca="false">IF(AND($A223="",$B223="",$D223=""),"",IF(AND($B223&lt;&gt;"",COUNTIF('2. Core Log'!$A$5:$A$124,$B223)=0),"Core ID not in Core Log. ","")&amp;IF(AND($A223&lt;&gt;"",COUNTIF('1. Plot &amp; Site Log'!$A$5:$A$64,$A223)=0),"Plot ID not in Plot &amp; Site Log. ","")&amp;IF(AND($D223&lt;&gt;"",$E223&lt;&gt;"",$E223&lt;=$D223),"Bottom depth is not below top depth. ","")&amp;IF($H223="","Say which bulk-density basis the lab reported, or the coarse-fragment correction cannot be applied safely. ","")&amp;IF(AND($I223&lt;&gt;"",OR($I223&lt;QC_BD_MIN,$I223&gt;QC_BD_MAX)),"Bulk density outside "&amp;QC_BD_MIN&amp;"–"&amp;QC_BD_MAX&amp;" g/cm³. ","")&amp;IF(AND($L223&lt;&gt;"",$L223&gt;QC_CARBON_PCT_MAX),"Carbon above "&amp;QC_CARBON_PCT_MAX&amp;"% — check units; this may be organic matter rather than carbon. ","")&amp;IF(AND($J223&lt;&gt;"",$K223&lt;&gt;""),"Both LOI and measured carbon given — the measured value is used. ","")&amp;IF(AND($N223&lt;&gt;"",$N223=0),"Slice lies entirely below the reporting depth — it counts to the full-core stock only. ",""))</f>
        <v/>
      </c>
      <c r="R223" s="1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 t="str">
        <f aca="false">IF(OR($D224="",$E224=""),"",$E224-$D224)</f>
        <v/>
      </c>
      <c r="G224" s="13"/>
      <c r="H224" s="13"/>
      <c r="I224" s="15"/>
      <c r="J224" s="15"/>
      <c r="K224" s="15"/>
      <c r="L224" s="14" t="str">
        <f aca="false">IF($K224&lt;&gt;"",$K224,IF($J224&lt;&gt;"",$J224*CARBON_FRACTION_OM,""))</f>
        <v/>
      </c>
      <c r="M224" s="14" t="n">
        <f aca="false">IF($H224="Fine earth / fine-earth volume",1-IF($G224="",0,$G224)/100,1)</f>
        <v>1</v>
      </c>
      <c r="N224" s="14" t="str">
        <f aca="false">IF(OR($D224="",$E224=""),"",MAX(0,MIN($E224,REPORTING_DEPTH_CM)-MIN($D224,REPORTING_DEPTH_CM)))</f>
        <v/>
      </c>
      <c r="O224" s="14" t="str">
        <f aca="false">IF(OR($I224="",$L224="",$N224=""),"",$I224*($L224/100)*$N224*$M224*10)</f>
        <v/>
      </c>
      <c r="P224" s="14" t="str">
        <f aca="false">IF(OR($I224="",$L224="",$F224=""),"",$I224*($L224/100)*$F224*$M224*10)</f>
        <v/>
      </c>
      <c r="Q224" s="14" t="str">
        <f aca="false">IF(AND($A224="",$B224="",$D224=""),"",IF(AND($B224&lt;&gt;"",COUNTIF('2. Core Log'!$A$5:$A$124,$B224)=0),"Core ID not in Core Log. ","")&amp;IF(AND($A224&lt;&gt;"",COUNTIF('1. Plot &amp; Site Log'!$A$5:$A$64,$A224)=0),"Plot ID not in Plot &amp; Site Log. ","")&amp;IF(AND($D224&lt;&gt;"",$E224&lt;&gt;"",$E224&lt;=$D224),"Bottom depth is not below top depth. ","")&amp;IF($H224="","Say which bulk-density basis the lab reported, or the coarse-fragment correction cannot be applied safely. ","")&amp;IF(AND($I224&lt;&gt;"",OR($I224&lt;QC_BD_MIN,$I224&gt;QC_BD_MAX)),"Bulk density outside "&amp;QC_BD_MIN&amp;"–"&amp;QC_BD_MAX&amp;" g/cm³. ","")&amp;IF(AND($L224&lt;&gt;"",$L224&gt;QC_CARBON_PCT_MAX),"Carbon above "&amp;QC_CARBON_PCT_MAX&amp;"% — check units; this may be organic matter rather than carbon. ","")&amp;IF(AND($J224&lt;&gt;"",$K224&lt;&gt;""),"Both LOI and measured carbon given — the measured value is used. ","")&amp;IF(AND($N224&lt;&gt;"",$N224=0),"Slice lies entirely below the reporting depth — it counts to the full-core stock only. ",""))</f>
        <v/>
      </c>
      <c r="R224" s="13"/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3" t="str">
        <f aca="false">IF(OR($D225="",$E225=""),"",$E225-$D225)</f>
        <v/>
      </c>
      <c r="G225" s="13"/>
      <c r="H225" s="13"/>
      <c r="I225" s="15"/>
      <c r="J225" s="15"/>
      <c r="K225" s="15"/>
      <c r="L225" s="14" t="str">
        <f aca="false">IF($K225&lt;&gt;"",$K225,IF($J225&lt;&gt;"",$J225*CARBON_FRACTION_OM,""))</f>
        <v/>
      </c>
      <c r="M225" s="14" t="n">
        <f aca="false">IF($H225="Fine earth / fine-earth volume",1-IF($G225="",0,$G225)/100,1)</f>
        <v>1</v>
      </c>
      <c r="N225" s="14" t="str">
        <f aca="false">IF(OR($D225="",$E225=""),"",MAX(0,MIN($E225,REPORTING_DEPTH_CM)-MIN($D225,REPORTING_DEPTH_CM)))</f>
        <v/>
      </c>
      <c r="O225" s="14" t="str">
        <f aca="false">IF(OR($I225="",$L225="",$N225=""),"",$I225*($L225/100)*$N225*$M225*10)</f>
        <v/>
      </c>
      <c r="P225" s="14" t="str">
        <f aca="false">IF(OR($I225="",$L225="",$F225=""),"",$I225*($L225/100)*$F225*$M225*10)</f>
        <v/>
      </c>
      <c r="Q225" s="14" t="str">
        <f aca="false">IF(AND($A225="",$B225="",$D225=""),"",IF(AND($B225&lt;&gt;"",COUNTIF('2. Core Log'!$A$5:$A$124,$B225)=0),"Core ID not in Core Log. ","")&amp;IF(AND($A225&lt;&gt;"",COUNTIF('1. Plot &amp; Site Log'!$A$5:$A$64,$A225)=0),"Plot ID not in Plot &amp; Site Log. ","")&amp;IF(AND($D225&lt;&gt;"",$E225&lt;&gt;"",$E225&lt;=$D225),"Bottom depth is not below top depth. ","")&amp;IF($H225="","Say which bulk-density basis the lab reported, or the coarse-fragment correction cannot be applied safely. ","")&amp;IF(AND($I225&lt;&gt;"",OR($I225&lt;QC_BD_MIN,$I225&gt;QC_BD_MAX)),"Bulk density outside "&amp;QC_BD_MIN&amp;"–"&amp;QC_BD_MAX&amp;" g/cm³. ","")&amp;IF(AND($L225&lt;&gt;"",$L225&gt;QC_CARBON_PCT_MAX),"Carbon above "&amp;QC_CARBON_PCT_MAX&amp;"% — check units; this may be organic matter rather than carbon. ","")&amp;IF(AND($J225&lt;&gt;"",$K225&lt;&gt;""),"Both LOI and measured carbon given — the measured value is used. ","")&amp;IF(AND($N225&lt;&gt;"",$N225=0),"Slice lies entirely below the reporting depth — it counts to the full-core stock only. ",""))</f>
        <v/>
      </c>
      <c r="R225" s="1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 t="str">
        <f aca="false">IF(OR($D226="",$E226=""),"",$E226-$D226)</f>
        <v/>
      </c>
      <c r="G226" s="13"/>
      <c r="H226" s="13"/>
      <c r="I226" s="15"/>
      <c r="J226" s="15"/>
      <c r="K226" s="15"/>
      <c r="L226" s="14" t="str">
        <f aca="false">IF($K226&lt;&gt;"",$K226,IF($J226&lt;&gt;"",$J226*CARBON_FRACTION_OM,""))</f>
        <v/>
      </c>
      <c r="M226" s="14" t="n">
        <f aca="false">IF($H226="Fine earth / fine-earth volume",1-IF($G226="",0,$G226)/100,1)</f>
        <v>1</v>
      </c>
      <c r="N226" s="14" t="str">
        <f aca="false">IF(OR($D226="",$E226=""),"",MAX(0,MIN($E226,REPORTING_DEPTH_CM)-MIN($D226,REPORTING_DEPTH_CM)))</f>
        <v/>
      </c>
      <c r="O226" s="14" t="str">
        <f aca="false">IF(OR($I226="",$L226="",$N226=""),"",$I226*($L226/100)*$N226*$M226*10)</f>
        <v/>
      </c>
      <c r="P226" s="14" t="str">
        <f aca="false">IF(OR($I226="",$L226="",$F226=""),"",$I226*($L226/100)*$F226*$M226*10)</f>
        <v/>
      </c>
      <c r="Q226" s="14" t="str">
        <f aca="false">IF(AND($A226="",$B226="",$D226=""),"",IF(AND($B226&lt;&gt;"",COUNTIF('2. Core Log'!$A$5:$A$124,$B226)=0),"Core ID not in Core Log. ","")&amp;IF(AND($A226&lt;&gt;"",COUNTIF('1. Plot &amp; Site Log'!$A$5:$A$64,$A226)=0),"Plot ID not in Plot &amp; Site Log. ","")&amp;IF(AND($D226&lt;&gt;"",$E226&lt;&gt;"",$E226&lt;=$D226),"Bottom depth is not below top depth. ","")&amp;IF($H226="","Say which bulk-density basis the lab reported, or the coarse-fragment correction cannot be applied safely. ","")&amp;IF(AND($I226&lt;&gt;"",OR($I226&lt;QC_BD_MIN,$I226&gt;QC_BD_MAX)),"Bulk density outside "&amp;QC_BD_MIN&amp;"–"&amp;QC_BD_MAX&amp;" g/cm³. ","")&amp;IF(AND($L226&lt;&gt;"",$L226&gt;QC_CARBON_PCT_MAX),"Carbon above "&amp;QC_CARBON_PCT_MAX&amp;"% — check units; this may be organic matter rather than carbon. ","")&amp;IF(AND($J226&lt;&gt;"",$K226&lt;&gt;""),"Both LOI and measured carbon given — the measured value is used. ","")&amp;IF(AND($N226&lt;&gt;"",$N226=0),"Slice lies entirely below the reporting depth — it counts to the full-core stock only. ",""))</f>
        <v/>
      </c>
      <c r="R226" s="13"/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3" t="str">
        <f aca="false">IF(OR($D227="",$E227=""),"",$E227-$D227)</f>
        <v/>
      </c>
      <c r="G227" s="13"/>
      <c r="H227" s="13"/>
      <c r="I227" s="15"/>
      <c r="J227" s="15"/>
      <c r="K227" s="15"/>
      <c r="L227" s="14" t="str">
        <f aca="false">IF($K227&lt;&gt;"",$K227,IF($J227&lt;&gt;"",$J227*CARBON_FRACTION_OM,""))</f>
        <v/>
      </c>
      <c r="M227" s="14" t="n">
        <f aca="false">IF($H227="Fine earth / fine-earth volume",1-IF($G227="",0,$G227)/100,1)</f>
        <v>1</v>
      </c>
      <c r="N227" s="14" t="str">
        <f aca="false">IF(OR($D227="",$E227=""),"",MAX(0,MIN($E227,REPORTING_DEPTH_CM)-MIN($D227,REPORTING_DEPTH_CM)))</f>
        <v/>
      </c>
      <c r="O227" s="14" t="str">
        <f aca="false">IF(OR($I227="",$L227="",$N227=""),"",$I227*($L227/100)*$N227*$M227*10)</f>
        <v/>
      </c>
      <c r="P227" s="14" t="str">
        <f aca="false">IF(OR($I227="",$L227="",$F227=""),"",$I227*($L227/100)*$F227*$M227*10)</f>
        <v/>
      </c>
      <c r="Q227" s="14" t="str">
        <f aca="false">IF(AND($A227="",$B227="",$D227=""),"",IF(AND($B227&lt;&gt;"",COUNTIF('2. Core Log'!$A$5:$A$124,$B227)=0),"Core ID not in Core Log. ","")&amp;IF(AND($A227&lt;&gt;"",COUNTIF('1. Plot &amp; Site Log'!$A$5:$A$64,$A227)=0),"Plot ID not in Plot &amp; Site Log. ","")&amp;IF(AND($D227&lt;&gt;"",$E227&lt;&gt;"",$E227&lt;=$D227),"Bottom depth is not below top depth. ","")&amp;IF($H227="","Say which bulk-density basis the lab reported, or the coarse-fragment correction cannot be applied safely. ","")&amp;IF(AND($I227&lt;&gt;"",OR($I227&lt;QC_BD_MIN,$I227&gt;QC_BD_MAX)),"Bulk density outside "&amp;QC_BD_MIN&amp;"–"&amp;QC_BD_MAX&amp;" g/cm³. ","")&amp;IF(AND($L227&lt;&gt;"",$L227&gt;QC_CARBON_PCT_MAX),"Carbon above "&amp;QC_CARBON_PCT_MAX&amp;"% — check units; this may be organic matter rather than carbon. ","")&amp;IF(AND($J227&lt;&gt;"",$K227&lt;&gt;""),"Both LOI and measured carbon given — the measured value is used. ","")&amp;IF(AND($N227&lt;&gt;"",$N227=0),"Slice lies entirely below the reporting depth — it counts to the full-core stock only. ",""))</f>
        <v/>
      </c>
      <c r="R227" s="1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 t="str">
        <f aca="false">IF(OR($D228="",$E228=""),"",$E228-$D228)</f>
        <v/>
      </c>
      <c r="G228" s="13"/>
      <c r="H228" s="13"/>
      <c r="I228" s="15"/>
      <c r="J228" s="15"/>
      <c r="K228" s="15"/>
      <c r="L228" s="14" t="str">
        <f aca="false">IF($K228&lt;&gt;"",$K228,IF($J228&lt;&gt;"",$J228*CARBON_FRACTION_OM,""))</f>
        <v/>
      </c>
      <c r="M228" s="14" t="n">
        <f aca="false">IF($H228="Fine earth / fine-earth volume",1-IF($G228="",0,$G228)/100,1)</f>
        <v>1</v>
      </c>
      <c r="N228" s="14" t="str">
        <f aca="false">IF(OR($D228="",$E228=""),"",MAX(0,MIN($E228,REPORTING_DEPTH_CM)-MIN($D228,REPORTING_DEPTH_CM)))</f>
        <v/>
      </c>
      <c r="O228" s="14" t="str">
        <f aca="false">IF(OR($I228="",$L228="",$N228=""),"",$I228*($L228/100)*$N228*$M228*10)</f>
        <v/>
      </c>
      <c r="P228" s="14" t="str">
        <f aca="false">IF(OR($I228="",$L228="",$F228=""),"",$I228*($L228/100)*$F228*$M228*10)</f>
        <v/>
      </c>
      <c r="Q228" s="14" t="str">
        <f aca="false">IF(AND($A228="",$B228="",$D228=""),"",IF(AND($B228&lt;&gt;"",COUNTIF('2. Core Log'!$A$5:$A$124,$B228)=0),"Core ID not in Core Log. ","")&amp;IF(AND($A228&lt;&gt;"",COUNTIF('1. Plot &amp; Site Log'!$A$5:$A$64,$A228)=0),"Plot ID not in Plot &amp; Site Log. ","")&amp;IF(AND($D228&lt;&gt;"",$E228&lt;&gt;"",$E228&lt;=$D228),"Bottom depth is not below top depth. ","")&amp;IF($H228="","Say which bulk-density basis the lab reported, or the coarse-fragment correction cannot be applied safely. ","")&amp;IF(AND($I228&lt;&gt;"",OR($I228&lt;QC_BD_MIN,$I228&gt;QC_BD_MAX)),"Bulk density outside "&amp;QC_BD_MIN&amp;"–"&amp;QC_BD_MAX&amp;" g/cm³. ","")&amp;IF(AND($L228&lt;&gt;"",$L228&gt;QC_CARBON_PCT_MAX),"Carbon above "&amp;QC_CARBON_PCT_MAX&amp;"% — check units; this may be organic matter rather than carbon. ","")&amp;IF(AND($J228&lt;&gt;"",$K228&lt;&gt;""),"Both LOI and measured carbon given — the measured value is used. ","")&amp;IF(AND($N228&lt;&gt;"",$N228=0),"Slice lies entirely below the reporting depth — it counts to the full-core stock only. ",""))</f>
        <v/>
      </c>
      <c r="R228" s="13"/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3" t="str">
        <f aca="false">IF(OR($D229="",$E229=""),"",$E229-$D229)</f>
        <v/>
      </c>
      <c r="G229" s="13"/>
      <c r="H229" s="13"/>
      <c r="I229" s="15"/>
      <c r="J229" s="15"/>
      <c r="K229" s="15"/>
      <c r="L229" s="14" t="str">
        <f aca="false">IF($K229&lt;&gt;"",$K229,IF($J229&lt;&gt;"",$J229*CARBON_FRACTION_OM,""))</f>
        <v/>
      </c>
      <c r="M229" s="14" t="n">
        <f aca="false">IF($H229="Fine earth / fine-earth volume",1-IF($G229="",0,$G229)/100,1)</f>
        <v>1</v>
      </c>
      <c r="N229" s="14" t="str">
        <f aca="false">IF(OR($D229="",$E229=""),"",MAX(0,MIN($E229,REPORTING_DEPTH_CM)-MIN($D229,REPORTING_DEPTH_CM)))</f>
        <v/>
      </c>
      <c r="O229" s="14" t="str">
        <f aca="false">IF(OR($I229="",$L229="",$N229=""),"",$I229*($L229/100)*$N229*$M229*10)</f>
        <v/>
      </c>
      <c r="P229" s="14" t="str">
        <f aca="false">IF(OR($I229="",$L229="",$F229=""),"",$I229*($L229/100)*$F229*$M229*10)</f>
        <v/>
      </c>
      <c r="Q229" s="14" t="str">
        <f aca="false">IF(AND($A229="",$B229="",$D229=""),"",IF(AND($B229&lt;&gt;"",COUNTIF('2. Core Log'!$A$5:$A$124,$B229)=0),"Core ID not in Core Log. ","")&amp;IF(AND($A229&lt;&gt;"",COUNTIF('1. Plot &amp; Site Log'!$A$5:$A$64,$A229)=0),"Plot ID not in Plot &amp; Site Log. ","")&amp;IF(AND($D229&lt;&gt;"",$E229&lt;&gt;"",$E229&lt;=$D229),"Bottom depth is not below top depth. ","")&amp;IF($H229="","Say which bulk-density basis the lab reported, or the coarse-fragment correction cannot be applied safely. ","")&amp;IF(AND($I229&lt;&gt;"",OR($I229&lt;QC_BD_MIN,$I229&gt;QC_BD_MAX)),"Bulk density outside "&amp;QC_BD_MIN&amp;"–"&amp;QC_BD_MAX&amp;" g/cm³. ","")&amp;IF(AND($L229&lt;&gt;"",$L229&gt;QC_CARBON_PCT_MAX),"Carbon above "&amp;QC_CARBON_PCT_MAX&amp;"% — check units; this may be organic matter rather than carbon. ","")&amp;IF(AND($J229&lt;&gt;"",$K229&lt;&gt;""),"Both LOI and measured carbon given — the measured value is used. ","")&amp;IF(AND($N229&lt;&gt;"",$N229=0),"Slice lies entirely below the reporting depth — it counts to the full-core stock only. ",""))</f>
        <v/>
      </c>
      <c r="R229" s="1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 t="str">
        <f aca="false">IF(OR($D230="",$E230=""),"",$E230-$D230)</f>
        <v/>
      </c>
      <c r="G230" s="13"/>
      <c r="H230" s="13"/>
      <c r="I230" s="15"/>
      <c r="J230" s="15"/>
      <c r="K230" s="15"/>
      <c r="L230" s="14" t="str">
        <f aca="false">IF($K230&lt;&gt;"",$K230,IF($J230&lt;&gt;"",$J230*CARBON_FRACTION_OM,""))</f>
        <v/>
      </c>
      <c r="M230" s="14" t="n">
        <f aca="false">IF($H230="Fine earth / fine-earth volume",1-IF($G230="",0,$G230)/100,1)</f>
        <v>1</v>
      </c>
      <c r="N230" s="14" t="str">
        <f aca="false">IF(OR($D230="",$E230=""),"",MAX(0,MIN($E230,REPORTING_DEPTH_CM)-MIN($D230,REPORTING_DEPTH_CM)))</f>
        <v/>
      </c>
      <c r="O230" s="14" t="str">
        <f aca="false">IF(OR($I230="",$L230="",$N230=""),"",$I230*($L230/100)*$N230*$M230*10)</f>
        <v/>
      </c>
      <c r="P230" s="14" t="str">
        <f aca="false">IF(OR($I230="",$L230="",$F230=""),"",$I230*($L230/100)*$F230*$M230*10)</f>
        <v/>
      </c>
      <c r="Q230" s="14" t="str">
        <f aca="false">IF(AND($A230="",$B230="",$D230=""),"",IF(AND($B230&lt;&gt;"",COUNTIF('2. Core Log'!$A$5:$A$124,$B230)=0),"Core ID not in Core Log. ","")&amp;IF(AND($A230&lt;&gt;"",COUNTIF('1. Plot &amp; Site Log'!$A$5:$A$64,$A230)=0),"Plot ID not in Plot &amp; Site Log. ","")&amp;IF(AND($D230&lt;&gt;"",$E230&lt;&gt;"",$E230&lt;=$D230),"Bottom depth is not below top depth. ","")&amp;IF($H230="","Say which bulk-density basis the lab reported, or the coarse-fragment correction cannot be applied safely. ","")&amp;IF(AND($I230&lt;&gt;"",OR($I230&lt;QC_BD_MIN,$I230&gt;QC_BD_MAX)),"Bulk density outside "&amp;QC_BD_MIN&amp;"–"&amp;QC_BD_MAX&amp;" g/cm³. ","")&amp;IF(AND($L230&lt;&gt;"",$L230&gt;QC_CARBON_PCT_MAX),"Carbon above "&amp;QC_CARBON_PCT_MAX&amp;"% — check units; this may be organic matter rather than carbon. ","")&amp;IF(AND($J230&lt;&gt;"",$K230&lt;&gt;""),"Both LOI and measured carbon given — the measured value is used. ","")&amp;IF(AND($N230&lt;&gt;"",$N230=0),"Slice lies entirely below the reporting depth — it counts to the full-core stock only. ",""))</f>
        <v/>
      </c>
      <c r="R230" s="13"/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3" t="str">
        <f aca="false">IF(OR($D231="",$E231=""),"",$E231-$D231)</f>
        <v/>
      </c>
      <c r="G231" s="13"/>
      <c r="H231" s="13"/>
      <c r="I231" s="15"/>
      <c r="J231" s="15"/>
      <c r="K231" s="15"/>
      <c r="L231" s="14" t="str">
        <f aca="false">IF($K231&lt;&gt;"",$K231,IF($J231&lt;&gt;"",$J231*CARBON_FRACTION_OM,""))</f>
        <v/>
      </c>
      <c r="M231" s="14" t="n">
        <f aca="false">IF($H231="Fine earth / fine-earth volume",1-IF($G231="",0,$G231)/100,1)</f>
        <v>1</v>
      </c>
      <c r="N231" s="14" t="str">
        <f aca="false">IF(OR($D231="",$E231=""),"",MAX(0,MIN($E231,REPORTING_DEPTH_CM)-MIN($D231,REPORTING_DEPTH_CM)))</f>
        <v/>
      </c>
      <c r="O231" s="14" t="str">
        <f aca="false">IF(OR($I231="",$L231="",$N231=""),"",$I231*($L231/100)*$N231*$M231*10)</f>
        <v/>
      </c>
      <c r="P231" s="14" t="str">
        <f aca="false">IF(OR($I231="",$L231="",$F231=""),"",$I231*($L231/100)*$F231*$M231*10)</f>
        <v/>
      </c>
      <c r="Q231" s="14" t="str">
        <f aca="false">IF(AND($A231="",$B231="",$D231=""),"",IF(AND($B231&lt;&gt;"",COUNTIF('2. Core Log'!$A$5:$A$124,$B231)=0),"Core ID not in Core Log. ","")&amp;IF(AND($A231&lt;&gt;"",COUNTIF('1. Plot &amp; Site Log'!$A$5:$A$64,$A231)=0),"Plot ID not in Plot &amp; Site Log. ","")&amp;IF(AND($D231&lt;&gt;"",$E231&lt;&gt;"",$E231&lt;=$D231),"Bottom depth is not below top depth. ","")&amp;IF($H231="","Say which bulk-density basis the lab reported, or the coarse-fragment correction cannot be applied safely. ","")&amp;IF(AND($I231&lt;&gt;"",OR($I231&lt;QC_BD_MIN,$I231&gt;QC_BD_MAX)),"Bulk density outside "&amp;QC_BD_MIN&amp;"–"&amp;QC_BD_MAX&amp;" g/cm³. ","")&amp;IF(AND($L231&lt;&gt;"",$L231&gt;QC_CARBON_PCT_MAX),"Carbon above "&amp;QC_CARBON_PCT_MAX&amp;"% — check units; this may be organic matter rather than carbon. ","")&amp;IF(AND($J231&lt;&gt;"",$K231&lt;&gt;""),"Both LOI and measured carbon given — the measured value is used. ","")&amp;IF(AND($N231&lt;&gt;"",$N231=0),"Slice lies entirely below the reporting depth — it counts to the full-core stock only. ",""))</f>
        <v/>
      </c>
      <c r="R231" s="1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 t="str">
        <f aca="false">IF(OR($D232="",$E232=""),"",$E232-$D232)</f>
        <v/>
      </c>
      <c r="G232" s="13"/>
      <c r="H232" s="13"/>
      <c r="I232" s="15"/>
      <c r="J232" s="15"/>
      <c r="K232" s="15"/>
      <c r="L232" s="14" t="str">
        <f aca="false">IF($K232&lt;&gt;"",$K232,IF($J232&lt;&gt;"",$J232*CARBON_FRACTION_OM,""))</f>
        <v/>
      </c>
      <c r="M232" s="14" t="n">
        <f aca="false">IF($H232="Fine earth / fine-earth volume",1-IF($G232="",0,$G232)/100,1)</f>
        <v>1</v>
      </c>
      <c r="N232" s="14" t="str">
        <f aca="false">IF(OR($D232="",$E232=""),"",MAX(0,MIN($E232,REPORTING_DEPTH_CM)-MIN($D232,REPORTING_DEPTH_CM)))</f>
        <v/>
      </c>
      <c r="O232" s="14" t="str">
        <f aca="false">IF(OR($I232="",$L232="",$N232=""),"",$I232*($L232/100)*$N232*$M232*10)</f>
        <v/>
      </c>
      <c r="P232" s="14" t="str">
        <f aca="false">IF(OR($I232="",$L232="",$F232=""),"",$I232*($L232/100)*$F232*$M232*10)</f>
        <v/>
      </c>
      <c r="Q232" s="14" t="str">
        <f aca="false">IF(AND($A232="",$B232="",$D232=""),"",IF(AND($B232&lt;&gt;"",COUNTIF('2. Core Log'!$A$5:$A$124,$B232)=0),"Core ID not in Core Log. ","")&amp;IF(AND($A232&lt;&gt;"",COUNTIF('1. Plot &amp; Site Log'!$A$5:$A$64,$A232)=0),"Plot ID not in Plot &amp; Site Log. ","")&amp;IF(AND($D232&lt;&gt;"",$E232&lt;&gt;"",$E232&lt;=$D232),"Bottom depth is not below top depth. ","")&amp;IF($H232="","Say which bulk-density basis the lab reported, or the coarse-fragment correction cannot be applied safely. ","")&amp;IF(AND($I232&lt;&gt;"",OR($I232&lt;QC_BD_MIN,$I232&gt;QC_BD_MAX)),"Bulk density outside "&amp;QC_BD_MIN&amp;"–"&amp;QC_BD_MAX&amp;" g/cm³. ","")&amp;IF(AND($L232&lt;&gt;"",$L232&gt;QC_CARBON_PCT_MAX),"Carbon above "&amp;QC_CARBON_PCT_MAX&amp;"% — check units; this may be organic matter rather than carbon. ","")&amp;IF(AND($J232&lt;&gt;"",$K232&lt;&gt;""),"Both LOI and measured carbon given — the measured value is used. ","")&amp;IF(AND($N232&lt;&gt;"",$N232=0),"Slice lies entirely below the reporting depth — it counts to the full-core stock only. ",""))</f>
        <v/>
      </c>
      <c r="R232" s="13"/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3" t="str">
        <f aca="false">IF(OR($D233="",$E233=""),"",$E233-$D233)</f>
        <v/>
      </c>
      <c r="G233" s="13"/>
      <c r="H233" s="13"/>
      <c r="I233" s="15"/>
      <c r="J233" s="15"/>
      <c r="K233" s="15"/>
      <c r="L233" s="14" t="str">
        <f aca="false">IF($K233&lt;&gt;"",$K233,IF($J233&lt;&gt;"",$J233*CARBON_FRACTION_OM,""))</f>
        <v/>
      </c>
      <c r="M233" s="14" t="n">
        <f aca="false">IF($H233="Fine earth / fine-earth volume",1-IF($G233="",0,$G233)/100,1)</f>
        <v>1</v>
      </c>
      <c r="N233" s="14" t="str">
        <f aca="false">IF(OR($D233="",$E233=""),"",MAX(0,MIN($E233,REPORTING_DEPTH_CM)-MIN($D233,REPORTING_DEPTH_CM)))</f>
        <v/>
      </c>
      <c r="O233" s="14" t="str">
        <f aca="false">IF(OR($I233="",$L233="",$N233=""),"",$I233*($L233/100)*$N233*$M233*10)</f>
        <v/>
      </c>
      <c r="P233" s="14" t="str">
        <f aca="false">IF(OR($I233="",$L233="",$F233=""),"",$I233*($L233/100)*$F233*$M233*10)</f>
        <v/>
      </c>
      <c r="Q233" s="14" t="str">
        <f aca="false">IF(AND($A233="",$B233="",$D233=""),"",IF(AND($B233&lt;&gt;"",COUNTIF('2. Core Log'!$A$5:$A$124,$B233)=0),"Core ID not in Core Log. ","")&amp;IF(AND($A233&lt;&gt;"",COUNTIF('1. Plot &amp; Site Log'!$A$5:$A$64,$A233)=0),"Plot ID not in Plot &amp; Site Log. ","")&amp;IF(AND($D233&lt;&gt;"",$E233&lt;&gt;"",$E233&lt;=$D233),"Bottom depth is not below top depth. ","")&amp;IF($H233="","Say which bulk-density basis the lab reported, or the coarse-fragment correction cannot be applied safely. ","")&amp;IF(AND($I233&lt;&gt;"",OR($I233&lt;QC_BD_MIN,$I233&gt;QC_BD_MAX)),"Bulk density outside "&amp;QC_BD_MIN&amp;"–"&amp;QC_BD_MAX&amp;" g/cm³. ","")&amp;IF(AND($L233&lt;&gt;"",$L233&gt;QC_CARBON_PCT_MAX),"Carbon above "&amp;QC_CARBON_PCT_MAX&amp;"% — check units; this may be organic matter rather than carbon. ","")&amp;IF(AND($J233&lt;&gt;"",$K233&lt;&gt;""),"Both LOI and measured carbon given — the measured value is used. ","")&amp;IF(AND($N233&lt;&gt;"",$N233=0),"Slice lies entirely below the reporting depth — it counts to the full-core stock only. ",""))</f>
        <v/>
      </c>
      <c r="R233" s="1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 t="str">
        <f aca="false">IF(OR($D234="",$E234=""),"",$E234-$D234)</f>
        <v/>
      </c>
      <c r="G234" s="13"/>
      <c r="H234" s="13"/>
      <c r="I234" s="15"/>
      <c r="J234" s="15"/>
      <c r="K234" s="15"/>
      <c r="L234" s="14" t="str">
        <f aca="false">IF($K234&lt;&gt;"",$K234,IF($J234&lt;&gt;"",$J234*CARBON_FRACTION_OM,""))</f>
        <v/>
      </c>
      <c r="M234" s="14" t="n">
        <f aca="false">IF($H234="Fine earth / fine-earth volume",1-IF($G234="",0,$G234)/100,1)</f>
        <v>1</v>
      </c>
      <c r="N234" s="14" t="str">
        <f aca="false">IF(OR($D234="",$E234=""),"",MAX(0,MIN($E234,REPORTING_DEPTH_CM)-MIN($D234,REPORTING_DEPTH_CM)))</f>
        <v/>
      </c>
      <c r="O234" s="14" t="str">
        <f aca="false">IF(OR($I234="",$L234="",$N234=""),"",$I234*($L234/100)*$N234*$M234*10)</f>
        <v/>
      </c>
      <c r="P234" s="14" t="str">
        <f aca="false">IF(OR($I234="",$L234="",$F234=""),"",$I234*($L234/100)*$F234*$M234*10)</f>
        <v/>
      </c>
      <c r="Q234" s="14" t="str">
        <f aca="false">IF(AND($A234="",$B234="",$D234=""),"",IF(AND($B234&lt;&gt;"",COUNTIF('2. Core Log'!$A$5:$A$124,$B234)=0),"Core ID not in Core Log. ","")&amp;IF(AND($A234&lt;&gt;"",COUNTIF('1. Plot &amp; Site Log'!$A$5:$A$64,$A234)=0),"Plot ID not in Plot &amp; Site Log. ","")&amp;IF(AND($D234&lt;&gt;"",$E234&lt;&gt;"",$E234&lt;=$D234),"Bottom depth is not below top depth. ","")&amp;IF($H234="","Say which bulk-density basis the lab reported, or the coarse-fragment correction cannot be applied safely. ","")&amp;IF(AND($I234&lt;&gt;"",OR($I234&lt;QC_BD_MIN,$I234&gt;QC_BD_MAX)),"Bulk density outside "&amp;QC_BD_MIN&amp;"–"&amp;QC_BD_MAX&amp;" g/cm³. ","")&amp;IF(AND($L234&lt;&gt;"",$L234&gt;QC_CARBON_PCT_MAX),"Carbon above "&amp;QC_CARBON_PCT_MAX&amp;"% — check units; this may be organic matter rather than carbon. ","")&amp;IF(AND($J234&lt;&gt;"",$K234&lt;&gt;""),"Both LOI and measured carbon given — the measured value is used. ","")&amp;IF(AND($N234&lt;&gt;"",$N234=0),"Slice lies entirely below the reporting depth — it counts to the full-core stock only. ",""))</f>
        <v/>
      </c>
      <c r="R234" s="13"/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3" t="str">
        <f aca="false">IF(OR($D235="",$E235=""),"",$E235-$D235)</f>
        <v/>
      </c>
      <c r="G235" s="13"/>
      <c r="H235" s="13"/>
      <c r="I235" s="15"/>
      <c r="J235" s="15"/>
      <c r="K235" s="15"/>
      <c r="L235" s="14" t="str">
        <f aca="false">IF($K235&lt;&gt;"",$K235,IF($J235&lt;&gt;"",$J235*CARBON_FRACTION_OM,""))</f>
        <v/>
      </c>
      <c r="M235" s="14" t="n">
        <f aca="false">IF($H235="Fine earth / fine-earth volume",1-IF($G235="",0,$G235)/100,1)</f>
        <v>1</v>
      </c>
      <c r="N235" s="14" t="str">
        <f aca="false">IF(OR($D235="",$E235=""),"",MAX(0,MIN($E235,REPORTING_DEPTH_CM)-MIN($D235,REPORTING_DEPTH_CM)))</f>
        <v/>
      </c>
      <c r="O235" s="14" t="str">
        <f aca="false">IF(OR($I235="",$L235="",$N235=""),"",$I235*($L235/100)*$N235*$M235*10)</f>
        <v/>
      </c>
      <c r="P235" s="14" t="str">
        <f aca="false">IF(OR($I235="",$L235="",$F235=""),"",$I235*($L235/100)*$F235*$M235*10)</f>
        <v/>
      </c>
      <c r="Q235" s="14" t="str">
        <f aca="false">IF(AND($A235="",$B235="",$D235=""),"",IF(AND($B235&lt;&gt;"",COUNTIF('2. Core Log'!$A$5:$A$124,$B235)=0),"Core ID not in Core Log. ","")&amp;IF(AND($A235&lt;&gt;"",COUNTIF('1. Plot &amp; Site Log'!$A$5:$A$64,$A235)=0),"Plot ID not in Plot &amp; Site Log. ","")&amp;IF(AND($D235&lt;&gt;"",$E235&lt;&gt;"",$E235&lt;=$D235),"Bottom depth is not below top depth. ","")&amp;IF($H235="","Say which bulk-density basis the lab reported, or the coarse-fragment correction cannot be applied safely. ","")&amp;IF(AND($I235&lt;&gt;"",OR($I235&lt;QC_BD_MIN,$I235&gt;QC_BD_MAX)),"Bulk density outside "&amp;QC_BD_MIN&amp;"–"&amp;QC_BD_MAX&amp;" g/cm³. ","")&amp;IF(AND($L235&lt;&gt;"",$L235&gt;QC_CARBON_PCT_MAX),"Carbon above "&amp;QC_CARBON_PCT_MAX&amp;"% — check units; this may be organic matter rather than carbon. ","")&amp;IF(AND($J235&lt;&gt;"",$K235&lt;&gt;""),"Both LOI and measured carbon given — the measured value is used. ","")&amp;IF(AND($N235&lt;&gt;"",$N235=0),"Slice lies entirely below the reporting depth — it counts to the full-core stock only. ",""))</f>
        <v/>
      </c>
      <c r="R235" s="1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 t="str">
        <f aca="false">IF(OR($D236="",$E236=""),"",$E236-$D236)</f>
        <v/>
      </c>
      <c r="G236" s="13"/>
      <c r="H236" s="13"/>
      <c r="I236" s="15"/>
      <c r="J236" s="15"/>
      <c r="K236" s="15"/>
      <c r="L236" s="14" t="str">
        <f aca="false">IF($K236&lt;&gt;"",$K236,IF($J236&lt;&gt;"",$J236*CARBON_FRACTION_OM,""))</f>
        <v/>
      </c>
      <c r="M236" s="14" t="n">
        <f aca="false">IF($H236="Fine earth / fine-earth volume",1-IF($G236="",0,$G236)/100,1)</f>
        <v>1</v>
      </c>
      <c r="N236" s="14" t="str">
        <f aca="false">IF(OR($D236="",$E236=""),"",MAX(0,MIN($E236,REPORTING_DEPTH_CM)-MIN($D236,REPORTING_DEPTH_CM)))</f>
        <v/>
      </c>
      <c r="O236" s="14" t="str">
        <f aca="false">IF(OR($I236="",$L236="",$N236=""),"",$I236*($L236/100)*$N236*$M236*10)</f>
        <v/>
      </c>
      <c r="P236" s="14" t="str">
        <f aca="false">IF(OR($I236="",$L236="",$F236=""),"",$I236*($L236/100)*$F236*$M236*10)</f>
        <v/>
      </c>
      <c r="Q236" s="14" t="str">
        <f aca="false">IF(AND($A236="",$B236="",$D236=""),"",IF(AND($B236&lt;&gt;"",COUNTIF('2. Core Log'!$A$5:$A$124,$B236)=0),"Core ID not in Core Log. ","")&amp;IF(AND($A236&lt;&gt;"",COUNTIF('1. Plot &amp; Site Log'!$A$5:$A$64,$A236)=0),"Plot ID not in Plot &amp; Site Log. ","")&amp;IF(AND($D236&lt;&gt;"",$E236&lt;&gt;"",$E236&lt;=$D236),"Bottom depth is not below top depth. ","")&amp;IF($H236="","Say which bulk-density basis the lab reported, or the coarse-fragment correction cannot be applied safely. ","")&amp;IF(AND($I236&lt;&gt;"",OR($I236&lt;QC_BD_MIN,$I236&gt;QC_BD_MAX)),"Bulk density outside "&amp;QC_BD_MIN&amp;"–"&amp;QC_BD_MAX&amp;" g/cm³. ","")&amp;IF(AND($L236&lt;&gt;"",$L236&gt;QC_CARBON_PCT_MAX),"Carbon above "&amp;QC_CARBON_PCT_MAX&amp;"% — check units; this may be organic matter rather than carbon. ","")&amp;IF(AND($J236&lt;&gt;"",$K236&lt;&gt;""),"Both LOI and measured carbon given — the measured value is used. ","")&amp;IF(AND($N236&lt;&gt;"",$N236=0),"Slice lies entirely below the reporting depth — it counts to the full-core stock only. ",""))</f>
        <v/>
      </c>
      <c r="R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3" t="str">
        <f aca="false">IF(OR($D237="",$E237=""),"",$E237-$D237)</f>
        <v/>
      </c>
      <c r="G237" s="13"/>
      <c r="H237" s="13"/>
      <c r="I237" s="15"/>
      <c r="J237" s="15"/>
      <c r="K237" s="15"/>
      <c r="L237" s="14" t="str">
        <f aca="false">IF($K237&lt;&gt;"",$K237,IF($J237&lt;&gt;"",$J237*CARBON_FRACTION_OM,""))</f>
        <v/>
      </c>
      <c r="M237" s="14" t="n">
        <f aca="false">IF($H237="Fine earth / fine-earth volume",1-IF($G237="",0,$G237)/100,1)</f>
        <v>1</v>
      </c>
      <c r="N237" s="14" t="str">
        <f aca="false">IF(OR($D237="",$E237=""),"",MAX(0,MIN($E237,REPORTING_DEPTH_CM)-MIN($D237,REPORTING_DEPTH_CM)))</f>
        <v/>
      </c>
      <c r="O237" s="14" t="str">
        <f aca="false">IF(OR($I237="",$L237="",$N237=""),"",$I237*($L237/100)*$N237*$M237*10)</f>
        <v/>
      </c>
      <c r="P237" s="14" t="str">
        <f aca="false">IF(OR($I237="",$L237="",$F237=""),"",$I237*($L237/100)*$F237*$M237*10)</f>
        <v/>
      </c>
      <c r="Q237" s="14" t="str">
        <f aca="false">IF(AND($A237="",$B237="",$D237=""),"",IF(AND($B237&lt;&gt;"",COUNTIF('2. Core Log'!$A$5:$A$124,$B237)=0),"Core ID not in Core Log. ","")&amp;IF(AND($A237&lt;&gt;"",COUNTIF('1. Plot &amp; Site Log'!$A$5:$A$64,$A237)=0),"Plot ID not in Plot &amp; Site Log. ","")&amp;IF(AND($D237&lt;&gt;"",$E237&lt;&gt;"",$E237&lt;=$D237),"Bottom depth is not below top depth. ","")&amp;IF($H237="","Say which bulk-density basis the lab reported, or the coarse-fragment correction cannot be applied safely. ","")&amp;IF(AND($I237&lt;&gt;"",OR($I237&lt;QC_BD_MIN,$I237&gt;QC_BD_MAX)),"Bulk density outside "&amp;QC_BD_MIN&amp;"–"&amp;QC_BD_MAX&amp;" g/cm³. ","")&amp;IF(AND($L237&lt;&gt;"",$L237&gt;QC_CARBON_PCT_MAX),"Carbon above "&amp;QC_CARBON_PCT_MAX&amp;"% — check units; this may be organic matter rather than carbon. ","")&amp;IF(AND($J237&lt;&gt;"",$K237&lt;&gt;""),"Both LOI and measured carbon given — the measured value is used. ","")&amp;IF(AND($N237&lt;&gt;"",$N237=0),"Slice lies entirely below the reporting depth — it counts to the full-core stock only. ",""))</f>
        <v/>
      </c>
      <c r="R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 t="str">
        <f aca="false">IF(OR($D238="",$E238=""),"",$E238-$D238)</f>
        <v/>
      </c>
      <c r="G238" s="13"/>
      <c r="H238" s="13"/>
      <c r="I238" s="15"/>
      <c r="J238" s="15"/>
      <c r="K238" s="15"/>
      <c r="L238" s="14" t="str">
        <f aca="false">IF($K238&lt;&gt;"",$K238,IF($J238&lt;&gt;"",$J238*CARBON_FRACTION_OM,""))</f>
        <v/>
      </c>
      <c r="M238" s="14" t="n">
        <f aca="false">IF($H238="Fine earth / fine-earth volume",1-IF($G238="",0,$G238)/100,1)</f>
        <v>1</v>
      </c>
      <c r="N238" s="14" t="str">
        <f aca="false">IF(OR($D238="",$E238=""),"",MAX(0,MIN($E238,REPORTING_DEPTH_CM)-MIN($D238,REPORTING_DEPTH_CM)))</f>
        <v/>
      </c>
      <c r="O238" s="14" t="str">
        <f aca="false">IF(OR($I238="",$L238="",$N238=""),"",$I238*($L238/100)*$N238*$M238*10)</f>
        <v/>
      </c>
      <c r="P238" s="14" t="str">
        <f aca="false">IF(OR($I238="",$L238="",$F238=""),"",$I238*($L238/100)*$F238*$M238*10)</f>
        <v/>
      </c>
      <c r="Q238" s="14" t="str">
        <f aca="false">IF(AND($A238="",$B238="",$D238=""),"",IF(AND($B238&lt;&gt;"",COUNTIF('2. Core Log'!$A$5:$A$124,$B238)=0),"Core ID not in Core Log. ","")&amp;IF(AND($A238&lt;&gt;"",COUNTIF('1. Plot &amp; Site Log'!$A$5:$A$64,$A238)=0),"Plot ID not in Plot &amp; Site Log. ","")&amp;IF(AND($D238&lt;&gt;"",$E238&lt;&gt;"",$E238&lt;=$D238),"Bottom depth is not below top depth. ","")&amp;IF($H238="","Say which bulk-density basis the lab reported, or the coarse-fragment correction cannot be applied safely. ","")&amp;IF(AND($I238&lt;&gt;"",OR($I238&lt;QC_BD_MIN,$I238&gt;QC_BD_MAX)),"Bulk density outside "&amp;QC_BD_MIN&amp;"–"&amp;QC_BD_MAX&amp;" g/cm³. ","")&amp;IF(AND($L238&lt;&gt;"",$L238&gt;QC_CARBON_PCT_MAX),"Carbon above "&amp;QC_CARBON_PCT_MAX&amp;"% — check units; this may be organic matter rather than carbon. ","")&amp;IF(AND($J238&lt;&gt;"",$K238&lt;&gt;""),"Both LOI and measured carbon given — the measured value is used. ","")&amp;IF(AND($N238&lt;&gt;"",$N238=0),"Slice lies entirely below the reporting depth — it counts to the full-core stock only. ",""))</f>
        <v/>
      </c>
      <c r="R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3" t="str">
        <f aca="false">IF(OR($D239="",$E239=""),"",$E239-$D239)</f>
        <v/>
      </c>
      <c r="G239" s="13"/>
      <c r="H239" s="13"/>
      <c r="I239" s="15"/>
      <c r="J239" s="15"/>
      <c r="K239" s="15"/>
      <c r="L239" s="14" t="str">
        <f aca="false">IF($K239&lt;&gt;"",$K239,IF($J239&lt;&gt;"",$J239*CARBON_FRACTION_OM,""))</f>
        <v/>
      </c>
      <c r="M239" s="14" t="n">
        <f aca="false">IF($H239="Fine earth / fine-earth volume",1-IF($G239="",0,$G239)/100,1)</f>
        <v>1</v>
      </c>
      <c r="N239" s="14" t="str">
        <f aca="false">IF(OR($D239="",$E239=""),"",MAX(0,MIN($E239,REPORTING_DEPTH_CM)-MIN($D239,REPORTING_DEPTH_CM)))</f>
        <v/>
      </c>
      <c r="O239" s="14" t="str">
        <f aca="false">IF(OR($I239="",$L239="",$N239=""),"",$I239*($L239/100)*$N239*$M239*10)</f>
        <v/>
      </c>
      <c r="P239" s="14" t="str">
        <f aca="false">IF(OR($I239="",$L239="",$F239=""),"",$I239*($L239/100)*$F239*$M239*10)</f>
        <v/>
      </c>
      <c r="Q239" s="14" t="str">
        <f aca="false">IF(AND($A239="",$B239="",$D239=""),"",IF(AND($B239&lt;&gt;"",COUNTIF('2. Core Log'!$A$5:$A$124,$B239)=0),"Core ID not in Core Log. ","")&amp;IF(AND($A239&lt;&gt;"",COUNTIF('1. Plot &amp; Site Log'!$A$5:$A$64,$A239)=0),"Plot ID not in Plot &amp; Site Log. ","")&amp;IF(AND($D239&lt;&gt;"",$E239&lt;&gt;"",$E239&lt;=$D239),"Bottom depth is not below top depth. ","")&amp;IF($H239="","Say which bulk-density basis the lab reported, or the coarse-fragment correction cannot be applied safely. ","")&amp;IF(AND($I239&lt;&gt;"",OR($I239&lt;QC_BD_MIN,$I239&gt;QC_BD_MAX)),"Bulk density outside "&amp;QC_BD_MIN&amp;"–"&amp;QC_BD_MAX&amp;" g/cm³. ","")&amp;IF(AND($L239&lt;&gt;"",$L239&gt;QC_CARBON_PCT_MAX),"Carbon above "&amp;QC_CARBON_PCT_MAX&amp;"% — check units; this may be organic matter rather than carbon. ","")&amp;IF(AND($J239&lt;&gt;"",$K239&lt;&gt;""),"Both LOI and measured carbon given — the measured value is used. ","")&amp;IF(AND($N239&lt;&gt;"",$N239=0),"Slice lies entirely below the reporting depth — it counts to the full-core stock only. ",""))</f>
        <v/>
      </c>
      <c r="R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 t="str">
        <f aca="false">IF(OR($D240="",$E240=""),"",$E240-$D240)</f>
        <v/>
      </c>
      <c r="G240" s="13"/>
      <c r="H240" s="13"/>
      <c r="I240" s="15"/>
      <c r="J240" s="15"/>
      <c r="K240" s="15"/>
      <c r="L240" s="14" t="str">
        <f aca="false">IF($K240&lt;&gt;"",$K240,IF($J240&lt;&gt;"",$J240*CARBON_FRACTION_OM,""))</f>
        <v/>
      </c>
      <c r="M240" s="14" t="n">
        <f aca="false">IF($H240="Fine earth / fine-earth volume",1-IF($G240="",0,$G240)/100,1)</f>
        <v>1</v>
      </c>
      <c r="N240" s="14" t="str">
        <f aca="false">IF(OR($D240="",$E240=""),"",MAX(0,MIN($E240,REPORTING_DEPTH_CM)-MIN($D240,REPORTING_DEPTH_CM)))</f>
        <v/>
      </c>
      <c r="O240" s="14" t="str">
        <f aca="false">IF(OR($I240="",$L240="",$N240=""),"",$I240*($L240/100)*$N240*$M240*10)</f>
        <v/>
      </c>
      <c r="P240" s="14" t="str">
        <f aca="false">IF(OR($I240="",$L240="",$F240=""),"",$I240*($L240/100)*$F240*$M240*10)</f>
        <v/>
      </c>
      <c r="Q240" s="14" t="str">
        <f aca="false">IF(AND($A240="",$B240="",$D240=""),"",IF(AND($B240&lt;&gt;"",COUNTIF('2. Core Log'!$A$5:$A$124,$B240)=0),"Core ID not in Core Log. ","")&amp;IF(AND($A240&lt;&gt;"",COUNTIF('1. Plot &amp; Site Log'!$A$5:$A$64,$A240)=0),"Plot ID not in Plot &amp; Site Log. ","")&amp;IF(AND($D240&lt;&gt;"",$E240&lt;&gt;"",$E240&lt;=$D240),"Bottom depth is not below top depth. ","")&amp;IF($H240="","Say which bulk-density basis the lab reported, or the coarse-fragment correction cannot be applied safely. ","")&amp;IF(AND($I240&lt;&gt;"",OR($I240&lt;QC_BD_MIN,$I240&gt;QC_BD_MAX)),"Bulk density outside "&amp;QC_BD_MIN&amp;"–"&amp;QC_BD_MAX&amp;" g/cm³. ","")&amp;IF(AND($L240&lt;&gt;"",$L240&gt;QC_CARBON_PCT_MAX),"Carbon above "&amp;QC_CARBON_PCT_MAX&amp;"% — check units; this may be organic matter rather than carbon. ","")&amp;IF(AND($J240&lt;&gt;"",$K240&lt;&gt;""),"Both LOI and measured carbon given — the measured value is used. ","")&amp;IF(AND($N240&lt;&gt;"",$N240=0),"Slice lies entirely below the reporting depth — it counts to the full-core stock only. ",""))</f>
        <v/>
      </c>
      <c r="R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3" t="str">
        <f aca="false">IF(OR($D241="",$E241=""),"",$E241-$D241)</f>
        <v/>
      </c>
      <c r="G241" s="13"/>
      <c r="H241" s="13"/>
      <c r="I241" s="15"/>
      <c r="J241" s="15"/>
      <c r="K241" s="15"/>
      <c r="L241" s="14" t="str">
        <f aca="false">IF($K241&lt;&gt;"",$K241,IF($J241&lt;&gt;"",$J241*CARBON_FRACTION_OM,""))</f>
        <v/>
      </c>
      <c r="M241" s="14" t="n">
        <f aca="false">IF($H241="Fine earth / fine-earth volume",1-IF($G241="",0,$G241)/100,1)</f>
        <v>1</v>
      </c>
      <c r="N241" s="14" t="str">
        <f aca="false">IF(OR($D241="",$E241=""),"",MAX(0,MIN($E241,REPORTING_DEPTH_CM)-MIN($D241,REPORTING_DEPTH_CM)))</f>
        <v/>
      </c>
      <c r="O241" s="14" t="str">
        <f aca="false">IF(OR($I241="",$L241="",$N241=""),"",$I241*($L241/100)*$N241*$M241*10)</f>
        <v/>
      </c>
      <c r="P241" s="14" t="str">
        <f aca="false">IF(OR($I241="",$L241="",$F241=""),"",$I241*($L241/100)*$F241*$M241*10)</f>
        <v/>
      </c>
      <c r="Q241" s="14" t="str">
        <f aca="false">IF(AND($A241="",$B241="",$D241=""),"",IF(AND($B241&lt;&gt;"",COUNTIF('2. Core Log'!$A$5:$A$124,$B241)=0),"Core ID not in Core Log. ","")&amp;IF(AND($A241&lt;&gt;"",COUNTIF('1. Plot &amp; Site Log'!$A$5:$A$64,$A241)=0),"Plot ID not in Plot &amp; Site Log. ","")&amp;IF(AND($D241&lt;&gt;"",$E241&lt;&gt;"",$E241&lt;=$D241),"Bottom depth is not below top depth. ","")&amp;IF($H241="","Say which bulk-density basis the lab reported, or the coarse-fragment correction cannot be applied safely. ","")&amp;IF(AND($I241&lt;&gt;"",OR($I241&lt;QC_BD_MIN,$I241&gt;QC_BD_MAX)),"Bulk density outside "&amp;QC_BD_MIN&amp;"–"&amp;QC_BD_MAX&amp;" g/cm³. ","")&amp;IF(AND($L241&lt;&gt;"",$L241&gt;QC_CARBON_PCT_MAX),"Carbon above "&amp;QC_CARBON_PCT_MAX&amp;"% — check units; this may be organic matter rather than carbon. ","")&amp;IF(AND($J241&lt;&gt;"",$K241&lt;&gt;""),"Both LOI and measured carbon given — the measured value is used. ","")&amp;IF(AND($N241&lt;&gt;"",$N241=0),"Slice lies entirely below the reporting depth — it counts to the full-core stock only. ",""))</f>
        <v/>
      </c>
      <c r="R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 t="str">
        <f aca="false">IF(OR($D242="",$E242=""),"",$E242-$D242)</f>
        <v/>
      </c>
      <c r="G242" s="13"/>
      <c r="H242" s="13"/>
      <c r="I242" s="15"/>
      <c r="J242" s="15"/>
      <c r="K242" s="15"/>
      <c r="L242" s="14" t="str">
        <f aca="false">IF($K242&lt;&gt;"",$K242,IF($J242&lt;&gt;"",$J242*CARBON_FRACTION_OM,""))</f>
        <v/>
      </c>
      <c r="M242" s="14" t="n">
        <f aca="false">IF($H242="Fine earth / fine-earth volume",1-IF($G242="",0,$G242)/100,1)</f>
        <v>1</v>
      </c>
      <c r="N242" s="14" t="str">
        <f aca="false">IF(OR($D242="",$E242=""),"",MAX(0,MIN($E242,REPORTING_DEPTH_CM)-MIN($D242,REPORTING_DEPTH_CM)))</f>
        <v/>
      </c>
      <c r="O242" s="14" t="str">
        <f aca="false">IF(OR($I242="",$L242="",$N242=""),"",$I242*($L242/100)*$N242*$M242*10)</f>
        <v/>
      </c>
      <c r="P242" s="14" t="str">
        <f aca="false">IF(OR($I242="",$L242="",$F242=""),"",$I242*($L242/100)*$F242*$M242*10)</f>
        <v/>
      </c>
      <c r="Q242" s="14" t="str">
        <f aca="false">IF(AND($A242="",$B242="",$D242=""),"",IF(AND($B242&lt;&gt;"",COUNTIF('2. Core Log'!$A$5:$A$124,$B242)=0),"Core ID not in Core Log. ","")&amp;IF(AND($A242&lt;&gt;"",COUNTIF('1. Plot &amp; Site Log'!$A$5:$A$64,$A242)=0),"Plot ID not in Plot &amp; Site Log. ","")&amp;IF(AND($D242&lt;&gt;"",$E242&lt;&gt;"",$E242&lt;=$D242),"Bottom depth is not below top depth. ","")&amp;IF($H242="","Say which bulk-density basis the lab reported, or the coarse-fragment correction cannot be applied safely. ","")&amp;IF(AND($I242&lt;&gt;"",OR($I242&lt;QC_BD_MIN,$I242&gt;QC_BD_MAX)),"Bulk density outside "&amp;QC_BD_MIN&amp;"–"&amp;QC_BD_MAX&amp;" g/cm³. ","")&amp;IF(AND($L242&lt;&gt;"",$L242&gt;QC_CARBON_PCT_MAX),"Carbon above "&amp;QC_CARBON_PCT_MAX&amp;"% — check units; this may be organic matter rather than carbon. ","")&amp;IF(AND($J242&lt;&gt;"",$K242&lt;&gt;""),"Both LOI and measured carbon given — the measured value is used. ","")&amp;IF(AND($N242&lt;&gt;"",$N242=0),"Slice lies entirely below the reporting depth — it counts to the full-core stock only. ",""))</f>
        <v/>
      </c>
      <c r="R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 t="str">
        <f aca="false">IF(OR($D243="",$E243=""),"",$E243-$D243)</f>
        <v/>
      </c>
      <c r="G243" s="13"/>
      <c r="H243" s="13"/>
      <c r="I243" s="15"/>
      <c r="J243" s="15"/>
      <c r="K243" s="15"/>
      <c r="L243" s="14" t="str">
        <f aca="false">IF($K243&lt;&gt;"",$K243,IF($J243&lt;&gt;"",$J243*CARBON_FRACTION_OM,""))</f>
        <v/>
      </c>
      <c r="M243" s="14" t="n">
        <f aca="false">IF($H243="Fine earth / fine-earth volume",1-IF($G243="",0,$G243)/100,1)</f>
        <v>1</v>
      </c>
      <c r="N243" s="14" t="str">
        <f aca="false">IF(OR($D243="",$E243=""),"",MAX(0,MIN($E243,REPORTING_DEPTH_CM)-MIN($D243,REPORTING_DEPTH_CM)))</f>
        <v/>
      </c>
      <c r="O243" s="14" t="str">
        <f aca="false">IF(OR($I243="",$L243="",$N243=""),"",$I243*($L243/100)*$N243*$M243*10)</f>
        <v/>
      </c>
      <c r="P243" s="14" t="str">
        <f aca="false">IF(OR($I243="",$L243="",$F243=""),"",$I243*($L243/100)*$F243*$M243*10)</f>
        <v/>
      </c>
      <c r="Q243" s="14" t="str">
        <f aca="false">IF(AND($A243="",$B243="",$D243=""),"",IF(AND($B243&lt;&gt;"",COUNTIF('2. Core Log'!$A$5:$A$124,$B243)=0),"Core ID not in Core Log. ","")&amp;IF(AND($A243&lt;&gt;"",COUNTIF('1. Plot &amp; Site Log'!$A$5:$A$64,$A243)=0),"Plot ID not in Plot &amp; Site Log. ","")&amp;IF(AND($D243&lt;&gt;"",$E243&lt;&gt;"",$E243&lt;=$D243),"Bottom depth is not below top depth. ","")&amp;IF($H243="","Say which bulk-density basis the lab reported, or the coarse-fragment correction cannot be applied safely. ","")&amp;IF(AND($I243&lt;&gt;"",OR($I243&lt;QC_BD_MIN,$I243&gt;QC_BD_MAX)),"Bulk density outside "&amp;QC_BD_MIN&amp;"–"&amp;QC_BD_MAX&amp;" g/cm³. ","")&amp;IF(AND($L243&lt;&gt;"",$L243&gt;QC_CARBON_PCT_MAX),"Carbon above "&amp;QC_CARBON_PCT_MAX&amp;"% — check units; this may be organic matter rather than carbon. ","")&amp;IF(AND($J243&lt;&gt;"",$K243&lt;&gt;""),"Both LOI and measured carbon given — the measured value is used. ","")&amp;IF(AND($N243&lt;&gt;"",$N243=0),"Slice lies entirely below the reporting depth — it counts to the full-core stock only. ",""))</f>
        <v/>
      </c>
      <c r="R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 t="str">
        <f aca="false">IF(OR($D244="",$E244=""),"",$E244-$D244)</f>
        <v/>
      </c>
      <c r="G244" s="13"/>
      <c r="H244" s="13"/>
      <c r="I244" s="15"/>
      <c r="J244" s="15"/>
      <c r="K244" s="15"/>
      <c r="L244" s="14" t="str">
        <f aca="false">IF($K244&lt;&gt;"",$K244,IF($J244&lt;&gt;"",$J244*CARBON_FRACTION_OM,""))</f>
        <v/>
      </c>
      <c r="M244" s="14" t="n">
        <f aca="false">IF($H244="Fine earth / fine-earth volume",1-IF($G244="",0,$G244)/100,1)</f>
        <v>1</v>
      </c>
      <c r="N244" s="14" t="str">
        <f aca="false">IF(OR($D244="",$E244=""),"",MAX(0,MIN($E244,REPORTING_DEPTH_CM)-MIN($D244,REPORTING_DEPTH_CM)))</f>
        <v/>
      </c>
      <c r="O244" s="14" t="str">
        <f aca="false">IF(OR($I244="",$L244="",$N244=""),"",$I244*($L244/100)*$N244*$M244*10)</f>
        <v/>
      </c>
      <c r="P244" s="14" t="str">
        <f aca="false">IF(OR($I244="",$L244="",$F244=""),"",$I244*($L244/100)*$F244*$M244*10)</f>
        <v/>
      </c>
      <c r="Q244" s="14" t="str">
        <f aca="false">IF(AND($A244="",$B244="",$D244=""),"",IF(AND($B244&lt;&gt;"",COUNTIF('2. Core Log'!$A$5:$A$124,$B244)=0),"Core ID not in Core Log. ","")&amp;IF(AND($A244&lt;&gt;"",COUNTIF('1. Plot &amp; Site Log'!$A$5:$A$64,$A244)=0),"Plot ID not in Plot &amp; Site Log. ","")&amp;IF(AND($D244&lt;&gt;"",$E244&lt;&gt;"",$E244&lt;=$D244),"Bottom depth is not below top depth. ","")&amp;IF($H244="","Say which bulk-density basis the lab reported, or the coarse-fragment correction cannot be applied safely. ","")&amp;IF(AND($I244&lt;&gt;"",OR($I244&lt;QC_BD_MIN,$I244&gt;QC_BD_MAX)),"Bulk density outside "&amp;QC_BD_MIN&amp;"–"&amp;QC_BD_MAX&amp;" g/cm³. ","")&amp;IF(AND($L244&lt;&gt;"",$L244&gt;QC_CARBON_PCT_MAX),"Carbon above "&amp;QC_CARBON_PCT_MAX&amp;"% — check units; this may be organic matter rather than carbon. ","")&amp;IF(AND($J244&lt;&gt;"",$K244&lt;&gt;""),"Both LOI and measured carbon given — the measured value is used. ","")&amp;IF(AND($N244&lt;&gt;"",$N244=0),"Slice lies entirely below the reporting depth — it counts to the full-core stock only. ",""))</f>
        <v/>
      </c>
      <c r="R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3" t="str">
        <f aca="false">IF(OR($D245="",$E245=""),"",$E245-$D245)</f>
        <v/>
      </c>
      <c r="G245" s="13"/>
      <c r="H245" s="13"/>
      <c r="I245" s="15"/>
      <c r="J245" s="15"/>
      <c r="K245" s="15"/>
      <c r="L245" s="14" t="str">
        <f aca="false">IF($K245&lt;&gt;"",$K245,IF($J245&lt;&gt;"",$J245*CARBON_FRACTION_OM,""))</f>
        <v/>
      </c>
      <c r="M245" s="14" t="n">
        <f aca="false">IF($H245="Fine earth / fine-earth volume",1-IF($G245="",0,$G245)/100,1)</f>
        <v>1</v>
      </c>
      <c r="N245" s="14" t="str">
        <f aca="false">IF(OR($D245="",$E245=""),"",MAX(0,MIN($E245,REPORTING_DEPTH_CM)-MIN($D245,REPORTING_DEPTH_CM)))</f>
        <v/>
      </c>
      <c r="O245" s="14" t="str">
        <f aca="false">IF(OR($I245="",$L245="",$N245=""),"",$I245*($L245/100)*$N245*$M245*10)</f>
        <v/>
      </c>
      <c r="P245" s="14" t="str">
        <f aca="false">IF(OR($I245="",$L245="",$F245=""),"",$I245*($L245/100)*$F245*$M245*10)</f>
        <v/>
      </c>
      <c r="Q245" s="14" t="str">
        <f aca="false">IF(AND($A245="",$B245="",$D245=""),"",IF(AND($B245&lt;&gt;"",COUNTIF('2. Core Log'!$A$5:$A$124,$B245)=0),"Core ID not in Core Log. ","")&amp;IF(AND($A245&lt;&gt;"",COUNTIF('1. Plot &amp; Site Log'!$A$5:$A$64,$A245)=0),"Plot ID not in Plot &amp; Site Log. ","")&amp;IF(AND($D245&lt;&gt;"",$E245&lt;&gt;"",$E245&lt;=$D245),"Bottom depth is not below top depth. ","")&amp;IF($H245="","Say which bulk-density basis the lab reported, or the coarse-fragment correction cannot be applied safely. ","")&amp;IF(AND($I245&lt;&gt;"",OR($I245&lt;QC_BD_MIN,$I245&gt;QC_BD_MAX)),"Bulk density outside "&amp;QC_BD_MIN&amp;"–"&amp;QC_BD_MAX&amp;" g/cm³. ","")&amp;IF(AND($L245&lt;&gt;"",$L245&gt;QC_CARBON_PCT_MAX),"Carbon above "&amp;QC_CARBON_PCT_MAX&amp;"% — check units; this may be organic matter rather than carbon. ","")&amp;IF(AND($J245&lt;&gt;"",$K245&lt;&gt;""),"Both LOI and measured carbon given — the measured value is used. ","")&amp;IF(AND($N245&lt;&gt;"",$N245=0),"Slice lies entirely below the reporting depth — it counts to the full-core stock only. ",""))</f>
        <v/>
      </c>
      <c r="R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 t="str">
        <f aca="false">IF(OR($D246="",$E246=""),"",$E246-$D246)</f>
        <v/>
      </c>
      <c r="G246" s="13"/>
      <c r="H246" s="13"/>
      <c r="I246" s="15"/>
      <c r="J246" s="15"/>
      <c r="K246" s="15"/>
      <c r="L246" s="14" t="str">
        <f aca="false">IF($K246&lt;&gt;"",$K246,IF($J246&lt;&gt;"",$J246*CARBON_FRACTION_OM,""))</f>
        <v/>
      </c>
      <c r="M246" s="14" t="n">
        <f aca="false">IF($H246="Fine earth / fine-earth volume",1-IF($G246="",0,$G246)/100,1)</f>
        <v>1</v>
      </c>
      <c r="N246" s="14" t="str">
        <f aca="false">IF(OR($D246="",$E246=""),"",MAX(0,MIN($E246,REPORTING_DEPTH_CM)-MIN($D246,REPORTING_DEPTH_CM)))</f>
        <v/>
      </c>
      <c r="O246" s="14" t="str">
        <f aca="false">IF(OR($I246="",$L246="",$N246=""),"",$I246*($L246/100)*$N246*$M246*10)</f>
        <v/>
      </c>
      <c r="P246" s="14" t="str">
        <f aca="false">IF(OR($I246="",$L246="",$F246=""),"",$I246*($L246/100)*$F246*$M246*10)</f>
        <v/>
      </c>
      <c r="Q246" s="14" t="str">
        <f aca="false">IF(AND($A246="",$B246="",$D246=""),"",IF(AND($B246&lt;&gt;"",COUNTIF('2. Core Log'!$A$5:$A$124,$B246)=0),"Core ID not in Core Log. ","")&amp;IF(AND($A246&lt;&gt;"",COUNTIF('1. Plot &amp; Site Log'!$A$5:$A$64,$A246)=0),"Plot ID not in Plot &amp; Site Log. ","")&amp;IF(AND($D246&lt;&gt;"",$E246&lt;&gt;"",$E246&lt;=$D246),"Bottom depth is not below top depth. ","")&amp;IF($H246="","Say which bulk-density basis the lab reported, or the coarse-fragment correction cannot be applied safely. ","")&amp;IF(AND($I246&lt;&gt;"",OR($I246&lt;QC_BD_MIN,$I246&gt;QC_BD_MAX)),"Bulk density outside "&amp;QC_BD_MIN&amp;"–"&amp;QC_BD_MAX&amp;" g/cm³. ","")&amp;IF(AND($L246&lt;&gt;"",$L246&gt;QC_CARBON_PCT_MAX),"Carbon above "&amp;QC_CARBON_PCT_MAX&amp;"% — check units; this may be organic matter rather than carbon. ","")&amp;IF(AND($J246&lt;&gt;"",$K246&lt;&gt;""),"Both LOI and measured carbon given — the measured value is used. ","")&amp;IF(AND($N246&lt;&gt;"",$N246=0),"Slice lies entirely below the reporting depth — it counts to the full-core stock only. ",""))</f>
        <v/>
      </c>
      <c r="R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3" t="str">
        <f aca="false">IF(OR($D247="",$E247=""),"",$E247-$D247)</f>
        <v/>
      </c>
      <c r="G247" s="13"/>
      <c r="H247" s="13"/>
      <c r="I247" s="15"/>
      <c r="J247" s="15"/>
      <c r="K247" s="15"/>
      <c r="L247" s="14" t="str">
        <f aca="false">IF($K247&lt;&gt;"",$K247,IF($J247&lt;&gt;"",$J247*CARBON_FRACTION_OM,""))</f>
        <v/>
      </c>
      <c r="M247" s="14" t="n">
        <f aca="false">IF($H247="Fine earth / fine-earth volume",1-IF($G247="",0,$G247)/100,1)</f>
        <v>1</v>
      </c>
      <c r="N247" s="14" t="str">
        <f aca="false">IF(OR($D247="",$E247=""),"",MAX(0,MIN($E247,REPORTING_DEPTH_CM)-MIN($D247,REPORTING_DEPTH_CM)))</f>
        <v/>
      </c>
      <c r="O247" s="14" t="str">
        <f aca="false">IF(OR($I247="",$L247="",$N247=""),"",$I247*($L247/100)*$N247*$M247*10)</f>
        <v/>
      </c>
      <c r="P247" s="14" t="str">
        <f aca="false">IF(OR($I247="",$L247="",$F247=""),"",$I247*($L247/100)*$F247*$M247*10)</f>
        <v/>
      </c>
      <c r="Q247" s="14" t="str">
        <f aca="false">IF(AND($A247="",$B247="",$D247=""),"",IF(AND($B247&lt;&gt;"",COUNTIF('2. Core Log'!$A$5:$A$124,$B247)=0),"Core ID not in Core Log. ","")&amp;IF(AND($A247&lt;&gt;"",COUNTIF('1. Plot &amp; Site Log'!$A$5:$A$64,$A247)=0),"Plot ID not in Plot &amp; Site Log. ","")&amp;IF(AND($D247&lt;&gt;"",$E247&lt;&gt;"",$E247&lt;=$D247),"Bottom depth is not below top depth. ","")&amp;IF($H247="","Say which bulk-density basis the lab reported, or the coarse-fragment correction cannot be applied safely. ","")&amp;IF(AND($I247&lt;&gt;"",OR($I247&lt;QC_BD_MIN,$I247&gt;QC_BD_MAX)),"Bulk density outside "&amp;QC_BD_MIN&amp;"–"&amp;QC_BD_MAX&amp;" g/cm³. ","")&amp;IF(AND($L247&lt;&gt;"",$L247&gt;QC_CARBON_PCT_MAX),"Carbon above "&amp;QC_CARBON_PCT_MAX&amp;"% — check units; this may be organic matter rather than carbon. ","")&amp;IF(AND($J247&lt;&gt;"",$K247&lt;&gt;""),"Both LOI and measured carbon given — the measured value is used. ","")&amp;IF(AND($N247&lt;&gt;"",$N247=0),"Slice lies entirely below the reporting depth — it counts to the full-core stock only. ",""))</f>
        <v/>
      </c>
      <c r="R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 t="str">
        <f aca="false">IF(OR($D248="",$E248=""),"",$E248-$D248)</f>
        <v/>
      </c>
      <c r="G248" s="13"/>
      <c r="H248" s="13"/>
      <c r="I248" s="15"/>
      <c r="J248" s="15"/>
      <c r="K248" s="15"/>
      <c r="L248" s="14" t="str">
        <f aca="false">IF($K248&lt;&gt;"",$K248,IF($J248&lt;&gt;"",$J248*CARBON_FRACTION_OM,""))</f>
        <v/>
      </c>
      <c r="M248" s="14" t="n">
        <f aca="false">IF($H248="Fine earth / fine-earth volume",1-IF($G248="",0,$G248)/100,1)</f>
        <v>1</v>
      </c>
      <c r="N248" s="14" t="str">
        <f aca="false">IF(OR($D248="",$E248=""),"",MAX(0,MIN($E248,REPORTING_DEPTH_CM)-MIN($D248,REPORTING_DEPTH_CM)))</f>
        <v/>
      </c>
      <c r="O248" s="14" t="str">
        <f aca="false">IF(OR($I248="",$L248="",$N248=""),"",$I248*($L248/100)*$N248*$M248*10)</f>
        <v/>
      </c>
      <c r="P248" s="14" t="str">
        <f aca="false">IF(OR($I248="",$L248="",$F248=""),"",$I248*($L248/100)*$F248*$M248*10)</f>
        <v/>
      </c>
      <c r="Q248" s="14" t="str">
        <f aca="false">IF(AND($A248="",$B248="",$D248=""),"",IF(AND($B248&lt;&gt;"",COUNTIF('2. Core Log'!$A$5:$A$124,$B248)=0),"Core ID not in Core Log. ","")&amp;IF(AND($A248&lt;&gt;"",COUNTIF('1. Plot &amp; Site Log'!$A$5:$A$64,$A248)=0),"Plot ID not in Plot &amp; Site Log. ","")&amp;IF(AND($D248&lt;&gt;"",$E248&lt;&gt;"",$E248&lt;=$D248),"Bottom depth is not below top depth. ","")&amp;IF($H248="","Say which bulk-density basis the lab reported, or the coarse-fragment correction cannot be applied safely. ","")&amp;IF(AND($I248&lt;&gt;"",OR($I248&lt;QC_BD_MIN,$I248&gt;QC_BD_MAX)),"Bulk density outside "&amp;QC_BD_MIN&amp;"–"&amp;QC_BD_MAX&amp;" g/cm³. ","")&amp;IF(AND($L248&lt;&gt;"",$L248&gt;QC_CARBON_PCT_MAX),"Carbon above "&amp;QC_CARBON_PCT_MAX&amp;"% — check units; this may be organic matter rather than carbon. ","")&amp;IF(AND($J248&lt;&gt;"",$K248&lt;&gt;""),"Both LOI and measured carbon given — the measured value is used. ","")&amp;IF(AND($N248&lt;&gt;"",$N248=0),"Slice lies entirely below the reporting depth — it counts to the full-core stock only. ",""))</f>
        <v/>
      </c>
      <c r="R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3" t="str">
        <f aca="false">IF(OR($D249="",$E249=""),"",$E249-$D249)</f>
        <v/>
      </c>
      <c r="G249" s="13"/>
      <c r="H249" s="13"/>
      <c r="I249" s="15"/>
      <c r="J249" s="15"/>
      <c r="K249" s="15"/>
      <c r="L249" s="14" t="str">
        <f aca="false">IF($K249&lt;&gt;"",$K249,IF($J249&lt;&gt;"",$J249*CARBON_FRACTION_OM,""))</f>
        <v/>
      </c>
      <c r="M249" s="14" t="n">
        <f aca="false">IF($H249="Fine earth / fine-earth volume",1-IF($G249="",0,$G249)/100,1)</f>
        <v>1</v>
      </c>
      <c r="N249" s="14" t="str">
        <f aca="false">IF(OR($D249="",$E249=""),"",MAX(0,MIN($E249,REPORTING_DEPTH_CM)-MIN($D249,REPORTING_DEPTH_CM)))</f>
        <v/>
      </c>
      <c r="O249" s="14" t="str">
        <f aca="false">IF(OR($I249="",$L249="",$N249=""),"",$I249*($L249/100)*$N249*$M249*10)</f>
        <v/>
      </c>
      <c r="P249" s="14" t="str">
        <f aca="false">IF(OR($I249="",$L249="",$F249=""),"",$I249*($L249/100)*$F249*$M249*10)</f>
        <v/>
      </c>
      <c r="Q249" s="14" t="str">
        <f aca="false">IF(AND($A249="",$B249="",$D249=""),"",IF(AND($B249&lt;&gt;"",COUNTIF('2. Core Log'!$A$5:$A$124,$B249)=0),"Core ID not in Core Log. ","")&amp;IF(AND($A249&lt;&gt;"",COUNTIF('1. Plot &amp; Site Log'!$A$5:$A$64,$A249)=0),"Plot ID not in Plot &amp; Site Log. ","")&amp;IF(AND($D249&lt;&gt;"",$E249&lt;&gt;"",$E249&lt;=$D249),"Bottom depth is not below top depth. ","")&amp;IF($H249="","Say which bulk-density basis the lab reported, or the coarse-fragment correction cannot be applied safely. ","")&amp;IF(AND($I249&lt;&gt;"",OR($I249&lt;QC_BD_MIN,$I249&gt;QC_BD_MAX)),"Bulk density outside "&amp;QC_BD_MIN&amp;"–"&amp;QC_BD_MAX&amp;" g/cm³. ","")&amp;IF(AND($L249&lt;&gt;"",$L249&gt;QC_CARBON_PCT_MAX),"Carbon above "&amp;QC_CARBON_PCT_MAX&amp;"% — check units; this may be organic matter rather than carbon. ","")&amp;IF(AND($J249&lt;&gt;"",$K249&lt;&gt;""),"Both LOI and measured carbon given — the measured value is used. ","")&amp;IF(AND($N249&lt;&gt;"",$N249=0),"Slice lies entirely below the reporting depth — it counts to the full-core stock only. ",""))</f>
        <v/>
      </c>
      <c r="R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 t="str">
        <f aca="false">IF(OR($D250="",$E250=""),"",$E250-$D250)</f>
        <v/>
      </c>
      <c r="G250" s="13"/>
      <c r="H250" s="13"/>
      <c r="I250" s="15"/>
      <c r="J250" s="15"/>
      <c r="K250" s="15"/>
      <c r="L250" s="14" t="str">
        <f aca="false">IF($K250&lt;&gt;"",$K250,IF($J250&lt;&gt;"",$J250*CARBON_FRACTION_OM,""))</f>
        <v/>
      </c>
      <c r="M250" s="14" t="n">
        <f aca="false">IF($H250="Fine earth / fine-earth volume",1-IF($G250="",0,$G250)/100,1)</f>
        <v>1</v>
      </c>
      <c r="N250" s="14" t="str">
        <f aca="false">IF(OR($D250="",$E250=""),"",MAX(0,MIN($E250,REPORTING_DEPTH_CM)-MIN($D250,REPORTING_DEPTH_CM)))</f>
        <v/>
      </c>
      <c r="O250" s="14" t="str">
        <f aca="false">IF(OR($I250="",$L250="",$N250=""),"",$I250*($L250/100)*$N250*$M250*10)</f>
        <v/>
      </c>
      <c r="P250" s="14" t="str">
        <f aca="false">IF(OR($I250="",$L250="",$F250=""),"",$I250*($L250/100)*$F250*$M250*10)</f>
        <v/>
      </c>
      <c r="Q250" s="14" t="str">
        <f aca="false">IF(AND($A250="",$B250="",$D250=""),"",IF(AND($B250&lt;&gt;"",COUNTIF('2. Core Log'!$A$5:$A$124,$B250)=0),"Core ID not in Core Log. ","")&amp;IF(AND($A250&lt;&gt;"",COUNTIF('1. Plot &amp; Site Log'!$A$5:$A$64,$A250)=0),"Plot ID not in Plot &amp; Site Log. ","")&amp;IF(AND($D250&lt;&gt;"",$E250&lt;&gt;"",$E250&lt;=$D250),"Bottom depth is not below top depth. ","")&amp;IF($H250="","Say which bulk-density basis the lab reported, or the coarse-fragment correction cannot be applied safely. ","")&amp;IF(AND($I250&lt;&gt;"",OR($I250&lt;QC_BD_MIN,$I250&gt;QC_BD_MAX)),"Bulk density outside "&amp;QC_BD_MIN&amp;"–"&amp;QC_BD_MAX&amp;" g/cm³. ","")&amp;IF(AND($L250&lt;&gt;"",$L250&gt;QC_CARBON_PCT_MAX),"Carbon above "&amp;QC_CARBON_PCT_MAX&amp;"% — check units; this may be organic matter rather than carbon. ","")&amp;IF(AND($J250&lt;&gt;"",$K250&lt;&gt;""),"Both LOI and measured carbon given — the measured value is used. ","")&amp;IF(AND($N250&lt;&gt;"",$N250=0),"Slice lies entirely below the reporting depth — it counts to the full-core stock only. ",""))</f>
        <v/>
      </c>
      <c r="R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3" t="str">
        <f aca="false">IF(OR($D251="",$E251=""),"",$E251-$D251)</f>
        <v/>
      </c>
      <c r="G251" s="13"/>
      <c r="H251" s="13"/>
      <c r="I251" s="15"/>
      <c r="J251" s="15"/>
      <c r="K251" s="15"/>
      <c r="L251" s="14" t="str">
        <f aca="false">IF($K251&lt;&gt;"",$K251,IF($J251&lt;&gt;"",$J251*CARBON_FRACTION_OM,""))</f>
        <v/>
      </c>
      <c r="M251" s="14" t="n">
        <f aca="false">IF($H251="Fine earth / fine-earth volume",1-IF($G251="",0,$G251)/100,1)</f>
        <v>1</v>
      </c>
      <c r="N251" s="14" t="str">
        <f aca="false">IF(OR($D251="",$E251=""),"",MAX(0,MIN($E251,REPORTING_DEPTH_CM)-MIN($D251,REPORTING_DEPTH_CM)))</f>
        <v/>
      </c>
      <c r="O251" s="14" t="str">
        <f aca="false">IF(OR($I251="",$L251="",$N251=""),"",$I251*($L251/100)*$N251*$M251*10)</f>
        <v/>
      </c>
      <c r="P251" s="14" t="str">
        <f aca="false">IF(OR($I251="",$L251="",$F251=""),"",$I251*($L251/100)*$F251*$M251*10)</f>
        <v/>
      </c>
      <c r="Q251" s="14" t="str">
        <f aca="false">IF(AND($A251="",$B251="",$D251=""),"",IF(AND($B251&lt;&gt;"",COUNTIF('2. Core Log'!$A$5:$A$124,$B251)=0),"Core ID not in Core Log. ","")&amp;IF(AND($A251&lt;&gt;"",COUNTIF('1. Plot &amp; Site Log'!$A$5:$A$64,$A251)=0),"Plot ID not in Plot &amp; Site Log. ","")&amp;IF(AND($D251&lt;&gt;"",$E251&lt;&gt;"",$E251&lt;=$D251),"Bottom depth is not below top depth. ","")&amp;IF($H251="","Say which bulk-density basis the lab reported, or the coarse-fragment correction cannot be applied safely. ","")&amp;IF(AND($I251&lt;&gt;"",OR($I251&lt;QC_BD_MIN,$I251&gt;QC_BD_MAX)),"Bulk density outside "&amp;QC_BD_MIN&amp;"–"&amp;QC_BD_MAX&amp;" g/cm³. ","")&amp;IF(AND($L251&lt;&gt;"",$L251&gt;QC_CARBON_PCT_MAX),"Carbon above "&amp;QC_CARBON_PCT_MAX&amp;"% — check units; this may be organic matter rather than carbon. ","")&amp;IF(AND($J251&lt;&gt;"",$K251&lt;&gt;""),"Both LOI and measured carbon given — the measured value is used. ","")&amp;IF(AND($N251&lt;&gt;"",$N251=0),"Slice lies entirely below the reporting depth — it counts to the full-core stock only. ",""))</f>
        <v/>
      </c>
      <c r="R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 t="str">
        <f aca="false">IF(OR($D252="",$E252=""),"",$E252-$D252)</f>
        <v/>
      </c>
      <c r="G252" s="13"/>
      <c r="H252" s="13"/>
      <c r="I252" s="15"/>
      <c r="J252" s="15"/>
      <c r="K252" s="15"/>
      <c r="L252" s="14" t="str">
        <f aca="false">IF($K252&lt;&gt;"",$K252,IF($J252&lt;&gt;"",$J252*CARBON_FRACTION_OM,""))</f>
        <v/>
      </c>
      <c r="M252" s="14" t="n">
        <f aca="false">IF($H252="Fine earth / fine-earth volume",1-IF($G252="",0,$G252)/100,1)</f>
        <v>1</v>
      </c>
      <c r="N252" s="14" t="str">
        <f aca="false">IF(OR($D252="",$E252=""),"",MAX(0,MIN($E252,REPORTING_DEPTH_CM)-MIN($D252,REPORTING_DEPTH_CM)))</f>
        <v/>
      </c>
      <c r="O252" s="14" t="str">
        <f aca="false">IF(OR($I252="",$L252="",$N252=""),"",$I252*($L252/100)*$N252*$M252*10)</f>
        <v/>
      </c>
      <c r="P252" s="14" t="str">
        <f aca="false">IF(OR($I252="",$L252="",$F252=""),"",$I252*($L252/100)*$F252*$M252*10)</f>
        <v/>
      </c>
      <c r="Q252" s="14" t="str">
        <f aca="false">IF(AND($A252="",$B252="",$D252=""),"",IF(AND($B252&lt;&gt;"",COUNTIF('2. Core Log'!$A$5:$A$124,$B252)=0),"Core ID not in Core Log. ","")&amp;IF(AND($A252&lt;&gt;"",COUNTIF('1. Plot &amp; Site Log'!$A$5:$A$64,$A252)=0),"Plot ID not in Plot &amp; Site Log. ","")&amp;IF(AND($D252&lt;&gt;"",$E252&lt;&gt;"",$E252&lt;=$D252),"Bottom depth is not below top depth. ","")&amp;IF($H252="","Say which bulk-density basis the lab reported, or the coarse-fragment correction cannot be applied safely. ","")&amp;IF(AND($I252&lt;&gt;"",OR($I252&lt;QC_BD_MIN,$I252&gt;QC_BD_MAX)),"Bulk density outside "&amp;QC_BD_MIN&amp;"–"&amp;QC_BD_MAX&amp;" g/cm³. ","")&amp;IF(AND($L252&lt;&gt;"",$L252&gt;QC_CARBON_PCT_MAX),"Carbon above "&amp;QC_CARBON_PCT_MAX&amp;"% — check units; this may be organic matter rather than carbon. ","")&amp;IF(AND($J252&lt;&gt;"",$K252&lt;&gt;""),"Both LOI and measured carbon given — the measured value is used. ","")&amp;IF(AND($N252&lt;&gt;"",$N252=0),"Slice lies entirely below the reporting depth — it counts to the full-core stock only. ",""))</f>
        <v/>
      </c>
      <c r="R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3" t="str">
        <f aca="false">IF(OR($D253="",$E253=""),"",$E253-$D253)</f>
        <v/>
      </c>
      <c r="G253" s="13"/>
      <c r="H253" s="13"/>
      <c r="I253" s="15"/>
      <c r="J253" s="15"/>
      <c r="K253" s="15"/>
      <c r="L253" s="14" t="str">
        <f aca="false">IF($K253&lt;&gt;"",$K253,IF($J253&lt;&gt;"",$J253*CARBON_FRACTION_OM,""))</f>
        <v/>
      </c>
      <c r="M253" s="14" t="n">
        <f aca="false">IF($H253="Fine earth / fine-earth volume",1-IF($G253="",0,$G253)/100,1)</f>
        <v>1</v>
      </c>
      <c r="N253" s="14" t="str">
        <f aca="false">IF(OR($D253="",$E253=""),"",MAX(0,MIN($E253,REPORTING_DEPTH_CM)-MIN($D253,REPORTING_DEPTH_CM)))</f>
        <v/>
      </c>
      <c r="O253" s="14" t="str">
        <f aca="false">IF(OR($I253="",$L253="",$N253=""),"",$I253*($L253/100)*$N253*$M253*10)</f>
        <v/>
      </c>
      <c r="P253" s="14" t="str">
        <f aca="false">IF(OR($I253="",$L253="",$F253=""),"",$I253*($L253/100)*$F253*$M253*10)</f>
        <v/>
      </c>
      <c r="Q253" s="14" t="str">
        <f aca="false">IF(AND($A253="",$B253="",$D253=""),"",IF(AND($B253&lt;&gt;"",COUNTIF('2. Core Log'!$A$5:$A$124,$B253)=0),"Core ID not in Core Log. ","")&amp;IF(AND($A253&lt;&gt;"",COUNTIF('1. Plot &amp; Site Log'!$A$5:$A$64,$A253)=0),"Plot ID not in Plot &amp; Site Log. ","")&amp;IF(AND($D253&lt;&gt;"",$E253&lt;&gt;"",$E253&lt;=$D253),"Bottom depth is not below top depth. ","")&amp;IF($H253="","Say which bulk-density basis the lab reported, or the coarse-fragment correction cannot be applied safely. ","")&amp;IF(AND($I253&lt;&gt;"",OR($I253&lt;QC_BD_MIN,$I253&gt;QC_BD_MAX)),"Bulk density outside "&amp;QC_BD_MIN&amp;"–"&amp;QC_BD_MAX&amp;" g/cm³. ","")&amp;IF(AND($L253&lt;&gt;"",$L253&gt;QC_CARBON_PCT_MAX),"Carbon above "&amp;QC_CARBON_PCT_MAX&amp;"% — check units; this may be organic matter rather than carbon. ","")&amp;IF(AND($J253&lt;&gt;"",$K253&lt;&gt;""),"Both LOI and measured carbon given — the measured value is used. ","")&amp;IF(AND($N253&lt;&gt;"",$N253=0),"Slice lies entirely below the reporting depth — it counts to the full-core stock only. ",""))</f>
        <v/>
      </c>
      <c r="R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 t="str">
        <f aca="false">IF(OR($D254="",$E254=""),"",$E254-$D254)</f>
        <v/>
      </c>
      <c r="G254" s="13"/>
      <c r="H254" s="13"/>
      <c r="I254" s="15"/>
      <c r="J254" s="15"/>
      <c r="K254" s="15"/>
      <c r="L254" s="14" t="str">
        <f aca="false">IF($K254&lt;&gt;"",$K254,IF($J254&lt;&gt;"",$J254*CARBON_FRACTION_OM,""))</f>
        <v/>
      </c>
      <c r="M254" s="14" t="n">
        <f aca="false">IF($H254="Fine earth / fine-earth volume",1-IF($G254="",0,$G254)/100,1)</f>
        <v>1</v>
      </c>
      <c r="N254" s="14" t="str">
        <f aca="false">IF(OR($D254="",$E254=""),"",MAX(0,MIN($E254,REPORTING_DEPTH_CM)-MIN($D254,REPORTING_DEPTH_CM)))</f>
        <v/>
      </c>
      <c r="O254" s="14" t="str">
        <f aca="false">IF(OR($I254="",$L254="",$N254=""),"",$I254*($L254/100)*$N254*$M254*10)</f>
        <v/>
      </c>
      <c r="P254" s="14" t="str">
        <f aca="false">IF(OR($I254="",$L254="",$F254=""),"",$I254*($L254/100)*$F254*$M254*10)</f>
        <v/>
      </c>
      <c r="Q254" s="14" t="str">
        <f aca="false">IF(AND($A254="",$B254="",$D254=""),"",IF(AND($B254&lt;&gt;"",COUNTIF('2. Core Log'!$A$5:$A$124,$B254)=0),"Core ID not in Core Log. ","")&amp;IF(AND($A254&lt;&gt;"",COUNTIF('1. Plot &amp; Site Log'!$A$5:$A$64,$A254)=0),"Plot ID not in Plot &amp; Site Log. ","")&amp;IF(AND($D254&lt;&gt;"",$E254&lt;&gt;"",$E254&lt;=$D254),"Bottom depth is not below top depth. ","")&amp;IF($H254="","Say which bulk-density basis the lab reported, or the coarse-fragment correction cannot be applied safely. ","")&amp;IF(AND($I254&lt;&gt;"",OR($I254&lt;QC_BD_MIN,$I254&gt;QC_BD_MAX)),"Bulk density outside "&amp;QC_BD_MIN&amp;"–"&amp;QC_BD_MAX&amp;" g/cm³. ","")&amp;IF(AND($L254&lt;&gt;"",$L254&gt;QC_CARBON_PCT_MAX),"Carbon above "&amp;QC_CARBON_PCT_MAX&amp;"% — check units; this may be organic matter rather than carbon. ","")&amp;IF(AND($J254&lt;&gt;"",$K254&lt;&gt;""),"Both LOI and measured carbon given — the measured value is used. ","")&amp;IF(AND($N254&lt;&gt;"",$N254=0),"Slice lies entirely below the reporting depth — it counts to the full-core stock only. ",""))</f>
        <v/>
      </c>
      <c r="R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3" t="str">
        <f aca="false">IF(OR($D255="",$E255=""),"",$E255-$D255)</f>
        <v/>
      </c>
      <c r="G255" s="13"/>
      <c r="H255" s="13"/>
      <c r="I255" s="15"/>
      <c r="J255" s="15"/>
      <c r="K255" s="15"/>
      <c r="L255" s="14" t="str">
        <f aca="false">IF($K255&lt;&gt;"",$K255,IF($J255&lt;&gt;"",$J255*CARBON_FRACTION_OM,""))</f>
        <v/>
      </c>
      <c r="M255" s="14" t="n">
        <f aca="false">IF($H255="Fine earth / fine-earth volume",1-IF($G255="",0,$G255)/100,1)</f>
        <v>1</v>
      </c>
      <c r="N255" s="14" t="str">
        <f aca="false">IF(OR($D255="",$E255=""),"",MAX(0,MIN($E255,REPORTING_DEPTH_CM)-MIN($D255,REPORTING_DEPTH_CM)))</f>
        <v/>
      </c>
      <c r="O255" s="14" t="str">
        <f aca="false">IF(OR($I255="",$L255="",$N255=""),"",$I255*($L255/100)*$N255*$M255*10)</f>
        <v/>
      </c>
      <c r="P255" s="14" t="str">
        <f aca="false">IF(OR($I255="",$L255="",$F255=""),"",$I255*($L255/100)*$F255*$M255*10)</f>
        <v/>
      </c>
      <c r="Q255" s="14" t="str">
        <f aca="false">IF(AND($A255="",$B255="",$D255=""),"",IF(AND($B255&lt;&gt;"",COUNTIF('2. Core Log'!$A$5:$A$124,$B255)=0),"Core ID not in Core Log. ","")&amp;IF(AND($A255&lt;&gt;"",COUNTIF('1. Plot &amp; Site Log'!$A$5:$A$64,$A255)=0),"Plot ID not in Plot &amp; Site Log. ","")&amp;IF(AND($D255&lt;&gt;"",$E255&lt;&gt;"",$E255&lt;=$D255),"Bottom depth is not below top depth. ","")&amp;IF($H255="","Say which bulk-density basis the lab reported, or the coarse-fragment correction cannot be applied safely. ","")&amp;IF(AND($I255&lt;&gt;"",OR($I255&lt;QC_BD_MIN,$I255&gt;QC_BD_MAX)),"Bulk density outside "&amp;QC_BD_MIN&amp;"–"&amp;QC_BD_MAX&amp;" g/cm³. ","")&amp;IF(AND($L255&lt;&gt;"",$L255&gt;QC_CARBON_PCT_MAX),"Carbon above "&amp;QC_CARBON_PCT_MAX&amp;"% — check units; this may be organic matter rather than carbon. ","")&amp;IF(AND($J255&lt;&gt;"",$K255&lt;&gt;""),"Both LOI and measured carbon given — the measured value is used. ","")&amp;IF(AND($N255&lt;&gt;"",$N255=0),"Slice lies entirely below the reporting depth — it counts to the full-core stock only. ",""))</f>
        <v/>
      </c>
      <c r="R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 t="str">
        <f aca="false">IF(OR($D256="",$E256=""),"",$E256-$D256)</f>
        <v/>
      </c>
      <c r="G256" s="13"/>
      <c r="H256" s="13"/>
      <c r="I256" s="15"/>
      <c r="J256" s="15"/>
      <c r="K256" s="15"/>
      <c r="L256" s="14" t="str">
        <f aca="false">IF($K256&lt;&gt;"",$K256,IF($J256&lt;&gt;"",$J256*CARBON_FRACTION_OM,""))</f>
        <v/>
      </c>
      <c r="M256" s="14" t="n">
        <f aca="false">IF($H256="Fine earth / fine-earth volume",1-IF($G256="",0,$G256)/100,1)</f>
        <v>1</v>
      </c>
      <c r="N256" s="14" t="str">
        <f aca="false">IF(OR($D256="",$E256=""),"",MAX(0,MIN($E256,REPORTING_DEPTH_CM)-MIN($D256,REPORTING_DEPTH_CM)))</f>
        <v/>
      </c>
      <c r="O256" s="14" t="str">
        <f aca="false">IF(OR($I256="",$L256="",$N256=""),"",$I256*($L256/100)*$N256*$M256*10)</f>
        <v/>
      </c>
      <c r="P256" s="14" t="str">
        <f aca="false">IF(OR($I256="",$L256="",$F256=""),"",$I256*($L256/100)*$F256*$M256*10)</f>
        <v/>
      </c>
      <c r="Q256" s="14" t="str">
        <f aca="false">IF(AND($A256="",$B256="",$D256=""),"",IF(AND($B256&lt;&gt;"",COUNTIF('2. Core Log'!$A$5:$A$124,$B256)=0),"Core ID not in Core Log. ","")&amp;IF(AND($A256&lt;&gt;"",COUNTIF('1. Plot &amp; Site Log'!$A$5:$A$64,$A256)=0),"Plot ID not in Plot &amp; Site Log. ","")&amp;IF(AND($D256&lt;&gt;"",$E256&lt;&gt;"",$E256&lt;=$D256),"Bottom depth is not below top depth. ","")&amp;IF($H256="","Say which bulk-density basis the lab reported, or the coarse-fragment correction cannot be applied safely. ","")&amp;IF(AND($I256&lt;&gt;"",OR($I256&lt;QC_BD_MIN,$I256&gt;QC_BD_MAX)),"Bulk density outside "&amp;QC_BD_MIN&amp;"–"&amp;QC_BD_MAX&amp;" g/cm³. ","")&amp;IF(AND($L256&lt;&gt;"",$L256&gt;QC_CARBON_PCT_MAX),"Carbon above "&amp;QC_CARBON_PCT_MAX&amp;"% — check units; this may be organic matter rather than carbon. ","")&amp;IF(AND($J256&lt;&gt;"",$K256&lt;&gt;""),"Both LOI and measured carbon given — the measured value is used. ","")&amp;IF(AND($N256&lt;&gt;"",$N256=0),"Slice lies entirely below the reporting depth — it counts to the full-core stock only. ",""))</f>
        <v/>
      </c>
      <c r="R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3" t="str">
        <f aca="false">IF(OR($D257="",$E257=""),"",$E257-$D257)</f>
        <v/>
      </c>
      <c r="G257" s="13"/>
      <c r="H257" s="13"/>
      <c r="I257" s="15"/>
      <c r="J257" s="15"/>
      <c r="K257" s="15"/>
      <c r="L257" s="14" t="str">
        <f aca="false">IF($K257&lt;&gt;"",$K257,IF($J257&lt;&gt;"",$J257*CARBON_FRACTION_OM,""))</f>
        <v/>
      </c>
      <c r="M257" s="14" t="n">
        <f aca="false">IF($H257="Fine earth / fine-earth volume",1-IF($G257="",0,$G257)/100,1)</f>
        <v>1</v>
      </c>
      <c r="N257" s="14" t="str">
        <f aca="false">IF(OR($D257="",$E257=""),"",MAX(0,MIN($E257,REPORTING_DEPTH_CM)-MIN($D257,REPORTING_DEPTH_CM)))</f>
        <v/>
      </c>
      <c r="O257" s="14" t="str">
        <f aca="false">IF(OR($I257="",$L257="",$N257=""),"",$I257*($L257/100)*$N257*$M257*10)</f>
        <v/>
      </c>
      <c r="P257" s="14" t="str">
        <f aca="false">IF(OR($I257="",$L257="",$F257=""),"",$I257*($L257/100)*$F257*$M257*10)</f>
        <v/>
      </c>
      <c r="Q257" s="14" t="str">
        <f aca="false">IF(AND($A257="",$B257="",$D257=""),"",IF(AND($B257&lt;&gt;"",COUNTIF('2. Core Log'!$A$5:$A$124,$B257)=0),"Core ID not in Core Log. ","")&amp;IF(AND($A257&lt;&gt;"",COUNTIF('1. Plot &amp; Site Log'!$A$5:$A$64,$A257)=0),"Plot ID not in Plot &amp; Site Log. ","")&amp;IF(AND($D257&lt;&gt;"",$E257&lt;&gt;"",$E257&lt;=$D257),"Bottom depth is not below top depth. ","")&amp;IF($H257="","Say which bulk-density basis the lab reported, or the coarse-fragment correction cannot be applied safely. ","")&amp;IF(AND($I257&lt;&gt;"",OR($I257&lt;QC_BD_MIN,$I257&gt;QC_BD_MAX)),"Bulk density outside "&amp;QC_BD_MIN&amp;"–"&amp;QC_BD_MAX&amp;" g/cm³. ","")&amp;IF(AND($L257&lt;&gt;"",$L257&gt;QC_CARBON_PCT_MAX),"Carbon above "&amp;QC_CARBON_PCT_MAX&amp;"% — check units; this may be organic matter rather than carbon. ","")&amp;IF(AND($J257&lt;&gt;"",$K257&lt;&gt;""),"Both LOI and measured carbon given — the measured value is used. ","")&amp;IF(AND($N257&lt;&gt;"",$N257=0),"Slice lies entirely below the reporting depth — it counts to the full-core stock only. ",""))</f>
        <v/>
      </c>
      <c r="R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 t="str">
        <f aca="false">IF(OR($D258="",$E258=""),"",$E258-$D258)</f>
        <v/>
      </c>
      <c r="G258" s="13"/>
      <c r="H258" s="13"/>
      <c r="I258" s="15"/>
      <c r="J258" s="15"/>
      <c r="K258" s="15"/>
      <c r="L258" s="14" t="str">
        <f aca="false">IF($K258&lt;&gt;"",$K258,IF($J258&lt;&gt;"",$J258*CARBON_FRACTION_OM,""))</f>
        <v/>
      </c>
      <c r="M258" s="14" t="n">
        <f aca="false">IF($H258="Fine earth / fine-earth volume",1-IF($G258="",0,$G258)/100,1)</f>
        <v>1</v>
      </c>
      <c r="N258" s="14" t="str">
        <f aca="false">IF(OR($D258="",$E258=""),"",MAX(0,MIN($E258,REPORTING_DEPTH_CM)-MIN($D258,REPORTING_DEPTH_CM)))</f>
        <v/>
      </c>
      <c r="O258" s="14" t="str">
        <f aca="false">IF(OR($I258="",$L258="",$N258=""),"",$I258*($L258/100)*$N258*$M258*10)</f>
        <v/>
      </c>
      <c r="P258" s="14" t="str">
        <f aca="false">IF(OR($I258="",$L258="",$F258=""),"",$I258*($L258/100)*$F258*$M258*10)</f>
        <v/>
      </c>
      <c r="Q258" s="14" t="str">
        <f aca="false">IF(AND($A258="",$B258="",$D258=""),"",IF(AND($B258&lt;&gt;"",COUNTIF('2. Core Log'!$A$5:$A$124,$B258)=0),"Core ID not in Core Log. ","")&amp;IF(AND($A258&lt;&gt;"",COUNTIF('1. Plot &amp; Site Log'!$A$5:$A$64,$A258)=0),"Plot ID not in Plot &amp; Site Log. ","")&amp;IF(AND($D258&lt;&gt;"",$E258&lt;&gt;"",$E258&lt;=$D258),"Bottom depth is not below top depth. ","")&amp;IF($H258="","Say which bulk-density basis the lab reported, or the coarse-fragment correction cannot be applied safely. ","")&amp;IF(AND($I258&lt;&gt;"",OR($I258&lt;QC_BD_MIN,$I258&gt;QC_BD_MAX)),"Bulk density outside "&amp;QC_BD_MIN&amp;"–"&amp;QC_BD_MAX&amp;" g/cm³. ","")&amp;IF(AND($L258&lt;&gt;"",$L258&gt;QC_CARBON_PCT_MAX),"Carbon above "&amp;QC_CARBON_PCT_MAX&amp;"% — check units; this may be organic matter rather than carbon. ","")&amp;IF(AND($J258&lt;&gt;"",$K258&lt;&gt;""),"Both LOI and measured carbon given — the measured value is used. ","")&amp;IF(AND($N258&lt;&gt;"",$N258=0),"Slice lies entirely below the reporting depth — it counts to the full-core stock only. ",""))</f>
        <v/>
      </c>
      <c r="R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3" t="str">
        <f aca="false">IF(OR($D259="",$E259=""),"",$E259-$D259)</f>
        <v/>
      </c>
      <c r="G259" s="13"/>
      <c r="H259" s="13"/>
      <c r="I259" s="15"/>
      <c r="J259" s="15"/>
      <c r="K259" s="15"/>
      <c r="L259" s="14" t="str">
        <f aca="false">IF($K259&lt;&gt;"",$K259,IF($J259&lt;&gt;"",$J259*CARBON_FRACTION_OM,""))</f>
        <v/>
      </c>
      <c r="M259" s="14" t="n">
        <f aca="false">IF($H259="Fine earth / fine-earth volume",1-IF($G259="",0,$G259)/100,1)</f>
        <v>1</v>
      </c>
      <c r="N259" s="14" t="str">
        <f aca="false">IF(OR($D259="",$E259=""),"",MAX(0,MIN($E259,REPORTING_DEPTH_CM)-MIN($D259,REPORTING_DEPTH_CM)))</f>
        <v/>
      </c>
      <c r="O259" s="14" t="str">
        <f aca="false">IF(OR($I259="",$L259="",$N259=""),"",$I259*($L259/100)*$N259*$M259*10)</f>
        <v/>
      </c>
      <c r="P259" s="14" t="str">
        <f aca="false">IF(OR($I259="",$L259="",$F259=""),"",$I259*($L259/100)*$F259*$M259*10)</f>
        <v/>
      </c>
      <c r="Q259" s="14" t="str">
        <f aca="false">IF(AND($A259="",$B259="",$D259=""),"",IF(AND($B259&lt;&gt;"",COUNTIF('2. Core Log'!$A$5:$A$124,$B259)=0),"Core ID not in Core Log. ","")&amp;IF(AND($A259&lt;&gt;"",COUNTIF('1. Plot &amp; Site Log'!$A$5:$A$64,$A259)=0),"Plot ID not in Plot &amp; Site Log. ","")&amp;IF(AND($D259&lt;&gt;"",$E259&lt;&gt;"",$E259&lt;=$D259),"Bottom depth is not below top depth. ","")&amp;IF($H259="","Say which bulk-density basis the lab reported, or the coarse-fragment correction cannot be applied safely. ","")&amp;IF(AND($I259&lt;&gt;"",OR($I259&lt;QC_BD_MIN,$I259&gt;QC_BD_MAX)),"Bulk density outside "&amp;QC_BD_MIN&amp;"–"&amp;QC_BD_MAX&amp;" g/cm³. ","")&amp;IF(AND($L259&lt;&gt;"",$L259&gt;QC_CARBON_PCT_MAX),"Carbon above "&amp;QC_CARBON_PCT_MAX&amp;"% — check units; this may be organic matter rather than carbon. ","")&amp;IF(AND($J259&lt;&gt;"",$K259&lt;&gt;""),"Both LOI and measured carbon given — the measured value is used. ","")&amp;IF(AND($N259&lt;&gt;"",$N259=0),"Slice lies entirely below the reporting depth — it counts to the full-core stock only. ",""))</f>
        <v/>
      </c>
      <c r="R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 t="str">
        <f aca="false">IF(OR($D260="",$E260=""),"",$E260-$D260)</f>
        <v/>
      </c>
      <c r="G260" s="13"/>
      <c r="H260" s="13"/>
      <c r="I260" s="15"/>
      <c r="J260" s="15"/>
      <c r="K260" s="15"/>
      <c r="L260" s="14" t="str">
        <f aca="false">IF($K260&lt;&gt;"",$K260,IF($J260&lt;&gt;"",$J260*CARBON_FRACTION_OM,""))</f>
        <v/>
      </c>
      <c r="M260" s="14" t="n">
        <f aca="false">IF($H260="Fine earth / fine-earth volume",1-IF($G260="",0,$G260)/100,1)</f>
        <v>1</v>
      </c>
      <c r="N260" s="14" t="str">
        <f aca="false">IF(OR($D260="",$E260=""),"",MAX(0,MIN($E260,REPORTING_DEPTH_CM)-MIN($D260,REPORTING_DEPTH_CM)))</f>
        <v/>
      </c>
      <c r="O260" s="14" t="str">
        <f aca="false">IF(OR($I260="",$L260="",$N260=""),"",$I260*($L260/100)*$N260*$M260*10)</f>
        <v/>
      </c>
      <c r="P260" s="14" t="str">
        <f aca="false">IF(OR($I260="",$L260="",$F260=""),"",$I260*($L260/100)*$F260*$M260*10)</f>
        <v/>
      </c>
      <c r="Q260" s="14" t="str">
        <f aca="false">IF(AND($A260="",$B260="",$D260=""),"",IF(AND($B260&lt;&gt;"",COUNTIF('2. Core Log'!$A$5:$A$124,$B260)=0),"Core ID not in Core Log. ","")&amp;IF(AND($A260&lt;&gt;"",COUNTIF('1. Plot &amp; Site Log'!$A$5:$A$64,$A260)=0),"Plot ID not in Plot &amp; Site Log. ","")&amp;IF(AND($D260&lt;&gt;"",$E260&lt;&gt;"",$E260&lt;=$D260),"Bottom depth is not below top depth. ","")&amp;IF($H260="","Say which bulk-density basis the lab reported, or the coarse-fragment correction cannot be applied safely. ","")&amp;IF(AND($I260&lt;&gt;"",OR($I260&lt;QC_BD_MIN,$I260&gt;QC_BD_MAX)),"Bulk density outside "&amp;QC_BD_MIN&amp;"–"&amp;QC_BD_MAX&amp;" g/cm³. ","")&amp;IF(AND($L260&lt;&gt;"",$L260&gt;QC_CARBON_PCT_MAX),"Carbon above "&amp;QC_CARBON_PCT_MAX&amp;"% — check units; this may be organic matter rather than carbon. ","")&amp;IF(AND($J260&lt;&gt;"",$K260&lt;&gt;""),"Both LOI and measured carbon given — the measured value is used. ","")&amp;IF(AND($N260&lt;&gt;"",$N260=0),"Slice lies entirely below the reporting depth — it counts to the full-core stock only. ",""))</f>
        <v/>
      </c>
      <c r="R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3" t="str">
        <f aca="false">IF(OR($D261="",$E261=""),"",$E261-$D261)</f>
        <v/>
      </c>
      <c r="G261" s="13"/>
      <c r="H261" s="13"/>
      <c r="I261" s="15"/>
      <c r="J261" s="15"/>
      <c r="K261" s="15"/>
      <c r="L261" s="14" t="str">
        <f aca="false">IF($K261&lt;&gt;"",$K261,IF($J261&lt;&gt;"",$J261*CARBON_FRACTION_OM,""))</f>
        <v/>
      </c>
      <c r="M261" s="14" t="n">
        <f aca="false">IF($H261="Fine earth / fine-earth volume",1-IF($G261="",0,$G261)/100,1)</f>
        <v>1</v>
      </c>
      <c r="N261" s="14" t="str">
        <f aca="false">IF(OR($D261="",$E261=""),"",MAX(0,MIN($E261,REPORTING_DEPTH_CM)-MIN($D261,REPORTING_DEPTH_CM)))</f>
        <v/>
      </c>
      <c r="O261" s="14" t="str">
        <f aca="false">IF(OR($I261="",$L261="",$N261=""),"",$I261*($L261/100)*$N261*$M261*10)</f>
        <v/>
      </c>
      <c r="P261" s="14" t="str">
        <f aca="false">IF(OR($I261="",$L261="",$F261=""),"",$I261*($L261/100)*$F261*$M261*10)</f>
        <v/>
      </c>
      <c r="Q261" s="14" t="str">
        <f aca="false">IF(AND($A261="",$B261="",$D261=""),"",IF(AND($B261&lt;&gt;"",COUNTIF('2. Core Log'!$A$5:$A$124,$B261)=0),"Core ID not in Core Log. ","")&amp;IF(AND($A261&lt;&gt;"",COUNTIF('1. Plot &amp; Site Log'!$A$5:$A$64,$A261)=0),"Plot ID not in Plot &amp; Site Log. ","")&amp;IF(AND($D261&lt;&gt;"",$E261&lt;&gt;"",$E261&lt;=$D261),"Bottom depth is not below top depth. ","")&amp;IF($H261="","Say which bulk-density basis the lab reported, or the coarse-fragment correction cannot be applied safely. ","")&amp;IF(AND($I261&lt;&gt;"",OR($I261&lt;QC_BD_MIN,$I261&gt;QC_BD_MAX)),"Bulk density outside "&amp;QC_BD_MIN&amp;"–"&amp;QC_BD_MAX&amp;" g/cm³. ","")&amp;IF(AND($L261&lt;&gt;"",$L261&gt;QC_CARBON_PCT_MAX),"Carbon above "&amp;QC_CARBON_PCT_MAX&amp;"% — check units; this may be organic matter rather than carbon. ","")&amp;IF(AND($J261&lt;&gt;"",$K261&lt;&gt;""),"Both LOI and measured carbon given — the measured value is used. ","")&amp;IF(AND($N261&lt;&gt;"",$N261=0),"Slice lies entirely below the reporting depth — it counts to the full-core stock only. ",""))</f>
        <v/>
      </c>
      <c r="R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 t="str">
        <f aca="false">IF(OR($D262="",$E262=""),"",$E262-$D262)</f>
        <v/>
      </c>
      <c r="G262" s="13"/>
      <c r="H262" s="13"/>
      <c r="I262" s="15"/>
      <c r="J262" s="15"/>
      <c r="K262" s="15"/>
      <c r="L262" s="14" t="str">
        <f aca="false">IF($K262&lt;&gt;"",$K262,IF($J262&lt;&gt;"",$J262*CARBON_FRACTION_OM,""))</f>
        <v/>
      </c>
      <c r="M262" s="14" t="n">
        <f aca="false">IF($H262="Fine earth / fine-earth volume",1-IF($G262="",0,$G262)/100,1)</f>
        <v>1</v>
      </c>
      <c r="N262" s="14" t="str">
        <f aca="false">IF(OR($D262="",$E262=""),"",MAX(0,MIN($E262,REPORTING_DEPTH_CM)-MIN($D262,REPORTING_DEPTH_CM)))</f>
        <v/>
      </c>
      <c r="O262" s="14" t="str">
        <f aca="false">IF(OR($I262="",$L262="",$N262=""),"",$I262*($L262/100)*$N262*$M262*10)</f>
        <v/>
      </c>
      <c r="P262" s="14" t="str">
        <f aca="false">IF(OR($I262="",$L262="",$F262=""),"",$I262*($L262/100)*$F262*$M262*10)</f>
        <v/>
      </c>
      <c r="Q262" s="14" t="str">
        <f aca="false">IF(AND($A262="",$B262="",$D262=""),"",IF(AND($B262&lt;&gt;"",COUNTIF('2. Core Log'!$A$5:$A$124,$B262)=0),"Core ID not in Core Log. ","")&amp;IF(AND($A262&lt;&gt;"",COUNTIF('1. Plot &amp; Site Log'!$A$5:$A$64,$A262)=0),"Plot ID not in Plot &amp; Site Log. ","")&amp;IF(AND($D262&lt;&gt;"",$E262&lt;&gt;"",$E262&lt;=$D262),"Bottom depth is not below top depth. ","")&amp;IF($H262="","Say which bulk-density basis the lab reported, or the coarse-fragment correction cannot be applied safely. ","")&amp;IF(AND($I262&lt;&gt;"",OR($I262&lt;QC_BD_MIN,$I262&gt;QC_BD_MAX)),"Bulk density outside "&amp;QC_BD_MIN&amp;"–"&amp;QC_BD_MAX&amp;" g/cm³. ","")&amp;IF(AND($L262&lt;&gt;"",$L262&gt;QC_CARBON_PCT_MAX),"Carbon above "&amp;QC_CARBON_PCT_MAX&amp;"% — check units; this may be organic matter rather than carbon. ","")&amp;IF(AND($J262&lt;&gt;"",$K262&lt;&gt;""),"Both LOI and measured carbon given — the measured value is used. ","")&amp;IF(AND($N262&lt;&gt;"",$N262=0),"Slice lies entirely below the reporting depth — it counts to the full-core stock only. ",""))</f>
        <v/>
      </c>
      <c r="R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3" t="str">
        <f aca="false">IF(OR($D263="",$E263=""),"",$E263-$D263)</f>
        <v/>
      </c>
      <c r="G263" s="13"/>
      <c r="H263" s="13"/>
      <c r="I263" s="15"/>
      <c r="J263" s="15"/>
      <c r="K263" s="15"/>
      <c r="L263" s="14" t="str">
        <f aca="false">IF($K263&lt;&gt;"",$K263,IF($J263&lt;&gt;"",$J263*CARBON_FRACTION_OM,""))</f>
        <v/>
      </c>
      <c r="M263" s="14" t="n">
        <f aca="false">IF($H263="Fine earth / fine-earth volume",1-IF($G263="",0,$G263)/100,1)</f>
        <v>1</v>
      </c>
      <c r="N263" s="14" t="str">
        <f aca="false">IF(OR($D263="",$E263=""),"",MAX(0,MIN($E263,REPORTING_DEPTH_CM)-MIN($D263,REPORTING_DEPTH_CM)))</f>
        <v/>
      </c>
      <c r="O263" s="14" t="str">
        <f aca="false">IF(OR($I263="",$L263="",$N263=""),"",$I263*($L263/100)*$N263*$M263*10)</f>
        <v/>
      </c>
      <c r="P263" s="14" t="str">
        <f aca="false">IF(OR($I263="",$L263="",$F263=""),"",$I263*($L263/100)*$F263*$M263*10)</f>
        <v/>
      </c>
      <c r="Q263" s="14" t="str">
        <f aca="false">IF(AND($A263="",$B263="",$D263=""),"",IF(AND($B263&lt;&gt;"",COUNTIF('2. Core Log'!$A$5:$A$124,$B263)=0),"Core ID not in Core Log. ","")&amp;IF(AND($A263&lt;&gt;"",COUNTIF('1. Plot &amp; Site Log'!$A$5:$A$64,$A263)=0),"Plot ID not in Plot &amp; Site Log. ","")&amp;IF(AND($D263&lt;&gt;"",$E263&lt;&gt;"",$E263&lt;=$D263),"Bottom depth is not below top depth. ","")&amp;IF($H263="","Say which bulk-density basis the lab reported, or the coarse-fragment correction cannot be applied safely. ","")&amp;IF(AND($I263&lt;&gt;"",OR($I263&lt;QC_BD_MIN,$I263&gt;QC_BD_MAX)),"Bulk density outside "&amp;QC_BD_MIN&amp;"–"&amp;QC_BD_MAX&amp;" g/cm³. ","")&amp;IF(AND($L263&lt;&gt;"",$L263&gt;QC_CARBON_PCT_MAX),"Carbon above "&amp;QC_CARBON_PCT_MAX&amp;"% — check units; this may be organic matter rather than carbon. ","")&amp;IF(AND($J263&lt;&gt;"",$K263&lt;&gt;""),"Both LOI and measured carbon given — the measured value is used. ","")&amp;IF(AND($N263&lt;&gt;"",$N263=0),"Slice lies entirely below the reporting depth — it counts to the full-core stock only. ",""))</f>
        <v/>
      </c>
      <c r="R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 t="str">
        <f aca="false">IF(OR($D264="",$E264=""),"",$E264-$D264)</f>
        <v/>
      </c>
      <c r="G264" s="13"/>
      <c r="H264" s="13"/>
      <c r="I264" s="15"/>
      <c r="J264" s="15"/>
      <c r="K264" s="15"/>
      <c r="L264" s="14" t="str">
        <f aca="false">IF($K264&lt;&gt;"",$K264,IF($J264&lt;&gt;"",$J264*CARBON_FRACTION_OM,""))</f>
        <v/>
      </c>
      <c r="M264" s="14" t="n">
        <f aca="false">IF($H264="Fine earth / fine-earth volume",1-IF($G264="",0,$G264)/100,1)</f>
        <v>1</v>
      </c>
      <c r="N264" s="14" t="str">
        <f aca="false">IF(OR($D264="",$E264=""),"",MAX(0,MIN($E264,REPORTING_DEPTH_CM)-MIN($D264,REPORTING_DEPTH_CM)))</f>
        <v/>
      </c>
      <c r="O264" s="14" t="str">
        <f aca="false">IF(OR($I264="",$L264="",$N264=""),"",$I264*($L264/100)*$N264*$M264*10)</f>
        <v/>
      </c>
      <c r="P264" s="14" t="str">
        <f aca="false">IF(OR($I264="",$L264="",$F264=""),"",$I264*($L264/100)*$F264*$M264*10)</f>
        <v/>
      </c>
      <c r="Q264" s="14" t="str">
        <f aca="false">IF(AND($A264="",$B264="",$D264=""),"",IF(AND($B264&lt;&gt;"",COUNTIF('2. Core Log'!$A$5:$A$124,$B264)=0),"Core ID not in Core Log. ","")&amp;IF(AND($A264&lt;&gt;"",COUNTIF('1. Plot &amp; Site Log'!$A$5:$A$64,$A264)=0),"Plot ID not in Plot &amp; Site Log. ","")&amp;IF(AND($D264&lt;&gt;"",$E264&lt;&gt;"",$E264&lt;=$D264),"Bottom depth is not below top depth. ","")&amp;IF($H264="","Say which bulk-density basis the lab reported, or the coarse-fragment correction cannot be applied safely. ","")&amp;IF(AND($I264&lt;&gt;"",OR($I264&lt;QC_BD_MIN,$I264&gt;QC_BD_MAX)),"Bulk density outside "&amp;QC_BD_MIN&amp;"–"&amp;QC_BD_MAX&amp;" g/cm³. ","")&amp;IF(AND($L264&lt;&gt;"",$L264&gt;QC_CARBON_PCT_MAX),"Carbon above "&amp;QC_CARBON_PCT_MAX&amp;"% — check units; this may be organic matter rather than carbon. ","")&amp;IF(AND($J264&lt;&gt;"",$K264&lt;&gt;""),"Both LOI and measured carbon given — the measured value is used. ","")&amp;IF(AND($N264&lt;&gt;"",$N264=0),"Slice lies entirely below the reporting depth — it counts to the full-core stock only. ",""))</f>
        <v/>
      </c>
      <c r="R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3" t="str">
        <f aca="false">IF(OR($D265="",$E265=""),"",$E265-$D265)</f>
        <v/>
      </c>
      <c r="G265" s="13"/>
      <c r="H265" s="13"/>
      <c r="I265" s="15"/>
      <c r="J265" s="15"/>
      <c r="K265" s="15"/>
      <c r="L265" s="14" t="str">
        <f aca="false">IF($K265&lt;&gt;"",$K265,IF($J265&lt;&gt;"",$J265*CARBON_FRACTION_OM,""))</f>
        <v/>
      </c>
      <c r="M265" s="14" t="n">
        <f aca="false">IF($H265="Fine earth / fine-earth volume",1-IF($G265="",0,$G265)/100,1)</f>
        <v>1</v>
      </c>
      <c r="N265" s="14" t="str">
        <f aca="false">IF(OR($D265="",$E265=""),"",MAX(0,MIN($E265,REPORTING_DEPTH_CM)-MIN($D265,REPORTING_DEPTH_CM)))</f>
        <v/>
      </c>
      <c r="O265" s="14" t="str">
        <f aca="false">IF(OR($I265="",$L265="",$N265=""),"",$I265*($L265/100)*$N265*$M265*10)</f>
        <v/>
      </c>
      <c r="P265" s="14" t="str">
        <f aca="false">IF(OR($I265="",$L265="",$F265=""),"",$I265*($L265/100)*$F265*$M265*10)</f>
        <v/>
      </c>
      <c r="Q265" s="14" t="str">
        <f aca="false">IF(AND($A265="",$B265="",$D265=""),"",IF(AND($B265&lt;&gt;"",COUNTIF('2. Core Log'!$A$5:$A$124,$B265)=0),"Core ID not in Core Log. ","")&amp;IF(AND($A265&lt;&gt;"",COUNTIF('1. Plot &amp; Site Log'!$A$5:$A$64,$A265)=0),"Plot ID not in Plot &amp; Site Log. ","")&amp;IF(AND($D265&lt;&gt;"",$E265&lt;&gt;"",$E265&lt;=$D265),"Bottom depth is not below top depth. ","")&amp;IF($H265="","Say which bulk-density basis the lab reported, or the coarse-fragment correction cannot be applied safely. ","")&amp;IF(AND($I265&lt;&gt;"",OR($I265&lt;QC_BD_MIN,$I265&gt;QC_BD_MAX)),"Bulk density outside "&amp;QC_BD_MIN&amp;"–"&amp;QC_BD_MAX&amp;" g/cm³. ","")&amp;IF(AND($L265&lt;&gt;"",$L265&gt;QC_CARBON_PCT_MAX),"Carbon above "&amp;QC_CARBON_PCT_MAX&amp;"% — check units; this may be organic matter rather than carbon. ","")&amp;IF(AND($J265&lt;&gt;"",$K265&lt;&gt;""),"Both LOI and measured carbon given — the measured value is used. ","")&amp;IF(AND($N265&lt;&gt;"",$N265=0),"Slice lies entirely below the reporting depth — it counts to the full-core stock only. ",""))</f>
        <v/>
      </c>
      <c r="R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 t="str">
        <f aca="false">IF(OR($D266="",$E266=""),"",$E266-$D266)</f>
        <v/>
      </c>
      <c r="G266" s="13"/>
      <c r="H266" s="13"/>
      <c r="I266" s="15"/>
      <c r="J266" s="15"/>
      <c r="K266" s="15"/>
      <c r="L266" s="14" t="str">
        <f aca="false">IF($K266&lt;&gt;"",$K266,IF($J266&lt;&gt;"",$J266*CARBON_FRACTION_OM,""))</f>
        <v/>
      </c>
      <c r="M266" s="14" t="n">
        <f aca="false">IF($H266="Fine earth / fine-earth volume",1-IF($G266="",0,$G266)/100,1)</f>
        <v>1</v>
      </c>
      <c r="N266" s="14" t="str">
        <f aca="false">IF(OR($D266="",$E266=""),"",MAX(0,MIN($E266,REPORTING_DEPTH_CM)-MIN($D266,REPORTING_DEPTH_CM)))</f>
        <v/>
      </c>
      <c r="O266" s="14" t="str">
        <f aca="false">IF(OR($I266="",$L266="",$N266=""),"",$I266*($L266/100)*$N266*$M266*10)</f>
        <v/>
      </c>
      <c r="P266" s="14" t="str">
        <f aca="false">IF(OR($I266="",$L266="",$F266=""),"",$I266*($L266/100)*$F266*$M266*10)</f>
        <v/>
      </c>
      <c r="Q266" s="14" t="str">
        <f aca="false">IF(AND($A266="",$B266="",$D266=""),"",IF(AND($B266&lt;&gt;"",COUNTIF('2. Core Log'!$A$5:$A$124,$B266)=0),"Core ID not in Core Log. ","")&amp;IF(AND($A266&lt;&gt;"",COUNTIF('1. Plot &amp; Site Log'!$A$5:$A$64,$A266)=0),"Plot ID not in Plot &amp; Site Log. ","")&amp;IF(AND($D266&lt;&gt;"",$E266&lt;&gt;"",$E266&lt;=$D266),"Bottom depth is not below top depth. ","")&amp;IF($H266="","Say which bulk-density basis the lab reported, or the coarse-fragment correction cannot be applied safely. ","")&amp;IF(AND($I266&lt;&gt;"",OR($I266&lt;QC_BD_MIN,$I266&gt;QC_BD_MAX)),"Bulk density outside "&amp;QC_BD_MIN&amp;"–"&amp;QC_BD_MAX&amp;" g/cm³. ","")&amp;IF(AND($L266&lt;&gt;"",$L266&gt;QC_CARBON_PCT_MAX),"Carbon above "&amp;QC_CARBON_PCT_MAX&amp;"% — check units; this may be organic matter rather than carbon. ","")&amp;IF(AND($J266&lt;&gt;"",$K266&lt;&gt;""),"Both LOI and measured carbon given — the measured value is used. ","")&amp;IF(AND($N266&lt;&gt;"",$N266=0),"Slice lies entirely below the reporting depth — it counts to the full-core stock only. ",""))</f>
        <v/>
      </c>
      <c r="R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3" t="str">
        <f aca="false">IF(OR($D267="",$E267=""),"",$E267-$D267)</f>
        <v/>
      </c>
      <c r="G267" s="13"/>
      <c r="H267" s="13"/>
      <c r="I267" s="15"/>
      <c r="J267" s="15"/>
      <c r="K267" s="15"/>
      <c r="L267" s="14" t="str">
        <f aca="false">IF($K267&lt;&gt;"",$K267,IF($J267&lt;&gt;"",$J267*CARBON_FRACTION_OM,""))</f>
        <v/>
      </c>
      <c r="M267" s="14" t="n">
        <f aca="false">IF($H267="Fine earth / fine-earth volume",1-IF($G267="",0,$G267)/100,1)</f>
        <v>1</v>
      </c>
      <c r="N267" s="14" t="str">
        <f aca="false">IF(OR($D267="",$E267=""),"",MAX(0,MIN($E267,REPORTING_DEPTH_CM)-MIN($D267,REPORTING_DEPTH_CM)))</f>
        <v/>
      </c>
      <c r="O267" s="14" t="str">
        <f aca="false">IF(OR($I267="",$L267="",$N267=""),"",$I267*($L267/100)*$N267*$M267*10)</f>
        <v/>
      </c>
      <c r="P267" s="14" t="str">
        <f aca="false">IF(OR($I267="",$L267="",$F267=""),"",$I267*($L267/100)*$F267*$M267*10)</f>
        <v/>
      </c>
      <c r="Q267" s="14" t="str">
        <f aca="false">IF(AND($A267="",$B267="",$D267=""),"",IF(AND($B267&lt;&gt;"",COUNTIF('2. Core Log'!$A$5:$A$124,$B267)=0),"Core ID not in Core Log. ","")&amp;IF(AND($A267&lt;&gt;"",COUNTIF('1. Plot &amp; Site Log'!$A$5:$A$64,$A267)=0),"Plot ID not in Plot &amp; Site Log. ","")&amp;IF(AND($D267&lt;&gt;"",$E267&lt;&gt;"",$E267&lt;=$D267),"Bottom depth is not below top depth. ","")&amp;IF($H267="","Say which bulk-density basis the lab reported, or the coarse-fragment correction cannot be applied safely. ","")&amp;IF(AND($I267&lt;&gt;"",OR($I267&lt;QC_BD_MIN,$I267&gt;QC_BD_MAX)),"Bulk density outside "&amp;QC_BD_MIN&amp;"–"&amp;QC_BD_MAX&amp;" g/cm³. ","")&amp;IF(AND($L267&lt;&gt;"",$L267&gt;QC_CARBON_PCT_MAX),"Carbon above "&amp;QC_CARBON_PCT_MAX&amp;"% — check units; this may be organic matter rather than carbon. ","")&amp;IF(AND($J267&lt;&gt;"",$K267&lt;&gt;""),"Both LOI and measured carbon given — the measured value is used. ","")&amp;IF(AND($N267&lt;&gt;"",$N267=0),"Slice lies entirely below the reporting depth — it counts to the full-core stock only. ",""))</f>
        <v/>
      </c>
      <c r="R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 t="str">
        <f aca="false">IF(OR($D268="",$E268=""),"",$E268-$D268)</f>
        <v/>
      </c>
      <c r="G268" s="13"/>
      <c r="H268" s="13"/>
      <c r="I268" s="15"/>
      <c r="J268" s="15"/>
      <c r="K268" s="15"/>
      <c r="L268" s="14" t="str">
        <f aca="false">IF($K268&lt;&gt;"",$K268,IF($J268&lt;&gt;"",$J268*CARBON_FRACTION_OM,""))</f>
        <v/>
      </c>
      <c r="M268" s="14" t="n">
        <f aca="false">IF($H268="Fine earth / fine-earth volume",1-IF($G268="",0,$G268)/100,1)</f>
        <v>1</v>
      </c>
      <c r="N268" s="14" t="str">
        <f aca="false">IF(OR($D268="",$E268=""),"",MAX(0,MIN($E268,REPORTING_DEPTH_CM)-MIN($D268,REPORTING_DEPTH_CM)))</f>
        <v/>
      </c>
      <c r="O268" s="14" t="str">
        <f aca="false">IF(OR($I268="",$L268="",$N268=""),"",$I268*($L268/100)*$N268*$M268*10)</f>
        <v/>
      </c>
      <c r="P268" s="14" t="str">
        <f aca="false">IF(OR($I268="",$L268="",$F268=""),"",$I268*($L268/100)*$F268*$M268*10)</f>
        <v/>
      </c>
      <c r="Q268" s="14" t="str">
        <f aca="false">IF(AND($A268="",$B268="",$D268=""),"",IF(AND($B268&lt;&gt;"",COUNTIF('2. Core Log'!$A$5:$A$124,$B268)=0),"Core ID not in Core Log. ","")&amp;IF(AND($A268&lt;&gt;"",COUNTIF('1. Plot &amp; Site Log'!$A$5:$A$64,$A268)=0),"Plot ID not in Plot &amp; Site Log. ","")&amp;IF(AND($D268&lt;&gt;"",$E268&lt;&gt;"",$E268&lt;=$D268),"Bottom depth is not below top depth. ","")&amp;IF($H268="","Say which bulk-density basis the lab reported, or the coarse-fragment correction cannot be applied safely. ","")&amp;IF(AND($I268&lt;&gt;"",OR($I268&lt;QC_BD_MIN,$I268&gt;QC_BD_MAX)),"Bulk density outside "&amp;QC_BD_MIN&amp;"–"&amp;QC_BD_MAX&amp;" g/cm³. ","")&amp;IF(AND($L268&lt;&gt;"",$L268&gt;QC_CARBON_PCT_MAX),"Carbon above "&amp;QC_CARBON_PCT_MAX&amp;"% — check units; this may be organic matter rather than carbon. ","")&amp;IF(AND($J268&lt;&gt;"",$K268&lt;&gt;""),"Both LOI and measured carbon given — the measured value is used. ","")&amp;IF(AND($N268&lt;&gt;"",$N268=0),"Slice lies entirely below the reporting depth — it counts to the full-core stock only. ",""))</f>
        <v/>
      </c>
      <c r="R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3" t="str">
        <f aca="false">IF(OR($D269="",$E269=""),"",$E269-$D269)</f>
        <v/>
      </c>
      <c r="G269" s="13"/>
      <c r="H269" s="13"/>
      <c r="I269" s="15"/>
      <c r="J269" s="15"/>
      <c r="K269" s="15"/>
      <c r="L269" s="14" t="str">
        <f aca="false">IF($K269&lt;&gt;"",$K269,IF($J269&lt;&gt;"",$J269*CARBON_FRACTION_OM,""))</f>
        <v/>
      </c>
      <c r="M269" s="14" t="n">
        <f aca="false">IF($H269="Fine earth / fine-earth volume",1-IF($G269="",0,$G269)/100,1)</f>
        <v>1</v>
      </c>
      <c r="N269" s="14" t="str">
        <f aca="false">IF(OR($D269="",$E269=""),"",MAX(0,MIN($E269,REPORTING_DEPTH_CM)-MIN($D269,REPORTING_DEPTH_CM)))</f>
        <v/>
      </c>
      <c r="O269" s="14" t="str">
        <f aca="false">IF(OR($I269="",$L269="",$N269=""),"",$I269*($L269/100)*$N269*$M269*10)</f>
        <v/>
      </c>
      <c r="P269" s="14" t="str">
        <f aca="false">IF(OR($I269="",$L269="",$F269=""),"",$I269*($L269/100)*$F269*$M269*10)</f>
        <v/>
      </c>
      <c r="Q269" s="14" t="str">
        <f aca="false">IF(AND($A269="",$B269="",$D269=""),"",IF(AND($B269&lt;&gt;"",COUNTIF('2. Core Log'!$A$5:$A$124,$B269)=0),"Core ID not in Core Log. ","")&amp;IF(AND($A269&lt;&gt;"",COUNTIF('1. Plot &amp; Site Log'!$A$5:$A$64,$A269)=0),"Plot ID not in Plot &amp; Site Log. ","")&amp;IF(AND($D269&lt;&gt;"",$E269&lt;&gt;"",$E269&lt;=$D269),"Bottom depth is not below top depth. ","")&amp;IF($H269="","Say which bulk-density basis the lab reported, or the coarse-fragment correction cannot be applied safely. ","")&amp;IF(AND($I269&lt;&gt;"",OR($I269&lt;QC_BD_MIN,$I269&gt;QC_BD_MAX)),"Bulk density outside "&amp;QC_BD_MIN&amp;"–"&amp;QC_BD_MAX&amp;" g/cm³. ","")&amp;IF(AND($L269&lt;&gt;"",$L269&gt;QC_CARBON_PCT_MAX),"Carbon above "&amp;QC_CARBON_PCT_MAX&amp;"% — check units; this may be organic matter rather than carbon. ","")&amp;IF(AND($J269&lt;&gt;"",$K269&lt;&gt;""),"Both LOI and measured carbon given — the measured value is used. ","")&amp;IF(AND($N269&lt;&gt;"",$N269=0),"Slice lies entirely below the reporting depth — it counts to the full-core stock only. ",""))</f>
        <v/>
      </c>
      <c r="R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 t="str">
        <f aca="false">IF(OR($D270="",$E270=""),"",$E270-$D270)</f>
        <v/>
      </c>
      <c r="G270" s="13"/>
      <c r="H270" s="13"/>
      <c r="I270" s="15"/>
      <c r="J270" s="15"/>
      <c r="K270" s="15"/>
      <c r="L270" s="14" t="str">
        <f aca="false">IF($K270&lt;&gt;"",$K270,IF($J270&lt;&gt;"",$J270*CARBON_FRACTION_OM,""))</f>
        <v/>
      </c>
      <c r="M270" s="14" t="n">
        <f aca="false">IF($H270="Fine earth / fine-earth volume",1-IF($G270="",0,$G270)/100,1)</f>
        <v>1</v>
      </c>
      <c r="N270" s="14" t="str">
        <f aca="false">IF(OR($D270="",$E270=""),"",MAX(0,MIN($E270,REPORTING_DEPTH_CM)-MIN($D270,REPORTING_DEPTH_CM)))</f>
        <v/>
      </c>
      <c r="O270" s="14" t="str">
        <f aca="false">IF(OR($I270="",$L270="",$N270=""),"",$I270*($L270/100)*$N270*$M270*10)</f>
        <v/>
      </c>
      <c r="P270" s="14" t="str">
        <f aca="false">IF(OR($I270="",$L270="",$F270=""),"",$I270*($L270/100)*$F270*$M270*10)</f>
        <v/>
      </c>
      <c r="Q270" s="14" t="str">
        <f aca="false">IF(AND($A270="",$B270="",$D270=""),"",IF(AND($B270&lt;&gt;"",COUNTIF('2. Core Log'!$A$5:$A$124,$B270)=0),"Core ID not in Core Log. ","")&amp;IF(AND($A270&lt;&gt;"",COUNTIF('1. Plot &amp; Site Log'!$A$5:$A$64,$A270)=0),"Plot ID not in Plot &amp; Site Log. ","")&amp;IF(AND($D270&lt;&gt;"",$E270&lt;&gt;"",$E270&lt;=$D270),"Bottom depth is not below top depth. ","")&amp;IF($H270="","Say which bulk-density basis the lab reported, or the coarse-fragment correction cannot be applied safely. ","")&amp;IF(AND($I270&lt;&gt;"",OR($I270&lt;QC_BD_MIN,$I270&gt;QC_BD_MAX)),"Bulk density outside "&amp;QC_BD_MIN&amp;"–"&amp;QC_BD_MAX&amp;" g/cm³. ","")&amp;IF(AND($L270&lt;&gt;"",$L270&gt;QC_CARBON_PCT_MAX),"Carbon above "&amp;QC_CARBON_PCT_MAX&amp;"% — check units; this may be organic matter rather than carbon. ","")&amp;IF(AND($J270&lt;&gt;"",$K270&lt;&gt;""),"Both LOI and measured carbon given — the measured value is used. ","")&amp;IF(AND($N270&lt;&gt;"",$N270=0),"Slice lies entirely below the reporting depth — it counts to the full-core stock only. ",""))</f>
        <v/>
      </c>
      <c r="R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3" t="str">
        <f aca="false">IF(OR($D271="",$E271=""),"",$E271-$D271)</f>
        <v/>
      </c>
      <c r="G271" s="13"/>
      <c r="H271" s="13"/>
      <c r="I271" s="15"/>
      <c r="J271" s="15"/>
      <c r="K271" s="15"/>
      <c r="L271" s="14" t="str">
        <f aca="false">IF($K271&lt;&gt;"",$K271,IF($J271&lt;&gt;"",$J271*CARBON_FRACTION_OM,""))</f>
        <v/>
      </c>
      <c r="M271" s="14" t="n">
        <f aca="false">IF($H271="Fine earth / fine-earth volume",1-IF($G271="",0,$G271)/100,1)</f>
        <v>1</v>
      </c>
      <c r="N271" s="14" t="str">
        <f aca="false">IF(OR($D271="",$E271=""),"",MAX(0,MIN($E271,REPORTING_DEPTH_CM)-MIN($D271,REPORTING_DEPTH_CM)))</f>
        <v/>
      </c>
      <c r="O271" s="14" t="str">
        <f aca="false">IF(OR($I271="",$L271="",$N271=""),"",$I271*($L271/100)*$N271*$M271*10)</f>
        <v/>
      </c>
      <c r="P271" s="14" t="str">
        <f aca="false">IF(OR($I271="",$L271="",$F271=""),"",$I271*($L271/100)*$F271*$M271*10)</f>
        <v/>
      </c>
      <c r="Q271" s="14" t="str">
        <f aca="false">IF(AND($A271="",$B271="",$D271=""),"",IF(AND($B271&lt;&gt;"",COUNTIF('2. Core Log'!$A$5:$A$124,$B271)=0),"Core ID not in Core Log. ","")&amp;IF(AND($A271&lt;&gt;"",COUNTIF('1. Plot &amp; Site Log'!$A$5:$A$64,$A271)=0),"Plot ID not in Plot &amp; Site Log. ","")&amp;IF(AND($D271&lt;&gt;"",$E271&lt;&gt;"",$E271&lt;=$D271),"Bottom depth is not below top depth. ","")&amp;IF($H271="","Say which bulk-density basis the lab reported, or the coarse-fragment correction cannot be applied safely. ","")&amp;IF(AND($I271&lt;&gt;"",OR($I271&lt;QC_BD_MIN,$I271&gt;QC_BD_MAX)),"Bulk density outside "&amp;QC_BD_MIN&amp;"–"&amp;QC_BD_MAX&amp;" g/cm³. ","")&amp;IF(AND($L271&lt;&gt;"",$L271&gt;QC_CARBON_PCT_MAX),"Carbon above "&amp;QC_CARBON_PCT_MAX&amp;"% — check units; this may be organic matter rather than carbon. ","")&amp;IF(AND($J271&lt;&gt;"",$K271&lt;&gt;""),"Both LOI and measured carbon given — the measured value is used. ","")&amp;IF(AND($N271&lt;&gt;"",$N271=0),"Slice lies entirely below the reporting depth — it counts to the full-core stock only. ",""))</f>
        <v/>
      </c>
      <c r="R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 t="str">
        <f aca="false">IF(OR($D272="",$E272=""),"",$E272-$D272)</f>
        <v/>
      </c>
      <c r="G272" s="13"/>
      <c r="H272" s="13"/>
      <c r="I272" s="15"/>
      <c r="J272" s="15"/>
      <c r="K272" s="15"/>
      <c r="L272" s="14" t="str">
        <f aca="false">IF($K272&lt;&gt;"",$K272,IF($J272&lt;&gt;"",$J272*CARBON_FRACTION_OM,""))</f>
        <v/>
      </c>
      <c r="M272" s="14" t="n">
        <f aca="false">IF($H272="Fine earth / fine-earth volume",1-IF($G272="",0,$G272)/100,1)</f>
        <v>1</v>
      </c>
      <c r="N272" s="14" t="str">
        <f aca="false">IF(OR($D272="",$E272=""),"",MAX(0,MIN($E272,REPORTING_DEPTH_CM)-MIN($D272,REPORTING_DEPTH_CM)))</f>
        <v/>
      </c>
      <c r="O272" s="14" t="str">
        <f aca="false">IF(OR($I272="",$L272="",$N272=""),"",$I272*($L272/100)*$N272*$M272*10)</f>
        <v/>
      </c>
      <c r="P272" s="14" t="str">
        <f aca="false">IF(OR($I272="",$L272="",$F272=""),"",$I272*($L272/100)*$F272*$M272*10)</f>
        <v/>
      </c>
      <c r="Q272" s="14" t="str">
        <f aca="false">IF(AND($A272="",$B272="",$D272=""),"",IF(AND($B272&lt;&gt;"",COUNTIF('2. Core Log'!$A$5:$A$124,$B272)=0),"Core ID not in Core Log. ","")&amp;IF(AND($A272&lt;&gt;"",COUNTIF('1. Plot &amp; Site Log'!$A$5:$A$64,$A272)=0),"Plot ID not in Plot &amp; Site Log. ","")&amp;IF(AND($D272&lt;&gt;"",$E272&lt;&gt;"",$E272&lt;=$D272),"Bottom depth is not below top depth. ","")&amp;IF($H272="","Say which bulk-density basis the lab reported, or the coarse-fragment correction cannot be applied safely. ","")&amp;IF(AND($I272&lt;&gt;"",OR($I272&lt;QC_BD_MIN,$I272&gt;QC_BD_MAX)),"Bulk density outside "&amp;QC_BD_MIN&amp;"–"&amp;QC_BD_MAX&amp;" g/cm³. ","")&amp;IF(AND($L272&lt;&gt;"",$L272&gt;QC_CARBON_PCT_MAX),"Carbon above "&amp;QC_CARBON_PCT_MAX&amp;"% — check units; this may be organic matter rather than carbon. ","")&amp;IF(AND($J272&lt;&gt;"",$K272&lt;&gt;""),"Both LOI and measured carbon given — the measured value is used. ","")&amp;IF(AND($N272&lt;&gt;"",$N272=0),"Slice lies entirely below the reporting depth — it counts to the full-core stock only. ",""))</f>
        <v/>
      </c>
      <c r="R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3" t="str">
        <f aca="false">IF(OR($D273="",$E273=""),"",$E273-$D273)</f>
        <v/>
      </c>
      <c r="G273" s="13"/>
      <c r="H273" s="13"/>
      <c r="I273" s="15"/>
      <c r="J273" s="15"/>
      <c r="K273" s="15"/>
      <c r="L273" s="14" t="str">
        <f aca="false">IF($K273&lt;&gt;"",$K273,IF($J273&lt;&gt;"",$J273*CARBON_FRACTION_OM,""))</f>
        <v/>
      </c>
      <c r="M273" s="14" t="n">
        <f aca="false">IF($H273="Fine earth / fine-earth volume",1-IF($G273="",0,$G273)/100,1)</f>
        <v>1</v>
      </c>
      <c r="N273" s="14" t="str">
        <f aca="false">IF(OR($D273="",$E273=""),"",MAX(0,MIN($E273,REPORTING_DEPTH_CM)-MIN($D273,REPORTING_DEPTH_CM)))</f>
        <v/>
      </c>
      <c r="O273" s="14" t="str">
        <f aca="false">IF(OR($I273="",$L273="",$N273=""),"",$I273*($L273/100)*$N273*$M273*10)</f>
        <v/>
      </c>
      <c r="P273" s="14" t="str">
        <f aca="false">IF(OR($I273="",$L273="",$F273=""),"",$I273*($L273/100)*$F273*$M273*10)</f>
        <v/>
      </c>
      <c r="Q273" s="14" t="str">
        <f aca="false">IF(AND($A273="",$B273="",$D273=""),"",IF(AND($B273&lt;&gt;"",COUNTIF('2. Core Log'!$A$5:$A$124,$B273)=0),"Core ID not in Core Log. ","")&amp;IF(AND($A273&lt;&gt;"",COUNTIF('1. Plot &amp; Site Log'!$A$5:$A$64,$A273)=0),"Plot ID not in Plot &amp; Site Log. ","")&amp;IF(AND($D273&lt;&gt;"",$E273&lt;&gt;"",$E273&lt;=$D273),"Bottom depth is not below top depth. ","")&amp;IF($H273="","Say which bulk-density basis the lab reported, or the coarse-fragment correction cannot be applied safely. ","")&amp;IF(AND($I273&lt;&gt;"",OR($I273&lt;QC_BD_MIN,$I273&gt;QC_BD_MAX)),"Bulk density outside "&amp;QC_BD_MIN&amp;"–"&amp;QC_BD_MAX&amp;" g/cm³. ","")&amp;IF(AND($L273&lt;&gt;"",$L273&gt;QC_CARBON_PCT_MAX),"Carbon above "&amp;QC_CARBON_PCT_MAX&amp;"% — check units; this may be organic matter rather than carbon. ","")&amp;IF(AND($J273&lt;&gt;"",$K273&lt;&gt;""),"Both LOI and measured carbon given — the measured value is used. ","")&amp;IF(AND($N273&lt;&gt;"",$N273=0),"Slice lies entirely below the reporting depth — it counts to the full-core stock only. ",""))</f>
        <v/>
      </c>
      <c r="R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 t="str">
        <f aca="false">IF(OR($D274="",$E274=""),"",$E274-$D274)</f>
        <v/>
      </c>
      <c r="G274" s="13"/>
      <c r="H274" s="13"/>
      <c r="I274" s="15"/>
      <c r="J274" s="15"/>
      <c r="K274" s="15"/>
      <c r="L274" s="14" t="str">
        <f aca="false">IF($K274&lt;&gt;"",$K274,IF($J274&lt;&gt;"",$J274*CARBON_FRACTION_OM,""))</f>
        <v/>
      </c>
      <c r="M274" s="14" t="n">
        <f aca="false">IF($H274="Fine earth / fine-earth volume",1-IF($G274="",0,$G274)/100,1)</f>
        <v>1</v>
      </c>
      <c r="N274" s="14" t="str">
        <f aca="false">IF(OR($D274="",$E274=""),"",MAX(0,MIN($E274,REPORTING_DEPTH_CM)-MIN($D274,REPORTING_DEPTH_CM)))</f>
        <v/>
      </c>
      <c r="O274" s="14" t="str">
        <f aca="false">IF(OR($I274="",$L274="",$N274=""),"",$I274*($L274/100)*$N274*$M274*10)</f>
        <v/>
      </c>
      <c r="P274" s="14" t="str">
        <f aca="false">IF(OR($I274="",$L274="",$F274=""),"",$I274*($L274/100)*$F274*$M274*10)</f>
        <v/>
      </c>
      <c r="Q274" s="14" t="str">
        <f aca="false">IF(AND($A274="",$B274="",$D274=""),"",IF(AND($B274&lt;&gt;"",COUNTIF('2. Core Log'!$A$5:$A$124,$B274)=0),"Core ID not in Core Log. ","")&amp;IF(AND($A274&lt;&gt;"",COUNTIF('1. Plot &amp; Site Log'!$A$5:$A$64,$A274)=0),"Plot ID not in Plot &amp; Site Log. ","")&amp;IF(AND($D274&lt;&gt;"",$E274&lt;&gt;"",$E274&lt;=$D274),"Bottom depth is not below top depth. ","")&amp;IF($H274="","Say which bulk-density basis the lab reported, or the coarse-fragment correction cannot be applied safely. ","")&amp;IF(AND($I274&lt;&gt;"",OR($I274&lt;QC_BD_MIN,$I274&gt;QC_BD_MAX)),"Bulk density outside "&amp;QC_BD_MIN&amp;"–"&amp;QC_BD_MAX&amp;" g/cm³. ","")&amp;IF(AND($L274&lt;&gt;"",$L274&gt;QC_CARBON_PCT_MAX),"Carbon above "&amp;QC_CARBON_PCT_MAX&amp;"% — check units; this may be organic matter rather than carbon. ","")&amp;IF(AND($J274&lt;&gt;"",$K274&lt;&gt;""),"Both LOI and measured carbon given — the measured value is used. ","")&amp;IF(AND($N274&lt;&gt;"",$N274=0),"Slice lies entirely below the reporting depth — it counts to the full-core stock only. ",""))</f>
        <v/>
      </c>
      <c r="R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3" t="str">
        <f aca="false">IF(OR($D275="",$E275=""),"",$E275-$D275)</f>
        <v/>
      </c>
      <c r="G275" s="13"/>
      <c r="H275" s="13"/>
      <c r="I275" s="15"/>
      <c r="J275" s="15"/>
      <c r="K275" s="15"/>
      <c r="L275" s="14" t="str">
        <f aca="false">IF($K275&lt;&gt;"",$K275,IF($J275&lt;&gt;"",$J275*CARBON_FRACTION_OM,""))</f>
        <v/>
      </c>
      <c r="M275" s="14" t="n">
        <f aca="false">IF($H275="Fine earth / fine-earth volume",1-IF($G275="",0,$G275)/100,1)</f>
        <v>1</v>
      </c>
      <c r="N275" s="14" t="str">
        <f aca="false">IF(OR($D275="",$E275=""),"",MAX(0,MIN($E275,REPORTING_DEPTH_CM)-MIN($D275,REPORTING_DEPTH_CM)))</f>
        <v/>
      </c>
      <c r="O275" s="14" t="str">
        <f aca="false">IF(OR($I275="",$L275="",$N275=""),"",$I275*($L275/100)*$N275*$M275*10)</f>
        <v/>
      </c>
      <c r="P275" s="14" t="str">
        <f aca="false">IF(OR($I275="",$L275="",$F275=""),"",$I275*($L275/100)*$F275*$M275*10)</f>
        <v/>
      </c>
      <c r="Q275" s="14" t="str">
        <f aca="false">IF(AND($A275="",$B275="",$D275=""),"",IF(AND($B275&lt;&gt;"",COUNTIF('2. Core Log'!$A$5:$A$124,$B275)=0),"Core ID not in Core Log. ","")&amp;IF(AND($A275&lt;&gt;"",COUNTIF('1. Plot &amp; Site Log'!$A$5:$A$64,$A275)=0),"Plot ID not in Plot &amp; Site Log. ","")&amp;IF(AND($D275&lt;&gt;"",$E275&lt;&gt;"",$E275&lt;=$D275),"Bottom depth is not below top depth. ","")&amp;IF($H275="","Say which bulk-density basis the lab reported, or the coarse-fragment correction cannot be applied safely. ","")&amp;IF(AND($I275&lt;&gt;"",OR($I275&lt;QC_BD_MIN,$I275&gt;QC_BD_MAX)),"Bulk density outside "&amp;QC_BD_MIN&amp;"–"&amp;QC_BD_MAX&amp;" g/cm³. ","")&amp;IF(AND($L275&lt;&gt;"",$L275&gt;QC_CARBON_PCT_MAX),"Carbon above "&amp;QC_CARBON_PCT_MAX&amp;"% — check units; this may be organic matter rather than carbon. ","")&amp;IF(AND($J275&lt;&gt;"",$K275&lt;&gt;""),"Both LOI and measured carbon given — the measured value is used. ","")&amp;IF(AND($N275&lt;&gt;"",$N275=0),"Slice lies entirely below the reporting depth — it counts to the full-core stock only. ",""))</f>
        <v/>
      </c>
      <c r="R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 t="str">
        <f aca="false">IF(OR($D276="",$E276=""),"",$E276-$D276)</f>
        <v/>
      </c>
      <c r="G276" s="13"/>
      <c r="H276" s="13"/>
      <c r="I276" s="15"/>
      <c r="J276" s="15"/>
      <c r="K276" s="15"/>
      <c r="L276" s="14" t="str">
        <f aca="false">IF($K276&lt;&gt;"",$K276,IF($J276&lt;&gt;"",$J276*CARBON_FRACTION_OM,""))</f>
        <v/>
      </c>
      <c r="M276" s="14" t="n">
        <f aca="false">IF($H276="Fine earth / fine-earth volume",1-IF($G276="",0,$G276)/100,1)</f>
        <v>1</v>
      </c>
      <c r="N276" s="14" t="str">
        <f aca="false">IF(OR($D276="",$E276=""),"",MAX(0,MIN($E276,REPORTING_DEPTH_CM)-MIN($D276,REPORTING_DEPTH_CM)))</f>
        <v/>
      </c>
      <c r="O276" s="14" t="str">
        <f aca="false">IF(OR($I276="",$L276="",$N276=""),"",$I276*($L276/100)*$N276*$M276*10)</f>
        <v/>
      </c>
      <c r="P276" s="14" t="str">
        <f aca="false">IF(OR($I276="",$L276="",$F276=""),"",$I276*($L276/100)*$F276*$M276*10)</f>
        <v/>
      </c>
      <c r="Q276" s="14" t="str">
        <f aca="false">IF(AND($A276="",$B276="",$D276=""),"",IF(AND($B276&lt;&gt;"",COUNTIF('2. Core Log'!$A$5:$A$124,$B276)=0),"Core ID not in Core Log. ","")&amp;IF(AND($A276&lt;&gt;"",COUNTIF('1. Plot &amp; Site Log'!$A$5:$A$64,$A276)=0),"Plot ID not in Plot &amp; Site Log. ","")&amp;IF(AND($D276&lt;&gt;"",$E276&lt;&gt;"",$E276&lt;=$D276),"Bottom depth is not below top depth. ","")&amp;IF($H276="","Say which bulk-density basis the lab reported, or the coarse-fragment correction cannot be applied safely. ","")&amp;IF(AND($I276&lt;&gt;"",OR($I276&lt;QC_BD_MIN,$I276&gt;QC_BD_MAX)),"Bulk density outside "&amp;QC_BD_MIN&amp;"–"&amp;QC_BD_MAX&amp;" g/cm³. ","")&amp;IF(AND($L276&lt;&gt;"",$L276&gt;QC_CARBON_PCT_MAX),"Carbon above "&amp;QC_CARBON_PCT_MAX&amp;"% — check units; this may be organic matter rather than carbon. ","")&amp;IF(AND($J276&lt;&gt;"",$K276&lt;&gt;""),"Both LOI and measured carbon given — the measured value is used. ","")&amp;IF(AND($N276&lt;&gt;"",$N276=0),"Slice lies entirely below the reporting depth — it counts to the full-core stock only. ",""))</f>
        <v/>
      </c>
      <c r="R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3" t="str">
        <f aca="false">IF(OR($D277="",$E277=""),"",$E277-$D277)</f>
        <v/>
      </c>
      <c r="G277" s="13"/>
      <c r="H277" s="13"/>
      <c r="I277" s="15"/>
      <c r="J277" s="15"/>
      <c r="K277" s="15"/>
      <c r="L277" s="14" t="str">
        <f aca="false">IF($K277&lt;&gt;"",$K277,IF($J277&lt;&gt;"",$J277*CARBON_FRACTION_OM,""))</f>
        <v/>
      </c>
      <c r="M277" s="14" t="n">
        <f aca="false">IF($H277="Fine earth / fine-earth volume",1-IF($G277="",0,$G277)/100,1)</f>
        <v>1</v>
      </c>
      <c r="N277" s="14" t="str">
        <f aca="false">IF(OR($D277="",$E277=""),"",MAX(0,MIN($E277,REPORTING_DEPTH_CM)-MIN($D277,REPORTING_DEPTH_CM)))</f>
        <v/>
      </c>
      <c r="O277" s="14" t="str">
        <f aca="false">IF(OR($I277="",$L277="",$N277=""),"",$I277*($L277/100)*$N277*$M277*10)</f>
        <v/>
      </c>
      <c r="P277" s="14" t="str">
        <f aca="false">IF(OR($I277="",$L277="",$F277=""),"",$I277*($L277/100)*$F277*$M277*10)</f>
        <v/>
      </c>
      <c r="Q277" s="14" t="str">
        <f aca="false">IF(AND($A277="",$B277="",$D277=""),"",IF(AND($B277&lt;&gt;"",COUNTIF('2. Core Log'!$A$5:$A$124,$B277)=0),"Core ID not in Core Log. ","")&amp;IF(AND($A277&lt;&gt;"",COUNTIF('1. Plot &amp; Site Log'!$A$5:$A$64,$A277)=0),"Plot ID not in Plot &amp; Site Log. ","")&amp;IF(AND($D277&lt;&gt;"",$E277&lt;&gt;"",$E277&lt;=$D277),"Bottom depth is not below top depth. ","")&amp;IF($H277="","Say which bulk-density basis the lab reported, or the coarse-fragment correction cannot be applied safely. ","")&amp;IF(AND($I277&lt;&gt;"",OR($I277&lt;QC_BD_MIN,$I277&gt;QC_BD_MAX)),"Bulk density outside "&amp;QC_BD_MIN&amp;"–"&amp;QC_BD_MAX&amp;" g/cm³. ","")&amp;IF(AND($L277&lt;&gt;"",$L277&gt;QC_CARBON_PCT_MAX),"Carbon above "&amp;QC_CARBON_PCT_MAX&amp;"% — check units; this may be organic matter rather than carbon. ","")&amp;IF(AND($J277&lt;&gt;"",$K277&lt;&gt;""),"Both LOI and measured carbon given — the measured value is used. ","")&amp;IF(AND($N277&lt;&gt;"",$N277=0),"Slice lies entirely below the reporting depth — it counts to the full-core stock only. ",""))</f>
        <v/>
      </c>
      <c r="R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 t="str">
        <f aca="false">IF(OR($D278="",$E278=""),"",$E278-$D278)</f>
        <v/>
      </c>
      <c r="G278" s="13"/>
      <c r="H278" s="13"/>
      <c r="I278" s="15"/>
      <c r="J278" s="15"/>
      <c r="K278" s="15"/>
      <c r="L278" s="14" t="str">
        <f aca="false">IF($K278&lt;&gt;"",$K278,IF($J278&lt;&gt;"",$J278*CARBON_FRACTION_OM,""))</f>
        <v/>
      </c>
      <c r="M278" s="14" t="n">
        <f aca="false">IF($H278="Fine earth / fine-earth volume",1-IF($G278="",0,$G278)/100,1)</f>
        <v>1</v>
      </c>
      <c r="N278" s="14" t="str">
        <f aca="false">IF(OR($D278="",$E278=""),"",MAX(0,MIN($E278,REPORTING_DEPTH_CM)-MIN($D278,REPORTING_DEPTH_CM)))</f>
        <v/>
      </c>
      <c r="O278" s="14" t="str">
        <f aca="false">IF(OR($I278="",$L278="",$N278=""),"",$I278*($L278/100)*$N278*$M278*10)</f>
        <v/>
      </c>
      <c r="P278" s="14" t="str">
        <f aca="false">IF(OR($I278="",$L278="",$F278=""),"",$I278*($L278/100)*$F278*$M278*10)</f>
        <v/>
      </c>
      <c r="Q278" s="14" t="str">
        <f aca="false">IF(AND($A278="",$B278="",$D278=""),"",IF(AND($B278&lt;&gt;"",COUNTIF('2. Core Log'!$A$5:$A$124,$B278)=0),"Core ID not in Core Log. ","")&amp;IF(AND($A278&lt;&gt;"",COUNTIF('1. Plot &amp; Site Log'!$A$5:$A$64,$A278)=0),"Plot ID not in Plot &amp; Site Log. ","")&amp;IF(AND($D278&lt;&gt;"",$E278&lt;&gt;"",$E278&lt;=$D278),"Bottom depth is not below top depth. ","")&amp;IF($H278="","Say which bulk-density basis the lab reported, or the coarse-fragment correction cannot be applied safely. ","")&amp;IF(AND($I278&lt;&gt;"",OR($I278&lt;QC_BD_MIN,$I278&gt;QC_BD_MAX)),"Bulk density outside "&amp;QC_BD_MIN&amp;"–"&amp;QC_BD_MAX&amp;" g/cm³. ","")&amp;IF(AND($L278&lt;&gt;"",$L278&gt;QC_CARBON_PCT_MAX),"Carbon above "&amp;QC_CARBON_PCT_MAX&amp;"% — check units; this may be organic matter rather than carbon. ","")&amp;IF(AND($J278&lt;&gt;"",$K278&lt;&gt;""),"Both LOI and measured carbon given — the measured value is used. ","")&amp;IF(AND($N278&lt;&gt;"",$N278=0),"Slice lies entirely below the reporting depth — it counts to the full-core stock only. ",""))</f>
        <v/>
      </c>
      <c r="R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3" t="str">
        <f aca="false">IF(OR($D279="",$E279=""),"",$E279-$D279)</f>
        <v/>
      </c>
      <c r="G279" s="13"/>
      <c r="H279" s="13"/>
      <c r="I279" s="15"/>
      <c r="J279" s="15"/>
      <c r="K279" s="15"/>
      <c r="L279" s="14" t="str">
        <f aca="false">IF($K279&lt;&gt;"",$K279,IF($J279&lt;&gt;"",$J279*CARBON_FRACTION_OM,""))</f>
        <v/>
      </c>
      <c r="M279" s="14" t="n">
        <f aca="false">IF($H279="Fine earth / fine-earth volume",1-IF($G279="",0,$G279)/100,1)</f>
        <v>1</v>
      </c>
      <c r="N279" s="14" t="str">
        <f aca="false">IF(OR($D279="",$E279=""),"",MAX(0,MIN($E279,REPORTING_DEPTH_CM)-MIN($D279,REPORTING_DEPTH_CM)))</f>
        <v/>
      </c>
      <c r="O279" s="14" t="str">
        <f aca="false">IF(OR($I279="",$L279="",$N279=""),"",$I279*($L279/100)*$N279*$M279*10)</f>
        <v/>
      </c>
      <c r="P279" s="14" t="str">
        <f aca="false">IF(OR($I279="",$L279="",$F279=""),"",$I279*($L279/100)*$F279*$M279*10)</f>
        <v/>
      </c>
      <c r="Q279" s="14" t="str">
        <f aca="false">IF(AND($A279="",$B279="",$D279=""),"",IF(AND($B279&lt;&gt;"",COUNTIF('2. Core Log'!$A$5:$A$124,$B279)=0),"Core ID not in Core Log. ","")&amp;IF(AND($A279&lt;&gt;"",COUNTIF('1. Plot &amp; Site Log'!$A$5:$A$64,$A279)=0),"Plot ID not in Plot &amp; Site Log. ","")&amp;IF(AND($D279&lt;&gt;"",$E279&lt;&gt;"",$E279&lt;=$D279),"Bottom depth is not below top depth. ","")&amp;IF($H279="","Say which bulk-density basis the lab reported, or the coarse-fragment correction cannot be applied safely. ","")&amp;IF(AND($I279&lt;&gt;"",OR($I279&lt;QC_BD_MIN,$I279&gt;QC_BD_MAX)),"Bulk density outside "&amp;QC_BD_MIN&amp;"–"&amp;QC_BD_MAX&amp;" g/cm³. ","")&amp;IF(AND($L279&lt;&gt;"",$L279&gt;QC_CARBON_PCT_MAX),"Carbon above "&amp;QC_CARBON_PCT_MAX&amp;"% — check units; this may be organic matter rather than carbon. ","")&amp;IF(AND($J279&lt;&gt;"",$K279&lt;&gt;""),"Both LOI and measured carbon given — the measured value is used. ","")&amp;IF(AND($N279&lt;&gt;"",$N279=0),"Slice lies entirely below the reporting depth — it counts to the full-core stock only. ",""))</f>
        <v/>
      </c>
      <c r="R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 t="str">
        <f aca="false">IF(OR($D280="",$E280=""),"",$E280-$D280)</f>
        <v/>
      </c>
      <c r="G280" s="13"/>
      <c r="H280" s="13"/>
      <c r="I280" s="15"/>
      <c r="J280" s="15"/>
      <c r="K280" s="15"/>
      <c r="L280" s="14" t="str">
        <f aca="false">IF($K280&lt;&gt;"",$K280,IF($J280&lt;&gt;"",$J280*CARBON_FRACTION_OM,""))</f>
        <v/>
      </c>
      <c r="M280" s="14" t="n">
        <f aca="false">IF($H280="Fine earth / fine-earth volume",1-IF($G280="",0,$G280)/100,1)</f>
        <v>1</v>
      </c>
      <c r="N280" s="14" t="str">
        <f aca="false">IF(OR($D280="",$E280=""),"",MAX(0,MIN($E280,REPORTING_DEPTH_CM)-MIN($D280,REPORTING_DEPTH_CM)))</f>
        <v/>
      </c>
      <c r="O280" s="14" t="str">
        <f aca="false">IF(OR($I280="",$L280="",$N280=""),"",$I280*($L280/100)*$N280*$M280*10)</f>
        <v/>
      </c>
      <c r="P280" s="14" t="str">
        <f aca="false">IF(OR($I280="",$L280="",$F280=""),"",$I280*($L280/100)*$F280*$M280*10)</f>
        <v/>
      </c>
      <c r="Q280" s="14" t="str">
        <f aca="false">IF(AND($A280="",$B280="",$D280=""),"",IF(AND($B280&lt;&gt;"",COUNTIF('2. Core Log'!$A$5:$A$124,$B280)=0),"Core ID not in Core Log. ","")&amp;IF(AND($A280&lt;&gt;"",COUNTIF('1. Plot &amp; Site Log'!$A$5:$A$64,$A280)=0),"Plot ID not in Plot &amp; Site Log. ","")&amp;IF(AND($D280&lt;&gt;"",$E280&lt;&gt;"",$E280&lt;=$D280),"Bottom depth is not below top depth. ","")&amp;IF($H280="","Say which bulk-density basis the lab reported, or the coarse-fragment correction cannot be applied safely. ","")&amp;IF(AND($I280&lt;&gt;"",OR($I280&lt;QC_BD_MIN,$I280&gt;QC_BD_MAX)),"Bulk density outside "&amp;QC_BD_MIN&amp;"–"&amp;QC_BD_MAX&amp;" g/cm³. ","")&amp;IF(AND($L280&lt;&gt;"",$L280&gt;QC_CARBON_PCT_MAX),"Carbon above "&amp;QC_CARBON_PCT_MAX&amp;"% — check units; this may be organic matter rather than carbon. ","")&amp;IF(AND($J280&lt;&gt;"",$K280&lt;&gt;""),"Both LOI and measured carbon given — the measured value is used. ","")&amp;IF(AND($N280&lt;&gt;"",$N280=0),"Slice lies entirely below the reporting depth — it counts to the full-core stock only. ",""))</f>
        <v/>
      </c>
      <c r="R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3" t="str">
        <f aca="false">IF(OR($D281="",$E281=""),"",$E281-$D281)</f>
        <v/>
      </c>
      <c r="G281" s="13"/>
      <c r="H281" s="13"/>
      <c r="I281" s="15"/>
      <c r="J281" s="15"/>
      <c r="K281" s="15"/>
      <c r="L281" s="14" t="str">
        <f aca="false">IF($K281&lt;&gt;"",$K281,IF($J281&lt;&gt;"",$J281*CARBON_FRACTION_OM,""))</f>
        <v/>
      </c>
      <c r="M281" s="14" t="n">
        <f aca="false">IF($H281="Fine earth / fine-earth volume",1-IF($G281="",0,$G281)/100,1)</f>
        <v>1</v>
      </c>
      <c r="N281" s="14" t="str">
        <f aca="false">IF(OR($D281="",$E281=""),"",MAX(0,MIN($E281,REPORTING_DEPTH_CM)-MIN($D281,REPORTING_DEPTH_CM)))</f>
        <v/>
      </c>
      <c r="O281" s="14" t="str">
        <f aca="false">IF(OR($I281="",$L281="",$N281=""),"",$I281*($L281/100)*$N281*$M281*10)</f>
        <v/>
      </c>
      <c r="P281" s="14" t="str">
        <f aca="false">IF(OR($I281="",$L281="",$F281=""),"",$I281*($L281/100)*$F281*$M281*10)</f>
        <v/>
      </c>
      <c r="Q281" s="14" t="str">
        <f aca="false">IF(AND($A281="",$B281="",$D281=""),"",IF(AND($B281&lt;&gt;"",COUNTIF('2. Core Log'!$A$5:$A$124,$B281)=0),"Core ID not in Core Log. ","")&amp;IF(AND($A281&lt;&gt;"",COUNTIF('1. Plot &amp; Site Log'!$A$5:$A$64,$A281)=0),"Plot ID not in Plot &amp; Site Log. ","")&amp;IF(AND($D281&lt;&gt;"",$E281&lt;&gt;"",$E281&lt;=$D281),"Bottom depth is not below top depth. ","")&amp;IF($H281="","Say which bulk-density basis the lab reported, or the coarse-fragment correction cannot be applied safely. ","")&amp;IF(AND($I281&lt;&gt;"",OR($I281&lt;QC_BD_MIN,$I281&gt;QC_BD_MAX)),"Bulk density outside "&amp;QC_BD_MIN&amp;"–"&amp;QC_BD_MAX&amp;" g/cm³. ","")&amp;IF(AND($L281&lt;&gt;"",$L281&gt;QC_CARBON_PCT_MAX),"Carbon above "&amp;QC_CARBON_PCT_MAX&amp;"% — check units; this may be organic matter rather than carbon. ","")&amp;IF(AND($J281&lt;&gt;"",$K281&lt;&gt;""),"Both LOI and measured carbon given — the measured value is used. ","")&amp;IF(AND($N281&lt;&gt;"",$N281=0),"Slice lies entirely below the reporting depth — it counts to the full-core stock only. ",""))</f>
        <v/>
      </c>
      <c r="R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 t="str">
        <f aca="false">IF(OR($D282="",$E282=""),"",$E282-$D282)</f>
        <v/>
      </c>
      <c r="G282" s="13"/>
      <c r="H282" s="13"/>
      <c r="I282" s="15"/>
      <c r="J282" s="15"/>
      <c r="K282" s="15"/>
      <c r="L282" s="14" t="str">
        <f aca="false">IF($K282&lt;&gt;"",$K282,IF($J282&lt;&gt;"",$J282*CARBON_FRACTION_OM,""))</f>
        <v/>
      </c>
      <c r="M282" s="14" t="n">
        <f aca="false">IF($H282="Fine earth / fine-earth volume",1-IF($G282="",0,$G282)/100,1)</f>
        <v>1</v>
      </c>
      <c r="N282" s="14" t="str">
        <f aca="false">IF(OR($D282="",$E282=""),"",MAX(0,MIN($E282,REPORTING_DEPTH_CM)-MIN($D282,REPORTING_DEPTH_CM)))</f>
        <v/>
      </c>
      <c r="O282" s="14" t="str">
        <f aca="false">IF(OR($I282="",$L282="",$N282=""),"",$I282*($L282/100)*$N282*$M282*10)</f>
        <v/>
      </c>
      <c r="P282" s="14" t="str">
        <f aca="false">IF(OR($I282="",$L282="",$F282=""),"",$I282*($L282/100)*$F282*$M282*10)</f>
        <v/>
      </c>
      <c r="Q282" s="14" t="str">
        <f aca="false">IF(AND($A282="",$B282="",$D282=""),"",IF(AND($B282&lt;&gt;"",COUNTIF('2. Core Log'!$A$5:$A$124,$B282)=0),"Core ID not in Core Log. ","")&amp;IF(AND($A282&lt;&gt;"",COUNTIF('1. Plot &amp; Site Log'!$A$5:$A$64,$A282)=0),"Plot ID not in Plot &amp; Site Log. ","")&amp;IF(AND($D282&lt;&gt;"",$E282&lt;&gt;"",$E282&lt;=$D282),"Bottom depth is not below top depth. ","")&amp;IF($H282="","Say which bulk-density basis the lab reported, or the coarse-fragment correction cannot be applied safely. ","")&amp;IF(AND($I282&lt;&gt;"",OR($I282&lt;QC_BD_MIN,$I282&gt;QC_BD_MAX)),"Bulk density outside "&amp;QC_BD_MIN&amp;"–"&amp;QC_BD_MAX&amp;" g/cm³. ","")&amp;IF(AND($L282&lt;&gt;"",$L282&gt;QC_CARBON_PCT_MAX),"Carbon above "&amp;QC_CARBON_PCT_MAX&amp;"% — check units; this may be organic matter rather than carbon. ","")&amp;IF(AND($J282&lt;&gt;"",$K282&lt;&gt;""),"Both LOI and measured carbon given — the measured value is used. ","")&amp;IF(AND($N282&lt;&gt;"",$N282=0),"Slice lies entirely below the reporting depth — it counts to the full-core stock only. ",""))</f>
        <v/>
      </c>
      <c r="R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3" t="str">
        <f aca="false">IF(OR($D283="",$E283=""),"",$E283-$D283)</f>
        <v/>
      </c>
      <c r="G283" s="13"/>
      <c r="H283" s="13"/>
      <c r="I283" s="15"/>
      <c r="J283" s="15"/>
      <c r="K283" s="15"/>
      <c r="L283" s="14" t="str">
        <f aca="false">IF($K283&lt;&gt;"",$K283,IF($J283&lt;&gt;"",$J283*CARBON_FRACTION_OM,""))</f>
        <v/>
      </c>
      <c r="M283" s="14" t="n">
        <f aca="false">IF($H283="Fine earth / fine-earth volume",1-IF($G283="",0,$G283)/100,1)</f>
        <v>1</v>
      </c>
      <c r="N283" s="14" t="str">
        <f aca="false">IF(OR($D283="",$E283=""),"",MAX(0,MIN($E283,REPORTING_DEPTH_CM)-MIN($D283,REPORTING_DEPTH_CM)))</f>
        <v/>
      </c>
      <c r="O283" s="14" t="str">
        <f aca="false">IF(OR($I283="",$L283="",$N283=""),"",$I283*($L283/100)*$N283*$M283*10)</f>
        <v/>
      </c>
      <c r="P283" s="14" t="str">
        <f aca="false">IF(OR($I283="",$L283="",$F283=""),"",$I283*($L283/100)*$F283*$M283*10)</f>
        <v/>
      </c>
      <c r="Q283" s="14" t="str">
        <f aca="false">IF(AND($A283="",$B283="",$D283=""),"",IF(AND($B283&lt;&gt;"",COUNTIF('2. Core Log'!$A$5:$A$124,$B283)=0),"Core ID not in Core Log. ","")&amp;IF(AND($A283&lt;&gt;"",COUNTIF('1. Plot &amp; Site Log'!$A$5:$A$64,$A283)=0),"Plot ID not in Plot &amp; Site Log. ","")&amp;IF(AND($D283&lt;&gt;"",$E283&lt;&gt;"",$E283&lt;=$D283),"Bottom depth is not below top depth. ","")&amp;IF($H283="","Say which bulk-density basis the lab reported, or the coarse-fragment correction cannot be applied safely. ","")&amp;IF(AND($I283&lt;&gt;"",OR($I283&lt;QC_BD_MIN,$I283&gt;QC_BD_MAX)),"Bulk density outside "&amp;QC_BD_MIN&amp;"–"&amp;QC_BD_MAX&amp;" g/cm³. ","")&amp;IF(AND($L283&lt;&gt;"",$L283&gt;QC_CARBON_PCT_MAX),"Carbon above "&amp;QC_CARBON_PCT_MAX&amp;"% — check units; this may be organic matter rather than carbon. ","")&amp;IF(AND($J283&lt;&gt;"",$K283&lt;&gt;""),"Both LOI and measured carbon given — the measured value is used. ","")&amp;IF(AND($N283&lt;&gt;"",$N283=0),"Slice lies entirely below the reporting depth — it counts to the full-core stock only. ",""))</f>
        <v/>
      </c>
      <c r="R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 t="str">
        <f aca="false">IF(OR($D284="",$E284=""),"",$E284-$D284)</f>
        <v/>
      </c>
      <c r="G284" s="13"/>
      <c r="H284" s="13"/>
      <c r="I284" s="15"/>
      <c r="J284" s="15"/>
      <c r="K284" s="15"/>
      <c r="L284" s="14" t="str">
        <f aca="false">IF($K284&lt;&gt;"",$K284,IF($J284&lt;&gt;"",$J284*CARBON_FRACTION_OM,""))</f>
        <v/>
      </c>
      <c r="M284" s="14" t="n">
        <f aca="false">IF($H284="Fine earth / fine-earth volume",1-IF($G284="",0,$G284)/100,1)</f>
        <v>1</v>
      </c>
      <c r="N284" s="14" t="str">
        <f aca="false">IF(OR($D284="",$E284=""),"",MAX(0,MIN($E284,REPORTING_DEPTH_CM)-MIN($D284,REPORTING_DEPTH_CM)))</f>
        <v/>
      </c>
      <c r="O284" s="14" t="str">
        <f aca="false">IF(OR($I284="",$L284="",$N284=""),"",$I284*($L284/100)*$N284*$M284*10)</f>
        <v/>
      </c>
      <c r="P284" s="14" t="str">
        <f aca="false">IF(OR($I284="",$L284="",$F284=""),"",$I284*($L284/100)*$F284*$M284*10)</f>
        <v/>
      </c>
      <c r="Q284" s="14" t="str">
        <f aca="false">IF(AND($A284="",$B284="",$D284=""),"",IF(AND($B284&lt;&gt;"",COUNTIF('2. Core Log'!$A$5:$A$124,$B284)=0),"Core ID not in Core Log. ","")&amp;IF(AND($A284&lt;&gt;"",COUNTIF('1. Plot &amp; Site Log'!$A$5:$A$64,$A284)=0),"Plot ID not in Plot &amp; Site Log. ","")&amp;IF(AND($D284&lt;&gt;"",$E284&lt;&gt;"",$E284&lt;=$D284),"Bottom depth is not below top depth. ","")&amp;IF($H284="","Say which bulk-density basis the lab reported, or the coarse-fragment correction cannot be applied safely. ","")&amp;IF(AND($I284&lt;&gt;"",OR($I284&lt;QC_BD_MIN,$I284&gt;QC_BD_MAX)),"Bulk density outside "&amp;QC_BD_MIN&amp;"–"&amp;QC_BD_MAX&amp;" g/cm³. ","")&amp;IF(AND($L284&lt;&gt;"",$L284&gt;QC_CARBON_PCT_MAX),"Carbon above "&amp;QC_CARBON_PCT_MAX&amp;"% — check units; this may be organic matter rather than carbon. ","")&amp;IF(AND($J284&lt;&gt;"",$K284&lt;&gt;""),"Both LOI and measured carbon given — the measured value is used. ","")&amp;IF(AND($N284&lt;&gt;"",$N284=0),"Slice lies entirely below the reporting depth — it counts to the full-core stock only. ",""))</f>
        <v/>
      </c>
      <c r="R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3" t="str">
        <f aca="false">IF(OR($D285="",$E285=""),"",$E285-$D285)</f>
        <v/>
      </c>
      <c r="G285" s="13"/>
      <c r="H285" s="13"/>
      <c r="I285" s="15"/>
      <c r="J285" s="15"/>
      <c r="K285" s="15"/>
      <c r="L285" s="14" t="str">
        <f aca="false">IF($K285&lt;&gt;"",$K285,IF($J285&lt;&gt;"",$J285*CARBON_FRACTION_OM,""))</f>
        <v/>
      </c>
      <c r="M285" s="14" t="n">
        <f aca="false">IF($H285="Fine earth / fine-earth volume",1-IF($G285="",0,$G285)/100,1)</f>
        <v>1</v>
      </c>
      <c r="N285" s="14" t="str">
        <f aca="false">IF(OR($D285="",$E285=""),"",MAX(0,MIN($E285,REPORTING_DEPTH_CM)-MIN($D285,REPORTING_DEPTH_CM)))</f>
        <v/>
      </c>
      <c r="O285" s="14" t="str">
        <f aca="false">IF(OR($I285="",$L285="",$N285=""),"",$I285*($L285/100)*$N285*$M285*10)</f>
        <v/>
      </c>
      <c r="P285" s="14" t="str">
        <f aca="false">IF(OR($I285="",$L285="",$F285=""),"",$I285*($L285/100)*$F285*$M285*10)</f>
        <v/>
      </c>
      <c r="Q285" s="14" t="str">
        <f aca="false">IF(AND($A285="",$B285="",$D285=""),"",IF(AND($B285&lt;&gt;"",COUNTIF('2. Core Log'!$A$5:$A$124,$B285)=0),"Core ID not in Core Log. ","")&amp;IF(AND($A285&lt;&gt;"",COUNTIF('1. Plot &amp; Site Log'!$A$5:$A$64,$A285)=0),"Plot ID not in Plot &amp; Site Log. ","")&amp;IF(AND($D285&lt;&gt;"",$E285&lt;&gt;"",$E285&lt;=$D285),"Bottom depth is not below top depth. ","")&amp;IF($H285="","Say which bulk-density basis the lab reported, or the coarse-fragment correction cannot be applied safely. ","")&amp;IF(AND($I285&lt;&gt;"",OR($I285&lt;QC_BD_MIN,$I285&gt;QC_BD_MAX)),"Bulk density outside "&amp;QC_BD_MIN&amp;"–"&amp;QC_BD_MAX&amp;" g/cm³. ","")&amp;IF(AND($L285&lt;&gt;"",$L285&gt;QC_CARBON_PCT_MAX),"Carbon above "&amp;QC_CARBON_PCT_MAX&amp;"% — check units; this may be organic matter rather than carbon. ","")&amp;IF(AND($J285&lt;&gt;"",$K285&lt;&gt;""),"Both LOI and measured carbon given — the measured value is used. ","")&amp;IF(AND($N285&lt;&gt;"",$N285=0),"Slice lies entirely below the reporting depth — it counts to the full-core stock only. ",""))</f>
        <v/>
      </c>
      <c r="R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 t="str">
        <f aca="false">IF(OR($D286="",$E286=""),"",$E286-$D286)</f>
        <v/>
      </c>
      <c r="G286" s="13"/>
      <c r="H286" s="13"/>
      <c r="I286" s="15"/>
      <c r="J286" s="15"/>
      <c r="K286" s="15"/>
      <c r="L286" s="14" t="str">
        <f aca="false">IF($K286&lt;&gt;"",$K286,IF($J286&lt;&gt;"",$J286*CARBON_FRACTION_OM,""))</f>
        <v/>
      </c>
      <c r="M286" s="14" t="n">
        <f aca="false">IF($H286="Fine earth / fine-earth volume",1-IF($G286="",0,$G286)/100,1)</f>
        <v>1</v>
      </c>
      <c r="N286" s="14" t="str">
        <f aca="false">IF(OR($D286="",$E286=""),"",MAX(0,MIN($E286,REPORTING_DEPTH_CM)-MIN($D286,REPORTING_DEPTH_CM)))</f>
        <v/>
      </c>
      <c r="O286" s="14" t="str">
        <f aca="false">IF(OR($I286="",$L286="",$N286=""),"",$I286*($L286/100)*$N286*$M286*10)</f>
        <v/>
      </c>
      <c r="P286" s="14" t="str">
        <f aca="false">IF(OR($I286="",$L286="",$F286=""),"",$I286*($L286/100)*$F286*$M286*10)</f>
        <v/>
      </c>
      <c r="Q286" s="14" t="str">
        <f aca="false">IF(AND($A286="",$B286="",$D286=""),"",IF(AND($B286&lt;&gt;"",COUNTIF('2. Core Log'!$A$5:$A$124,$B286)=0),"Core ID not in Core Log. ","")&amp;IF(AND($A286&lt;&gt;"",COUNTIF('1. Plot &amp; Site Log'!$A$5:$A$64,$A286)=0),"Plot ID not in Plot &amp; Site Log. ","")&amp;IF(AND($D286&lt;&gt;"",$E286&lt;&gt;"",$E286&lt;=$D286),"Bottom depth is not below top depth. ","")&amp;IF($H286="","Say which bulk-density basis the lab reported, or the coarse-fragment correction cannot be applied safely. ","")&amp;IF(AND($I286&lt;&gt;"",OR($I286&lt;QC_BD_MIN,$I286&gt;QC_BD_MAX)),"Bulk density outside "&amp;QC_BD_MIN&amp;"–"&amp;QC_BD_MAX&amp;" g/cm³. ","")&amp;IF(AND($L286&lt;&gt;"",$L286&gt;QC_CARBON_PCT_MAX),"Carbon above "&amp;QC_CARBON_PCT_MAX&amp;"% — check units; this may be organic matter rather than carbon. ","")&amp;IF(AND($J286&lt;&gt;"",$K286&lt;&gt;""),"Both LOI and measured carbon given — the measured value is used. ","")&amp;IF(AND($N286&lt;&gt;"",$N286=0),"Slice lies entirely below the reporting depth — it counts to the full-core stock only. ",""))</f>
        <v/>
      </c>
      <c r="R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3" t="str">
        <f aca="false">IF(OR($D287="",$E287=""),"",$E287-$D287)</f>
        <v/>
      </c>
      <c r="G287" s="13"/>
      <c r="H287" s="13"/>
      <c r="I287" s="15"/>
      <c r="J287" s="15"/>
      <c r="K287" s="15"/>
      <c r="L287" s="14" t="str">
        <f aca="false">IF($K287&lt;&gt;"",$K287,IF($J287&lt;&gt;"",$J287*CARBON_FRACTION_OM,""))</f>
        <v/>
      </c>
      <c r="M287" s="14" t="n">
        <f aca="false">IF($H287="Fine earth / fine-earth volume",1-IF($G287="",0,$G287)/100,1)</f>
        <v>1</v>
      </c>
      <c r="N287" s="14" t="str">
        <f aca="false">IF(OR($D287="",$E287=""),"",MAX(0,MIN($E287,REPORTING_DEPTH_CM)-MIN($D287,REPORTING_DEPTH_CM)))</f>
        <v/>
      </c>
      <c r="O287" s="14" t="str">
        <f aca="false">IF(OR($I287="",$L287="",$N287=""),"",$I287*($L287/100)*$N287*$M287*10)</f>
        <v/>
      </c>
      <c r="P287" s="14" t="str">
        <f aca="false">IF(OR($I287="",$L287="",$F287=""),"",$I287*($L287/100)*$F287*$M287*10)</f>
        <v/>
      </c>
      <c r="Q287" s="14" t="str">
        <f aca="false">IF(AND($A287="",$B287="",$D287=""),"",IF(AND($B287&lt;&gt;"",COUNTIF('2. Core Log'!$A$5:$A$124,$B287)=0),"Core ID not in Core Log. ","")&amp;IF(AND($A287&lt;&gt;"",COUNTIF('1. Plot &amp; Site Log'!$A$5:$A$64,$A287)=0),"Plot ID not in Plot &amp; Site Log. ","")&amp;IF(AND($D287&lt;&gt;"",$E287&lt;&gt;"",$E287&lt;=$D287),"Bottom depth is not below top depth. ","")&amp;IF($H287="","Say which bulk-density basis the lab reported, or the coarse-fragment correction cannot be applied safely. ","")&amp;IF(AND($I287&lt;&gt;"",OR($I287&lt;QC_BD_MIN,$I287&gt;QC_BD_MAX)),"Bulk density outside "&amp;QC_BD_MIN&amp;"–"&amp;QC_BD_MAX&amp;" g/cm³. ","")&amp;IF(AND($L287&lt;&gt;"",$L287&gt;QC_CARBON_PCT_MAX),"Carbon above "&amp;QC_CARBON_PCT_MAX&amp;"% — check units; this may be organic matter rather than carbon. ","")&amp;IF(AND($J287&lt;&gt;"",$K287&lt;&gt;""),"Both LOI and measured carbon given — the measured value is used. ","")&amp;IF(AND($N287&lt;&gt;"",$N287=0),"Slice lies entirely below the reporting depth — it counts to the full-core stock only. ",""))</f>
        <v/>
      </c>
      <c r="R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 t="str">
        <f aca="false">IF(OR($D288="",$E288=""),"",$E288-$D288)</f>
        <v/>
      </c>
      <c r="G288" s="13"/>
      <c r="H288" s="13"/>
      <c r="I288" s="15"/>
      <c r="J288" s="15"/>
      <c r="K288" s="15"/>
      <c r="L288" s="14" t="str">
        <f aca="false">IF($K288&lt;&gt;"",$K288,IF($J288&lt;&gt;"",$J288*CARBON_FRACTION_OM,""))</f>
        <v/>
      </c>
      <c r="M288" s="14" t="n">
        <f aca="false">IF($H288="Fine earth / fine-earth volume",1-IF($G288="",0,$G288)/100,1)</f>
        <v>1</v>
      </c>
      <c r="N288" s="14" t="str">
        <f aca="false">IF(OR($D288="",$E288=""),"",MAX(0,MIN($E288,REPORTING_DEPTH_CM)-MIN($D288,REPORTING_DEPTH_CM)))</f>
        <v/>
      </c>
      <c r="O288" s="14" t="str">
        <f aca="false">IF(OR($I288="",$L288="",$N288=""),"",$I288*($L288/100)*$N288*$M288*10)</f>
        <v/>
      </c>
      <c r="P288" s="14" t="str">
        <f aca="false">IF(OR($I288="",$L288="",$F288=""),"",$I288*($L288/100)*$F288*$M288*10)</f>
        <v/>
      </c>
      <c r="Q288" s="14" t="str">
        <f aca="false">IF(AND($A288="",$B288="",$D288=""),"",IF(AND($B288&lt;&gt;"",COUNTIF('2. Core Log'!$A$5:$A$124,$B288)=0),"Core ID not in Core Log. ","")&amp;IF(AND($A288&lt;&gt;"",COUNTIF('1. Plot &amp; Site Log'!$A$5:$A$64,$A288)=0),"Plot ID not in Plot &amp; Site Log. ","")&amp;IF(AND($D288&lt;&gt;"",$E288&lt;&gt;"",$E288&lt;=$D288),"Bottom depth is not below top depth. ","")&amp;IF($H288="","Say which bulk-density basis the lab reported, or the coarse-fragment correction cannot be applied safely. ","")&amp;IF(AND($I288&lt;&gt;"",OR($I288&lt;QC_BD_MIN,$I288&gt;QC_BD_MAX)),"Bulk density outside "&amp;QC_BD_MIN&amp;"–"&amp;QC_BD_MAX&amp;" g/cm³. ","")&amp;IF(AND($L288&lt;&gt;"",$L288&gt;QC_CARBON_PCT_MAX),"Carbon above "&amp;QC_CARBON_PCT_MAX&amp;"% — check units; this may be organic matter rather than carbon. ","")&amp;IF(AND($J288&lt;&gt;"",$K288&lt;&gt;""),"Both LOI and measured carbon given — the measured value is used. ","")&amp;IF(AND($N288&lt;&gt;"",$N288=0),"Slice lies entirely below the reporting depth — it counts to the full-core stock only. ",""))</f>
        <v/>
      </c>
      <c r="R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3" t="str">
        <f aca="false">IF(OR($D289="",$E289=""),"",$E289-$D289)</f>
        <v/>
      </c>
      <c r="G289" s="13"/>
      <c r="H289" s="13"/>
      <c r="I289" s="15"/>
      <c r="J289" s="15"/>
      <c r="K289" s="15"/>
      <c r="L289" s="14" t="str">
        <f aca="false">IF($K289&lt;&gt;"",$K289,IF($J289&lt;&gt;"",$J289*CARBON_FRACTION_OM,""))</f>
        <v/>
      </c>
      <c r="M289" s="14" t="n">
        <f aca="false">IF($H289="Fine earth / fine-earth volume",1-IF($G289="",0,$G289)/100,1)</f>
        <v>1</v>
      </c>
      <c r="N289" s="14" t="str">
        <f aca="false">IF(OR($D289="",$E289=""),"",MAX(0,MIN($E289,REPORTING_DEPTH_CM)-MIN($D289,REPORTING_DEPTH_CM)))</f>
        <v/>
      </c>
      <c r="O289" s="14" t="str">
        <f aca="false">IF(OR($I289="",$L289="",$N289=""),"",$I289*($L289/100)*$N289*$M289*10)</f>
        <v/>
      </c>
      <c r="P289" s="14" t="str">
        <f aca="false">IF(OR($I289="",$L289="",$F289=""),"",$I289*($L289/100)*$F289*$M289*10)</f>
        <v/>
      </c>
      <c r="Q289" s="14" t="str">
        <f aca="false">IF(AND($A289="",$B289="",$D289=""),"",IF(AND($B289&lt;&gt;"",COUNTIF('2. Core Log'!$A$5:$A$124,$B289)=0),"Core ID not in Core Log. ","")&amp;IF(AND($A289&lt;&gt;"",COUNTIF('1. Plot &amp; Site Log'!$A$5:$A$64,$A289)=0),"Plot ID not in Plot &amp; Site Log. ","")&amp;IF(AND($D289&lt;&gt;"",$E289&lt;&gt;"",$E289&lt;=$D289),"Bottom depth is not below top depth. ","")&amp;IF($H289="","Say which bulk-density basis the lab reported, or the coarse-fragment correction cannot be applied safely. ","")&amp;IF(AND($I289&lt;&gt;"",OR($I289&lt;QC_BD_MIN,$I289&gt;QC_BD_MAX)),"Bulk density outside "&amp;QC_BD_MIN&amp;"–"&amp;QC_BD_MAX&amp;" g/cm³. ","")&amp;IF(AND($L289&lt;&gt;"",$L289&gt;QC_CARBON_PCT_MAX),"Carbon above "&amp;QC_CARBON_PCT_MAX&amp;"% — check units; this may be organic matter rather than carbon. ","")&amp;IF(AND($J289&lt;&gt;"",$K289&lt;&gt;""),"Both LOI and measured carbon given — the measured value is used. ","")&amp;IF(AND($N289&lt;&gt;"",$N289=0),"Slice lies entirely below the reporting depth — it counts to the full-core stock only. ",""))</f>
        <v/>
      </c>
      <c r="R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 t="str">
        <f aca="false">IF(OR($D290="",$E290=""),"",$E290-$D290)</f>
        <v/>
      </c>
      <c r="G290" s="13"/>
      <c r="H290" s="13"/>
      <c r="I290" s="15"/>
      <c r="J290" s="15"/>
      <c r="K290" s="15"/>
      <c r="L290" s="14" t="str">
        <f aca="false">IF($K290&lt;&gt;"",$K290,IF($J290&lt;&gt;"",$J290*CARBON_FRACTION_OM,""))</f>
        <v/>
      </c>
      <c r="M290" s="14" t="n">
        <f aca="false">IF($H290="Fine earth / fine-earth volume",1-IF($G290="",0,$G290)/100,1)</f>
        <v>1</v>
      </c>
      <c r="N290" s="14" t="str">
        <f aca="false">IF(OR($D290="",$E290=""),"",MAX(0,MIN($E290,REPORTING_DEPTH_CM)-MIN($D290,REPORTING_DEPTH_CM)))</f>
        <v/>
      </c>
      <c r="O290" s="14" t="str">
        <f aca="false">IF(OR($I290="",$L290="",$N290=""),"",$I290*($L290/100)*$N290*$M290*10)</f>
        <v/>
      </c>
      <c r="P290" s="14" t="str">
        <f aca="false">IF(OR($I290="",$L290="",$F290=""),"",$I290*($L290/100)*$F290*$M290*10)</f>
        <v/>
      </c>
      <c r="Q290" s="14" t="str">
        <f aca="false">IF(AND($A290="",$B290="",$D290=""),"",IF(AND($B290&lt;&gt;"",COUNTIF('2. Core Log'!$A$5:$A$124,$B290)=0),"Core ID not in Core Log. ","")&amp;IF(AND($A290&lt;&gt;"",COUNTIF('1. Plot &amp; Site Log'!$A$5:$A$64,$A290)=0),"Plot ID not in Plot &amp; Site Log. ","")&amp;IF(AND($D290&lt;&gt;"",$E290&lt;&gt;"",$E290&lt;=$D290),"Bottom depth is not below top depth. ","")&amp;IF($H290="","Say which bulk-density basis the lab reported, or the coarse-fragment correction cannot be applied safely. ","")&amp;IF(AND($I290&lt;&gt;"",OR($I290&lt;QC_BD_MIN,$I290&gt;QC_BD_MAX)),"Bulk density outside "&amp;QC_BD_MIN&amp;"–"&amp;QC_BD_MAX&amp;" g/cm³. ","")&amp;IF(AND($L290&lt;&gt;"",$L290&gt;QC_CARBON_PCT_MAX),"Carbon above "&amp;QC_CARBON_PCT_MAX&amp;"% — check units; this may be organic matter rather than carbon. ","")&amp;IF(AND($J290&lt;&gt;"",$K290&lt;&gt;""),"Both LOI and measured carbon given — the measured value is used. ","")&amp;IF(AND($N290&lt;&gt;"",$N290=0),"Slice lies entirely below the reporting depth — it counts to the full-core stock only. ",""))</f>
        <v/>
      </c>
      <c r="R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3" t="str">
        <f aca="false">IF(OR($D291="",$E291=""),"",$E291-$D291)</f>
        <v/>
      </c>
      <c r="G291" s="13"/>
      <c r="H291" s="13"/>
      <c r="I291" s="15"/>
      <c r="J291" s="15"/>
      <c r="K291" s="15"/>
      <c r="L291" s="14" t="str">
        <f aca="false">IF($K291&lt;&gt;"",$K291,IF($J291&lt;&gt;"",$J291*CARBON_FRACTION_OM,""))</f>
        <v/>
      </c>
      <c r="M291" s="14" t="n">
        <f aca="false">IF($H291="Fine earth / fine-earth volume",1-IF($G291="",0,$G291)/100,1)</f>
        <v>1</v>
      </c>
      <c r="N291" s="14" t="str">
        <f aca="false">IF(OR($D291="",$E291=""),"",MAX(0,MIN($E291,REPORTING_DEPTH_CM)-MIN($D291,REPORTING_DEPTH_CM)))</f>
        <v/>
      </c>
      <c r="O291" s="14" t="str">
        <f aca="false">IF(OR($I291="",$L291="",$N291=""),"",$I291*($L291/100)*$N291*$M291*10)</f>
        <v/>
      </c>
      <c r="P291" s="14" t="str">
        <f aca="false">IF(OR($I291="",$L291="",$F291=""),"",$I291*($L291/100)*$F291*$M291*10)</f>
        <v/>
      </c>
      <c r="Q291" s="14" t="str">
        <f aca="false">IF(AND($A291="",$B291="",$D291=""),"",IF(AND($B291&lt;&gt;"",COUNTIF('2. Core Log'!$A$5:$A$124,$B291)=0),"Core ID not in Core Log. ","")&amp;IF(AND($A291&lt;&gt;"",COUNTIF('1. Plot &amp; Site Log'!$A$5:$A$64,$A291)=0),"Plot ID not in Plot &amp; Site Log. ","")&amp;IF(AND($D291&lt;&gt;"",$E291&lt;&gt;"",$E291&lt;=$D291),"Bottom depth is not below top depth. ","")&amp;IF($H291="","Say which bulk-density basis the lab reported, or the coarse-fragment correction cannot be applied safely. ","")&amp;IF(AND($I291&lt;&gt;"",OR($I291&lt;QC_BD_MIN,$I291&gt;QC_BD_MAX)),"Bulk density outside "&amp;QC_BD_MIN&amp;"–"&amp;QC_BD_MAX&amp;" g/cm³. ","")&amp;IF(AND($L291&lt;&gt;"",$L291&gt;QC_CARBON_PCT_MAX),"Carbon above "&amp;QC_CARBON_PCT_MAX&amp;"% — check units; this may be organic matter rather than carbon. ","")&amp;IF(AND($J291&lt;&gt;"",$K291&lt;&gt;""),"Both LOI and measured carbon given — the measured value is used. ","")&amp;IF(AND($N291&lt;&gt;"",$N291=0),"Slice lies entirely below the reporting depth — it counts to the full-core stock only. ",""))</f>
        <v/>
      </c>
      <c r="R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 t="str">
        <f aca="false">IF(OR($D292="",$E292=""),"",$E292-$D292)</f>
        <v/>
      </c>
      <c r="G292" s="13"/>
      <c r="H292" s="13"/>
      <c r="I292" s="15"/>
      <c r="J292" s="15"/>
      <c r="K292" s="15"/>
      <c r="L292" s="14" t="str">
        <f aca="false">IF($K292&lt;&gt;"",$K292,IF($J292&lt;&gt;"",$J292*CARBON_FRACTION_OM,""))</f>
        <v/>
      </c>
      <c r="M292" s="14" t="n">
        <f aca="false">IF($H292="Fine earth / fine-earth volume",1-IF($G292="",0,$G292)/100,1)</f>
        <v>1</v>
      </c>
      <c r="N292" s="14" t="str">
        <f aca="false">IF(OR($D292="",$E292=""),"",MAX(0,MIN($E292,REPORTING_DEPTH_CM)-MIN($D292,REPORTING_DEPTH_CM)))</f>
        <v/>
      </c>
      <c r="O292" s="14" t="str">
        <f aca="false">IF(OR($I292="",$L292="",$N292=""),"",$I292*($L292/100)*$N292*$M292*10)</f>
        <v/>
      </c>
      <c r="P292" s="14" t="str">
        <f aca="false">IF(OR($I292="",$L292="",$F292=""),"",$I292*($L292/100)*$F292*$M292*10)</f>
        <v/>
      </c>
      <c r="Q292" s="14" t="str">
        <f aca="false">IF(AND($A292="",$B292="",$D292=""),"",IF(AND($B292&lt;&gt;"",COUNTIF('2. Core Log'!$A$5:$A$124,$B292)=0),"Core ID not in Core Log. ","")&amp;IF(AND($A292&lt;&gt;"",COUNTIF('1. Plot &amp; Site Log'!$A$5:$A$64,$A292)=0),"Plot ID not in Plot &amp; Site Log. ","")&amp;IF(AND($D292&lt;&gt;"",$E292&lt;&gt;"",$E292&lt;=$D292),"Bottom depth is not below top depth. ","")&amp;IF($H292="","Say which bulk-density basis the lab reported, or the coarse-fragment correction cannot be applied safely. ","")&amp;IF(AND($I292&lt;&gt;"",OR($I292&lt;QC_BD_MIN,$I292&gt;QC_BD_MAX)),"Bulk density outside "&amp;QC_BD_MIN&amp;"–"&amp;QC_BD_MAX&amp;" g/cm³. ","")&amp;IF(AND($L292&lt;&gt;"",$L292&gt;QC_CARBON_PCT_MAX),"Carbon above "&amp;QC_CARBON_PCT_MAX&amp;"% — check units; this may be organic matter rather than carbon. ","")&amp;IF(AND($J292&lt;&gt;"",$K292&lt;&gt;""),"Both LOI and measured carbon given — the measured value is used. ","")&amp;IF(AND($N292&lt;&gt;"",$N292=0),"Slice lies entirely below the reporting depth — it counts to the full-core stock only. ",""))</f>
        <v/>
      </c>
      <c r="R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3" t="str">
        <f aca="false">IF(OR($D293="",$E293=""),"",$E293-$D293)</f>
        <v/>
      </c>
      <c r="G293" s="13"/>
      <c r="H293" s="13"/>
      <c r="I293" s="15"/>
      <c r="J293" s="15"/>
      <c r="K293" s="15"/>
      <c r="L293" s="14" t="str">
        <f aca="false">IF($K293&lt;&gt;"",$K293,IF($J293&lt;&gt;"",$J293*CARBON_FRACTION_OM,""))</f>
        <v/>
      </c>
      <c r="M293" s="14" t="n">
        <f aca="false">IF($H293="Fine earth / fine-earth volume",1-IF($G293="",0,$G293)/100,1)</f>
        <v>1</v>
      </c>
      <c r="N293" s="14" t="str">
        <f aca="false">IF(OR($D293="",$E293=""),"",MAX(0,MIN($E293,REPORTING_DEPTH_CM)-MIN($D293,REPORTING_DEPTH_CM)))</f>
        <v/>
      </c>
      <c r="O293" s="14" t="str">
        <f aca="false">IF(OR($I293="",$L293="",$N293=""),"",$I293*($L293/100)*$N293*$M293*10)</f>
        <v/>
      </c>
      <c r="P293" s="14" t="str">
        <f aca="false">IF(OR($I293="",$L293="",$F293=""),"",$I293*($L293/100)*$F293*$M293*10)</f>
        <v/>
      </c>
      <c r="Q293" s="14" t="str">
        <f aca="false">IF(AND($A293="",$B293="",$D293=""),"",IF(AND($B293&lt;&gt;"",COUNTIF('2. Core Log'!$A$5:$A$124,$B293)=0),"Core ID not in Core Log. ","")&amp;IF(AND($A293&lt;&gt;"",COUNTIF('1. Plot &amp; Site Log'!$A$5:$A$64,$A293)=0),"Plot ID not in Plot &amp; Site Log. ","")&amp;IF(AND($D293&lt;&gt;"",$E293&lt;&gt;"",$E293&lt;=$D293),"Bottom depth is not below top depth. ","")&amp;IF($H293="","Say which bulk-density basis the lab reported, or the coarse-fragment correction cannot be applied safely. ","")&amp;IF(AND($I293&lt;&gt;"",OR($I293&lt;QC_BD_MIN,$I293&gt;QC_BD_MAX)),"Bulk density outside "&amp;QC_BD_MIN&amp;"–"&amp;QC_BD_MAX&amp;" g/cm³. ","")&amp;IF(AND($L293&lt;&gt;"",$L293&gt;QC_CARBON_PCT_MAX),"Carbon above "&amp;QC_CARBON_PCT_MAX&amp;"% — check units; this may be organic matter rather than carbon. ","")&amp;IF(AND($J293&lt;&gt;"",$K293&lt;&gt;""),"Both LOI and measured carbon given — the measured value is used. ","")&amp;IF(AND($N293&lt;&gt;"",$N293=0),"Slice lies entirely below the reporting depth — it counts to the full-core stock only. ",""))</f>
        <v/>
      </c>
      <c r="R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 t="str">
        <f aca="false">IF(OR($D294="",$E294=""),"",$E294-$D294)</f>
        <v/>
      </c>
      <c r="G294" s="13"/>
      <c r="H294" s="13"/>
      <c r="I294" s="15"/>
      <c r="J294" s="15"/>
      <c r="K294" s="15"/>
      <c r="L294" s="14" t="str">
        <f aca="false">IF($K294&lt;&gt;"",$K294,IF($J294&lt;&gt;"",$J294*CARBON_FRACTION_OM,""))</f>
        <v/>
      </c>
      <c r="M294" s="14" t="n">
        <f aca="false">IF($H294="Fine earth / fine-earth volume",1-IF($G294="",0,$G294)/100,1)</f>
        <v>1</v>
      </c>
      <c r="N294" s="14" t="str">
        <f aca="false">IF(OR($D294="",$E294=""),"",MAX(0,MIN($E294,REPORTING_DEPTH_CM)-MIN($D294,REPORTING_DEPTH_CM)))</f>
        <v/>
      </c>
      <c r="O294" s="14" t="str">
        <f aca="false">IF(OR($I294="",$L294="",$N294=""),"",$I294*($L294/100)*$N294*$M294*10)</f>
        <v/>
      </c>
      <c r="P294" s="14" t="str">
        <f aca="false">IF(OR($I294="",$L294="",$F294=""),"",$I294*($L294/100)*$F294*$M294*10)</f>
        <v/>
      </c>
      <c r="Q294" s="14" t="str">
        <f aca="false">IF(AND($A294="",$B294="",$D294=""),"",IF(AND($B294&lt;&gt;"",COUNTIF('2. Core Log'!$A$5:$A$124,$B294)=0),"Core ID not in Core Log. ","")&amp;IF(AND($A294&lt;&gt;"",COUNTIF('1. Plot &amp; Site Log'!$A$5:$A$64,$A294)=0),"Plot ID not in Plot &amp; Site Log. ","")&amp;IF(AND($D294&lt;&gt;"",$E294&lt;&gt;"",$E294&lt;=$D294),"Bottom depth is not below top depth. ","")&amp;IF($H294="","Say which bulk-density basis the lab reported, or the coarse-fragment correction cannot be applied safely. ","")&amp;IF(AND($I294&lt;&gt;"",OR($I294&lt;QC_BD_MIN,$I294&gt;QC_BD_MAX)),"Bulk density outside "&amp;QC_BD_MIN&amp;"–"&amp;QC_BD_MAX&amp;" g/cm³. ","")&amp;IF(AND($L294&lt;&gt;"",$L294&gt;QC_CARBON_PCT_MAX),"Carbon above "&amp;QC_CARBON_PCT_MAX&amp;"% — check units; this may be organic matter rather than carbon. ","")&amp;IF(AND($J294&lt;&gt;"",$K294&lt;&gt;""),"Both LOI and measured carbon given — the measured value is used. ","")&amp;IF(AND($N294&lt;&gt;"",$N294=0),"Slice lies entirely below the reporting depth — it counts to the full-core stock only. ",""))</f>
        <v/>
      </c>
      <c r="R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3" t="str">
        <f aca="false">IF(OR($D295="",$E295=""),"",$E295-$D295)</f>
        <v/>
      </c>
      <c r="G295" s="13"/>
      <c r="H295" s="13"/>
      <c r="I295" s="15"/>
      <c r="J295" s="15"/>
      <c r="K295" s="15"/>
      <c r="L295" s="14" t="str">
        <f aca="false">IF($K295&lt;&gt;"",$K295,IF($J295&lt;&gt;"",$J295*CARBON_FRACTION_OM,""))</f>
        <v/>
      </c>
      <c r="M295" s="14" t="n">
        <f aca="false">IF($H295="Fine earth / fine-earth volume",1-IF($G295="",0,$G295)/100,1)</f>
        <v>1</v>
      </c>
      <c r="N295" s="14" t="str">
        <f aca="false">IF(OR($D295="",$E295=""),"",MAX(0,MIN($E295,REPORTING_DEPTH_CM)-MIN($D295,REPORTING_DEPTH_CM)))</f>
        <v/>
      </c>
      <c r="O295" s="14" t="str">
        <f aca="false">IF(OR($I295="",$L295="",$N295=""),"",$I295*($L295/100)*$N295*$M295*10)</f>
        <v/>
      </c>
      <c r="P295" s="14" t="str">
        <f aca="false">IF(OR($I295="",$L295="",$F295=""),"",$I295*($L295/100)*$F295*$M295*10)</f>
        <v/>
      </c>
      <c r="Q295" s="14" t="str">
        <f aca="false">IF(AND($A295="",$B295="",$D295=""),"",IF(AND($B295&lt;&gt;"",COUNTIF('2. Core Log'!$A$5:$A$124,$B295)=0),"Core ID not in Core Log. ","")&amp;IF(AND($A295&lt;&gt;"",COUNTIF('1. Plot &amp; Site Log'!$A$5:$A$64,$A295)=0),"Plot ID not in Plot &amp; Site Log. ","")&amp;IF(AND($D295&lt;&gt;"",$E295&lt;&gt;"",$E295&lt;=$D295),"Bottom depth is not below top depth. ","")&amp;IF($H295="","Say which bulk-density basis the lab reported, or the coarse-fragment correction cannot be applied safely. ","")&amp;IF(AND($I295&lt;&gt;"",OR($I295&lt;QC_BD_MIN,$I295&gt;QC_BD_MAX)),"Bulk density outside "&amp;QC_BD_MIN&amp;"–"&amp;QC_BD_MAX&amp;" g/cm³. ","")&amp;IF(AND($L295&lt;&gt;"",$L295&gt;QC_CARBON_PCT_MAX),"Carbon above "&amp;QC_CARBON_PCT_MAX&amp;"% — check units; this may be organic matter rather than carbon. ","")&amp;IF(AND($J295&lt;&gt;"",$K295&lt;&gt;""),"Both LOI and measured carbon given — the measured value is used. ","")&amp;IF(AND($N295&lt;&gt;"",$N295=0),"Slice lies entirely below the reporting depth — it counts to the full-core stock only. ",""))</f>
        <v/>
      </c>
      <c r="R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 t="str">
        <f aca="false">IF(OR($D296="",$E296=""),"",$E296-$D296)</f>
        <v/>
      </c>
      <c r="G296" s="13"/>
      <c r="H296" s="13"/>
      <c r="I296" s="15"/>
      <c r="J296" s="15"/>
      <c r="K296" s="15"/>
      <c r="L296" s="14" t="str">
        <f aca="false">IF($K296&lt;&gt;"",$K296,IF($J296&lt;&gt;"",$J296*CARBON_FRACTION_OM,""))</f>
        <v/>
      </c>
      <c r="M296" s="14" t="n">
        <f aca="false">IF($H296="Fine earth / fine-earth volume",1-IF($G296="",0,$G296)/100,1)</f>
        <v>1</v>
      </c>
      <c r="N296" s="14" t="str">
        <f aca="false">IF(OR($D296="",$E296=""),"",MAX(0,MIN($E296,REPORTING_DEPTH_CM)-MIN($D296,REPORTING_DEPTH_CM)))</f>
        <v/>
      </c>
      <c r="O296" s="14" t="str">
        <f aca="false">IF(OR($I296="",$L296="",$N296=""),"",$I296*($L296/100)*$N296*$M296*10)</f>
        <v/>
      </c>
      <c r="P296" s="14" t="str">
        <f aca="false">IF(OR($I296="",$L296="",$F296=""),"",$I296*($L296/100)*$F296*$M296*10)</f>
        <v/>
      </c>
      <c r="Q296" s="14" t="str">
        <f aca="false">IF(AND($A296="",$B296="",$D296=""),"",IF(AND($B296&lt;&gt;"",COUNTIF('2. Core Log'!$A$5:$A$124,$B296)=0),"Core ID not in Core Log. ","")&amp;IF(AND($A296&lt;&gt;"",COUNTIF('1. Plot &amp; Site Log'!$A$5:$A$64,$A296)=0),"Plot ID not in Plot &amp; Site Log. ","")&amp;IF(AND($D296&lt;&gt;"",$E296&lt;&gt;"",$E296&lt;=$D296),"Bottom depth is not below top depth. ","")&amp;IF($H296="","Say which bulk-density basis the lab reported, or the coarse-fragment correction cannot be applied safely. ","")&amp;IF(AND($I296&lt;&gt;"",OR($I296&lt;QC_BD_MIN,$I296&gt;QC_BD_MAX)),"Bulk density outside "&amp;QC_BD_MIN&amp;"–"&amp;QC_BD_MAX&amp;" g/cm³. ","")&amp;IF(AND($L296&lt;&gt;"",$L296&gt;QC_CARBON_PCT_MAX),"Carbon above "&amp;QC_CARBON_PCT_MAX&amp;"% — check units; this may be organic matter rather than carbon. ","")&amp;IF(AND($J296&lt;&gt;"",$K296&lt;&gt;""),"Both LOI and measured carbon given — the measured value is used. ","")&amp;IF(AND($N296&lt;&gt;"",$N296=0),"Slice lies entirely below the reporting depth — it counts to the full-core stock only. ",""))</f>
        <v/>
      </c>
      <c r="R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3" t="str">
        <f aca="false">IF(OR($D297="",$E297=""),"",$E297-$D297)</f>
        <v/>
      </c>
      <c r="G297" s="13"/>
      <c r="H297" s="13"/>
      <c r="I297" s="15"/>
      <c r="J297" s="15"/>
      <c r="K297" s="15"/>
      <c r="L297" s="14" t="str">
        <f aca="false">IF($K297&lt;&gt;"",$K297,IF($J297&lt;&gt;"",$J297*CARBON_FRACTION_OM,""))</f>
        <v/>
      </c>
      <c r="M297" s="14" t="n">
        <f aca="false">IF($H297="Fine earth / fine-earth volume",1-IF($G297="",0,$G297)/100,1)</f>
        <v>1</v>
      </c>
      <c r="N297" s="14" t="str">
        <f aca="false">IF(OR($D297="",$E297=""),"",MAX(0,MIN($E297,REPORTING_DEPTH_CM)-MIN($D297,REPORTING_DEPTH_CM)))</f>
        <v/>
      </c>
      <c r="O297" s="14" t="str">
        <f aca="false">IF(OR($I297="",$L297="",$N297=""),"",$I297*($L297/100)*$N297*$M297*10)</f>
        <v/>
      </c>
      <c r="P297" s="14" t="str">
        <f aca="false">IF(OR($I297="",$L297="",$F297=""),"",$I297*($L297/100)*$F297*$M297*10)</f>
        <v/>
      </c>
      <c r="Q297" s="14" t="str">
        <f aca="false">IF(AND($A297="",$B297="",$D297=""),"",IF(AND($B297&lt;&gt;"",COUNTIF('2. Core Log'!$A$5:$A$124,$B297)=0),"Core ID not in Core Log. ","")&amp;IF(AND($A297&lt;&gt;"",COUNTIF('1. Plot &amp; Site Log'!$A$5:$A$64,$A297)=0),"Plot ID not in Plot &amp; Site Log. ","")&amp;IF(AND($D297&lt;&gt;"",$E297&lt;&gt;"",$E297&lt;=$D297),"Bottom depth is not below top depth. ","")&amp;IF($H297="","Say which bulk-density basis the lab reported, or the coarse-fragment correction cannot be applied safely. ","")&amp;IF(AND($I297&lt;&gt;"",OR($I297&lt;QC_BD_MIN,$I297&gt;QC_BD_MAX)),"Bulk density outside "&amp;QC_BD_MIN&amp;"–"&amp;QC_BD_MAX&amp;" g/cm³. ","")&amp;IF(AND($L297&lt;&gt;"",$L297&gt;QC_CARBON_PCT_MAX),"Carbon above "&amp;QC_CARBON_PCT_MAX&amp;"% — check units; this may be organic matter rather than carbon. ","")&amp;IF(AND($J297&lt;&gt;"",$K297&lt;&gt;""),"Both LOI and measured carbon given — the measured value is used. ","")&amp;IF(AND($N297&lt;&gt;"",$N297=0),"Slice lies entirely below the reporting depth — it counts to the full-core stock only. ",""))</f>
        <v/>
      </c>
      <c r="R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 t="str">
        <f aca="false">IF(OR($D298="",$E298=""),"",$E298-$D298)</f>
        <v/>
      </c>
      <c r="G298" s="13"/>
      <c r="H298" s="13"/>
      <c r="I298" s="15"/>
      <c r="J298" s="15"/>
      <c r="K298" s="15"/>
      <c r="L298" s="14" t="str">
        <f aca="false">IF($K298&lt;&gt;"",$K298,IF($J298&lt;&gt;"",$J298*CARBON_FRACTION_OM,""))</f>
        <v/>
      </c>
      <c r="M298" s="14" t="n">
        <f aca="false">IF($H298="Fine earth / fine-earth volume",1-IF($G298="",0,$G298)/100,1)</f>
        <v>1</v>
      </c>
      <c r="N298" s="14" t="str">
        <f aca="false">IF(OR($D298="",$E298=""),"",MAX(0,MIN($E298,REPORTING_DEPTH_CM)-MIN($D298,REPORTING_DEPTH_CM)))</f>
        <v/>
      </c>
      <c r="O298" s="14" t="str">
        <f aca="false">IF(OR($I298="",$L298="",$N298=""),"",$I298*($L298/100)*$N298*$M298*10)</f>
        <v/>
      </c>
      <c r="P298" s="14" t="str">
        <f aca="false">IF(OR($I298="",$L298="",$F298=""),"",$I298*($L298/100)*$F298*$M298*10)</f>
        <v/>
      </c>
      <c r="Q298" s="14" t="str">
        <f aca="false">IF(AND($A298="",$B298="",$D298=""),"",IF(AND($B298&lt;&gt;"",COUNTIF('2. Core Log'!$A$5:$A$124,$B298)=0),"Core ID not in Core Log. ","")&amp;IF(AND($A298&lt;&gt;"",COUNTIF('1. Plot &amp; Site Log'!$A$5:$A$64,$A298)=0),"Plot ID not in Plot &amp; Site Log. ","")&amp;IF(AND($D298&lt;&gt;"",$E298&lt;&gt;"",$E298&lt;=$D298),"Bottom depth is not below top depth. ","")&amp;IF($H298="","Say which bulk-density basis the lab reported, or the coarse-fragment correction cannot be applied safely. ","")&amp;IF(AND($I298&lt;&gt;"",OR($I298&lt;QC_BD_MIN,$I298&gt;QC_BD_MAX)),"Bulk density outside "&amp;QC_BD_MIN&amp;"–"&amp;QC_BD_MAX&amp;" g/cm³. ","")&amp;IF(AND($L298&lt;&gt;"",$L298&gt;QC_CARBON_PCT_MAX),"Carbon above "&amp;QC_CARBON_PCT_MAX&amp;"% — check units; this may be organic matter rather than carbon. ","")&amp;IF(AND($J298&lt;&gt;"",$K298&lt;&gt;""),"Both LOI and measured carbon given — the measured value is used. ","")&amp;IF(AND($N298&lt;&gt;"",$N298=0),"Slice lies entirely below the reporting depth — it counts to the full-core stock only. ",""))</f>
        <v/>
      </c>
      <c r="R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3" t="str">
        <f aca="false">IF(OR($D299="",$E299=""),"",$E299-$D299)</f>
        <v/>
      </c>
      <c r="G299" s="13"/>
      <c r="H299" s="13"/>
      <c r="I299" s="15"/>
      <c r="J299" s="15"/>
      <c r="K299" s="15"/>
      <c r="L299" s="14" t="str">
        <f aca="false">IF($K299&lt;&gt;"",$K299,IF($J299&lt;&gt;"",$J299*CARBON_FRACTION_OM,""))</f>
        <v/>
      </c>
      <c r="M299" s="14" t="n">
        <f aca="false">IF($H299="Fine earth / fine-earth volume",1-IF($G299="",0,$G299)/100,1)</f>
        <v>1</v>
      </c>
      <c r="N299" s="14" t="str">
        <f aca="false">IF(OR($D299="",$E299=""),"",MAX(0,MIN($E299,REPORTING_DEPTH_CM)-MIN($D299,REPORTING_DEPTH_CM)))</f>
        <v/>
      </c>
      <c r="O299" s="14" t="str">
        <f aca="false">IF(OR($I299="",$L299="",$N299=""),"",$I299*($L299/100)*$N299*$M299*10)</f>
        <v/>
      </c>
      <c r="P299" s="14" t="str">
        <f aca="false">IF(OR($I299="",$L299="",$F299=""),"",$I299*($L299/100)*$F299*$M299*10)</f>
        <v/>
      </c>
      <c r="Q299" s="14" t="str">
        <f aca="false">IF(AND($A299="",$B299="",$D299=""),"",IF(AND($B299&lt;&gt;"",COUNTIF('2. Core Log'!$A$5:$A$124,$B299)=0),"Core ID not in Core Log. ","")&amp;IF(AND($A299&lt;&gt;"",COUNTIF('1. Plot &amp; Site Log'!$A$5:$A$64,$A299)=0),"Plot ID not in Plot &amp; Site Log. ","")&amp;IF(AND($D299&lt;&gt;"",$E299&lt;&gt;"",$E299&lt;=$D299),"Bottom depth is not below top depth. ","")&amp;IF($H299="","Say which bulk-density basis the lab reported, or the coarse-fragment correction cannot be applied safely. ","")&amp;IF(AND($I299&lt;&gt;"",OR($I299&lt;QC_BD_MIN,$I299&gt;QC_BD_MAX)),"Bulk density outside "&amp;QC_BD_MIN&amp;"–"&amp;QC_BD_MAX&amp;" g/cm³. ","")&amp;IF(AND($L299&lt;&gt;"",$L299&gt;QC_CARBON_PCT_MAX),"Carbon above "&amp;QC_CARBON_PCT_MAX&amp;"% — check units; this may be organic matter rather than carbon. ","")&amp;IF(AND($J299&lt;&gt;"",$K299&lt;&gt;""),"Both LOI and measured carbon given — the measured value is used. ","")&amp;IF(AND($N299&lt;&gt;"",$N299=0),"Slice lies entirely below the reporting depth — it counts to the full-core stock only. ",""))</f>
        <v/>
      </c>
      <c r="R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 t="str">
        <f aca="false">IF(OR($D300="",$E300=""),"",$E300-$D300)</f>
        <v/>
      </c>
      <c r="G300" s="13"/>
      <c r="H300" s="13"/>
      <c r="I300" s="15"/>
      <c r="J300" s="15"/>
      <c r="K300" s="15"/>
      <c r="L300" s="14" t="str">
        <f aca="false">IF($K300&lt;&gt;"",$K300,IF($J300&lt;&gt;"",$J300*CARBON_FRACTION_OM,""))</f>
        <v/>
      </c>
      <c r="M300" s="14" t="n">
        <f aca="false">IF($H300="Fine earth / fine-earth volume",1-IF($G300="",0,$G300)/100,1)</f>
        <v>1</v>
      </c>
      <c r="N300" s="14" t="str">
        <f aca="false">IF(OR($D300="",$E300=""),"",MAX(0,MIN($E300,REPORTING_DEPTH_CM)-MIN($D300,REPORTING_DEPTH_CM)))</f>
        <v/>
      </c>
      <c r="O300" s="14" t="str">
        <f aca="false">IF(OR($I300="",$L300="",$N300=""),"",$I300*($L300/100)*$N300*$M300*10)</f>
        <v/>
      </c>
      <c r="P300" s="14" t="str">
        <f aca="false">IF(OR($I300="",$L300="",$F300=""),"",$I300*($L300/100)*$F300*$M300*10)</f>
        <v/>
      </c>
      <c r="Q300" s="14" t="str">
        <f aca="false">IF(AND($A300="",$B300="",$D300=""),"",IF(AND($B300&lt;&gt;"",COUNTIF('2. Core Log'!$A$5:$A$124,$B300)=0),"Core ID not in Core Log. ","")&amp;IF(AND($A300&lt;&gt;"",COUNTIF('1. Plot &amp; Site Log'!$A$5:$A$64,$A300)=0),"Plot ID not in Plot &amp; Site Log. ","")&amp;IF(AND($D300&lt;&gt;"",$E300&lt;&gt;"",$E300&lt;=$D300),"Bottom depth is not below top depth. ","")&amp;IF($H300="","Say which bulk-density basis the lab reported, or the coarse-fragment correction cannot be applied safely. ","")&amp;IF(AND($I300&lt;&gt;"",OR($I300&lt;QC_BD_MIN,$I300&gt;QC_BD_MAX)),"Bulk density outside "&amp;QC_BD_MIN&amp;"–"&amp;QC_BD_MAX&amp;" g/cm³. ","")&amp;IF(AND($L300&lt;&gt;"",$L300&gt;QC_CARBON_PCT_MAX),"Carbon above "&amp;QC_CARBON_PCT_MAX&amp;"% — check units; this may be organic matter rather than carbon. ","")&amp;IF(AND($J300&lt;&gt;"",$K300&lt;&gt;""),"Both LOI and measured carbon given — the measured value is used. ","")&amp;IF(AND($N300&lt;&gt;"",$N300=0),"Slice lies entirely below the reporting depth — it counts to the full-core stock only. ",""))</f>
        <v/>
      </c>
      <c r="R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3" t="str">
        <f aca="false">IF(OR($D301="",$E301=""),"",$E301-$D301)</f>
        <v/>
      </c>
      <c r="G301" s="13"/>
      <c r="H301" s="13"/>
      <c r="I301" s="15"/>
      <c r="J301" s="15"/>
      <c r="K301" s="15"/>
      <c r="L301" s="14" t="str">
        <f aca="false">IF($K301&lt;&gt;"",$K301,IF($J301&lt;&gt;"",$J301*CARBON_FRACTION_OM,""))</f>
        <v/>
      </c>
      <c r="M301" s="14" t="n">
        <f aca="false">IF($H301="Fine earth / fine-earth volume",1-IF($G301="",0,$G301)/100,1)</f>
        <v>1</v>
      </c>
      <c r="N301" s="14" t="str">
        <f aca="false">IF(OR($D301="",$E301=""),"",MAX(0,MIN($E301,REPORTING_DEPTH_CM)-MIN($D301,REPORTING_DEPTH_CM)))</f>
        <v/>
      </c>
      <c r="O301" s="14" t="str">
        <f aca="false">IF(OR($I301="",$L301="",$N301=""),"",$I301*($L301/100)*$N301*$M301*10)</f>
        <v/>
      </c>
      <c r="P301" s="14" t="str">
        <f aca="false">IF(OR($I301="",$L301="",$F301=""),"",$I301*($L301/100)*$F301*$M301*10)</f>
        <v/>
      </c>
      <c r="Q301" s="14" t="str">
        <f aca="false">IF(AND($A301="",$B301="",$D301=""),"",IF(AND($B301&lt;&gt;"",COUNTIF('2. Core Log'!$A$5:$A$124,$B301)=0),"Core ID not in Core Log. ","")&amp;IF(AND($A301&lt;&gt;"",COUNTIF('1. Plot &amp; Site Log'!$A$5:$A$64,$A301)=0),"Plot ID not in Plot &amp; Site Log. ","")&amp;IF(AND($D301&lt;&gt;"",$E301&lt;&gt;"",$E301&lt;=$D301),"Bottom depth is not below top depth. ","")&amp;IF($H301="","Say which bulk-density basis the lab reported, or the coarse-fragment correction cannot be applied safely. ","")&amp;IF(AND($I301&lt;&gt;"",OR($I301&lt;QC_BD_MIN,$I301&gt;QC_BD_MAX)),"Bulk density outside "&amp;QC_BD_MIN&amp;"–"&amp;QC_BD_MAX&amp;" g/cm³. ","")&amp;IF(AND($L301&lt;&gt;"",$L301&gt;QC_CARBON_PCT_MAX),"Carbon above "&amp;QC_CARBON_PCT_MAX&amp;"% — check units; this may be organic matter rather than carbon. ","")&amp;IF(AND($J301&lt;&gt;"",$K301&lt;&gt;""),"Both LOI and measured carbon given — the measured value is used. ","")&amp;IF(AND($N301&lt;&gt;"",$N301=0),"Slice lies entirely below the reporting depth — it counts to the full-core stock only. ",""))</f>
        <v/>
      </c>
      <c r="R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 t="str">
        <f aca="false">IF(OR($D302="",$E302=""),"",$E302-$D302)</f>
        <v/>
      </c>
      <c r="G302" s="13"/>
      <c r="H302" s="13"/>
      <c r="I302" s="15"/>
      <c r="J302" s="15"/>
      <c r="K302" s="15"/>
      <c r="L302" s="14" t="str">
        <f aca="false">IF($K302&lt;&gt;"",$K302,IF($J302&lt;&gt;"",$J302*CARBON_FRACTION_OM,""))</f>
        <v/>
      </c>
      <c r="M302" s="14" t="n">
        <f aca="false">IF($H302="Fine earth / fine-earth volume",1-IF($G302="",0,$G302)/100,1)</f>
        <v>1</v>
      </c>
      <c r="N302" s="14" t="str">
        <f aca="false">IF(OR($D302="",$E302=""),"",MAX(0,MIN($E302,REPORTING_DEPTH_CM)-MIN($D302,REPORTING_DEPTH_CM)))</f>
        <v/>
      </c>
      <c r="O302" s="14" t="str">
        <f aca="false">IF(OR($I302="",$L302="",$N302=""),"",$I302*($L302/100)*$N302*$M302*10)</f>
        <v/>
      </c>
      <c r="P302" s="14" t="str">
        <f aca="false">IF(OR($I302="",$L302="",$F302=""),"",$I302*($L302/100)*$F302*$M302*10)</f>
        <v/>
      </c>
      <c r="Q302" s="14" t="str">
        <f aca="false">IF(AND($A302="",$B302="",$D302=""),"",IF(AND($B302&lt;&gt;"",COUNTIF('2. Core Log'!$A$5:$A$124,$B302)=0),"Core ID not in Core Log. ","")&amp;IF(AND($A302&lt;&gt;"",COUNTIF('1. Plot &amp; Site Log'!$A$5:$A$64,$A302)=0),"Plot ID not in Plot &amp; Site Log. ","")&amp;IF(AND($D302&lt;&gt;"",$E302&lt;&gt;"",$E302&lt;=$D302),"Bottom depth is not below top depth. ","")&amp;IF($H302="","Say which bulk-density basis the lab reported, or the coarse-fragment correction cannot be applied safely. ","")&amp;IF(AND($I302&lt;&gt;"",OR($I302&lt;QC_BD_MIN,$I302&gt;QC_BD_MAX)),"Bulk density outside "&amp;QC_BD_MIN&amp;"–"&amp;QC_BD_MAX&amp;" g/cm³. ","")&amp;IF(AND($L302&lt;&gt;"",$L302&gt;QC_CARBON_PCT_MAX),"Carbon above "&amp;QC_CARBON_PCT_MAX&amp;"% — check units; this may be organic matter rather than carbon. ","")&amp;IF(AND($J302&lt;&gt;"",$K302&lt;&gt;""),"Both LOI and measured carbon given — the measured value is used. ","")&amp;IF(AND($N302&lt;&gt;"",$N302=0),"Slice lies entirely below the reporting depth — it counts to the full-core stock only. ",""))</f>
        <v/>
      </c>
      <c r="R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3" t="str">
        <f aca="false">IF(OR($D303="",$E303=""),"",$E303-$D303)</f>
        <v/>
      </c>
      <c r="G303" s="13"/>
      <c r="H303" s="13"/>
      <c r="I303" s="15"/>
      <c r="J303" s="15"/>
      <c r="K303" s="15"/>
      <c r="L303" s="14" t="str">
        <f aca="false">IF($K303&lt;&gt;"",$K303,IF($J303&lt;&gt;"",$J303*CARBON_FRACTION_OM,""))</f>
        <v/>
      </c>
      <c r="M303" s="14" t="n">
        <f aca="false">IF($H303="Fine earth / fine-earth volume",1-IF($G303="",0,$G303)/100,1)</f>
        <v>1</v>
      </c>
      <c r="N303" s="14" t="str">
        <f aca="false">IF(OR($D303="",$E303=""),"",MAX(0,MIN($E303,REPORTING_DEPTH_CM)-MIN($D303,REPORTING_DEPTH_CM)))</f>
        <v/>
      </c>
      <c r="O303" s="14" t="str">
        <f aca="false">IF(OR($I303="",$L303="",$N303=""),"",$I303*($L303/100)*$N303*$M303*10)</f>
        <v/>
      </c>
      <c r="P303" s="14" t="str">
        <f aca="false">IF(OR($I303="",$L303="",$F303=""),"",$I303*($L303/100)*$F303*$M303*10)</f>
        <v/>
      </c>
      <c r="Q303" s="14" t="str">
        <f aca="false">IF(AND($A303="",$B303="",$D303=""),"",IF(AND($B303&lt;&gt;"",COUNTIF('2. Core Log'!$A$5:$A$124,$B303)=0),"Core ID not in Core Log. ","")&amp;IF(AND($A303&lt;&gt;"",COUNTIF('1. Plot &amp; Site Log'!$A$5:$A$64,$A303)=0),"Plot ID not in Plot &amp; Site Log. ","")&amp;IF(AND($D303&lt;&gt;"",$E303&lt;&gt;"",$E303&lt;=$D303),"Bottom depth is not below top depth. ","")&amp;IF($H303="","Say which bulk-density basis the lab reported, or the coarse-fragment correction cannot be applied safely. ","")&amp;IF(AND($I303&lt;&gt;"",OR($I303&lt;QC_BD_MIN,$I303&gt;QC_BD_MAX)),"Bulk density outside "&amp;QC_BD_MIN&amp;"–"&amp;QC_BD_MAX&amp;" g/cm³. ","")&amp;IF(AND($L303&lt;&gt;"",$L303&gt;QC_CARBON_PCT_MAX),"Carbon above "&amp;QC_CARBON_PCT_MAX&amp;"% — check units; this may be organic matter rather than carbon. ","")&amp;IF(AND($J303&lt;&gt;"",$K303&lt;&gt;""),"Both LOI and measured carbon given — the measured value is used. ","")&amp;IF(AND($N303&lt;&gt;"",$N303=0),"Slice lies entirely below the reporting depth — it counts to the full-core stock only. ",""))</f>
        <v/>
      </c>
      <c r="R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 t="str">
        <f aca="false">IF(OR($D304="",$E304=""),"",$E304-$D304)</f>
        <v/>
      </c>
      <c r="G304" s="13"/>
      <c r="H304" s="13"/>
      <c r="I304" s="15"/>
      <c r="J304" s="15"/>
      <c r="K304" s="15"/>
      <c r="L304" s="14" t="str">
        <f aca="false">IF($K304&lt;&gt;"",$K304,IF($J304&lt;&gt;"",$J304*CARBON_FRACTION_OM,""))</f>
        <v/>
      </c>
      <c r="M304" s="14" t="n">
        <f aca="false">IF($H304="Fine earth / fine-earth volume",1-IF($G304="",0,$G304)/100,1)</f>
        <v>1</v>
      </c>
      <c r="N304" s="14" t="str">
        <f aca="false">IF(OR($D304="",$E304=""),"",MAX(0,MIN($E304,REPORTING_DEPTH_CM)-MIN($D304,REPORTING_DEPTH_CM)))</f>
        <v/>
      </c>
      <c r="O304" s="14" t="str">
        <f aca="false">IF(OR($I304="",$L304="",$N304=""),"",$I304*($L304/100)*$N304*$M304*10)</f>
        <v/>
      </c>
      <c r="P304" s="14" t="str">
        <f aca="false">IF(OR($I304="",$L304="",$F304=""),"",$I304*($L304/100)*$F304*$M304*10)</f>
        <v/>
      </c>
      <c r="Q304" s="14" t="str">
        <f aca="false">IF(AND($A304="",$B304="",$D304=""),"",IF(AND($B304&lt;&gt;"",COUNTIF('2. Core Log'!$A$5:$A$124,$B304)=0),"Core ID not in Core Log. ","")&amp;IF(AND($A304&lt;&gt;"",COUNTIF('1. Plot &amp; Site Log'!$A$5:$A$64,$A304)=0),"Plot ID not in Plot &amp; Site Log. ","")&amp;IF(AND($D304&lt;&gt;"",$E304&lt;&gt;"",$E304&lt;=$D304),"Bottom depth is not below top depth. ","")&amp;IF($H304="","Say which bulk-density basis the lab reported, or the coarse-fragment correction cannot be applied safely. ","")&amp;IF(AND($I304&lt;&gt;"",OR($I304&lt;QC_BD_MIN,$I304&gt;QC_BD_MAX)),"Bulk density outside "&amp;QC_BD_MIN&amp;"–"&amp;QC_BD_MAX&amp;" g/cm³. ","")&amp;IF(AND($L304&lt;&gt;"",$L304&gt;QC_CARBON_PCT_MAX),"Carbon above "&amp;QC_CARBON_PCT_MAX&amp;"% — check units; this may be organic matter rather than carbon. ","")&amp;IF(AND($J304&lt;&gt;"",$K304&lt;&gt;""),"Both LOI and measured carbon given — the measured value is used. ","")&amp;IF(AND($N304&lt;&gt;"",$N304=0),"Slice lies entirely below the reporting depth — it counts to the full-core stock only. ",""))</f>
        <v/>
      </c>
      <c r="R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3" t="str">
        <f aca="false">IF(OR($D305="",$E305=""),"",$E305-$D305)</f>
        <v/>
      </c>
      <c r="G305" s="13"/>
      <c r="H305" s="13"/>
      <c r="I305" s="15"/>
      <c r="J305" s="15"/>
      <c r="K305" s="15"/>
      <c r="L305" s="14" t="str">
        <f aca="false">IF($K305&lt;&gt;"",$K305,IF($J305&lt;&gt;"",$J305*CARBON_FRACTION_OM,""))</f>
        <v/>
      </c>
      <c r="M305" s="14" t="n">
        <f aca="false">IF($H305="Fine earth / fine-earth volume",1-IF($G305="",0,$G305)/100,1)</f>
        <v>1</v>
      </c>
      <c r="N305" s="14" t="str">
        <f aca="false">IF(OR($D305="",$E305=""),"",MAX(0,MIN($E305,REPORTING_DEPTH_CM)-MIN($D305,REPORTING_DEPTH_CM)))</f>
        <v/>
      </c>
      <c r="O305" s="14" t="str">
        <f aca="false">IF(OR($I305="",$L305="",$N305=""),"",$I305*($L305/100)*$N305*$M305*10)</f>
        <v/>
      </c>
      <c r="P305" s="14" t="str">
        <f aca="false">IF(OR($I305="",$L305="",$F305=""),"",$I305*($L305/100)*$F305*$M305*10)</f>
        <v/>
      </c>
      <c r="Q305" s="14" t="str">
        <f aca="false">IF(AND($A305="",$B305="",$D305=""),"",IF(AND($B305&lt;&gt;"",COUNTIF('2. Core Log'!$A$5:$A$124,$B305)=0),"Core ID not in Core Log. ","")&amp;IF(AND($A305&lt;&gt;"",COUNTIF('1. Plot &amp; Site Log'!$A$5:$A$64,$A305)=0),"Plot ID not in Plot &amp; Site Log. ","")&amp;IF(AND($D305&lt;&gt;"",$E305&lt;&gt;"",$E305&lt;=$D305),"Bottom depth is not below top depth. ","")&amp;IF($H305="","Say which bulk-density basis the lab reported, or the coarse-fragment correction cannot be applied safely. ","")&amp;IF(AND($I305&lt;&gt;"",OR($I305&lt;QC_BD_MIN,$I305&gt;QC_BD_MAX)),"Bulk density outside "&amp;QC_BD_MIN&amp;"–"&amp;QC_BD_MAX&amp;" g/cm³. ","")&amp;IF(AND($L305&lt;&gt;"",$L305&gt;QC_CARBON_PCT_MAX),"Carbon above "&amp;QC_CARBON_PCT_MAX&amp;"% — check units; this may be organic matter rather than carbon. ","")&amp;IF(AND($J305&lt;&gt;"",$K305&lt;&gt;""),"Both LOI and measured carbon given — the measured value is used. ","")&amp;IF(AND($N305&lt;&gt;"",$N305=0),"Slice lies entirely below the reporting depth — it counts to the full-core stock only. ",""))</f>
        <v/>
      </c>
      <c r="R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 t="str">
        <f aca="false">IF(OR($D306="",$E306=""),"",$E306-$D306)</f>
        <v/>
      </c>
      <c r="G306" s="13"/>
      <c r="H306" s="13"/>
      <c r="I306" s="15"/>
      <c r="J306" s="15"/>
      <c r="K306" s="15"/>
      <c r="L306" s="14" t="str">
        <f aca="false">IF($K306&lt;&gt;"",$K306,IF($J306&lt;&gt;"",$J306*CARBON_FRACTION_OM,""))</f>
        <v/>
      </c>
      <c r="M306" s="14" t="n">
        <f aca="false">IF($H306="Fine earth / fine-earth volume",1-IF($G306="",0,$G306)/100,1)</f>
        <v>1</v>
      </c>
      <c r="N306" s="14" t="str">
        <f aca="false">IF(OR($D306="",$E306=""),"",MAX(0,MIN($E306,REPORTING_DEPTH_CM)-MIN($D306,REPORTING_DEPTH_CM)))</f>
        <v/>
      </c>
      <c r="O306" s="14" t="str">
        <f aca="false">IF(OR($I306="",$L306="",$N306=""),"",$I306*($L306/100)*$N306*$M306*10)</f>
        <v/>
      </c>
      <c r="P306" s="14" t="str">
        <f aca="false">IF(OR($I306="",$L306="",$F306=""),"",$I306*($L306/100)*$F306*$M306*10)</f>
        <v/>
      </c>
      <c r="Q306" s="14" t="str">
        <f aca="false">IF(AND($A306="",$B306="",$D306=""),"",IF(AND($B306&lt;&gt;"",COUNTIF('2. Core Log'!$A$5:$A$124,$B306)=0),"Core ID not in Core Log. ","")&amp;IF(AND($A306&lt;&gt;"",COUNTIF('1. Plot &amp; Site Log'!$A$5:$A$64,$A306)=0),"Plot ID not in Plot &amp; Site Log. ","")&amp;IF(AND($D306&lt;&gt;"",$E306&lt;&gt;"",$E306&lt;=$D306),"Bottom depth is not below top depth. ","")&amp;IF($H306="","Say which bulk-density basis the lab reported, or the coarse-fragment correction cannot be applied safely. ","")&amp;IF(AND($I306&lt;&gt;"",OR($I306&lt;QC_BD_MIN,$I306&gt;QC_BD_MAX)),"Bulk density outside "&amp;QC_BD_MIN&amp;"–"&amp;QC_BD_MAX&amp;" g/cm³. ","")&amp;IF(AND($L306&lt;&gt;"",$L306&gt;QC_CARBON_PCT_MAX),"Carbon above "&amp;QC_CARBON_PCT_MAX&amp;"% — check units; this may be organic matter rather than carbon. ","")&amp;IF(AND($J306&lt;&gt;"",$K306&lt;&gt;""),"Both LOI and measured carbon given — the measured value is used. ","")&amp;IF(AND($N306&lt;&gt;"",$N306=0),"Slice lies entirely below the reporting depth — it counts to the full-core stock only. ",""))</f>
        <v/>
      </c>
      <c r="R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3" t="str">
        <f aca="false">IF(OR($D307="",$E307=""),"",$E307-$D307)</f>
        <v/>
      </c>
      <c r="G307" s="13"/>
      <c r="H307" s="13"/>
      <c r="I307" s="15"/>
      <c r="J307" s="15"/>
      <c r="K307" s="15"/>
      <c r="L307" s="14" t="str">
        <f aca="false">IF($K307&lt;&gt;"",$K307,IF($J307&lt;&gt;"",$J307*CARBON_FRACTION_OM,""))</f>
        <v/>
      </c>
      <c r="M307" s="14" t="n">
        <f aca="false">IF($H307="Fine earth / fine-earth volume",1-IF($G307="",0,$G307)/100,1)</f>
        <v>1</v>
      </c>
      <c r="N307" s="14" t="str">
        <f aca="false">IF(OR($D307="",$E307=""),"",MAX(0,MIN($E307,REPORTING_DEPTH_CM)-MIN($D307,REPORTING_DEPTH_CM)))</f>
        <v/>
      </c>
      <c r="O307" s="14" t="str">
        <f aca="false">IF(OR($I307="",$L307="",$N307=""),"",$I307*($L307/100)*$N307*$M307*10)</f>
        <v/>
      </c>
      <c r="P307" s="14" t="str">
        <f aca="false">IF(OR($I307="",$L307="",$F307=""),"",$I307*($L307/100)*$F307*$M307*10)</f>
        <v/>
      </c>
      <c r="Q307" s="14" t="str">
        <f aca="false">IF(AND($A307="",$B307="",$D307=""),"",IF(AND($B307&lt;&gt;"",COUNTIF('2. Core Log'!$A$5:$A$124,$B307)=0),"Core ID not in Core Log. ","")&amp;IF(AND($A307&lt;&gt;"",COUNTIF('1. Plot &amp; Site Log'!$A$5:$A$64,$A307)=0),"Plot ID not in Plot &amp; Site Log. ","")&amp;IF(AND($D307&lt;&gt;"",$E307&lt;&gt;"",$E307&lt;=$D307),"Bottom depth is not below top depth. ","")&amp;IF($H307="","Say which bulk-density basis the lab reported, or the coarse-fragment correction cannot be applied safely. ","")&amp;IF(AND($I307&lt;&gt;"",OR($I307&lt;QC_BD_MIN,$I307&gt;QC_BD_MAX)),"Bulk density outside "&amp;QC_BD_MIN&amp;"–"&amp;QC_BD_MAX&amp;" g/cm³. ","")&amp;IF(AND($L307&lt;&gt;"",$L307&gt;QC_CARBON_PCT_MAX),"Carbon above "&amp;QC_CARBON_PCT_MAX&amp;"% — check units; this may be organic matter rather than carbon. ","")&amp;IF(AND($J307&lt;&gt;"",$K307&lt;&gt;""),"Both LOI and measured carbon given — the measured value is used. ","")&amp;IF(AND($N307&lt;&gt;"",$N307=0),"Slice lies entirely below the reporting depth — it counts to the full-core stock only. ",""))</f>
        <v/>
      </c>
      <c r="R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 t="str">
        <f aca="false">IF(OR($D308="",$E308=""),"",$E308-$D308)</f>
        <v/>
      </c>
      <c r="G308" s="13"/>
      <c r="H308" s="13"/>
      <c r="I308" s="15"/>
      <c r="J308" s="15"/>
      <c r="K308" s="15"/>
      <c r="L308" s="14" t="str">
        <f aca="false">IF($K308&lt;&gt;"",$K308,IF($J308&lt;&gt;"",$J308*CARBON_FRACTION_OM,""))</f>
        <v/>
      </c>
      <c r="M308" s="14" t="n">
        <f aca="false">IF($H308="Fine earth / fine-earth volume",1-IF($G308="",0,$G308)/100,1)</f>
        <v>1</v>
      </c>
      <c r="N308" s="14" t="str">
        <f aca="false">IF(OR($D308="",$E308=""),"",MAX(0,MIN($E308,REPORTING_DEPTH_CM)-MIN($D308,REPORTING_DEPTH_CM)))</f>
        <v/>
      </c>
      <c r="O308" s="14" t="str">
        <f aca="false">IF(OR($I308="",$L308="",$N308=""),"",$I308*($L308/100)*$N308*$M308*10)</f>
        <v/>
      </c>
      <c r="P308" s="14" t="str">
        <f aca="false">IF(OR($I308="",$L308="",$F308=""),"",$I308*($L308/100)*$F308*$M308*10)</f>
        <v/>
      </c>
      <c r="Q308" s="14" t="str">
        <f aca="false">IF(AND($A308="",$B308="",$D308=""),"",IF(AND($B308&lt;&gt;"",COUNTIF('2. Core Log'!$A$5:$A$124,$B308)=0),"Core ID not in Core Log. ","")&amp;IF(AND($A308&lt;&gt;"",COUNTIF('1. Plot &amp; Site Log'!$A$5:$A$64,$A308)=0),"Plot ID not in Plot &amp; Site Log. ","")&amp;IF(AND($D308&lt;&gt;"",$E308&lt;&gt;"",$E308&lt;=$D308),"Bottom depth is not below top depth. ","")&amp;IF($H308="","Say which bulk-density basis the lab reported, or the coarse-fragment correction cannot be applied safely. ","")&amp;IF(AND($I308&lt;&gt;"",OR($I308&lt;QC_BD_MIN,$I308&gt;QC_BD_MAX)),"Bulk density outside "&amp;QC_BD_MIN&amp;"–"&amp;QC_BD_MAX&amp;" g/cm³. ","")&amp;IF(AND($L308&lt;&gt;"",$L308&gt;QC_CARBON_PCT_MAX),"Carbon above "&amp;QC_CARBON_PCT_MAX&amp;"% — check units; this may be organic matter rather than carbon. ","")&amp;IF(AND($J308&lt;&gt;"",$K308&lt;&gt;""),"Both LOI and measured carbon given — the measured value is used. ","")&amp;IF(AND($N308&lt;&gt;"",$N308=0),"Slice lies entirely below the reporting depth — it counts to the full-core stock only. ",""))</f>
        <v/>
      </c>
      <c r="R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3" t="str">
        <f aca="false">IF(OR($D309="",$E309=""),"",$E309-$D309)</f>
        <v/>
      </c>
      <c r="G309" s="13"/>
      <c r="H309" s="13"/>
      <c r="I309" s="15"/>
      <c r="J309" s="15"/>
      <c r="K309" s="15"/>
      <c r="L309" s="14" t="str">
        <f aca="false">IF($K309&lt;&gt;"",$K309,IF($J309&lt;&gt;"",$J309*CARBON_FRACTION_OM,""))</f>
        <v/>
      </c>
      <c r="M309" s="14" t="n">
        <f aca="false">IF($H309="Fine earth / fine-earth volume",1-IF($G309="",0,$G309)/100,1)</f>
        <v>1</v>
      </c>
      <c r="N309" s="14" t="str">
        <f aca="false">IF(OR($D309="",$E309=""),"",MAX(0,MIN($E309,REPORTING_DEPTH_CM)-MIN($D309,REPORTING_DEPTH_CM)))</f>
        <v/>
      </c>
      <c r="O309" s="14" t="str">
        <f aca="false">IF(OR($I309="",$L309="",$N309=""),"",$I309*($L309/100)*$N309*$M309*10)</f>
        <v/>
      </c>
      <c r="P309" s="14" t="str">
        <f aca="false">IF(OR($I309="",$L309="",$F309=""),"",$I309*($L309/100)*$F309*$M309*10)</f>
        <v/>
      </c>
      <c r="Q309" s="14" t="str">
        <f aca="false">IF(AND($A309="",$B309="",$D309=""),"",IF(AND($B309&lt;&gt;"",COUNTIF('2. Core Log'!$A$5:$A$124,$B309)=0),"Core ID not in Core Log. ","")&amp;IF(AND($A309&lt;&gt;"",COUNTIF('1. Plot &amp; Site Log'!$A$5:$A$64,$A309)=0),"Plot ID not in Plot &amp; Site Log. ","")&amp;IF(AND($D309&lt;&gt;"",$E309&lt;&gt;"",$E309&lt;=$D309),"Bottom depth is not below top depth. ","")&amp;IF($H309="","Say which bulk-density basis the lab reported, or the coarse-fragment correction cannot be applied safely. ","")&amp;IF(AND($I309&lt;&gt;"",OR($I309&lt;QC_BD_MIN,$I309&gt;QC_BD_MAX)),"Bulk density outside "&amp;QC_BD_MIN&amp;"–"&amp;QC_BD_MAX&amp;" g/cm³. ","")&amp;IF(AND($L309&lt;&gt;"",$L309&gt;QC_CARBON_PCT_MAX),"Carbon above "&amp;QC_CARBON_PCT_MAX&amp;"% — check units; this may be organic matter rather than carbon. ","")&amp;IF(AND($J309&lt;&gt;"",$K309&lt;&gt;""),"Both LOI and measured carbon given — the measured value is used. ","")&amp;IF(AND($N309&lt;&gt;"",$N309=0),"Slice lies entirely below the reporting depth — it counts to the full-core stock only. ",""))</f>
        <v/>
      </c>
      <c r="R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 t="str">
        <f aca="false">IF(OR($D310="",$E310=""),"",$E310-$D310)</f>
        <v/>
      </c>
      <c r="G310" s="13"/>
      <c r="H310" s="13"/>
      <c r="I310" s="15"/>
      <c r="J310" s="15"/>
      <c r="K310" s="15"/>
      <c r="L310" s="14" t="str">
        <f aca="false">IF($K310&lt;&gt;"",$K310,IF($J310&lt;&gt;"",$J310*CARBON_FRACTION_OM,""))</f>
        <v/>
      </c>
      <c r="M310" s="14" t="n">
        <f aca="false">IF($H310="Fine earth / fine-earth volume",1-IF($G310="",0,$G310)/100,1)</f>
        <v>1</v>
      </c>
      <c r="N310" s="14" t="str">
        <f aca="false">IF(OR($D310="",$E310=""),"",MAX(0,MIN($E310,REPORTING_DEPTH_CM)-MIN($D310,REPORTING_DEPTH_CM)))</f>
        <v/>
      </c>
      <c r="O310" s="14" t="str">
        <f aca="false">IF(OR($I310="",$L310="",$N310=""),"",$I310*($L310/100)*$N310*$M310*10)</f>
        <v/>
      </c>
      <c r="P310" s="14" t="str">
        <f aca="false">IF(OR($I310="",$L310="",$F310=""),"",$I310*($L310/100)*$F310*$M310*10)</f>
        <v/>
      </c>
      <c r="Q310" s="14" t="str">
        <f aca="false">IF(AND($A310="",$B310="",$D310=""),"",IF(AND($B310&lt;&gt;"",COUNTIF('2. Core Log'!$A$5:$A$124,$B310)=0),"Core ID not in Core Log. ","")&amp;IF(AND($A310&lt;&gt;"",COUNTIF('1. Plot &amp; Site Log'!$A$5:$A$64,$A310)=0),"Plot ID not in Plot &amp; Site Log. ","")&amp;IF(AND($D310&lt;&gt;"",$E310&lt;&gt;"",$E310&lt;=$D310),"Bottom depth is not below top depth. ","")&amp;IF($H310="","Say which bulk-density basis the lab reported, or the coarse-fragment correction cannot be applied safely. ","")&amp;IF(AND($I310&lt;&gt;"",OR($I310&lt;QC_BD_MIN,$I310&gt;QC_BD_MAX)),"Bulk density outside "&amp;QC_BD_MIN&amp;"–"&amp;QC_BD_MAX&amp;" g/cm³. ","")&amp;IF(AND($L310&lt;&gt;"",$L310&gt;QC_CARBON_PCT_MAX),"Carbon above "&amp;QC_CARBON_PCT_MAX&amp;"% — check units; this may be organic matter rather than carbon. ","")&amp;IF(AND($J310&lt;&gt;"",$K310&lt;&gt;""),"Both LOI and measured carbon given — the measured value is used. ","")&amp;IF(AND($N310&lt;&gt;"",$N310=0),"Slice lies entirely below the reporting depth — it counts to the full-core stock only. ",""))</f>
        <v/>
      </c>
      <c r="R310" s="13"/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3" t="str">
        <f aca="false">IF(OR($D311="",$E311=""),"",$E311-$D311)</f>
        <v/>
      </c>
      <c r="G311" s="13"/>
      <c r="H311" s="13"/>
      <c r="I311" s="15"/>
      <c r="J311" s="15"/>
      <c r="K311" s="15"/>
      <c r="L311" s="14" t="str">
        <f aca="false">IF($K311&lt;&gt;"",$K311,IF($J311&lt;&gt;"",$J311*CARBON_FRACTION_OM,""))</f>
        <v/>
      </c>
      <c r="M311" s="14" t="n">
        <f aca="false">IF($H311="Fine earth / fine-earth volume",1-IF($G311="",0,$G311)/100,1)</f>
        <v>1</v>
      </c>
      <c r="N311" s="14" t="str">
        <f aca="false">IF(OR($D311="",$E311=""),"",MAX(0,MIN($E311,REPORTING_DEPTH_CM)-MIN($D311,REPORTING_DEPTH_CM)))</f>
        <v/>
      </c>
      <c r="O311" s="14" t="str">
        <f aca="false">IF(OR($I311="",$L311="",$N311=""),"",$I311*($L311/100)*$N311*$M311*10)</f>
        <v/>
      </c>
      <c r="P311" s="14" t="str">
        <f aca="false">IF(OR($I311="",$L311="",$F311=""),"",$I311*($L311/100)*$F311*$M311*10)</f>
        <v/>
      </c>
      <c r="Q311" s="14" t="str">
        <f aca="false">IF(AND($A311="",$B311="",$D311=""),"",IF(AND($B311&lt;&gt;"",COUNTIF('2. Core Log'!$A$5:$A$124,$B311)=0),"Core ID not in Core Log. ","")&amp;IF(AND($A311&lt;&gt;"",COUNTIF('1. Plot &amp; Site Log'!$A$5:$A$64,$A311)=0),"Plot ID not in Plot &amp; Site Log. ","")&amp;IF(AND($D311&lt;&gt;"",$E311&lt;&gt;"",$E311&lt;=$D311),"Bottom depth is not below top depth. ","")&amp;IF($H311="","Say which bulk-density basis the lab reported, or the coarse-fragment correction cannot be applied safely. ","")&amp;IF(AND($I311&lt;&gt;"",OR($I311&lt;QC_BD_MIN,$I311&gt;QC_BD_MAX)),"Bulk density outside "&amp;QC_BD_MIN&amp;"–"&amp;QC_BD_MAX&amp;" g/cm³. ","")&amp;IF(AND($L311&lt;&gt;"",$L311&gt;QC_CARBON_PCT_MAX),"Carbon above "&amp;QC_CARBON_PCT_MAX&amp;"% — check units; this may be organic matter rather than carbon. ","")&amp;IF(AND($J311&lt;&gt;"",$K311&lt;&gt;""),"Both LOI and measured carbon given — the measured value is used. ","")&amp;IF(AND($N311&lt;&gt;"",$N311=0),"Slice lies entirely below the reporting depth — it counts to the full-core stock only. ",""))</f>
        <v/>
      </c>
      <c r="R311" s="1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3" t="str">
        <f aca="false">IF(OR($D312="",$E312=""),"",$E312-$D312)</f>
        <v/>
      </c>
      <c r="G312" s="13"/>
      <c r="H312" s="13"/>
      <c r="I312" s="15"/>
      <c r="J312" s="15"/>
      <c r="K312" s="15"/>
      <c r="L312" s="14" t="str">
        <f aca="false">IF($K312&lt;&gt;"",$K312,IF($J312&lt;&gt;"",$J312*CARBON_FRACTION_OM,""))</f>
        <v/>
      </c>
      <c r="M312" s="14" t="n">
        <f aca="false">IF($H312="Fine earth / fine-earth volume",1-IF($G312="",0,$G312)/100,1)</f>
        <v>1</v>
      </c>
      <c r="N312" s="14" t="str">
        <f aca="false">IF(OR($D312="",$E312=""),"",MAX(0,MIN($E312,REPORTING_DEPTH_CM)-MIN($D312,REPORTING_DEPTH_CM)))</f>
        <v/>
      </c>
      <c r="O312" s="14" t="str">
        <f aca="false">IF(OR($I312="",$L312="",$N312=""),"",$I312*($L312/100)*$N312*$M312*10)</f>
        <v/>
      </c>
      <c r="P312" s="14" t="str">
        <f aca="false">IF(OR($I312="",$L312="",$F312=""),"",$I312*($L312/100)*$F312*$M312*10)</f>
        <v/>
      </c>
      <c r="Q312" s="14" t="str">
        <f aca="false">IF(AND($A312="",$B312="",$D312=""),"",IF(AND($B312&lt;&gt;"",COUNTIF('2. Core Log'!$A$5:$A$124,$B312)=0),"Core ID not in Core Log. ","")&amp;IF(AND($A312&lt;&gt;"",COUNTIF('1. Plot &amp; Site Log'!$A$5:$A$64,$A312)=0),"Plot ID not in Plot &amp; Site Log. ","")&amp;IF(AND($D312&lt;&gt;"",$E312&lt;&gt;"",$E312&lt;=$D312),"Bottom depth is not below top depth. ","")&amp;IF($H312="","Say which bulk-density basis the lab reported, or the coarse-fragment correction cannot be applied safely. ","")&amp;IF(AND($I312&lt;&gt;"",OR($I312&lt;QC_BD_MIN,$I312&gt;QC_BD_MAX)),"Bulk density outside "&amp;QC_BD_MIN&amp;"–"&amp;QC_BD_MAX&amp;" g/cm³. ","")&amp;IF(AND($L312&lt;&gt;"",$L312&gt;QC_CARBON_PCT_MAX),"Carbon above "&amp;QC_CARBON_PCT_MAX&amp;"% — check units; this may be organic matter rather than carbon. ","")&amp;IF(AND($J312&lt;&gt;"",$K312&lt;&gt;""),"Both LOI and measured carbon given — the measured value is used. ","")&amp;IF(AND($N312&lt;&gt;"",$N312=0),"Slice lies entirely below the reporting depth — it counts to the full-core stock only. ",""))</f>
        <v/>
      </c>
      <c r="R312" s="13"/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3" t="str">
        <f aca="false">IF(OR($D313="",$E313=""),"",$E313-$D313)</f>
        <v/>
      </c>
      <c r="G313" s="13"/>
      <c r="H313" s="13"/>
      <c r="I313" s="15"/>
      <c r="J313" s="15"/>
      <c r="K313" s="15"/>
      <c r="L313" s="14" t="str">
        <f aca="false">IF($K313&lt;&gt;"",$K313,IF($J313&lt;&gt;"",$J313*CARBON_FRACTION_OM,""))</f>
        <v/>
      </c>
      <c r="M313" s="14" t="n">
        <f aca="false">IF($H313="Fine earth / fine-earth volume",1-IF($G313="",0,$G313)/100,1)</f>
        <v>1</v>
      </c>
      <c r="N313" s="14" t="str">
        <f aca="false">IF(OR($D313="",$E313=""),"",MAX(0,MIN($E313,REPORTING_DEPTH_CM)-MIN($D313,REPORTING_DEPTH_CM)))</f>
        <v/>
      </c>
      <c r="O313" s="14" t="str">
        <f aca="false">IF(OR($I313="",$L313="",$N313=""),"",$I313*($L313/100)*$N313*$M313*10)</f>
        <v/>
      </c>
      <c r="P313" s="14" t="str">
        <f aca="false">IF(OR($I313="",$L313="",$F313=""),"",$I313*($L313/100)*$F313*$M313*10)</f>
        <v/>
      </c>
      <c r="Q313" s="14" t="str">
        <f aca="false">IF(AND($A313="",$B313="",$D313=""),"",IF(AND($B313&lt;&gt;"",COUNTIF('2. Core Log'!$A$5:$A$124,$B313)=0),"Core ID not in Core Log. ","")&amp;IF(AND($A313&lt;&gt;"",COUNTIF('1. Plot &amp; Site Log'!$A$5:$A$64,$A313)=0),"Plot ID not in Plot &amp; Site Log. ","")&amp;IF(AND($D313&lt;&gt;"",$E313&lt;&gt;"",$E313&lt;=$D313),"Bottom depth is not below top depth. ","")&amp;IF($H313="","Say which bulk-density basis the lab reported, or the coarse-fragment correction cannot be applied safely. ","")&amp;IF(AND($I313&lt;&gt;"",OR($I313&lt;QC_BD_MIN,$I313&gt;QC_BD_MAX)),"Bulk density outside "&amp;QC_BD_MIN&amp;"–"&amp;QC_BD_MAX&amp;" g/cm³. ","")&amp;IF(AND($L313&lt;&gt;"",$L313&gt;QC_CARBON_PCT_MAX),"Carbon above "&amp;QC_CARBON_PCT_MAX&amp;"% — check units; this may be organic matter rather than carbon. ","")&amp;IF(AND($J313&lt;&gt;"",$K313&lt;&gt;""),"Both LOI and measured carbon given — the measured value is used. ","")&amp;IF(AND($N313&lt;&gt;"",$N313=0),"Slice lies entirely below the reporting depth — it counts to the full-core stock only. ",""))</f>
        <v/>
      </c>
      <c r="R313" s="1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3" t="str">
        <f aca="false">IF(OR($D314="",$E314=""),"",$E314-$D314)</f>
        <v/>
      </c>
      <c r="G314" s="13"/>
      <c r="H314" s="13"/>
      <c r="I314" s="15"/>
      <c r="J314" s="15"/>
      <c r="K314" s="15"/>
      <c r="L314" s="14" t="str">
        <f aca="false">IF($K314&lt;&gt;"",$K314,IF($J314&lt;&gt;"",$J314*CARBON_FRACTION_OM,""))</f>
        <v/>
      </c>
      <c r="M314" s="14" t="n">
        <f aca="false">IF($H314="Fine earth / fine-earth volume",1-IF($G314="",0,$G314)/100,1)</f>
        <v>1</v>
      </c>
      <c r="N314" s="14" t="str">
        <f aca="false">IF(OR($D314="",$E314=""),"",MAX(0,MIN($E314,REPORTING_DEPTH_CM)-MIN($D314,REPORTING_DEPTH_CM)))</f>
        <v/>
      </c>
      <c r="O314" s="14" t="str">
        <f aca="false">IF(OR($I314="",$L314="",$N314=""),"",$I314*($L314/100)*$N314*$M314*10)</f>
        <v/>
      </c>
      <c r="P314" s="14" t="str">
        <f aca="false">IF(OR($I314="",$L314="",$F314=""),"",$I314*($L314/100)*$F314*$M314*10)</f>
        <v/>
      </c>
      <c r="Q314" s="14" t="str">
        <f aca="false">IF(AND($A314="",$B314="",$D314=""),"",IF(AND($B314&lt;&gt;"",COUNTIF('2. Core Log'!$A$5:$A$124,$B314)=0),"Core ID not in Core Log. ","")&amp;IF(AND($A314&lt;&gt;"",COUNTIF('1. Plot &amp; Site Log'!$A$5:$A$64,$A314)=0),"Plot ID not in Plot &amp; Site Log. ","")&amp;IF(AND($D314&lt;&gt;"",$E314&lt;&gt;"",$E314&lt;=$D314),"Bottom depth is not below top depth. ","")&amp;IF($H314="","Say which bulk-density basis the lab reported, or the coarse-fragment correction cannot be applied safely. ","")&amp;IF(AND($I314&lt;&gt;"",OR($I314&lt;QC_BD_MIN,$I314&gt;QC_BD_MAX)),"Bulk density outside "&amp;QC_BD_MIN&amp;"–"&amp;QC_BD_MAX&amp;" g/cm³. ","")&amp;IF(AND($L314&lt;&gt;"",$L314&gt;QC_CARBON_PCT_MAX),"Carbon above "&amp;QC_CARBON_PCT_MAX&amp;"% — check units; this may be organic matter rather than carbon. ","")&amp;IF(AND($J314&lt;&gt;"",$K314&lt;&gt;""),"Both LOI and measured carbon given — the measured value is used. ","")&amp;IF(AND($N314&lt;&gt;"",$N314=0),"Slice lies entirely below the reporting depth — it counts to the full-core stock only. ",""))</f>
        <v/>
      </c>
      <c r="R314" s="13"/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3" t="str">
        <f aca="false">IF(OR($D315="",$E315=""),"",$E315-$D315)</f>
        <v/>
      </c>
      <c r="G315" s="13"/>
      <c r="H315" s="13"/>
      <c r="I315" s="15"/>
      <c r="J315" s="15"/>
      <c r="K315" s="15"/>
      <c r="L315" s="14" t="str">
        <f aca="false">IF($K315&lt;&gt;"",$K315,IF($J315&lt;&gt;"",$J315*CARBON_FRACTION_OM,""))</f>
        <v/>
      </c>
      <c r="M315" s="14" t="n">
        <f aca="false">IF($H315="Fine earth / fine-earth volume",1-IF($G315="",0,$G315)/100,1)</f>
        <v>1</v>
      </c>
      <c r="N315" s="14" t="str">
        <f aca="false">IF(OR($D315="",$E315=""),"",MAX(0,MIN($E315,REPORTING_DEPTH_CM)-MIN($D315,REPORTING_DEPTH_CM)))</f>
        <v/>
      </c>
      <c r="O315" s="14" t="str">
        <f aca="false">IF(OR($I315="",$L315="",$N315=""),"",$I315*($L315/100)*$N315*$M315*10)</f>
        <v/>
      </c>
      <c r="P315" s="14" t="str">
        <f aca="false">IF(OR($I315="",$L315="",$F315=""),"",$I315*($L315/100)*$F315*$M315*10)</f>
        <v/>
      </c>
      <c r="Q315" s="14" t="str">
        <f aca="false">IF(AND($A315="",$B315="",$D315=""),"",IF(AND($B315&lt;&gt;"",COUNTIF('2. Core Log'!$A$5:$A$124,$B315)=0),"Core ID not in Core Log. ","")&amp;IF(AND($A315&lt;&gt;"",COUNTIF('1. Plot &amp; Site Log'!$A$5:$A$64,$A315)=0),"Plot ID not in Plot &amp; Site Log. ","")&amp;IF(AND($D315&lt;&gt;"",$E315&lt;&gt;"",$E315&lt;=$D315),"Bottom depth is not below top depth. ","")&amp;IF($H315="","Say which bulk-density basis the lab reported, or the coarse-fragment correction cannot be applied safely. ","")&amp;IF(AND($I315&lt;&gt;"",OR($I315&lt;QC_BD_MIN,$I315&gt;QC_BD_MAX)),"Bulk density outside "&amp;QC_BD_MIN&amp;"–"&amp;QC_BD_MAX&amp;" g/cm³. ","")&amp;IF(AND($L315&lt;&gt;"",$L315&gt;QC_CARBON_PCT_MAX),"Carbon above "&amp;QC_CARBON_PCT_MAX&amp;"% — check units; this may be organic matter rather than carbon. ","")&amp;IF(AND($J315&lt;&gt;"",$K315&lt;&gt;""),"Both LOI and measured carbon given — the measured value is used. ","")&amp;IF(AND($N315&lt;&gt;"",$N315=0),"Slice lies entirely below the reporting depth — it counts to the full-core stock only. ",""))</f>
        <v/>
      </c>
      <c r="R315" s="1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3" t="str">
        <f aca="false">IF(OR($D316="",$E316=""),"",$E316-$D316)</f>
        <v/>
      </c>
      <c r="G316" s="13"/>
      <c r="H316" s="13"/>
      <c r="I316" s="15"/>
      <c r="J316" s="15"/>
      <c r="K316" s="15"/>
      <c r="L316" s="14" t="str">
        <f aca="false">IF($K316&lt;&gt;"",$K316,IF($J316&lt;&gt;"",$J316*CARBON_FRACTION_OM,""))</f>
        <v/>
      </c>
      <c r="M316" s="14" t="n">
        <f aca="false">IF($H316="Fine earth / fine-earth volume",1-IF($G316="",0,$G316)/100,1)</f>
        <v>1</v>
      </c>
      <c r="N316" s="14" t="str">
        <f aca="false">IF(OR($D316="",$E316=""),"",MAX(0,MIN($E316,REPORTING_DEPTH_CM)-MIN($D316,REPORTING_DEPTH_CM)))</f>
        <v/>
      </c>
      <c r="O316" s="14" t="str">
        <f aca="false">IF(OR($I316="",$L316="",$N316=""),"",$I316*($L316/100)*$N316*$M316*10)</f>
        <v/>
      </c>
      <c r="P316" s="14" t="str">
        <f aca="false">IF(OR($I316="",$L316="",$F316=""),"",$I316*($L316/100)*$F316*$M316*10)</f>
        <v/>
      </c>
      <c r="Q316" s="14" t="str">
        <f aca="false">IF(AND($A316="",$B316="",$D316=""),"",IF(AND($B316&lt;&gt;"",COUNTIF('2. Core Log'!$A$5:$A$124,$B316)=0),"Core ID not in Core Log. ","")&amp;IF(AND($A316&lt;&gt;"",COUNTIF('1. Plot &amp; Site Log'!$A$5:$A$64,$A316)=0),"Plot ID not in Plot &amp; Site Log. ","")&amp;IF(AND($D316&lt;&gt;"",$E316&lt;&gt;"",$E316&lt;=$D316),"Bottom depth is not below top depth. ","")&amp;IF($H316="","Say which bulk-density basis the lab reported, or the coarse-fragment correction cannot be applied safely. ","")&amp;IF(AND($I316&lt;&gt;"",OR($I316&lt;QC_BD_MIN,$I316&gt;QC_BD_MAX)),"Bulk density outside "&amp;QC_BD_MIN&amp;"–"&amp;QC_BD_MAX&amp;" g/cm³. ","")&amp;IF(AND($L316&lt;&gt;"",$L316&gt;QC_CARBON_PCT_MAX),"Carbon above "&amp;QC_CARBON_PCT_MAX&amp;"% — check units; this may be organic matter rather than carbon. ","")&amp;IF(AND($J316&lt;&gt;"",$K316&lt;&gt;""),"Both LOI and measured carbon given — the measured value is used. ","")&amp;IF(AND($N316&lt;&gt;"",$N316=0),"Slice lies entirely below the reporting depth — it counts to the full-core stock only. ",""))</f>
        <v/>
      </c>
      <c r="R316" s="13"/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3" t="str">
        <f aca="false">IF(OR($D317="",$E317=""),"",$E317-$D317)</f>
        <v/>
      </c>
      <c r="G317" s="13"/>
      <c r="H317" s="13"/>
      <c r="I317" s="15"/>
      <c r="J317" s="15"/>
      <c r="K317" s="15"/>
      <c r="L317" s="14" t="str">
        <f aca="false">IF($K317&lt;&gt;"",$K317,IF($J317&lt;&gt;"",$J317*CARBON_FRACTION_OM,""))</f>
        <v/>
      </c>
      <c r="M317" s="14" t="n">
        <f aca="false">IF($H317="Fine earth / fine-earth volume",1-IF($G317="",0,$G317)/100,1)</f>
        <v>1</v>
      </c>
      <c r="N317" s="14" t="str">
        <f aca="false">IF(OR($D317="",$E317=""),"",MAX(0,MIN($E317,REPORTING_DEPTH_CM)-MIN($D317,REPORTING_DEPTH_CM)))</f>
        <v/>
      </c>
      <c r="O317" s="14" t="str">
        <f aca="false">IF(OR($I317="",$L317="",$N317=""),"",$I317*($L317/100)*$N317*$M317*10)</f>
        <v/>
      </c>
      <c r="P317" s="14" t="str">
        <f aca="false">IF(OR($I317="",$L317="",$F317=""),"",$I317*($L317/100)*$F317*$M317*10)</f>
        <v/>
      </c>
      <c r="Q317" s="14" t="str">
        <f aca="false">IF(AND($A317="",$B317="",$D317=""),"",IF(AND($B317&lt;&gt;"",COUNTIF('2. Core Log'!$A$5:$A$124,$B317)=0),"Core ID not in Core Log. ","")&amp;IF(AND($A317&lt;&gt;"",COUNTIF('1. Plot &amp; Site Log'!$A$5:$A$64,$A317)=0),"Plot ID not in Plot &amp; Site Log. ","")&amp;IF(AND($D317&lt;&gt;"",$E317&lt;&gt;"",$E317&lt;=$D317),"Bottom depth is not below top depth. ","")&amp;IF($H317="","Say which bulk-density basis the lab reported, or the coarse-fragment correction cannot be applied safely. ","")&amp;IF(AND($I317&lt;&gt;"",OR($I317&lt;QC_BD_MIN,$I317&gt;QC_BD_MAX)),"Bulk density outside "&amp;QC_BD_MIN&amp;"–"&amp;QC_BD_MAX&amp;" g/cm³. ","")&amp;IF(AND($L317&lt;&gt;"",$L317&gt;QC_CARBON_PCT_MAX),"Carbon above "&amp;QC_CARBON_PCT_MAX&amp;"% — check units; this may be organic matter rather than carbon. ","")&amp;IF(AND($J317&lt;&gt;"",$K317&lt;&gt;""),"Both LOI and measured carbon given — the measured value is used. ","")&amp;IF(AND($N317&lt;&gt;"",$N317=0),"Slice lies entirely below the reporting depth — it counts to the full-core stock only. ",""))</f>
        <v/>
      </c>
      <c r="R317" s="1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3" t="str">
        <f aca="false">IF(OR($D318="",$E318=""),"",$E318-$D318)</f>
        <v/>
      </c>
      <c r="G318" s="13"/>
      <c r="H318" s="13"/>
      <c r="I318" s="15"/>
      <c r="J318" s="15"/>
      <c r="K318" s="15"/>
      <c r="L318" s="14" t="str">
        <f aca="false">IF($K318&lt;&gt;"",$K318,IF($J318&lt;&gt;"",$J318*CARBON_FRACTION_OM,""))</f>
        <v/>
      </c>
      <c r="M318" s="14" t="n">
        <f aca="false">IF($H318="Fine earth / fine-earth volume",1-IF($G318="",0,$G318)/100,1)</f>
        <v>1</v>
      </c>
      <c r="N318" s="14" t="str">
        <f aca="false">IF(OR($D318="",$E318=""),"",MAX(0,MIN($E318,REPORTING_DEPTH_CM)-MIN($D318,REPORTING_DEPTH_CM)))</f>
        <v/>
      </c>
      <c r="O318" s="14" t="str">
        <f aca="false">IF(OR($I318="",$L318="",$N318=""),"",$I318*($L318/100)*$N318*$M318*10)</f>
        <v/>
      </c>
      <c r="P318" s="14" t="str">
        <f aca="false">IF(OR($I318="",$L318="",$F318=""),"",$I318*($L318/100)*$F318*$M318*10)</f>
        <v/>
      </c>
      <c r="Q318" s="14" t="str">
        <f aca="false">IF(AND($A318="",$B318="",$D318=""),"",IF(AND($B318&lt;&gt;"",COUNTIF('2. Core Log'!$A$5:$A$124,$B318)=0),"Core ID not in Core Log. ","")&amp;IF(AND($A318&lt;&gt;"",COUNTIF('1. Plot &amp; Site Log'!$A$5:$A$64,$A318)=0),"Plot ID not in Plot &amp; Site Log. ","")&amp;IF(AND($D318&lt;&gt;"",$E318&lt;&gt;"",$E318&lt;=$D318),"Bottom depth is not below top depth. ","")&amp;IF($H318="","Say which bulk-density basis the lab reported, or the coarse-fragment correction cannot be applied safely. ","")&amp;IF(AND($I318&lt;&gt;"",OR($I318&lt;QC_BD_MIN,$I318&gt;QC_BD_MAX)),"Bulk density outside "&amp;QC_BD_MIN&amp;"–"&amp;QC_BD_MAX&amp;" g/cm³. ","")&amp;IF(AND($L318&lt;&gt;"",$L318&gt;QC_CARBON_PCT_MAX),"Carbon above "&amp;QC_CARBON_PCT_MAX&amp;"% — check units; this may be organic matter rather than carbon. ","")&amp;IF(AND($J318&lt;&gt;"",$K318&lt;&gt;""),"Both LOI and measured carbon given — the measured value is used. ","")&amp;IF(AND($N318&lt;&gt;"",$N318=0),"Slice lies entirely below the reporting depth — it counts to the full-core stock only. ",""))</f>
        <v/>
      </c>
      <c r="R318" s="13"/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3" t="str">
        <f aca="false">IF(OR($D319="",$E319=""),"",$E319-$D319)</f>
        <v/>
      </c>
      <c r="G319" s="13"/>
      <c r="H319" s="13"/>
      <c r="I319" s="15"/>
      <c r="J319" s="15"/>
      <c r="K319" s="15"/>
      <c r="L319" s="14" t="str">
        <f aca="false">IF($K319&lt;&gt;"",$K319,IF($J319&lt;&gt;"",$J319*CARBON_FRACTION_OM,""))</f>
        <v/>
      </c>
      <c r="M319" s="14" t="n">
        <f aca="false">IF($H319="Fine earth / fine-earth volume",1-IF($G319="",0,$G319)/100,1)</f>
        <v>1</v>
      </c>
      <c r="N319" s="14" t="str">
        <f aca="false">IF(OR($D319="",$E319=""),"",MAX(0,MIN($E319,REPORTING_DEPTH_CM)-MIN($D319,REPORTING_DEPTH_CM)))</f>
        <v/>
      </c>
      <c r="O319" s="14" t="str">
        <f aca="false">IF(OR($I319="",$L319="",$N319=""),"",$I319*($L319/100)*$N319*$M319*10)</f>
        <v/>
      </c>
      <c r="P319" s="14" t="str">
        <f aca="false">IF(OR($I319="",$L319="",$F319=""),"",$I319*($L319/100)*$F319*$M319*10)</f>
        <v/>
      </c>
      <c r="Q319" s="14" t="str">
        <f aca="false">IF(AND($A319="",$B319="",$D319=""),"",IF(AND($B319&lt;&gt;"",COUNTIF('2. Core Log'!$A$5:$A$124,$B319)=0),"Core ID not in Core Log. ","")&amp;IF(AND($A319&lt;&gt;"",COUNTIF('1. Plot &amp; Site Log'!$A$5:$A$64,$A319)=0),"Plot ID not in Plot &amp; Site Log. ","")&amp;IF(AND($D319&lt;&gt;"",$E319&lt;&gt;"",$E319&lt;=$D319),"Bottom depth is not below top depth. ","")&amp;IF($H319="","Say which bulk-density basis the lab reported, or the coarse-fragment correction cannot be applied safely. ","")&amp;IF(AND($I319&lt;&gt;"",OR($I319&lt;QC_BD_MIN,$I319&gt;QC_BD_MAX)),"Bulk density outside "&amp;QC_BD_MIN&amp;"–"&amp;QC_BD_MAX&amp;" g/cm³. ","")&amp;IF(AND($L319&lt;&gt;"",$L319&gt;QC_CARBON_PCT_MAX),"Carbon above "&amp;QC_CARBON_PCT_MAX&amp;"% — check units; this may be organic matter rather than carbon. ","")&amp;IF(AND($J319&lt;&gt;"",$K319&lt;&gt;""),"Both LOI and measured carbon given — the measured value is used. ","")&amp;IF(AND($N319&lt;&gt;"",$N319=0),"Slice lies entirely below the reporting depth — it counts to the full-core stock only. ",""))</f>
        <v/>
      </c>
      <c r="R319" s="1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3" t="str">
        <f aca="false">IF(OR($D320="",$E320=""),"",$E320-$D320)</f>
        <v/>
      </c>
      <c r="G320" s="13"/>
      <c r="H320" s="13"/>
      <c r="I320" s="15"/>
      <c r="J320" s="15"/>
      <c r="K320" s="15"/>
      <c r="L320" s="14" t="str">
        <f aca="false">IF($K320&lt;&gt;"",$K320,IF($J320&lt;&gt;"",$J320*CARBON_FRACTION_OM,""))</f>
        <v/>
      </c>
      <c r="M320" s="14" t="n">
        <f aca="false">IF($H320="Fine earth / fine-earth volume",1-IF($G320="",0,$G320)/100,1)</f>
        <v>1</v>
      </c>
      <c r="N320" s="14" t="str">
        <f aca="false">IF(OR($D320="",$E320=""),"",MAX(0,MIN($E320,REPORTING_DEPTH_CM)-MIN($D320,REPORTING_DEPTH_CM)))</f>
        <v/>
      </c>
      <c r="O320" s="14" t="str">
        <f aca="false">IF(OR($I320="",$L320="",$N320=""),"",$I320*($L320/100)*$N320*$M320*10)</f>
        <v/>
      </c>
      <c r="P320" s="14" t="str">
        <f aca="false">IF(OR($I320="",$L320="",$F320=""),"",$I320*($L320/100)*$F320*$M320*10)</f>
        <v/>
      </c>
      <c r="Q320" s="14" t="str">
        <f aca="false">IF(AND($A320="",$B320="",$D320=""),"",IF(AND($B320&lt;&gt;"",COUNTIF('2. Core Log'!$A$5:$A$124,$B320)=0),"Core ID not in Core Log. ","")&amp;IF(AND($A320&lt;&gt;"",COUNTIF('1. Plot &amp; Site Log'!$A$5:$A$64,$A320)=0),"Plot ID not in Plot &amp; Site Log. ","")&amp;IF(AND($D320&lt;&gt;"",$E320&lt;&gt;"",$E320&lt;=$D320),"Bottom depth is not below top depth. ","")&amp;IF($H320="","Say which bulk-density basis the lab reported, or the coarse-fragment correction cannot be applied safely. ","")&amp;IF(AND($I320&lt;&gt;"",OR($I320&lt;QC_BD_MIN,$I320&gt;QC_BD_MAX)),"Bulk density outside "&amp;QC_BD_MIN&amp;"–"&amp;QC_BD_MAX&amp;" g/cm³. ","")&amp;IF(AND($L320&lt;&gt;"",$L320&gt;QC_CARBON_PCT_MAX),"Carbon above "&amp;QC_CARBON_PCT_MAX&amp;"% — check units; this may be organic matter rather than carbon. ","")&amp;IF(AND($J320&lt;&gt;"",$K320&lt;&gt;""),"Both LOI and measured carbon given — the measured value is used. ","")&amp;IF(AND($N320&lt;&gt;"",$N320=0),"Slice lies entirely below the reporting depth — it counts to the full-core stock only. ",""))</f>
        <v/>
      </c>
      <c r="R320" s="13"/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3" t="str">
        <f aca="false">IF(OR($D321="",$E321=""),"",$E321-$D321)</f>
        <v/>
      </c>
      <c r="G321" s="13"/>
      <c r="H321" s="13"/>
      <c r="I321" s="15"/>
      <c r="J321" s="15"/>
      <c r="K321" s="15"/>
      <c r="L321" s="14" t="str">
        <f aca="false">IF($K321&lt;&gt;"",$K321,IF($J321&lt;&gt;"",$J321*CARBON_FRACTION_OM,""))</f>
        <v/>
      </c>
      <c r="M321" s="14" t="n">
        <f aca="false">IF($H321="Fine earth / fine-earth volume",1-IF($G321="",0,$G321)/100,1)</f>
        <v>1</v>
      </c>
      <c r="N321" s="14" t="str">
        <f aca="false">IF(OR($D321="",$E321=""),"",MAX(0,MIN($E321,REPORTING_DEPTH_CM)-MIN($D321,REPORTING_DEPTH_CM)))</f>
        <v/>
      </c>
      <c r="O321" s="14" t="str">
        <f aca="false">IF(OR($I321="",$L321="",$N321=""),"",$I321*($L321/100)*$N321*$M321*10)</f>
        <v/>
      </c>
      <c r="P321" s="14" t="str">
        <f aca="false">IF(OR($I321="",$L321="",$F321=""),"",$I321*($L321/100)*$F321*$M321*10)</f>
        <v/>
      </c>
      <c r="Q321" s="14" t="str">
        <f aca="false">IF(AND($A321="",$B321="",$D321=""),"",IF(AND($B321&lt;&gt;"",COUNTIF('2. Core Log'!$A$5:$A$124,$B321)=0),"Core ID not in Core Log. ","")&amp;IF(AND($A321&lt;&gt;"",COUNTIF('1. Plot &amp; Site Log'!$A$5:$A$64,$A321)=0),"Plot ID not in Plot &amp; Site Log. ","")&amp;IF(AND($D321&lt;&gt;"",$E321&lt;&gt;"",$E321&lt;=$D321),"Bottom depth is not below top depth. ","")&amp;IF($H321="","Say which bulk-density basis the lab reported, or the coarse-fragment correction cannot be applied safely. ","")&amp;IF(AND($I321&lt;&gt;"",OR($I321&lt;QC_BD_MIN,$I321&gt;QC_BD_MAX)),"Bulk density outside "&amp;QC_BD_MIN&amp;"–"&amp;QC_BD_MAX&amp;" g/cm³. ","")&amp;IF(AND($L321&lt;&gt;"",$L321&gt;QC_CARBON_PCT_MAX),"Carbon above "&amp;QC_CARBON_PCT_MAX&amp;"% — check units; this may be organic matter rather than carbon. ","")&amp;IF(AND($J321&lt;&gt;"",$K321&lt;&gt;""),"Both LOI and measured carbon given — the measured value is used. ","")&amp;IF(AND($N321&lt;&gt;"",$N321=0),"Slice lies entirely below the reporting depth — it counts to the full-core stock only. ",""))</f>
        <v/>
      </c>
      <c r="R321" s="1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3" t="str">
        <f aca="false">IF(OR($D322="",$E322=""),"",$E322-$D322)</f>
        <v/>
      </c>
      <c r="G322" s="13"/>
      <c r="H322" s="13"/>
      <c r="I322" s="15"/>
      <c r="J322" s="15"/>
      <c r="K322" s="15"/>
      <c r="L322" s="14" t="str">
        <f aca="false">IF($K322&lt;&gt;"",$K322,IF($J322&lt;&gt;"",$J322*CARBON_FRACTION_OM,""))</f>
        <v/>
      </c>
      <c r="M322" s="14" t="n">
        <f aca="false">IF($H322="Fine earth / fine-earth volume",1-IF($G322="",0,$G322)/100,1)</f>
        <v>1</v>
      </c>
      <c r="N322" s="14" t="str">
        <f aca="false">IF(OR($D322="",$E322=""),"",MAX(0,MIN($E322,REPORTING_DEPTH_CM)-MIN($D322,REPORTING_DEPTH_CM)))</f>
        <v/>
      </c>
      <c r="O322" s="14" t="str">
        <f aca="false">IF(OR($I322="",$L322="",$N322=""),"",$I322*($L322/100)*$N322*$M322*10)</f>
        <v/>
      </c>
      <c r="P322" s="14" t="str">
        <f aca="false">IF(OR($I322="",$L322="",$F322=""),"",$I322*($L322/100)*$F322*$M322*10)</f>
        <v/>
      </c>
      <c r="Q322" s="14" t="str">
        <f aca="false">IF(AND($A322="",$B322="",$D322=""),"",IF(AND($B322&lt;&gt;"",COUNTIF('2. Core Log'!$A$5:$A$124,$B322)=0),"Core ID not in Core Log. ","")&amp;IF(AND($A322&lt;&gt;"",COUNTIF('1. Plot &amp; Site Log'!$A$5:$A$64,$A322)=0),"Plot ID not in Plot &amp; Site Log. ","")&amp;IF(AND($D322&lt;&gt;"",$E322&lt;&gt;"",$E322&lt;=$D322),"Bottom depth is not below top depth. ","")&amp;IF($H322="","Say which bulk-density basis the lab reported, or the coarse-fragment correction cannot be applied safely. ","")&amp;IF(AND($I322&lt;&gt;"",OR($I322&lt;QC_BD_MIN,$I322&gt;QC_BD_MAX)),"Bulk density outside "&amp;QC_BD_MIN&amp;"–"&amp;QC_BD_MAX&amp;" g/cm³. ","")&amp;IF(AND($L322&lt;&gt;"",$L322&gt;QC_CARBON_PCT_MAX),"Carbon above "&amp;QC_CARBON_PCT_MAX&amp;"% — check units; this may be organic matter rather than carbon. ","")&amp;IF(AND($J322&lt;&gt;"",$K322&lt;&gt;""),"Both LOI and measured carbon given — the measured value is used. ","")&amp;IF(AND($N322&lt;&gt;"",$N322=0),"Slice lies entirely below the reporting depth — it counts to the full-core stock only. ",""))</f>
        <v/>
      </c>
      <c r="R322" s="13"/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3" t="str">
        <f aca="false">IF(OR($D323="",$E323=""),"",$E323-$D323)</f>
        <v/>
      </c>
      <c r="G323" s="13"/>
      <c r="H323" s="13"/>
      <c r="I323" s="15"/>
      <c r="J323" s="15"/>
      <c r="K323" s="15"/>
      <c r="L323" s="14" t="str">
        <f aca="false">IF($K323&lt;&gt;"",$K323,IF($J323&lt;&gt;"",$J323*CARBON_FRACTION_OM,""))</f>
        <v/>
      </c>
      <c r="M323" s="14" t="n">
        <f aca="false">IF($H323="Fine earth / fine-earth volume",1-IF($G323="",0,$G323)/100,1)</f>
        <v>1</v>
      </c>
      <c r="N323" s="14" t="str">
        <f aca="false">IF(OR($D323="",$E323=""),"",MAX(0,MIN($E323,REPORTING_DEPTH_CM)-MIN($D323,REPORTING_DEPTH_CM)))</f>
        <v/>
      </c>
      <c r="O323" s="14" t="str">
        <f aca="false">IF(OR($I323="",$L323="",$N323=""),"",$I323*($L323/100)*$N323*$M323*10)</f>
        <v/>
      </c>
      <c r="P323" s="14" t="str">
        <f aca="false">IF(OR($I323="",$L323="",$F323=""),"",$I323*($L323/100)*$F323*$M323*10)</f>
        <v/>
      </c>
      <c r="Q323" s="14" t="str">
        <f aca="false">IF(AND($A323="",$B323="",$D323=""),"",IF(AND($B323&lt;&gt;"",COUNTIF('2. Core Log'!$A$5:$A$124,$B323)=0),"Core ID not in Core Log. ","")&amp;IF(AND($A323&lt;&gt;"",COUNTIF('1. Plot &amp; Site Log'!$A$5:$A$64,$A323)=0),"Plot ID not in Plot &amp; Site Log. ","")&amp;IF(AND($D323&lt;&gt;"",$E323&lt;&gt;"",$E323&lt;=$D323),"Bottom depth is not below top depth. ","")&amp;IF($H323="","Say which bulk-density basis the lab reported, or the coarse-fragment correction cannot be applied safely. ","")&amp;IF(AND($I323&lt;&gt;"",OR($I323&lt;QC_BD_MIN,$I323&gt;QC_BD_MAX)),"Bulk density outside "&amp;QC_BD_MIN&amp;"–"&amp;QC_BD_MAX&amp;" g/cm³. ","")&amp;IF(AND($L323&lt;&gt;"",$L323&gt;QC_CARBON_PCT_MAX),"Carbon above "&amp;QC_CARBON_PCT_MAX&amp;"% — check units; this may be organic matter rather than carbon. ","")&amp;IF(AND($J323&lt;&gt;"",$K323&lt;&gt;""),"Both LOI and measured carbon given — the measured value is used. ","")&amp;IF(AND($N323&lt;&gt;"",$N323=0),"Slice lies entirely below the reporting depth — it counts to the full-core stock only. ",""))</f>
        <v/>
      </c>
      <c r="R323" s="1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3" t="str">
        <f aca="false">IF(OR($D324="",$E324=""),"",$E324-$D324)</f>
        <v/>
      </c>
      <c r="G324" s="13"/>
      <c r="H324" s="13"/>
      <c r="I324" s="15"/>
      <c r="J324" s="15"/>
      <c r="K324" s="15"/>
      <c r="L324" s="14" t="str">
        <f aca="false">IF($K324&lt;&gt;"",$K324,IF($J324&lt;&gt;"",$J324*CARBON_FRACTION_OM,""))</f>
        <v/>
      </c>
      <c r="M324" s="14" t="n">
        <f aca="false">IF($H324="Fine earth / fine-earth volume",1-IF($G324="",0,$G324)/100,1)</f>
        <v>1</v>
      </c>
      <c r="N324" s="14" t="str">
        <f aca="false">IF(OR($D324="",$E324=""),"",MAX(0,MIN($E324,REPORTING_DEPTH_CM)-MIN($D324,REPORTING_DEPTH_CM)))</f>
        <v/>
      </c>
      <c r="O324" s="14" t="str">
        <f aca="false">IF(OR($I324="",$L324="",$N324=""),"",$I324*($L324/100)*$N324*$M324*10)</f>
        <v/>
      </c>
      <c r="P324" s="14" t="str">
        <f aca="false">IF(OR($I324="",$L324="",$F324=""),"",$I324*($L324/100)*$F324*$M324*10)</f>
        <v/>
      </c>
      <c r="Q324" s="14" t="str">
        <f aca="false">IF(AND($A324="",$B324="",$D324=""),"",IF(AND($B324&lt;&gt;"",COUNTIF('2. Core Log'!$A$5:$A$124,$B324)=0),"Core ID not in Core Log. ","")&amp;IF(AND($A324&lt;&gt;"",COUNTIF('1. Plot &amp; Site Log'!$A$5:$A$64,$A324)=0),"Plot ID not in Plot &amp; Site Log. ","")&amp;IF(AND($D324&lt;&gt;"",$E324&lt;&gt;"",$E324&lt;=$D324),"Bottom depth is not below top depth. ","")&amp;IF($H324="","Say which bulk-density basis the lab reported, or the coarse-fragment correction cannot be applied safely. ","")&amp;IF(AND($I324&lt;&gt;"",OR($I324&lt;QC_BD_MIN,$I324&gt;QC_BD_MAX)),"Bulk density outside "&amp;QC_BD_MIN&amp;"–"&amp;QC_BD_MAX&amp;" g/cm³. ","")&amp;IF(AND($L324&lt;&gt;"",$L324&gt;QC_CARBON_PCT_MAX),"Carbon above "&amp;QC_CARBON_PCT_MAX&amp;"% — check units; this may be organic matter rather than carbon. ","")&amp;IF(AND($J324&lt;&gt;"",$K324&lt;&gt;""),"Both LOI and measured carbon given — the measured value is used. ","")&amp;IF(AND($N324&lt;&gt;"",$N324=0),"Slice lies entirely below the reporting depth — it counts to the full-core stock only. ",""))</f>
        <v/>
      </c>
      <c r="R324" s="13"/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3" t="str">
        <f aca="false">IF(OR($D325="",$E325=""),"",$E325-$D325)</f>
        <v/>
      </c>
      <c r="G325" s="13"/>
      <c r="H325" s="13"/>
      <c r="I325" s="15"/>
      <c r="J325" s="15"/>
      <c r="K325" s="15"/>
      <c r="L325" s="14" t="str">
        <f aca="false">IF($K325&lt;&gt;"",$K325,IF($J325&lt;&gt;"",$J325*CARBON_FRACTION_OM,""))</f>
        <v/>
      </c>
      <c r="M325" s="14" t="n">
        <f aca="false">IF($H325="Fine earth / fine-earth volume",1-IF($G325="",0,$G325)/100,1)</f>
        <v>1</v>
      </c>
      <c r="N325" s="14" t="str">
        <f aca="false">IF(OR($D325="",$E325=""),"",MAX(0,MIN($E325,REPORTING_DEPTH_CM)-MIN($D325,REPORTING_DEPTH_CM)))</f>
        <v/>
      </c>
      <c r="O325" s="14" t="str">
        <f aca="false">IF(OR($I325="",$L325="",$N325=""),"",$I325*($L325/100)*$N325*$M325*10)</f>
        <v/>
      </c>
      <c r="P325" s="14" t="str">
        <f aca="false">IF(OR($I325="",$L325="",$F325=""),"",$I325*($L325/100)*$F325*$M325*10)</f>
        <v/>
      </c>
      <c r="Q325" s="14" t="str">
        <f aca="false">IF(AND($A325="",$B325="",$D325=""),"",IF(AND($B325&lt;&gt;"",COUNTIF('2. Core Log'!$A$5:$A$124,$B325)=0),"Core ID not in Core Log. ","")&amp;IF(AND($A325&lt;&gt;"",COUNTIF('1. Plot &amp; Site Log'!$A$5:$A$64,$A325)=0),"Plot ID not in Plot &amp; Site Log. ","")&amp;IF(AND($D325&lt;&gt;"",$E325&lt;&gt;"",$E325&lt;=$D325),"Bottom depth is not below top depth. ","")&amp;IF($H325="","Say which bulk-density basis the lab reported, or the coarse-fragment correction cannot be applied safely. ","")&amp;IF(AND($I325&lt;&gt;"",OR($I325&lt;QC_BD_MIN,$I325&gt;QC_BD_MAX)),"Bulk density outside "&amp;QC_BD_MIN&amp;"–"&amp;QC_BD_MAX&amp;" g/cm³. ","")&amp;IF(AND($L325&lt;&gt;"",$L325&gt;QC_CARBON_PCT_MAX),"Carbon above "&amp;QC_CARBON_PCT_MAX&amp;"% — check units; this may be organic matter rather than carbon. ","")&amp;IF(AND($J325&lt;&gt;"",$K325&lt;&gt;""),"Both LOI and measured carbon given — the measured value is used. ","")&amp;IF(AND($N325&lt;&gt;"",$N325=0),"Slice lies entirely below the reporting depth — it counts to the full-core stock only. ",""))</f>
        <v/>
      </c>
      <c r="R325" s="1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3" t="str">
        <f aca="false">IF(OR($D326="",$E326=""),"",$E326-$D326)</f>
        <v/>
      </c>
      <c r="G326" s="13"/>
      <c r="H326" s="13"/>
      <c r="I326" s="15"/>
      <c r="J326" s="15"/>
      <c r="K326" s="15"/>
      <c r="L326" s="14" t="str">
        <f aca="false">IF($K326&lt;&gt;"",$K326,IF($J326&lt;&gt;"",$J326*CARBON_FRACTION_OM,""))</f>
        <v/>
      </c>
      <c r="M326" s="14" t="n">
        <f aca="false">IF($H326="Fine earth / fine-earth volume",1-IF($G326="",0,$G326)/100,1)</f>
        <v>1</v>
      </c>
      <c r="N326" s="14" t="str">
        <f aca="false">IF(OR($D326="",$E326=""),"",MAX(0,MIN($E326,REPORTING_DEPTH_CM)-MIN($D326,REPORTING_DEPTH_CM)))</f>
        <v/>
      </c>
      <c r="O326" s="14" t="str">
        <f aca="false">IF(OR($I326="",$L326="",$N326=""),"",$I326*($L326/100)*$N326*$M326*10)</f>
        <v/>
      </c>
      <c r="P326" s="14" t="str">
        <f aca="false">IF(OR($I326="",$L326="",$F326=""),"",$I326*($L326/100)*$F326*$M326*10)</f>
        <v/>
      </c>
      <c r="Q326" s="14" t="str">
        <f aca="false">IF(AND($A326="",$B326="",$D326=""),"",IF(AND($B326&lt;&gt;"",COUNTIF('2. Core Log'!$A$5:$A$124,$B326)=0),"Core ID not in Core Log. ","")&amp;IF(AND($A326&lt;&gt;"",COUNTIF('1. Plot &amp; Site Log'!$A$5:$A$64,$A326)=0),"Plot ID not in Plot &amp; Site Log. ","")&amp;IF(AND($D326&lt;&gt;"",$E326&lt;&gt;"",$E326&lt;=$D326),"Bottom depth is not below top depth. ","")&amp;IF($H326="","Say which bulk-density basis the lab reported, or the coarse-fragment correction cannot be applied safely. ","")&amp;IF(AND($I326&lt;&gt;"",OR($I326&lt;QC_BD_MIN,$I326&gt;QC_BD_MAX)),"Bulk density outside "&amp;QC_BD_MIN&amp;"–"&amp;QC_BD_MAX&amp;" g/cm³. ","")&amp;IF(AND($L326&lt;&gt;"",$L326&gt;QC_CARBON_PCT_MAX),"Carbon above "&amp;QC_CARBON_PCT_MAX&amp;"% — check units; this may be organic matter rather than carbon. ","")&amp;IF(AND($J326&lt;&gt;"",$K326&lt;&gt;""),"Both LOI and measured carbon given — the measured value is used. ","")&amp;IF(AND($N326&lt;&gt;"",$N326=0),"Slice lies entirely below the reporting depth — it counts to the full-core stock only. ",""))</f>
        <v/>
      </c>
      <c r="R326" s="13"/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3" t="str">
        <f aca="false">IF(OR($D327="",$E327=""),"",$E327-$D327)</f>
        <v/>
      </c>
      <c r="G327" s="13"/>
      <c r="H327" s="13"/>
      <c r="I327" s="15"/>
      <c r="J327" s="15"/>
      <c r="K327" s="15"/>
      <c r="L327" s="14" t="str">
        <f aca="false">IF($K327&lt;&gt;"",$K327,IF($J327&lt;&gt;"",$J327*CARBON_FRACTION_OM,""))</f>
        <v/>
      </c>
      <c r="M327" s="14" t="n">
        <f aca="false">IF($H327="Fine earth / fine-earth volume",1-IF($G327="",0,$G327)/100,1)</f>
        <v>1</v>
      </c>
      <c r="N327" s="14" t="str">
        <f aca="false">IF(OR($D327="",$E327=""),"",MAX(0,MIN($E327,REPORTING_DEPTH_CM)-MIN($D327,REPORTING_DEPTH_CM)))</f>
        <v/>
      </c>
      <c r="O327" s="14" t="str">
        <f aca="false">IF(OR($I327="",$L327="",$N327=""),"",$I327*($L327/100)*$N327*$M327*10)</f>
        <v/>
      </c>
      <c r="P327" s="14" t="str">
        <f aca="false">IF(OR($I327="",$L327="",$F327=""),"",$I327*($L327/100)*$F327*$M327*10)</f>
        <v/>
      </c>
      <c r="Q327" s="14" t="str">
        <f aca="false">IF(AND($A327="",$B327="",$D327=""),"",IF(AND($B327&lt;&gt;"",COUNTIF('2. Core Log'!$A$5:$A$124,$B327)=0),"Core ID not in Core Log. ","")&amp;IF(AND($A327&lt;&gt;"",COUNTIF('1. Plot &amp; Site Log'!$A$5:$A$64,$A327)=0),"Plot ID not in Plot &amp; Site Log. ","")&amp;IF(AND($D327&lt;&gt;"",$E327&lt;&gt;"",$E327&lt;=$D327),"Bottom depth is not below top depth. ","")&amp;IF($H327="","Say which bulk-density basis the lab reported, or the coarse-fragment correction cannot be applied safely. ","")&amp;IF(AND($I327&lt;&gt;"",OR($I327&lt;QC_BD_MIN,$I327&gt;QC_BD_MAX)),"Bulk density outside "&amp;QC_BD_MIN&amp;"–"&amp;QC_BD_MAX&amp;" g/cm³. ","")&amp;IF(AND($L327&lt;&gt;"",$L327&gt;QC_CARBON_PCT_MAX),"Carbon above "&amp;QC_CARBON_PCT_MAX&amp;"% — check units; this may be organic matter rather than carbon. ","")&amp;IF(AND($J327&lt;&gt;"",$K327&lt;&gt;""),"Both LOI and measured carbon given — the measured value is used. ","")&amp;IF(AND($N327&lt;&gt;"",$N327=0),"Slice lies entirely below the reporting depth — it counts to the full-core stock only. ",""))</f>
        <v/>
      </c>
      <c r="R327" s="1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3" t="str">
        <f aca="false">IF(OR($D328="",$E328=""),"",$E328-$D328)</f>
        <v/>
      </c>
      <c r="G328" s="13"/>
      <c r="H328" s="13"/>
      <c r="I328" s="15"/>
      <c r="J328" s="15"/>
      <c r="K328" s="15"/>
      <c r="L328" s="14" t="str">
        <f aca="false">IF($K328&lt;&gt;"",$K328,IF($J328&lt;&gt;"",$J328*CARBON_FRACTION_OM,""))</f>
        <v/>
      </c>
      <c r="M328" s="14" t="n">
        <f aca="false">IF($H328="Fine earth / fine-earth volume",1-IF($G328="",0,$G328)/100,1)</f>
        <v>1</v>
      </c>
      <c r="N328" s="14" t="str">
        <f aca="false">IF(OR($D328="",$E328=""),"",MAX(0,MIN($E328,REPORTING_DEPTH_CM)-MIN($D328,REPORTING_DEPTH_CM)))</f>
        <v/>
      </c>
      <c r="O328" s="14" t="str">
        <f aca="false">IF(OR($I328="",$L328="",$N328=""),"",$I328*($L328/100)*$N328*$M328*10)</f>
        <v/>
      </c>
      <c r="P328" s="14" t="str">
        <f aca="false">IF(OR($I328="",$L328="",$F328=""),"",$I328*($L328/100)*$F328*$M328*10)</f>
        <v/>
      </c>
      <c r="Q328" s="14" t="str">
        <f aca="false">IF(AND($A328="",$B328="",$D328=""),"",IF(AND($B328&lt;&gt;"",COUNTIF('2. Core Log'!$A$5:$A$124,$B328)=0),"Core ID not in Core Log. ","")&amp;IF(AND($A328&lt;&gt;"",COUNTIF('1. Plot &amp; Site Log'!$A$5:$A$64,$A328)=0),"Plot ID not in Plot &amp; Site Log. ","")&amp;IF(AND($D328&lt;&gt;"",$E328&lt;&gt;"",$E328&lt;=$D328),"Bottom depth is not below top depth. ","")&amp;IF($H328="","Say which bulk-density basis the lab reported, or the coarse-fragment correction cannot be applied safely. ","")&amp;IF(AND($I328&lt;&gt;"",OR($I328&lt;QC_BD_MIN,$I328&gt;QC_BD_MAX)),"Bulk density outside "&amp;QC_BD_MIN&amp;"–"&amp;QC_BD_MAX&amp;" g/cm³. ","")&amp;IF(AND($L328&lt;&gt;"",$L328&gt;QC_CARBON_PCT_MAX),"Carbon above "&amp;QC_CARBON_PCT_MAX&amp;"% — check units; this may be organic matter rather than carbon. ","")&amp;IF(AND($J328&lt;&gt;"",$K328&lt;&gt;""),"Both LOI and measured carbon given — the measured value is used. ","")&amp;IF(AND($N328&lt;&gt;"",$N328=0),"Slice lies entirely below the reporting depth — it counts to the full-core stock only. ",""))</f>
        <v/>
      </c>
      <c r="R328" s="13"/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3" t="str">
        <f aca="false">IF(OR($D329="",$E329=""),"",$E329-$D329)</f>
        <v/>
      </c>
      <c r="G329" s="13"/>
      <c r="H329" s="13"/>
      <c r="I329" s="15"/>
      <c r="J329" s="15"/>
      <c r="K329" s="15"/>
      <c r="L329" s="14" t="str">
        <f aca="false">IF($K329&lt;&gt;"",$K329,IF($J329&lt;&gt;"",$J329*CARBON_FRACTION_OM,""))</f>
        <v/>
      </c>
      <c r="M329" s="14" t="n">
        <f aca="false">IF($H329="Fine earth / fine-earth volume",1-IF($G329="",0,$G329)/100,1)</f>
        <v>1</v>
      </c>
      <c r="N329" s="14" t="str">
        <f aca="false">IF(OR($D329="",$E329=""),"",MAX(0,MIN($E329,REPORTING_DEPTH_CM)-MIN($D329,REPORTING_DEPTH_CM)))</f>
        <v/>
      </c>
      <c r="O329" s="14" t="str">
        <f aca="false">IF(OR($I329="",$L329="",$N329=""),"",$I329*($L329/100)*$N329*$M329*10)</f>
        <v/>
      </c>
      <c r="P329" s="14" t="str">
        <f aca="false">IF(OR($I329="",$L329="",$F329=""),"",$I329*($L329/100)*$F329*$M329*10)</f>
        <v/>
      </c>
      <c r="Q329" s="14" t="str">
        <f aca="false">IF(AND($A329="",$B329="",$D329=""),"",IF(AND($B329&lt;&gt;"",COUNTIF('2. Core Log'!$A$5:$A$124,$B329)=0),"Core ID not in Core Log. ","")&amp;IF(AND($A329&lt;&gt;"",COUNTIF('1. Plot &amp; Site Log'!$A$5:$A$64,$A329)=0),"Plot ID not in Plot &amp; Site Log. ","")&amp;IF(AND($D329&lt;&gt;"",$E329&lt;&gt;"",$E329&lt;=$D329),"Bottom depth is not below top depth. ","")&amp;IF($H329="","Say which bulk-density basis the lab reported, or the coarse-fragment correction cannot be applied safely. ","")&amp;IF(AND($I329&lt;&gt;"",OR($I329&lt;QC_BD_MIN,$I329&gt;QC_BD_MAX)),"Bulk density outside "&amp;QC_BD_MIN&amp;"–"&amp;QC_BD_MAX&amp;" g/cm³. ","")&amp;IF(AND($L329&lt;&gt;"",$L329&gt;QC_CARBON_PCT_MAX),"Carbon above "&amp;QC_CARBON_PCT_MAX&amp;"% — check units; this may be organic matter rather than carbon. ","")&amp;IF(AND($J329&lt;&gt;"",$K329&lt;&gt;""),"Both LOI and measured carbon given — the measured value is used. ","")&amp;IF(AND($N329&lt;&gt;"",$N329=0),"Slice lies entirely below the reporting depth — it counts to the full-core stock only. ",""))</f>
        <v/>
      </c>
      <c r="R329" s="1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3" t="str">
        <f aca="false">IF(OR($D330="",$E330=""),"",$E330-$D330)</f>
        <v/>
      </c>
      <c r="G330" s="13"/>
      <c r="H330" s="13"/>
      <c r="I330" s="15"/>
      <c r="J330" s="15"/>
      <c r="K330" s="15"/>
      <c r="L330" s="14" t="str">
        <f aca="false">IF($K330&lt;&gt;"",$K330,IF($J330&lt;&gt;"",$J330*CARBON_FRACTION_OM,""))</f>
        <v/>
      </c>
      <c r="M330" s="14" t="n">
        <f aca="false">IF($H330="Fine earth / fine-earth volume",1-IF($G330="",0,$G330)/100,1)</f>
        <v>1</v>
      </c>
      <c r="N330" s="14" t="str">
        <f aca="false">IF(OR($D330="",$E330=""),"",MAX(0,MIN($E330,REPORTING_DEPTH_CM)-MIN($D330,REPORTING_DEPTH_CM)))</f>
        <v/>
      </c>
      <c r="O330" s="14" t="str">
        <f aca="false">IF(OR($I330="",$L330="",$N330=""),"",$I330*($L330/100)*$N330*$M330*10)</f>
        <v/>
      </c>
      <c r="P330" s="14" t="str">
        <f aca="false">IF(OR($I330="",$L330="",$F330=""),"",$I330*($L330/100)*$F330*$M330*10)</f>
        <v/>
      </c>
      <c r="Q330" s="14" t="str">
        <f aca="false">IF(AND($A330="",$B330="",$D330=""),"",IF(AND($B330&lt;&gt;"",COUNTIF('2. Core Log'!$A$5:$A$124,$B330)=0),"Core ID not in Core Log. ","")&amp;IF(AND($A330&lt;&gt;"",COUNTIF('1. Plot &amp; Site Log'!$A$5:$A$64,$A330)=0),"Plot ID not in Plot &amp; Site Log. ","")&amp;IF(AND($D330&lt;&gt;"",$E330&lt;&gt;"",$E330&lt;=$D330),"Bottom depth is not below top depth. ","")&amp;IF($H330="","Say which bulk-density basis the lab reported, or the coarse-fragment correction cannot be applied safely. ","")&amp;IF(AND($I330&lt;&gt;"",OR($I330&lt;QC_BD_MIN,$I330&gt;QC_BD_MAX)),"Bulk density outside "&amp;QC_BD_MIN&amp;"–"&amp;QC_BD_MAX&amp;" g/cm³. ","")&amp;IF(AND($L330&lt;&gt;"",$L330&gt;QC_CARBON_PCT_MAX),"Carbon above "&amp;QC_CARBON_PCT_MAX&amp;"% — check units; this may be organic matter rather than carbon. ","")&amp;IF(AND($J330&lt;&gt;"",$K330&lt;&gt;""),"Both LOI and measured carbon given — the measured value is used. ","")&amp;IF(AND($N330&lt;&gt;"",$N330=0),"Slice lies entirely below the reporting depth — it counts to the full-core stock only. ",""))</f>
        <v/>
      </c>
      <c r="R330" s="13"/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3" t="str">
        <f aca="false">IF(OR($D331="",$E331=""),"",$E331-$D331)</f>
        <v/>
      </c>
      <c r="G331" s="13"/>
      <c r="H331" s="13"/>
      <c r="I331" s="15"/>
      <c r="J331" s="15"/>
      <c r="K331" s="15"/>
      <c r="L331" s="14" t="str">
        <f aca="false">IF($K331&lt;&gt;"",$K331,IF($J331&lt;&gt;"",$J331*CARBON_FRACTION_OM,""))</f>
        <v/>
      </c>
      <c r="M331" s="14" t="n">
        <f aca="false">IF($H331="Fine earth / fine-earth volume",1-IF($G331="",0,$G331)/100,1)</f>
        <v>1</v>
      </c>
      <c r="N331" s="14" t="str">
        <f aca="false">IF(OR($D331="",$E331=""),"",MAX(0,MIN($E331,REPORTING_DEPTH_CM)-MIN($D331,REPORTING_DEPTH_CM)))</f>
        <v/>
      </c>
      <c r="O331" s="14" t="str">
        <f aca="false">IF(OR($I331="",$L331="",$N331=""),"",$I331*($L331/100)*$N331*$M331*10)</f>
        <v/>
      </c>
      <c r="P331" s="14" t="str">
        <f aca="false">IF(OR($I331="",$L331="",$F331=""),"",$I331*($L331/100)*$F331*$M331*10)</f>
        <v/>
      </c>
      <c r="Q331" s="14" t="str">
        <f aca="false">IF(AND($A331="",$B331="",$D331=""),"",IF(AND($B331&lt;&gt;"",COUNTIF('2. Core Log'!$A$5:$A$124,$B331)=0),"Core ID not in Core Log. ","")&amp;IF(AND($A331&lt;&gt;"",COUNTIF('1. Plot &amp; Site Log'!$A$5:$A$64,$A331)=0),"Plot ID not in Plot &amp; Site Log. ","")&amp;IF(AND($D331&lt;&gt;"",$E331&lt;&gt;"",$E331&lt;=$D331),"Bottom depth is not below top depth. ","")&amp;IF($H331="","Say which bulk-density basis the lab reported, or the coarse-fragment correction cannot be applied safely. ","")&amp;IF(AND($I331&lt;&gt;"",OR($I331&lt;QC_BD_MIN,$I331&gt;QC_BD_MAX)),"Bulk density outside "&amp;QC_BD_MIN&amp;"–"&amp;QC_BD_MAX&amp;" g/cm³. ","")&amp;IF(AND($L331&lt;&gt;"",$L331&gt;QC_CARBON_PCT_MAX),"Carbon above "&amp;QC_CARBON_PCT_MAX&amp;"% — check units; this may be organic matter rather than carbon. ","")&amp;IF(AND($J331&lt;&gt;"",$K331&lt;&gt;""),"Both LOI and measured carbon given — the measured value is used. ","")&amp;IF(AND($N331&lt;&gt;"",$N331=0),"Slice lies entirely below the reporting depth — it counts to the full-core stock only. ",""))</f>
        <v/>
      </c>
      <c r="R331" s="1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3" t="str">
        <f aca="false">IF(OR($D332="",$E332=""),"",$E332-$D332)</f>
        <v/>
      </c>
      <c r="G332" s="13"/>
      <c r="H332" s="13"/>
      <c r="I332" s="15"/>
      <c r="J332" s="15"/>
      <c r="K332" s="15"/>
      <c r="L332" s="14" t="str">
        <f aca="false">IF($K332&lt;&gt;"",$K332,IF($J332&lt;&gt;"",$J332*CARBON_FRACTION_OM,""))</f>
        <v/>
      </c>
      <c r="M332" s="14" t="n">
        <f aca="false">IF($H332="Fine earth / fine-earth volume",1-IF($G332="",0,$G332)/100,1)</f>
        <v>1</v>
      </c>
      <c r="N332" s="14" t="str">
        <f aca="false">IF(OR($D332="",$E332=""),"",MAX(0,MIN($E332,REPORTING_DEPTH_CM)-MIN($D332,REPORTING_DEPTH_CM)))</f>
        <v/>
      </c>
      <c r="O332" s="14" t="str">
        <f aca="false">IF(OR($I332="",$L332="",$N332=""),"",$I332*($L332/100)*$N332*$M332*10)</f>
        <v/>
      </c>
      <c r="P332" s="14" t="str">
        <f aca="false">IF(OR($I332="",$L332="",$F332=""),"",$I332*($L332/100)*$F332*$M332*10)</f>
        <v/>
      </c>
      <c r="Q332" s="14" t="str">
        <f aca="false">IF(AND($A332="",$B332="",$D332=""),"",IF(AND($B332&lt;&gt;"",COUNTIF('2. Core Log'!$A$5:$A$124,$B332)=0),"Core ID not in Core Log. ","")&amp;IF(AND($A332&lt;&gt;"",COUNTIF('1. Plot &amp; Site Log'!$A$5:$A$64,$A332)=0),"Plot ID not in Plot &amp; Site Log. ","")&amp;IF(AND($D332&lt;&gt;"",$E332&lt;&gt;"",$E332&lt;=$D332),"Bottom depth is not below top depth. ","")&amp;IF($H332="","Say which bulk-density basis the lab reported, or the coarse-fragment correction cannot be applied safely. ","")&amp;IF(AND($I332&lt;&gt;"",OR($I332&lt;QC_BD_MIN,$I332&gt;QC_BD_MAX)),"Bulk density outside "&amp;QC_BD_MIN&amp;"–"&amp;QC_BD_MAX&amp;" g/cm³. ","")&amp;IF(AND($L332&lt;&gt;"",$L332&gt;QC_CARBON_PCT_MAX),"Carbon above "&amp;QC_CARBON_PCT_MAX&amp;"% — check units; this may be organic matter rather than carbon. ","")&amp;IF(AND($J332&lt;&gt;"",$K332&lt;&gt;""),"Both LOI and measured carbon given — the measured value is used. ","")&amp;IF(AND($N332&lt;&gt;"",$N332=0),"Slice lies entirely below the reporting depth — it counts to the full-core stock only. ",""))</f>
        <v/>
      </c>
      <c r="R332" s="13"/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3" t="str">
        <f aca="false">IF(OR($D333="",$E333=""),"",$E333-$D333)</f>
        <v/>
      </c>
      <c r="G333" s="13"/>
      <c r="H333" s="13"/>
      <c r="I333" s="15"/>
      <c r="J333" s="15"/>
      <c r="K333" s="15"/>
      <c r="L333" s="14" t="str">
        <f aca="false">IF($K333&lt;&gt;"",$K333,IF($J333&lt;&gt;"",$J333*CARBON_FRACTION_OM,""))</f>
        <v/>
      </c>
      <c r="M333" s="14" t="n">
        <f aca="false">IF($H333="Fine earth / fine-earth volume",1-IF($G333="",0,$G333)/100,1)</f>
        <v>1</v>
      </c>
      <c r="N333" s="14" t="str">
        <f aca="false">IF(OR($D333="",$E333=""),"",MAX(0,MIN($E333,REPORTING_DEPTH_CM)-MIN($D333,REPORTING_DEPTH_CM)))</f>
        <v/>
      </c>
      <c r="O333" s="14" t="str">
        <f aca="false">IF(OR($I333="",$L333="",$N333=""),"",$I333*($L333/100)*$N333*$M333*10)</f>
        <v/>
      </c>
      <c r="P333" s="14" t="str">
        <f aca="false">IF(OR($I333="",$L333="",$F333=""),"",$I333*($L333/100)*$F333*$M333*10)</f>
        <v/>
      </c>
      <c r="Q333" s="14" t="str">
        <f aca="false">IF(AND($A333="",$B333="",$D333=""),"",IF(AND($B333&lt;&gt;"",COUNTIF('2. Core Log'!$A$5:$A$124,$B333)=0),"Core ID not in Core Log. ","")&amp;IF(AND($A333&lt;&gt;"",COUNTIF('1. Plot &amp; Site Log'!$A$5:$A$64,$A333)=0),"Plot ID not in Plot &amp; Site Log. ","")&amp;IF(AND($D333&lt;&gt;"",$E333&lt;&gt;"",$E333&lt;=$D333),"Bottom depth is not below top depth. ","")&amp;IF($H333="","Say which bulk-density basis the lab reported, or the coarse-fragment correction cannot be applied safely. ","")&amp;IF(AND($I333&lt;&gt;"",OR($I333&lt;QC_BD_MIN,$I333&gt;QC_BD_MAX)),"Bulk density outside "&amp;QC_BD_MIN&amp;"–"&amp;QC_BD_MAX&amp;" g/cm³. ","")&amp;IF(AND($L333&lt;&gt;"",$L333&gt;QC_CARBON_PCT_MAX),"Carbon above "&amp;QC_CARBON_PCT_MAX&amp;"% — check units; this may be organic matter rather than carbon. ","")&amp;IF(AND($J333&lt;&gt;"",$K333&lt;&gt;""),"Both LOI and measured carbon given — the measured value is used. ","")&amp;IF(AND($N333&lt;&gt;"",$N333=0),"Slice lies entirely below the reporting depth — it counts to the full-core stock only. ",""))</f>
        <v/>
      </c>
      <c r="R333" s="1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3" t="str">
        <f aca="false">IF(OR($D334="",$E334=""),"",$E334-$D334)</f>
        <v/>
      </c>
      <c r="G334" s="13"/>
      <c r="H334" s="13"/>
      <c r="I334" s="15"/>
      <c r="J334" s="15"/>
      <c r="K334" s="15"/>
      <c r="L334" s="14" t="str">
        <f aca="false">IF($K334&lt;&gt;"",$K334,IF($J334&lt;&gt;"",$J334*CARBON_FRACTION_OM,""))</f>
        <v/>
      </c>
      <c r="M334" s="14" t="n">
        <f aca="false">IF($H334="Fine earth / fine-earth volume",1-IF($G334="",0,$G334)/100,1)</f>
        <v>1</v>
      </c>
      <c r="N334" s="14" t="str">
        <f aca="false">IF(OR($D334="",$E334=""),"",MAX(0,MIN($E334,REPORTING_DEPTH_CM)-MIN($D334,REPORTING_DEPTH_CM)))</f>
        <v/>
      </c>
      <c r="O334" s="14" t="str">
        <f aca="false">IF(OR($I334="",$L334="",$N334=""),"",$I334*($L334/100)*$N334*$M334*10)</f>
        <v/>
      </c>
      <c r="P334" s="14" t="str">
        <f aca="false">IF(OR($I334="",$L334="",$F334=""),"",$I334*($L334/100)*$F334*$M334*10)</f>
        <v/>
      </c>
      <c r="Q334" s="14" t="str">
        <f aca="false">IF(AND($A334="",$B334="",$D334=""),"",IF(AND($B334&lt;&gt;"",COUNTIF('2. Core Log'!$A$5:$A$124,$B334)=0),"Core ID not in Core Log. ","")&amp;IF(AND($A334&lt;&gt;"",COUNTIF('1. Plot &amp; Site Log'!$A$5:$A$64,$A334)=0),"Plot ID not in Plot &amp; Site Log. ","")&amp;IF(AND($D334&lt;&gt;"",$E334&lt;&gt;"",$E334&lt;=$D334),"Bottom depth is not below top depth. ","")&amp;IF($H334="","Say which bulk-density basis the lab reported, or the coarse-fragment correction cannot be applied safely. ","")&amp;IF(AND($I334&lt;&gt;"",OR($I334&lt;QC_BD_MIN,$I334&gt;QC_BD_MAX)),"Bulk density outside "&amp;QC_BD_MIN&amp;"–"&amp;QC_BD_MAX&amp;" g/cm³. ","")&amp;IF(AND($L334&lt;&gt;"",$L334&gt;QC_CARBON_PCT_MAX),"Carbon above "&amp;QC_CARBON_PCT_MAX&amp;"% — check units; this may be organic matter rather than carbon. ","")&amp;IF(AND($J334&lt;&gt;"",$K334&lt;&gt;""),"Both LOI and measured carbon given — the measured value is used. ","")&amp;IF(AND($N334&lt;&gt;"",$N334=0),"Slice lies entirely below the reporting depth — it counts to the full-core stock only. ",""))</f>
        <v/>
      </c>
      <c r="R334" s="13"/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3" t="str">
        <f aca="false">IF(OR($D335="",$E335=""),"",$E335-$D335)</f>
        <v/>
      </c>
      <c r="G335" s="13"/>
      <c r="H335" s="13"/>
      <c r="I335" s="15"/>
      <c r="J335" s="15"/>
      <c r="K335" s="15"/>
      <c r="L335" s="14" t="str">
        <f aca="false">IF($K335&lt;&gt;"",$K335,IF($J335&lt;&gt;"",$J335*CARBON_FRACTION_OM,""))</f>
        <v/>
      </c>
      <c r="M335" s="14" t="n">
        <f aca="false">IF($H335="Fine earth / fine-earth volume",1-IF($G335="",0,$G335)/100,1)</f>
        <v>1</v>
      </c>
      <c r="N335" s="14" t="str">
        <f aca="false">IF(OR($D335="",$E335=""),"",MAX(0,MIN($E335,REPORTING_DEPTH_CM)-MIN($D335,REPORTING_DEPTH_CM)))</f>
        <v/>
      </c>
      <c r="O335" s="14" t="str">
        <f aca="false">IF(OR($I335="",$L335="",$N335=""),"",$I335*($L335/100)*$N335*$M335*10)</f>
        <v/>
      </c>
      <c r="P335" s="14" t="str">
        <f aca="false">IF(OR($I335="",$L335="",$F335=""),"",$I335*($L335/100)*$F335*$M335*10)</f>
        <v/>
      </c>
      <c r="Q335" s="14" t="str">
        <f aca="false">IF(AND($A335="",$B335="",$D335=""),"",IF(AND($B335&lt;&gt;"",COUNTIF('2. Core Log'!$A$5:$A$124,$B335)=0),"Core ID not in Core Log. ","")&amp;IF(AND($A335&lt;&gt;"",COUNTIF('1. Plot &amp; Site Log'!$A$5:$A$64,$A335)=0),"Plot ID not in Plot &amp; Site Log. ","")&amp;IF(AND($D335&lt;&gt;"",$E335&lt;&gt;"",$E335&lt;=$D335),"Bottom depth is not below top depth. ","")&amp;IF($H335="","Say which bulk-density basis the lab reported, or the coarse-fragment correction cannot be applied safely. ","")&amp;IF(AND($I335&lt;&gt;"",OR($I335&lt;QC_BD_MIN,$I335&gt;QC_BD_MAX)),"Bulk density outside "&amp;QC_BD_MIN&amp;"–"&amp;QC_BD_MAX&amp;" g/cm³. ","")&amp;IF(AND($L335&lt;&gt;"",$L335&gt;QC_CARBON_PCT_MAX),"Carbon above "&amp;QC_CARBON_PCT_MAX&amp;"% — check units; this may be organic matter rather than carbon. ","")&amp;IF(AND($J335&lt;&gt;"",$K335&lt;&gt;""),"Both LOI and measured carbon given — the measured value is used. ","")&amp;IF(AND($N335&lt;&gt;"",$N335=0),"Slice lies entirely below the reporting depth — it counts to the full-core stock only. ",""))</f>
        <v/>
      </c>
      <c r="R335" s="1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3" t="str">
        <f aca="false">IF(OR($D336="",$E336=""),"",$E336-$D336)</f>
        <v/>
      </c>
      <c r="G336" s="13"/>
      <c r="H336" s="13"/>
      <c r="I336" s="15"/>
      <c r="J336" s="15"/>
      <c r="K336" s="15"/>
      <c r="L336" s="14" t="str">
        <f aca="false">IF($K336&lt;&gt;"",$K336,IF($J336&lt;&gt;"",$J336*CARBON_FRACTION_OM,""))</f>
        <v/>
      </c>
      <c r="M336" s="14" t="n">
        <f aca="false">IF($H336="Fine earth / fine-earth volume",1-IF($G336="",0,$G336)/100,1)</f>
        <v>1</v>
      </c>
      <c r="N336" s="14" t="str">
        <f aca="false">IF(OR($D336="",$E336=""),"",MAX(0,MIN($E336,REPORTING_DEPTH_CM)-MIN($D336,REPORTING_DEPTH_CM)))</f>
        <v/>
      </c>
      <c r="O336" s="14" t="str">
        <f aca="false">IF(OR($I336="",$L336="",$N336=""),"",$I336*($L336/100)*$N336*$M336*10)</f>
        <v/>
      </c>
      <c r="P336" s="14" t="str">
        <f aca="false">IF(OR($I336="",$L336="",$F336=""),"",$I336*($L336/100)*$F336*$M336*10)</f>
        <v/>
      </c>
      <c r="Q336" s="14" t="str">
        <f aca="false">IF(AND($A336="",$B336="",$D336=""),"",IF(AND($B336&lt;&gt;"",COUNTIF('2. Core Log'!$A$5:$A$124,$B336)=0),"Core ID not in Core Log. ","")&amp;IF(AND($A336&lt;&gt;"",COUNTIF('1. Plot &amp; Site Log'!$A$5:$A$64,$A336)=0),"Plot ID not in Plot &amp; Site Log. ","")&amp;IF(AND($D336&lt;&gt;"",$E336&lt;&gt;"",$E336&lt;=$D336),"Bottom depth is not below top depth. ","")&amp;IF($H336="","Say which bulk-density basis the lab reported, or the coarse-fragment correction cannot be applied safely. ","")&amp;IF(AND($I336&lt;&gt;"",OR($I336&lt;QC_BD_MIN,$I336&gt;QC_BD_MAX)),"Bulk density outside "&amp;QC_BD_MIN&amp;"–"&amp;QC_BD_MAX&amp;" g/cm³. ","")&amp;IF(AND($L336&lt;&gt;"",$L336&gt;QC_CARBON_PCT_MAX),"Carbon above "&amp;QC_CARBON_PCT_MAX&amp;"% — check units; this may be organic matter rather than carbon. ","")&amp;IF(AND($J336&lt;&gt;"",$K336&lt;&gt;""),"Both LOI and measured carbon given — the measured value is used. ","")&amp;IF(AND($N336&lt;&gt;"",$N336=0),"Slice lies entirely below the reporting depth — it counts to the full-core stock only. ",""))</f>
        <v/>
      </c>
      <c r="R336" s="13"/>
    </row>
    <row r="337" customFormat="false" ht="15" hidden="false" customHeight="false" outlineLevel="0" collapsed="false">
      <c r="A337" s="13"/>
      <c r="B337" s="13"/>
      <c r="C337" s="13"/>
      <c r="D337" s="13"/>
      <c r="E337" s="13"/>
      <c r="F337" s="13" t="str">
        <f aca="false">IF(OR($D337="",$E337=""),"",$E337-$D337)</f>
        <v/>
      </c>
      <c r="G337" s="13"/>
      <c r="H337" s="13"/>
      <c r="I337" s="15"/>
      <c r="J337" s="15"/>
      <c r="K337" s="15"/>
      <c r="L337" s="14" t="str">
        <f aca="false">IF($K337&lt;&gt;"",$K337,IF($J337&lt;&gt;"",$J337*CARBON_FRACTION_OM,""))</f>
        <v/>
      </c>
      <c r="M337" s="14" t="n">
        <f aca="false">IF($H337="Fine earth / fine-earth volume",1-IF($G337="",0,$G337)/100,1)</f>
        <v>1</v>
      </c>
      <c r="N337" s="14" t="str">
        <f aca="false">IF(OR($D337="",$E337=""),"",MAX(0,MIN($E337,REPORTING_DEPTH_CM)-MIN($D337,REPORTING_DEPTH_CM)))</f>
        <v/>
      </c>
      <c r="O337" s="14" t="str">
        <f aca="false">IF(OR($I337="",$L337="",$N337=""),"",$I337*($L337/100)*$N337*$M337*10)</f>
        <v/>
      </c>
      <c r="P337" s="14" t="str">
        <f aca="false">IF(OR($I337="",$L337="",$F337=""),"",$I337*($L337/100)*$F337*$M337*10)</f>
        <v/>
      </c>
      <c r="Q337" s="14" t="str">
        <f aca="false">IF(AND($A337="",$B337="",$D337=""),"",IF(AND($B337&lt;&gt;"",COUNTIF('2. Core Log'!$A$5:$A$124,$B337)=0),"Core ID not in Core Log. ","")&amp;IF(AND($A337&lt;&gt;"",COUNTIF('1. Plot &amp; Site Log'!$A$5:$A$64,$A337)=0),"Plot ID not in Plot &amp; Site Log. ","")&amp;IF(AND($D337&lt;&gt;"",$E337&lt;&gt;"",$E337&lt;=$D337),"Bottom depth is not below top depth. ","")&amp;IF($H337="","Say which bulk-density basis the lab reported, or the coarse-fragment correction cannot be applied safely. ","")&amp;IF(AND($I337&lt;&gt;"",OR($I337&lt;QC_BD_MIN,$I337&gt;QC_BD_MAX)),"Bulk density outside "&amp;QC_BD_MIN&amp;"–"&amp;QC_BD_MAX&amp;" g/cm³. ","")&amp;IF(AND($L337&lt;&gt;"",$L337&gt;QC_CARBON_PCT_MAX),"Carbon above "&amp;QC_CARBON_PCT_MAX&amp;"% — check units; this may be organic matter rather than carbon. ","")&amp;IF(AND($J337&lt;&gt;"",$K337&lt;&gt;""),"Both LOI and measured carbon given — the measured value is used. ","")&amp;IF(AND($N337&lt;&gt;"",$N337=0),"Slice lies entirely below the reporting depth — it counts to the full-core stock only. ",""))</f>
        <v/>
      </c>
      <c r="R337" s="1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3" t="str">
        <f aca="false">IF(OR($D338="",$E338=""),"",$E338-$D338)</f>
        <v/>
      </c>
      <c r="G338" s="13"/>
      <c r="H338" s="13"/>
      <c r="I338" s="15"/>
      <c r="J338" s="15"/>
      <c r="K338" s="15"/>
      <c r="L338" s="14" t="str">
        <f aca="false">IF($K338&lt;&gt;"",$K338,IF($J338&lt;&gt;"",$J338*CARBON_FRACTION_OM,""))</f>
        <v/>
      </c>
      <c r="M338" s="14" t="n">
        <f aca="false">IF($H338="Fine earth / fine-earth volume",1-IF($G338="",0,$G338)/100,1)</f>
        <v>1</v>
      </c>
      <c r="N338" s="14" t="str">
        <f aca="false">IF(OR($D338="",$E338=""),"",MAX(0,MIN($E338,REPORTING_DEPTH_CM)-MIN($D338,REPORTING_DEPTH_CM)))</f>
        <v/>
      </c>
      <c r="O338" s="14" t="str">
        <f aca="false">IF(OR($I338="",$L338="",$N338=""),"",$I338*($L338/100)*$N338*$M338*10)</f>
        <v/>
      </c>
      <c r="P338" s="14" t="str">
        <f aca="false">IF(OR($I338="",$L338="",$F338=""),"",$I338*($L338/100)*$F338*$M338*10)</f>
        <v/>
      </c>
      <c r="Q338" s="14" t="str">
        <f aca="false">IF(AND($A338="",$B338="",$D338=""),"",IF(AND($B338&lt;&gt;"",COUNTIF('2. Core Log'!$A$5:$A$124,$B338)=0),"Core ID not in Core Log. ","")&amp;IF(AND($A338&lt;&gt;"",COUNTIF('1. Plot &amp; Site Log'!$A$5:$A$64,$A338)=0),"Plot ID not in Plot &amp; Site Log. ","")&amp;IF(AND($D338&lt;&gt;"",$E338&lt;&gt;"",$E338&lt;=$D338),"Bottom depth is not below top depth. ","")&amp;IF($H338="","Say which bulk-density basis the lab reported, or the coarse-fragment correction cannot be applied safely. ","")&amp;IF(AND($I338&lt;&gt;"",OR($I338&lt;QC_BD_MIN,$I338&gt;QC_BD_MAX)),"Bulk density outside "&amp;QC_BD_MIN&amp;"–"&amp;QC_BD_MAX&amp;" g/cm³. ","")&amp;IF(AND($L338&lt;&gt;"",$L338&gt;QC_CARBON_PCT_MAX),"Carbon above "&amp;QC_CARBON_PCT_MAX&amp;"% — check units; this may be organic matter rather than carbon. ","")&amp;IF(AND($J338&lt;&gt;"",$K338&lt;&gt;""),"Both LOI and measured carbon given — the measured value is used. ","")&amp;IF(AND($N338&lt;&gt;"",$N338=0),"Slice lies entirely below the reporting depth — it counts to the full-core stock only. ",""))</f>
        <v/>
      </c>
      <c r="R338" s="13"/>
    </row>
    <row r="339" customFormat="false" ht="15" hidden="false" customHeight="false" outlineLevel="0" collapsed="false">
      <c r="A339" s="13"/>
      <c r="B339" s="13"/>
      <c r="C339" s="13"/>
      <c r="D339" s="13"/>
      <c r="E339" s="13"/>
      <c r="F339" s="13" t="str">
        <f aca="false">IF(OR($D339="",$E339=""),"",$E339-$D339)</f>
        <v/>
      </c>
      <c r="G339" s="13"/>
      <c r="H339" s="13"/>
      <c r="I339" s="15"/>
      <c r="J339" s="15"/>
      <c r="K339" s="15"/>
      <c r="L339" s="14" t="str">
        <f aca="false">IF($K339&lt;&gt;"",$K339,IF($J339&lt;&gt;"",$J339*CARBON_FRACTION_OM,""))</f>
        <v/>
      </c>
      <c r="M339" s="14" t="n">
        <f aca="false">IF($H339="Fine earth / fine-earth volume",1-IF($G339="",0,$G339)/100,1)</f>
        <v>1</v>
      </c>
      <c r="N339" s="14" t="str">
        <f aca="false">IF(OR($D339="",$E339=""),"",MAX(0,MIN($E339,REPORTING_DEPTH_CM)-MIN($D339,REPORTING_DEPTH_CM)))</f>
        <v/>
      </c>
      <c r="O339" s="14" t="str">
        <f aca="false">IF(OR($I339="",$L339="",$N339=""),"",$I339*($L339/100)*$N339*$M339*10)</f>
        <v/>
      </c>
      <c r="P339" s="14" t="str">
        <f aca="false">IF(OR($I339="",$L339="",$F339=""),"",$I339*($L339/100)*$F339*$M339*10)</f>
        <v/>
      </c>
      <c r="Q339" s="14" t="str">
        <f aca="false">IF(AND($A339="",$B339="",$D339=""),"",IF(AND($B339&lt;&gt;"",COUNTIF('2. Core Log'!$A$5:$A$124,$B339)=0),"Core ID not in Core Log. ","")&amp;IF(AND($A339&lt;&gt;"",COUNTIF('1. Plot &amp; Site Log'!$A$5:$A$64,$A339)=0),"Plot ID not in Plot &amp; Site Log. ","")&amp;IF(AND($D339&lt;&gt;"",$E339&lt;&gt;"",$E339&lt;=$D339),"Bottom depth is not below top depth. ","")&amp;IF($H339="","Say which bulk-density basis the lab reported, or the coarse-fragment correction cannot be applied safely. ","")&amp;IF(AND($I339&lt;&gt;"",OR($I339&lt;QC_BD_MIN,$I339&gt;QC_BD_MAX)),"Bulk density outside "&amp;QC_BD_MIN&amp;"–"&amp;QC_BD_MAX&amp;" g/cm³. ","")&amp;IF(AND($L339&lt;&gt;"",$L339&gt;QC_CARBON_PCT_MAX),"Carbon above "&amp;QC_CARBON_PCT_MAX&amp;"% — check units; this may be organic matter rather than carbon. ","")&amp;IF(AND($J339&lt;&gt;"",$K339&lt;&gt;""),"Both LOI and measured carbon given — the measured value is used. ","")&amp;IF(AND($N339&lt;&gt;"",$N339=0),"Slice lies entirely below the reporting depth — it counts to the full-core stock only. ",""))</f>
        <v/>
      </c>
      <c r="R339" s="1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3" t="str">
        <f aca="false">IF(OR($D340="",$E340=""),"",$E340-$D340)</f>
        <v/>
      </c>
      <c r="G340" s="13"/>
      <c r="H340" s="13"/>
      <c r="I340" s="15"/>
      <c r="J340" s="15"/>
      <c r="K340" s="15"/>
      <c r="L340" s="14" t="str">
        <f aca="false">IF($K340&lt;&gt;"",$K340,IF($J340&lt;&gt;"",$J340*CARBON_FRACTION_OM,""))</f>
        <v/>
      </c>
      <c r="M340" s="14" t="n">
        <f aca="false">IF($H340="Fine earth / fine-earth volume",1-IF($G340="",0,$G340)/100,1)</f>
        <v>1</v>
      </c>
      <c r="N340" s="14" t="str">
        <f aca="false">IF(OR($D340="",$E340=""),"",MAX(0,MIN($E340,REPORTING_DEPTH_CM)-MIN($D340,REPORTING_DEPTH_CM)))</f>
        <v/>
      </c>
      <c r="O340" s="14" t="str">
        <f aca="false">IF(OR($I340="",$L340="",$N340=""),"",$I340*($L340/100)*$N340*$M340*10)</f>
        <v/>
      </c>
      <c r="P340" s="14" t="str">
        <f aca="false">IF(OR($I340="",$L340="",$F340=""),"",$I340*($L340/100)*$F340*$M340*10)</f>
        <v/>
      </c>
      <c r="Q340" s="14" t="str">
        <f aca="false">IF(AND($A340="",$B340="",$D340=""),"",IF(AND($B340&lt;&gt;"",COUNTIF('2. Core Log'!$A$5:$A$124,$B340)=0),"Core ID not in Core Log. ","")&amp;IF(AND($A340&lt;&gt;"",COUNTIF('1. Plot &amp; Site Log'!$A$5:$A$64,$A340)=0),"Plot ID not in Plot &amp; Site Log. ","")&amp;IF(AND($D340&lt;&gt;"",$E340&lt;&gt;"",$E340&lt;=$D340),"Bottom depth is not below top depth. ","")&amp;IF($H340="","Say which bulk-density basis the lab reported, or the coarse-fragment correction cannot be applied safely. ","")&amp;IF(AND($I340&lt;&gt;"",OR($I340&lt;QC_BD_MIN,$I340&gt;QC_BD_MAX)),"Bulk density outside "&amp;QC_BD_MIN&amp;"–"&amp;QC_BD_MAX&amp;" g/cm³. ","")&amp;IF(AND($L340&lt;&gt;"",$L340&gt;QC_CARBON_PCT_MAX),"Carbon above "&amp;QC_CARBON_PCT_MAX&amp;"% — check units; this may be organic matter rather than carbon. ","")&amp;IF(AND($J340&lt;&gt;"",$K340&lt;&gt;""),"Both LOI and measured carbon given — the measured value is used. ","")&amp;IF(AND($N340&lt;&gt;"",$N340=0),"Slice lies entirely below the reporting depth — it counts to the full-core stock only. ",""))</f>
        <v/>
      </c>
      <c r="R340" s="13"/>
    </row>
    <row r="341" customFormat="false" ht="15" hidden="false" customHeight="false" outlineLevel="0" collapsed="false">
      <c r="A341" s="13"/>
      <c r="B341" s="13"/>
      <c r="C341" s="13"/>
      <c r="D341" s="13"/>
      <c r="E341" s="13"/>
      <c r="F341" s="13" t="str">
        <f aca="false">IF(OR($D341="",$E341=""),"",$E341-$D341)</f>
        <v/>
      </c>
      <c r="G341" s="13"/>
      <c r="H341" s="13"/>
      <c r="I341" s="15"/>
      <c r="J341" s="15"/>
      <c r="K341" s="15"/>
      <c r="L341" s="14" t="str">
        <f aca="false">IF($K341&lt;&gt;"",$K341,IF($J341&lt;&gt;"",$J341*CARBON_FRACTION_OM,""))</f>
        <v/>
      </c>
      <c r="M341" s="14" t="n">
        <f aca="false">IF($H341="Fine earth / fine-earth volume",1-IF($G341="",0,$G341)/100,1)</f>
        <v>1</v>
      </c>
      <c r="N341" s="14" t="str">
        <f aca="false">IF(OR($D341="",$E341=""),"",MAX(0,MIN($E341,REPORTING_DEPTH_CM)-MIN($D341,REPORTING_DEPTH_CM)))</f>
        <v/>
      </c>
      <c r="O341" s="14" t="str">
        <f aca="false">IF(OR($I341="",$L341="",$N341=""),"",$I341*($L341/100)*$N341*$M341*10)</f>
        <v/>
      </c>
      <c r="P341" s="14" t="str">
        <f aca="false">IF(OR($I341="",$L341="",$F341=""),"",$I341*($L341/100)*$F341*$M341*10)</f>
        <v/>
      </c>
      <c r="Q341" s="14" t="str">
        <f aca="false">IF(AND($A341="",$B341="",$D341=""),"",IF(AND($B341&lt;&gt;"",COUNTIF('2. Core Log'!$A$5:$A$124,$B341)=0),"Core ID not in Core Log. ","")&amp;IF(AND($A341&lt;&gt;"",COUNTIF('1. Plot &amp; Site Log'!$A$5:$A$64,$A341)=0),"Plot ID not in Plot &amp; Site Log. ","")&amp;IF(AND($D341&lt;&gt;"",$E341&lt;&gt;"",$E341&lt;=$D341),"Bottom depth is not below top depth. ","")&amp;IF($H341="","Say which bulk-density basis the lab reported, or the coarse-fragment correction cannot be applied safely. ","")&amp;IF(AND($I341&lt;&gt;"",OR($I341&lt;QC_BD_MIN,$I341&gt;QC_BD_MAX)),"Bulk density outside "&amp;QC_BD_MIN&amp;"–"&amp;QC_BD_MAX&amp;" g/cm³. ","")&amp;IF(AND($L341&lt;&gt;"",$L341&gt;QC_CARBON_PCT_MAX),"Carbon above "&amp;QC_CARBON_PCT_MAX&amp;"% — check units; this may be organic matter rather than carbon. ","")&amp;IF(AND($J341&lt;&gt;"",$K341&lt;&gt;""),"Both LOI and measured carbon given — the measured value is used. ","")&amp;IF(AND($N341&lt;&gt;"",$N341=0),"Slice lies entirely below the reporting depth — it counts to the full-core stock only. ",""))</f>
        <v/>
      </c>
      <c r="R341" s="1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3" t="str">
        <f aca="false">IF(OR($D342="",$E342=""),"",$E342-$D342)</f>
        <v/>
      </c>
      <c r="G342" s="13"/>
      <c r="H342" s="13"/>
      <c r="I342" s="15"/>
      <c r="J342" s="15"/>
      <c r="K342" s="15"/>
      <c r="L342" s="14" t="str">
        <f aca="false">IF($K342&lt;&gt;"",$K342,IF($J342&lt;&gt;"",$J342*CARBON_FRACTION_OM,""))</f>
        <v/>
      </c>
      <c r="M342" s="14" t="n">
        <f aca="false">IF($H342="Fine earth / fine-earth volume",1-IF($G342="",0,$G342)/100,1)</f>
        <v>1</v>
      </c>
      <c r="N342" s="14" t="str">
        <f aca="false">IF(OR($D342="",$E342=""),"",MAX(0,MIN($E342,REPORTING_DEPTH_CM)-MIN($D342,REPORTING_DEPTH_CM)))</f>
        <v/>
      </c>
      <c r="O342" s="14" t="str">
        <f aca="false">IF(OR($I342="",$L342="",$N342=""),"",$I342*($L342/100)*$N342*$M342*10)</f>
        <v/>
      </c>
      <c r="P342" s="14" t="str">
        <f aca="false">IF(OR($I342="",$L342="",$F342=""),"",$I342*($L342/100)*$F342*$M342*10)</f>
        <v/>
      </c>
      <c r="Q342" s="14" t="str">
        <f aca="false">IF(AND($A342="",$B342="",$D342=""),"",IF(AND($B342&lt;&gt;"",COUNTIF('2. Core Log'!$A$5:$A$124,$B342)=0),"Core ID not in Core Log. ","")&amp;IF(AND($A342&lt;&gt;"",COUNTIF('1. Plot &amp; Site Log'!$A$5:$A$64,$A342)=0),"Plot ID not in Plot &amp; Site Log. ","")&amp;IF(AND($D342&lt;&gt;"",$E342&lt;&gt;"",$E342&lt;=$D342),"Bottom depth is not below top depth. ","")&amp;IF($H342="","Say which bulk-density basis the lab reported, or the coarse-fragment correction cannot be applied safely. ","")&amp;IF(AND($I342&lt;&gt;"",OR($I342&lt;QC_BD_MIN,$I342&gt;QC_BD_MAX)),"Bulk density outside "&amp;QC_BD_MIN&amp;"–"&amp;QC_BD_MAX&amp;" g/cm³. ","")&amp;IF(AND($L342&lt;&gt;"",$L342&gt;QC_CARBON_PCT_MAX),"Carbon above "&amp;QC_CARBON_PCT_MAX&amp;"% — check units; this may be organic matter rather than carbon. ","")&amp;IF(AND($J342&lt;&gt;"",$K342&lt;&gt;""),"Both LOI and measured carbon given — the measured value is used. ","")&amp;IF(AND($N342&lt;&gt;"",$N342=0),"Slice lies entirely below the reporting depth — it counts to the full-core stock only. ",""))</f>
        <v/>
      </c>
      <c r="R342" s="13"/>
    </row>
    <row r="343" customFormat="false" ht="15" hidden="false" customHeight="false" outlineLevel="0" collapsed="false">
      <c r="A343" s="13"/>
      <c r="B343" s="13"/>
      <c r="C343" s="13"/>
      <c r="D343" s="13"/>
      <c r="E343" s="13"/>
      <c r="F343" s="13" t="str">
        <f aca="false">IF(OR($D343="",$E343=""),"",$E343-$D343)</f>
        <v/>
      </c>
      <c r="G343" s="13"/>
      <c r="H343" s="13"/>
      <c r="I343" s="15"/>
      <c r="J343" s="15"/>
      <c r="K343" s="15"/>
      <c r="L343" s="14" t="str">
        <f aca="false">IF($K343&lt;&gt;"",$K343,IF($J343&lt;&gt;"",$J343*CARBON_FRACTION_OM,""))</f>
        <v/>
      </c>
      <c r="M343" s="14" t="n">
        <f aca="false">IF($H343="Fine earth / fine-earth volume",1-IF($G343="",0,$G343)/100,1)</f>
        <v>1</v>
      </c>
      <c r="N343" s="14" t="str">
        <f aca="false">IF(OR($D343="",$E343=""),"",MAX(0,MIN($E343,REPORTING_DEPTH_CM)-MIN($D343,REPORTING_DEPTH_CM)))</f>
        <v/>
      </c>
      <c r="O343" s="14" t="str">
        <f aca="false">IF(OR($I343="",$L343="",$N343=""),"",$I343*($L343/100)*$N343*$M343*10)</f>
        <v/>
      </c>
      <c r="P343" s="14" t="str">
        <f aca="false">IF(OR($I343="",$L343="",$F343=""),"",$I343*($L343/100)*$F343*$M343*10)</f>
        <v/>
      </c>
      <c r="Q343" s="14" t="str">
        <f aca="false">IF(AND($A343="",$B343="",$D343=""),"",IF(AND($B343&lt;&gt;"",COUNTIF('2. Core Log'!$A$5:$A$124,$B343)=0),"Core ID not in Core Log. ","")&amp;IF(AND($A343&lt;&gt;"",COUNTIF('1. Plot &amp; Site Log'!$A$5:$A$64,$A343)=0),"Plot ID not in Plot &amp; Site Log. ","")&amp;IF(AND($D343&lt;&gt;"",$E343&lt;&gt;"",$E343&lt;=$D343),"Bottom depth is not below top depth. ","")&amp;IF($H343="","Say which bulk-density basis the lab reported, or the coarse-fragment correction cannot be applied safely. ","")&amp;IF(AND($I343&lt;&gt;"",OR($I343&lt;QC_BD_MIN,$I343&gt;QC_BD_MAX)),"Bulk density outside "&amp;QC_BD_MIN&amp;"–"&amp;QC_BD_MAX&amp;" g/cm³. ","")&amp;IF(AND($L343&lt;&gt;"",$L343&gt;QC_CARBON_PCT_MAX),"Carbon above "&amp;QC_CARBON_PCT_MAX&amp;"% — check units; this may be organic matter rather than carbon. ","")&amp;IF(AND($J343&lt;&gt;"",$K343&lt;&gt;""),"Both LOI and measured carbon given — the measured value is used. ","")&amp;IF(AND($N343&lt;&gt;"",$N343=0),"Slice lies entirely below the reporting depth — it counts to the full-core stock only. ",""))</f>
        <v/>
      </c>
      <c r="R343" s="1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3" t="str">
        <f aca="false">IF(OR($D344="",$E344=""),"",$E344-$D344)</f>
        <v/>
      </c>
      <c r="G344" s="13"/>
      <c r="H344" s="13"/>
      <c r="I344" s="15"/>
      <c r="J344" s="15"/>
      <c r="K344" s="15"/>
      <c r="L344" s="14" t="str">
        <f aca="false">IF($K344&lt;&gt;"",$K344,IF($J344&lt;&gt;"",$J344*CARBON_FRACTION_OM,""))</f>
        <v/>
      </c>
      <c r="M344" s="14" t="n">
        <f aca="false">IF($H344="Fine earth / fine-earth volume",1-IF($G344="",0,$G344)/100,1)</f>
        <v>1</v>
      </c>
      <c r="N344" s="14" t="str">
        <f aca="false">IF(OR($D344="",$E344=""),"",MAX(0,MIN($E344,REPORTING_DEPTH_CM)-MIN($D344,REPORTING_DEPTH_CM)))</f>
        <v/>
      </c>
      <c r="O344" s="14" t="str">
        <f aca="false">IF(OR($I344="",$L344="",$N344=""),"",$I344*($L344/100)*$N344*$M344*10)</f>
        <v/>
      </c>
      <c r="P344" s="14" t="str">
        <f aca="false">IF(OR($I344="",$L344="",$F344=""),"",$I344*($L344/100)*$F344*$M344*10)</f>
        <v/>
      </c>
      <c r="Q344" s="14" t="str">
        <f aca="false">IF(AND($A344="",$B344="",$D344=""),"",IF(AND($B344&lt;&gt;"",COUNTIF('2. Core Log'!$A$5:$A$124,$B344)=0),"Core ID not in Core Log. ","")&amp;IF(AND($A344&lt;&gt;"",COUNTIF('1. Plot &amp; Site Log'!$A$5:$A$64,$A344)=0),"Plot ID not in Plot &amp; Site Log. ","")&amp;IF(AND($D344&lt;&gt;"",$E344&lt;&gt;"",$E344&lt;=$D344),"Bottom depth is not below top depth. ","")&amp;IF($H344="","Say which bulk-density basis the lab reported, or the coarse-fragment correction cannot be applied safely. ","")&amp;IF(AND($I344&lt;&gt;"",OR($I344&lt;QC_BD_MIN,$I344&gt;QC_BD_MAX)),"Bulk density outside "&amp;QC_BD_MIN&amp;"–"&amp;QC_BD_MAX&amp;" g/cm³. ","")&amp;IF(AND($L344&lt;&gt;"",$L344&gt;QC_CARBON_PCT_MAX),"Carbon above "&amp;QC_CARBON_PCT_MAX&amp;"% — check units; this may be organic matter rather than carbon. ","")&amp;IF(AND($J344&lt;&gt;"",$K344&lt;&gt;""),"Both LOI and measured carbon given — the measured value is used. ","")&amp;IF(AND($N344&lt;&gt;"",$N344=0),"Slice lies entirely below the reporting depth — it counts to the full-core stock only. ",""))</f>
        <v/>
      </c>
      <c r="R344" s="13"/>
    </row>
    <row r="345" customFormat="false" ht="15" hidden="false" customHeight="false" outlineLevel="0" collapsed="false">
      <c r="A345" s="13"/>
      <c r="B345" s="13"/>
      <c r="C345" s="13"/>
      <c r="D345" s="13"/>
      <c r="E345" s="13"/>
      <c r="F345" s="13" t="str">
        <f aca="false">IF(OR($D345="",$E345=""),"",$E345-$D345)</f>
        <v/>
      </c>
      <c r="G345" s="13"/>
      <c r="H345" s="13"/>
      <c r="I345" s="15"/>
      <c r="J345" s="15"/>
      <c r="K345" s="15"/>
      <c r="L345" s="14" t="str">
        <f aca="false">IF($K345&lt;&gt;"",$K345,IF($J345&lt;&gt;"",$J345*CARBON_FRACTION_OM,""))</f>
        <v/>
      </c>
      <c r="M345" s="14" t="n">
        <f aca="false">IF($H345="Fine earth / fine-earth volume",1-IF($G345="",0,$G345)/100,1)</f>
        <v>1</v>
      </c>
      <c r="N345" s="14" t="str">
        <f aca="false">IF(OR($D345="",$E345=""),"",MAX(0,MIN($E345,REPORTING_DEPTH_CM)-MIN($D345,REPORTING_DEPTH_CM)))</f>
        <v/>
      </c>
      <c r="O345" s="14" t="str">
        <f aca="false">IF(OR($I345="",$L345="",$N345=""),"",$I345*($L345/100)*$N345*$M345*10)</f>
        <v/>
      </c>
      <c r="P345" s="14" t="str">
        <f aca="false">IF(OR($I345="",$L345="",$F345=""),"",$I345*($L345/100)*$F345*$M345*10)</f>
        <v/>
      </c>
      <c r="Q345" s="14" t="str">
        <f aca="false">IF(AND($A345="",$B345="",$D345=""),"",IF(AND($B345&lt;&gt;"",COUNTIF('2. Core Log'!$A$5:$A$124,$B345)=0),"Core ID not in Core Log. ","")&amp;IF(AND($A345&lt;&gt;"",COUNTIF('1. Plot &amp; Site Log'!$A$5:$A$64,$A345)=0),"Plot ID not in Plot &amp; Site Log. ","")&amp;IF(AND($D345&lt;&gt;"",$E345&lt;&gt;"",$E345&lt;=$D345),"Bottom depth is not below top depth. ","")&amp;IF($H345="","Say which bulk-density basis the lab reported, or the coarse-fragment correction cannot be applied safely. ","")&amp;IF(AND($I345&lt;&gt;"",OR($I345&lt;QC_BD_MIN,$I345&gt;QC_BD_MAX)),"Bulk density outside "&amp;QC_BD_MIN&amp;"–"&amp;QC_BD_MAX&amp;" g/cm³. ","")&amp;IF(AND($L345&lt;&gt;"",$L345&gt;QC_CARBON_PCT_MAX),"Carbon above "&amp;QC_CARBON_PCT_MAX&amp;"% — check units; this may be organic matter rather than carbon. ","")&amp;IF(AND($J345&lt;&gt;"",$K345&lt;&gt;""),"Both LOI and measured carbon given — the measured value is used. ","")&amp;IF(AND($N345&lt;&gt;"",$N345=0),"Slice lies entirely below the reporting depth — it counts to the full-core stock only. ",""))</f>
        <v/>
      </c>
      <c r="R345" s="1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3" t="str">
        <f aca="false">IF(OR($D346="",$E346=""),"",$E346-$D346)</f>
        <v/>
      </c>
      <c r="G346" s="13"/>
      <c r="H346" s="13"/>
      <c r="I346" s="15"/>
      <c r="J346" s="15"/>
      <c r="K346" s="15"/>
      <c r="L346" s="14" t="str">
        <f aca="false">IF($K346&lt;&gt;"",$K346,IF($J346&lt;&gt;"",$J346*CARBON_FRACTION_OM,""))</f>
        <v/>
      </c>
      <c r="M346" s="14" t="n">
        <f aca="false">IF($H346="Fine earth / fine-earth volume",1-IF($G346="",0,$G346)/100,1)</f>
        <v>1</v>
      </c>
      <c r="N346" s="14" t="str">
        <f aca="false">IF(OR($D346="",$E346=""),"",MAX(0,MIN($E346,REPORTING_DEPTH_CM)-MIN($D346,REPORTING_DEPTH_CM)))</f>
        <v/>
      </c>
      <c r="O346" s="14" t="str">
        <f aca="false">IF(OR($I346="",$L346="",$N346=""),"",$I346*($L346/100)*$N346*$M346*10)</f>
        <v/>
      </c>
      <c r="P346" s="14" t="str">
        <f aca="false">IF(OR($I346="",$L346="",$F346=""),"",$I346*($L346/100)*$F346*$M346*10)</f>
        <v/>
      </c>
      <c r="Q346" s="14" t="str">
        <f aca="false">IF(AND($A346="",$B346="",$D346=""),"",IF(AND($B346&lt;&gt;"",COUNTIF('2. Core Log'!$A$5:$A$124,$B346)=0),"Core ID not in Core Log. ","")&amp;IF(AND($A346&lt;&gt;"",COUNTIF('1. Plot &amp; Site Log'!$A$5:$A$64,$A346)=0),"Plot ID not in Plot &amp; Site Log. ","")&amp;IF(AND($D346&lt;&gt;"",$E346&lt;&gt;"",$E346&lt;=$D346),"Bottom depth is not below top depth. ","")&amp;IF($H346="","Say which bulk-density basis the lab reported, or the coarse-fragment correction cannot be applied safely. ","")&amp;IF(AND($I346&lt;&gt;"",OR($I346&lt;QC_BD_MIN,$I346&gt;QC_BD_MAX)),"Bulk density outside "&amp;QC_BD_MIN&amp;"–"&amp;QC_BD_MAX&amp;" g/cm³. ","")&amp;IF(AND($L346&lt;&gt;"",$L346&gt;QC_CARBON_PCT_MAX),"Carbon above "&amp;QC_CARBON_PCT_MAX&amp;"% — check units; this may be organic matter rather than carbon. ","")&amp;IF(AND($J346&lt;&gt;"",$K346&lt;&gt;""),"Both LOI and measured carbon given — the measured value is used. ","")&amp;IF(AND($N346&lt;&gt;"",$N346=0),"Slice lies entirely below the reporting depth — it counts to the full-core stock only. ",""))</f>
        <v/>
      </c>
      <c r="R346" s="13"/>
    </row>
    <row r="347" customFormat="false" ht="15" hidden="false" customHeight="false" outlineLevel="0" collapsed="false">
      <c r="A347" s="13"/>
      <c r="B347" s="13"/>
      <c r="C347" s="13"/>
      <c r="D347" s="13"/>
      <c r="E347" s="13"/>
      <c r="F347" s="13" t="str">
        <f aca="false">IF(OR($D347="",$E347=""),"",$E347-$D347)</f>
        <v/>
      </c>
      <c r="G347" s="13"/>
      <c r="H347" s="13"/>
      <c r="I347" s="15"/>
      <c r="J347" s="15"/>
      <c r="K347" s="15"/>
      <c r="L347" s="14" t="str">
        <f aca="false">IF($K347&lt;&gt;"",$K347,IF($J347&lt;&gt;"",$J347*CARBON_FRACTION_OM,""))</f>
        <v/>
      </c>
      <c r="M347" s="14" t="n">
        <f aca="false">IF($H347="Fine earth / fine-earth volume",1-IF($G347="",0,$G347)/100,1)</f>
        <v>1</v>
      </c>
      <c r="N347" s="14" t="str">
        <f aca="false">IF(OR($D347="",$E347=""),"",MAX(0,MIN($E347,REPORTING_DEPTH_CM)-MIN($D347,REPORTING_DEPTH_CM)))</f>
        <v/>
      </c>
      <c r="O347" s="14" t="str">
        <f aca="false">IF(OR($I347="",$L347="",$N347=""),"",$I347*($L347/100)*$N347*$M347*10)</f>
        <v/>
      </c>
      <c r="P347" s="14" t="str">
        <f aca="false">IF(OR($I347="",$L347="",$F347=""),"",$I347*($L347/100)*$F347*$M347*10)</f>
        <v/>
      </c>
      <c r="Q347" s="14" t="str">
        <f aca="false">IF(AND($A347="",$B347="",$D347=""),"",IF(AND($B347&lt;&gt;"",COUNTIF('2. Core Log'!$A$5:$A$124,$B347)=0),"Core ID not in Core Log. ","")&amp;IF(AND($A347&lt;&gt;"",COUNTIF('1. Plot &amp; Site Log'!$A$5:$A$64,$A347)=0),"Plot ID not in Plot &amp; Site Log. ","")&amp;IF(AND($D347&lt;&gt;"",$E347&lt;&gt;"",$E347&lt;=$D347),"Bottom depth is not below top depth. ","")&amp;IF($H347="","Say which bulk-density basis the lab reported, or the coarse-fragment correction cannot be applied safely. ","")&amp;IF(AND($I347&lt;&gt;"",OR($I347&lt;QC_BD_MIN,$I347&gt;QC_BD_MAX)),"Bulk density outside "&amp;QC_BD_MIN&amp;"–"&amp;QC_BD_MAX&amp;" g/cm³. ","")&amp;IF(AND($L347&lt;&gt;"",$L347&gt;QC_CARBON_PCT_MAX),"Carbon above "&amp;QC_CARBON_PCT_MAX&amp;"% — check units; this may be organic matter rather than carbon. ","")&amp;IF(AND($J347&lt;&gt;"",$K347&lt;&gt;""),"Both LOI and measured carbon given — the measured value is used. ","")&amp;IF(AND($N347&lt;&gt;"",$N347=0),"Slice lies entirely below the reporting depth — it counts to the full-core stock only. ",""))</f>
        <v/>
      </c>
      <c r="R347" s="1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3" t="str">
        <f aca="false">IF(OR($D348="",$E348=""),"",$E348-$D348)</f>
        <v/>
      </c>
      <c r="G348" s="13"/>
      <c r="H348" s="13"/>
      <c r="I348" s="15"/>
      <c r="J348" s="15"/>
      <c r="K348" s="15"/>
      <c r="L348" s="14" t="str">
        <f aca="false">IF($K348&lt;&gt;"",$K348,IF($J348&lt;&gt;"",$J348*CARBON_FRACTION_OM,""))</f>
        <v/>
      </c>
      <c r="M348" s="14" t="n">
        <f aca="false">IF($H348="Fine earth / fine-earth volume",1-IF($G348="",0,$G348)/100,1)</f>
        <v>1</v>
      </c>
      <c r="N348" s="14" t="str">
        <f aca="false">IF(OR($D348="",$E348=""),"",MAX(0,MIN($E348,REPORTING_DEPTH_CM)-MIN($D348,REPORTING_DEPTH_CM)))</f>
        <v/>
      </c>
      <c r="O348" s="14" t="str">
        <f aca="false">IF(OR($I348="",$L348="",$N348=""),"",$I348*($L348/100)*$N348*$M348*10)</f>
        <v/>
      </c>
      <c r="P348" s="14" t="str">
        <f aca="false">IF(OR($I348="",$L348="",$F348=""),"",$I348*($L348/100)*$F348*$M348*10)</f>
        <v/>
      </c>
      <c r="Q348" s="14" t="str">
        <f aca="false">IF(AND($A348="",$B348="",$D348=""),"",IF(AND($B348&lt;&gt;"",COUNTIF('2. Core Log'!$A$5:$A$124,$B348)=0),"Core ID not in Core Log. ","")&amp;IF(AND($A348&lt;&gt;"",COUNTIF('1. Plot &amp; Site Log'!$A$5:$A$64,$A348)=0),"Plot ID not in Plot &amp; Site Log. ","")&amp;IF(AND($D348&lt;&gt;"",$E348&lt;&gt;"",$E348&lt;=$D348),"Bottom depth is not below top depth. ","")&amp;IF($H348="","Say which bulk-density basis the lab reported, or the coarse-fragment correction cannot be applied safely. ","")&amp;IF(AND($I348&lt;&gt;"",OR($I348&lt;QC_BD_MIN,$I348&gt;QC_BD_MAX)),"Bulk density outside "&amp;QC_BD_MIN&amp;"–"&amp;QC_BD_MAX&amp;" g/cm³. ","")&amp;IF(AND($L348&lt;&gt;"",$L348&gt;QC_CARBON_PCT_MAX),"Carbon above "&amp;QC_CARBON_PCT_MAX&amp;"% — check units; this may be organic matter rather than carbon. ","")&amp;IF(AND($J348&lt;&gt;"",$K348&lt;&gt;""),"Both LOI and measured carbon given — the measured value is used. ","")&amp;IF(AND($N348&lt;&gt;"",$N348=0),"Slice lies entirely below the reporting depth — it counts to the full-core stock only. ",""))</f>
        <v/>
      </c>
      <c r="R348" s="13"/>
    </row>
    <row r="349" customFormat="false" ht="15" hidden="false" customHeight="false" outlineLevel="0" collapsed="false">
      <c r="A349" s="13"/>
      <c r="B349" s="13"/>
      <c r="C349" s="13"/>
      <c r="D349" s="13"/>
      <c r="E349" s="13"/>
      <c r="F349" s="13" t="str">
        <f aca="false">IF(OR($D349="",$E349=""),"",$E349-$D349)</f>
        <v/>
      </c>
      <c r="G349" s="13"/>
      <c r="H349" s="13"/>
      <c r="I349" s="15"/>
      <c r="J349" s="15"/>
      <c r="K349" s="15"/>
      <c r="L349" s="14" t="str">
        <f aca="false">IF($K349&lt;&gt;"",$K349,IF($J349&lt;&gt;"",$J349*CARBON_FRACTION_OM,""))</f>
        <v/>
      </c>
      <c r="M349" s="14" t="n">
        <f aca="false">IF($H349="Fine earth / fine-earth volume",1-IF($G349="",0,$G349)/100,1)</f>
        <v>1</v>
      </c>
      <c r="N349" s="14" t="str">
        <f aca="false">IF(OR($D349="",$E349=""),"",MAX(0,MIN($E349,REPORTING_DEPTH_CM)-MIN($D349,REPORTING_DEPTH_CM)))</f>
        <v/>
      </c>
      <c r="O349" s="14" t="str">
        <f aca="false">IF(OR($I349="",$L349="",$N349=""),"",$I349*($L349/100)*$N349*$M349*10)</f>
        <v/>
      </c>
      <c r="P349" s="14" t="str">
        <f aca="false">IF(OR($I349="",$L349="",$F349=""),"",$I349*($L349/100)*$F349*$M349*10)</f>
        <v/>
      </c>
      <c r="Q349" s="14" t="str">
        <f aca="false">IF(AND($A349="",$B349="",$D349=""),"",IF(AND($B349&lt;&gt;"",COUNTIF('2. Core Log'!$A$5:$A$124,$B349)=0),"Core ID not in Core Log. ","")&amp;IF(AND($A349&lt;&gt;"",COUNTIF('1. Plot &amp; Site Log'!$A$5:$A$64,$A349)=0),"Plot ID not in Plot &amp; Site Log. ","")&amp;IF(AND($D349&lt;&gt;"",$E349&lt;&gt;"",$E349&lt;=$D349),"Bottom depth is not below top depth. ","")&amp;IF($H349="","Say which bulk-density basis the lab reported, or the coarse-fragment correction cannot be applied safely. ","")&amp;IF(AND($I349&lt;&gt;"",OR($I349&lt;QC_BD_MIN,$I349&gt;QC_BD_MAX)),"Bulk density outside "&amp;QC_BD_MIN&amp;"–"&amp;QC_BD_MAX&amp;" g/cm³. ","")&amp;IF(AND($L349&lt;&gt;"",$L349&gt;QC_CARBON_PCT_MAX),"Carbon above "&amp;QC_CARBON_PCT_MAX&amp;"% — check units; this may be organic matter rather than carbon. ","")&amp;IF(AND($J349&lt;&gt;"",$K349&lt;&gt;""),"Both LOI and measured carbon given — the measured value is used. ","")&amp;IF(AND($N349&lt;&gt;"",$N349=0),"Slice lies entirely below the reporting depth — it counts to the full-core stock only. ",""))</f>
        <v/>
      </c>
      <c r="R349" s="1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3" t="str">
        <f aca="false">IF(OR($D350="",$E350=""),"",$E350-$D350)</f>
        <v/>
      </c>
      <c r="G350" s="13"/>
      <c r="H350" s="13"/>
      <c r="I350" s="15"/>
      <c r="J350" s="15"/>
      <c r="K350" s="15"/>
      <c r="L350" s="14" t="str">
        <f aca="false">IF($K350&lt;&gt;"",$K350,IF($J350&lt;&gt;"",$J350*CARBON_FRACTION_OM,""))</f>
        <v/>
      </c>
      <c r="M350" s="14" t="n">
        <f aca="false">IF($H350="Fine earth / fine-earth volume",1-IF($G350="",0,$G350)/100,1)</f>
        <v>1</v>
      </c>
      <c r="N350" s="14" t="str">
        <f aca="false">IF(OR($D350="",$E350=""),"",MAX(0,MIN($E350,REPORTING_DEPTH_CM)-MIN($D350,REPORTING_DEPTH_CM)))</f>
        <v/>
      </c>
      <c r="O350" s="14" t="str">
        <f aca="false">IF(OR($I350="",$L350="",$N350=""),"",$I350*($L350/100)*$N350*$M350*10)</f>
        <v/>
      </c>
      <c r="P350" s="14" t="str">
        <f aca="false">IF(OR($I350="",$L350="",$F350=""),"",$I350*($L350/100)*$F350*$M350*10)</f>
        <v/>
      </c>
      <c r="Q350" s="14" t="str">
        <f aca="false">IF(AND($A350="",$B350="",$D350=""),"",IF(AND($B350&lt;&gt;"",COUNTIF('2. Core Log'!$A$5:$A$124,$B350)=0),"Core ID not in Core Log. ","")&amp;IF(AND($A350&lt;&gt;"",COUNTIF('1. Plot &amp; Site Log'!$A$5:$A$64,$A350)=0),"Plot ID not in Plot &amp; Site Log. ","")&amp;IF(AND($D350&lt;&gt;"",$E350&lt;&gt;"",$E350&lt;=$D350),"Bottom depth is not below top depth. ","")&amp;IF($H350="","Say which bulk-density basis the lab reported, or the coarse-fragment correction cannot be applied safely. ","")&amp;IF(AND($I350&lt;&gt;"",OR($I350&lt;QC_BD_MIN,$I350&gt;QC_BD_MAX)),"Bulk density outside "&amp;QC_BD_MIN&amp;"–"&amp;QC_BD_MAX&amp;" g/cm³. ","")&amp;IF(AND($L350&lt;&gt;"",$L350&gt;QC_CARBON_PCT_MAX),"Carbon above "&amp;QC_CARBON_PCT_MAX&amp;"% — check units; this may be organic matter rather than carbon. ","")&amp;IF(AND($J350&lt;&gt;"",$K350&lt;&gt;""),"Both LOI and measured carbon given — the measured value is used. ","")&amp;IF(AND($N350&lt;&gt;"",$N350=0),"Slice lies entirely below the reporting depth — it counts to the full-core stock only. ",""))</f>
        <v/>
      </c>
      <c r="R350" s="13"/>
    </row>
    <row r="351" customFormat="false" ht="15" hidden="false" customHeight="false" outlineLevel="0" collapsed="false">
      <c r="A351" s="13"/>
      <c r="B351" s="13"/>
      <c r="C351" s="13"/>
      <c r="D351" s="13"/>
      <c r="E351" s="13"/>
      <c r="F351" s="13" t="str">
        <f aca="false">IF(OR($D351="",$E351=""),"",$E351-$D351)</f>
        <v/>
      </c>
      <c r="G351" s="13"/>
      <c r="H351" s="13"/>
      <c r="I351" s="15"/>
      <c r="J351" s="15"/>
      <c r="K351" s="15"/>
      <c r="L351" s="14" t="str">
        <f aca="false">IF($K351&lt;&gt;"",$K351,IF($J351&lt;&gt;"",$J351*CARBON_FRACTION_OM,""))</f>
        <v/>
      </c>
      <c r="M351" s="14" t="n">
        <f aca="false">IF($H351="Fine earth / fine-earth volume",1-IF($G351="",0,$G351)/100,1)</f>
        <v>1</v>
      </c>
      <c r="N351" s="14" t="str">
        <f aca="false">IF(OR($D351="",$E351=""),"",MAX(0,MIN($E351,REPORTING_DEPTH_CM)-MIN($D351,REPORTING_DEPTH_CM)))</f>
        <v/>
      </c>
      <c r="O351" s="14" t="str">
        <f aca="false">IF(OR($I351="",$L351="",$N351=""),"",$I351*($L351/100)*$N351*$M351*10)</f>
        <v/>
      </c>
      <c r="P351" s="14" t="str">
        <f aca="false">IF(OR($I351="",$L351="",$F351=""),"",$I351*($L351/100)*$F351*$M351*10)</f>
        <v/>
      </c>
      <c r="Q351" s="14" t="str">
        <f aca="false">IF(AND($A351="",$B351="",$D351=""),"",IF(AND($B351&lt;&gt;"",COUNTIF('2. Core Log'!$A$5:$A$124,$B351)=0),"Core ID not in Core Log. ","")&amp;IF(AND($A351&lt;&gt;"",COUNTIF('1. Plot &amp; Site Log'!$A$5:$A$64,$A351)=0),"Plot ID not in Plot &amp; Site Log. ","")&amp;IF(AND($D351&lt;&gt;"",$E351&lt;&gt;"",$E351&lt;=$D351),"Bottom depth is not below top depth. ","")&amp;IF($H351="","Say which bulk-density basis the lab reported, or the coarse-fragment correction cannot be applied safely. ","")&amp;IF(AND($I351&lt;&gt;"",OR($I351&lt;QC_BD_MIN,$I351&gt;QC_BD_MAX)),"Bulk density outside "&amp;QC_BD_MIN&amp;"–"&amp;QC_BD_MAX&amp;" g/cm³. ","")&amp;IF(AND($L351&lt;&gt;"",$L351&gt;QC_CARBON_PCT_MAX),"Carbon above "&amp;QC_CARBON_PCT_MAX&amp;"% — check units; this may be organic matter rather than carbon. ","")&amp;IF(AND($J351&lt;&gt;"",$K351&lt;&gt;""),"Both LOI and measured carbon given — the measured value is used. ","")&amp;IF(AND($N351&lt;&gt;"",$N351=0),"Slice lies entirely below the reporting depth — it counts to the full-core stock only. ",""))</f>
        <v/>
      </c>
      <c r="R351" s="1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3" t="str">
        <f aca="false">IF(OR($D352="",$E352=""),"",$E352-$D352)</f>
        <v/>
      </c>
      <c r="G352" s="13"/>
      <c r="H352" s="13"/>
      <c r="I352" s="15"/>
      <c r="J352" s="15"/>
      <c r="K352" s="15"/>
      <c r="L352" s="14" t="str">
        <f aca="false">IF($K352&lt;&gt;"",$K352,IF($J352&lt;&gt;"",$J352*CARBON_FRACTION_OM,""))</f>
        <v/>
      </c>
      <c r="M352" s="14" t="n">
        <f aca="false">IF($H352="Fine earth / fine-earth volume",1-IF($G352="",0,$G352)/100,1)</f>
        <v>1</v>
      </c>
      <c r="N352" s="14" t="str">
        <f aca="false">IF(OR($D352="",$E352=""),"",MAX(0,MIN($E352,REPORTING_DEPTH_CM)-MIN($D352,REPORTING_DEPTH_CM)))</f>
        <v/>
      </c>
      <c r="O352" s="14" t="str">
        <f aca="false">IF(OR($I352="",$L352="",$N352=""),"",$I352*($L352/100)*$N352*$M352*10)</f>
        <v/>
      </c>
      <c r="P352" s="14" t="str">
        <f aca="false">IF(OR($I352="",$L352="",$F352=""),"",$I352*($L352/100)*$F352*$M352*10)</f>
        <v/>
      </c>
      <c r="Q352" s="14" t="str">
        <f aca="false">IF(AND($A352="",$B352="",$D352=""),"",IF(AND($B352&lt;&gt;"",COUNTIF('2. Core Log'!$A$5:$A$124,$B352)=0),"Core ID not in Core Log. ","")&amp;IF(AND($A352&lt;&gt;"",COUNTIF('1. Plot &amp; Site Log'!$A$5:$A$64,$A352)=0),"Plot ID not in Plot &amp; Site Log. ","")&amp;IF(AND($D352&lt;&gt;"",$E352&lt;&gt;"",$E352&lt;=$D352),"Bottom depth is not below top depth. ","")&amp;IF($H352="","Say which bulk-density basis the lab reported, or the coarse-fragment correction cannot be applied safely. ","")&amp;IF(AND($I352&lt;&gt;"",OR($I352&lt;QC_BD_MIN,$I352&gt;QC_BD_MAX)),"Bulk density outside "&amp;QC_BD_MIN&amp;"–"&amp;QC_BD_MAX&amp;" g/cm³. ","")&amp;IF(AND($L352&lt;&gt;"",$L352&gt;QC_CARBON_PCT_MAX),"Carbon above "&amp;QC_CARBON_PCT_MAX&amp;"% — check units; this may be organic matter rather than carbon. ","")&amp;IF(AND($J352&lt;&gt;"",$K352&lt;&gt;""),"Both LOI and measured carbon given — the measured value is used. ","")&amp;IF(AND($N352&lt;&gt;"",$N352=0),"Slice lies entirely below the reporting depth — it counts to the full-core stock only. ",""))</f>
        <v/>
      </c>
      <c r="R352" s="13"/>
    </row>
    <row r="353" customFormat="false" ht="15" hidden="false" customHeight="false" outlineLevel="0" collapsed="false">
      <c r="A353" s="13"/>
      <c r="B353" s="13"/>
      <c r="C353" s="13"/>
      <c r="D353" s="13"/>
      <c r="E353" s="13"/>
      <c r="F353" s="13" t="str">
        <f aca="false">IF(OR($D353="",$E353=""),"",$E353-$D353)</f>
        <v/>
      </c>
      <c r="G353" s="13"/>
      <c r="H353" s="13"/>
      <c r="I353" s="15"/>
      <c r="J353" s="15"/>
      <c r="K353" s="15"/>
      <c r="L353" s="14" t="str">
        <f aca="false">IF($K353&lt;&gt;"",$K353,IF($J353&lt;&gt;"",$J353*CARBON_FRACTION_OM,""))</f>
        <v/>
      </c>
      <c r="M353" s="14" t="n">
        <f aca="false">IF($H353="Fine earth / fine-earth volume",1-IF($G353="",0,$G353)/100,1)</f>
        <v>1</v>
      </c>
      <c r="N353" s="14" t="str">
        <f aca="false">IF(OR($D353="",$E353=""),"",MAX(0,MIN($E353,REPORTING_DEPTH_CM)-MIN($D353,REPORTING_DEPTH_CM)))</f>
        <v/>
      </c>
      <c r="O353" s="14" t="str">
        <f aca="false">IF(OR($I353="",$L353="",$N353=""),"",$I353*($L353/100)*$N353*$M353*10)</f>
        <v/>
      </c>
      <c r="P353" s="14" t="str">
        <f aca="false">IF(OR($I353="",$L353="",$F353=""),"",$I353*($L353/100)*$F353*$M353*10)</f>
        <v/>
      </c>
      <c r="Q353" s="14" t="str">
        <f aca="false">IF(AND($A353="",$B353="",$D353=""),"",IF(AND($B353&lt;&gt;"",COUNTIF('2. Core Log'!$A$5:$A$124,$B353)=0),"Core ID not in Core Log. ","")&amp;IF(AND($A353&lt;&gt;"",COUNTIF('1. Plot &amp; Site Log'!$A$5:$A$64,$A353)=0),"Plot ID not in Plot &amp; Site Log. ","")&amp;IF(AND($D353&lt;&gt;"",$E353&lt;&gt;"",$E353&lt;=$D353),"Bottom depth is not below top depth. ","")&amp;IF($H353="","Say which bulk-density basis the lab reported, or the coarse-fragment correction cannot be applied safely. ","")&amp;IF(AND($I353&lt;&gt;"",OR($I353&lt;QC_BD_MIN,$I353&gt;QC_BD_MAX)),"Bulk density outside "&amp;QC_BD_MIN&amp;"–"&amp;QC_BD_MAX&amp;" g/cm³. ","")&amp;IF(AND($L353&lt;&gt;"",$L353&gt;QC_CARBON_PCT_MAX),"Carbon above "&amp;QC_CARBON_PCT_MAX&amp;"% — check units; this may be organic matter rather than carbon. ","")&amp;IF(AND($J353&lt;&gt;"",$K353&lt;&gt;""),"Both LOI and measured carbon given — the measured value is used. ","")&amp;IF(AND($N353&lt;&gt;"",$N353=0),"Slice lies entirely below the reporting depth — it counts to the full-core stock only. ",""))</f>
        <v/>
      </c>
      <c r="R353" s="1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3" t="str">
        <f aca="false">IF(OR($D354="",$E354=""),"",$E354-$D354)</f>
        <v/>
      </c>
      <c r="G354" s="13"/>
      <c r="H354" s="13"/>
      <c r="I354" s="15"/>
      <c r="J354" s="15"/>
      <c r="K354" s="15"/>
      <c r="L354" s="14" t="str">
        <f aca="false">IF($K354&lt;&gt;"",$K354,IF($J354&lt;&gt;"",$J354*CARBON_FRACTION_OM,""))</f>
        <v/>
      </c>
      <c r="M354" s="14" t="n">
        <f aca="false">IF($H354="Fine earth / fine-earth volume",1-IF($G354="",0,$G354)/100,1)</f>
        <v>1</v>
      </c>
      <c r="N354" s="14" t="str">
        <f aca="false">IF(OR($D354="",$E354=""),"",MAX(0,MIN($E354,REPORTING_DEPTH_CM)-MIN($D354,REPORTING_DEPTH_CM)))</f>
        <v/>
      </c>
      <c r="O354" s="14" t="str">
        <f aca="false">IF(OR($I354="",$L354="",$N354=""),"",$I354*($L354/100)*$N354*$M354*10)</f>
        <v/>
      </c>
      <c r="P354" s="14" t="str">
        <f aca="false">IF(OR($I354="",$L354="",$F354=""),"",$I354*($L354/100)*$F354*$M354*10)</f>
        <v/>
      </c>
      <c r="Q354" s="14" t="str">
        <f aca="false">IF(AND($A354="",$B354="",$D354=""),"",IF(AND($B354&lt;&gt;"",COUNTIF('2. Core Log'!$A$5:$A$124,$B354)=0),"Core ID not in Core Log. ","")&amp;IF(AND($A354&lt;&gt;"",COUNTIF('1. Plot &amp; Site Log'!$A$5:$A$64,$A354)=0),"Plot ID not in Plot &amp; Site Log. ","")&amp;IF(AND($D354&lt;&gt;"",$E354&lt;&gt;"",$E354&lt;=$D354),"Bottom depth is not below top depth. ","")&amp;IF($H354="","Say which bulk-density basis the lab reported, or the coarse-fragment correction cannot be applied safely. ","")&amp;IF(AND($I354&lt;&gt;"",OR($I354&lt;QC_BD_MIN,$I354&gt;QC_BD_MAX)),"Bulk density outside "&amp;QC_BD_MIN&amp;"–"&amp;QC_BD_MAX&amp;" g/cm³. ","")&amp;IF(AND($L354&lt;&gt;"",$L354&gt;QC_CARBON_PCT_MAX),"Carbon above "&amp;QC_CARBON_PCT_MAX&amp;"% — check units; this may be organic matter rather than carbon. ","")&amp;IF(AND($J354&lt;&gt;"",$K354&lt;&gt;""),"Both LOI and measured carbon given — the measured value is used. ","")&amp;IF(AND($N354&lt;&gt;"",$N354=0),"Slice lies entirely below the reporting depth — it counts to the full-core stock only. ",""))</f>
        <v/>
      </c>
      <c r="R354" s="13"/>
    </row>
    <row r="355" customFormat="false" ht="15" hidden="false" customHeight="false" outlineLevel="0" collapsed="false">
      <c r="A355" s="13"/>
      <c r="B355" s="13"/>
      <c r="C355" s="13"/>
      <c r="D355" s="13"/>
      <c r="E355" s="13"/>
      <c r="F355" s="13" t="str">
        <f aca="false">IF(OR($D355="",$E355=""),"",$E355-$D355)</f>
        <v/>
      </c>
      <c r="G355" s="13"/>
      <c r="H355" s="13"/>
      <c r="I355" s="15"/>
      <c r="J355" s="15"/>
      <c r="K355" s="15"/>
      <c r="L355" s="14" t="str">
        <f aca="false">IF($K355&lt;&gt;"",$K355,IF($J355&lt;&gt;"",$J355*CARBON_FRACTION_OM,""))</f>
        <v/>
      </c>
      <c r="M355" s="14" t="n">
        <f aca="false">IF($H355="Fine earth / fine-earth volume",1-IF($G355="",0,$G355)/100,1)</f>
        <v>1</v>
      </c>
      <c r="N355" s="14" t="str">
        <f aca="false">IF(OR($D355="",$E355=""),"",MAX(0,MIN($E355,REPORTING_DEPTH_CM)-MIN($D355,REPORTING_DEPTH_CM)))</f>
        <v/>
      </c>
      <c r="O355" s="14" t="str">
        <f aca="false">IF(OR($I355="",$L355="",$N355=""),"",$I355*($L355/100)*$N355*$M355*10)</f>
        <v/>
      </c>
      <c r="P355" s="14" t="str">
        <f aca="false">IF(OR($I355="",$L355="",$F355=""),"",$I355*($L355/100)*$F355*$M355*10)</f>
        <v/>
      </c>
      <c r="Q355" s="14" t="str">
        <f aca="false">IF(AND($A355="",$B355="",$D355=""),"",IF(AND($B355&lt;&gt;"",COUNTIF('2. Core Log'!$A$5:$A$124,$B355)=0),"Core ID not in Core Log. ","")&amp;IF(AND($A355&lt;&gt;"",COUNTIF('1. Plot &amp; Site Log'!$A$5:$A$64,$A355)=0),"Plot ID not in Plot &amp; Site Log. ","")&amp;IF(AND($D355&lt;&gt;"",$E355&lt;&gt;"",$E355&lt;=$D355),"Bottom depth is not below top depth. ","")&amp;IF($H355="","Say which bulk-density basis the lab reported, or the coarse-fragment correction cannot be applied safely. ","")&amp;IF(AND($I355&lt;&gt;"",OR($I355&lt;QC_BD_MIN,$I355&gt;QC_BD_MAX)),"Bulk density outside "&amp;QC_BD_MIN&amp;"–"&amp;QC_BD_MAX&amp;" g/cm³. ","")&amp;IF(AND($L355&lt;&gt;"",$L355&gt;QC_CARBON_PCT_MAX),"Carbon above "&amp;QC_CARBON_PCT_MAX&amp;"% — check units; this may be organic matter rather than carbon. ","")&amp;IF(AND($J355&lt;&gt;"",$K355&lt;&gt;""),"Both LOI and measured carbon given — the measured value is used. ","")&amp;IF(AND($N355&lt;&gt;"",$N355=0),"Slice lies entirely below the reporting depth — it counts to the full-core stock only. ",""))</f>
        <v/>
      </c>
      <c r="R355" s="1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3" t="str">
        <f aca="false">IF(OR($D356="",$E356=""),"",$E356-$D356)</f>
        <v/>
      </c>
      <c r="G356" s="13"/>
      <c r="H356" s="13"/>
      <c r="I356" s="15"/>
      <c r="J356" s="15"/>
      <c r="K356" s="15"/>
      <c r="L356" s="14" t="str">
        <f aca="false">IF($K356&lt;&gt;"",$K356,IF($J356&lt;&gt;"",$J356*CARBON_FRACTION_OM,""))</f>
        <v/>
      </c>
      <c r="M356" s="14" t="n">
        <f aca="false">IF($H356="Fine earth / fine-earth volume",1-IF($G356="",0,$G356)/100,1)</f>
        <v>1</v>
      </c>
      <c r="N356" s="14" t="str">
        <f aca="false">IF(OR($D356="",$E356=""),"",MAX(0,MIN($E356,REPORTING_DEPTH_CM)-MIN($D356,REPORTING_DEPTH_CM)))</f>
        <v/>
      </c>
      <c r="O356" s="14" t="str">
        <f aca="false">IF(OR($I356="",$L356="",$N356=""),"",$I356*($L356/100)*$N356*$M356*10)</f>
        <v/>
      </c>
      <c r="P356" s="14" t="str">
        <f aca="false">IF(OR($I356="",$L356="",$F356=""),"",$I356*($L356/100)*$F356*$M356*10)</f>
        <v/>
      </c>
      <c r="Q356" s="14" t="str">
        <f aca="false">IF(AND($A356="",$B356="",$D356=""),"",IF(AND($B356&lt;&gt;"",COUNTIF('2. Core Log'!$A$5:$A$124,$B356)=0),"Core ID not in Core Log. ","")&amp;IF(AND($A356&lt;&gt;"",COUNTIF('1. Plot &amp; Site Log'!$A$5:$A$64,$A356)=0),"Plot ID not in Plot &amp; Site Log. ","")&amp;IF(AND($D356&lt;&gt;"",$E356&lt;&gt;"",$E356&lt;=$D356),"Bottom depth is not below top depth. ","")&amp;IF($H356="","Say which bulk-density basis the lab reported, or the coarse-fragment correction cannot be applied safely. ","")&amp;IF(AND($I356&lt;&gt;"",OR($I356&lt;QC_BD_MIN,$I356&gt;QC_BD_MAX)),"Bulk density outside "&amp;QC_BD_MIN&amp;"–"&amp;QC_BD_MAX&amp;" g/cm³. ","")&amp;IF(AND($L356&lt;&gt;"",$L356&gt;QC_CARBON_PCT_MAX),"Carbon above "&amp;QC_CARBON_PCT_MAX&amp;"% — check units; this may be organic matter rather than carbon. ","")&amp;IF(AND($J356&lt;&gt;"",$K356&lt;&gt;""),"Both LOI and measured carbon given — the measured value is used. ","")&amp;IF(AND($N356&lt;&gt;"",$N356=0),"Slice lies entirely below the reporting depth — it counts to the full-core stock only. ",""))</f>
        <v/>
      </c>
      <c r="R356" s="13"/>
    </row>
    <row r="357" customFormat="false" ht="15" hidden="false" customHeight="false" outlineLevel="0" collapsed="false">
      <c r="A357" s="13"/>
      <c r="B357" s="13"/>
      <c r="C357" s="13"/>
      <c r="D357" s="13"/>
      <c r="E357" s="13"/>
      <c r="F357" s="13" t="str">
        <f aca="false">IF(OR($D357="",$E357=""),"",$E357-$D357)</f>
        <v/>
      </c>
      <c r="G357" s="13"/>
      <c r="H357" s="13"/>
      <c r="I357" s="15"/>
      <c r="J357" s="15"/>
      <c r="K357" s="15"/>
      <c r="L357" s="14" t="str">
        <f aca="false">IF($K357&lt;&gt;"",$K357,IF($J357&lt;&gt;"",$J357*CARBON_FRACTION_OM,""))</f>
        <v/>
      </c>
      <c r="M357" s="14" t="n">
        <f aca="false">IF($H357="Fine earth / fine-earth volume",1-IF($G357="",0,$G357)/100,1)</f>
        <v>1</v>
      </c>
      <c r="N357" s="14" t="str">
        <f aca="false">IF(OR($D357="",$E357=""),"",MAX(0,MIN($E357,REPORTING_DEPTH_CM)-MIN($D357,REPORTING_DEPTH_CM)))</f>
        <v/>
      </c>
      <c r="O357" s="14" t="str">
        <f aca="false">IF(OR($I357="",$L357="",$N357=""),"",$I357*($L357/100)*$N357*$M357*10)</f>
        <v/>
      </c>
      <c r="P357" s="14" t="str">
        <f aca="false">IF(OR($I357="",$L357="",$F357=""),"",$I357*($L357/100)*$F357*$M357*10)</f>
        <v/>
      </c>
      <c r="Q357" s="14" t="str">
        <f aca="false">IF(AND($A357="",$B357="",$D357=""),"",IF(AND($B357&lt;&gt;"",COUNTIF('2. Core Log'!$A$5:$A$124,$B357)=0),"Core ID not in Core Log. ","")&amp;IF(AND($A357&lt;&gt;"",COUNTIF('1. Plot &amp; Site Log'!$A$5:$A$64,$A357)=0),"Plot ID not in Plot &amp; Site Log. ","")&amp;IF(AND($D357&lt;&gt;"",$E357&lt;&gt;"",$E357&lt;=$D357),"Bottom depth is not below top depth. ","")&amp;IF($H357="","Say which bulk-density basis the lab reported, or the coarse-fragment correction cannot be applied safely. ","")&amp;IF(AND($I357&lt;&gt;"",OR($I357&lt;QC_BD_MIN,$I357&gt;QC_BD_MAX)),"Bulk density outside "&amp;QC_BD_MIN&amp;"–"&amp;QC_BD_MAX&amp;" g/cm³. ","")&amp;IF(AND($L357&lt;&gt;"",$L357&gt;QC_CARBON_PCT_MAX),"Carbon above "&amp;QC_CARBON_PCT_MAX&amp;"% — check units; this may be organic matter rather than carbon. ","")&amp;IF(AND($J357&lt;&gt;"",$K357&lt;&gt;""),"Both LOI and measured carbon given — the measured value is used. ","")&amp;IF(AND($N357&lt;&gt;"",$N357=0),"Slice lies entirely below the reporting depth — it counts to the full-core stock only. ",""))</f>
        <v/>
      </c>
      <c r="R357" s="1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3" t="str">
        <f aca="false">IF(OR($D358="",$E358=""),"",$E358-$D358)</f>
        <v/>
      </c>
      <c r="G358" s="13"/>
      <c r="H358" s="13"/>
      <c r="I358" s="15"/>
      <c r="J358" s="15"/>
      <c r="K358" s="15"/>
      <c r="L358" s="14" t="str">
        <f aca="false">IF($K358&lt;&gt;"",$K358,IF($J358&lt;&gt;"",$J358*CARBON_FRACTION_OM,""))</f>
        <v/>
      </c>
      <c r="M358" s="14" t="n">
        <f aca="false">IF($H358="Fine earth / fine-earth volume",1-IF($G358="",0,$G358)/100,1)</f>
        <v>1</v>
      </c>
      <c r="N358" s="14" t="str">
        <f aca="false">IF(OR($D358="",$E358=""),"",MAX(0,MIN($E358,REPORTING_DEPTH_CM)-MIN($D358,REPORTING_DEPTH_CM)))</f>
        <v/>
      </c>
      <c r="O358" s="14" t="str">
        <f aca="false">IF(OR($I358="",$L358="",$N358=""),"",$I358*($L358/100)*$N358*$M358*10)</f>
        <v/>
      </c>
      <c r="P358" s="14" t="str">
        <f aca="false">IF(OR($I358="",$L358="",$F358=""),"",$I358*($L358/100)*$F358*$M358*10)</f>
        <v/>
      </c>
      <c r="Q358" s="14" t="str">
        <f aca="false">IF(AND($A358="",$B358="",$D358=""),"",IF(AND($B358&lt;&gt;"",COUNTIF('2. Core Log'!$A$5:$A$124,$B358)=0),"Core ID not in Core Log. ","")&amp;IF(AND($A358&lt;&gt;"",COUNTIF('1. Plot &amp; Site Log'!$A$5:$A$64,$A358)=0),"Plot ID not in Plot &amp; Site Log. ","")&amp;IF(AND($D358&lt;&gt;"",$E358&lt;&gt;"",$E358&lt;=$D358),"Bottom depth is not below top depth. ","")&amp;IF($H358="","Say which bulk-density basis the lab reported, or the coarse-fragment correction cannot be applied safely. ","")&amp;IF(AND($I358&lt;&gt;"",OR($I358&lt;QC_BD_MIN,$I358&gt;QC_BD_MAX)),"Bulk density outside "&amp;QC_BD_MIN&amp;"–"&amp;QC_BD_MAX&amp;" g/cm³. ","")&amp;IF(AND($L358&lt;&gt;"",$L358&gt;QC_CARBON_PCT_MAX),"Carbon above "&amp;QC_CARBON_PCT_MAX&amp;"% — check units; this may be organic matter rather than carbon. ","")&amp;IF(AND($J358&lt;&gt;"",$K358&lt;&gt;""),"Both LOI and measured carbon given — the measured value is used. ","")&amp;IF(AND($N358&lt;&gt;"",$N358=0),"Slice lies entirely below the reporting depth — it counts to the full-core stock only. ",""))</f>
        <v/>
      </c>
      <c r="R358" s="13"/>
    </row>
    <row r="359" customFormat="false" ht="15" hidden="false" customHeight="false" outlineLevel="0" collapsed="false">
      <c r="A359" s="13"/>
      <c r="B359" s="13"/>
      <c r="C359" s="13"/>
      <c r="D359" s="13"/>
      <c r="E359" s="13"/>
      <c r="F359" s="13" t="str">
        <f aca="false">IF(OR($D359="",$E359=""),"",$E359-$D359)</f>
        <v/>
      </c>
      <c r="G359" s="13"/>
      <c r="H359" s="13"/>
      <c r="I359" s="15"/>
      <c r="J359" s="15"/>
      <c r="K359" s="15"/>
      <c r="L359" s="14" t="str">
        <f aca="false">IF($K359&lt;&gt;"",$K359,IF($J359&lt;&gt;"",$J359*CARBON_FRACTION_OM,""))</f>
        <v/>
      </c>
      <c r="M359" s="14" t="n">
        <f aca="false">IF($H359="Fine earth / fine-earth volume",1-IF($G359="",0,$G359)/100,1)</f>
        <v>1</v>
      </c>
      <c r="N359" s="14" t="str">
        <f aca="false">IF(OR($D359="",$E359=""),"",MAX(0,MIN($E359,REPORTING_DEPTH_CM)-MIN($D359,REPORTING_DEPTH_CM)))</f>
        <v/>
      </c>
      <c r="O359" s="14" t="str">
        <f aca="false">IF(OR($I359="",$L359="",$N359=""),"",$I359*($L359/100)*$N359*$M359*10)</f>
        <v/>
      </c>
      <c r="P359" s="14" t="str">
        <f aca="false">IF(OR($I359="",$L359="",$F359=""),"",$I359*($L359/100)*$F359*$M359*10)</f>
        <v/>
      </c>
      <c r="Q359" s="14" t="str">
        <f aca="false">IF(AND($A359="",$B359="",$D359=""),"",IF(AND($B359&lt;&gt;"",COUNTIF('2. Core Log'!$A$5:$A$124,$B359)=0),"Core ID not in Core Log. ","")&amp;IF(AND($A359&lt;&gt;"",COUNTIF('1. Plot &amp; Site Log'!$A$5:$A$64,$A359)=0),"Plot ID not in Plot &amp; Site Log. ","")&amp;IF(AND($D359&lt;&gt;"",$E359&lt;&gt;"",$E359&lt;=$D359),"Bottom depth is not below top depth. ","")&amp;IF($H359="","Say which bulk-density basis the lab reported, or the coarse-fragment correction cannot be applied safely. ","")&amp;IF(AND($I359&lt;&gt;"",OR($I359&lt;QC_BD_MIN,$I359&gt;QC_BD_MAX)),"Bulk density outside "&amp;QC_BD_MIN&amp;"–"&amp;QC_BD_MAX&amp;" g/cm³. ","")&amp;IF(AND($L359&lt;&gt;"",$L359&gt;QC_CARBON_PCT_MAX),"Carbon above "&amp;QC_CARBON_PCT_MAX&amp;"% — check units; this may be organic matter rather than carbon. ","")&amp;IF(AND($J359&lt;&gt;"",$K359&lt;&gt;""),"Both LOI and measured carbon given — the measured value is used. ","")&amp;IF(AND($N359&lt;&gt;"",$N359=0),"Slice lies entirely below the reporting depth — it counts to the full-core stock only. ",""))</f>
        <v/>
      </c>
      <c r="R359" s="1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3" t="str">
        <f aca="false">IF(OR($D360="",$E360=""),"",$E360-$D360)</f>
        <v/>
      </c>
      <c r="G360" s="13"/>
      <c r="H360" s="13"/>
      <c r="I360" s="15"/>
      <c r="J360" s="15"/>
      <c r="K360" s="15"/>
      <c r="L360" s="14" t="str">
        <f aca="false">IF($K360&lt;&gt;"",$K360,IF($J360&lt;&gt;"",$J360*CARBON_FRACTION_OM,""))</f>
        <v/>
      </c>
      <c r="M360" s="14" t="n">
        <f aca="false">IF($H360="Fine earth / fine-earth volume",1-IF($G360="",0,$G360)/100,1)</f>
        <v>1</v>
      </c>
      <c r="N360" s="14" t="str">
        <f aca="false">IF(OR($D360="",$E360=""),"",MAX(0,MIN($E360,REPORTING_DEPTH_CM)-MIN($D360,REPORTING_DEPTH_CM)))</f>
        <v/>
      </c>
      <c r="O360" s="14" t="str">
        <f aca="false">IF(OR($I360="",$L360="",$N360=""),"",$I360*($L360/100)*$N360*$M360*10)</f>
        <v/>
      </c>
      <c r="P360" s="14" t="str">
        <f aca="false">IF(OR($I360="",$L360="",$F360=""),"",$I360*($L360/100)*$F360*$M360*10)</f>
        <v/>
      </c>
      <c r="Q360" s="14" t="str">
        <f aca="false">IF(AND($A360="",$B360="",$D360=""),"",IF(AND($B360&lt;&gt;"",COUNTIF('2. Core Log'!$A$5:$A$124,$B360)=0),"Core ID not in Core Log. ","")&amp;IF(AND($A360&lt;&gt;"",COUNTIF('1. Plot &amp; Site Log'!$A$5:$A$64,$A360)=0),"Plot ID not in Plot &amp; Site Log. ","")&amp;IF(AND($D360&lt;&gt;"",$E360&lt;&gt;"",$E360&lt;=$D360),"Bottom depth is not below top depth. ","")&amp;IF($H360="","Say which bulk-density basis the lab reported, or the coarse-fragment correction cannot be applied safely. ","")&amp;IF(AND($I360&lt;&gt;"",OR($I360&lt;QC_BD_MIN,$I360&gt;QC_BD_MAX)),"Bulk density outside "&amp;QC_BD_MIN&amp;"–"&amp;QC_BD_MAX&amp;" g/cm³. ","")&amp;IF(AND($L360&lt;&gt;"",$L360&gt;QC_CARBON_PCT_MAX),"Carbon above "&amp;QC_CARBON_PCT_MAX&amp;"% — check units; this may be organic matter rather than carbon. ","")&amp;IF(AND($J360&lt;&gt;"",$K360&lt;&gt;""),"Both LOI and measured carbon given — the measured value is used. ","")&amp;IF(AND($N360&lt;&gt;"",$N360=0),"Slice lies entirely below the reporting depth — it counts to the full-core stock only. ",""))</f>
        <v/>
      </c>
      <c r="R360" s="13"/>
    </row>
    <row r="361" customFormat="false" ht="15" hidden="false" customHeight="false" outlineLevel="0" collapsed="false">
      <c r="A361" s="13"/>
      <c r="B361" s="13"/>
      <c r="C361" s="13"/>
      <c r="D361" s="13"/>
      <c r="E361" s="13"/>
      <c r="F361" s="13" t="str">
        <f aca="false">IF(OR($D361="",$E361=""),"",$E361-$D361)</f>
        <v/>
      </c>
      <c r="G361" s="13"/>
      <c r="H361" s="13"/>
      <c r="I361" s="15"/>
      <c r="J361" s="15"/>
      <c r="K361" s="15"/>
      <c r="L361" s="14" t="str">
        <f aca="false">IF($K361&lt;&gt;"",$K361,IF($J361&lt;&gt;"",$J361*CARBON_FRACTION_OM,""))</f>
        <v/>
      </c>
      <c r="M361" s="14" t="n">
        <f aca="false">IF($H361="Fine earth / fine-earth volume",1-IF($G361="",0,$G361)/100,1)</f>
        <v>1</v>
      </c>
      <c r="N361" s="14" t="str">
        <f aca="false">IF(OR($D361="",$E361=""),"",MAX(0,MIN($E361,REPORTING_DEPTH_CM)-MIN($D361,REPORTING_DEPTH_CM)))</f>
        <v/>
      </c>
      <c r="O361" s="14" t="str">
        <f aca="false">IF(OR($I361="",$L361="",$N361=""),"",$I361*($L361/100)*$N361*$M361*10)</f>
        <v/>
      </c>
      <c r="P361" s="14" t="str">
        <f aca="false">IF(OR($I361="",$L361="",$F361=""),"",$I361*($L361/100)*$F361*$M361*10)</f>
        <v/>
      </c>
      <c r="Q361" s="14" t="str">
        <f aca="false">IF(AND($A361="",$B361="",$D361=""),"",IF(AND($B361&lt;&gt;"",COUNTIF('2. Core Log'!$A$5:$A$124,$B361)=0),"Core ID not in Core Log. ","")&amp;IF(AND($A361&lt;&gt;"",COUNTIF('1. Plot &amp; Site Log'!$A$5:$A$64,$A361)=0),"Plot ID not in Plot &amp; Site Log. ","")&amp;IF(AND($D361&lt;&gt;"",$E361&lt;&gt;"",$E361&lt;=$D361),"Bottom depth is not below top depth. ","")&amp;IF($H361="","Say which bulk-density basis the lab reported, or the coarse-fragment correction cannot be applied safely. ","")&amp;IF(AND($I361&lt;&gt;"",OR($I361&lt;QC_BD_MIN,$I361&gt;QC_BD_MAX)),"Bulk density outside "&amp;QC_BD_MIN&amp;"–"&amp;QC_BD_MAX&amp;" g/cm³. ","")&amp;IF(AND($L361&lt;&gt;"",$L361&gt;QC_CARBON_PCT_MAX),"Carbon above "&amp;QC_CARBON_PCT_MAX&amp;"% — check units; this may be organic matter rather than carbon. ","")&amp;IF(AND($J361&lt;&gt;"",$K361&lt;&gt;""),"Both LOI and measured carbon given — the measured value is used. ","")&amp;IF(AND($N361&lt;&gt;"",$N361=0),"Slice lies entirely below the reporting depth — it counts to the full-core stock only. ",""))</f>
        <v/>
      </c>
      <c r="R361" s="1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3" t="str">
        <f aca="false">IF(OR($D362="",$E362=""),"",$E362-$D362)</f>
        <v/>
      </c>
      <c r="G362" s="13"/>
      <c r="H362" s="13"/>
      <c r="I362" s="15"/>
      <c r="J362" s="15"/>
      <c r="K362" s="15"/>
      <c r="L362" s="14" t="str">
        <f aca="false">IF($K362&lt;&gt;"",$K362,IF($J362&lt;&gt;"",$J362*CARBON_FRACTION_OM,""))</f>
        <v/>
      </c>
      <c r="M362" s="14" t="n">
        <f aca="false">IF($H362="Fine earth / fine-earth volume",1-IF($G362="",0,$G362)/100,1)</f>
        <v>1</v>
      </c>
      <c r="N362" s="14" t="str">
        <f aca="false">IF(OR($D362="",$E362=""),"",MAX(0,MIN($E362,REPORTING_DEPTH_CM)-MIN($D362,REPORTING_DEPTH_CM)))</f>
        <v/>
      </c>
      <c r="O362" s="14" t="str">
        <f aca="false">IF(OR($I362="",$L362="",$N362=""),"",$I362*($L362/100)*$N362*$M362*10)</f>
        <v/>
      </c>
      <c r="P362" s="14" t="str">
        <f aca="false">IF(OR($I362="",$L362="",$F362=""),"",$I362*($L362/100)*$F362*$M362*10)</f>
        <v/>
      </c>
      <c r="Q362" s="14" t="str">
        <f aca="false">IF(AND($A362="",$B362="",$D362=""),"",IF(AND($B362&lt;&gt;"",COUNTIF('2. Core Log'!$A$5:$A$124,$B362)=0),"Core ID not in Core Log. ","")&amp;IF(AND($A362&lt;&gt;"",COUNTIF('1. Plot &amp; Site Log'!$A$5:$A$64,$A362)=0),"Plot ID not in Plot &amp; Site Log. ","")&amp;IF(AND($D362&lt;&gt;"",$E362&lt;&gt;"",$E362&lt;=$D362),"Bottom depth is not below top depth. ","")&amp;IF($H362="","Say which bulk-density basis the lab reported, or the coarse-fragment correction cannot be applied safely. ","")&amp;IF(AND($I362&lt;&gt;"",OR($I362&lt;QC_BD_MIN,$I362&gt;QC_BD_MAX)),"Bulk density outside "&amp;QC_BD_MIN&amp;"–"&amp;QC_BD_MAX&amp;" g/cm³. ","")&amp;IF(AND($L362&lt;&gt;"",$L362&gt;QC_CARBON_PCT_MAX),"Carbon above "&amp;QC_CARBON_PCT_MAX&amp;"% — check units; this may be organic matter rather than carbon. ","")&amp;IF(AND($J362&lt;&gt;"",$K362&lt;&gt;""),"Both LOI and measured carbon given — the measured value is used. ","")&amp;IF(AND($N362&lt;&gt;"",$N362=0),"Slice lies entirely below the reporting depth — it counts to the full-core stock only. ",""))</f>
        <v/>
      </c>
      <c r="R362" s="13"/>
    </row>
    <row r="363" customFormat="false" ht="15" hidden="false" customHeight="false" outlineLevel="0" collapsed="false">
      <c r="A363" s="13"/>
      <c r="B363" s="13"/>
      <c r="C363" s="13"/>
      <c r="D363" s="13"/>
      <c r="E363" s="13"/>
      <c r="F363" s="13" t="str">
        <f aca="false">IF(OR($D363="",$E363=""),"",$E363-$D363)</f>
        <v/>
      </c>
      <c r="G363" s="13"/>
      <c r="H363" s="13"/>
      <c r="I363" s="15"/>
      <c r="J363" s="15"/>
      <c r="K363" s="15"/>
      <c r="L363" s="14" t="str">
        <f aca="false">IF($K363&lt;&gt;"",$K363,IF($J363&lt;&gt;"",$J363*CARBON_FRACTION_OM,""))</f>
        <v/>
      </c>
      <c r="M363" s="14" t="n">
        <f aca="false">IF($H363="Fine earth / fine-earth volume",1-IF($G363="",0,$G363)/100,1)</f>
        <v>1</v>
      </c>
      <c r="N363" s="14" t="str">
        <f aca="false">IF(OR($D363="",$E363=""),"",MAX(0,MIN($E363,REPORTING_DEPTH_CM)-MIN($D363,REPORTING_DEPTH_CM)))</f>
        <v/>
      </c>
      <c r="O363" s="14" t="str">
        <f aca="false">IF(OR($I363="",$L363="",$N363=""),"",$I363*($L363/100)*$N363*$M363*10)</f>
        <v/>
      </c>
      <c r="P363" s="14" t="str">
        <f aca="false">IF(OR($I363="",$L363="",$F363=""),"",$I363*($L363/100)*$F363*$M363*10)</f>
        <v/>
      </c>
      <c r="Q363" s="14" t="str">
        <f aca="false">IF(AND($A363="",$B363="",$D363=""),"",IF(AND($B363&lt;&gt;"",COUNTIF('2. Core Log'!$A$5:$A$124,$B363)=0),"Core ID not in Core Log. ","")&amp;IF(AND($A363&lt;&gt;"",COUNTIF('1. Plot &amp; Site Log'!$A$5:$A$64,$A363)=0),"Plot ID not in Plot &amp; Site Log. ","")&amp;IF(AND($D363&lt;&gt;"",$E363&lt;&gt;"",$E363&lt;=$D363),"Bottom depth is not below top depth. ","")&amp;IF($H363="","Say which bulk-density basis the lab reported, or the coarse-fragment correction cannot be applied safely. ","")&amp;IF(AND($I363&lt;&gt;"",OR($I363&lt;QC_BD_MIN,$I363&gt;QC_BD_MAX)),"Bulk density outside "&amp;QC_BD_MIN&amp;"–"&amp;QC_BD_MAX&amp;" g/cm³. ","")&amp;IF(AND($L363&lt;&gt;"",$L363&gt;QC_CARBON_PCT_MAX),"Carbon above "&amp;QC_CARBON_PCT_MAX&amp;"% — check units; this may be organic matter rather than carbon. ","")&amp;IF(AND($J363&lt;&gt;"",$K363&lt;&gt;""),"Both LOI and measured carbon given — the measured value is used. ","")&amp;IF(AND($N363&lt;&gt;"",$N363=0),"Slice lies entirely below the reporting depth — it counts to the full-core stock only. ",""))</f>
        <v/>
      </c>
      <c r="R363" s="1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3" t="str">
        <f aca="false">IF(OR($D364="",$E364=""),"",$E364-$D364)</f>
        <v/>
      </c>
      <c r="G364" s="13"/>
      <c r="H364" s="13"/>
      <c r="I364" s="15"/>
      <c r="J364" s="15"/>
      <c r="K364" s="15"/>
      <c r="L364" s="14" t="str">
        <f aca="false">IF($K364&lt;&gt;"",$K364,IF($J364&lt;&gt;"",$J364*CARBON_FRACTION_OM,""))</f>
        <v/>
      </c>
      <c r="M364" s="14" t="n">
        <f aca="false">IF($H364="Fine earth / fine-earth volume",1-IF($G364="",0,$G364)/100,1)</f>
        <v>1</v>
      </c>
      <c r="N364" s="14" t="str">
        <f aca="false">IF(OR($D364="",$E364=""),"",MAX(0,MIN($E364,REPORTING_DEPTH_CM)-MIN($D364,REPORTING_DEPTH_CM)))</f>
        <v/>
      </c>
      <c r="O364" s="14" t="str">
        <f aca="false">IF(OR($I364="",$L364="",$N364=""),"",$I364*($L364/100)*$N364*$M364*10)</f>
        <v/>
      </c>
      <c r="P364" s="14" t="str">
        <f aca="false">IF(OR($I364="",$L364="",$F364=""),"",$I364*($L364/100)*$F364*$M364*10)</f>
        <v/>
      </c>
      <c r="Q364" s="14" t="str">
        <f aca="false">IF(AND($A364="",$B364="",$D364=""),"",IF(AND($B364&lt;&gt;"",COUNTIF('2. Core Log'!$A$5:$A$124,$B364)=0),"Core ID not in Core Log. ","")&amp;IF(AND($A364&lt;&gt;"",COUNTIF('1. Plot &amp; Site Log'!$A$5:$A$64,$A364)=0),"Plot ID not in Plot &amp; Site Log. ","")&amp;IF(AND($D364&lt;&gt;"",$E364&lt;&gt;"",$E364&lt;=$D364),"Bottom depth is not below top depth. ","")&amp;IF($H364="","Say which bulk-density basis the lab reported, or the coarse-fragment correction cannot be applied safely. ","")&amp;IF(AND($I364&lt;&gt;"",OR($I364&lt;QC_BD_MIN,$I364&gt;QC_BD_MAX)),"Bulk density outside "&amp;QC_BD_MIN&amp;"–"&amp;QC_BD_MAX&amp;" g/cm³. ","")&amp;IF(AND($L364&lt;&gt;"",$L364&gt;QC_CARBON_PCT_MAX),"Carbon above "&amp;QC_CARBON_PCT_MAX&amp;"% — check units; this may be organic matter rather than carbon. ","")&amp;IF(AND($J364&lt;&gt;"",$K364&lt;&gt;""),"Both LOI and measured carbon given — the measured value is used. ","")&amp;IF(AND($N364&lt;&gt;"",$N364=0),"Slice lies entirely below the reporting depth — it counts to the full-core stock only. ",""))</f>
        <v/>
      </c>
      <c r="R364" s="13"/>
    </row>
    <row r="365" customFormat="false" ht="15" hidden="false" customHeight="false" outlineLevel="0" collapsed="false">
      <c r="A365" s="13"/>
      <c r="B365" s="13"/>
      <c r="C365" s="13"/>
      <c r="D365" s="13"/>
      <c r="E365" s="13"/>
      <c r="F365" s="13" t="str">
        <f aca="false">IF(OR($D365="",$E365=""),"",$E365-$D365)</f>
        <v/>
      </c>
      <c r="G365" s="13"/>
      <c r="H365" s="13"/>
      <c r="I365" s="15"/>
      <c r="J365" s="15"/>
      <c r="K365" s="15"/>
      <c r="L365" s="14" t="str">
        <f aca="false">IF($K365&lt;&gt;"",$K365,IF($J365&lt;&gt;"",$J365*CARBON_FRACTION_OM,""))</f>
        <v/>
      </c>
      <c r="M365" s="14" t="n">
        <f aca="false">IF($H365="Fine earth / fine-earth volume",1-IF($G365="",0,$G365)/100,1)</f>
        <v>1</v>
      </c>
      <c r="N365" s="14" t="str">
        <f aca="false">IF(OR($D365="",$E365=""),"",MAX(0,MIN($E365,REPORTING_DEPTH_CM)-MIN($D365,REPORTING_DEPTH_CM)))</f>
        <v/>
      </c>
      <c r="O365" s="14" t="str">
        <f aca="false">IF(OR($I365="",$L365="",$N365=""),"",$I365*($L365/100)*$N365*$M365*10)</f>
        <v/>
      </c>
      <c r="P365" s="14" t="str">
        <f aca="false">IF(OR($I365="",$L365="",$F365=""),"",$I365*($L365/100)*$F365*$M365*10)</f>
        <v/>
      </c>
      <c r="Q365" s="14" t="str">
        <f aca="false">IF(AND($A365="",$B365="",$D365=""),"",IF(AND($B365&lt;&gt;"",COUNTIF('2. Core Log'!$A$5:$A$124,$B365)=0),"Core ID not in Core Log. ","")&amp;IF(AND($A365&lt;&gt;"",COUNTIF('1. Plot &amp; Site Log'!$A$5:$A$64,$A365)=0),"Plot ID not in Plot &amp; Site Log. ","")&amp;IF(AND($D365&lt;&gt;"",$E365&lt;&gt;"",$E365&lt;=$D365),"Bottom depth is not below top depth. ","")&amp;IF($H365="","Say which bulk-density basis the lab reported, or the coarse-fragment correction cannot be applied safely. ","")&amp;IF(AND($I365&lt;&gt;"",OR($I365&lt;QC_BD_MIN,$I365&gt;QC_BD_MAX)),"Bulk density outside "&amp;QC_BD_MIN&amp;"–"&amp;QC_BD_MAX&amp;" g/cm³. ","")&amp;IF(AND($L365&lt;&gt;"",$L365&gt;QC_CARBON_PCT_MAX),"Carbon above "&amp;QC_CARBON_PCT_MAX&amp;"% — check units; this may be organic matter rather than carbon. ","")&amp;IF(AND($J365&lt;&gt;"",$K365&lt;&gt;""),"Both LOI and measured carbon given — the measured value is used. ","")&amp;IF(AND($N365&lt;&gt;"",$N365=0),"Slice lies entirely below the reporting depth — it counts to the full-core stock only. ",""))</f>
        <v/>
      </c>
      <c r="R365" s="1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3" t="str">
        <f aca="false">IF(OR($D366="",$E366=""),"",$E366-$D366)</f>
        <v/>
      </c>
      <c r="G366" s="13"/>
      <c r="H366" s="13"/>
      <c r="I366" s="15"/>
      <c r="J366" s="15"/>
      <c r="K366" s="15"/>
      <c r="L366" s="14" t="str">
        <f aca="false">IF($K366&lt;&gt;"",$K366,IF($J366&lt;&gt;"",$J366*CARBON_FRACTION_OM,""))</f>
        <v/>
      </c>
      <c r="M366" s="14" t="n">
        <f aca="false">IF($H366="Fine earth / fine-earth volume",1-IF($G366="",0,$G366)/100,1)</f>
        <v>1</v>
      </c>
      <c r="N366" s="14" t="str">
        <f aca="false">IF(OR($D366="",$E366=""),"",MAX(0,MIN($E366,REPORTING_DEPTH_CM)-MIN($D366,REPORTING_DEPTH_CM)))</f>
        <v/>
      </c>
      <c r="O366" s="14" t="str">
        <f aca="false">IF(OR($I366="",$L366="",$N366=""),"",$I366*($L366/100)*$N366*$M366*10)</f>
        <v/>
      </c>
      <c r="P366" s="14" t="str">
        <f aca="false">IF(OR($I366="",$L366="",$F366=""),"",$I366*($L366/100)*$F366*$M366*10)</f>
        <v/>
      </c>
      <c r="Q366" s="14" t="str">
        <f aca="false">IF(AND($A366="",$B366="",$D366=""),"",IF(AND($B366&lt;&gt;"",COUNTIF('2. Core Log'!$A$5:$A$124,$B366)=0),"Core ID not in Core Log. ","")&amp;IF(AND($A366&lt;&gt;"",COUNTIF('1. Plot &amp; Site Log'!$A$5:$A$64,$A366)=0),"Plot ID not in Plot &amp; Site Log. ","")&amp;IF(AND($D366&lt;&gt;"",$E366&lt;&gt;"",$E366&lt;=$D366),"Bottom depth is not below top depth. ","")&amp;IF($H366="","Say which bulk-density basis the lab reported, or the coarse-fragment correction cannot be applied safely. ","")&amp;IF(AND($I366&lt;&gt;"",OR($I366&lt;QC_BD_MIN,$I366&gt;QC_BD_MAX)),"Bulk density outside "&amp;QC_BD_MIN&amp;"–"&amp;QC_BD_MAX&amp;" g/cm³. ","")&amp;IF(AND($L366&lt;&gt;"",$L366&gt;QC_CARBON_PCT_MAX),"Carbon above "&amp;QC_CARBON_PCT_MAX&amp;"% — check units; this may be organic matter rather than carbon. ","")&amp;IF(AND($J366&lt;&gt;"",$K366&lt;&gt;""),"Both LOI and measured carbon given — the measured value is used. ","")&amp;IF(AND($N366&lt;&gt;"",$N366=0),"Slice lies entirely below the reporting depth — it counts to the full-core stock only. ",""))</f>
        <v/>
      </c>
      <c r="R366" s="13"/>
    </row>
    <row r="367" customFormat="false" ht="15" hidden="false" customHeight="false" outlineLevel="0" collapsed="false">
      <c r="A367" s="13"/>
      <c r="B367" s="13"/>
      <c r="C367" s="13"/>
      <c r="D367" s="13"/>
      <c r="E367" s="13"/>
      <c r="F367" s="13" t="str">
        <f aca="false">IF(OR($D367="",$E367=""),"",$E367-$D367)</f>
        <v/>
      </c>
      <c r="G367" s="13"/>
      <c r="H367" s="13"/>
      <c r="I367" s="15"/>
      <c r="J367" s="15"/>
      <c r="K367" s="15"/>
      <c r="L367" s="14" t="str">
        <f aca="false">IF($K367&lt;&gt;"",$K367,IF($J367&lt;&gt;"",$J367*CARBON_FRACTION_OM,""))</f>
        <v/>
      </c>
      <c r="M367" s="14" t="n">
        <f aca="false">IF($H367="Fine earth / fine-earth volume",1-IF($G367="",0,$G367)/100,1)</f>
        <v>1</v>
      </c>
      <c r="N367" s="14" t="str">
        <f aca="false">IF(OR($D367="",$E367=""),"",MAX(0,MIN($E367,REPORTING_DEPTH_CM)-MIN($D367,REPORTING_DEPTH_CM)))</f>
        <v/>
      </c>
      <c r="O367" s="14" t="str">
        <f aca="false">IF(OR($I367="",$L367="",$N367=""),"",$I367*($L367/100)*$N367*$M367*10)</f>
        <v/>
      </c>
      <c r="P367" s="14" t="str">
        <f aca="false">IF(OR($I367="",$L367="",$F367=""),"",$I367*($L367/100)*$F367*$M367*10)</f>
        <v/>
      </c>
      <c r="Q367" s="14" t="str">
        <f aca="false">IF(AND($A367="",$B367="",$D367=""),"",IF(AND($B367&lt;&gt;"",COUNTIF('2. Core Log'!$A$5:$A$124,$B367)=0),"Core ID not in Core Log. ","")&amp;IF(AND($A367&lt;&gt;"",COUNTIF('1. Plot &amp; Site Log'!$A$5:$A$64,$A367)=0),"Plot ID not in Plot &amp; Site Log. ","")&amp;IF(AND($D367&lt;&gt;"",$E367&lt;&gt;"",$E367&lt;=$D367),"Bottom depth is not below top depth. ","")&amp;IF($H367="","Say which bulk-density basis the lab reported, or the coarse-fragment correction cannot be applied safely. ","")&amp;IF(AND($I367&lt;&gt;"",OR($I367&lt;QC_BD_MIN,$I367&gt;QC_BD_MAX)),"Bulk density outside "&amp;QC_BD_MIN&amp;"–"&amp;QC_BD_MAX&amp;" g/cm³. ","")&amp;IF(AND($L367&lt;&gt;"",$L367&gt;QC_CARBON_PCT_MAX),"Carbon above "&amp;QC_CARBON_PCT_MAX&amp;"% — check units; this may be organic matter rather than carbon. ","")&amp;IF(AND($J367&lt;&gt;"",$K367&lt;&gt;""),"Both LOI and measured carbon given — the measured value is used. ","")&amp;IF(AND($N367&lt;&gt;"",$N367=0),"Slice lies entirely below the reporting depth — it counts to the full-core stock only. ",""))</f>
        <v/>
      </c>
      <c r="R367" s="1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3" t="str">
        <f aca="false">IF(OR($D368="",$E368=""),"",$E368-$D368)</f>
        <v/>
      </c>
      <c r="G368" s="13"/>
      <c r="H368" s="13"/>
      <c r="I368" s="15"/>
      <c r="J368" s="15"/>
      <c r="K368" s="15"/>
      <c r="L368" s="14" t="str">
        <f aca="false">IF($K368&lt;&gt;"",$K368,IF($J368&lt;&gt;"",$J368*CARBON_FRACTION_OM,""))</f>
        <v/>
      </c>
      <c r="M368" s="14" t="n">
        <f aca="false">IF($H368="Fine earth / fine-earth volume",1-IF($G368="",0,$G368)/100,1)</f>
        <v>1</v>
      </c>
      <c r="N368" s="14" t="str">
        <f aca="false">IF(OR($D368="",$E368=""),"",MAX(0,MIN($E368,REPORTING_DEPTH_CM)-MIN($D368,REPORTING_DEPTH_CM)))</f>
        <v/>
      </c>
      <c r="O368" s="14" t="str">
        <f aca="false">IF(OR($I368="",$L368="",$N368=""),"",$I368*($L368/100)*$N368*$M368*10)</f>
        <v/>
      </c>
      <c r="P368" s="14" t="str">
        <f aca="false">IF(OR($I368="",$L368="",$F368=""),"",$I368*($L368/100)*$F368*$M368*10)</f>
        <v/>
      </c>
      <c r="Q368" s="14" t="str">
        <f aca="false">IF(AND($A368="",$B368="",$D368=""),"",IF(AND($B368&lt;&gt;"",COUNTIF('2. Core Log'!$A$5:$A$124,$B368)=0),"Core ID not in Core Log. ","")&amp;IF(AND($A368&lt;&gt;"",COUNTIF('1. Plot &amp; Site Log'!$A$5:$A$64,$A368)=0),"Plot ID not in Plot &amp; Site Log. ","")&amp;IF(AND($D368&lt;&gt;"",$E368&lt;&gt;"",$E368&lt;=$D368),"Bottom depth is not below top depth. ","")&amp;IF($H368="","Say which bulk-density basis the lab reported, or the coarse-fragment correction cannot be applied safely. ","")&amp;IF(AND($I368&lt;&gt;"",OR($I368&lt;QC_BD_MIN,$I368&gt;QC_BD_MAX)),"Bulk density outside "&amp;QC_BD_MIN&amp;"–"&amp;QC_BD_MAX&amp;" g/cm³. ","")&amp;IF(AND($L368&lt;&gt;"",$L368&gt;QC_CARBON_PCT_MAX),"Carbon above "&amp;QC_CARBON_PCT_MAX&amp;"% — check units; this may be organic matter rather than carbon. ","")&amp;IF(AND($J368&lt;&gt;"",$K368&lt;&gt;""),"Both LOI and measured carbon given — the measured value is used. ","")&amp;IF(AND($N368&lt;&gt;"",$N368=0),"Slice lies entirely below the reporting depth — it counts to the full-core stock only. ",""))</f>
        <v/>
      </c>
      <c r="R368" s="13"/>
    </row>
    <row r="369" customFormat="false" ht="15" hidden="false" customHeight="false" outlineLevel="0" collapsed="false">
      <c r="A369" s="13"/>
      <c r="B369" s="13"/>
      <c r="C369" s="13"/>
      <c r="D369" s="13"/>
      <c r="E369" s="13"/>
      <c r="F369" s="13" t="str">
        <f aca="false">IF(OR($D369="",$E369=""),"",$E369-$D369)</f>
        <v/>
      </c>
      <c r="G369" s="13"/>
      <c r="H369" s="13"/>
      <c r="I369" s="15"/>
      <c r="J369" s="15"/>
      <c r="K369" s="15"/>
      <c r="L369" s="14" t="str">
        <f aca="false">IF($K369&lt;&gt;"",$K369,IF($J369&lt;&gt;"",$J369*CARBON_FRACTION_OM,""))</f>
        <v/>
      </c>
      <c r="M369" s="14" t="n">
        <f aca="false">IF($H369="Fine earth / fine-earth volume",1-IF($G369="",0,$G369)/100,1)</f>
        <v>1</v>
      </c>
      <c r="N369" s="14" t="str">
        <f aca="false">IF(OR($D369="",$E369=""),"",MAX(0,MIN($E369,REPORTING_DEPTH_CM)-MIN($D369,REPORTING_DEPTH_CM)))</f>
        <v/>
      </c>
      <c r="O369" s="14" t="str">
        <f aca="false">IF(OR($I369="",$L369="",$N369=""),"",$I369*($L369/100)*$N369*$M369*10)</f>
        <v/>
      </c>
      <c r="P369" s="14" t="str">
        <f aca="false">IF(OR($I369="",$L369="",$F369=""),"",$I369*($L369/100)*$F369*$M369*10)</f>
        <v/>
      </c>
      <c r="Q369" s="14" t="str">
        <f aca="false">IF(AND($A369="",$B369="",$D369=""),"",IF(AND($B369&lt;&gt;"",COUNTIF('2. Core Log'!$A$5:$A$124,$B369)=0),"Core ID not in Core Log. ","")&amp;IF(AND($A369&lt;&gt;"",COUNTIF('1. Plot &amp; Site Log'!$A$5:$A$64,$A369)=0),"Plot ID not in Plot &amp; Site Log. ","")&amp;IF(AND($D369&lt;&gt;"",$E369&lt;&gt;"",$E369&lt;=$D369),"Bottom depth is not below top depth. ","")&amp;IF($H369="","Say which bulk-density basis the lab reported, or the coarse-fragment correction cannot be applied safely. ","")&amp;IF(AND($I369&lt;&gt;"",OR($I369&lt;QC_BD_MIN,$I369&gt;QC_BD_MAX)),"Bulk density outside "&amp;QC_BD_MIN&amp;"–"&amp;QC_BD_MAX&amp;" g/cm³. ","")&amp;IF(AND($L369&lt;&gt;"",$L369&gt;QC_CARBON_PCT_MAX),"Carbon above "&amp;QC_CARBON_PCT_MAX&amp;"% — check units; this may be organic matter rather than carbon. ","")&amp;IF(AND($J369&lt;&gt;"",$K369&lt;&gt;""),"Both LOI and measured carbon given — the measured value is used. ","")&amp;IF(AND($N369&lt;&gt;"",$N369=0),"Slice lies entirely below the reporting depth — it counts to the full-core stock only. ",""))</f>
        <v/>
      </c>
      <c r="R369" s="1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3" t="str">
        <f aca="false">IF(OR($D370="",$E370=""),"",$E370-$D370)</f>
        <v/>
      </c>
      <c r="G370" s="13"/>
      <c r="H370" s="13"/>
      <c r="I370" s="15"/>
      <c r="J370" s="15"/>
      <c r="K370" s="15"/>
      <c r="L370" s="14" t="str">
        <f aca="false">IF($K370&lt;&gt;"",$K370,IF($J370&lt;&gt;"",$J370*CARBON_FRACTION_OM,""))</f>
        <v/>
      </c>
      <c r="M370" s="14" t="n">
        <f aca="false">IF($H370="Fine earth / fine-earth volume",1-IF($G370="",0,$G370)/100,1)</f>
        <v>1</v>
      </c>
      <c r="N370" s="14" t="str">
        <f aca="false">IF(OR($D370="",$E370=""),"",MAX(0,MIN($E370,REPORTING_DEPTH_CM)-MIN($D370,REPORTING_DEPTH_CM)))</f>
        <v/>
      </c>
      <c r="O370" s="14" t="str">
        <f aca="false">IF(OR($I370="",$L370="",$N370=""),"",$I370*($L370/100)*$N370*$M370*10)</f>
        <v/>
      </c>
      <c r="P370" s="14" t="str">
        <f aca="false">IF(OR($I370="",$L370="",$F370=""),"",$I370*($L370/100)*$F370*$M370*10)</f>
        <v/>
      </c>
      <c r="Q370" s="14" t="str">
        <f aca="false">IF(AND($A370="",$B370="",$D370=""),"",IF(AND($B370&lt;&gt;"",COUNTIF('2. Core Log'!$A$5:$A$124,$B370)=0),"Core ID not in Core Log. ","")&amp;IF(AND($A370&lt;&gt;"",COUNTIF('1. Plot &amp; Site Log'!$A$5:$A$64,$A370)=0),"Plot ID not in Plot &amp; Site Log. ","")&amp;IF(AND($D370&lt;&gt;"",$E370&lt;&gt;"",$E370&lt;=$D370),"Bottom depth is not below top depth. ","")&amp;IF($H370="","Say which bulk-density basis the lab reported, or the coarse-fragment correction cannot be applied safely. ","")&amp;IF(AND($I370&lt;&gt;"",OR($I370&lt;QC_BD_MIN,$I370&gt;QC_BD_MAX)),"Bulk density outside "&amp;QC_BD_MIN&amp;"–"&amp;QC_BD_MAX&amp;" g/cm³. ","")&amp;IF(AND($L370&lt;&gt;"",$L370&gt;QC_CARBON_PCT_MAX),"Carbon above "&amp;QC_CARBON_PCT_MAX&amp;"% — check units; this may be organic matter rather than carbon. ","")&amp;IF(AND($J370&lt;&gt;"",$K370&lt;&gt;""),"Both LOI and measured carbon given — the measured value is used. ","")&amp;IF(AND($N370&lt;&gt;"",$N370=0),"Slice lies entirely below the reporting depth — it counts to the full-core stock only. ",""))</f>
        <v/>
      </c>
      <c r="R370" s="13"/>
    </row>
    <row r="371" customFormat="false" ht="15" hidden="false" customHeight="false" outlineLevel="0" collapsed="false">
      <c r="A371" s="13"/>
      <c r="B371" s="13"/>
      <c r="C371" s="13"/>
      <c r="D371" s="13"/>
      <c r="E371" s="13"/>
      <c r="F371" s="13" t="str">
        <f aca="false">IF(OR($D371="",$E371=""),"",$E371-$D371)</f>
        <v/>
      </c>
      <c r="G371" s="13"/>
      <c r="H371" s="13"/>
      <c r="I371" s="15"/>
      <c r="J371" s="15"/>
      <c r="K371" s="15"/>
      <c r="L371" s="14" t="str">
        <f aca="false">IF($K371&lt;&gt;"",$K371,IF($J371&lt;&gt;"",$J371*CARBON_FRACTION_OM,""))</f>
        <v/>
      </c>
      <c r="M371" s="14" t="n">
        <f aca="false">IF($H371="Fine earth / fine-earth volume",1-IF($G371="",0,$G371)/100,1)</f>
        <v>1</v>
      </c>
      <c r="N371" s="14" t="str">
        <f aca="false">IF(OR($D371="",$E371=""),"",MAX(0,MIN($E371,REPORTING_DEPTH_CM)-MIN($D371,REPORTING_DEPTH_CM)))</f>
        <v/>
      </c>
      <c r="O371" s="14" t="str">
        <f aca="false">IF(OR($I371="",$L371="",$N371=""),"",$I371*($L371/100)*$N371*$M371*10)</f>
        <v/>
      </c>
      <c r="P371" s="14" t="str">
        <f aca="false">IF(OR($I371="",$L371="",$F371=""),"",$I371*($L371/100)*$F371*$M371*10)</f>
        <v/>
      </c>
      <c r="Q371" s="14" t="str">
        <f aca="false">IF(AND($A371="",$B371="",$D371=""),"",IF(AND($B371&lt;&gt;"",COUNTIF('2. Core Log'!$A$5:$A$124,$B371)=0),"Core ID not in Core Log. ","")&amp;IF(AND($A371&lt;&gt;"",COUNTIF('1. Plot &amp; Site Log'!$A$5:$A$64,$A371)=0),"Plot ID not in Plot &amp; Site Log. ","")&amp;IF(AND($D371&lt;&gt;"",$E371&lt;&gt;"",$E371&lt;=$D371),"Bottom depth is not below top depth. ","")&amp;IF($H371="","Say which bulk-density basis the lab reported, or the coarse-fragment correction cannot be applied safely. ","")&amp;IF(AND($I371&lt;&gt;"",OR($I371&lt;QC_BD_MIN,$I371&gt;QC_BD_MAX)),"Bulk density outside "&amp;QC_BD_MIN&amp;"–"&amp;QC_BD_MAX&amp;" g/cm³. ","")&amp;IF(AND($L371&lt;&gt;"",$L371&gt;QC_CARBON_PCT_MAX),"Carbon above "&amp;QC_CARBON_PCT_MAX&amp;"% — check units; this may be organic matter rather than carbon. ","")&amp;IF(AND($J371&lt;&gt;"",$K371&lt;&gt;""),"Both LOI and measured carbon given — the measured value is used. ","")&amp;IF(AND($N371&lt;&gt;"",$N371=0),"Slice lies entirely below the reporting depth — it counts to the full-core stock only. ",""))</f>
        <v/>
      </c>
      <c r="R371" s="1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3" t="str">
        <f aca="false">IF(OR($D372="",$E372=""),"",$E372-$D372)</f>
        <v/>
      </c>
      <c r="G372" s="13"/>
      <c r="H372" s="13"/>
      <c r="I372" s="15"/>
      <c r="J372" s="15"/>
      <c r="K372" s="15"/>
      <c r="L372" s="14" t="str">
        <f aca="false">IF($K372&lt;&gt;"",$K372,IF($J372&lt;&gt;"",$J372*CARBON_FRACTION_OM,""))</f>
        <v/>
      </c>
      <c r="M372" s="14" t="n">
        <f aca="false">IF($H372="Fine earth / fine-earth volume",1-IF($G372="",0,$G372)/100,1)</f>
        <v>1</v>
      </c>
      <c r="N372" s="14" t="str">
        <f aca="false">IF(OR($D372="",$E372=""),"",MAX(0,MIN($E372,REPORTING_DEPTH_CM)-MIN($D372,REPORTING_DEPTH_CM)))</f>
        <v/>
      </c>
      <c r="O372" s="14" t="str">
        <f aca="false">IF(OR($I372="",$L372="",$N372=""),"",$I372*($L372/100)*$N372*$M372*10)</f>
        <v/>
      </c>
      <c r="P372" s="14" t="str">
        <f aca="false">IF(OR($I372="",$L372="",$F372=""),"",$I372*($L372/100)*$F372*$M372*10)</f>
        <v/>
      </c>
      <c r="Q372" s="14" t="str">
        <f aca="false">IF(AND($A372="",$B372="",$D372=""),"",IF(AND($B372&lt;&gt;"",COUNTIF('2. Core Log'!$A$5:$A$124,$B372)=0),"Core ID not in Core Log. ","")&amp;IF(AND($A372&lt;&gt;"",COUNTIF('1. Plot &amp; Site Log'!$A$5:$A$64,$A372)=0),"Plot ID not in Plot &amp; Site Log. ","")&amp;IF(AND($D372&lt;&gt;"",$E372&lt;&gt;"",$E372&lt;=$D372),"Bottom depth is not below top depth. ","")&amp;IF($H372="","Say which bulk-density basis the lab reported, or the coarse-fragment correction cannot be applied safely. ","")&amp;IF(AND($I372&lt;&gt;"",OR($I372&lt;QC_BD_MIN,$I372&gt;QC_BD_MAX)),"Bulk density outside "&amp;QC_BD_MIN&amp;"–"&amp;QC_BD_MAX&amp;" g/cm³. ","")&amp;IF(AND($L372&lt;&gt;"",$L372&gt;QC_CARBON_PCT_MAX),"Carbon above "&amp;QC_CARBON_PCT_MAX&amp;"% — check units; this may be organic matter rather than carbon. ","")&amp;IF(AND($J372&lt;&gt;"",$K372&lt;&gt;""),"Both LOI and measured carbon given — the measured value is used. ","")&amp;IF(AND($N372&lt;&gt;"",$N372=0),"Slice lies entirely below the reporting depth — it counts to the full-core stock only. ",""))</f>
        <v/>
      </c>
      <c r="R372" s="13"/>
    </row>
    <row r="373" customFormat="false" ht="15" hidden="false" customHeight="false" outlineLevel="0" collapsed="false">
      <c r="A373" s="13"/>
      <c r="B373" s="13"/>
      <c r="C373" s="13"/>
      <c r="D373" s="13"/>
      <c r="E373" s="13"/>
      <c r="F373" s="13" t="str">
        <f aca="false">IF(OR($D373="",$E373=""),"",$E373-$D373)</f>
        <v/>
      </c>
      <c r="G373" s="13"/>
      <c r="H373" s="13"/>
      <c r="I373" s="15"/>
      <c r="J373" s="15"/>
      <c r="K373" s="15"/>
      <c r="L373" s="14" t="str">
        <f aca="false">IF($K373&lt;&gt;"",$K373,IF($J373&lt;&gt;"",$J373*CARBON_FRACTION_OM,""))</f>
        <v/>
      </c>
      <c r="M373" s="14" t="n">
        <f aca="false">IF($H373="Fine earth / fine-earth volume",1-IF($G373="",0,$G373)/100,1)</f>
        <v>1</v>
      </c>
      <c r="N373" s="14" t="str">
        <f aca="false">IF(OR($D373="",$E373=""),"",MAX(0,MIN($E373,REPORTING_DEPTH_CM)-MIN($D373,REPORTING_DEPTH_CM)))</f>
        <v/>
      </c>
      <c r="O373" s="14" t="str">
        <f aca="false">IF(OR($I373="",$L373="",$N373=""),"",$I373*($L373/100)*$N373*$M373*10)</f>
        <v/>
      </c>
      <c r="P373" s="14" t="str">
        <f aca="false">IF(OR($I373="",$L373="",$F373=""),"",$I373*($L373/100)*$F373*$M373*10)</f>
        <v/>
      </c>
      <c r="Q373" s="14" t="str">
        <f aca="false">IF(AND($A373="",$B373="",$D373=""),"",IF(AND($B373&lt;&gt;"",COUNTIF('2. Core Log'!$A$5:$A$124,$B373)=0),"Core ID not in Core Log. ","")&amp;IF(AND($A373&lt;&gt;"",COUNTIF('1. Plot &amp; Site Log'!$A$5:$A$64,$A373)=0),"Plot ID not in Plot &amp; Site Log. ","")&amp;IF(AND($D373&lt;&gt;"",$E373&lt;&gt;"",$E373&lt;=$D373),"Bottom depth is not below top depth. ","")&amp;IF($H373="","Say which bulk-density basis the lab reported, or the coarse-fragment correction cannot be applied safely. ","")&amp;IF(AND($I373&lt;&gt;"",OR($I373&lt;QC_BD_MIN,$I373&gt;QC_BD_MAX)),"Bulk density outside "&amp;QC_BD_MIN&amp;"–"&amp;QC_BD_MAX&amp;" g/cm³. ","")&amp;IF(AND($L373&lt;&gt;"",$L373&gt;QC_CARBON_PCT_MAX),"Carbon above "&amp;QC_CARBON_PCT_MAX&amp;"% — check units; this may be organic matter rather than carbon. ","")&amp;IF(AND($J373&lt;&gt;"",$K373&lt;&gt;""),"Both LOI and measured carbon given — the measured value is used. ","")&amp;IF(AND($N373&lt;&gt;"",$N373=0),"Slice lies entirely below the reporting depth — it counts to the full-core stock only. ",""))</f>
        <v/>
      </c>
      <c r="R373" s="1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3" t="str">
        <f aca="false">IF(OR($D374="",$E374=""),"",$E374-$D374)</f>
        <v/>
      </c>
      <c r="G374" s="13"/>
      <c r="H374" s="13"/>
      <c r="I374" s="15"/>
      <c r="J374" s="15"/>
      <c r="K374" s="15"/>
      <c r="L374" s="14" t="str">
        <f aca="false">IF($K374&lt;&gt;"",$K374,IF($J374&lt;&gt;"",$J374*CARBON_FRACTION_OM,""))</f>
        <v/>
      </c>
      <c r="M374" s="14" t="n">
        <f aca="false">IF($H374="Fine earth / fine-earth volume",1-IF($G374="",0,$G374)/100,1)</f>
        <v>1</v>
      </c>
      <c r="N374" s="14" t="str">
        <f aca="false">IF(OR($D374="",$E374=""),"",MAX(0,MIN($E374,REPORTING_DEPTH_CM)-MIN($D374,REPORTING_DEPTH_CM)))</f>
        <v/>
      </c>
      <c r="O374" s="14" t="str">
        <f aca="false">IF(OR($I374="",$L374="",$N374=""),"",$I374*($L374/100)*$N374*$M374*10)</f>
        <v/>
      </c>
      <c r="P374" s="14" t="str">
        <f aca="false">IF(OR($I374="",$L374="",$F374=""),"",$I374*($L374/100)*$F374*$M374*10)</f>
        <v/>
      </c>
      <c r="Q374" s="14" t="str">
        <f aca="false">IF(AND($A374="",$B374="",$D374=""),"",IF(AND($B374&lt;&gt;"",COUNTIF('2. Core Log'!$A$5:$A$124,$B374)=0),"Core ID not in Core Log. ","")&amp;IF(AND($A374&lt;&gt;"",COUNTIF('1. Plot &amp; Site Log'!$A$5:$A$64,$A374)=0),"Plot ID not in Plot &amp; Site Log. ","")&amp;IF(AND($D374&lt;&gt;"",$E374&lt;&gt;"",$E374&lt;=$D374),"Bottom depth is not below top depth. ","")&amp;IF($H374="","Say which bulk-density basis the lab reported, or the coarse-fragment correction cannot be applied safely. ","")&amp;IF(AND($I374&lt;&gt;"",OR($I374&lt;QC_BD_MIN,$I374&gt;QC_BD_MAX)),"Bulk density outside "&amp;QC_BD_MIN&amp;"–"&amp;QC_BD_MAX&amp;" g/cm³. ","")&amp;IF(AND($L374&lt;&gt;"",$L374&gt;QC_CARBON_PCT_MAX),"Carbon above "&amp;QC_CARBON_PCT_MAX&amp;"% — check units; this may be organic matter rather than carbon. ","")&amp;IF(AND($J374&lt;&gt;"",$K374&lt;&gt;""),"Both LOI and measured carbon given — the measured value is used. ","")&amp;IF(AND($N374&lt;&gt;"",$N374=0),"Slice lies entirely below the reporting depth — it counts to the full-core stock only. ",""))</f>
        <v/>
      </c>
      <c r="R374" s="13"/>
    </row>
    <row r="375" customFormat="false" ht="15" hidden="false" customHeight="false" outlineLevel="0" collapsed="false">
      <c r="A375" s="13"/>
      <c r="B375" s="13"/>
      <c r="C375" s="13"/>
      <c r="D375" s="13"/>
      <c r="E375" s="13"/>
      <c r="F375" s="13" t="str">
        <f aca="false">IF(OR($D375="",$E375=""),"",$E375-$D375)</f>
        <v/>
      </c>
      <c r="G375" s="13"/>
      <c r="H375" s="13"/>
      <c r="I375" s="15"/>
      <c r="J375" s="15"/>
      <c r="K375" s="15"/>
      <c r="L375" s="14" t="str">
        <f aca="false">IF($K375&lt;&gt;"",$K375,IF($J375&lt;&gt;"",$J375*CARBON_FRACTION_OM,""))</f>
        <v/>
      </c>
      <c r="M375" s="14" t="n">
        <f aca="false">IF($H375="Fine earth / fine-earth volume",1-IF($G375="",0,$G375)/100,1)</f>
        <v>1</v>
      </c>
      <c r="N375" s="14" t="str">
        <f aca="false">IF(OR($D375="",$E375=""),"",MAX(0,MIN($E375,REPORTING_DEPTH_CM)-MIN($D375,REPORTING_DEPTH_CM)))</f>
        <v/>
      </c>
      <c r="O375" s="14" t="str">
        <f aca="false">IF(OR($I375="",$L375="",$N375=""),"",$I375*($L375/100)*$N375*$M375*10)</f>
        <v/>
      </c>
      <c r="P375" s="14" t="str">
        <f aca="false">IF(OR($I375="",$L375="",$F375=""),"",$I375*($L375/100)*$F375*$M375*10)</f>
        <v/>
      </c>
      <c r="Q375" s="14" t="str">
        <f aca="false">IF(AND($A375="",$B375="",$D375=""),"",IF(AND($B375&lt;&gt;"",COUNTIF('2. Core Log'!$A$5:$A$124,$B375)=0),"Core ID not in Core Log. ","")&amp;IF(AND($A375&lt;&gt;"",COUNTIF('1. Plot &amp; Site Log'!$A$5:$A$64,$A375)=0),"Plot ID not in Plot &amp; Site Log. ","")&amp;IF(AND($D375&lt;&gt;"",$E375&lt;&gt;"",$E375&lt;=$D375),"Bottom depth is not below top depth. ","")&amp;IF($H375="","Say which bulk-density basis the lab reported, or the coarse-fragment correction cannot be applied safely. ","")&amp;IF(AND($I375&lt;&gt;"",OR($I375&lt;QC_BD_MIN,$I375&gt;QC_BD_MAX)),"Bulk density outside "&amp;QC_BD_MIN&amp;"–"&amp;QC_BD_MAX&amp;" g/cm³. ","")&amp;IF(AND($L375&lt;&gt;"",$L375&gt;QC_CARBON_PCT_MAX),"Carbon above "&amp;QC_CARBON_PCT_MAX&amp;"% — check units; this may be organic matter rather than carbon. ","")&amp;IF(AND($J375&lt;&gt;"",$K375&lt;&gt;""),"Both LOI and measured carbon given — the measured value is used. ","")&amp;IF(AND($N375&lt;&gt;"",$N375=0),"Slice lies entirely below the reporting depth — it counts to the full-core stock only. ",""))</f>
        <v/>
      </c>
      <c r="R375" s="1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3" t="str">
        <f aca="false">IF(OR($D376="",$E376=""),"",$E376-$D376)</f>
        <v/>
      </c>
      <c r="G376" s="13"/>
      <c r="H376" s="13"/>
      <c r="I376" s="15"/>
      <c r="J376" s="15"/>
      <c r="K376" s="15"/>
      <c r="L376" s="14" t="str">
        <f aca="false">IF($K376&lt;&gt;"",$K376,IF($J376&lt;&gt;"",$J376*CARBON_FRACTION_OM,""))</f>
        <v/>
      </c>
      <c r="M376" s="14" t="n">
        <f aca="false">IF($H376="Fine earth / fine-earth volume",1-IF($G376="",0,$G376)/100,1)</f>
        <v>1</v>
      </c>
      <c r="N376" s="14" t="str">
        <f aca="false">IF(OR($D376="",$E376=""),"",MAX(0,MIN($E376,REPORTING_DEPTH_CM)-MIN($D376,REPORTING_DEPTH_CM)))</f>
        <v/>
      </c>
      <c r="O376" s="14" t="str">
        <f aca="false">IF(OR($I376="",$L376="",$N376=""),"",$I376*($L376/100)*$N376*$M376*10)</f>
        <v/>
      </c>
      <c r="P376" s="14" t="str">
        <f aca="false">IF(OR($I376="",$L376="",$F376=""),"",$I376*($L376/100)*$F376*$M376*10)</f>
        <v/>
      </c>
      <c r="Q376" s="14" t="str">
        <f aca="false">IF(AND($A376="",$B376="",$D376=""),"",IF(AND($B376&lt;&gt;"",COUNTIF('2. Core Log'!$A$5:$A$124,$B376)=0),"Core ID not in Core Log. ","")&amp;IF(AND($A376&lt;&gt;"",COUNTIF('1. Plot &amp; Site Log'!$A$5:$A$64,$A376)=0),"Plot ID not in Plot &amp; Site Log. ","")&amp;IF(AND($D376&lt;&gt;"",$E376&lt;&gt;"",$E376&lt;=$D376),"Bottom depth is not below top depth. ","")&amp;IF($H376="","Say which bulk-density basis the lab reported, or the coarse-fragment correction cannot be applied safely. ","")&amp;IF(AND($I376&lt;&gt;"",OR($I376&lt;QC_BD_MIN,$I376&gt;QC_BD_MAX)),"Bulk density outside "&amp;QC_BD_MIN&amp;"–"&amp;QC_BD_MAX&amp;" g/cm³. ","")&amp;IF(AND($L376&lt;&gt;"",$L376&gt;QC_CARBON_PCT_MAX),"Carbon above "&amp;QC_CARBON_PCT_MAX&amp;"% — check units; this may be organic matter rather than carbon. ","")&amp;IF(AND($J376&lt;&gt;"",$K376&lt;&gt;""),"Both LOI and measured carbon given — the measured value is used. ","")&amp;IF(AND($N376&lt;&gt;"",$N376=0),"Slice lies entirely below the reporting depth — it counts to the full-core stock only. ",""))</f>
        <v/>
      </c>
      <c r="R376" s="13"/>
    </row>
    <row r="377" customFormat="false" ht="15" hidden="false" customHeight="false" outlineLevel="0" collapsed="false">
      <c r="A377" s="13"/>
      <c r="B377" s="13"/>
      <c r="C377" s="13"/>
      <c r="D377" s="13"/>
      <c r="E377" s="13"/>
      <c r="F377" s="13" t="str">
        <f aca="false">IF(OR($D377="",$E377=""),"",$E377-$D377)</f>
        <v/>
      </c>
      <c r="G377" s="13"/>
      <c r="H377" s="13"/>
      <c r="I377" s="15"/>
      <c r="J377" s="15"/>
      <c r="K377" s="15"/>
      <c r="L377" s="14" t="str">
        <f aca="false">IF($K377&lt;&gt;"",$K377,IF($J377&lt;&gt;"",$J377*CARBON_FRACTION_OM,""))</f>
        <v/>
      </c>
      <c r="M377" s="14" t="n">
        <f aca="false">IF($H377="Fine earth / fine-earth volume",1-IF($G377="",0,$G377)/100,1)</f>
        <v>1</v>
      </c>
      <c r="N377" s="14" t="str">
        <f aca="false">IF(OR($D377="",$E377=""),"",MAX(0,MIN($E377,REPORTING_DEPTH_CM)-MIN($D377,REPORTING_DEPTH_CM)))</f>
        <v/>
      </c>
      <c r="O377" s="14" t="str">
        <f aca="false">IF(OR($I377="",$L377="",$N377=""),"",$I377*($L377/100)*$N377*$M377*10)</f>
        <v/>
      </c>
      <c r="P377" s="14" t="str">
        <f aca="false">IF(OR($I377="",$L377="",$F377=""),"",$I377*($L377/100)*$F377*$M377*10)</f>
        <v/>
      </c>
      <c r="Q377" s="14" t="str">
        <f aca="false">IF(AND($A377="",$B377="",$D377=""),"",IF(AND($B377&lt;&gt;"",COUNTIF('2. Core Log'!$A$5:$A$124,$B377)=0),"Core ID not in Core Log. ","")&amp;IF(AND($A377&lt;&gt;"",COUNTIF('1. Plot &amp; Site Log'!$A$5:$A$64,$A377)=0),"Plot ID not in Plot &amp; Site Log. ","")&amp;IF(AND($D377&lt;&gt;"",$E377&lt;&gt;"",$E377&lt;=$D377),"Bottom depth is not below top depth. ","")&amp;IF($H377="","Say which bulk-density basis the lab reported, or the coarse-fragment correction cannot be applied safely. ","")&amp;IF(AND($I377&lt;&gt;"",OR($I377&lt;QC_BD_MIN,$I377&gt;QC_BD_MAX)),"Bulk density outside "&amp;QC_BD_MIN&amp;"–"&amp;QC_BD_MAX&amp;" g/cm³. ","")&amp;IF(AND($L377&lt;&gt;"",$L377&gt;QC_CARBON_PCT_MAX),"Carbon above "&amp;QC_CARBON_PCT_MAX&amp;"% — check units; this may be organic matter rather than carbon. ","")&amp;IF(AND($J377&lt;&gt;"",$K377&lt;&gt;""),"Both LOI and measured carbon given — the measured value is used. ","")&amp;IF(AND($N377&lt;&gt;"",$N377=0),"Slice lies entirely below the reporting depth — it counts to the full-core stock only. ",""))</f>
        <v/>
      </c>
      <c r="R377" s="1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3" t="str">
        <f aca="false">IF(OR($D378="",$E378=""),"",$E378-$D378)</f>
        <v/>
      </c>
      <c r="G378" s="13"/>
      <c r="H378" s="13"/>
      <c r="I378" s="15"/>
      <c r="J378" s="15"/>
      <c r="K378" s="15"/>
      <c r="L378" s="14" t="str">
        <f aca="false">IF($K378&lt;&gt;"",$K378,IF($J378&lt;&gt;"",$J378*CARBON_FRACTION_OM,""))</f>
        <v/>
      </c>
      <c r="M378" s="14" t="n">
        <f aca="false">IF($H378="Fine earth / fine-earth volume",1-IF($G378="",0,$G378)/100,1)</f>
        <v>1</v>
      </c>
      <c r="N378" s="14" t="str">
        <f aca="false">IF(OR($D378="",$E378=""),"",MAX(0,MIN($E378,REPORTING_DEPTH_CM)-MIN($D378,REPORTING_DEPTH_CM)))</f>
        <v/>
      </c>
      <c r="O378" s="14" t="str">
        <f aca="false">IF(OR($I378="",$L378="",$N378=""),"",$I378*($L378/100)*$N378*$M378*10)</f>
        <v/>
      </c>
      <c r="P378" s="14" t="str">
        <f aca="false">IF(OR($I378="",$L378="",$F378=""),"",$I378*($L378/100)*$F378*$M378*10)</f>
        <v/>
      </c>
      <c r="Q378" s="14" t="str">
        <f aca="false">IF(AND($A378="",$B378="",$D378=""),"",IF(AND($B378&lt;&gt;"",COUNTIF('2. Core Log'!$A$5:$A$124,$B378)=0),"Core ID not in Core Log. ","")&amp;IF(AND($A378&lt;&gt;"",COUNTIF('1. Plot &amp; Site Log'!$A$5:$A$64,$A378)=0),"Plot ID not in Plot &amp; Site Log. ","")&amp;IF(AND($D378&lt;&gt;"",$E378&lt;&gt;"",$E378&lt;=$D378),"Bottom depth is not below top depth. ","")&amp;IF($H378="","Say which bulk-density basis the lab reported, or the coarse-fragment correction cannot be applied safely. ","")&amp;IF(AND($I378&lt;&gt;"",OR($I378&lt;QC_BD_MIN,$I378&gt;QC_BD_MAX)),"Bulk density outside "&amp;QC_BD_MIN&amp;"–"&amp;QC_BD_MAX&amp;" g/cm³. ","")&amp;IF(AND($L378&lt;&gt;"",$L378&gt;QC_CARBON_PCT_MAX),"Carbon above "&amp;QC_CARBON_PCT_MAX&amp;"% — check units; this may be organic matter rather than carbon. ","")&amp;IF(AND($J378&lt;&gt;"",$K378&lt;&gt;""),"Both LOI and measured carbon given — the measured value is used. ","")&amp;IF(AND($N378&lt;&gt;"",$N378=0),"Slice lies entirely below the reporting depth — it counts to the full-core stock only. ",""))</f>
        <v/>
      </c>
      <c r="R378" s="13"/>
    </row>
    <row r="379" customFormat="false" ht="15" hidden="false" customHeight="false" outlineLevel="0" collapsed="false">
      <c r="A379" s="13"/>
      <c r="B379" s="13"/>
      <c r="C379" s="13"/>
      <c r="D379" s="13"/>
      <c r="E379" s="13"/>
      <c r="F379" s="13" t="str">
        <f aca="false">IF(OR($D379="",$E379=""),"",$E379-$D379)</f>
        <v/>
      </c>
      <c r="G379" s="13"/>
      <c r="H379" s="13"/>
      <c r="I379" s="15"/>
      <c r="J379" s="15"/>
      <c r="K379" s="15"/>
      <c r="L379" s="14" t="str">
        <f aca="false">IF($K379&lt;&gt;"",$K379,IF($J379&lt;&gt;"",$J379*CARBON_FRACTION_OM,""))</f>
        <v/>
      </c>
      <c r="M379" s="14" t="n">
        <f aca="false">IF($H379="Fine earth / fine-earth volume",1-IF($G379="",0,$G379)/100,1)</f>
        <v>1</v>
      </c>
      <c r="N379" s="14" t="str">
        <f aca="false">IF(OR($D379="",$E379=""),"",MAX(0,MIN($E379,REPORTING_DEPTH_CM)-MIN($D379,REPORTING_DEPTH_CM)))</f>
        <v/>
      </c>
      <c r="O379" s="14" t="str">
        <f aca="false">IF(OR($I379="",$L379="",$N379=""),"",$I379*($L379/100)*$N379*$M379*10)</f>
        <v/>
      </c>
      <c r="P379" s="14" t="str">
        <f aca="false">IF(OR($I379="",$L379="",$F379=""),"",$I379*($L379/100)*$F379*$M379*10)</f>
        <v/>
      </c>
      <c r="Q379" s="14" t="str">
        <f aca="false">IF(AND($A379="",$B379="",$D379=""),"",IF(AND($B379&lt;&gt;"",COUNTIF('2. Core Log'!$A$5:$A$124,$B379)=0),"Core ID not in Core Log. ","")&amp;IF(AND($A379&lt;&gt;"",COUNTIF('1. Plot &amp; Site Log'!$A$5:$A$64,$A379)=0),"Plot ID not in Plot &amp; Site Log. ","")&amp;IF(AND($D379&lt;&gt;"",$E379&lt;&gt;"",$E379&lt;=$D379),"Bottom depth is not below top depth. ","")&amp;IF($H379="","Say which bulk-density basis the lab reported, or the coarse-fragment correction cannot be applied safely. ","")&amp;IF(AND($I379&lt;&gt;"",OR($I379&lt;QC_BD_MIN,$I379&gt;QC_BD_MAX)),"Bulk density outside "&amp;QC_BD_MIN&amp;"–"&amp;QC_BD_MAX&amp;" g/cm³. ","")&amp;IF(AND($L379&lt;&gt;"",$L379&gt;QC_CARBON_PCT_MAX),"Carbon above "&amp;QC_CARBON_PCT_MAX&amp;"% — check units; this may be organic matter rather than carbon. ","")&amp;IF(AND($J379&lt;&gt;"",$K379&lt;&gt;""),"Both LOI and measured carbon given — the measured value is used. ","")&amp;IF(AND($N379&lt;&gt;"",$N379=0),"Slice lies entirely below the reporting depth — it counts to the full-core stock only. ",""))</f>
        <v/>
      </c>
      <c r="R379" s="1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3" t="str">
        <f aca="false">IF(OR($D380="",$E380=""),"",$E380-$D380)</f>
        <v/>
      </c>
      <c r="G380" s="13"/>
      <c r="H380" s="13"/>
      <c r="I380" s="15"/>
      <c r="J380" s="15"/>
      <c r="K380" s="15"/>
      <c r="L380" s="14" t="str">
        <f aca="false">IF($K380&lt;&gt;"",$K380,IF($J380&lt;&gt;"",$J380*CARBON_FRACTION_OM,""))</f>
        <v/>
      </c>
      <c r="M380" s="14" t="n">
        <f aca="false">IF($H380="Fine earth / fine-earth volume",1-IF($G380="",0,$G380)/100,1)</f>
        <v>1</v>
      </c>
      <c r="N380" s="14" t="str">
        <f aca="false">IF(OR($D380="",$E380=""),"",MAX(0,MIN($E380,REPORTING_DEPTH_CM)-MIN($D380,REPORTING_DEPTH_CM)))</f>
        <v/>
      </c>
      <c r="O380" s="14" t="str">
        <f aca="false">IF(OR($I380="",$L380="",$N380=""),"",$I380*($L380/100)*$N380*$M380*10)</f>
        <v/>
      </c>
      <c r="P380" s="14" t="str">
        <f aca="false">IF(OR($I380="",$L380="",$F380=""),"",$I380*($L380/100)*$F380*$M380*10)</f>
        <v/>
      </c>
      <c r="Q380" s="14" t="str">
        <f aca="false">IF(AND($A380="",$B380="",$D380=""),"",IF(AND($B380&lt;&gt;"",COUNTIF('2. Core Log'!$A$5:$A$124,$B380)=0),"Core ID not in Core Log. ","")&amp;IF(AND($A380&lt;&gt;"",COUNTIF('1. Plot &amp; Site Log'!$A$5:$A$64,$A380)=0),"Plot ID not in Plot &amp; Site Log. ","")&amp;IF(AND($D380&lt;&gt;"",$E380&lt;&gt;"",$E380&lt;=$D380),"Bottom depth is not below top depth. ","")&amp;IF($H380="","Say which bulk-density basis the lab reported, or the coarse-fragment correction cannot be applied safely. ","")&amp;IF(AND($I380&lt;&gt;"",OR($I380&lt;QC_BD_MIN,$I380&gt;QC_BD_MAX)),"Bulk density outside "&amp;QC_BD_MIN&amp;"–"&amp;QC_BD_MAX&amp;" g/cm³. ","")&amp;IF(AND($L380&lt;&gt;"",$L380&gt;QC_CARBON_PCT_MAX),"Carbon above "&amp;QC_CARBON_PCT_MAX&amp;"% — check units; this may be organic matter rather than carbon. ","")&amp;IF(AND($J380&lt;&gt;"",$K380&lt;&gt;""),"Both LOI and measured carbon given — the measured value is used. ","")&amp;IF(AND($N380&lt;&gt;"",$N380=0),"Slice lies entirely below the reporting depth — it counts to the full-core stock only. ",""))</f>
        <v/>
      </c>
      <c r="R380" s="13"/>
    </row>
    <row r="381" customFormat="false" ht="15" hidden="false" customHeight="false" outlineLevel="0" collapsed="false">
      <c r="A381" s="13"/>
      <c r="B381" s="13"/>
      <c r="C381" s="13"/>
      <c r="D381" s="13"/>
      <c r="E381" s="13"/>
      <c r="F381" s="13" t="str">
        <f aca="false">IF(OR($D381="",$E381=""),"",$E381-$D381)</f>
        <v/>
      </c>
      <c r="G381" s="13"/>
      <c r="H381" s="13"/>
      <c r="I381" s="15"/>
      <c r="J381" s="15"/>
      <c r="K381" s="15"/>
      <c r="L381" s="14" t="str">
        <f aca="false">IF($K381&lt;&gt;"",$K381,IF($J381&lt;&gt;"",$J381*CARBON_FRACTION_OM,""))</f>
        <v/>
      </c>
      <c r="M381" s="14" t="n">
        <f aca="false">IF($H381="Fine earth / fine-earth volume",1-IF($G381="",0,$G381)/100,1)</f>
        <v>1</v>
      </c>
      <c r="N381" s="14" t="str">
        <f aca="false">IF(OR($D381="",$E381=""),"",MAX(0,MIN($E381,REPORTING_DEPTH_CM)-MIN($D381,REPORTING_DEPTH_CM)))</f>
        <v/>
      </c>
      <c r="O381" s="14" t="str">
        <f aca="false">IF(OR($I381="",$L381="",$N381=""),"",$I381*($L381/100)*$N381*$M381*10)</f>
        <v/>
      </c>
      <c r="P381" s="14" t="str">
        <f aca="false">IF(OR($I381="",$L381="",$F381=""),"",$I381*($L381/100)*$F381*$M381*10)</f>
        <v/>
      </c>
      <c r="Q381" s="14" t="str">
        <f aca="false">IF(AND($A381="",$B381="",$D381=""),"",IF(AND($B381&lt;&gt;"",COUNTIF('2. Core Log'!$A$5:$A$124,$B381)=0),"Core ID not in Core Log. ","")&amp;IF(AND($A381&lt;&gt;"",COUNTIF('1. Plot &amp; Site Log'!$A$5:$A$64,$A381)=0),"Plot ID not in Plot &amp; Site Log. ","")&amp;IF(AND($D381&lt;&gt;"",$E381&lt;&gt;"",$E381&lt;=$D381),"Bottom depth is not below top depth. ","")&amp;IF($H381="","Say which bulk-density basis the lab reported, or the coarse-fragment correction cannot be applied safely. ","")&amp;IF(AND($I381&lt;&gt;"",OR($I381&lt;QC_BD_MIN,$I381&gt;QC_BD_MAX)),"Bulk density outside "&amp;QC_BD_MIN&amp;"–"&amp;QC_BD_MAX&amp;" g/cm³. ","")&amp;IF(AND($L381&lt;&gt;"",$L381&gt;QC_CARBON_PCT_MAX),"Carbon above "&amp;QC_CARBON_PCT_MAX&amp;"% — check units; this may be organic matter rather than carbon. ","")&amp;IF(AND($J381&lt;&gt;"",$K381&lt;&gt;""),"Both LOI and measured carbon given — the measured value is used. ","")&amp;IF(AND($N381&lt;&gt;"",$N381=0),"Slice lies entirely below the reporting depth — it counts to the full-core stock only. ",""))</f>
        <v/>
      </c>
      <c r="R381" s="1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3" t="str">
        <f aca="false">IF(OR($D382="",$E382=""),"",$E382-$D382)</f>
        <v/>
      </c>
      <c r="G382" s="13"/>
      <c r="H382" s="13"/>
      <c r="I382" s="15"/>
      <c r="J382" s="15"/>
      <c r="K382" s="15"/>
      <c r="L382" s="14" t="str">
        <f aca="false">IF($K382&lt;&gt;"",$K382,IF($J382&lt;&gt;"",$J382*CARBON_FRACTION_OM,""))</f>
        <v/>
      </c>
      <c r="M382" s="14" t="n">
        <f aca="false">IF($H382="Fine earth / fine-earth volume",1-IF($G382="",0,$G382)/100,1)</f>
        <v>1</v>
      </c>
      <c r="N382" s="14" t="str">
        <f aca="false">IF(OR($D382="",$E382=""),"",MAX(0,MIN($E382,REPORTING_DEPTH_CM)-MIN($D382,REPORTING_DEPTH_CM)))</f>
        <v/>
      </c>
      <c r="O382" s="14" t="str">
        <f aca="false">IF(OR($I382="",$L382="",$N382=""),"",$I382*($L382/100)*$N382*$M382*10)</f>
        <v/>
      </c>
      <c r="P382" s="14" t="str">
        <f aca="false">IF(OR($I382="",$L382="",$F382=""),"",$I382*($L382/100)*$F382*$M382*10)</f>
        <v/>
      </c>
      <c r="Q382" s="14" t="str">
        <f aca="false">IF(AND($A382="",$B382="",$D382=""),"",IF(AND($B382&lt;&gt;"",COUNTIF('2. Core Log'!$A$5:$A$124,$B382)=0),"Core ID not in Core Log. ","")&amp;IF(AND($A382&lt;&gt;"",COUNTIF('1. Plot &amp; Site Log'!$A$5:$A$64,$A382)=0),"Plot ID not in Plot &amp; Site Log. ","")&amp;IF(AND($D382&lt;&gt;"",$E382&lt;&gt;"",$E382&lt;=$D382),"Bottom depth is not below top depth. ","")&amp;IF($H382="","Say which bulk-density basis the lab reported, or the coarse-fragment correction cannot be applied safely. ","")&amp;IF(AND($I382&lt;&gt;"",OR($I382&lt;QC_BD_MIN,$I382&gt;QC_BD_MAX)),"Bulk density outside "&amp;QC_BD_MIN&amp;"–"&amp;QC_BD_MAX&amp;" g/cm³. ","")&amp;IF(AND($L382&lt;&gt;"",$L382&gt;QC_CARBON_PCT_MAX),"Carbon above "&amp;QC_CARBON_PCT_MAX&amp;"% — check units; this may be organic matter rather than carbon. ","")&amp;IF(AND($J382&lt;&gt;"",$K382&lt;&gt;""),"Both LOI and measured carbon given — the measured value is used. ","")&amp;IF(AND($N382&lt;&gt;"",$N382=0),"Slice lies entirely below the reporting depth — it counts to the full-core stock only. ",""))</f>
        <v/>
      </c>
      <c r="R382" s="13"/>
    </row>
    <row r="383" customFormat="false" ht="15" hidden="false" customHeight="false" outlineLevel="0" collapsed="false">
      <c r="A383" s="13"/>
      <c r="B383" s="13"/>
      <c r="C383" s="13"/>
      <c r="D383" s="13"/>
      <c r="E383" s="13"/>
      <c r="F383" s="13" t="str">
        <f aca="false">IF(OR($D383="",$E383=""),"",$E383-$D383)</f>
        <v/>
      </c>
      <c r="G383" s="13"/>
      <c r="H383" s="13"/>
      <c r="I383" s="15"/>
      <c r="J383" s="15"/>
      <c r="K383" s="15"/>
      <c r="L383" s="14" t="str">
        <f aca="false">IF($K383&lt;&gt;"",$K383,IF($J383&lt;&gt;"",$J383*CARBON_FRACTION_OM,""))</f>
        <v/>
      </c>
      <c r="M383" s="14" t="n">
        <f aca="false">IF($H383="Fine earth / fine-earth volume",1-IF($G383="",0,$G383)/100,1)</f>
        <v>1</v>
      </c>
      <c r="N383" s="14" t="str">
        <f aca="false">IF(OR($D383="",$E383=""),"",MAX(0,MIN($E383,REPORTING_DEPTH_CM)-MIN($D383,REPORTING_DEPTH_CM)))</f>
        <v/>
      </c>
      <c r="O383" s="14" t="str">
        <f aca="false">IF(OR($I383="",$L383="",$N383=""),"",$I383*($L383/100)*$N383*$M383*10)</f>
        <v/>
      </c>
      <c r="P383" s="14" t="str">
        <f aca="false">IF(OR($I383="",$L383="",$F383=""),"",$I383*($L383/100)*$F383*$M383*10)</f>
        <v/>
      </c>
      <c r="Q383" s="14" t="str">
        <f aca="false">IF(AND($A383="",$B383="",$D383=""),"",IF(AND($B383&lt;&gt;"",COUNTIF('2. Core Log'!$A$5:$A$124,$B383)=0),"Core ID not in Core Log. ","")&amp;IF(AND($A383&lt;&gt;"",COUNTIF('1. Plot &amp; Site Log'!$A$5:$A$64,$A383)=0),"Plot ID not in Plot &amp; Site Log. ","")&amp;IF(AND($D383&lt;&gt;"",$E383&lt;&gt;"",$E383&lt;=$D383),"Bottom depth is not below top depth. ","")&amp;IF($H383="","Say which bulk-density basis the lab reported, or the coarse-fragment correction cannot be applied safely. ","")&amp;IF(AND($I383&lt;&gt;"",OR($I383&lt;QC_BD_MIN,$I383&gt;QC_BD_MAX)),"Bulk density outside "&amp;QC_BD_MIN&amp;"–"&amp;QC_BD_MAX&amp;" g/cm³. ","")&amp;IF(AND($L383&lt;&gt;"",$L383&gt;QC_CARBON_PCT_MAX),"Carbon above "&amp;QC_CARBON_PCT_MAX&amp;"% — check units; this may be organic matter rather than carbon. ","")&amp;IF(AND($J383&lt;&gt;"",$K383&lt;&gt;""),"Both LOI and measured carbon given — the measured value is used. ","")&amp;IF(AND($N383&lt;&gt;"",$N383=0),"Slice lies entirely below the reporting depth — it counts to the full-core stock only. ",""))</f>
        <v/>
      </c>
      <c r="R383" s="1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3" t="str">
        <f aca="false">IF(OR($D384="",$E384=""),"",$E384-$D384)</f>
        <v/>
      </c>
      <c r="G384" s="13"/>
      <c r="H384" s="13"/>
      <c r="I384" s="15"/>
      <c r="J384" s="15"/>
      <c r="K384" s="15"/>
      <c r="L384" s="14" t="str">
        <f aca="false">IF($K384&lt;&gt;"",$K384,IF($J384&lt;&gt;"",$J384*CARBON_FRACTION_OM,""))</f>
        <v/>
      </c>
      <c r="M384" s="14" t="n">
        <f aca="false">IF($H384="Fine earth / fine-earth volume",1-IF($G384="",0,$G384)/100,1)</f>
        <v>1</v>
      </c>
      <c r="N384" s="14" t="str">
        <f aca="false">IF(OR($D384="",$E384=""),"",MAX(0,MIN($E384,REPORTING_DEPTH_CM)-MIN($D384,REPORTING_DEPTH_CM)))</f>
        <v/>
      </c>
      <c r="O384" s="14" t="str">
        <f aca="false">IF(OR($I384="",$L384="",$N384=""),"",$I384*($L384/100)*$N384*$M384*10)</f>
        <v/>
      </c>
      <c r="P384" s="14" t="str">
        <f aca="false">IF(OR($I384="",$L384="",$F384=""),"",$I384*($L384/100)*$F384*$M384*10)</f>
        <v/>
      </c>
      <c r="Q384" s="14" t="str">
        <f aca="false">IF(AND($A384="",$B384="",$D384=""),"",IF(AND($B384&lt;&gt;"",COUNTIF('2. Core Log'!$A$5:$A$124,$B384)=0),"Core ID not in Core Log. ","")&amp;IF(AND($A384&lt;&gt;"",COUNTIF('1. Plot &amp; Site Log'!$A$5:$A$64,$A384)=0),"Plot ID not in Plot &amp; Site Log. ","")&amp;IF(AND($D384&lt;&gt;"",$E384&lt;&gt;"",$E384&lt;=$D384),"Bottom depth is not below top depth. ","")&amp;IF($H384="","Say which bulk-density basis the lab reported, or the coarse-fragment correction cannot be applied safely. ","")&amp;IF(AND($I384&lt;&gt;"",OR($I384&lt;QC_BD_MIN,$I384&gt;QC_BD_MAX)),"Bulk density outside "&amp;QC_BD_MIN&amp;"–"&amp;QC_BD_MAX&amp;" g/cm³. ","")&amp;IF(AND($L384&lt;&gt;"",$L384&gt;QC_CARBON_PCT_MAX),"Carbon above "&amp;QC_CARBON_PCT_MAX&amp;"% — check units; this may be organic matter rather than carbon. ","")&amp;IF(AND($J384&lt;&gt;"",$K384&lt;&gt;""),"Both LOI and measured carbon given — the measured value is used. ","")&amp;IF(AND($N384&lt;&gt;"",$N384=0),"Slice lies entirely below the reporting depth — it counts to the full-core stock only. ",""))</f>
        <v/>
      </c>
      <c r="R384" s="13"/>
    </row>
    <row r="385" customFormat="false" ht="15" hidden="false" customHeight="false" outlineLevel="0" collapsed="false">
      <c r="A385" s="13"/>
      <c r="B385" s="13"/>
      <c r="C385" s="13"/>
      <c r="D385" s="13"/>
      <c r="E385" s="13"/>
      <c r="F385" s="13" t="str">
        <f aca="false">IF(OR($D385="",$E385=""),"",$E385-$D385)</f>
        <v/>
      </c>
      <c r="G385" s="13"/>
      <c r="H385" s="13"/>
      <c r="I385" s="15"/>
      <c r="J385" s="15"/>
      <c r="K385" s="15"/>
      <c r="L385" s="14" t="str">
        <f aca="false">IF($K385&lt;&gt;"",$K385,IF($J385&lt;&gt;"",$J385*CARBON_FRACTION_OM,""))</f>
        <v/>
      </c>
      <c r="M385" s="14" t="n">
        <f aca="false">IF($H385="Fine earth / fine-earth volume",1-IF($G385="",0,$G385)/100,1)</f>
        <v>1</v>
      </c>
      <c r="N385" s="14" t="str">
        <f aca="false">IF(OR($D385="",$E385=""),"",MAX(0,MIN($E385,REPORTING_DEPTH_CM)-MIN($D385,REPORTING_DEPTH_CM)))</f>
        <v/>
      </c>
      <c r="O385" s="14" t="str">
        <f aca="false">IF(OR($I385="",$L385="",$N385=""),"",$I385*($L385/100)*$N385*$M385*10)</f>
        <v/>
      </c>
      <c r="P385" s="14" t="str">
        <f aca="false">IF(OR($I385="",$L385="",$F385=""),"",$I385*($L385/100)*$F385*$M385*10)</f>
        <v/>
      </c>
      <c r="Q385" s="14" t="str">
        <f aca="false">IF(AND($A385="",$B385="",$D385=""),"",IF(AND($B385&lt;&gt;"",COUNTIF('2. Core Log'!$A$5:$A$124,$B385)=0),"Core ID not in Core Log. ","")&amp;IF(AND($A385&lt;&gt;"",COUNTIF('1. Plot &amp; Site Log'!$A$5:$A$64,$A385)=0),"Plot ID not in Plot &amp; Site Log. ","")&amp;IF(AND($D385&lt;&gt;"",$E385&lt;&gt;"",$E385&lt;=$D385),"Bottom depth is not below top depth. ","")&amp;IF($H385="","Say which bulk-density basis the lab reported, or the coarse-fragment correction cannot be applied safely. ","")&amp;IF(AND($I385&lt;&gt;"",OR($I385&lt;QC_BD_MIN,$I385&gt;QC_BD_MAX)),"Bulk density outside "&amp;QC_BD_MIN&amp;"–"&amp;QC_BD_MAX&amp;" g/cm³. ","")&amp;IF(AND($L385&lt;&gt;"",$L385&gt;QC_CARBON_PCT_MAX),"Carbon above "&amp;QC_CARBON_PCT_MAX&amp;"% — check units; this may be organic matter rather than carbon. ","")&amp;IF(AND($J385&lt;&gt;"",$K385&lt;&gt;""),"Both LOI and measured carbon given — the measured value is used. ","")&amp;IF(AND($N385&lt;&gt;"",$N385=0),"Slice lies entirely below the reporting depth — it counts to the full-core stock only. ",""))</f>
        <v/>
      </c>
      <c r="R385" s="1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3" t="str">
        <f aca="false">IF(OR($D386="",$E386=""),"",$E386-$D386)</f>
        <v/>
      </c>
      <c r="G386" s="13"/>
      <c r="H386" s="13"/>
      <c r="I386" s="15"/>
      <c r="J386" s="15"/>
      <c r="K386" s="15"/>
      <c r="L386" s="14" t="str">
        <f aca="false">IF($K386&lt;&gt;"",$K386,IF($J386&lt;&gt;"",$J386*CARBON_FRACTION_OM,""))</f>
        <v/>
      </c>
      <c r="M386" s="14" t="n">
        <f aca="false">IF($H386="Fine earth / fine-earth volume",1-IF($G386="",0,$G386)/100,1)</f>
        <v>1</v>
      </c>
      <c r="N386" s="14" t="str">
        <f aca="false">IF(OR($D386="",$E386=""),"",MAX(0,MIN($E386,REPORTING_DEPTH_CM)-MIN($D386,REPORTING_DEPTH_CM)))</f>
        <v/>
      </c>
      <c r="O386" s="14" t="str">
        <f aca="false">IF(OR($I386="",$L386="",$N386=""),"",$I386*($L386/100)*$N386*$M386*10)</f>
        <v/>
      </c>
      <c r="P386" s="14" t="str">
        <f aca="false">IF(OR($I386="",$L386="",$F386=""),"",$I386*($L386/100)*$F386*$M386*10)</f>
        <v/>
      </c>
      <c r="Q386" s="14" t="str">
        <f aca="false">IF(AND($A386="",$B386="",$D386=""),"",IF(AND($B386&lt;&gt;"",COUNTIF('2. Core Log'!$A$5:$A$124,$B386)=0),"Core ID not in Core Log. ","")&amp;IF(AND($A386&lt;&gt;"",COUNTIF('1. Plot &amp; Site Log'!$A$5:$A$64,$A386)=0),"Plot ID not in Plot &amp; Site Log. ","")&amp;IF(AND($D386&lt;&gt;"",$E386&lt;&gt;"",$E386&lt;=$D386),"Bottom depth is not below top depth. ","")&amp;IF($H386="","Say which bulk-density basis the lab reported, or the coarse-fragment correction cannot be applied safely. ","")&amp;IF(AND($I386&lt;&gt;"",OR($I386&lt;QC_BD_MIN,$I386&gt;QC_BD_MAX)),"Bulk density outside "&amp;QC_BD_MIN&amp;"–"&amp;QC_BD_MAX&amp;" g/cm³. ","")&amp;IF(AND($L386&lt;&gt;"",$L386&gt;QC_CARBON_PCT_MAX),"Carbon above "&amp;QC_CARBON_PCT_MAX&amp;"% — check units; this may be organic matter rather than carbon. ","")&amp;IF(AND($J386&lt;&gt;"",$K386&lt;&gt;""),"Both LOI and measured carbon given — the measured value is used. ","")&amp;IF(AND($N386&lt;&gt;"",$N386=0),"Slice lies entirely below the reporting depth — it counts to the full-core stock only. ",""))</f>
        <v/>
      </c>
      <c r="R386" s="13"/>
    </row>
    <row r="387" customFormat="false" ht="15" hidden="false" customHeight="false" outlineLevel="0" collapsed="false">
      <c r="A387" s="13"/>
      <c r="B387" s="13"/>
      <c r="C387" s="13"/>
      <c r="D387" s="13"/>
      <c r="E387" s="13"/>
      <c r="F387" s="13" t="str">
        <f aca="false">IF(OR($D387="",$E387=""),"",$E387-$D387)</f>
        <v/>
      </c>
      <c r="G387" s="13"/>
      <c r="H387" s="13"/>
      <c r="I387" s="15"/>
      <c r="J387" s="15"/>
      <c r="K387" s="15"/>
      <c r="L387" s="14" t="str">
        <f aca="false">IF($K387&lt;&gt;"",$K387,IF($J387&lt;&gt;"",$J387*CARBON_FRACTION_OM,""))</f>
        <v/>
      </c>
      <c r="M387" s="14" t="n">
        <f aca="false">IF($H387="Fine earth / fine-earth volume",1-IF($G387="",0,$G387)/100,1)</f>
        <v>1</v>
      </c>
      <c r="N387" s="14" t="str">
        <f aca="false">IF(OR($D387="",$E387=""),"",MAX(0,MIN($E387,REPORTING_DEPTH_CM)-MIN($D387,REPORTING_DEPTH_CM)))</f>
        <v/>
      </c>
      <c r="O387" s="14" t="str">
        <f aca="false">IF(OR($I387="",$L387="",$N387=""),"",$I387*($L387/100)*$N387*$M387*10)</f>
        <v/>
      </c>
      <c r="P387" s="14" t="str">
        <f aca="false">IF(OR($I387="",$L387="",$F387=""),"",$I387*($L387/100)*$F387*$M387*10)</f>
        <v/>
      </c>
      <c r="Q387" s="14" t="str">
        <f aca="false">IF(AND($A387="",$B387="",$D387=""),"",IF(AND($B387&lt;&gt;"",COUNTIF('2. Core Log'!$A$5:$A$124,$B387)=0),"Core ID not in Core Log. ","")&amp;IF(AND($A387&lt;&gt;"",COUNTIF('1. Plot &amp; Site Log'!$A$5:$A$64,$A387)=0),"Plot ID not in Plot &amp; Site Log. ","")&amp;IF(AND($D387&lt;&gt;"",$E387&lt;&gt;"",$E387&lt;=$D387),"Bottom depth is not below top depth. ","")&amp;IF($H387="","Say which bulk-density basis the lab reported, or the coarse-fragment correction cannot be applied safely. ","")&amp;IF(AND($I387&lt;&gt;"",OR($I387&lt;QC_BD_MIN,$I387&gt;QC_BD_MAX)),"Bulk density outside "&amp;QC_BD_MIN&amp;"–"&amp;QC_BD_MAX&amp;" g/cm³. ","")&amp;IF(AND($L387&lt;&gt;"",$L387&gt;QC_CARBON_PCT_MAX),"Carbon above "&amp;QC_CARBON_PCT_MAX&amp;"% — check units; this may be organic matter rather than carbon. ","")&amp;IF(AND($J387&lt;&gt;"",$K387&lt;&gt;""),"Both LOI and measured carbon given — the measured value is used. ","")&amp;IF(AND($N387&lt;&gt;"",$N387=0),"Slice lies entirely below the reporting depth — it counts to the full-core stock only. ",""))</f>
        <v/>
      </c>
      <c r="R387" s="1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3" t="str">
        <f aca="false">IF(OR($D388="",$E388=""),"",$E388-$D388)</f>
        <v/>
      </c>
      <c r="G388" s="13"/>
      <c r="H388" s="13"/>
      <c r="I388" s="15"/>
      <c r="J388" s="15"/>
      <c r="K388" s="15"/>
      <c r="L388" s="14" t="str">
        <f aca="false">IF($K388&lt;&gt;"",$K388,IF($J388&lt;&gt;"",$J388*CARBON_FRACTION_OM,""))</f>
        <v/>
      </c>
      <c r="M388" s="14" t="n">
        <f aca="false">IF($H388="Fine earth / fine-earth volume",1-IF($G388="",0,$G388)/100,1)</f>
        <v>1</v>
      </c>
      <c r="N388" s="14" t="str">
        <f aca="false">IF(OR($D388="",$E388=""),"",MAX(0,MIN($E388,REPORTING_DEPTH_CM)-MIN($D388,REPORTING_DEPTH_CM)))</f>
        <v/>
      </c>
      <c r="O388" s="14" t="str">
        <f aca="false">IF(OR($I388="",$L388="",$N388=""),"",$I388*($L388/100)*$N388*$M388*10)</f>
        <v/>
      </c>
      <c r="P388" s="14" t="str">
        <f aca="false">IF(OR($I388="",$L388="",$F388=""),"",$I388*($L388/100)*$F388*$M388*10)</f>
        <v/>
      </c>
      <c r="Q388" s="14" t="str">
        <f aca="false">IF(AND($A388="",$B388="",$D388=""),"",IF(AND($B388&lt;&gt;"",COUNTIF('2. Core Log'!$A$5:$A$124,$B388)=0),"Core ID not in Core Log. ","")&amp;IF(AND($A388&lt;&gt;"",COUNTIF('1. Plot &amp; Site Log'!$A$5:$A$64,$A388)=0),"Plot ID not in Plot &amp; Site Log. ","")&amp;IF(AND($D388&lt;&gt;"",$E388&lt;&gt;"",$E388&lt;=$D388),"Bottom depth is not below top depth. ","")&amp;IF($H388="","Say which bulk-density basis the lab reported, or the coarse-fragment correction cannot be applied safely. ","")&amp;IF(AND($I388&lt;&gt;"",OR($I388&lt;QC_BD_MIN,$I388&gt;QC_BD_MAX)),"Bulk density outside "&amp;QC_BD_MIN&amp;"–"&amp;QC_BD_MAX&amp;" g/cm³. ","")&amp;IF(AND($L388&lt;&gt;"",$L388&gt;QC_CARBON_PCT_MAX),"Carbon above "&amp;QC_CARBON_PCT_MAX&amp;"% — check units; this may be organic matter rather than carbon. ","")&amp;IF(AND($J388&lt;&gt;"",$K388&lt;&gt;""),"Both LOI and measured carbon given — the measured value is used. ","")&amp;IF(AND($N388&lt;&gt;"",$N388=0),"Slice lies entirely below the reporting depth — it counts to the full-core stock only. ",""))</f>
        <v/>
      </c>
      <c r="R388" s="13"/>
    </row>
    <row r="389" customFormat="false" ht="15" hidden="false" customHeight="false" outlineLevel="0" collapsed="false">
      <c r="A389" s="13"/>
      <c r="B389" s="13"/>
      <c r="C389" s="13"/>
      <c r="D389" s="13"/>
      <c r="E389" s="13"/>
      <c r="F389" s="13" t="str">
        <f aca="false">IF(OR($D389="",$E389=""),"",$E389-$D389)</f>
        <v/>
      </c>
      <c r="G389" s="13"/>
      <c r="H389" s="13"/>
      <c r="I389" s="15"/>
      <c r="J389" s="15"/>
      <c r="K389" s="15"/>
      <c r="L389" s="14" t="str">
        <f aca="false">IF($K389&lt;&gt;"",$K389,IF($J389&lt;&gt;"",$J389*CARBON_FRACTION_OM,""))</f>
        <v/>
      </c>
      <c r="M389" s="14" t="n">
        <f aca="false">IF($H389="Fine earth / fine-earth volume",1-IF($G389="",0,$G389)/100,1)</f>
        <v>1</v>
      </c>
      <c r="N389" s="14" t="str">
        <f aca="false">IF(OR($D389="",$E389=""),"",MAX(0,MIN($E389,REPORTING_DEPTH_CM)-MIN($D389,REPORTING_DEPTH_CM)))</f>
        <v/>
      </c>
      <c r="O389" s="14" t="str">
        <f aca="false">IF(OR($I389="",$L389="",$N389=""),"",$I389*($L389/100)*$N389*$M389*10)</f>
        <v/>
      </c>
      <c r="P389" s="14" t="str">
        <f aca="false">IF(OR($I389="",$L389="",$F389=""),"",$I389*($L389/100)*$F389*$M389*10)</f>
        <v/>
      </c>
      <c r="Q389" s="14" t="str">
        <f aca="false">IF(AND($A389="",$B389="",$D389=""),"",IF(AND($B389&lt;&gt;"",COUNTIF('2. Core Log'!$A$5:$A$124,$B389)=0),"Core ID not in Core Log. ","")&amp;IF(AND($A389&lt;&gt;"",COUNTIF('1. Plot &amp; Site Log'!$A$5:$A$64,$A389)=0),"Plot ID not in Plot &amp; Site Log. ","")&amp;IF(AND($D389&lt;&gt;"",$E389&lt;&gt;"",$E389&lt;=$D389),"Bottom depth is not below top depth. ","")&amp;IF($H389="","Say which bulk-density basis the lab reported, or the coarse-fragment correction cannot be applied safely. ","")&amp;IF(AND($I389&lt;&gt;"",OR($I389&lt;QC_BD_MIN,$I389&gt;QC_BD_MAX)),"Bulk density outside "&amp;QC_BD_MIN&amp;"–"&amp;QC_BD_MAX&amp;" g/cm³. ","")&amp;IF(AND($L389&lt;&gt;"",$L389&gt;QC_CARBON_PCT_MAX),"Carbon above "&amp;QC_CARBON_PCT_MAX&amp;"% — check units; this may be organic matter rather than carbon. ","")&amp;IF(AND($J389&lt;&gt;"",$K389&lt;&gt;""),"Both LOI and measured carbon given — the measured value is used. ","")&amp;IF(AND($N389&lt;&gt;"",$N389=0),"Slice lies entirely below the reporting depth — it counts to the full-core stock only. ",""))</f>
        <v/>
      </c>
      <c r="R389" s="1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3" t="str">
        <f aca="false">IF(OR($D390="",$E390=""),"",$E390-$D390)</f>
        <v/>
      </c>
      <c r="G390" s="13"/>
      <c r="H390" s="13"/>
      <c r="I390" s="15"/>
      <c r="J390" s="15"/>
      <c r="K390" s="15"/>
      <c r="L390" s="14" t="str">
        <f aca="false">IF($K390&lt;&gt;"",$K390,IF($J390&lt;&gt;"",$J390*CARBON_FRACTION_OM,""))</f>
        <v/>
      </c>
      <c r="M390" s="14" t="n">
        <f aca="false">IF($H390="Fine earth / fine-earth volume",1-IF($G390="",0,$G390)/100,1)</f>
        <v>1</v>
      </c>
      <c r="N390" s="14" t="str">
        <f aca="false">IF(OR($D390="",$E390=""),"",MAX(0,MIN($E390,REPORTING_DEPTH_CM)-MIN($D390,REPORTING_DEPTH_CM)))</f>
        <v/>
      </c>
      <c r="O390" s="14" t="str">
        <f aca="false">IF(OR($I390="",$L390="",$N390=""),"",$I390*($L390/100)*$N390*$M390*10)</f>
        <v/>
      </c>
      <c r="P390" s="14" t="str">
        <f aca="false">IF(OR($I390="",$L390="",$F390=""),"",$I390*($L390/100)*$F390*$M390*10)</f>
        <v/>
      </c>
      <c r="Q390" s="14" t="str">
        <f aca="false">IF(AND($A390="",$B390="",$D390=""),"",IF(AND($B390&lt;&gt;"",COUNTIF('2. Core Log'!$A$5:$A$124,$B390)=0),"Core ID not in Core Log. ","")&amp;IF(AND($A390&lt;&gt;"",COUNTIF('1. Plot &amp; Site Log'!$A$5:$A$64,$A390)=0),"Plot ID not in Plot &amp; Site Log. ","")&amp;IF(AND($D390&lt;&gt;"",$E390&lt;&gt;"",$E390&lt;=$D390),"Bottom depth is not below top depth. ","")&amp;IF($H390="","Say which bulk-density basis the lab reported, or the coarse-fragment correction cannot be applied safely. ","")&amp;IF(AND($I390&lt;&gt;"",OR($I390&lt;QC_BD_MIN,$I390&gt;QC_BD_MAX)),"Bulk density outside "&amp;QC_BD_MIN&amp;"–"&amp;QC_BD_MAX&amp;" g/cm³. ","")&amp;IF(AND($L390&lt;&gt;"",$L390&gt;QC_CARBON_PCT_MAX),"Carbon above "&amp;QC_CARBON_PCT_MAX&amp;"% — check units; this may be organic matter rather than carbon. ","")&amp;IF(AND($J390&lt;&gt;"",$K390&lt;&gt;""),"Both LOI and measured carbon given — the measured value is used. ","")&amp;IF(AND($N390&lt;&gt;"",$N390=0),"Slice lies entirely below the reporting depth — it counts to the full-core stock only. ",""))</f>
        <v/>
      </c>
      <c r="R390" s="13"/>
    </row>
    <row r="391" customFormat="false" ht="15" hidden="false" customHeight="false" outlineLevel="0" collapsed="false">
      <c r="A391" s="13"/>
      <c r="B391" s="13"/>
      <c r="C391" s="13"/>
      <c r="D391" s="13"/>
      <c r="E391" s="13"/>
      <c r="F391" s="13" t="str">
        <f aca="false">IF(OR($D391="",$E391=""),"",$E391-$D391)</f>
        <v/>
      </c>
      <c r="G391" s="13"/>
      <c r="H391" s="13"/>
      <c r="I391" s="15"/>
      <c r="J391" s="15"/>
      <c r="K391" s="15"/>
      <c r="L391" s="14" t="str">
        <f aca="false">IF($K391&lt;&gt;"",$K391,IF($J391&lt;&gt;"",$J391*CARBON_FRACTION_OM,""))</f>
        <v/>
      </c>
      <c r="M391" s="14" t="n">
        <f aca="false">IF($H391="Fine earth / fine-earth volume",1-IF($G391="",0,$G391)/100,1)</f>
        <v>1</v>
      </c>
      <c r="N391" s="14" t="str">
        <f aca="false">IF(OR($D391="",$E391=""),"",MAX(0,MIN($E391,REPORTING_DEPTH_CM)-MIN($D391,REPORTING_DEPTH_CM)))</f>
        <v/>
      </c>
      <c r="O391" s="14" t="str">
        <f aca="false">IF(OR($I391="",$L391="",$N391=""),"",$I391*($L391/100)*$N391*$M391*10)</f>
        <v/>
      </c>
      <c r="P391" s="14" t="str">
        <f aca="false">IF(OR($I391="",$L391="",$F391=""),"",$I391*($L391/100)*$F391*$M391*10)</f>
        <v/>
      </c>
      <c r="Q391" s="14" t="str">
        <f aca="false">IF(AND($A391="",$B391="",$D391=""),"",IF(AND($B391&lt;&gt;"",COUNTIF('2. Core Log'!$A$5:$A$124,$B391)=0),"Core ID not in Core Log. ","")&amp;IF(AND($A391&lt;&gt;"",COUNTIF('1. Plot &amp; Site Log'!$A$5:$A$64,$A391)=0),"Plot ID not in Plot &amp; Site Log. ","")&amp;IF(AND($D391&lt;&gt;"",$E391&lt;&gt;"",$E391&lt;=$D391),"Bottom depth is not below top depth. ","")&amp;IF($H391="","Say which bulk-density basis the lab reported, or the coarse-fragment correction cannot be applied safely. ","")&amp;IF(AND($I391&lt;&gt;"",OR($I391&lt;QC_BD_MIN,$I391&gt;QC_BD_MAX)),"Bulk density outside "&amp;QC_BD_MIN&amp;"–"&amp;QC_BD_MAX&amp;" g/cm³. ","")&amp;IF(AND($L391&lt;&gt;"",$L391&gt;QC_CARBON_PCT_MAX),"Carbon above "&amp;QC_CARBON_PCT_MAX&amp;"% — check units; this may be organic matter rather than carbon. ","")&amp;IF(AND($J391&lt;&gt;"",$K391&lt;&gt;""),"Both LOI and measured carbon given — the measured value is used. ","")&amp;IF(AND($N391&lt;&gt;"",$N391=0),"Slice lies entirely below the reporting depth — it counts to the full-core stock only. ",""))</f>
        <v/>
      </c>
      <c r="R391" s="1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3" t="str">
        <f aca="false">IF(OR($D392="",$E392=""),"",$E392-$D392)</f>
        <v/>
      </c>
      <c r="G392" s="13"/>
      <c r="H392" s="13"/>
      <c r="I392" s="15"/>
      <c r="J392" s="15"/>
      <c r="K392" s="15"/>
      <c r="L392" s="14" t="str">
        <f aca="false">IF($K392&lt;&gt;"",$K392,IF($J392&lt;&gt;"",$J392*CARBON_FRACTION_OM,""))</f>
        <v/>
      </c>
      <c r="M392" s="14" t="n">
        <f aca="false">IF($H392="Fine earth / fine-earth volume",1-IF($G392="",0,$G392)/100,1)</f>
        <v>1</v>
      </c>
      <c r="N392" s="14" t="str">
        <f aca="false">IF(OR($D392="",$E392=""),"",MAX(0,MIN($E392,REPORTING_DEPTH_CM)-MIN($D392,REPORTING_DEPTH_CM)))</f>
        <v/>
      </c>
      <c r="O392" s="14" t="str">
        <f aca="false">IF(OR($I392="",$L392="",$N392=""),"",$I392*($L392/100)*$N392*$M392*10)</f>
        <v/>
      </c>
      <c r="P392" s="14" t="str">
        <f aca="false">IF(OR($I392="",$L392="",$F392=""),"",$I392*($L392/100)*$F392*$M392*10)</f>
        <v/>
      </c>
      <c r="Q392" s="14" t="str">
        <f aca="false">IF(AND($A392="",$B392="",$D392=""),"",IF(AND($B392&lt;&gt;"",COUNTIF('2. Core Log'!$A$5:$A$124,$B392)=0),"Core ID not in Core Log. ","")&amp;IF(AND($A392&lt;&gt;"",COUNTIF('1. Plot &amp; Site Log'!$A$5:$A$64,$A392)=0),"Plot ID not in Plot &amp; Site Log. ","")&amp;IF(AND($D392&lt;&gt;"",$E392&lt;&gt;"",$E392&lt;=$D392),"Bottom depth is not below top depth. ","")&amp;IF($H392="","Say which bulk-density basis the lab reported, or the coarse-fragment correction cannot be applied safely. ","")&amp;IF(AND($I392&lt;&gt;"",OR($I392&lt;QC_BD_MIN,$I392&gt;QC_BD_MAX)),"Bulk density outside "&amp;QC_BD_MIN&amp;"–"&amp;QC_BD_MAX&amp;" g/cm³. ","")&amp;IF(AND($L392&lt;&gt;"",$L392&gt;QC_CARBON_PCT_MAX),"Carbon above "&amp;QC_CARBON_PCT_MAX&amp;"% — check units; this may be organic matter rather than carbon. ","")&amp;IF(AND($J392&lt;&gt;"",$K392&lt;&gt;""),"Both LOI and measured carbon given — the measured value is used. ","")&amp;IF(AND($N392&lt;&gt;"",$N392=0),"Slice lies entirely below the reporting depth — it counts to the full-core stock only. ",""))</f>
        <v/>
      </c>
      <c r="R392" s="13"/>
    </row>
    <row r="393" customFormat="false" ht="15" hidden="false" customHeight="false" outlineLevel="0" collapsed="false">
      <c r="A393" s="13"/>
      <c r="B393" s="13"/>
      <c r="C393" s="13"/>
      <c r="D393" s="13"/>
      <c r="E393" s="13"/>
      <c r="F393" s="13" t="str">
        <f aca="false">IF(OR($D393="",$E393=""),"",$E393-$D393)</f>
        <v/>
      </c>
      <c r="G393" s="13"/>
      <c r="H393" s="13"/>
      <c r="I393" s="15"/>
      <c r="J393" s="15"/>
      <c r="K393" s="15"/>
      <c r="L393" s="14" t="str">
        <f aca="false">IF($K393&lt;&gt;"",$K393,IF($J393&lt;&gt;"",$J393*CARBON_FRACTION_OM,""))</f>
        <v/>
      </c>
      <c r="M393" s="14" t="n">
        <f aca="false">IF($H393="Fine earth / fine-earth volume",1-IF($G393="",0,$G393)/100,1)</f>
        <v>1</v>
      </c>
      <c r="N393" s="14" t="str">
        <f aca="false">IF(OR($D393="",$E393=""),"",MAX(0,MIN($E393,REPORTING_DEPTH_CM)-MIN($D393,REPORTING_DEPTH_CM)))</f>
        <v/>
      </c>
      <c r="O393" s="14" t="str">
        <f aca="false">IF(OR($I393="",$L393="",$N393=""),"",$I393*($L393/100)*$N393*$M393*10)</f>
        <v/>
      </c>
      <c r="P393" s="14" t="str">
        <f aca="false">IF(OR($I393="",$L393="",$F393=""),"",$I393*($L393/100)*$F393*$M393*10)</f>
        <v/>
      </c>
      <c r="Q393" s="14" t="str">
        <f aca="false">IF(AND($A393="",$B393="",$D393=""),"",IF(AND($B393&lt;&gt;"",COUNTIF('2. Core Log'!$A$5:$A$124,$B393)=0),"Core ID not in Core Log. ","")&amp;IF(AND($A393&lt;&gt;"",COUNTIF('1. Plot &amp; Site Log'!$A$5:$A$64,$A393)=0),"Plot ID not in Plot &amp; Site Log. ","")&amp;IF(AND($D393&lt;&gt;"",$E393&lt;&gt;"",$E393&lt;=$D393),"Bottom depth is not below top depth. ","")&amp;IF($H393="","Say which bulk-density basis the lab reported, or the coarse-fragment correction cannot be applied safely. ","")&amp;IF(AND($I393&lt;&gt;"",OR($I393&lt;QC_BD_MIN,$I393&gt;QC_BD_MAX)),"Bulk density outside "&amp;QC_BD_MIN&amp;"–"&amp;QC_BD_MAX&amp;" g/cm³. ","")&amp;IF(AND($L393&lt;&gt;"",$L393&gt;QC_CARBON_PCT_MAX),"Carbon above "&amp;QC_CARBON_PCT_MAX&amp;"% — check units; this may be organic matter rather than carbon. ","")&amp;IF(AND($J393&lt;&gt;"",$K393&lt;&gt;""),"Both LOI and measured carbon given — the measured value is used. ","")&amp;IF(AND($N393&lt;&gt;"",$N393=0),"Slice lies entirely below the reporting depth — it counts to the full-core stock only. ",""))</f>
        <v/>
      </c>
      <c r="R393" s="1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3" t="str">
        <f aca="false">IF(OR($D394="",$E394=""),"",$E394-$D394)</f>
        <v/>
      </c>
      <c r="G394" s="13"/>
      <c r="H394" s="13"/>
      <c r="I394" s="15"/>
      <c r="J394" s="15"/>
      <c r="K394" s="15"/>
      <c r="L394" s="14" t="str">
        <f aca="false">IF($K394&lt;&gt;"",$K394,IF($J394&lt;&gt;"",$J394*CARBON_FRACTION_OM,""))</f>
        <v/>
      </c>
      <c r="M394" s="14" t="n">
        <f aca="false">IF($H394="Fine earth / fine-earth volume",1-IF($G394="",0,$G394)/100,1)</f>
        <v>1</v>
      </c>
      <c r="N394" s="14" t="str">
        <f aca="false">IF(OR($D394="",$E394=""),"",MAX(0,MIN($E394,REPORTING_DEPTH_CM)-MIN($D394,REPORTING_DEPTH_CM)))</f>
        <v/>
      </c>
      <c r="O394" s="14" t="str">
        <f aca="false">IF(OR($I394="",$L394="",$N394=""),"",$I394*($L394/100)*$N394*$M394*10)</f>
        <v/>
      </c>
      <c r="P394" s="14" t="str">
        <f aca="false">IF(OR($I394="",$L394="",$F394=""),"",$I394*($L394/100)*$F394*$M394*10)</f>
        <v/>
      </c>
      <c r="Q394" s="14" t="str">
        <f aca="false">IF(AND($A394="",$B394="",$D394=""),"",IF(AND($B394&lt;&gt;"",COUNTIF('2. Core Log'!$A$5:$A$124,$B394)=0),"Core ID not in Core Log. ","")&amp;IF(AND($A394&lt;&gt;"",COUNTIF('1. Plot &amp; Site Log'!$A$5:$A$64,$A394)=0),"Plot ID not in Plot &amp; Site Log. ","")&amp;IF(AND($D394&lt;&gt;"",$E394&lt;&gt;"",$E394&lt;=$D394),"Bottom depth is not below top depth. ","")&amp;IF($H394="","Say which bulk-density basis the lab reported, or the coarse-fragment correction cannot be applied safely. ","")&amp;IF(AND($I394&lt;&gt;"",OR($I394&lt;QC_BD_MIN,$I394&gt;QC_BD_MAX)),"Bulk density outside "&amp;QC_BD_MIN&amp;"–"&amp;QC_BD_MAX&amp;" g/cm³. ","")&amp;IF(AND($L394&lt;&gt;"",$L394&gt;QC_CARBON_PCT_MAX),"Carbon above "&amp;QC_CARBON_PCT_MAX&amp;"% — check units; this may be organic matter rather than carbon. ","")&amp;IF(AND($J394&lt;&gt;"",$K394&lt;&gt;""),"Both LOI and measured carbon given — the measured value is used. ","")&amp;IF(AND($N394&lt;&gt;"",$N394=0),"Slice lies entirely below the reporting depth — it counts to the full-core stock only. ",""))</f>
        <v/>
      </c>
      <c r="R394" s="13"/>
    </row>
    <row r="395" customFormat="false" ht="15" hidden="false" customHeight="false" outlineLevel="0" collapsed="false">
      <c r="A395" s="13"/>
      <c r="B395" s="13"/>
      <c r="C395" s="13"/>
      <c r="D395" s="13"/>
      <c r="E395" s="13"/>
      <c r="F395" s="13" t="str">
        <f aca="false">IF(OR($D395="",$E395=""),"",$E395-$D395)</f>
        <v/>
      </c>
      <c r="G395" s="13"/>
      <c r="H395" s="13"/>
      <c r="I395" s="15"/>
      <c r="J395" s="15"/>
      <c r="K395" s="15"/>
      <c r="L395" s="14" t="str">
        <f aca="false">IF($K395&lt;&gt;"",$K395,IF($J395&lt;&gt;"",$J395*CARBON_FRACTION_OM,""))</f>
        <v/>
      </c>
      <c r="M395" s="14" t="n">
        <f aca="false">IF($H395="Fine earth / fine-earth volume",1-IF($G395="",0,$G395)/100,1)</f>
        <v>1</v>
      </c>
      <c r="N395" s="14" t="str">
        <f aca="false">IF(OR($D395="",$E395=""),"",MAX(0,MIN($E395,REPORTING_DEPTH_CM)-MIN($D395,REPORTING_DEPTH_CM)))</f>
        <v/>
      </c>
      <c r="O395" s="14" t="str">
        <f aca="false">IF(OR($I395="",$L395="",$N395=""),"",$I395*($L395/100)*$N395*$M395*10)</f>
        <v/>
      </c>
      <c r="P395" s="14" t="str">
        <f aca="false">IF(OR($I395="",$L395="",$F395=""),"",$I395*($L395/100)*$F395*$M395*10)</f>
        <v/>
      </c>
      <c r="Q395" s="14" t="str">
        <f aca="false">IF(AND($A395="",$B395="",$D395=""),"",IF(AND($B395&lt;&gt;"",COUNTIF('2. Core Log'!$A$5:$A$124,$B395)=0),"Core ID not in Core Log. ","")&amp;IF(AND($A395&lt;&gt;"",COUNTIF('1. Plot &amp; Site Log'!$A$5:$A$64,$A395)=0),"Plot ID not in Plot &amp; Site Log. ","")&amp;IF(AND($D395&lt;&gt;"",$E395&lt;&gt;"",$E395&lt;=$D395),"Bottom depth is not below top depth. ","")&amp;IF($H395="","Say which bulk-density basis the lab reported, or the coarse-fragment correction cannot be applied safely. ","")&amp;IF(AND($I395&lt;&gt;"",OR($I395&lt;QC_BD_MIN,$I395&gt;QC_BD_MAX)),"Bulk density outside "&amp;QC_BD_MIN&amp;"–"&amp;QC_BD_MAX&amp;" g/cm³. ","")&amp;IF(AND($L395&lt;&gt;"",$L395&gt;QC_CARBON_PCT_MAX),"Carbon above "&amp;QC_CARBON_PCT_MAX&amp;"% — check units; this may be organic matter rather than carbon. ","")&amp;IF(AND($J395&lt;&gt;"",$K395&lt;&gt;""),"Both LOI and measured carbon given — the measured value is used. ","")&amp;IF(AND($N395&lt;&gt;"",$N395=0),"Slice lies entirely below the reporting depth — it counts to the full-core stock only. ",""))</f>
        <v/>
      </c>
      <c r="R395" s="1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3" t="str">
        <f aca="false">IF(OR($D396="",$E396=""),"",$E396-$D396)</f>
        <v/>
      </c>
      <c r="G396" s="13"/>
      <c r="H396" s="13"/>
      <c r="I396" s="15"/>
      <c r="J396" s="15"/>
      <c r="K396" s="15"/>
      <c r="L396" s="14" t="str">
        <f aca="false">IF($K396&lt;&gt;"",$K396,IF($J396&lt;&gt;"",$J396*CARBON_FRACTION_OM,""))</f>
        <v/>
      </c>
      <c r="M396" s="14" t="n">
        <f aca="false">IF($H396="Fine earth / fine-earth volume",1-IF($G396="",0,$G396)/100,1)</f>
        <v>1</v>
      </c>
      <c r="N396" s="14" t="str">
        <f aca="false">IF(OR($D396="",$E396=""),"",MAX(0,MIN($E396,REPORTING_DEPTH_CM)-MIN($D396,REPORTING_DEPTH_CM)))</f>
        <v/>
      </c>
      <c r="O396" s="14" t="str">
        <f aca="false">IF(OR($I396="",$L396="",$N396=""),"",$I396*($L396/100)*$N396*$M396*10)</f>
        <v/>
      </c>
      <c r="P396" s="14" t="str">
        <f aca="false">IF(OR($I396="",$L396="",$F396=""),"",$I396*($L396/100)*$F396*$M396*10)</f>
        <v/>
      </c>
      <c r="Q396" s="14" t="str">
        <f aca="false">IF(AND($A396="",$B396="",$D396=""),"",IF(AND($B396&lt;&gt;"",COUNTIF('2. Core Log'!$A$5:$A$124,$B396)=0),"Core ID not in Core Log. ","")&amp;IF(AND($A396&lt;&gt;"",COUNTIF('1. Plot &amp; Site Log'!$A$5:$A$64,$A396)=0),"Plot ID not in Plot &amp; Site Log. ","")&amp;IF(AND($D396&lt;&gt;"",$E396&lt;&gt;"",$E396&lt;=$D396),"Bottom depth is not below top depth. ","")&amp;IF($H396="","Say which bulk-density basis the lab reported, or the coarse-fragment correction cannot be applied safely. ","")&amp;IF(AND($I396&lt;&gt;"",OR($I396&lt;QC_BD_MIN,$I396&gt;QC_BD_MAX)),"Bulk density outside "&amp;QC_BD_MIN&amp;"–"&amp;QC_BD_MAX&amp;" g/cm³. ","")&amp;IF(AND($L396&lt;&gt;"",$L396&gt;QC_CARBON_PCT_MAX),"Carbon above "&amp;QC_CARBON_PCT_MAX&amp;"% — check units; this may be organic matter rather than carbon. ","")&amp;IF(AND($J396&lt;&gt;"",$K396&lt;&gt;""),"Both LOI and measured carbon given — the measured value is used. ","")&amp;IF(AND($N396&lt;&gt;"",$N396=0),"Slice lies entirely below the reporting depth — it counts to the full-core stock only. ",""))</f>
        <v/>
      </c>
      <c r="R396" s="13"/>
    </row>
    <row r="397" customFormat="false" ht="15" hidden="false" customHeight="false" outlineLevel="0" collapsed="false">
      <c r="A397" s="13"/>
      <c r="B397" s="13"/>
      <c r="C397" s="13"/>
      <c r="D397" s="13"/>
      <c r="E397" s="13"/>
      <c r="F397" s="13" t="str">
        <f aca="false">IF(OR($D397="",$E397=""),"",$E397-$D397)</f>
        <v/>
      </c>
      <c r="G397" s="13"/>
      <c r="H397" s="13"/>
      <c r="I397" s="15"/>
      <c r="J397" s="15"/>
      <c r="K397" s="15"/>
      <c r="L397" s="14" t="str">
        <f aca="false">IF($K397&lt;&gt;"",$K397,IF($J397&lt;&gt;"",$J397*CARBON_FRACTION_OM,""))</f>
        <v/>
      </c>
      <c r="M397" s="14" t="n">
        <f aca="false">IF($H397="Fine earth / fine-earth volume",1-IF($G397="",0,$G397)/100,1)</f>
        <v>1</v>
      </c>
      <c r="N397" s="14" t="str">
        <f aca="false">IF(OR($D397="",$E397=""),"",MAX(0,MIN($E397,REPORTING_DEPTH_CM)-MIN($D397,REPORTING_DEPTH_CM)))</f>
        <v/>
      </c>
      <c r="O397" s="14" t="str">
        <f aca="false">IF(OR($I397="",$L397="",$N397=""),"",$I397*($L397/100)*$N397*$M397*10)</f>
        <v/>
      </c>
      <c r="P397" s="14" t="str">
        <f aca="false">IF(OR($I397="",$L397="",$F397=""),"",$I397*($L397/100)*$F397*$M397*10)</f>
        <v/>
      </c>
      <c r="Q397" s="14" t="str">
        <f aca="false">IF(AND($A397="",$B397="",$D397=""),"",IF(AND($B397&lt;&gt;"",COUNTIF('2. Core Log'!$A$5:$A$124,$B397)=0),"Core ID not in Core Log. ","")&amp;IF(AND($A397&lt;&gt;"",COUNTIF('1. Plot &amp; Site Log'!$A$5:$A$64,$A397)=0),"Plot ID not in Plot &amp; Site Log. ","")&amp;IF(AND($D397&lt;&gt;"",$E397&lt;&gt;"",$E397&lt;=$D397),"Bottom depth is not below top depth. ","")&amp;IF($H397="","Say which bulk-density basis the lab reported, or the coarse-fragment correction cannot be applied safely. ","")&amp;IF(AND($I397&lt;&gt;"",OR($I397&lt;QC_BD_MIN,$I397&gt;QC_BD_MAX)),"Bulk density outside "&amp;QC_BD_MIN&amp;"–"&amp;QC_BD_MAX&amp;" g/cm³. ","")&amp;IF(AND($L397&lt;&gt;"",$L397&gt;QC_CARBON_PCT_MAX),"Carbon above "&amp;QC_CARBON_PCT_MAX&amp;"% — check units; this may be organic matter rather than carbon. ","")&amp;IF(AND($J397&lt;&gt;"",$K397&lt;&gt;""),"Both LOI and measured carbon given — the measured value is used. ","")&amp;IF(AND($N397&lt;&gt;"",$N397=0),"Slice lies entirely below the reporting depth — it counts to the full-core stock only. ",""))</f>
        <v/>
      </c>
      <c r="R397" s="1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3" t="str">
        <f aca="false">IF(OR($D398="",$E398=""),"",$E398-$D398)</f>
        <v/>
      </c>
      <c r="G398" s="13"/>
      <c r="H398" s="13"/>
      <c r="I398" s="15"/>
      <c r="J398" s="15"/>
      <c r="K398" s="15"/>
      <c r="L398" s="14" t="str">
        <f aca="false">IF($K398&lt;&gt;"",$K398,IF($J398&lt;&gt;"",$J398*CARBON_FRACTION_OM,""))</f>
        <v/>
      </c>
      <c r="M398" s="14" t="n">
        <f aca="false">IF($H398="Fine earth / fine-earth volume",1-IF($G398="",0,$G398)/100,1)</f>
        <v>1</v>
      </c>
      <c r="N398" s="14" t="str">
        <f aca="false">IF(OR($D398="",$E398=""),"",MAX(0,MIN($E398,REPORTING_DEPTH_CM)-MIN($D398,REPORTING_DEPTH_CM)))</f>
        <v/>
      </c>
      <c r="O398" s="14" t="str">
        <f aca="false">IF(OR($I398="",$L398="",$N398=""),"",$I398*($L398/100)*$N398*$M398*10)</f>
        <v/>
      </c>
      <c r="P398" s="14" t="str">
        <f aca="false">IF(OR($I398="",$L398="",$F398=""),"",$I398*($L398/100)*$F398*$M398*10)</f>
        <v/>
      </c>
      <c r="Q398" s="14" t="str">
        <f aca="false">IF(AND($A398="",$B398="",$D398=""),"",IF(AND($B398&lt;&gt;"",COUNTIF('2. Core Log'!$A$5:$A$124,$B398)=0),"Core ID not in Core Log. ","")&amp;IF(AND($A398&lt;&gt;"",COUNTIF('1. Plot &amp; Site Log'!$A$5:$A$64,$A398)=0),"Plot ID not in Plot &amp; Site Log. ","")&amp;IF(AND($D398&lt;&gt;"",$E398&lt;&gt;"",$E398&lt;=$D398),"Bottom depth is not below top depth. ","")&amp;IF($H398="","Say which bulk-density basis the lab reported, or the coarse-fragment correction cannot be applied safely. ","")&amp;IF(AND($I398&lt;&gt;"",OR($I398&lt;QC_BD_MIN,$I398&gt;QC_BD_MAX)),"Bulk density outside "&amp;QC_BD_MIN&amp;"–"&amp;QC_BD_MAX&amp;" g/cm³. ","")&amp;IF(AND($L398&lt;&gt;"",$L398&gt;QC_CARBON_PCT_MAX),"Carbon above "&amp;QC_CARBON_PCT_MAX&amp;"% — check units; this may be organic matter rather than carbon. ","")&amp;IF(AND($J398&lt;&gt;"",$K398&lt;&gt;""),"Both LOI and measured carbon given — the measured value is used. ","")&amp;IF(AND($N398&lt;&gt;"",$N398=0),"Slice lies entirely below the reporting depth — it counts to the full-core stock only. ",""))</f>
        <v/>
      </c>
      <c r="R398" s="13"/>
    </row>
    <row r="399" customFormat="false" ht="15" hidden="false" customHeight="false" outlineLevel="0" collapsed="false">
      <c r="A399" s="13"/>
      <c r="B399" s="13"/>
      <c r="C399" s="13"/>
      <c r="D399" s="13"/>
      <c r="E399" s="13"/>
      <c r="F399" s="13" t="str">
        <f aca="false">IF(OR($D399="",$E399=""),"",$E399-$D399)</f>
        <v/>
      </c>
      <c r="G399" s="13"/>
      <c r="H399" s="13"/>
      <c r="I399" s="15"/>
      <c r="J399" s="15"/>
      <c r="K399" s="15"/>
      <c r="L399" s="14" t="str">
        <f aca="false">IF($K399&lt;&gt;"",$K399,IF($J399&lt;&gt;"",$J399*CARBON_FRACTION_OM,""))</f>
        <v/>
      </c>
      <c r="M399" s="14" t="n">
        <f aca="false">IF($H399="Fine earth / fine-earth volume",1-IF($G399="",0,$G399)/100,1)</f>
        <v>1</v>
      </c>
      <c r="N399" s="14" t="str">
        <f aca="false">IF(OR($D399="",$E399=""),"",MAX(0,MIN($E399,REPORTING_DEPTH_CM)-MIN($D399,REPORTING_DEPTH_CM)))</f>
        <v/>
      </c>
      <c r="O399" s="14" t="str">
        <f aca="false">IF(OR($I399="",$L399="",$N399=""),"",$I399*($L399/100)*$N399*$M399*10)</f>
        <v/>
      </c>
      <c r="P399" s="14" t="str">
        <f aca="false">IF(OR($I399="",$L399="",$F399=""),"",$I399*($L399/100)*$F399*$M399*10)</f>
        <v/>
      </c>
      <c r="Q399" s="14" t="str">
        <f aca="false">IF(AND($A399="",$B399="",$D399=""),"",IF(AND($B399&lt;&gt;"",COUNTIF('2. Core Log'!$A$5:$A$124,$B399)=0),"Core ID not in Core Log. ","")&amp;IF(AND($A399&lt;&gt;"",COUNTIF('1. Plot &amp; Site Log'!$A$5:$A$64,$A399)=0),"Plot ID not in Plot &amp; Site Log. ","")&amp;IF(AND($D399&lt;&gt;"",$E399&lt;&gt;"",$E399&lt;=$D399),"Bottom depth is not below top depth. ","")&amp;IF($H399="","Say which bulk-density basis the lab reported, or the coarse-fragment correction cannot be applied safely. ","")&amp;IF(AND($I399&lt;&gt;"",OR($I399&lt;QC_BD_MIN,$I399&gt;QC_BD_MAX)),"Bulk density outside "&amp;QC_BD_MIN&amp;"–"&amp;QC_BD_MAX&amp;" g/cm³. ","")&amp;IF(AND($L399&lt;&gt;"",$L399&gt;QC_CARBON_PCT_MAX),"Carbon above "&amp;QC_CARBON_PCT_MAX&amp;"% — check units; this may be organic matter rather than carbon. ","")&amp;IF(AND($J399&lt;&gt;"",$K399&lt;&gt;""),"Both LOI and measured carbon given — the measured value is used. ","")&amp;IF(AND($N399&lt;&gt;"",$N399=0),"Slice lies entirely below the reporting depth — it counts to the full-core stock only. ",""))</f>
        <v/>
      </c>
      <c r="R399" s="1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3" t="str">
        <f aca="false">IF(OR($D400="",$E400=""),"",$E400-$D400)</f>
        <v/>
      </c>
      <c r="G400" s="13"/>
      <c r="H400" s="13"/>
      <c r="I400" s="15"/>
      <c r="J400" s="15"/>
      <c r="K400" s="15"/>
      <c r="L400" s="14" t="str">
        <f aca="false">IF($K400&lt;&gt;"",$K400,IF($J400&lt;&gt;"",$J400*CARBON_FRACTION_OM,""))</f>
        <v/>
      </c>
      <c r="M400" s="14" t="n">
        <f aca="false">IF($H400="Fine earth / fine-earth volume",1-IF($G400="",0,$G400)/100,1)</f>
        <v>1</v>
      </c>
      <c r="N400" s="14" t="str">
        <f aca="false">IF(OR($D400="",$E400=""),"",MAX(0,MIN($E400,REPORTING_DEPTH_CM)-MIN($D400,REPORTING_DEPTH_CM)))</f>
        <v/>
      </c>
      <c r="O400" s="14" t="str">
        <f aca="false">IF(OR($I400="",$L400="",$N400=""),"",$I400*($L400/100)*$N400*$M400*10)</f>
        <v/>
      </c>
      <c r="P400" s="14" t="str">
        <f aca="false">IF(OR($I400="",$L400="",$F400=""),"",$I400*($L400/100)*$F400*$M400*10)</f>
        <v/>
      </c>
      <c r="Q400" s="14" t="str">
        <f aca="false">IF(AND($A400="",$B400="",$D400=""),"",IF(AND($B400&lt;&gt;"",COUNTIF('2. Core Log'!$A$5:$A$124,$B400)=0),"Core ID not in Core Log. ","")&amp;IF(AND($A400&lt;&gt;"",COUNTIF('1. Plot &amp; Site Log'!$A$5:$A$64,$A400)=0),"Plot ID not in Plot &amp; Site Log. ","")&amp;IF(AND($D400&lt;&gt;"",$E400&lt;&gt;"",$E400&lt;=$D400),"Bottom depth is not below top depth. ","")&amp;IF($H400="","Say which bulk-density basis the lab reported, or the coarse-fragment correction cannot be applied safely. ","")&amp;IF(AND($I400&lt;&gt;"",OR($I400&lt;QC_BD_MIN,$I400&gt;QC_BD_MAX)),"Bulk density outside "&amp;QC_BD_MIN&amp;"–"&amp;QC_BD_MAX&amp;" g/cm³. ","")&amp;IF(AND($L400&lt;&gt;"",$L400&gt;QC_CARBON_PCT_MAX),"Carbon above "&amp;QC_CARBON_PCT_MAX&amp;"% — check units; this may be organic matter rather than carbon. ","")&amp;IF(AND($J400&lt;&gt;"",$K400&lt;&gt;""),"Both LOI and measured carbon given — the measured value is used. ","")&amp;IF(AND($N400&lt;&gt;"",$N400=0),"Slice lies entirely below the reporting depth — it counts to the full-core stock only. ",""))</f>
        <v/>
      </c>
      <c r="R400" s="13"/>
    </row>
    <row r="401" customFormat="false" ht="15" hidden="false" customHeight="false" outlineLevel="0" collapsed="false">
      <c r="A401" s="13"/>
      <c r="B401" s="13"/>
      <c r="C401" s="13"/>
      <c r="D401" s="13"/>
      <c r="E401" s="13"/>
      <c r="F401" s="13" t="str">
        <f aca="false">IF(OR($D401="",$E401=""),"",$E401-$D401)</f>
        <v/>
      </c>
      <c r="G401" s="13"/>
      <c r="H401" s="13"/>
      <c r="I401" s="15"/>
      <c r="J401" s="15"/>
      <c r="K401" s="15"/>
      <c r="L401" s="14" t="str">
        <f aca="false">IF($K401&lt;&gt;"",$K401,IF($J401&lt;&gt;"",$J401*CARBON_FRACTION_OM,""))</f>
        <v/>
      </c>
      <c r="M401" s="14" t="n">
        <f aca="false">IF($H401="Fine earth / fine-earth volume",1-IF($G401="",0,$G401)/100,1)</f>
        <v>1</v>
      </c>
      <c r="N401" s="14" t="str">
        <f aca="false">IF(OR($D401="",$E401=""),"",MAX(0,MIN($E401,REPORTING_DEPTH_CM)-MIN($D401,REPORTING_DEPTH_CM)))</f>
        <v/>
      </c>
      <c r="O401" s="14" t="str">
        <f aca="false">IF(OR($I401="",$L401="",$N401=""),"",$I401*($L401/100)*$N401*$M401*10)</f>
        <v/>
      </c>
      <c r="P401" s="14" t="str">
        <f aca="false">IF(OR($I401="",$L401="",$F401=""),"",$I401*($L401/100)*$F401*$M401*10)</f>
        <v/>
      </c>
      <c r="Q401" s="14" t="str">
        <f aca="false">IF(AND($A401="",$B401="",$D401=""),"",IF(AND($B401&lt;&gt;"",COUNTIF('2. Core Log'!$A$5:$A$124,$B401)=0),"Core ID not in Core Log. ","")&amp;IF(AND($A401&lt;&gt;"",COUNTIF('1. Plot &amp; Site Log'!$A$5:$A$64,$A401)=0),"Plot ID not in Plot &amp; Site Log. ","")&amp;IF(AND($D401&lt;&gt;"",$E401&lt;&gt;"",$E401&lt;=$D401),"Bottom depth is not below top depth. ","")&amp;IF($H401="","Say which bulk-density basis the lab reported, or the coarse-fragment correction cannot be applied safely. ","")&amp;IF(AND($I401&lt;&gt;"",OR($I401&lt;QC_BD_MIN,$I401&gt;QC_BD_MAX)),"Bulk density outside "&amp;QC_BD_MIN&amp;"–"&amp;QC_BD_MAX&amp;" g/cm³. ","")&amp;IF(AND($L401&lt;&gt;"",$L401&gt;QC_CARBON_PCT_MAX),"Carbon above "&amp;QC_CARBON_PCT_MAX&amp;"% — check units; this may be organic matter rather than carbon. ","")&amp;IF(AND($J401&lt;&gt;"",$K401&lt;&gt;""),"Both LOI and measured carbon given — the measured value is used. ","")&amp;IF(AND($N401&lt;&gt;"",$N401=0),"Slice lies entirely below the reporting depth — it counts to the full-core stock only. ",""))</f>
        <v/>
      </c>
      <c r="R401" s="13"/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3" t="str">
        <f aca="false">IF(OR($D402="",$E402=""),"",$E402-$D402)</f>
        <v/>
      </c>
      <c r="G402" s="13"/>
      <c r="H402" s="13"/>
      <c r="I402" s="15"/>
      <c r="J402" s="15"/>
      <c r="K402" s="15"/>
      <c r="L402" s="14" t="str">
        <f aca="false">IF($K402&lt;&gt;"",$K402,IF($J402&lt;&gt;"",$J402*CARBON_FRACTION_OM,""))</f>
        <v/>
      </c>
      <c r="M402" s="14" t="n">
        <f aca="false">IF($H402="Fine earth / fine-earth volume",1-IF($G402="",0,$G402)/100,1)</f>
        <v>1</v>
      </c>
      <c r="N402" s="14" t="str">
        <f aca="false">IF(OR($D402="",$E402=""),"",MAX(0,MIN($E402,REPORTING_DEPTH_CM)-MIN($D402,REPORTING_DEPTH_CM)))</f>
        <v/>
      </c>
      <c r="O402" s="14" t="str">
        <f aca="false">IF(OR($I402="",$L402="",$N402=""),"",$I402*($L402/100)*$N402*$M402*10)</f>
        <v/>
      </c>
      <c r="P402" s="14" t="str">
        <f aca="false">IF(OR($I402="",$L402="",$F402=""),"",$I402*($L402/100)*$F402*$M402*10)</f>
        <v/>
      </c>
      <c r="Q402" s="14" t="str">
        <f aca="false">IF(AND($A402="",$B402="",$D402=""),"",IF(AND($B402&lt;&gt;"",COUNTIF('2. Core Log'!$A$5:$A$124,$B402)=0),"Core ID not in Core Log. ","")&amp;IF(AND($A402&lt;&gt;"",COUNTIF('1. Plot &amp; Site Log'!$A$5:$A$64,$A402)=0),"Plot ID not in Plot &amp; Site Log. ","")&amp;IF(AND($D402&lt;&gt;"",$E402&lt;&gt;"",$E402&lt;=$D402),"Bottom depth is not below top depth. ","")&amp;IF($H402="","Say which bulk-density basis the lab reported, or the coarse-fragment correction cannot be applied safely. ","")&amp;IF(AND($I402&lt;&gt;"",OR($I402&lt;QC_BD_MIN,$I402&gt;QC_BD_MAX)),"Bulk density outside "&amp;QC_BD_MIN&amp;"–"&amp;QC_BD_MAX&amp;" g/cm³. ","")&amp;IF(AND($L402&lt;&gt;"",$L402&gt;QC_CARBON_PCT_MAX),"Carbon above "&amp;QC_CARBON_PCT_MAX&amp;"% — check units; this may be organic matter rather than carbon. ","")&amp;IF(AND($J402&lt;&gt;"",$K402&lt;&gt;""),"Both LOI and measured carbon given — the measured value is used. ","")&amp;IF(AND($N402&lt;&gt;"",$N402=0),"Slice lies entirely below the reporting depth — it counts to the full-core stock only. ",""))</f>
        <v/>
      </c>
      <c r="R402" s="13"/>
    </row>
    <row r="403" customFormat="false" ht="15" hidden="false" customHeight="false" outlineLevel="0" collapsed="false">
      <c r="A403" s="13"/>
      <c r="B403" s="13"/>
      <c r="C403" s="13"/>
      <c r="D403" s="13"/>
      <c r="E403" s="13"/>
      <c r="F403" s="13" t="str">
        <f aca="false">IF(OR($D403="",$E403=""),"",$E403-$D403)</f>
        <v/>
      </c>
      <c r="G403" s="13"/>
      <c r="H403" s="13"/>
      <c r="I403" s="15"/>
      <c r="J403" s="15"/>
      <c r="K403" s="15"/>
      <c r="L403" s="14" t="str">
        <f aca="false">IF($K403&lt;&gt;"",$K403,IF($J403&lt;&gt;"",$J403*CARBON_FRACTION_OM,""))</f>
        <v/>
      </c>
      <c r="M403" s="14" t="n">
        <f aca="false">IF($H403="Fine earth / fine-earth volume",1-IF($G403="",0,$G403)/100,1)</f>
        <v>1</v>
      </c>
      <c r="N403" s="14" t="str">
        <f aca="false">IF(OR($D403="",$E403=""),"",MAX(0,MIN($E403,REPORTING_DEPTH_CM)-MIN($D403,REPORTING_DEPTH_CM)))</f>
        <v/>
      </c>
      <c r="O403" s="14" t="str">
        <f aca="false">IF(OR($I403="",$L403="",$N403=""),"",$I403*($L403/100)*$N403*$M403*10)</f>
        <v/>
      </c>
      <c r="P403" s="14" t="str">
        <f aca="false">IF(OR($I403="",$L403="",$F403=""),"",$I403*($L403/100)*$F403*$M403*10)</f>
        <v/>
      </c>
      <c r="Q403" s="14" t="str">
        <f aca="false">IF(AND($A403="",$B403="",$D403=""),"",IF(AND($B403&lt;&gt;"",COUNTIF('2. Core Log'!$A$5:$A$124,$B403)=0),"Core ID not in Core Log. ","")&amp;IF(AND($A403&lt;&gt;"",COUNTIF('1. Plot &amp; Site Log'!$A$5:$A$64,$A403)=0),"Plot ID not in Plot &amp; Site Log. ","")&amp;IF(AND($D403&lt;&gt;"",$E403&lt;&gt;"",$E403&lt;=$D403),"Bottom depth is not below top depth. ","")&amp;IF($H403="","Say which bulk-density basis the lab reported, or the coarse-fragment correction cannot be applied safely. ","")&amp;IF(AND($I403&lt;&gt;"",OR($I403&lt;QC_BD_MIN,$I403&gt;QC_BD_MAX)),"Bulk density outside "&amp;QC_BD_MIN&amp;"–"&amp;QC_BD_MAX&amp;" g/cm³. ","")&amp;IF(AND($L403&lt;&gt;"",$L403&gt;QC_CARBON_PCT_MAX),"Carbon above "&amp;QC_CARBON_PCT_MAX&amp;"% — check units; this may be organic matter rather than carbon. ","")&amp;IF(AND($J403&lt;&gt;"",$K403&lt;&gt;""),"Both LOI and measured carbon given — the measured value is used. ","")&amp;IF(AND($N403&lt;&gt;"",$N403=0),"Slice lies entirely below the reporting depth — it counts to the full-core stock only. ",""))</f>
        <v/>
      </c>
      <c r="R403" s="13"/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3" t="str">
        <f aca="false">IF(OR($D404="",$E404=""),"",$E404-$D404)</f>
        <v/>
      </c>
      <c r="G404" s="13"/>
      <c r="H404" s="13"/>
      <c r="I404" s="15"/>
      <c r="J404" s="15"/>
      <c r="K404" s="15"/>
      <c r="L404" s="14" t="str">
        <f aca="false">IF($K404&lt;&gt;"",$K404,IF($J404&lt;&gt;"",$J404*CARBON_FRACTION_OM,""))</f>
        <v/>
      </c>
      <c r="M404" s="14" t="n">
        <f aca="false">IF($H404="Fine earth / fine-earth volume",1-IF($G404="",0,$G404)/100,1)</f>
        <v>1</v>
      </c>
      <c r="N404" s="14" t="str">
        <f aca="false">IF(OR($D404="",$E404=""),"",MAX(0,MIN($E404,REPORTING_DEPTH_CM)-MIN($D404,REPORTING_DEPTH_CM)))</f>
        <v/>
      </c>
      <c r="O404" s="14" t="str">
        <f aca="false">IF(OR($I404="",$L404="",$N404=""),"",$I404*($L404/100)*$N404*$M404*10)</f>
        <v/>
      </c>
      <c r="P404" s="14" t="str">
        <f aca="false">IF(OR($I404="",$L404="",$F404=""),"",$I404*($L404/100)*$F404*$M404*10)</f>
        <v/>
      </c>
      <c r="Q404" s="14" t="str">
        <f aca="false">IF(AND($A404="",$B404="",$D404=""),"",IF(AND($B404&lt;&gt;"",COUNTIF('2. Core Log'!$A$5:$A$124,$B404)=0),"Core ID not in Core Log. ","")&amp;IF(AND($A404&lt;&gt;"",COUNTIF('1. Plot &amp; Site Log'!$A$5:$A$64,$A404)=0),"Plot ID not in Plot &amp; Site Log. ","")&amp;IF(AND($D404&lt;&gt;"",$E404&lt;&gt;"",$E404&lt;=$D404),"Bottom depth is not below top depth. ","")&amp;IF($H404="","Say which bulk-density basis the lab reported, or the coarse-fragment correction cannot be applied safely. ","")&amp;IF(AND($I404&lt;&gt;"",OR($I404&lt;QC_BD_MIN,$I404&gt;QC_BD_MAX)),"Bulk density outside "&amp;QC_BD_MIN&amp;"–"&amp;QC_BD_MAX&amp;" g/cm³. ","")&amp;IF(AND($L404&lt;&gt;"",$L404&gt;QC_CARBON_PCT_MAX),"Carbon above "&amp;QC_CARBON_PCT_MAX&amp;"% — check units; this may be organic matter rather than carbon. ","")&amp;IF(AND($J404&lt;&gt;"",$K404&lt;&gt;""),"Both LOI and measured carbon given — the measured value is used. ","")&amp;IF(AND($N404&lt;&gt;"",$N404=0),"Slice lies entirely below the reporting depth — it counts to the full-core stock only. ",""))</f>
        <v/>
      </c>
      <c r="R404" s="13"/>
    </row>
    <row r="405" customFormat="false" ht="15" hidden="false" customHeight="false" outlineLevel="0" collapsed="false">
      <c r="A405" s="13"/>
      <c r="B405" s="13"/>
      <c r="C405" s="13"/>
      <c r="D405" s="13"/>
      <c r="E405" s="13"/>
      <c r="F405" s="13" t="str">
        <f aca="false">IF(OR($D405="",$E405=""),"",$E405-$D405)</f>
        <v/>
      </c>
      <c r="G405" s="13"/>
      <c r="H405" s="13"/>
      <c r="I405" s="15"/>
      <c r="J405" s="15"/>
      <c r="K405" s="15"/>
      <c r="L405" s="14" t="str">
        <f aca="false">IF($K405&lt;&gt;"",$K405,IF($J405&lt;&gt;"",$J405*CARBON_FRACTION_OM,""))</f>
        <v/>
      </c>
      <c r="M405" s="14" t="n">
        <f aca="false">IF($H405="Fine earth / fine-earth volume",1-IF($G405="",0,$G405)/100,1)</f>
        <v>1</v>
      </c>
      <c r="N405" s="14" t="str">
        <f aca="false">IF(OR($D405="",$E405=""),"",MAX(0,MIN($E405,REPORTING_DEPTH_CM)-MIN($D405,REPORTING_DEPTH_CM)))</f>
        <v/>
      </c>
      <c r="O405" s="14" t="str">
        <f aca="false">IF(OR($I405="",$L405="",$N405=""),"",$I405*($L405/100)*$N405*$M405*10)</f>
        <v/>
      </c>
      <c r="P405" s="14" t="str">
        <f aca="false">IF(OR($I405="",$L405="",$F405=""),"",$I405*($L405/100)*$F405*$M405*10)</f>
        <v/>
      </c>
      <c r="Q405" s="14" t="str">
        <f aca="false">IF(AND($A405="",$B405="",$D405=""),"",IF(AND($B405&lt;&gt;"",COUNTIF('2. Core Log'!$A$5:$A$124,$B405)=0),"Core ID not in Core Log. ","")&amp;IF(AND($A405&lt;&gt;"",COUNTIF('1. Plot &amp; Site Log'!$A$5:$A$64,$A405)=0),"Plot ID not in Plot &amp; Site Log. ","")&amp;IF(AND($D405&lt;&gt;"",$E405&lt;&gt;"",$E405&lt;=$D405),"Bottom depth is not below top depth. ","")&amp;IF($H405="","Say which bulk-density basis the lab reported, or the coarse-fragment correction cannot be applied safely. ","")&amp;IF(AND($I405&lt;&gt;"",OR($I405&lt;QC_BD_MIN,$I405&gt;QC_BD_MAX)),"Bulk density outside "&amp;QC_BD_MIN&amp;"–"&amp;QC_BD_MAX&amp;" g/cm³. ","")&amp;IF(AND($L405&lt;&gt;"",$L405&gt;QC_CARBON_PCT_MAX),"Carbon above "&amp;QC_CARBON_PCT_MAX&amp;"% — check units; this may be organic matter rather than carbon. ","")&amp;IF(AND($J405&lt;&gt;"",$K405&lt;&gt;""),"Both LOI and measured carbon given — the measured value is used. ","")&amp;IF(AND($N405&lt;&gt;"",$N405=0),"Slice lies entirely below the reporting depth — it counts to the full-core stock only. ",""))</f>
        <v/>
      </c>
      <c r="R405" s="13"/>
    </row>
    <row r="406" customFormat="false" ht="15" hidden="false" customHeight="false" outlineLevel="0" collapsed="false">
      <c r="A406" s="13"/>
      <c r="B406" s="13"/>
      <c r="C406" s="13"/>
      <c r="D406" s="13"/>
      <c r="E406" s="13"/>
      <c r="F406" s="13" t="str">
        <f aca="false">IF(OR($D406="",$E406=""),"",$E406-$D406)</f>
        <v/>
      </c>
      <c r="G406" s="13"/>
      <c r="H406" s="13"/>
      <c r="I406" s="15"/>
      <c r="J406" s="15"/>
      <c r="K406" s="15"/>
      <c r="L406" s="14" t="str">
        <f aca="false">IF($K406&lt;&gt;"",$K406,IF($J406&lt;&gt;"",$J406*CARBON_FRACTION_OM,""))</f>
        <v/>
      </c>
      <c r="M406" s="14" t="n">
        <f aca="false">IF($H406="Fine earth / fine-earth volume",1-IF($G406="",0,$G406)/100,1)</f>
        <v>1</v>
      </c>
      <c r="N406" s="14" t="str">
        <f aca="false">IF(OR($D406="",$E406=""),"",MAX(0,MIN($E406,REPORTING_DEPTH_CM)-MIN($D406,REPORTING_DEPTH_CM)))</f>
        <v/>
      </c>
      <c r="O406" s="14" t="str">
        <f aca="false">IF(OR($I406="",$L406="",$N406=""),"",$I406*($L406/100)*$N406*$M406*10)</f>
        <v/>
      </c>
      <c r="P406" s="14" t="str">
        <f aca="false">IF(OR($I406="",$L406="",$F406=""),"",$I406*($L406/100)*$F406*$M406*10)</f>
        <v/>
      </c>
      <c r="Q406" s="14" t="str">
        <f aca="false">IF(AND($A406="",$B406="",$D406=""),"",IF(AND($B406&lt;&gt;"",COUNTIF('2. Core Log'!$A$5:$A$124,$B406)=0),"Core ID not in Core Log. ","")&amp;IF(AND($A406&lt;&gt;"",COUNTIF('1. Plot &amp; Site Log'!$A$5:$A$64,$A406)=0),"Plot ID not in Plot &amp; Site Log. ","")&amp;IF(AND($D406&lt;&gt;"",$E406&lt;&gt;"",$E406&lt;=$D406),"Bottom depth is not below top depth. ","")&amp;IF($H406="","Say which bulk-density basis the lab reported, or the coarse-fragment correction cannot be applied safely. ","")&amp;IF(AND($I406&lt;&gt;"",OR($I406&lt;QC_BD_MIN,$I406&gt;QC_BD_MAX)),"Bulk density outside "&amp;QC_BD_MIN&amp;"–"&amp;QC_BD_MAX&amp;" g/cm³. ","")&amp;IF(AND($L406&lt;&gt;"",$L406&gt;QC_CARBON_PCT_MAX),"Carbon above "&amp;QC_CARBON_PCT_MAX&amp;"% — check units; this may be organic matter rather than carbon. ","")&amp;IF(AND($J406&lt;&gt;"",$K406&lt;&gt;""),"Both LOI and measured carbon given — the measured value is used. ","")&amp;IF(AND($N406&lt;&gt;"",$N406=0),"Slice lies entirely below the reporting depth — it counts to the full-core stock only. ",""))</f>
        <v/>
      </c>
      <c r="R406" s="13"/>
    </row>
    <row r="407" customFormat="false" ht="15" hidden="false" customHeight="false" outlineLevel="0" collapsed="false">
      <c r="A407" s="13"/>
      <c r="B407" s="13"/>
      <c r="C407" s="13"/>
      <c r="D407" s="13"/>
      <c r="E407" s="13"/>
      <c r="F407" s="13" t="str">
        <f aca="false">IF(OR($D407="",$E407=""),"",$E407-$D407)</f>
        <v/>
      </c>
      <c r="G407" s="13"/>
      <c r="H407" s="13"/>
      <c r="I407" s="15"/>
      <c r="J407" s="15"/>
      <c r="K407" s="15"/>
      <c r="L407" s="14" t="str">
        <f aca="false">IF($K407&lt;&gt;"",$K407,IF($J407&lt;&gt;"",$J407*CARBON_FRACTION_OM,""))</f>
        <v/>
      </c>
      <c r="M407" s="14" t="n">
        <f aca="false">IF($H407="Fine earth / fine-earth volume",1-IF($G407="",0,$G407)/100,1)</f>
        <v>1</v>
      </c>
      <c r="N407" s="14" t="str">
        <f aca="false">IF(OR($D407="",$E407=""),"",MAX(0,MIN($E407,REPORTING_DEPTH_CM)-MIN($D407,REPORTING_DEPTH_CM)))</f>
        <v/>
      </c>
      <c r="O407" s="14" t="str">
        <f aca="false">IF(OR($I407="",$L407="",$N407=""),"",$I407*($L407/100)*$N407*$M407*10)</f>
        <v/>
      </c>
      <c r="P407" s="14" t="str">
        <f aca="false">IF(OR($I407="",$L407="",$F407=""),"",$I407*($L407/100)*$F407*$M407*10)</f>
        <v/>
      </c>
      <c r="Q407" s="14" t="str">
        <f aca="false">IF(AND($A407="",$B407="",$D407=""),"",IF(AND($B407&lt;&gt;"",COUNTIF('2. Core Log'!$A$5:$A$124,$B407)=0),"Core ID not in Core Log. ","")&amp;IF(AND($A407&lt;&gt;"",COUNTIF('1. Plot &amp; Site Log'!$A$5:$A$64,$A407)=0),"Plot ID not in Plot &amp; Site Log. ","")&amp;IF(AND($D407&lt;&gt;"",$E407&lt;&gt;"",$E407&lt;=$D407),"Bottom depth is not below top depth. ","")&amp;IF($H407="","Say which bulk-density basis the lab reported, or the coarse-fragment correction cannot be applied safely. ","")&amp;IF(AND($I407&lt;&gt;"",OR($I407&lt;QC_BD_MIN,$I407&gt;QC_BD_MAX)),"Bulk density outside "&amp;QC_BD_MIN&amp;"–"&amp;QC_BD_MAX&amp;" g/cm³. ","")&amp;IF(AND($L407&lt;&gt;"",$L407&gt;QC_CARBON_PCT_MAX),"Carbon above "&amp;QC_CARBON_PCT_MAX&amp;"% — check units; this may be organic matter rather than carbon. ","")&amp;IF(AND($J407&lt;&gt;"",$K407&lt;&gt;""),"Both LOI and measured carbon given — the measured value is used. ","")&amp;IF(AND($N407&lt;&gt;"",$N407=0),"Slice lies entirely below the reporting depth — it counts to the full-core stock only. ",""))</f>
        <v/>
      </c>
      <c r="R407" s="13"/>
    </row>
    <row r="408" customFormat="false" ht="15" hidden="false" customHeight="false" outlineLevel="0" collapsed="false">
      <c r="A408" s="13"/>
      <c r="B408" s="13"/>
      <c r="C408" s="13"/>
      <c r="D408" s="13"/>
      <c r="E408" s="13"/>
      <c r="F408" s="13" t="str">
        <f aca="false">IF(OR($D408="",$E408=""),"",$E408-$D408)</f>
        <v/>
      </c>
      <c r="G408" s="13"/>
      <c r="H408" s="13"/>
      <c r="I408" s="15"/>
      <c r="J408" s="15"/>
      <c r="K408" s="15"/>
      <c r="L408" s="14" t="str">
        <f aca="false">IF($K408&lt;&gt;"",$K408,IF($J408&lt;&gt;"",$J408*CARBON_FRACTION_OM,""))</f>
        <v/>
      </c>
      <c r="M408" s="14" t="n">
        <f aca="false">IF($H408="Fine earth / fine-earth volume",1-IF($G408="",0,$G408)/100,1)</f>
        <v>1</v>
      </c>
      <c r="N408" s="14" t="str">
        <f aca="false">IF(OR($D408="",$E408=""),"",MAX(0,MIN($E408,REPORTING_DEPTH_CM)-MIN($D408,REPORTING_DEPTH_CM)))</f>
        <v/>
      </c>
      <c r="O408" s="14" t="str">
        <f aca="false">IF(OR($I408="",$L408="",$N408=""),"",$I408*($L408/100)*$N408*$M408*10)</f>
        <v/>
      </c>
      <c r="P408" s="14" t="str">
        <f aca="false">IF(OR($I408="",$L408="",$F408=""),"",$I408*($L408/100)*$F408*$M408*10)</f>
        <v/>
      </c>
      <c r="Q408" s="14" t="str">
        <f aca="false">IF(AND($A408="",$B408="",$D408=""),"",IF(AND($B408&lt;&gt;"",COUNTIF('2. Core Log'!$A$5:$A$124,$B408)=0),"Core ID not in Core Log. ","")&amp;IF(AND($A408&lt;&gt;"",COUNTIF('1. Plot &amp; Site Log'!$A$5:$A$64,$A408)=0),"Plot ID not in Plot &amp; Site Log. ","")&amp;IF(AND($D408&lt;&gt;"",$E408&lt;&gt;"",$E408&lt;=$D408),"Bottom depth is not below top depth. ","")&amp;IF($H408="","Say which bulk-density basis the lab reported, or the coarse-fragment correction cannot be applied safely. ","")&amp;IF(AND($I408&lt;&gt;"",OR($I408&lt;QC_BD_MIN,$I408&gt;QC_BD_MAX)),"Bulk density outside "&amp;QC_BD_MIN&amp;"–"&amp;QC_BD_MAX&amp;" g/cm³. ","")&amp;IF(AND($L408&lt;&gt;"",$L408&gt;QC_CARBON_PCT_MAX),"Carbon above "&amp;QC_CARBON_PCT_MAX&amp;"% — check units; this may be organic matter rather than carbon. ","")&amp;IF(AND($J408&lt;&gt;"",$K408&lt;&gt;""),"Both LOI and measured carbon given — the measured value is used. ","")&amp;IF(AND($N408&lt;&gt;"",$N408=0),"Slice lies entirely below the reporting depth — it counts to the full-core stock only. ",""))</f>
        <v/>
      </c>
      <c r="R408" s="13"/>
    </row>
    <row r="409" customFormat="false" ht="15" hidden="false" customHeight="false" outlineLevel="0" collapsed="false">
      <c r="A409" s="13"/>
      <c r="B409" s="13"/>
      <c r="C409" s="13"/>
      <c r="D409" s="13"/>
      <c r="E409" s="13"/>
      <c r="F409" s="13" t="str">
        <f aca="false">IF(OR($D409="",$E409=""),"",$E409-$D409)</f>
        <v/>
      </c>
      <c r="G409" s="13"/>
      <c r="H409" s="13"/>
      <c r="I409" s="15"/>
      <c r="J409" s="15"/>
      <c r="K409" s="15"/>
      <c r="L409" s="14" t="str">
        <f aca="false">IF($K409&lt;&gt;"",$K409,IF($J409&lt;&gt;"",$J409*CARBON_FRACTION_OM,""))</f>
        <v/>
      </c>
      <c r="M409" s="14" t="n">
        <f aca="false">IF($H409="Fine earth / fine-earth volume",1-IF($G409="",0,$G409)/100,1)</f>
        <v>1</v>
      </c>
      <c r="N409" s="14" t="str">
        <f aca="false">IF(OR($D409="",$E409=""),"",MAX(0,MIN($E409,REPORTING_DEPTH_CM)-MIN($D409,REPORTING_DEPTH_CM)))</f>
        <v/>
      </c>
      <c r="O409" s="14" t="str">
        <f aca="false">IF(OR($I409="",$L409="",$N409=""),"",$I409*($L409/100)*$N409*$M409*10)</f>
        <v/>
      </c>
      <c r="P409" s="14" t="str">
        <f aca="false">IF(OR($I409="",$L409="",$F409=""),"",$I409*($L409/100)*$F409*$M409*10)</f>
        <v/>
      </c>
      <c r="Q409" s="14" t="str">
        <f aca="false">IF(AND($A409="",$B409="",$D409=""),"",IF(AND($B409&lt;&gt;"",COUNTIF('2. Core Log'!$A$5:$A$124,$B409)=0),"Core ID not in Core Log. ","")&amp;IF(AND($A409&lt;&gt;"",COUNTIF('1. Plot &amp; Site Log'!$A$5:$A$64,$A409)=0),"Plot ID not in Plot &amp; Site Log. ","")&amp;IF(AND($D409&lt;&gt;"",$E409&lt;&gt;"",$E409&lt;=$D409),"Bottom depth is not below top depth. ","")&amp;IF($H409="","Say which bulk-density basis the lab reported, or the coarse-fragment correction cannot be applied safely. ","")&amp;IF(AND($I409&lt;&gt;"",OR($I409&lt;QC_BD_MIN,$I409&gt;QC_BD_MAX)),"Bulk density outside "&amp;QC_BD_MIN&amp;"–"&amp;QC_BD_MAX&amp;" g/cm³. ","")&amp;IF(AND($L409&lt;&gt;"",$L409&gt;QC_CARBON_PCT_MAX),"Carbon above "&amp;QC_CARBON_PCT_MAX&amp;"% — check units; this may be organic matter rather than carbon. ","")&amp;IF(AND($J409&lt;&gt;"",$K409&lt;&gt;""),"Both LOI and measured carbon given — the measured value is used. ","")&amp;IF(AND($N409&lt;&gt;"",$N409=0),"Slice lies entirely below the reporting depth — it counts to the full-core stock only. ",""))</f>
        <v/>
      </c>
      <c r="R409" s="13"/>
    </row>
    <row r="410" customFormat="false" ht="15" hidden="false" customHeight="false" outlineLevel="0" collapsed="false">
      <c r="A410" s="13"/>
      <c r="B410" s="13"/>
      <c r="C410" s="13"/>
      <c r="D410" s="13"/>
      <c r="E410" s="13"/>
      <c r="F410" s="13" t="str">
        <f aca="false">IF(OR($D410="",$E410=""),"",$E410-$D410)</f>
        <v/>
      </c>
      <c r="G410" s="13"/>
      <c r="H410" s="13"/>
      <c r="I410" s="15"/>
      <c r="J410" s="15"/>
      <c r="K410" s="15"/>
      <c r="L410" s="14" t="str">
        <f aca="false">IF($K410&lt;&gt;"",$K410,IF($J410&lt;&gt;"",$J410*CARBON_FRACTION_OM,""))</f>
        <v/>
      </c>
      <c r="M410" s="14" t="n">
        <f aca="false">IF($H410="Fine earth / fine-earth volume",1-IF($G410="",0,$G410)/100,1)</f>
        <v>1</v>
      </c>
      <c r="N410" s="14" t="str">
        <f aca="false">IF(OR($D410="",$E410=""),"",MAX(0,MIN($E410,REPORTING_DEPTH_CM)-MIN($D410,REPORTING_DEPTH_CM)))</f>
        <v/>
      </c>
      <c r="O410" s="14" t="str">
        <f aca="false">IF(OR($I410="",$L410="",$N410=""),"",$I410*($L410/100)*$N410*$M410*10)</f>
        <v/>
      </c>
      <c r="P410" s="14" t="str">
        <f aca="false">IF(OR($I410="",$L410="",$F410=""),"",$I410*($L410/100)*$F410*$M410*10)</f>
        <v/>
      </c>
      <c r="Q410" s="14" t="str">
        <f aca="false">IF(AND($A410="",$B410="",$D410=""),"",IF(AND($B410&lt;&gt;"",COUNTIF('2. Core Log'!$A$5:$A$124,$B410)=0),"Core ID not in Core Log. ","")&amp;IF(AND($A410&lt;&gt;"",COUNTIF('1. Plot &amp; Site Log'!$A$5:$A$64,$A410)=0),"Plot ID not in Plot &amp; Site Log. ","")&amp;IF(AND($D410&lt;&gt;"",$E410&lt;&gt;"",$E410&lt;=$D410),"Bottom depth is not below top depth. ","")&amp;IF($H410="","Say which bulk-density basis the lab reported, or the coarse-fragment correction cannot be applied safely. ","")&amp;IF(AND($I410&lt;&gt;"",OR($I410&lt;QC_BD_MIN,$I410&gt;QC_BD_MAX)),"Bulk density outside "&amp;QC_BD_MIN&amp;"–"&amp;QC_BD_MAX&amp;" g/cm³. ","")&amp;IF(AND($L410&lt;&gt;"",$L410&gt;QC_CARBON_PCT_MAX),"Carbon above "&amp;QC_CARBON_PCT_MAX&amp;"% — check units; this may be organic matter rather than carbon. ","")&amp;IF(AND($J410&lt;&gt;"",$K410&lt;&gt;""),"Both LOI and measured carbon given — the measured value is used. ","")&amp;IF(AND($N410&lt;&gt;"",$N410=0),"Slice lies entirely below the reporting depth — it counts to the full-core stock only. ",""))</f>
        <v/>
      </c>
      <c r="R410" s="13"/>
    </row>
    <row r="411" customFormat="false" ht="15" hidden="false" customHeight="false" outlineLevel="0" collapsed="false">
      <c r="A411" s="13"/>
      <c r="B411" s="13"/>
      <c r="C411" s="13"/>
      <c r="D411" s="13"/>
      <c r="E411" s="13"/>
      <c r="F411" s="13" t="str">
        <f aca="false">IF(OR($D411="",$E411=""),"",$E411-$D411)</f>
        <v/>
      </c>
      <c r="G411" s="13"/>
      <c r="H411" s="13"/>
      <c r="I411" s="15"/>
      <c r="J411" s="15"/>
      <c r="K411" s="15"/>
      <c r="L411" s="14" t="str">
        <f aca="false">IF($K411&lt;&gt;"",$K411,IF($J411&lt;&gt;"",$J411*CARBON_FRACTION_OM,""))</f>
        <v/>
      </c>
      <c r="M411" s="14" t="n">
        <f aca="false">IF($H411="Fine earth / fine-earth volume",1-IF($G411="",0,$G411)/100,1)</f>
        <v>1</v>
      </c>
      <c r="N411" s="14" t="str">
        <f aca="false">IF(OR($D411="",$E411=""),"",MAX(0,MIN($E411,REPORTING_DEPTH_CM)-MIN($D411,REPORTING_DEPTH_CM)))</f>
        <v/>
      </c>
      <c r="O411" s="14" t="str">
        <f aca="false">IF(OR($I411="",$L411="",$N411=""),"",$I411*($L411/100)*$N411*$M411*10)</f>
        <v/>
      </c>
      <c r="P411" s="14" t="str">
        <f aca="false">IF(OR($I411="",$L411="",$F411=""),"",$I411*($L411/100)*$F411*$M411*10)</f>
        <v/>
      </c>
      <c r="Q411" s="14" t="str">
        <f aca="false">IF(AND($A411="",$B411="",$D411=""),"",IF(AND($B411&lt;&gt;"",COUNTIF('2. Core Log'!$A$5:$A$124,$B411)=0),"Core ID not in Core Log. ","")&amp;IF(AND($A411&lt;&gt;"",COUNTIF('1. Plot &amp; Site Log'!$A$5:$A$64,$A411)=0),"Plot ID not in Plot &amp; Site Log. ","")&amp;IF(AND($D411&lt;&gt;"",$E411&lt;&gt;"",$E411&lt;=$D411),"Bottom depth is not below top depth. ","")&amp;IF($H411="","Say which bulk-density basis the lab reported, or the coarse-fragment correction cannot be applied safely. ","")&amp;IF(AND($I411&lt;&gt;"",OR($I411&lt;QC_BD_MIN,$I411&gt;QC_BD_MAX)),"Bulk density outside "&amp;QC_BD_MIN&amp;"–"&amp;QC_BD_MAX&amp;" g/cm³. ","")&amp;IF(AND($L411&lt;&gt;"",$L411&gt;QC_CARBON_PCT_MAX),"Carbon above "&amp;QC_CARBON_PCT_MAX&amp;"% — check units; this may be organic matter rather than carbon. ","")&amp;IF(AND($J411&lt;&gt;"",$K411&lt;&gt;""),"Both LOI and measured carbon given — the measured value is used. ","")&amp;IF(AND($N411&lt;&gt;"",$N411=0),"Slice lies entirely below the reporting depth — it counts to the full-core stock only. ",""))</f>
        <v/>
      </c>
      <c r="R411" s="13"/>
    </row>
    <row r="412" customFormat="false" ht="15" hidden="false" customHeight="false" outlineLevel="0" collapsed="false">
      <c r="A412" s="13"/>
      <c r="B412" s="13"/>
      <c r="C412" s="13"/>
      <c r="D412" s="13"/>
      <c r="E412" s="13"/>
      <c r="F412" s="13" t="str">
        <f aca="false">IF(OR($D412="",$E412=""),"",$E412-$D412)</f>
        <v/>
      </c>
      <c r="G412" s="13"/>
      <c r="H412" s="13"/>
      <c r="I412" s="15"/>
      <c r="J412" s="15"/>
      <c r="K412" s="15"/>
      <c r="L412" s="14" t="str">
        <f aca="false">IF($K412&lt;&gt;"",$K412,IF($J412&lt;&gt;"",$J412*CARBON_FRACTION_OM,""))</f>
        <v/>
      </c>
      <c r="M412" s="14" t="n">
        <f aca="false">IF($H412="Fine earth / fine-earth volume",1-IF($G412="",0,$G412)/100,1)</f>
        <v>1</v>
      </c>
      <c r="N412" s="14" t="str">
        <f aca="false">IF(OR($D412="",$E412=""),"",MAX(0,MIN($E412,REPORTING_DEPTH_CM)-MIN($D412,REPORTING_DEPTH_CM)))</f>
        <v/>
      </c>
      <c r="O412" s="14" t="str">
        <f aca="false">IF(OR($I412="",$L412="",$N412=""),"",$I412*($L412/100)*$N412*$M412*10)</f>
        <v/>
      </c>
      <c r="P412" s="14" t="str">
        <f aca="false">IF(OR($I412="",$L412="",$F412=""),"",$I412*($L412/100)*$F412*$M412*10)</f>
        <v/>
      </c>
      <c r="Q412" s="14" t="str">
        <f aca="false">IF(AND($A412="",$B412="",$D412=""),"",IF(AND($B412&lt;&gt;"",COUNTIF('2. Core Log'!$A$5:$A$124,$B412)=0),"Core ID not in Core Log. ","")&amp;IF(AND($A412&lt;&gt;"",COUNTIF('1. Plot &amp; Site Log'!$A$5:$A$64,$A412)=0),"Plot ID not in Plot &amp; Site Log. ","")&amp;IF(AND($D412&lt;&gt;"",$E412&lt;&gt;"",$E412&lt;=$D412),"Bottom depth is not below top depth. ","")&amp;IF($H412="","Say which bulk-density basis the lab reported, or the coarse-fragment correction cannot be applied safely. ","")&amp;IF(AND($I412&lt;&gt;"",OR($I412&lt;QC_BD_MIN,$I412&gt;QC_BD_MAX)),"Bulk density outside "&amp;QC_BD_MIN&amp;"–"&amp;QC_BD_MAX&amp;" g/cm³. ","")&amp;IF(AND($L412&lt;&gt;"",$L412&gt;QC_CARBON_PCT_MAX),"Carbon above "&amp;QC_CARBON_PCT_MAX&amp;"% — check units; this may be organic matter rather than carbon. ","")&amp;IF(AND($J412&lt;&gt;"",$K412&lt;&gt;""),"Both LOI and measured carbon given — the measured value is used. ","")&amp;IF(AND($N412&lt;&gt;"",$N412=0),"Slice lies entirely below the reporting depth — it counts to the full-core stock only. ",""))</f>
        <v/>
      </c>
      <c r="R412" s="13"/>
    </row>
    <row r="413" customFormat="false" ht="15" hidden="false" customHeight="false" outlineLevel="0" collapsed="false">
      <c r="A413" s="13"/>
      <c r="B413" s="13"/>
      <c r="C413" s="13"/>
      <c r="D413" s="13"/>
      <c r="E413" s="13"/>
      <c r="F413" s="13" t="str">
        <f aca="false">IF(OR($D413="",$E413=""),"",$E413-$D413)</f>
        <v/>
      </c>
      <c r="G413" s="13"/>
      <c r="H413" s="13"/>
      <c r="I413" s="15"/>
      <c r="J413" s="15"/>
      <c r="K413" s="15"/>
      <c r="L413" s="14" t="str">
        <f aca="false">IF($K413&lt;&gt;"",$K413,IF($J413&lt;&gt;"",$J413*CARBON_FRACTION_OM,""))</f>
        <v/>
      </c>
      <c r="M413" s="14" t="n">
        <f aca="false">IF($H413="Fine earth / fine-earth volume",1-IF($G413="",0,$G413)/100,1)</f>
        <v>1</v>
      </c>
      <c r="N413" s="14" t="str">
        <f aca="false">IF(OR($D413="",$E413=""),"",MAX(0,MIN($E413,REPORTING_DEPTH_CM)-MIN($D413,REPORTING_DEPTH_CM)))</f>
        <v/>
      </c>
      <c r="O413" s="14" t="str">
        <f aca="false">IF(OR($I413="",$L413="",$N413=""),"",$I413*($L413/100)*$N413*$M413*10)</f>
        <v/>
      </c>
      <c r="P413" s="14" t="str">
        <f aca="false">IF(OR($I413="",$L413="",$F413=""),"",$I413*($L413/100)*$F413*$M413*10)</f>
        <v/>
      </c>
      <c r="Q413" s="14" t="str">
        <f aca="false">IF(AND($A413="",$B413="",$D413=""),"",IF(AND($B413&lt;&gt;"",COUNTIF('2. Core Log'!$A$5:$A$124,$B413)=0),"Core ID not in Core Log. ","")&amp;IF(AND($A413&lt;&gt;"",COUNTIF('1. Plot &amp; Site Log'!$A$5:$A$64,$A413)=0),"Plot ID not in Plot &amp; Site Log. ","")&amp;IF(AND($D413&lt;&gt;"",$E413&lt;&gt;"",$E413&lt;=$D413),"Bottom depth is not below top depth. ","")&amp;IF($H413="","Say which bulk-density basis the lab reported, or the coarse-fragment correction cannot be applied safely. ","")&amp;IF(AND($I413&lt;&gt;"",OR($I413&lt;QC_BD_MIN,$I413&gt;QC_BD_MAX)),"Bulk density outside "&amp;QC_BD_MIN&amp;"–"&amp;QC_BD_MAX&amp;" g/cm³. ","")&amp;IF(AND($L413&lt;&gt;"",$L413&gt;QC_CARBON_PCT_MAX),"Carbon above "&amp;QC_CARBON_PCT_MAX&amp;"% — check units; this may be organic matter rather than carbon. ","")&amp;IF(AND($J413&lt;&gt;"",$K413&lt;&gt;""),"Both LOI and measured carbon given — the measured value is used. ","")&amp;IF(AND($N413&lt;&gt;"",$N413=0),"Slice lies entirely below the reporting depth — it counts to the full-core stock only. ",""))</f>
        <v/>
      </c>
      <c r="R413" s="13"/>
    </row>
    <row r="414" customFormat="false" ht="15" hidden="false" customHeight="false" outlineLevel="0" collapsed="false">
      <c r="A414" s="13"/>
      <c r="B414" s="13"/>
      <c r="C414" s="13"/>
      <c r="D414" s="13"/>
      <c r="E414" s="13"/>
      <c r="F414" s="13" t="str">
        <f aca="false">IF(OR($D414="",$E414=""),"",$E414-$D414)</f>
        <v/>
      </c>
      <c r="G414" s="13"/>
      <c r="H414" s="13"/>
      <c r="I414" s="15"/>
      <c r="J414" s="15"/>
      <c r="K414" s="15"/>
      <c r="L414" s="14" t="str">
        <f aca="false">IF($K414&lt;&gt;"",$K414,IF($J414&lt;&gt;"",$J414*CARBON_FRACTION_OM,""))</f>
        <v/>
      </c>
      <c r="M414" s="14" t="n">
        <f aca="false">IF($H414="Fine earth / fine-earth volume",1-IF($G414="",0,$G414)/100,1)</f>
        <v>1</v>
      </c>
      <c r="N414" s="14" t="str">
        <f aca="false">IF(OR($D414="",$E414=""),"",MAX(0,MIN($E414,REPORTING_DEPTH_CM)-MIN($D414,REPORTING_DEPTH_CM)))</f>
        <v/>
      </c>
      <c r="O414" s="14" t="str">
        <f aca="false">IF(OR($I414="",$L414="",$N414=""),"",$I414*($L414/100)*$N414*$M414*10)</f>
        <v/>
      </c>
      <c r="P414" s="14" t="str">
        <f aca="false">IF(OR($I414="",$L414="",$F414=""),"",$I414*($L414/100)*$F414*$M414*10)</f>
        <v/>
      </c>
      <c r="Q414" s="14" t="str">
        <f aca="false">IF(AND($A414="",$B414="",$D414=""),"",IF(AND($B414&lt;&gt;"",COUNTIF('2. Core Log'!$A$5:$A$124,$B414)=0),"Core ID not in Core Log. ","")&amp;IF(AND($A414&lt;&gt;"",COUNTIF('1. Plot &amp; Site Log'!$A$5:$A$64,$A414)=0),"Plot ID not in Plot &amp; Site Log. ","")&amp;IF(AND($D414&lt;&gt;"",$E414&lt;&gt;"",$E414&lt;=$D414),"Bottom depth is not below top depth. ","")&amp;IF($H414="","Say which bulk-density basis the lab reported, or the coarse-fragment correction cannot be applied safely. ","")&amp;IF(AND($I414&lt;&gt;"",OR($I414&lt;QC_BD_MIN,$I414&gt;QC_BD_MAX)),"Bulk density outside "&amp;QC_BD_MIN&amp;"–"&amp;QC_BD_MAX&amp;" g/cm³. ","")&amp;IF(AND($L414&lt;&gt;"",$L414&gt;QC_CARBON_PCT_MAX),"Carbon above "&amp;QC_CARBON_PCT_MAX&amp;"% — check units; this may be organic matter rather than carbon. ","")&amp;IF(AND($J414&lt;&gt;"",$K414&lt;&gt;""),"Both LOI and measured carbon given — the measured value is used. ","")&amp;IF(AND($N414&lt;&gt;"",$N414=0),"Slice lies entirely below the reporting depth — it counts to the full-core stock only. ",""))</f>
        <v/>
      </c>
      <c r="R414" s="13"/>
    </row>
    <row r="415" customFormat="false" ht="15" hidden="false" customHeight="false" outlineLevel="0" collapsed="false">
      <c r="A415" s="13"/>
      <c r="B415" s="13"/>
      <c r="C415" s="13"/>
      <c r="D415" s="13"/>
      <c r="E415" s="13"/>
      <c r="F415" s="13" t="str">
        <f aca="false">IF(OR($D415="",$E415=""),"",$E415-$D415)</f>
        <v/>
      </c>
      <c r="G415" s="13"/>
      <c r="H415" s="13"/>
      <c r="I415" s="15"/>
      <c r="J415" s="15"/>
      <c r="K415" s="15"/>
      <c r="L415" s="14" t="str">
        <f aca="false">IF($K415&lt;&gt;"",$K415,IF($J415&lt;&gt;"",$J415*CARBON_FRACTION_OM,""))</f>
        <v/>
      </c>
      <c r="M415" s="14" t="n">
        <f aca="false">IF($H415="Fine earth / fine-earth volume",1-IF($G415="",0,$G415)/100,1)</f>
        <v>1</v>
      </c>
      <c r="N415" s="14" t="str">
        <f aca="false">IF(OR($D415="",$E415=""),"",MAX(0,MIN($E415,REPORTING_DEPTH_CM)-MIN($D415,REPORTING_DEPTH_CM)))</f>
        <v/>
      </c>
      <c r="O415" s="14" t="str">
        <f aca="false">IF(OR($I415="",$L415="",$N415=""),"",$I415*($L415/100)*$N415*$M415*10)</f>
        <v/>
      </c>
      <c r="P415" s="14" t="str">
        <f aca="false">IF(OR($I415="",$L415="",$F415=""),"",$I415*($L415/100)*$F415*$M415*10)</f>
        <v/>
      </c>
      <c r="Q415" s="14" t="str">
        <f aca="false">IF(AND($A415="",$B415="",$D415=""),"",IF(AND($B415&lt;&gt;"",COUNTIF('2. Core Log'!$A$5:$A$124,$B415)=0),"Core ID not in Core Log. ","")&amp;IF(AND($A415&lt;&gt;"",COUNTIF('1. Plot &amp; Site Log'!$A$5:$A$64,$A415)=0),"Plot ID not in Plot &amp; Site Log. ","")&amp;IF(AND($D415&lt;&gt;"",$E415&lt;&gt;"",$E415&lt;=$D415),"Bottom depth is not below top depth. ","")&amp;IF($H415="","Say which bulk-density basis the lab reported, or the coarse-fragment correction cannot be applied safely. ","")&amp;IF(AND($I415&lt;&gt;"",OR($I415&lt;QC_BD_MIN,$I415&gt;QC_BD_MAX)),"Bulk density outside "&amp;QC_BD_MIN&amp;"–"&amp;QC_BD_MAX&amp;" g/cm³. ","")&amp;IF(AND($L415&lt;&gt;"",$L415&gt;QC_CARBON_PCT_MAX),"Carbon above "&amp;QC_CARBON_PCT_MAX&amp;"% — check units; this may be organic matter rather than carbon. ","")&amp;IF(AND($J415&lt;&gt;"",$K415&lt;&gt;""),"Both LOI and measured carbon given — the measured value is used. ","")&amp;IF(AND($N415&lt;&gt;"",$N415=0),"Slice lies entirely below the reporting depth — it counts to the full-core stock only. ",""))</f>
        <v/>
      </c>
      <c r="R415" s="13"/>
    </row>
    <row r="416" customFormat="false" ht="15" hidden="false" customHeight="false" outlineLevel="0" collapsed="false">
      <c r="A416" s="13"/>
      <c r="B416" s="13"/>
      <c r="C416" s="13"/>
      <c r="D416" s="13"/>
      <c r="E416" s="13"/>
      <c r="F416" s="13" t="str">
        <f aca="false">IF(OR($D416="",$E416=""),"",$E416-$D416)</f>
        <v/>
      </c>
      <c r="G416" s="13"/>
      <c r="H416" s="13"/>
      <c r="I416" s="15"/>
      <c r="J416" s="15"/>
      <c r="K416" s="15"/>
      <c r="L416" s="14" t="str">
        <f aca="false">IF($K416&lt;&gt;"",$K416,IF($J416&lt;&gt;"",$J416*CARBON_FRACTION_OM,""))</f>
        <v/>
      </c>
      <c r="M416" s="14" t="n">
        <f aca="false">IF($H416="Fine earth / fine-earth volume",1-IF($G416="",0,$G416)/100,1)</f>
        <v>1</v>
      </c>
      <c r="N416" s="14" t="str">
        <f aca="false">IF(OR($D416="",$E416=""),"",MAX(0,MIN($E416,REPORTING_DEPTH_CM)-MIN($D416,REPORTING_DEPTH_CM)))</f>
        <v/>
      </c>
      <c r="O416" s="14" t="str">
        <f aca="false">IF(OR($I416="",$L416="",$N416=""),"",$I416*($L416/100)*$N416*$M416*10)</f>
        <v/>
      </c>
      <c r="P416" s="14" t="str">
        <f aca="false">IF(OR($I416="",$L416="",$F416=""),"",$I416*($L416/100)*$F416*$M416*10)</f>
        <v/>
      </c>
      <c r="Q416" s="14" t="str">
        <f aca="false">IF(AND($A416="",$B416="",$D416=""),"",IF(AND($B416&lt;&gt;"",COUNTIF('2. Core Log'!$A$5:$A$124,$B416)=0),"Core ID not in Core Log. ","")&amp;IF(AND($A416&lt;&gt;"",COUNTIF('1. Plot &amp; Site Log'!$A$5:$A$64,$A416)=0),"Plot ID not in Plot &amp; Site Log. ","")&amp;IF(AND($D416&lt;&gt;"",$E416&lt;&gt;"",$E416&lt;=$D416),"Bottom depth is not below top depth. ","")&amp;IF($H416="","Say which bulk-density basis the lab reported, or the coarse-fragment correction cannot be applied safely. ","")&amp;IF(AND($I416&lt;&gt;"",OR($I416&lt;QC_BD_MIN,$I416&gt;QC_BD_MAX)),"Bulk density outside "&amp;QC_BD_MIN&amp;"–"&amp;QC_BD_MAX&amp;" g/cm³. ","")&amp;IF(AND($L416&lt;&gt;"",$L416&gt;QC_CARBON_PCT_MAX),"Carbon above "&amp;QC_CARBON_PCT_MAX&amp;"% — check units; this may be organic matter rather than carbon. ","")&amp;IF(AND($J416&lt;&gt;"",$K416&lt;&gt;""),"Both LOI and measured carbon given — the measured value is used. ","")&amp;IF(AND($N416&lt;&gt;"",$N416=0),"Slice lies entirely below the reporting depth — it counts to the full-core stock only. ",""))</f>
        <v/>
      </c>
      <c r="R416" s="13"/>
    </row>
    <row r="417" customFormat="false" ht="15" hidden="false" customHeight="false" outlineLevel="0" collapsed="false">
      <c r="A417" s="13"/>
      <c r="B417" s="13"/>
      <c r="C417" s="13"/>
      <c r="D417" s="13"/>
      <c r="E417" s="13"/>
      <c r="F417" s="13" t="str">
        <f aca="false">IF(OR($D417="",$E417=""),"",$E417-$D417)</f>
        <v/>
      </c>
      <c r="G417" s="13"/>
      <c r="H417" s="13"/>
      <c r="I417" s="15"/>
      <c r="J417" s="15"/>
      <c r="K417" s="15"/>
      <c r="L417" s="14" t="str">
        <f aca="false">IF($K417&lt;&gt;"",$K417,IF($J417&lt;&gt;"",$J417*CARBON_FRACTION_OM,""))</f>
        <v/>
      </c>
      <c r="M417" s="14" t="n">
        <f aca="false">IF($H417="Fine earth / fine-earth volume",1-IF($G417="",0,$G417)/100,1)</f>
        <v>1</v>
      </c>
      <c r="N417" s="14" t="str">
        <f aca="false">IF(OR($D417="",$E417=""),"",MAX(0,MIN($E417,REPORTING_DEPTH_CM)-MIN($D417,REPORTING_DEPTH_CM)))</f>
        <v/>
      </c>
      <c r="O417" s="14" t="str">
        <f aca="false">IF(OR($I417="",$L417="",$N417=""),"",$I417*($L417/100)*$N417*$M417*10)</f>
        <v/>
      </c>
      <c r="P417" s="14" t="str">
        <f aca="false">IF(OR($I417="",$L417="",$F417=""),"",$I417*($L417/100)*$F417*$M417*10)</f>
        <v/>
      </c>
      <c r="Q417" s="14" t="str">
        <f aca="false">IF(AND($A417="",$B417="",$D417=""),"",IF(AND($B417&lt;&gt;"",COUNTIF('2. Core Log'!$A$5:$A$124,$B417)=0),"Core ID not in Core Log. ","")&amp;IF(AND($A417&lt;&gt;"",COUNTIF('1. Plot &amp; Site Log'!$A$5:$A$64,$A417)=0),"Plot ID not in Plot &amp; Site Log. ","")&amp;IF(AND($D417&lt;&gt;"",$E417&lt;&gt;"",$E417&lt;=$D417),"Bottom depth is not below top depth. ","")&amp;IF($H417="","Say which bulk-density basis the lab reported, or the coarse-fragment correction cannot be applied safely. ","")&amp;IF(AND($I417&lt;&gt;"",OR($I417&lt;QC_BD_MIN,$I417&gt;QC_BD_MAX)),"Bulk density outside "&amp;QC_BD_MIN&amp;"–"&amp;QC_BD_MAX&amp;" g/cm³. ","")&amp;IF(AND($L417&lt;&gt;"",$L417&gt;QC_CARBON_PCT_MAX),"Carbon above "&amp;QC_CARBON_PCT_MAX&amp;"% — check units; this may be organic matter rather than carbon. ","")&amp;IF(AND($J417&lt;&gt;"",$K417&lt;&gt;""),"Both LOI and measured carbon given — the measured value is used. ","")&amp;IF(AND($N417&lt;&gt;"",$N417=0),"Slice lies entirely below the reporting depth — it counts to the full-core stock only. ",""))</f>
        <v/>
      </c>
      <c r="R417" s="13"/>
    </row>
    <row r="418" customFormat="false" ht="15" hidden="false" customHeight="false" outlineLevel="0" collapsed="false">
      <c r="A418" s="13"/>
      <c r="B418" s="13"/>
      <c r="C418" s="13"/>
      <c r="D418" s="13"/>
      <c r="E418" s="13"/>
      <c r="F418" s="13" t="str">
        <f aca="false">IF(OR($D418="",$E418=""),"",$E418-$D418)</f>
        <v/>
      </c>
      <c r="G418" s="13"/>
      <c r="H418" s="13"/>
      <c r="I418" s="15"/>
      <c r="J418" s="15"/>
      <c r="K418" s="15"/>
      <c r="L418" s="14" t="str">
        <f aca="false">IF($K418&lt;&gt;"",$K418,IF($J418&lt;&gt;"",$J418*CARBON_FRACTION_OM,""))</f>
        <v/>
      </c>
      <c r="M418" s="14" t="n">
        <f aca="false">IF($H418="Fine earth / fine-earth volume",1-IF($G418="",0,$G418)/100,1)</f>
        <v>1</v>
      </c>
      <c r="N418" s="14" t="str">
        <f aca="false">IF(OR($D418="",$E418=""),"",MAX(0,MIN($E418,REPORTING_DEPTH_CM)-MIN($D418,REPORTING_DEPTH_CM)))</f>
        <v/>
      </c>
      <c r="O418" s="14" t="str">
        <f aca="false">IF(OR($I418="",$L418="",$N418=""),"",$I418*($L418/100)*$N418*$M418*10)</f>
        <v/>
      </c>
      <c r="P418" s="14" t="str">
        <f aca="false">IF(OR($I418="",$L418="",$F418=""),"",$I418*($L418/100)*$F418*$M418*10)</f>
        <v/>
      </c>
      <c r="Q418" s="14" t="str">
        <f aca="false">IF(AND($A418="",$B418="",$D418=""),"",IF(AND($B418&lt;&gt;"",COUNTIF('2. Core Log'!$A$5:$A$124,$B418)=0),"Core ID not in Core Log. ","")&amp;IF(AND($A418&lt;&gt;"",COUNTIF('1. Plot &amp; Site Log'!$A$5:$A$64,$A418)=0),"Plot ID not in Plot &amp; Site Log. ","")&amp;IF(AND($D418&lt;&gt;"",$E418&lt;&gt;"",$E418&lt;=$D418),"Bottom depth is not below top depth. ","")&amp;IF($H418="","Say which bulk-density basis the lab reported, or the coarse-fragment correction cannot be applied safely. ","")&amp;IF(AND($I418&lt;&gt;"",OR($I418&lt;QC_BD_MIN,$I418&gt;QC_BD_MAX)),"Bulk density outside "&amp;QC_BD_MIN&amp;"–"&amp;QC_BD_MAX&amp;" g/cm³. ","")&amp;IF(AND($L418&lt;&gt;"",$L418&gt;QC_CARBON_PCT_MAX),"Carbon above "&amp;QC_CARBON_PCT_MAX&amp;"% — check units; this may be organic matter rather than carbon. ","")&amp;IF(AND($J418&lt;&gt;"",$K418&lt;&gt;""),"Both LOI and measured carbon given — the measured value is used. ","")&amp;IF(AND($N418&lt;&gt;"",$N418=0),"Slice lies entirely below the reporting depth — it counts to the full-core stock only. ",""))</f>
        <v/>
      </c>
      <c r="R418" s="13"/>
    </row>
    <row r="419" customFormat="false" ht="15" hidden="false" customHeight="false" outlineLevel="0" collapsed="false">
      <c r="A419" s="13"/>
      <c r="B419" s="13"/>
      <c r="C419" s="13"/>
      <c r="D419" s="13"/>
      <c r="E419" s="13"/>
      <c r="F419" s="13" t="str">
        <f aca="false">IF(OR($D419="",$E419=""),"",$E419-$D419)</f>
        <v/>
      </c>
      <c r="G419" s="13"/>
      <c r="H419" s="13"/>
      <c r="I419" s="15"/>
      <c r="J419" s="15"/>
      <c r="K419" s="15"/>
      <c r="L419" s="14" t="str">
        <f aca="false">IF($K419&lt;&gt;"",$K419,IF($J419&lt;&gt;"",$J419*CARBON_FRACTION_OM,""))</f>
        <v/>
      </c>
      <c r="M419" s="14" t="n">
        <f aca="false">IF($H419="Fine earth / fine-earth volume",1-IF($G419="",0,$G419)/100,1)</f>
        <v>1</v>
      </c>
      <c r="N419" s="14" t="str">
        <f aca="false">IF(OR($D419="",$E419=""),"",MAX(0,MIN($E419,REPORTING_DEPTH_CM)-MIN($D419,REPORTING_DEPTH_CM)))</f>
        <v/>
      </c>
      <c r="O419" s="14" t="str">
        <f aca="false">IF(OR($I419="",$L419="",$N419=""),"",$I419*($L419/100)*$N419*$M419*10)</f>
        <v/>
      </c>
      <c r="P419" s="14" t="str">
        <f aca="false">IF(OR($I419="",$L419="",$F419=""),"",$I419*($L419/100)*$F419*$M419*10)</f>
        <v/>
      </c>
      <c r="Q419" s="14" t="str">
        <f aca="false">IF(AND($A419="",$B419="",$D419=""),"",IF(AND($B419&lt;&gt;"",COUNTIF('2. Core Log'!$A$5:$A$124,$B419)=0),"Core ID not in Core Log. ","")&amp;IF(AND($A419&lt;&gt;"",COUNTIF('1. Plot &amp; Site Log'!$A$5:$A$64,$A419)=0),"Plot ID not in Plot &amp; Site Log. ","")&amp;IF(AND($D419&lt;&gt;"",$E419&lt;&gt;"",$E419&lt;=$D419),"Bottom depth is not below top depth. ","")&amp;IF($H419="","Say which bulk-density basis the lab reported, or the coarse-fragment correction cannot be applied safely. ","")&amp;IF(AND($I419&lt;&gt;"",OR($I419&lt;QC_BD_MIN,$I419&gt;QC_BD_MAX)),"Bulk density outside "&amp;QC_BD_MIN&amp;"–"&amp;QC_BD_MAX&amp;" g/cm³. ","")&amp;IF(AND($L419&lt;&gt;"",$L419&gt;QC_CARBON_PCT_MAX),"Carbon above "&amp;QC_CARBON_PCT_MAX&amp;"% — check units; this may be organic matter rather than carbon. ","")&amp;IF(AND($J419&lt;&gt;"",$K419&lt;&gt;""),"Both LOI and measured carbon given — the measured value is used. ","")&amp;IF(AND($N419&lt;&gt;"",$N419=0),"Slice lies entirely below the reporting depth — it counts to the full-core stock only. ",""))</f>
        <v/>
      </c>
      <c r="R419" s="13"/>
    </row>
    <row r="420" customFormat="false" ht="15" hidden="false" customHeight="false" outlineLevel="0" collapsed="false">
      <c r="A420" s="13"/>
      <c r="B420" s="13"/>
      <c r="C420" s="13"/>
      <c r="D420" s="13"/>
      <c r="E420" s="13"/>
      <c r="F420" s="13" t="str">
        <f aca="false">IF(OR($D420="",$E420=""),"",$E420-$D420)</f>
        <v/>
      </c>
      <c r="G420" s="13"/>
      <c r="H420" s="13"/>
      <c r="I420" s="15"/>
      <c r="J420" s="15"/>
      <c r="K420" s="15"/>
      <c r="L420" s="14" t="str">
        <f aca="false">IF($K420&lt;&gt;"",$K420,IF($J420&lt;&gt;"",$J420*CARBON_FRACTION_OM,""))</f>
        <v/>
      </c>
      <c r="M420" s="14" t="n">
        <f aca="false">IF($H420="Fine earth / fine-earth volume",1-IF($G420="",0,$G420)/100,1)</f>
        <v>1</v>
      </c>
      <c r="N420" s="14" t="str">
        <f aca="false">IF(OR($D420="",$E420=""),"",MAX(0,MIN($E420,REPORTING_DEPTH_CM)-MIN($D420,REPORTING_DEPTH_CM)))</f>
        <v/>
      </c>
      <c r="O420" s="14" t="str">
        <f aca="false">IF(OR($I420="",$L420="",$N420=""),"",$I420*($L420/100)*$N420*$M420*10)</f>
        <v/>
      </c>
      <c r="P420" s="14" t="str">
        <f aca="false">IF(OR($I420="",$L420="",$F420=""),"",$I420*($L420/100)*$F420*$M420*10)</f>
        <v/>
      </c>
      <c r="Q420" s="14" t="str">
        <f aca="false">IF(AND($A420="",$B420="",$D420=""),"",IF(AND($B420&lt;&gt;"",COUNTIF('2. Core Log'!$A$5:$A$124,$B420)=0),"Core ID not in Core Log. ","")&amp;IF(AND($A420&lt;&gt;"",COUNTIF('1. Plot &amp; Site Log'!$A$5:$A$64,$A420)=0),"Plot ID not in Plot &amp; Site Log. ","")&amp;IF(AND($D420&lt;&gt;"",$E420&lt;&gt;"",$E420&lt;=$D420),"Bottom depth is not below top depth. ","")&amp;IF($H420="","Say which bulk-density basis the lab reported, or the coarse-fragment correction cannot be applied safely. ","")&amp;IF(AND($I420&lt;&gt;"",OR($I420&lt;QC_BD_MIN,$I420&gt;QC_BD_MAX)),"Bulk density outside "&amp;QC_BD_MIN&amp;"–"&amp;QC_BD_MAX&amp;" g/cm³. ","")&amp;IF(AND($L420&lt;&gt;"",$L420&gt;QC_CARBON_PCT_MAX),"Carbon above "&amp;QC_CARBON_PCT_MAX&amp;"% — check units; this may be organic matter rather than carbon. ","")&amp;IF(AND($J420&lt;&gt;"",$K420&lt;&gt;""),"Both LOI and measured carbon given — the measured value is used. ","")&amp;IF(AND($N420&lt;&gt;"",$N420=0),"Slice lies entirely below the reporting depth — it counts to the full-core stock only. ",""))</f>
        <v/>
      </c>
      <c r="R420" s="13"/>
    </row>
    <row r="421" customFormat="false" ht="15" hidden="false" customHeight="false" outlineLevel="0" collapsed="false">
      <c r="A421" s="13"/>
      <c r="B421" s="13"/>
      <c r="C421" s="13"/>
      <c r="D421" s="13"/>
      <c r="E421" s="13"/>
      <c r="F421" s="13" t="str">
        <f aca="false">IF(OR($D421="",$E421=""),"",$E421-$D421)</f>
        <v/>
      </c>
      <c r="G421" s="13"/>
      <c r="H421" s="13"/>
      <c r="I421" s="15"/>
      <c r="J421" s="15"/>
      <c r="K421" s="15"/>
      <c r="L421" s="14" t="str">
        <f aca="false">IF($K421&lt;&gt;"",$K421,IF($J421&lt;&gt;"",$J421*CARBON_FRACTION_OM,""))</f>
        <v/>
      </c>
      <c r="M421" s="14" t="n">
        <f aca="false">IF($H421="Fine earth / fine-earth volume",1-IF($G421="",0,$G421)/100,1)</f>
        <v>1</v>
      </c>
      <c r="N421" s="14" t="str">
        <f aca="false">IF(OR($D421="",$E421=""),"",MAX(0,MIN($E421,REPORTING_DEPTH_CM)-MIN($D421,REPORTING_DEPTH_CM)))</f>
        <v/>
      </c>
      <c r="O421" s="14" t="str">
        <f aca="false">IF(OR($I421="",$L421="",$N421=""),"",$I421*($L421/100)*$N421*$M421*10)</f>
        <v/>
      </c>
      <c r="P421" s="14" t="str">
        <f aca="false">IF(OR($I421="",$L421="",$F421=""),"",$I421*($L421/100)*$F421*$M421*10)</f>
        <v/>
      </c>
      <c r="Q421" s="14" t="str">
        <f aca="false">IF(AND($A421="",$B421="",$D421=""),"",IF(AND($B421&lt;&gt;"",COUNTIF('2. Core Log'!$A$5:$A$124,$B421)=0),"Core ID not in Core Log. ","")&amp;IF(AND($A421&lt;&gt;"",COUNTIF('1. Plot &amp; Site Log'!$A$5:$A$64,$A421)=0),"Plot ID not in Plot &amp; Site Log. ","")&amp;IF(AND($D421&lt;&gt;"",$E421&lt;&gt;"",$E421&lt;=$D421),"Bottom depth is not below top depth. ","")&amp;IF($H421="","Say which bulk-density basis the lab reported, or the coarse-fragment correction cannot be applied safely. ","")&amp;IF(AND($I421&lt;&gt;"",OR($I421&lt;QC_BD_MIN,$I421&gt;QC_BD_MAX)),"Bulk density outside "&amp;QC_BD_MIN&amp;"–"&amp;QC_BD_MAX&amp;" g/cm³. ","")&amp;IF(AND($L421&lt;&gt;"",$L421&gt;QC_CARBON_PCT_MAX),"Carbon above "&amp;QC_CARBON_PCT_MAX&amp;"% — check units; this may be organic matter rather than carbon. ","")&amp;IF(AND($J421&lt;&gt;"",$K421&lt;&gt;""),"Both LOI and measured carbon given — the measured value is used. ","")&amp;IF(AND($N421&lt;&gt;"",$N421=0),"Slice lies entirely below the reporting depth — it counts to the full-core stock only. ",""))</f>
        <v/>
      </c>
      <c r="R421" s="13"/>
    </row>
    <row r="422" customFormat="false" ht="15" hidden="false" customHeight="false" outlineLevel="0" collapsed="false">
      <c r="A422" s="13"/>
      <c r="B422" s="13"/>
      <c r="C422" s="13"/>
      <c r="D422" s="13"/>
      <c r="E422" s="13"/>
      <c r="F422" s="13" t="str">
        <f aca="false">IF(OR($D422="",$E422=""),"",$E422-$D422)</f>
        <v/>
      </c>
      <c r="G422" s="13"/>
      <c r="H422" s="13"/>
      <c r="I422" s="15"/>
      <c r="J422" s="15"/>
      <c r="K422" s="15"/>
      <c r="L422" s="14" t="str">
        <f aca="false">IF($K422&lt;&gt;"",$K422,IF($J422&lt;&gt;"",$J422*CARBON_FRACTION_OM,""))</f>
        <v/>
      </c>
      <c r="M422" s="14" t="n">
        <f aca="false">IF($H422="Fine earth / fine-earth volume",1-IF($G422="",0,$G422)/100,1)</f>
        <v>1</v>
      </c>
      <c r="N422" s="14" t="str">
        <f aca="false">IF(OR($D422="",$E422=""),"",MAX(0,MIN($E422,REPORTING_DEPTH_CM)-MIN($D422,REPORTING_DEPTH_CM)))</f>
        <v/>
      </c>
      <c r="O422" s="14" t="str">
        <f aca="false">IF(OR($I422="",$L422="",$N422=""),"",$I422*($L422/100)*$N422*$M422*10)</f>
        <v/>
      </c>
      <c r="P422" s="14" t="str">
        <f aca="false">IF(OR($I422="",$L422="",$F422=""),"",$I422*($L422/100)*$F422*$M422*10)</f>
        <v/>
      </c>
      <c r="Q422" s="14" t="str">
        <f aca="false">IF(AND($A422="",$B422="",$D422=""),"",IF(AND($B422&lt;&gt;"",COUNTIF('2. Core Log'!$A$5:$A$124,$B422)=0),"Core ID not in Core Log. ","")&amp;IF(AND($A422&lt;&gt;"",COUNTIF('1. Plot &amp; Site Log'!$A$5:$A$64,$A422)=0),"Plot ID not in Plot &amp; Site Log. ","")&amp;IF(AND($D422&lt;&gt;"",$E422&lt;&gt;"",$E422&lt;=$D422),"Bottom depth is not below top depth. ","")&amp;IF($H422="","Say which bulk-density basis the lab reported, or the coarse-fragment correction cannot be applied safely. ","")&amp;IF(AND($I422&lt;&gt;"",OR($I422&lt;QC_BD_MIN,$I422&gt;QC_BD_MAX)),"Bulk density outside "&amp;QC_BD_MIN&amp;"–"&amp;QC_BD_MAX&amp;" g/cm³. ","")&amp;IF(AND($L422&lt;&gt;"",$L422&gt;QC_CARBON_PCT_MAX),"Carbon above "&amp;QC_CARBON_PCT_MAX&amp;"% — check units; this may be organic matter rather than carbon. ","")&amp;IF(AND($J422&lt;&gt;"",$K422&lt;&gt;""),"Both LOI and measured carbon given — the measured value is used. ","")&amp;IF(AND($N422&lt;&gt;"",$N422=0),"Slice lies entirely below the reporting depth — it counts to the full-core stock only. ",""))</f>
        <v/>
      </c>
      <c r="R422" s="13"/>
    </row>
    <row r="423" customFormat="false" ht="15" hidden="false" customHeight="false" outlineLevel="0" collapsed="false">
      <c r="A423" s="13"/>
      <c r="B423" s="13"/>
      <c r="C423" s="13"/>
      <c r="D423" s="13"/>
      <c r="E423" s="13"/>
      <c r="F423" s="13" t="str">
        <f aca="false">IF(OR($D423="",$E423=""),"",$E423-$D423)</f>
        <v/>
      </c>
      <c r="G423" s="13"/>
      <c r="H423" s="13"/>
      <c r="I423" s="15"/>
      <c r="J423" s="15"/>
      <c r="K423" s="15"/>
      <c r="L423" s="14" t="str">
        <f aca="false">IF($K423&lt;&gt;"",$K423,IF($J423&lt;&gt;"",$J423*CARBON_FRACTION_OM,""))</f>
        <v/>
      </c>
      <c r="M423" s="14" t="n">
        <f aca="false">IF($H423="Fine earth / fine-earth volume",1-IF($G423="",0,$G423)/100,1)</f>
        <v>1</v>
      </c>
      <c r="N423" s="14" t="str">
        <f aca="false">IF(OR($D423="",$E423=""),"",MAX(0,MIN($E423,REPORTING_DEPTH_CM)-MIN($D423,REPORTING_DEPTH_CM)))</f>
        <v/>
      </c>
      <c r="O423" s="14" t="str">
        <f aca="false">IF(OR($I423="",$L423="",$N423=""),"",$I423*($L423/100)*$N423*$M423*10)</f>
        <v/>
      </c>
      <c r="P423" s="14" t="str">
        <f aca="false">IF(OR($I423="",$L423="",$F423=""),"",$I423*($L423/100)*$F423*$M423*10)</f>
        <v/>
      </c>
      <c r="Q423" s="14" t="str">
        <f aca="false">IF(AND($A423="",$B423="",$D423=""),"",IF(AND($B423&lt;&gt;"",COUNTIF('2. Core Log'!$A$5:$A$124,$B423)=0),"Core ID not in Core Log. ","")&amp;IF(AND($A423&lt;&gt;"",COUNTIF('1. Plot &amp; Site Log'!$A$5:$A$64,$A423)=0),"Plot ID not in Plot &amp; Site Log. ","")&amp;IF(AND($D423&lt;&gt;"",$E423&lt;&gt;"",$E423&lt;=$D423),"Bottom depth is not below top depth. ","")&amp;IF($H423="","Say which bulk-density basis the lab reported, or the coarse-fragment correction cannot be applied safely. ","")&amp;IF(AND($I423&lt;&gt;"",OR($I423&lt;QC_BD_MIN,$I423&gt;QC_BD_MAX)),"Bulk density outside "&amp;QC_BD_MIN&amp;"–"&amp;QC_BD_MAX&amp;" g/cm³. ","")&amp;IF(AND($L423&lt;&gt;"",$L423&gt;QC_CARBON_PCT_MAX),"Carbon above "&amp;QC_CARBON_PCT_MAX&amp;"% — check units; this may be organic matter rather than carbon. ","")&amp;IF(AND($J423&lt;&gt;"",$K423&lt;&gt;""),"Both LOI and measured carbon given — the measured value is used. ","")&amp;IF(AND($N423&lt;&gt;"",$N423=0),"Slice lies entirely below the reporting depth — it counts to the full-core stock only. ",""))</f>
        <v/>
      </c>
      <c r="R423" s="13"/>
    </row>
    <row r="424" customFormat="false" ht="15" hidden="false" customHeight="false" outlineLevel="0" collapsed="false">
      <c r="A424" s="13"/>
      <c r="B424" s="13"/>
      <c r="C424" s="13"/>
      <c r="D424" s="13"/>
      <c r="E424" s="13"/>
      <c r="F424" s="13" t="str">
        <f aca="false">IF(OR($D424="",$E424=""),"",$E424-$D424)</f>
        <v/>
      </c>
      <c r="G424" s="13"/>
      <c r="H424" s="13"/>
      <c r="I424" s="15"/>
      <c r="J424" s="15"/>
      <c r="K424" s="15"/>
      <c r="L424" s="14" t="str">
        <f aca="false">IF($K424&lt;&gt;"",$K424,IF($J424&lt;&gt;"",$J424*CARBON_FRACTION_OM,""))</f>
        <v/>
      </c>
      <c r="M424" s="14" t="n">
        <f aca="false">IF($H424="Fine earth / fine-earth volume",1-IF($G424="",0,$G424)/100,1)</f>
        <v>1</v>
      </c>
      <c r="N424" s="14" t="str">
        <f aca="false">IF(OR($D424="",$E424=""),"",MAX(0,MIN($E424,REPORTING_DEPTH_CM)-MIN($D424,REPORTING_DEPTH_CM)))</f>
        <v/>
      </c>
      <c r="O424" s="14" t="str">
        <f aca="false">IF(OR($I424="",$L424="",$N424=""),"",$I424*($L424/100)*$N424*$M424*10)</f>
        <v/>
      </c>
      <c r="P424" s="14" t="str">
        <f aca="false">IF(OR($I424="",$L424="",$F424=""),"",$I424*($L424/100)*$F424*$M424*10)</f>
        <v/>
      </c>
      <c r="Q424" s="14" t="str">
        <f aca="false">IF(AND($A424="",$B424="",$D424=""),"",IF(AND($B424&lt;&gt;"",COUNTIF('2. Core Log'!$A$5:$A$124,$B424)=0),"Core ID not in Core Log. ","")&amp;IF(AND($A424&lt;&gt;"",COUNTIF('1. Plot &amp; Site Log'!$A$5:$A$64,$A424)=0),"Plot ID not in Plot &amp; Site Log. ","")&amp;IF(AND($D424&lt;&gt;"",$E424&lt;&gt;"",$E424&lt;=$D424),"Bottom depth is not below top depth. ","")&amp;IF($H424="","Say which bulk-density basis the lab reported, or the coarse-fragment correction cannot be applied safely. ","")&amp;IF(AND($I424&lt;&gt;"",OR($I424&lt;QC_BD_MIN,$I424&gt;QC_BD_MAX)),"Bulk density outside "&amp;QC_BD_MIN&amp;"–"&amp;QC_BD_MAX&amp;" g/cm³. ","")&amp;IF(AND($L424&lt;&gt;"",$L424&gt;QC_CARBON_PCT_MAX),"Carbon above "&amp;QC_CARBON_PCT_MAX&amp;"% — check units; this may be organic matter rather than carbon. ","")&amp;IF(AND($J424&lt;&gt;"",$K424&lt;&gt;""),"Both LOI and measured carbon given — the measured value is used. ","")&amp;IF(AND($N424&lt;&gt;"",$N424=0),"Slice lies entirely below the reporting depth — it counts to the full-core stock only. ",""))</f>
        <v/>
      </c>
      <c r="R424" s="13"/>
    </row>
    <row r="425" customFormat="false" ht="15" hidden="false" customHeight="false" outlineLevel="0" collapsed="false">
      <c r="A425" s="13"/>
      <c r="B425" s="13"/>
      <c r="C425" s="13"/>
      <c r="D425" s="13"/>
      <c r="E425" s="13"/>
      <c r="F425" s="13" t="str">
        <f aca="false">IF(OR($D425="",$E425=""),"",$E425-$D425)</f>
        <v/>
      </c>
      <c r="G425" s="13"/>
      <c r="H425" s="13"/>
      <c r="I425" s="15"/>
      <c r="J425" s="15"/>
      <c r="K425" s="15"/>
      <c r="L425" s="14" t="str">
        <f aca="false">IF($K425&lt;&gt;"",$K425,IF($J425&lt;&gt;"",$J425*CARBON_FRACTION_OM,""))</f>
        <v/>
      </c>
      <c r="M425" s="14" t="n">
        <f aca="false">IF($H425="Fine earth / fine-earth volume",1-IF($G425="",0,$G425)/100,1)</f>
        <v>1</v>
      </c>
      <c r="N425" s="14" t="str">
        <f aca="false">IF(OR($D425="",$E425=""),"",MAX(0,MIN($E425,REPORTING_DEPTH_CM)-MIN($D425,REPORTING_DEPTH_CM)))</f>
        <v/>
      </c>
      <c r="O425" s="14" t="str">
        <f aca="false">IF(OR($I425="",$L425="",$N425=""),"",$I425*($L425/100)*$N425*$M425*10)</f>
        <v/>
      </c>
      <c r="P425" s="14" t="str">
        <f aca="false">IF(OR($I425="",$L425="",$F425=""),"",$I425*($L425/100)*$F425*$M425*10)</f>
        <v/>
      </c>
      <c r="Q425" s="14" t="str">
        <f aca="false">IF(AND($A425="",$B425="",$D425=""),"",IF(AND($B425&lt;&gt;"",COUNTIF('2. Core Log'!$A$5:$A$124,$B425)=0),"Core ID not in Core Log. ","")&amp;IF(AND($A425&lt;&gt;"",COUNTIF('1. Plot &amp; Site Log'!$A$5:$A$64,$A425)=0),"Plot ID not in Plot &amp; Site Log. ","")&amp;IF(AND($D425&lt;&gt;"",$E425&lt;&gt;"",$E425&lt;=$D425),"Bottom depth is not below top depth. ","")&amp;IF($H425="","Say which bulk-density basis the lab reported, or the coarse-fragment correction cannot be applied safely. ","")&amp;IF(AND($I425&lt;&gt;"",OR($I425&lt;QC_BD_MIN,$I425&gt;QC_BD_MAX)),"Bulk density outside "&amp;QC_BD_MIN&amp;"–"&amp;QC_BD_MAX&amp;" g/cm³. ","")&amp;IF(AND($L425&lt;&gt;"",$L425&gt;QC_CARBON_PCT_MAX),"Carbon above "&amp;QC_CARBON_PCT_MAX&amp;"% — check units; this may be organic matter rather than carbon. ","")&amp;IF(AND($J425&lt;&gt;"",$K425&lt;&gt;""),"Both LOI and measured carbon given — the measured value is used. ","")&amp;IF(AND($N425&lt;&gt;"",$N425=0),"Slice lies entirely below the reporting depth — it counts to the full-core stock only. ",""))</f>
        <v/>
      </c>
      <c r="R425" s="13"/>
    </row>
    <row r="426" customFormat="false" ht="15" hidden="false" customHeight="false" outlineLevel="0" collapsed="false">
      <c r="A426" s="13"/>
      <c r="B426" s="13"/>
      <c r="C426" s="13"/>
      <c r="D426" s="13"/>
      <c r="E426" s="13"/>
      <c r="F426" s="13" t="str">
        <f aca="false">IF(OR($D426="",$E426=""),"",$E426-$D426)</f>
        <v/>
      </c>
      <c r="G426" s="13"/>
      <c r="H426" s="13"/>
      <c r="I426" s="15"/>
      <c r="J426" s="15"/>
      <c r="K426" s="15"/>
      <c r="L426" s="14" t="str">
        <f aca="false">IF($K426&lt;&gt;"",$K426,IF($J426&lt;&gt;"",$J426*CARBON_FRACTION_OM,""))</f>
        <v/>
      </c>
      <c r="M426" s="14" t="n">
        <f aca="false">IF($H426="Fine earth / fine-earth volume",1-IF($G426="",0,$G426)/100,1)</f>
        <v>1</v>
      </c>
      <c r="N426" s="14" t="str">
        <f aca="false">IF(OR($D426="",$E426=""),"",MAX(0,MIN($E426,REPORTING_DEPTH_CM)-MIN($D426,REPORTING_DEPTH_CM)))</f>
        <v/>
      </c>
      <c r="O426" s="14" t="str">
        <f aca="false">IF(OR($I426="",$L426="",$N426=""),"",$I426*($L426/100)*$N426*$M426*10)</f>
        <v/>
      </c>
      <c r="P426" s="14" t="str">
        <f aca="false">IF(OR($I426="",$L426="",$F426=""),"",$I426*($L426/100)*$F426*$M426*10)</f>
        <v/>
      </c>
      <c r="Q426" s="14" t="str">
        <f aca="false">IF(AND($A426="",$B426="",$D426=""),"",IF(AND($B426&lt;&gt;"",COUNTIF('2. Core Log'!$A$5:$A$124,$B426)=0),"Core ID not in Core Log. ","")&amp;IF(AND($A426&lt;&gt;"",COUNTIF('1. Plot &amp; Site Log'!$A$5:$A$64,$A426)=0),"Plot ID not in Plot &amp; Site Log. ","")&amp;IF(AND($D426&lt;&gt;"",$E426&lt;&gt;"",$E426&lt;=$D426),"Bottom depth is not below top depth. ","")&amp;IF($H426="","Say which bulk-density basis the lab reported, or the coarse-fragment correction cannot be applied safely. ","")&amp;IF(AND($I426&lt;&gt;"",OR($I426&lt;QC_BD_MIN,$I426&gt;QC_BD_MAX)),"Bulk density outside "&amp;QC_BD_MIN&amp;"–"&amp;QC_BD_MAX&amp;" g/cm³. ","")&amp;IF(AND($L426&lt;&gt;"",$L426&gt;QC_CARBON_PCT_MAX),"Carbon above "&amp;QC_CARBON_PCT_MAX&amp;"% — check units; this may be organic matter rather than carbon. ","")&amp;IF(AND($J426&lt;&gt;"",$K426&lt;&gt;""),"Both LOI and measured carbon given — the measured value is used. ","")&amp;IF(AND($N426&lt;&gt;"",$N426=0),"Slice lies entirely below the reporting depth — it counts to the full-core stock only. ",""))</f>
        <v/>
      </c>
      <c r="R426" s="13"/>
    </row>
    <row r="427" customFormat="false" ht="15" hidden="false" customHeight="false" outlineLevel="0" collapsed="false">
      <c r="A427" s="13"/>
      <c r="B427" s="13"/>
      <c r="C427" s="13"/>
      <c r="D427" s="13"/>
      <c r="E427" s="13"/>
      <c r="F427" s="13" t="str">
        <f aca="false">IF(OR($D427="",$E427=""),"",$E427-$D427)</f>
        <v/>
      </c>
      <c r="G427" s="13"/>
      <c r="H427" s="13"/>
      <c r="I427" s="15"/>
      <c r="J427" s="15"/>
      <c r="K427" s="15"/>
      <c r="L427" s="14" t="str">
        <f aca="false">IF($K427&lt;&gt;"",$K427,IF($J427&lt;&gt;"",$J427*CARBON_FRACTION_OM,""))</f>
        <v/>
      </c>
      <c r="M427" s="14" t="n">
        <f aca="false">IF($H427="Fine earth / fine-earth volume",1-IF($G427="",0,$G427)/100,1)</f>
        <v>1</v>
      </c>
      <c r="N427" s="14" t="str">
        <f aca="false">IF(OR($D427="",$E427=""),"",MAX(0,MIN($E427,REPORTING_DEPTH_CM)-MIN($D427,REPORTING_DEPTH_CM)))</f>
        <v/>
      </c>
      <c r="O427" s="14" t="str">
        <f aca="false">IF(OR($I427="",$L427="",$N427=""),"",$I427*($L427/100)*$N427*$M427*10)</f>
        <v/>
      </c>
      <c r="P427" s="14" t="str">
        <f aca="false">IF(OR($I427="",$L427="",$F427=""),"",$I427*($L427/100)*$F427*$M427*10)</f>
        <v/>
      </c>
      <c r="Q427" s="14" t="str">
        <f aca="false">IF(AND($A427="",$B427="",$D427=""),"",IF(AND($B427&lt;&gt;"",COUNTIF('2. Core Log'!$A$5:$A$124,$B427)=0),"Core ID not in Core Log. ","")&amp;IF(AND($A427&lt;&gt;"",COUNTIF('1. Plot &amp; Site Log'!$A$5:$A$64,$A427)=0),"Plot ID not in Plot &amp; Site Log. ","")&amp;IF(AND($D427&lt;&gt;"",$E427&lt;&gt;"",$E427&lt;=$D427),"Bottom depth is not below top depth. ","")&amp;IF($H427="","Say which bulk-density basis the lab reported, or the coarse-fragment correction cannot be applied safely. ","")&amp;IF(AND($I427&lt;&gt;"",OR($I427&lt;QC_BD_MIN,$I427&gt;QC_BD_MAX)),"Bulk density outside "&amp;QC_BD_MIN&amp;"–"&amp;QC_BD_MAX&amp;" g/cm³. ","")&amp;IF(AND($L427&lt;&gt;"",$L427&gt;QC_CARBON_PCT_MAX),"Carbon above "&amp;QC_CARBON_PCT_MAX&amp;"% — check units; this may be organic matter rather than carbon. ","")&amp;IF(AND($J427&lt;&gt;"",$K427&lt;&gt;""),"Both LOI and measured carbon given — the measured value is used. ","")&amp;IF(AND($N427&lt;&gt;"",$N427=0),"Slice lies entirely below the reporting depth — it counts to the full-core stock only. ",""))</f>
        <v/>
      </c>
      <c r="R427" s="13"/>
    </row>
    <row r="428" customFormat="false" ht="15" hidden="false" customHeight="false" outlineLevel="0" collapsed="false">
      <c r="A428" s="13"/>
      <c r="B428" s="13"/>
      <c r="C428" s="13"/>
      <c r="D428" s="13"/>
      <c r="E428" s="13"/>
      <c r="F428" s="13" t="str">
        <f aca="false">IF(OR($D428="",$E428=""),"",$E428-$D428)</f>
        <v/>
      </c>
      <c r="G428" s="13"/>
      <c r="H428" s="13"/>
      <c r="I428" s="15"/>
      <c r="J428" s="15"/>
      <c r="K428" s="15"/>
      <c r="L428" s="14" t="str">
        <f aca="false">IF($K428&lt;&gt;"",$K428,IF($J428&lt;&gt;"",$J428*CARBON_FRACTION_OM,""))</f>
        <v/>
      </c>
      <c r="M428" s="14" t="n">
        <f aca="false">IF($H428="Fine earth / fine-earth volume",1-IF($G428="",0,$G428)/100,1)</f>
        <v>1</v>
      </c>
      <c r="N428" s="14" t="str">
        <f aca="false">IF(OR($D428="",$E428=""),"",MAX(0,MIN($E428,REPORTING_DEPTH_CM)-MIN($D428,REPORTING_DEPTH_CM)))</f>
        <v/>
      </c>
      <c r="O428" s="14" t="str">
        <f aca="false">IF(OR($I428="",$L428="",$N428=""),"",$I428*($L428/100)*$N428*$M428*10)</f>
        <v/>
      </c>
      <c r="P428" s="14" t="str">
        <f aca="false">IF(OR($I428="",$L428="",$F428=""),"",$I428*($L428/100)*$F428*$M428*10)</f>
        <v/>
      </c>
      <c r="Q428" s="14" t="str">
        <f aca="false">IF(AND($A428="",$B428="",$D428=""),"",IF(AND($B428&lt;&gt;"",COUNTIF('2. Core Log'!$A$5:$A$124,$B428)=0),"Core ID not in Core Log. ","")&amp;IF(AND($A428&lt;&gt;"",COUNTIF('1. Plot &amp; Site Log'!$A$5:$A$64,$A428)=0),"Plot ID not in Plot &amp; Site Log. ","")&amp;IF(AND($D428&lt;&gt;"",$E428&lt;&gt;"",$E428&lt;=$D428),"Bottom depth is not below top depth. ","")&amp;IF($H428="","Say which bulk-density basis the lab reported, or the coarse-fragment correction cannot be applied safely. ","")&amp;IF(AND($I428&lt;&gt;"",OR($I428&lt;QC_BD_MIN,$I428&gt;QC_BD_MAX)),"Bulk density outside "&amp;QC_BD_MIN&amp;"–"&amp;QC_BD_MAX&amp;" g/cm³. ","")&amp;IF(AND($L428&lt;&gt;"",$L428&gt;QC_CARBON_PCT_MAX),"Carbon above "&amp;QC_CARBON_PCT_MAX&amp;"% — check units; this may be organic matter rather than carbon. ","")&amp;IF(AND($J428&lt;&gt;"",$K428&lt;&gt;""),"Both LOI and measured carbon given — the measured value is used. ","")&amp;IF(AND($N428&lt;&gt;"",$N428=0),"Slice lies entirely below the reporting depth — it counts to the full-core stock only. ",""))</f>
        <v/>
      </c>
      <c r="R428" s="13"/>
    </row>
    <row r="429" customFormat="false" ht="15" hidden="false" customHeight="false" outlineLevel="0" collapsed="false">
      <c r="A429" s="13"/>
      <c r="B429" s="13"/>
      <c r="C429" s="13"/>
      <c r="D429" s="13"/>
      <c r="E429" s="13"/>
      <c r="F429" s="13" t="str">
        <f aca="false">IF(OR($D429="",$E429=""),"",$E429-$D429)</f>
        <v/>
      </c>
      <c r="G429" s="13"/>
      <c r="H429" s="13"/>
      <c r="I429" s="15"/>
      <c r="J429" s="15"/>
      <c r="K429" s="15"/>
      <c r="L429" s="14" t="str">
        <f aca="false">IF($K429&lt;&gt;"",$K429,IF($J429&lt;&gt;"",$J429*CARBON_FRACTION_OM,""))</f>
        <v/>
      </c>
      <c r="M429" s="14" t="n">
        <f aca="false">IF($H429="Fine earth / fine-earth volume",1-IF($G429="",0,$G429)/100,1)</f>
        <v>1</v>
      </c>
      <c r="N429" s="14" t="str">
        <f aca="false">IF(OR($D429="",$E429=""),"",MAX(0,MIN($E429,REPORTING_DEPTH_CM)-MIN($D429,REPORTING_DEPTH_CM)))</f>
        <v/>
      </c>
      <c r="O429" s="14" t="str">
        <f aca="false">IF(OR($I429="",$L429="",$N429=""),"",$I429*($L429/100)*$N429*$M429*10)</f>
        <v/>
      </c>
      <c r="P429" s="14" t="str">
        <f aca="false">IF(OR($I429="",$L429="",$F429=""),"",$I429*($L429/100)*$F429*$M429*10)</f>
        <v/>
      </c>
      <c r="Q429" s="14" t="str">
        <f aca="false">IF(AND($A429="",$B429="",$D429=""),"",IF(AND($B429&lt;&gt;"",COUNTIF('2. Core Log'!$A$5:$A$124,$B429)=0),"Core ID not in Core Log. ","")&amp;IF(AND($A429&lt;&gt;"",COUNTIF('1. Plot &amp; Site Log'!$A$5:$A$64,$A429)=0),"Plot ID not in Plot &amp; Site Log. ","")&amp;IF(AND($D429&lt;&gt;"",$E429&lt;&gt;"",$E429&lt;=$D429),"Bottom depth is not below top depth. ","")&amp;IF($H429="","Say which bulk-density basis the lab reported, or the coarse-fragment correction cannot be applied safely. ","")&amp;IF(AND($I429&lt;&gt;"",OR($I429&lt;QC_BD_MIN,$I429&gt;QC_BD_MAX)),"Bulk density outside "&amp;QC_BD_MIN&amp;"–"&amp;QC_BD_MAX&amp;" g/cm³. ","")&amp;IF(AND($L429&lt;&gt;"",$L429&gt;QC_CARBON_PCT_MAX),"Carbon above "&amp;QC_CARBON_PCT_MAX&amp;"% — check units; this may be organic matter rather than carbon. ","")&amp;IF(AND($J429&lt;&gt;"",$K429&lt;&gt;""),"Both LOI and measured carbon given — the measured value is used. ","")&amp;IF(AND($N429&lt;&gt;"",$N429=0),"Slice lies entirely below the reporting depth — it counts to the full-core stock only. ",""))</f>
        <v/>
      </c>
      <c r="R429" s="13"/>
    </row>
    <row r="430" customFormat="false" ht="15" hidden="false" customHeight="false" outlineLevel="0" collapsed="false">
      <c r="A430" s="13"/>
      <c r="B430" s="13"/>
      <c r="C430" s="13"/>
      <c r="D430" s="13"/>
      <c r="E430" s="13"/>
      <c r="F430" s="13" t="str">
        <f aca="false">IF(OR($D430="",$E430=""),"",$E430-$D430)</f>
        <v/>
      </c>
      <c r="G430" s="13"/>
      <c r="H430" s="13"/>
      <c r="I430" s="15"/>
      <c r="J430" s="15"/>
      <c r="K430" s="15"/>
      <c r="L430" s="14" t="str">
        <f aca="false">IF($K430&lt;&gt;"",$K430,IF($J430&lt;&gt;"",$J430*CARBON_FRACTION_OM,""))</f>
        <v/>
      </c>
      <c r="M430" s="14" t="n">
        <f aca="false">IF($H430="Fine earth / fine-earth volume",1-IF($G430="",0,$G430)/100,1)</f>
        <v>1</v>
      </c>
      <c r="N430" s="14" t="str">
        <f aca="false">IF(OR($D430="",$E430=""),"",MAX(0,MIN($E430,REPORTING_DEPTH_CM)-MIN($D430,REPORTING_DEPTH_CM)))</f>
        <v/>
      </c>
      <c r="O430" s="14" t="str">
        <f aca="false">IF(OR($I430="",$L430="",$N430=""),"",$I430*($L430/100)*$N430*$M430*10)</f>
        <v/>
      </c>
      <c r="P430" s="14" t="str">
        <f aca="false">IF(OR($I430="",$L430="",$F430=""),"",$I430*($L430/100)*$F430*$M430*10)</f>
        <v/>
      </c>
      <c r="Q430" s="14" t="str">
        <f aca="false">IF(AND($A430="",$B430="",$D430=""),"",IF(AND($B430&lt;&gt;"",COUNTIF('2. Core Log'!$A$5:$A$124,$B430)=0),"Core ID not in Core Log. ","")&amp;IF(AND($A430&lt;&gt;"",COUNTIF('1. Plot &amp; Site Log'!$A$5:$A$64,$A430)=0),"Plot ID not in Plot &amp; Site Log. ","")&amp;IF(AND($D430&lt;&gt;"",$E430&lt;&gt;"",$E430&lt;=$D430),"Bottom depth is not below top depth. ","")&amp;IF($H430="","Say which bulk-density basis the lab reported, or the coarse-fragment correction cannot be applied safely. ","")&amp;IF(AND($I430&lt;&gt;"",OR($I430&lt;QC_BD_MIN,$I430&gt;QC_BD_MAX)),"Bulk density outside "&amp;QC_BD_MIN&amp;"–"&amp;QC_BD_MAX&amp;" g/cm³. ","")&amp;IF(AND($L430&lt;&gt;"",$L430&gt;QC_CARBON_PCT_MAX),"Carbon above "&amp;QC_CARBON_PCT_MAX&amp;"% — check units; this may be organic matter rather than carbon. ","")&amp;IF(AND($J430&lt;&gt;"",$K430&lt;&gt;""),"Both LOI and measured carbon given — the measured value is used. ","")&amp;IF(AND($N430&lt;&gt;"",$N430=0),"Slice lies entirely below the reporting depth — it counts to the full-core stock only. ",""))</f>
        <v/>
      </c>
      <c r="R430" s="13"/>
    </row>
    <row r="431" customFormat="false" ht="15" hidden="false" customHeight="false" outlineLevel="0" collapsed="false">
      <c r="A431" s="13"/>
      <c r="B431" s="13"/>
      <c r="C431" s="13"/>
      <c r="D431" s="13"/>
      <c r="E431" s="13"/>
      <c r="F431" s="13" t="str">
        <f aca="false">IF(OR($D431="",$E431=""),"",$E431-$D431)</f>
        <v/>
      </c>
      <c r="G431" s="13"/>
      <c r="H431" s="13"/>
      <c r="I431" s="15"/>
      <c r="J431" s="15"/>
      <c r="K431" s="15"/>
      <c r="L431" s="14" t="str">
        <f aca="false">IF($K431&lt;&gt;"",$K431,IF($J431&lt;&gt;"",$J431*CARBON_FRACTION_OM,""))</f>
        <v/>
      </c>
      <c r="M431" s="14" t="n">
        <f aca="false">IF($H431="Fine earth / fine-earth volume",1-IF($G431="",0,$G431)/100,1)</f>
        <v>1</v>
      </c>
      <c r="N431" s="14" t="str">
        <f aca="false">IF(OR($D431="",$E431=""),"",MAX(0,MIN($E431,REPORTING_DEPTH_CM)-MIN($D431,REPORTING_DEPTH_CM)))</f>
        <v/>
      </c>
      <c r="O431" s="14" t="str">
        <f aca="false">IF(OR($I431="",$L431="",$N431=""),"",$I431*($L431/100)*$N431*$M431*10)</f>
        <v/>
      </c>
      <c r="P431" s="14" t="str">
        <f aca="false">IF(OR($I431="",$L431="",$F431=""),"",$I431*($L431/100)*$F431*$M431*10)</f>
        <v/>
      </c>
      <c r="Q431" s="14" t="str">
        <f aca="false">IF(AND($A431="",$B431="",$D431=""),"",IF(AND($B431&lt;&gt;"",COUNTIF('2. Core Log'!$A$5:$A$124,$B431)=0),"Core ID not in Core Log. ","")&amp;IF(AND($A431&lt;&gt;"",COUNTIF('1. Plot &amp; Site Log'!$A$5:$A$64,$A431)=0),"Plot ID not in Plot &amp; Site Log. ","")&amp;IF(AND($D431&lt;&gt;"",$E431&lt;&gt;"",$E431&lt;=$D431),"Bottom depth is not below top depth. ","")&amp;IF($H431="","Say which bulk-density basis the lab reported, or the coarse-fragment correction cannot be applied safely. ","")&amp;IF(AND($I431&lt;&gt;"",OR($I431&lt;QC_BD_MIN,$I431&gt;QC_BD_MAX)),"Bulk density outside "&amp;QC_BD_MIN&amp;"–"&amp;QC_BD_MAX&amp;" g/cm³. ","")&amp;IF(AND($L431&lt;&gt;"",$L431&gt;QC_CARBON_PCT_MAX),"Carbon above "&amp;QC_CARBON_PCT_MAX&amp;"% — check units; this may be organic matter rather than carbon. ","")&amp;IF(AND($J431&lt;&gt;"",$K431&lt;&gt;""),"Both LOI and measured carbon given — the measured value is used. ","")&amp;IF(AND($N431&lt;&gt;"",$N431=0),"Slice lies entirely below the reporting depth — it counts to the full-core stock only. ",""))</f>
        <v/>
      </c>
      <c r="R431" s="13"/>
    </row>
    <row r="432" customFormat="false" ht="15" hidden="false" customHeight="false" outlineLevel="0" collapsed="false">
      <c r="A432" s="13"/>
      <c r="B432" s="13"/>
      <c r="C432" s="13"/>
      <c r="D432" s="13"/>
      <c r="E432" s="13"/>
      <c r="F432" s="13" t="str">
        <f aca="false">IF(OR($D432="",$E432=""),"",$E432-$D432)</f>
        <v/>
      </c>
      <c r="G432" s="13"/>
      <c r="H432" s="13"/>
      <c r="I432" s="15"/>
      <c r="J432" s="15"/>
      <c r="K432" s="15"/>
      <c r="L432" s="14" t="str">
        <f aca="false">IF($K432&lt;&gt;"",$K432,IF($J432&lt;&gt;"",$J432*CARBON_FRACTION_OM,""))</f>
        <v/>
      </c>
      <c r="M432" s="14" t="n">
        <f aca="false">IF($H432="Fine earth / fine-earth volume",1-IF($G432="",0,$G432)/100,1)</f>
        <v>1</v>
      </c>
      <c r="N432" s="14" t="str">
        <f aca="false">IF(OR($D432="",$E432=""),"",MAX(0,MIN($E432,REPORTING_DEPTH_CM)-MIN($D432,REPORTING_DEPTH_CM)))</f>
        <v/>
      </c>
      <c r="O432" s="14" t="str">
        <f aca="false">IF(OR($I432="",$L432="",$N432=""),"",$I432*($L432/100)*$N432*$M432*10)</f>
        <v/>
      </c>
      <c r="P432" s="14" t="str">
        <f aca="false">IF(OR($I432="",$L432="",$F432=""),"",$I432*($L432/100)*$F432*$M432*10)</f>
        <v/>
      </c>
      <c r="Q432" s="14" t="str">
        <f aca="false">IF(AND($A432="",$B432="",$D432=""),"",IF(AND($B432&lt;&gt;"",COUNTIF('2. Core Log'!$A$5:$A$124,$B432)=0),"Core ID not in Core Log. ","")&amp;IF(AND($A432&lt;&gt;"",COUNTIF('1. Plot &amp; Site Log'!$A$5:$A$64,$A432)=0),"Plot ID not in Plot &amp; Site Log. ","")&amp;IF(AND($D432&lt;&gt;"",$E432&lt;&gt;"",$E432&lt;=$D432),"Bottom depth is not below top depth. ","")&amp;IF($H432="","Say which bulk-density basis the lab reported, or the coarse-fragment correction cannot be applied safely. ","")&amp;IF(AND($I432&lt;&gt;"",OR($I432&lt;QC_BD_MIN,$I432&gt;QC_BD_MAX)),"Bulk density outside "&amp;QC_BD_MIN&amp;"–"&amp;QC_BD_MAX&amp;" g/cm³. ","")&amp;IF(AND($L432&lt;&gt;"",$L432&gt;QC_CARBON_PCT_MAX),"Carbon above "&amp;QC_CARBON_PCT_MAX&amp;"% — check units; this may be organic matter rather than carbon. ","")&amp;IF(AND($J432&lt;&gt;"",$K432&lt;&gt;""),"Both LOI and measured carbon given — the measured value is used. ","")&amp;IF(AND($N432&lt;&gt;"",$N432=0),"Slice lies entirely below the reporting depth — it counts to the full-core stock only. ",""))</f>
        <v/>
      </c>
      <c r="R432" s="13"/>
    </row>
    <row r="433" customFormat="false" ht="15" hidden="false" customHeight="false" outlineLevel="0" collapsed="false">
      <c r="A433" s="13"/>
      <c r="B433" s="13"/>
      <c r="C433" s="13"/>
      <c r="D433" s="13"/>
      <c r="E433" s="13"/>
      <c r="F433" s="13" t="str">
        <f aca="false">IF(OR($D433="",$E433=""),"",$E433-$D433)</f>
        <v/>
      </c>
      <c r="G433" s="13"/>
      <c r="H433" s="13"/>
      <c r="I433" s="15"/>
      <c r="J433" s="15"/>
      <c r="K433" s="15"/>
      <c r="L433" s="14" t="str">
        <f aca="false">IF($K433&lt;&gt;"",$K433,IF($J433&lt;&gt;"",$J433*CARBON_FRACTION_OM,""))</f>
        <v/>
      </c>
      <c r="M433" s="14" t="n">
        <f aca="false">IF($H433="Fine earth / fine-earth volume",1-IF($G433="",0,$G433)/100,1)</f>
        <v>1</v>
      </c>
      <c r="N433" s="14" t="str">
        <f aca="false">IF(OR($D433="",$E433=""),"",MAX(0,MIN($E433,REPORTING_DEPTH_CM)-MIN($D433,REPORTING_DEPTH_CM)))</f>
        <v/>
      </c>
      <c r="O433" s="14" t="str">
        <f aca="false">IF(OR($I433="",$L433="",$N433=""),"",$I433*($L433/100)*$N433*$M433*10)</f>
        <v/>
      </c>
      <c r="P433" s="14" t="str">
        <f aca="false">IF(OR($I433="",$L433="",$F433=""),"",$I433*($L433/100)*$F433*$M433*10)</f>
        <v/>
      </c>
      <c r="Q433" s="14" t="str">
        <f aca="false">IF(AND($A433="",$B433="",$D433=""),"",IF(AND($B433&lt;&gt;"",COUNTIF('2. Core Log'!$A$5:$A$124,$B433)=0),"Core ID not in Core Log. ","")&amp;IF(AND($A433&lt;&gt;"",COUNTIF('1. Plot &amp; Site Log'!$A$5:$A$64,$A433)=0),"Plot ID not in Plot &amp; Site Log. ","")&amp;IF(AND($D433&lt;&gt;"",$E433&lt;&gt;"",$E433&lt;=$D433),"Bottom depth is not below top depth. ","")&amp;IF($H433="","Say which bulk-density basis the lab reported, or the coarse-fragment correction cannot be applied safely. ","")&amp;IF(AND($I433&lt;&gt;"",OR($I433&lt;QC_BD_MIN,$I433&gt;QC_BD_MAX)),"Bulk density outside "&amp;QC_BD_MIN&amp;"–"&amp;QC_BD_MAX&amp;" g/cm³. ","")&amp;IF(AND($L433&lt;&gt;"",$L433&gt;QC_CARBON_PCT_MAX),"Carbon above "&amp;QC_CARBON_PCT_MAX&amp;"% — check units; this may be organic matter rather than carbon. ","")&amp;IF(AND($J433&lt;&gt;"",$K433&lt;&gt;""),"Both LOI and measured carbon given — the measured value is used. ","")&amp;IF(AND($N433&lt;&gt;"",$N433=0),"Slice lies entirely below the reporting depth — it counts to the full-core stock only. ",""))</f>
        <v/>
      </c>
      <c r="R433" s="13"/>
    </row>
    <row r="434" customFormat="false" ht="15" hidden="false" customHeight="false" outlineLevel="0" collapsed="false">
      <c r="A434" s="13"/>
      <c r="B434" s="13"/>
      <c r="C434" s="13"/>
      <c r="D434" s="13"/>
      <c r="E434" s="13"/>
      <c r="F434" s="13" t="str">
        <f aca="false">IF(OR($D434="",$E434=""),"",$E434-$D434)</f>
        <v/>
      </c>
      <c r="G434" s="13"/>
      <c r="H434" s="13"/>
      <c r="I434" s="15"/>
      <c r="J434" s="15"/>
      <c r="K434" s="15"/>
      <c r="L434" s="14" t="str">
        <f aca="false">IF($K434&lt;&gt;"",$K434,IF($J434&lt;&gt;"",$J434*CARBON_FRACTION_OM,""))</f>
        <v/>
      </c>
      <c r="M434" s="14" t="n">
        <f aca="false">IF($H434="Fine earth / fine-earth volume",1-IF($G434="",0,$G434)/100,1)</f>
        <v>1</v>
      </c>
      <c r="N434" s="14" t="str">
        <f aca="false">IF(OR($D434="",$E434=""),"",MAX(0,MIN($E434,REPORTING_DEPTH_CM)-MIN($D434,REPORTING_DEPTH_CM)))</f>
        <v/>
      </c>
      <c r="O434" s="14" t="str">
        <f aca="false">IF(OR($I434="",$L434="",$N434=""),"",$I434*($L434/100)*$N434*$M434*10)</f>
        <v/>
      </c>
      <c r="P434" s="14" t="str">
        <f aca="false">IF(OR($I434="",$L434="",$F434=""),"",$I434*($L434/100)*$F434*$M434*10)</f>
        <v/>
      </c>
      <c r="Q434" s="14" t="str">
        <f aca="false">IF(AND($A434="",$B434="",$D434=""),"",IF(AND($B434&lt;&gt;"",COUNTIF('2. Core Log'!$A$5:$A$124,$B434)=0),"Core ID not in Core Log. ","")&amp;IF(AND($A434&lt;&gt;"",COUNTIF('1. Plot &amp; Site Log'!$A$5:$A$64,$A434)=0),"Plot ID not in Plot &amp; Site Log. ","")&amp;IF(AND($D434&lt;&gt;"",$E434&lt;&gt;"",$E434&lt;=$D434),"Bottom depth is not below top depth. ","")&amp;IF($H434="","Say which bulk-density basis the lab reported, or the coarse-fragment correction cannot be applied safely. ","")&amp;IF(AND($I434&lt;&gt;"",OR($I434&lt;QC_BD_MIN,$I434&gt;QC_BD_MAX)),"Bulk density outside "&amp;QC_BD_MIN&amp;"–"&amp;QC_BD_MAX&amp;" g/cm³. ","")&amp;IF(AND($L434&lt;&gt;"",$L434&gt;QC_CARBON_PCT_MAX),"Carbon above "&amp;QC_CARBON_PCT_MAX&amp;"% — check units; this may be organic matter rather than carbon. ","")&amp;IF(AND($J434&lt;&gt;"",$K434&lt;&gt;""),"Both LOI and measured carbon given — the measured value is used. ","")&amp;IF(AND($N434&lt;&gt;"",$N434=0),"Slice lies entirely below the reporting depth — it counts to the full-core stock only. ",""))</f>
        <v/>
      </c>
      <c r="R434" s="13"/>
    </row>
    <row r="435" customFormat="false" ht="15" hidden="false" customHeight="false" outlineLevel="0" collapsed="false">
      <c r="A435" s="13"/>
      <c r="B435" s="13"/>
      <c r="C435" s="13"/>
      <c r="D435" s="13"/>
      <c r="E435" s="13"/>
      <c r="F435" s="13" t="str">
        <f aca="false">IF(OR($D435="",$E435=""),"",$E435-$D435)</f>
        <v/>
      </c>
      <c r="G435" s="13"/>
      <c r="H435" s="13"/>
      <c r="I435" s="15"/>
      <c r="J435" s="15"/>
      <c r="K435" s="15"/>
      <c r="L435" s="14" t="str">
        <f aca="false">IF($K435&lt;&gt;"",$K435,IF($J435&lt;&gt;"",$J435*CARBON_FRACTION_OM,""))</f>
        <v/>
      </c>
      <c r="M435" s="14" t="n">
        <f aca="false">IF($H435="Fine earth / fine-earth volume",1-IF($G435="",0,$G435)/100,1)</f>
        <v>1</v>
      </c>
      <c r="N435" s="14" t="str">
        <f aca="false">IF(OR($D435="",$E435=""),"",MAX(0,MIN($E435,REPORTING_DEPTH_CM)-MIN($D435,REPORTING_DEPTH_CM)))</f>
        <v/>
      </c>
      <c r="O435" s="14" t="str">
        <f aca="false">IF(OR($I435="",$L435="",$N435=""),"",$I435*($L435/100)*$N435*$M435*10)</f>
        <v/>
      </c>
      <c r="P435" s="14" t="str">
        <f aca="false">IF(OR($I435="",$L435="",$F435=""),"",$I435*($L435/100)*$F435*$M435*10)</f>
        <v/>
      </c>
      <c r="Q435" s="14" t="str">
        <f aca="false">IF(AND($A435="",$B435="",$D435=""),"",IF(AND($B435&lt;&gt;"",COUNTIF('2. Core Log'!$A$5:$A$124,$B435)=0),"Core ID not in Core Log. ","")&amp;IF(AND($A435&lt;&gt;"",COUNTIF('1. Plot &amp; Site Log'!$A$5:$A$64,$A435)=0),"Plot ID not in Plot &amp; Site Log. ","")&amp;IF(AND($D435&lt;&gt;"",$E435&lt;&gt;"",$E435&lt;=$D435),"Bottom depth is not below top depth. ","")&amp;IF($H435="","Say which bulk-density basis the lab reported, or the coarse-fragment correction cannot be applied safely. ","")&amp;IF(AND($I435&lt;&gt;"",OR($I435&lt;QC_BD_MIN,$I435&gt;QC_BD_MAX)),"Bulk density outside "&amp;QC_BD_MIN&amp;"–"&amp;QC_BD_MAX&amp;" g/cm³. ","")&amp;IF(AND($L435&lt;&gt;"",$L435&gt;QC_CARBON_PCT_MAX),"Carbon above "&amp;QC_CARBON_PCT_MAX&amp;"% — check units; this may be organic matter rather than carbon. ","")&amp;IF(AND($J435&lt;&gt;"",$K435&lt;&gt;""),"Both LOI and measured carbon given — the measured value is used. ","")&amp;IF(AND($N435&lt;&gt;"",$N435=0),"Slice lies entirely below the reporting depth — it counts to the full-core stock only. ",""))</f>
        <v/>
      </c>
      <c r="R435" s="13"/>
    </row>
    <row r="436" customFormat="false" ht="15" hidden="false" customHeight="false" outlineLevel="0" collapsed="false">
      <c r="A436" s="13"/>
      <c r="B436" s="13"/>
      <c r="C436" s="13"/>
      <c r="D436" s="13"/>
      <c r="E436" s="13"/>
      <c r="F436" s="13" t="str">
        <f aca="false">IF(OR($D436="",$E436=""),"",$E436-$D436)</f>
        <v/>
      </c>
      <c r="G436" s="13"/>
      <c r="H436" s="13"/>
      <c r="I436" s="15"/>
      <c r="J436" s="15"/>
      <c r="K436" s="15"/>
      <c r="L436" s="14" t="str">
        <f aca="false">IF($K436&lt;&gt;"",$K436,IF($J436&lt;&gt;"",$J436*CARBON_FRACTION_OM,""))</f>
        <v/>
      </c>
      <c r="M436" s="14" t="n">
        <f aca="false">IF($H436="Fine earth / fine-earth volume",1-IF($G436="",0,$G436)/100,1)</f>
        <v>1</v>
      </c>
      <c r="N436" s="14" t="str">
        <f aca="false">IF(OR($D436="",$E436=""),"",MAX(0,MIN($E436,REPORTING_DEPTH_CM)-MIN($D436,REPORTING_DEPTH_CM)))</f>
        <v/>
      </c>
      <c r="O436" s="14" t="str">
        <f aca="false">IF(OR($I436="",$L436="",$N436=""),"",$I436*($L436/100)*$N436*$M436*10)</f>
        <v/>
      </c>
      <c r="P436" s="14" t="str">
        <f aca="false">IF(OR($I436="",$L436="",$F436=""),"",$I436*($L436/100)*$F436*$M436*10)</f>
        <v/>
      </c>
      <c r="Q436" s="14" t="str">
        <f aca="false">IF(AND($A436="",$B436="",$D436=""),"",IF(AND($B436&lt;&gt;"",COUNTIF('2. Core Log'!$A$5:$A$124,$B436)=0),"Core ID not in Core Log. ","")&amp;IF(AND($A436&lt;&gt;"",COUNTIF('1. Plot &amp; Site Log'!$A$5:$A$64,$A436)=0),"Plot ID not in Plot &amp; Site Log. ","")&amp;IF(AND($D436&lt;&gt;"",$E436&lt;&gt;"",$E436&lt;=$D436),"Bottom depth is not below top depth. ","")&amp;IF($H436="","Say which bulk-density basis the lab reported, or the coarse-fragment correction cannot be applied safely. ","")&amp;IF(AND($I436&lt;&gt;"",OR($I436&lt;QC_BD_MIN,$I436&gt;QC_BD_MAX)),"Bulk density outside "&amp;QC_BD_MIN&amp;"–"&amp;QC_BD_MAX&amp;" g/cm³. ","")&amp;IF(AND($L436&lt;&gt;"",$L436&gt;QC_CARBON_PCT_MAX),"Carbon above "&amp;QC_CARBON_PCT_MAX&amp;"% — check units; this may be organic matter rather than carbon. ","")&amp;IF(AND($J436&lt;&gt;"",$K436&lt;&gt;""),"Both LOI and measured carbon given — the measured value is used. ","")&amp;IF(AND($N436&lt;&gt;"",$N436=0),"Slice lies entirely below the reporting depth — it counts to the full-core stock only. ",""))</f>
        <v/>
      </c>
      <c r="R436" s="13"/>
    </row>
    <row r="437" customFormat="false" ht="15" hidden="false" customHeight="false" outlineLevel="0" collapsed="false">
      <c r="A437" s="13"/>
      <c r="B437" s="13"/>
      <c r="C437" s="13"/>
      <c r="D437" s="13"/>
      <c r="E437" s="13"/>
      <c r="F437" s="13" t="str">
        <f aca="false">IF(OR($D437="",$E437=""),"",$E437-$D437)</f>
        <v/>
      </c>
      <c r="G437" s="13"/>
      <c r="H437" s="13"/>
      <c r="I437" s="15"/>
      <c r="J437" s="15"/>
      <c r="K437" s="15"/>
      <c r="L437" s="14" t="str">
        <f aca="false">IF($K437&lt;&gt;"",$K437,IF($J437&lt;&gt;"",$J437*CARBON_FRACTION_OM,""))</f>
        <v/>
      </c>
      <c r="M437" s="14" t="n">
        <f aca="false">IF($H437="Fine earth / fine-earth volume",1-IF($G437="",0,$G437)/100,1)</f>
        <v>1</v>
      </c>
      <c r="N437" s="14" t="str">
        <f aca="false">IF(OR($D437="",$E437=""),"",MAX(0,MIN($E437,REPORTING_DEPTH_CM)-MIN($D437,REPORTING_DEPTH_CM)))</f>
        <v/>
      </c>
      <c r="O437" s="14" t="str">
        <f aca="false">IF(OR($I437="",$L437="",$N437=""),"",$I437*($L437/100)*$N437*$M437*10)</f>
        <v/>
      </c>
      <c r="P437" s="14" t="str">
        <f aca="false">IF(OR($I437="",$L437="",$F437=""),"",$I437*($L437/100)*$F437*$M437*10)</f>
        <v/>
      </c>
      <c r="Q437" s="14" t="str">
        <f aca="false">IF(AND($A437="",$B437="",$D437=""),"",IF(AND($B437&lt;&gt;"",COUNTIF('2. Core Log'!$A$5:$A$124,$B437)=0),"Core ID not in Core Log. ","")&amp;IF(AND($A437&lt;&gt;"",COUNTIF('1. Plot &amp; Site Log'!$A$5:$A$64,$A437)=0),"Plot ID not in Plot &amp; Site Log. ","")&amp;IF(AND($D437&lt;&gt;"",$E437&lt;&gt;"",$E437&lt;=$D437),"Bottom depth is not below top depth. ","")&amp;IF($H437="","Say which bulk-density basis the lab reported, or the coarse-fragment correction cannot be applied safely. ","")&amp;IF(AND($I437&lt;&gt;"",OR($I437&lt;QC_BD_MIN,$I437&gt;QC_BD_MAX)),"Bulk density outside "&amp;QC_BD_MIN&amp;"–"&amp;QC_BD_MAX&amp;" g/cm³. ","")&amp;IF(AND($L437&lt;&gt;"",$L437&gt;QC_CARBON_PCT_MAX),"Carbon above "&amp;QC_CARBON_PCT_MAX&amp;"% — check units; this may be organic matter rather than carbon. ","")&amp;IF(AND($J437&lt;&gt;"",$K437&lt;&gt;""),"Both LOI and measured carbon given — the measured value is used. ","")&amp;IF(AND($N437&lt;&gt;"",$N437=0),"Slice lies entirely below the reporting depth — it counts to the full-core stock only. ",""))</f>
        <v/>
      </c>
      <c r="R437" s="13"/>
    </row>
    <row r="438" customFormat="false" ht="15" hidden="false" customHeight="false" outlineLevel="0" collapsed="false">
      <c r="A438" s="13"/>
      <c r="B438" s="13"/>
      <c r="C438" s="13"/>
      <c r="D438" s="13"/>
      <c r="E438" s="13"/>
      <c r="F438" s="13" t="str">
        <f aca="false">IF(OR($D438="",$E438=""),"",$E438-$D438)</f>
        <v/>
      </c>
      <c r="G438" s="13"/>
      <c r="H438" s="13"/>
      <c r="I438" s="15"/>
      <c r="J438" s="15"/>
      <c r="K438" s="15"/>
      <c r="L438" s="14" t="str">
        <f aca="false">IF($K438&lt;&gt;"",$K438,IF($J438&lt;&gt;"",$J438*CARBON_FRACTION_OM,""))</f>
        <v/>
      </c>
      <c r="M438" s="14" t="n">
        <f aca="false">IF($H438="Fine earth / fine-earth volume",1-IF($G438="",0,$G438)/100,1)</f>
        <v>1</v>
      </c>
      <c r="N438" s="14" t="str">
        <f aca="false">IF(OR($D438="",$E438=""),"",MAX(0,MIN($E438,REPORTING_DEPTH_CM)-MIN($D438,REPORTING_DEPTH_CM)))</f>
        <v/>
      </c>
      <c r="O438" s="14" t="str">
        <f aca="false">IF(OR($I438="",$L438="",$N438=""),"",$I438*($L438/100)*$N438*$M438*10)</f>
        <v/>
      </c>
      <c r="P438" s="14" t="str">
        <f aca="false">IF(OR($I438="",$L438="",$F438=""),"",$I438*($L438/100)*$F438*$M438*10)</f>
        <v/>
      </c>
      <c r="Q438" s="14" t="str">
        <f aca="false">IF(AND($A438="",$B438="",$D438=""),"",IF(AND($B438&lt;&gt;"",COUNTIF('2. Core Log'!$A$5:$A$124,$B438)=0),"Core ID not in Core Log. ","")&amp;IF(AND($A438&lt;&gt;"",COUNTIF('1. Plot &amp; Site Log'!$A$5:$A$64,$A438)=0),"Plot ID not in Plot &amp; Site Log. ","")&amp;IF(AND($D438&lt;&gt;"",$E438&lt;&gt;"",$E438&lt;=$D438),"Bottom depth is not below top depth. ","")&amp;IF($H438="","Say which bulk-density basis the lab reported, or the coarse-fragment correction cannot be applied safely. ","")&amp;IF(AND($I438&lt;&gt;"",OR($I438&lt;QC_BD_MIN,$I438&gt;QC_BD_MAX)),"Bulk density outside "&amp;QC_BD_MIN&amp;"–"&amp;QC_BD_MAX&amp;" g/cm³. ","")&amp;IF(AND($L438&lt;&gt;"",$L438&gt;QC_CARBON_PCT_MAX),"Carbon above "&amp;QC_CARBON_PCT_MAX&amp;"% — check units; this may be organic matter rather than carbon. ","")&amp;IF(AND($J438&lt;&gt;"",$K438&lt;&gt;""),"Both LOI and measured carbon given — the measured value is used. ","")&amp;IF(AND($N438&lt;&gt;"",$N438=0),"Slice lies entirely below the reporting depth — it counts to the full-core stock only. ",""))</f>
        <v/>
      </c>
      <c r="R438" s="13"/>
    </row>
    <row r="439" customFormat="false" ht="15" hidden="false" customHeight="false" outlineLevel="0" collapsed="false">
      <c r="A439" s="13"/>
      <c r="B439" s="13"/>
      <c r="C439" s="13"/>
      <c r="D439" s="13"/>
      <c r="E439" s="13"/>
      <c r="F439" s="13" t="str">
        <f aca="false">IF(OR($D439="",$E439=""),"",$E439-$D439)</f>
        <v/>
      </c>
      <c r="G439" s="13"/>
      <c r="H439" s="13"/>
      <c r="I439" s="15"/>
      <c r="J439" s="15"/>
      <c r="K439" s="15"/>
      <c r="L439" s="14" t="str">
        <f aca="false">IF($K439&lt;&gt;"",$K439,IF($J439&lt;&gt;"",$J439*CARBON_FRACTION_OM,""))</f>
        <v/>
      </c>
      <c r="M439" s="14" t="n">
        <f aca="false">IF($H439="Fine earth / fine-earth volume",1-IF($G439="",0,$G439)/100,1)</f>
        <v>1</v>
      </c>
      <c r="N439" s="14" t="str">
        <f aca="false">IF(OR($D439="",$E439=""),"",MAX(0,MIN($E439,REPORTING_DEPTH_CM)-MIN($D439,REPORTING_DEPTH_CM)))</f>
        <v/>
      </c>
      <c r="O439" s="14" t="str">
        <f aca="false">IF(OR($I439="",$L439="",$N439=""),"",$I439*($L439/100)*$N439*$M439*10)</f>
        <v/>
      </c>
      <c r="P439" s="14" t="str">
        <f aca="false">IF(OR($I439="",$L439="",$F439=""),"",$I439*($L439/100)*$F439*$M439*10)</f>
        <v/>
      </c>
      <c r="Q439" s="14" t="str">
        <f aca="false">IF(AND($A439="",$B439="",$D439=""),"",IF(AND($B439&lt;&gt;"",COUNTIF('2. Core Log'!$A$5:$A$124,$B439)=0),"Core ID not in Core Log. ","")&amp;IF(AND($A439&lt;&gt;"",COUNTIF('1. Plot &amp; Site Log'!$A$5:$A$64,$A439)=0),"Plot ID not in Plot &amp; Site Log. ","")&amp;IF(AND($D439&lt;&gt;"",$E439&lt;&gt;"",$E439&lt;=$D439),"Bottom depth is not below top depth. ","")&amp;IF($H439="","Say which bulk-density basis the lab reported, or the coarse-fragment correction cannot be applied safely. ","")&amp;IF(AND($I439&lt;&gt;"",OR($I439&lt;QC_BD_MIN,$I439&gt;QC_BD_MAX)),"Bulk density outside "&amp;QC_BD_MIN&amp;"–"&amp;QC_BD_MAX&amp;" g/cm³. ","")&amp;IF(AND($L439&lt;&gt;"",$L439&gt;QC_CARBON_PCT_MAX),"Carbon above "&amp;QC_CARBON_PCT_MAX&amp;"% — check units; this may be organic matter rather than carbon. ","")&amp;IF(AND($J439&lt;&gt;"",$K439&lt;&gt;""),"Both LOI and measured carbon given — the measured value is used. ","")&amp;IF(AND($N439&lt;&gt;"",$N439=0),"Slice lies entirely below the reporting depth — it counts to the full-core stock only. ",""))</f>
        <v/>
      </c>
      <c r="R439" s="13"/>
    </row>
    <row r="440" customFormat="false" ht="15" hidden="false" customHeight="false" outlineLevel="0" collapsed="false">
      <c r="A440" s="13"/>
      <c r="B440" s="13"/>
      <c r="C440" s="13"/>
      <c r="D440" s="13"/>
      <c r="E440" s="13"/>
      <c r="F440" s="13" t="str">
        <f aca="false">IF(OR($D440="",$E440=""),"",$E440-$D440)</f>
        <v/>
      </c>
      <c r="G440" s="13"/>
      <c r="H440" s="13"/>
      <c r="I440" s="15"/>
      <c r="J440" s="15"/>
      <c r="K440" s="15"/>
      <c r="L440" s="14" t="str">
        <f aca="false">IF($K440&lt;&gt;"",$K440,IF($J440&lt;&gt;"",$J440*CARBON_FRACTION_OM,""))</f>
        <v/>
      </c>
      <c r="M440" s="14" t="n">
        <f aca="false">IF($H440="Fine earth / fine-earth volume",1-IF($G440="",0,$G440)/100,1)</f>
        <v>1</v>
      </c>
      <c r="N440" s="14" t="str">
        <f aca="false">IF(OR($D440="",$E440=""),"",MAX(0,MIN($E440,REPORTING_DEPTH_CM)-MIN($D440,REPORTING_DEPTH_CM)))</f>
        <v/>
      </c>
      <c r="O440" s="14" t="str">
        <f aca="false">IF(OR($I440="",$L440="",$N440=""),"",$I440*($L440/100)*$N440*$M440*10)</f>
        <v/>
      </c>
      <c r="P440" s="14" t="str">
        <f aca="false">IF(OR($I440="",$L440="",$F440=""),"",$I440*($L440/100)*$F440*$M440*10)</f>
        <v/>
      </c>
      <c r="Q440" s="14" t="str">
        <f aca="false">IF(AND($A440="",$B440="",$D440=""),"",IF(AND($B440&lt;&gt;"",COUNTIF('2. Core Log'!$A$5:$A$124,$B440)=0),"Core ID not in Core Log. ","")&amp;IF(AND($A440&lt;&gt;"",COUNTIF('1. Plot &amp; Site Log'!$A$5:$A$64,$A440)=0),"Plot ID not in Plot &amp; Site Log. ","")&amp;IF(AND($D440&lt;&gt;"",$E440&lt;&gt;"",$E440&lt;=$D440),"Bottom depth is not below top depth. ","")&amp;IF($H440="","Say which bulk-density basis the lab reported, or the coarse-fragment correction cannot be applied safely. ","")&amp;IF(AND($I440&lt;&gt;"",OR($I440&lt;QC_BD_MIN,$I440&gt;QC_BD_MAX)),"Bulk density outside "&amp;QC_BD_MIN&amp;"–"&amp;QC_BD_MAX&amp;" g/cm³. ","")&amp;IF(AND($L440&lt;&gt;"",$L440&gt;QC_CARBON_PCT_MAX),"Carbon above "&amp;QC_CARBON_PCT_MAX&amp;"% — check units; this may be organic matter rather than carbon. ","")&amp;IF(AND($J440&lt;&gt;"",$K440&lt;&gt;""),"Both LOI and measured carbon given — the measured value is used. ","")&amp;IF(AND($N440&lt;&gt;"",$N440=0),"Slice lies entirely below the reporting depth — it counts to the full-core stock only. ",""))</f>
        <v/>
      </c>
      <c r="R440" s="13"/>
    </row>
    <row r="441" customFormat="false" ht="15" hidden="false" customHeight="false" outlineLevel="0" collapsed="false">
      <c r="A441" s="13"/>
      <c r="B441" s="13"/>
      <c r="C441" s="13"/>
      <c r="D441" s="13"/>
      <c r="E441" s="13"/>
      <c r="F441" s="13" t="str">
        <f aca="false">IF(OR($D441="",$E441=""),"",$E441-$D441)</f>
        <v/>
      </c>
      <c r="G441" s="13"/>
      <c r="H441" s="13"/>
      <c r="I441" s="15"/>
      <c r="J441" s="15"/>
      <c r="K441" s="15"/>
      <c r="L441" s="14" t="str">
        <f aca="false">IF($K441&lt;&gt;"",$K441,IF($J441&lt;&gt;"",$J441*CARBON_FRACTION_OM,""))</f>
        <v/>
      </c>
      <c r="M441" s="14" t="n">
        <f aca="false">IF($H441="Fine earth / fine-earth volume",1-IF($G441="",0,$G441)/100,1)</f>
        <v>1</v>
      </c>
      <c r="N441" s="14" t="str">
        <f aca="false">IF(OR($D441="",$E441=""),"",MAX(0,MIN($E441,REPORTING_DEPTH_CM)-MIN($D441,REPORTING_DEPTH_CM)))</f>
        <v/>
      </c>
      <c r="O441" s="14" t="str">
        <f aca="false">IF(OR($I441="",$L441="",$N441=""),"",$I441*($L441/100)*$N441*$M441*10)</f>
        <v/>
      </c>
      <c r="P441" s="14" t="str">
        <f aca="false">IF(OR($I441="",$L441="",$F441=""),"",$I441*($L441/100)*$F441*$M441*10)</f>
        <v/>
      </c>
      <c r="Q441" s="14" t="str">
        <f aca="false">IF(AND($A441="",$B441="",$D441=""),"",IF(AND($B441&lt;&gt;"",COUNTIF('2. Core Log'!$A$5:$A$124,$B441)=0),"Core ID not in Core Log. ","")&amp;IF(AND($A441&lt;&gt;"",COUNTIF('1. Plot &amp; Site Log'!$A$5:$A$64,$A441)=0),"Plot ID not in Plot &amp; Site Log. ","")&amp;IF(AND($D441&lt;&gt;"",$E441&lt;&gt;"",$E441&lt;=$D441),"Bottom depth is not below top depth. ","")&amp;IF($H441="","Say which bulk-density basis the lab reported, or the coarse-fragment correction cannot be applied safely. ","")&amp;IF(AND($I441&lt;&gt;"",OR($I441&lt;QC_BD_MIN,$I441&gt;QC_BD_MAX)),"Bulk density outside "&amp;QC_BD_MIN&amp;"–"&amp;QC_BD_MAX&amp;" g/cm³. ","")&amp;IF(AND($L441&lt;&gt;"",$L441&gt;QC_CARBON_PCT_MAX),"Carbon above "&amp;QC_CARBON_PCT_MAX&amp;"% — check units; this may be organic matter rather than carbon. ","")&amp;IF(AND($J441&lt;&gt;"",$K441&lt;&gt;""),"Both LOI and measured carbon given — the measured value is used. ","")&amp;IF(AND($N441&lt;&gt;"",$N441=0),"Slice lies entirely below the reporting depth — it counts to the full-core stock only. ",""))</f>
        <v/>
      </c>
      <c r="R441" s="13"/>
    </row>
    <row r="442" customFormat="false" ht="15" hidden="false" customHeight="false" outlineLevel="0" collapsed="false">
      <c r="A442" s="13"/>
      <c r="B442" s="13"/>
      <c r="C442" s="13"/>
      <c r="D442" s="13"/>
      <c r="E442" s="13"/>
      <c r="F442" s="13" t="str">
        <f aca="false">IF(OR($D442="",$E442=""),"",$E442-$D442)</f>
        <v/>
      </c>
      <c r="G442" s="13"/>
      <c r="H442" s="13"/>
      <c r="I442" s="15"/>
      <c r="J442" s="15"/>
      <c r="K442" s="15"/>
      <c r="L442" s="14" t="str">
        <f aca="false">IF($K442&lt;&gt;"",$K442,IF($J442&lt;&gt;"",$J442*CARBON_FRACTION_OM,""))</f>
        <v/>
      </c>
      <c r="M442" s="14" t="n">
        <f aca="false">IF($H442="Fine earth / fine-earth volume",1-IF($G442="",0,$G442)/100,1)</f>
        <v>1</v>
      </c>
      <c r="N442" s="14" t="str">
        <f aca="false">IF(OR($D442="",$E442=""),"",MAX(0,MIN($E442,REPORTING_DEPTH_CM)-MIN($D442,REPORTING_DEPTH_CM)))</f>
        <v/>
      </c>
      <c r="O442" s="14" t="str">
        <f aca="false">IF(OR($I442="",$L442="",$N442=""),"",$I442*($L442/100)*$N442*$M442*10)</f>
        <v/>
      </c>
      <c r="P442" s="14" t="str">
        <f aca="false">IF(OR($I442="",$L442="",$F442=""),"",$I442*($L442/100)*$F442*$M442*10)</f>
        <v/>
      </c>
      <c r="Q442" s="14" t="str">
        <f aca="false">IF(AND($A442="",$B442="",$D442=""),"",IF(AND($B442&lt;&gt;"",COUNTIF('2. Core Log'!$A$5:$A$124,$B442)=0),"Core ID not in Core Log. ","")&amp;IF(AND($A442&lt;&gt;"",COUNTIF('1. Plot &amp; Site Log'!$A$5:$A$64,$A442)=0),"Plot ID not in Plot &amp; Site Log. ","")&amp;IF(AND($D442&lt;&gt;"",$E442&lt;&gt;"",$E442&lt;=$D442),"Bottom depth is not below top depth. ","")&amp;IF($H442="","Say which bulk-density basis the lab reported, or the coarse-fragment correction cannot be applied safely. ","")&amp;IF(AND($I442&lt;&gt;"",OR($I442&lt;QC_BD_MIN,$I442&gt;QC_BD_MAX)),"Bulk density outside "&amp;QC_BD_MIN&amp;"–"&amp;QC_BD_MAX&amp;" g/cm³. ","")&amp;IF(AND($L442&lt;&gt;"",$L442&gt;QC_CARBON_PCT_MAX),"Carbon above "&amp;QC_CARBON_PCT_MAX&amp;"% — check units; this may be organic matter rather than carbon. ","")&amp;IF(AND($J442&lt;&gt;"",$K442&lt;&gt;""),"Both LOI and measured carbon given — the measured value is used. ","")&amp;IF(AND($N442&lt;&gt;"",$N442=0),"Slice lies entirely below the reporting depth — it counts to the full-core stock only. ",""))</f>
        <v/>
      </c>
      <c r="R442" s="13"/>
    </row>
    <row r="443" customFormat="false" ht="15" hidden="false" customHeight="false" outlineLevel="0" collapsed="false">
      <c r="A443" s="13"/>
      <c r="B443" s="13"/>
      <c r="C443" s="13"/>
      <c r="D443" s="13"/>
      <c r="E443" s="13"/>
      <c r="F443" s="13" t="str">
        <f aca="false">IF(OR($D443="",$E443=""),"",$E443-$D443)</f>
        <v/>
      </c>
      <c r="G443" s="13"/>
      <c r="H443" s="13"/>
      <c r="I443" s="15"/>
      <c r="J443" s="15"/>
      <c r="K443" s="15"/>
      <c r="L443" s="14" t="str">
        <f aca="false">IF($K443&lt;&gt;"",$K443,IF($J443&lt;&gt;"",$J443*CARBON_FRACTION_OM,""))</f>
        <v/>
      </c>
      <c r="M443" s="14" t="n">
        <f aca="false">IF($H443="Fine earth / fine-earth volume",1-IF($G443="",0,$G443)/100,1)</f>
        <v>1</v>
      </c>
      <c r="N443" s="14" t="str">
        <f aca="false">IF(OR($D443="",$E443=""),"",MAX(0,MIN($E443,REPORTING_DEPTH_CM)-MIN($D443,REPORTING_DEPTH_CM)))</f>
        <v/>
      </c>
      <c r="O443" s="14" t="str">
        <f aca="false">IF(OR($I443="",$L443="",$N443=""),"",$I443*($L443/100)*$N443*$M443*10)</f>
        <v/>
      </c>
      <c r="P443" s="14" t="str">
        <f aca="false">IF(OR($I443="",$L443="",$F443=""),"",$I443*($L443/100)*$F443*$M443*10)</f>
        <v/>
      </c>
      <c r="Q443" s="14" t="str">
        <f aca="false">IF(AND($A443="",$B443="",$D443=""),"",IF(AND($B443&lt;&gt;"",COUNTIF('2. Core Log'!$A$5:$A$124,$B443)=0),"Core ID not in Core Log. ","")&amp;IF(AND($A443&lt;&gt;"",COUNTIF('1. Plot &amp; Site Log'!$A$5:$A$64,$A443)=0),"Plot ID not in Plot &amp; Site Log. ","")&amp;IF(AND($D443&lt;&gt;"",$E443&lt;&gt;"",$E443&lt;=$D443),"Bottom depth is not below top depth. ","")&amp;IF($H443="","Say which bulk-density basis the lab reported, or the coarse-fragment correction cannot be applied safely. ","")&amp;IF(AND($I443&lt;&gt;"",OR($I443&lt;QC_BD_MIN,$I443&gt;QC_BD_MAX)),"Bulk density outside "&amp;QC_BD_MIN&amp;"–"&amp;QC_BD_MAX&amp;" g/cm³. ","")&amp;IF(AND($L443&lt;&gt;"",$L443&gt;QC_CARBON_PCT_MAX),"Carbon above "&amp;QC_CARBON_PCT_MAX&amp;"% — check units; this may be organic matter rather than carbon. ","")&amp;IF(AND($J443&lt;&gt;"",$K443&lt;&gt;""),"Both LOI and measured carbon given — the measured value is used. ","")&amp;IF(AND($N443&lt;&gt;"",$N443=0),"Slice lies entirely below the reporting depth — it counts to the full-core stock only. ",""))</f>
        <v/>
      </c>
      <c r="R443" s="13"/>
    </row>
    <row r="444" customFormat="false" ht="15" hidden="false" customHeight="false" outlineLevel="0" collapsed="false">
      <c r="A444" s="13"/>
      <c r="B444" s="13"/>
      <c r="C444" s="13"/>
      <c r="D444" s="13"/>
      <c r="E444" s="13"/>
      <c r="F444" s="13" t="str">
        <f aca="false">IF(OR($D444="",$E444=""),"",$E444-$D444)</f>
        <v/>
      </c>
      <c r="G444" s="13"/>
      <c r="H444" s="13"/>
      <c r="I444" s="15"/>
      <c r="J444" s="15"/>
      <c r="K444" s="15"/>
      <c r="L444" s="14" t="str">
        <f aca="false">IF($K444&lt;&gt;"",$K444,IF($J444&lt;&gt;"",$J444*CARBON_FRACTION_OM,""))</f>
        <v/>
      </c>
      <c r="M444" s="14" t="n">
        <f aca="false">IF($H444="Fine earth / fine-earth volume",1-IF($G444="",0,$G444)/100,1)</f>
        <v>1</v>
      </c>
      <c r="N444" s="14" t="str">
        <f aca="false">IF(OR($D444="",$E444=""),"",MAX(0,MIN($E444,REPORTING_DEPTH_CM)-MIN($D444,REPORTING_DEPTH_CM)))</f>
        <v/>
      </c>
      <c r="O444" s="14" t="str">
        <f aca="false">IF(OR($I444="",$L444="",$N444=""),"",$I444*($L444/100)*$N444*$M444*10)</f>
        <v/>
      </c>
      <c r="P444" s="14" t="str">
        <f aca="false">IF(OR($I444="",$L444="",$F444=""),"",$I444*($L444/100)*$F444*$M444*10)</f>
        <v/>
      </c>
      <c r="Q444" s="14" t="str">
        <f aca="false">IF(AND($A444="",$B444="",$D444=""),"",IF(AND($B444&lt;&gt;"",COUNTIF('2. Core Log'!$A$5:$A$124,$B444)=0),"Core ID not in Core Log. ","")&amp;IF(AND($A444&lt;&gt;"",COUNTIF('1. Plot &amp; Site Log'!$A$5:$A$64,$A444)=0),"Plot ID not in Plot &amp; Site Log. ","")&amp;IF(AND($D444&lt;&gt;"",$E444&lt;&gt;"",$E444&lt;=$D444),"Bottom depth is not below top depth. ","")&amp;IF($H444="","Say which bulk-density basis the lab reported, or the coarse-fragment correction cannot be applied safely. ","")&amp;IF(AND($I444&lt;&gt;"",OR($I444&lt;QC_BD_MIN,$I444&gt;QC_BD_MAX)),"Bulk density outside "&amp;QC_BD_MIN&amp;"–"&amp;QC_BD_MAX&amp;" g/cm³. ","")&amp;IF(AND($L444&lt;&gt;"",$L444&gt;QC_CARBON_PCT_MAX),"Carbon above "&amp;QC_CARBON_PCT_MAX&amp;"% — check units; this may be organic matter rather than carbon. ","")&amp;IF(AND($J444&lt;&gt;"",$K444&lt;&gt;""),"Both LOI and measured carbon given — the measured value is used. ","")&amp;IF(AND($N444&lt;&gt;"",$N444=0),"Slice lies entirely below the reporting depth — it counts to the full-core stock only. ",""))</f>
        <v/>
      </c>
      <c r="R444" s="13"/>
    </row>
    <row r="445" customFormat="false" ht="15" hidden="false" customHeight="false" outlineLevel="0" collapsed="false">
      <c r="A445" s="13"/>
      <c r="B445" s="13"/>
      <c r="C445" s="13"/>
      <c r="D445" s="13"/>
      <c r="E445" s="13"/>
      <c r="F445" s="13" t="str">
        <f aca="false">IF(OR($D445="",$E445=""),"",$E445-$D445)</f>
        <v/>
      </c>
      <c r="G445" s="13"/>
      <c r="H445" s="13"/>
      <c r="I445" s="15"/>
      <c r="J445" s="15"/>
      <c r="K445" s="15"/>
      <c r="L445" s="14" t="str">
        <f aca="false">IF($K445&lt;&gt;"",$K445,IF($J445&lt;&gt;"",$J445*CARBON_FRACTION_OM,""))</f>
        <v/>
      </c>
      <c r="M445" s="14" t="n">
        <f aca="false">IF($H445="Fine earth / fine-earth volume",1-IF($G445="",0,$G445)/100,1)</f>
        <v>1</v>
      </c>
      <c r="N445" s="14" t="str">
        <f aca="false">IF(OR($D445="",$E445=""),"",MAX(0,MIN($E445,REPORTING_DEPTH_CM)-MIN($D445,REPORTING_DEPTH_CM)))</f>
        <v/>
      </c>
      <c r="O445" s="14" t="str">
        <f aca="false">IF(OR($I445="",$L445="",$N445=""),"",$I445*($L445/100)*$N445*$M445*10)</f>
        <v/>
      </c>
      <c r="P445" s="14" t="str">
        <f aca="false">IF(OR($I445="",$L445="",$F445=""),"",$I445*($L445/100)*$F445*$M445*10)</f>
        <v/>
      </c>
      <c r="Q445" s="14" t="str">
        <f aca="false">IF(AND($A445="",$B445="",$D445=""),"",IF(AND($B445&lt;&gt;"",COUNTIF('2. Core Log'!$A$5:$A$124,$B445)=0),"Core ID not in Core Log. ","")&amp;IF(AND($A445&lt;&gt;"",COUNTIF('1. Plot &amp; Site Log'!$A$5:$A$64,$A445)=0),"Plot ID not in Plot &amp; Site Log. ","")&amp;IF(AND($D445&lt;&gt;"",$E445&lt;&gt;"",$E445&lt;=$D445),"Bottom depth is not below top depth. ","")&amp;IF($H445="","Say which bulk-density basis the lab reported, or the coarse-fragment correction cannot be applied safely. ","")&amp;IF(AND($I445&lt;&gt;"",OR($I445&lt;QC_BD_MIN,$I445&gt;QC_BD_MAX)),"Bulk density outside "&amp;QC_BD_MIN&amp;"–"&amp;QC_BD_MAX&amp;" g/cm³. ","")&amp;IF(AND($L445&lt;&gt;"",$L445&gt;QC_CARBON_PCT_MAX),"Carbon above "&amp;QC_CARBON_PCT_MAX&amp;"% — check units; this may be organic matter rather than carbon. ","")&amp;IF(AND($J445&lt;&gt;"",$K445&lt;&gt;""),"Both LOI and measured carbon given — the measured value is used. ","")&amp;IF(AND($N445&lt;&gt;"",$N445=0),"Slice lies entirely below the reporting depth — it counts to the full-core stock only. ",""))</f>
        <v/>
      </c>
      <c r="R445" s="13"/>
    </row>
    <row r="446" customFormat="false" ht="15" hidden="false" customHeight="false" outlineLevel="0" collapsed="false">
      <c r="A446" s="13"/>
      <c r="B446" s="13"/>
      <c r="C446" s="13"/>
      <c r="D446" s="13"/>
      <c r="E446" s="13"/>
      <c r="F446" s="13" t="str">
        <f aca="false">IF(OR($D446="",$E446=""),"",$E446-$D446)</f>
        <v/>
      </c>
      <c r="G446" s="13"/>
      <c r="H446" s="13"/>
      <c r="I446" s="15"/>
      <c r="J446" s="15"/>
      <c r="K446" s="15"/>
      <c r="L446" s="14" t="str">
        <f aca="false">IF($K446&lt;&gt;"",$K446,IF($J446&lt;&gt;"",$J446*CARBON_FRACTION_OM,""))</f>
        <v/>
      </c>
      <c r="M446" s="14" t="n">
        <f aca="false">IF($H446="Fine earth / fine-earth volume",1-IF($G446="",0,$G446)/100,1)</f>
        <v>1</v>
      </c>
      <c r="N446" s="14" t="str">
        <f aca="false">IF(OR($D446="",$E446=""),"",MAX(0,MIN($E446,REPORTING_DEPTH_CM)-MIN($D446,REPORTING_DEPTH_CM)))</f>
        <v/>
      </c>
      <c r="O446" s="14" t="str">
        <f aca="false">IF(OR($I446="",$L446="",$N446=""),"",$I446*($L446/100)*$N446*$M446*10)</f>
        <v/>
      </c>
      <c r="P446" s="14" t="str">
        <f aca="false">IF(OR($I446="",$L446="",$F446=""),"",$I446*($L446/100)*$F446*$M446*10)</f>
        <v/>
      </c>
      <c r="Q446" s="14" t="str">
        <f aca="false">IF(AND($A446="",$B446="",$D446=""),"",IF(AND($B446&lt;&gt;"",COUNTIF('2. Core Log'!$A$5:$A$124,$B446)=0),"Core ID not in Core Log. ","")&amp;IF(AND($A446&lt;&gt;"",COUNTIF('1. Plot &amp; Site Log'!$A$5:$A$64,$A446)=0),"Plot ID not in Plot &amp; Site Log. ","")&amp;IF(AND($D446&lt;&gt;"",$E446&lt;&gt;"",$E446&lt;=$D446),"Bottom depth is not below top depth. ","")&amp;IF($H446="","Say which bulk-density basis the lab reported, or the coarse-fragment correction cannot be applied safely. ","")&amp;IF(AND($I446&lt;&gt;"",OR($I446&lt;QC_BD_MIN,$I446&gt;QC_BD_MAX)),"Bulk density outside "&amp;QC_BD_MIN&amp;"–"&amp;QC_BD_MAX&amp;" g/cm³. ","")&amp;IF(AND($L446&lt;&gt;"",$L446&gt;QC_CARBON_PCT_MAX),"Carbon above "&amp;QC_CARBON_PCT_MAX&amp;"% — check units; this may be organic matter rather than carbon. ","")&amp;IF(AND($J446&lt;&gt;"",$K446&lt;&gt;""),"Both LOI and measured carbon given — the measured value is used. ","")&amp;IF(AND($N446&lt;&gt;"",$N446=0),"Slice lies entirely below the reporting depth — it counts to the full-core stock only. ",""))</f>
        <v/>
      </c>
      <c r="R446" s="13"/>
    </row>
    <row r="447" customFormat="false" ht="15" hidden="false" customHeight="false" outlineLevel="0" collapsed="false">
      <c r="A447" s="13"/>
      <c r="B447" s="13"/>
      <c r="C447" s="13"/>
      <c r="D447" s="13"/>
      <c r="E447" s="13"/>
      <c r="F447" s="13" t="str">
        <f aca="false">IF(OR($D447="",$E447=""),"",$E447-$D447)</f>
        <v/>
      </c>
      <c r="G447" s="13"/>
      <c r="H447" s="13"/>
      <c r="I447" s="15"/>
      <c r="J447" s="15"/>
      <c r="K447" s="15"/>
      <c r="L447" s="14" t="str">
        <f aca="false">IF($K447&lt;&gt;"",$K447,IF($J447&lt;&gt;"",$J447*CARBON_FRACTION_OM,""))</f>
        <v/>
      </c>
      <c r="M447" s="14" t="n">
        <f aca="false">IF($H447="Fine earth / fine-earth volume",1-IF($G447="",0,$G447)/100,1)</f>
        <v>1</v>
      </c>
      <c r="N447" s="14" t="str">
        <f aca="false">IF(OR($D447="",$E447=""),"",MAX(0,MIN($E447,REPORTING_DEPTH_CM)-MIN($D447,REPORTING_DEPTH_CM)))</f>
        <v/>
      </c>
      <c r="O447" s="14" t="str">
        <f aca="false">IF(OR($I447="",$L447="",$N447=""),"",$I447*($L447/100)*$N447*$M447*10)</f>
        <v/>
      </c>
      <c r="P447" s="14" t="str">
        <f aca="false">IF(OR($I447="",$L447="",$F447=""),"",$I447*($L447/100)*$F447*$M447*10)</f>
        <v/>
      </c>
      <c r="Q447" s="14" t="str">
        <f aca="false">IF(AND($A447="",$B447="",$D447=""),"",IF(AND($B447&lt;&gt;"",COUNTIF('2. Core Log'!$A$5:$A$124,$B447)=0),"Core ID not in Core Log. ","")&amp;IF(AND($A447&lt;&gt;"",COUNTIF('1. Plot &amp; Site Log'!$A$5:$A$64,$A447)=0),"Plot ID not in Plot &amp; Site Log. ","")&amp;IF(AND($D447&lt;&gt;"",$E447&lt;&gt;"",$E447&lt;=$D447),"Bottom depth is not below top depth. ","")&amp;IF($H447="","Say which bulk-density basis the lab reported, or the coarse-fragment correction cannot be applied safely. ","")&amp;IF(AND($I447&lt;&gt;"",OR($I447&lt;QC_BD_MIN,$I447&gt;QC_BD_MAX)),"Bulk density outside "&amp;QC_BD_MIN&amp;"–"&amp;QC_BD_MAX&amp;" g/cm³. ","")&amp;IF(AND($L447&lt;&gt;"",$L447&gt;QC_CARBON_PCT_MAX),"Carbon above "&amp;QC_CARBON_PCT_MAX&amp;"% — check units; this may be organic matter rather than carbon. ","")&amp;IF(AND($J447&lt;&gt;"",$K447&lt;&gt;""),"Both LOI and measured carbon given — the measured value is used. ","")&amp;IF(AND($N447&lt;&gt;"",$N447=0),"Slice lies entirely below the reporting depth — it counts to the full-core stock only. ",""))</f>
        <v/>
      </c>
      <c r="R447" s="13"/>
    </row>
    <row r="448" customFormat="false" ht="15" hidden="false" customHeight="false" outlineLevel="0" collapsed="false">
      <c r="A448" s="13"/>
      <c r="B448" s="13"/>
      <c r="C448" s="13"/>
      <c r="D448" s="13"/>
      <c r="E448" s="13"/>
      <c r="F448" s="13" t="str">
        <f aca="false">IF(OR($D448="",$E448=""),"",$E448-$D448)</f>
        <v/>
      </c>
      <c r="G448" s="13"/>
      <c r="H448" s="13"/>
      <c r="I448" s="15"/>
      <c r="J448" s="15"/>
      <c r="K448" s="15"/>
      <c r="L448" s="14" t="str">
        <f aca="false">IF($K448&lt;&gt;"",$K448,IF($J448&lt;&gt;"",$J448*CARBON_FRACTION_OM,""))</f>
        <v/>
      </c>
      <c r="M448" s="14" t="n">
        <f aca="false">IF($H448="Fine earth / fine-earth volume",1-IF($G448="",0,$G448)/100,1)</f>
        <v>1</v>
      </c>
      <c r="N448" s="14" t="str">
        <f aca="false">IF(OR($D448="",$E448=""),"",MAX(0,MIN($E448,REPORTING_DEPTH_CM)-MIN($D448,REPORTING_DEPTH_CM)))</f>
        <v/>
      </c>
      <c r="O448" s="14" t="str">
        <f aca="false">IF(OR($I448="",$L448="",$N448=""),"",$I448*($L448/100)*$N448*$M448*10)</f>
        <v/>
      </c>
      <c r="P448" s="14" t="str">
        <f aca="false">IF(OR($I448="",$L448="",$F448=""),"",$I448*($L448/100)*$F448*$M448*10)</f>
        <v/>
      </c>
      <c r="Q448" s="14" t="str">
        <f aca="false">IF(AND($A448="",$B448="",$D448=""),"",IF(AND($B448&lt;&gt;"",COUNTIF('2. Core Log'!$A$5:$A$124,$B448)=0),"Core ID not in Core Log. ","")&amp;IF(AND($A448&lt;&gt;"",COUNTIF('1. Plot &amp; Site Log'!$A$5:$A$64,$A448)=0),"Plot ID not in Plot &amp; Site Log. ","")&amp;IF(AND($D448&lt;&gt;"",$E448&lt;&gt;"",$E448&lt;=$D448),"Bottom depth is not below top depth. ","")&amp;IF($H448="","Say which bulk-density basis the lab reported, or the coarse-fragment correction cannot be applied safely. ","")&amp;IF(AND($I448&lt;&gt;"",OR($I448&lt;QC_BD_MIN,$I448&gt;QC_BD_MAX)),"Bulk density outside "&amp;QC_BD_MIN&amp;"–"&amp;QC_BD_MAX&amp;" g/cm³. ","")&amp;IF(AND($L448&lt;&gt;"",$L448&gt;QC_CARBON_PCT_MAX),"Carbon above "&amp;QC_CARBON_PCT_MAX&amp;"% — check units; this may be organic matter rather than carbon. ","")&amp;IF(AND($J448&lt;&gt;"",$K448&lt;&gt;""),"Both LOI and measured carbon given — the measured value is used. ","")&amp;IF(AND($N448&lt;&gt;"",$N448=0),"Slice lies entirely below the reporting depth — it counts to the full-core stock only. ",""))</f>
        <v/>
      </c>
      <c r="R448" s="13"/>
    </row>
    <row r="449" customFormat="false" ht="15" hidden="false" customHeight="false" outlineLevel="0" collapsed="false">
      <c r="A449" s="13"/>
      <c r="B449" s="13"/>
      <c r="C449" s="13"/>
      <c r="D449" s="13"/>
      <c r="E449" s="13"/>
      <c r="F449" s="13" t="str">
        <f aca="false">IF(OR($D449="",$E449=""),"",$E449-$D449)</f>
        <v/>
      </c>
      <c r="G449" s="13"/>
      <c r="H449" s="13"/>
      <c r="I449" s="15"/>
      <c r="J449" s="15"/>
      <c r="K449" s="15"/>
      <c r="L449" s="14" t="str">
        <f aca="false">IF($K449&lt;&gt;"",$K449,IF($J449&lt;&gt;"",$J449*CARBON_FRACTION_OM,""))</f>
        <v/>
      </c>
      <c r="M449" s="14" t="n">
        <f aca="false">IF($H449="Fine earth / fine-earth volume",1-IF($G449="",0,$G449)/100,1)</f>
        <v>1</v>
      </c>
      <c r="N449" s="14" t="str">
        <f aca="false">IF(OR($D449="",$E449=""),"",MAX(0,MIN($E449,REPORTING_DEPTH_CM)-MIN($D449,REPORTING_DEPTH_CM)))</f>
        <v/>
      </c>
      <c r="O449" s="14" t="str">
        <f aca="false">IF(OR($I449="",$L449="",$N449=""),"",$I449*($L449/100)*$N449*$M449*10)</f>
        <v/>
      </c>
      <c r="P449" s="14" t="str">
        <f aca="false">IF(OR($I449="",$L449="",$F449=""),"",$I449*($L449/100)*$F449*$M449*10)</f>
        <v/>
      </c>
      <c r="Q449" s="14" t="str">
        <f aca="false">IF(AND($A449="",$B449="",$D449=""),"",IF(AND($B449&lt;&gt;"",COUNTIF('2. Core Log'!$A$5:$A$124,$B449)=0),"Core ID not in Core Log. ","")&amp;IF(AND($A449&lt;&gt;"",COUNTIF('1. Plot &amp; Site Log'!$A$5:$A$64,$A449)=0),"Plot ID not in Plot &amp; Site Log. ","")&amp;IF(AND($D449&lt;&gt;"",$E449&lt;&gt;"",$E449&lt;=$D449),"Bottom depth is not below top depth. ","")&amp;IF($H449="","Say which bulk-density basis the lab reported, or the coarse-fragment correction cannot be applied safely. ","")&amp;IF(AND($I449&lt;&gt;"",OR($I449&lt;QC_BD_MIN,$I449&gt;QC_BD_MAX)),"Bulk density outside "&amp;QC_BD_MIN&amp;"–"&amp;QC_BD_MAX&amp;" g/cm³. ","")&amp;IF(AND($L449&lt;&gt;"",$L449&gt;QC_CARBON_PCT_MAX),"Carbon above "&amp;QC_CARBON_PCT_MAX&amp;"% — check units; this may be organic matter rather than carbon. ","")&amp;IF(AND($J449&lt;&gt;"",$K449&lt;&gt;""),"Both LOI and measured carbon given — the measured value is used. ","")&amp;IF(AND($N449&lt;&gt;"",$N449=0),"Slice lies entirely below the reporting depth — it counts to the full-core stock only. ",""))</f>
        <v/>
      </c>
      <c r="R449" s="13"/>
    </row>
    <row r="450" customFormat="false" ht="15" hidden="false" customHeight="false" outlineLevel="0" collapsed="false">
      <c r="A450" s="13"/>
      <c r="B450" s="13"/>
      <c r="C450" s="13"/>
      <c r="D450" s="13"/>
      <c r="E450" s="13"/>
      <c r="F450" s="13" t="str">
        <f aca="false">IF(OR($D450="",$E450=""),"",$E450-$D450)</f>
        <v/>
      </c>
      <c r="G450" s="13"/>
      <c r="H450" s="13"/>
      <c r="I450" s="15"/>
      <c r="J450" s="15"/>
      <c r="K450" s="15"/>
      <c r="L450" s="14" t="str">
        <f aca="false">IF($K450&lt;&gt;"",$K450,IF($J450&lt;&gt;"",$J450*CARBON_FRACTION_OM,""))</f>
        <v/>
      </c>
      <c r="M450" s="14" t="n">
        <f aca="false">IF($H450="Fine earth / fine-earth volume",1-IF($G450="",0,$G450)/100,1)</f>
        <v>1</v>
      </c>
      <c r="N450" s="14" t="str">
        <f aca="false">IF(OR($D450="",$E450=""),"",MAX(0,MIN($E450,REPORTING_DEPTH_CM)-MIN($D450,REPORTING_DEPTH_CM)))</f>
        <v/>
      </c>
      <c r="O450" s="14" t="str">
        <f aca="false">IF(OR($I450="",$L450="",$N450=""),"",$I450*($L450/100)*$N450*$M450*10)</f>
        <v/>
      </c>
      <c r="P450" s="14" t="str">
        <f aca="false">IF(OR($I450="",$L450="",$F450=""),"",$I450*($L450/100)*$F450*$M450*10)</f>
        <v/>
      </c>
      <c r="Q450" s="14" t="str">
        <f aca="false">IF(AND($A450="",$B450="",$D450=""),"",IF(AND($B450&lt;&gt;"",COUNTIF('2. Core Log'!$A$5:$A$124,$B450)=0),"Core ID not in Core Log. ","")&amp;IF(AND($A450&lt;&gt;"",COUNTIF('1. Plot &amp; Site Log'!$A$5:$A$64,$A450)=0),"Plot ID not in Plot &amp; Site Log. ","")&amp;IF(AND($D450&lt;&gt;"",$E450&lt;&gt;"",$E450&lt;=$D450),"Bottom depth is not below top depth. ","")&amp;IF($H450="","Say which bulk-density basis the lab reported, or the coarse-fragment correction cannot be applied safely. ","")&amp;IF(AND($I450&lt;&gt;"",OR($I450&lt;QC_BD_MIN,$I450&gt;QC_BD_MAX)),"Bulk density outside "&amp;QC_BD_MIN&amp;"–"&amp;QC_BD_MAX&amp;" g/cm³. ","")&amp;IF(AND($L450&lt;&gt;"",$L450&gt;QC_CARBON_PCT_MAX),"Carbon above "&amp;QC_CARBON_PCT_MAX&amp;"% — check units; this may be organic matter rather than carbon. ","")&amp;IF(AND($J450&lt;&gt;"",$K450&lt;&gt;""),"Both LOI and measured carbon given — the measured value is used. ","")&amp;IF(AND($N450&lt;&gt;"",$N450=0),"Slice lies entirely below the reporting depth — it counts to the full-core stock only. ",""))</f>
        <v/>
      </c>
      <c r="R450" s="13"/>
    </row>
    <row r="451" customFormat="false" ht="15" hidden="false" customHeight="false" outlineLevel="0" collapsed="false">
      <c r="A451" s="13"/>
      <c r="B451" s="13"/>
      <c r="C451" s="13"/>
      <c r="D451" s="13"/>
      <c r="E451" s="13"/>
      <c r="F451" s="13" t="str">
        <f aca="false">IF(OR($D451="",$E451=""),"",$E451-$D451)</f>
        <v/>
      </c>
      <c r="G451" s="13"/>
      <c r="H451" s="13"/>
      <c r="I451" s="15"/>
      <c r="J451" s="15"/>
      <c r="K451" s="15"/>
      <c r="L451" s="14" t="str">
        <f aca="false">IF($K451&lt;&gt;"",$K451,IF($J451&lt;&gt;"",$J451*CARBON_FRACTION_OM,""))</f>
        <v/>
      </c>
      <c r="M451" s="14" t="n">
        <f aca="false">IF($H451="Fine earth / fine-earth volume",1-IF($G451="",0,$G451)/100,1)</f>
        <v>1</v>
      </c>
      <c r="N451" s="14" t="str">
        <f aca="false">IF(OR($D451="",$E451=""),"",MAX(0,MIN($E451,REPORTING_DEPTH_CM)-MIN($D451,REPORTING_DEPTH_CM)))</f>
        <v/>
      </c>
      <c r="O451" s="14" t="str">
        <f aca="false">IF(OR($I451="",$L451="",$N451=""),"",$I451*($L451/100)*$N451*$M451*10)</f>
        <v/>
      </c>
      <c r="P451" s="14" t="str">
        <f aca="false">IF(OR($I451="",$L451="",$F451=""),"",$I451*($L451/100)*$F451*$M451*10)</f>
        <v/>
      </c>
      <c r="Q451" s="14" t="str">
        <f aca="false">IF(AND($A451="",$B451="",$D451=""),"",IF(AND($B451&lt;&gt;"",COUNTIF('2. Core Log'!$A$5:$A$124,$B451)=0),"Core ID not in Core Log. ","")&amp;IF(AND($A451&lt;&gt;"",COUNTIF('1. Plot &amp; Site Log'!$A$5:$A$64,$A451)=0),"Plot ID not in Plot &amp; Site Log. ","")&amp;IF(AND($D451&lt;&gt;"",$E451&lt;&gt;"",$E451&lt;=$D451),"Bottom depth is not below top depth. ","")&amp;IF($H451="","Say which bulk-density basis the lab reported, or the coarse-fragment correction cannot be applied safely. ","")&amp;IF(AND($I451&lt;&gt;"",OR($I451&lt;QC_BD_MIN,$I451&gt;QC_BD_MAX)),"Bulk density outside "&amp;QC_BD_MIN&amp;"–"&amp;QC_BD_MAX&amp;" g/cm³. ","")&amp;IF(AND($L451&lt;&gt;"",$L451&gt;QC_CARBON_PCT_MAX),"Carbon above "&amp;QC_CARBON_PCT_MAX&amp;"% — check units; this may be organic matter rather than carbon. ","")&amp;IF(AND($J451&lt;&gt;"",$K451&lt;&gt;""),"Both LOI and measured carbon given — the measured value is used. ","")&amp;IF(AND($N451&lt;&gt;"",$N451=0),"Slice lies entirely below the reporting depth — it counts to the full-core stock only. ",""))</f>
        <v/>
      </c>
      <c r="R451" s="13"/>
    </row>
    <row r="452" customFormat="false" ht="15" hidden="false" customHeight="false" outlineLevel="0" collapsed="false">
      <c r="A452" s="13"/>
      <c r="B452" s="13"/>
      <c r="C452" s="13"/>
      <c r="D452" s="13"/>
      <c r="E452" s="13"/>
      <c r="F452" s="13" t="str">
        <f aca="false">IF(OR($D452="",$E452=""),"",$E452-$D452)</f>
        <v/>
      </c>
      <c r="G452" s="13"/>
      <c r="H452" s="13"/>
      <c r="I452" s="15"/>
      <c r="J452" s="15"/>
      <c r="K452" s="15"/>
      <c r="L452" s="14" t="str">
        <f aca="false">IF($K452&lt;&gt;"",$K452,IF($J452&lt;&gt;"",$J452*CARBON_FRACTION_OM,""))</f>
        <v/>
      </c>
      <c r="M452" s="14" t="n">
        <f aca="false">IF($H452="Fine earth / fine-earth volume",1-IF($G452="",0,$G452)/100,1)</f>
        <v>1</v>
      </c>
      <c r="N452" s="14" t="str">
        <f aca="false">IF(OR($D452="",$E452=""),"",MAX(0,MIN($E452,REPORTING_DEPTH_CM)-MIN($D452,REPORTING_DEPTH_CM)))</f>
        <v/>
      </c>
      <c r="O452" s="14" t="str">
        <f aca="false">IF(OR($I452="",$L452="",$N452=""),"",$I452*($L452/100)*$N452*$M452*10)</f>
        <v/>
      </c>
      <c r="P452" s="14" t="str">
        <f aca="false">IF(OR($I452="",$L452="",$F452=""),"",$I452*($L452/100)*$F452*$M452*10)</f>
        <v/>
      </c>
      <c r="Q452" s="14" t="str">
        <f aca="false">IF(AND($A452="",$B452="",$D452=""),"",IF(AND($B452&lt;&gt;"",COUNTIF('2. Core Log'!$A$5:$A$124,$B452)=0),"Core ID not in Core Log. ","")&amp;IF(AND($A452&lt;&gt;"",COUNTIF('1. Plot &amp; Site Log'!$A$5:$A$64,$A452)=0),"Plot ID not in Plot &amp; Site Log. ","")&amp;IF(AND($D452&lt;&gt;"",$E452&lt;&gt;"",$E452&lt;=$D452),"Bottom depth is not below top depth. ","")&amp;IF($H452="","Say which bulk-density basis the lab reported, or the coarse-fragment correction cannot be applied safely. ","")&amp;IF(AND($I452&lt;&gt;"",OR($I452&lt;QC_BD_MIN,$I452&gt;QC_BD_MAX)),"Bulk density outside "&amp;QC_BD_MIN&amp;"–"&amp;QC_BD_MAX&amp;" g/cm³. ","")&amp;IF(AND($L452&lt;&gt;"",$L452&gt;QC_CARBON_PCT_MAX),"Carbon above "&amp;QC_CARBON_PCT_MAX&amp;"% — check units; this may be organic matter rather than carbon. ","")&amp;IF(AND($J452&lt;&gt;"",$K452&lt;&gt;""),"Both LOI and measured carbon given — the measured value is used. ","")&amp;IF(AND($N452&lt;&gt;"",$N452=0),"Slice lies entirely below the reporting depth — it counts to the full-core stock only. ",""))</f>
        <v/>
      </c>
      <c r="R452" s="13"/>
    </row>
    <row r="453" customFormat="false" ht="15" hidden="false" customHeight="false" outlineLevel="0" collapsed="false">
      <c r="A453" s="13"/>
      <c r="B453" s="13"/>
      <c r="C453" s="13"/>
      <c r="D453" s="13"/>
      <c r="E453" s="13"/>
      <c r="F453" s="13" t="str">
        <f aca="false">IF(OR($D453="",$E453=""),"",$E453-$D453)</f>
        <v/>
      </c>
      <c r="G453" s="13"/>
      <c r="H453" s="13"/>
      <c r="I453" s="15"/>
      <c r="J453" s="15"/>
      <c r="K453" s="15"/>
      <c r="L453" s="14" t="str">
        <f aca="false">IF($K453&lt;&gt;"",$K453,IF($J453&lt;&gt;"",$J453*CARBON_FRACTION_OM,""))</f>
        <v/>
      </c>
      <c r="M453" s="14" t="n">
        <f aca="false">IF($H453="Fine earth / fine-earth volume",1-IF($G453="",0,$G453)/100,1)</f>
        <v>1</v>
      </c>
      <c r="N453" s="14" t="str">
        <f aca="false">IF(OR($D453="",$E453=""),"",MAX(0,MIN($E453,REPORTING_DEPTH_CM)-MIN($D453,REPORTING_DEPTH_CM)))</f>
        <v/>
      </c>
      <c r="O453" s="14" t="str">
        <f aca="false">IF(OR($I453="",$L453="",$N453=""),"",$I453*($L453/100)*$N453*$M453*10)</f>
        <v/>
      </c>
      <c r="P453" s="14" t="str">
        <f aca="false">IF(OR($I453="",$L453="",$F453=""),"",$I453*($L453/100)*$F453*$M453*10)</f>
        <v/>
      </c>
      <c r="Q453" s="14" t="str">
        <f aca="false">IF(AND($A453="",$B453="",$D453=""),"",IF(AND($B453&lt;&gt;"",COUNTIF('2. Core Log'!$A$5:$A$124,$B453)=0),"Core ID not in Core Log. ","")&amp;IF(AND($A453&lt;&gt;"",COUNTIF('1. Plot &amp; Site Log'!$A$5:$A$64,$A453)=0),"Plot ID not in Plot &amp; Site Log. ","")&amp;IF(AND($D453&lt;&gt;"",$E453&lt;&gt;"",$E453&lt;=$D453),"Bottom depth is not below top depth. ","")&amp;IF($H453="","Say which bulk-density basis the lab reported, or the coarse-fragment correction cannot be applied safely. ","")&amp;IF(AND($I453&lt;&gt;"",OR($I453&lt;QC_BD_MIN,$I453&gt;QC_BD_MAX)),"Bulk density outside "&amp;QC_BD_MIN&amp;"–"&amp;QC_BD_MAX&amp;" g/cm³. ","")&amp;IF(AND($L453&lt;&gt;"",$L453&gt;QC_CARBON_PCT_MAX),"Carbon above "&amp;QC_CARBON_PCT_MAX&amp;"% — check units; this may be organic matter rather than carbon. ","")&amp;IF(AND($J453&lt;&gt;"",$K453&lt;&gt;""),"Both LOI and measured carbon given — the measured value is used. ","")&amp;IF(AND($N453&lt;&gt;"",$N453=0),"Slice lies entirely below the reporting depth — it counts to the full-core stock only. ",""))</f>
        <v/>
      </c>
      <c r="R453" s="13"/>
    </row>
    <row r="454" customFormat="false" ht="15" hidden="false" customHeight="false" outlineLevel="0" collapsed="false">
      <c r="A454" s="13"/>
      <c r="B454" s="13"/>
      <c r="C454" s="13"/>
      <c r="D454" s="13"/>
      <c r="E454" s="13"/>
      <c r="F454" s="13" t="str">
        <f aca="false">IF(OR($D454="",$E454=""),"",$E454-$D454)</f>
        <v/>
      </c>
      <c r="G454" s="13"/>
      <c r="H454" s="13"/>
      <c r="I454" s="15"/>
      <c r="J454" s="15"/>
      <c r="K454" s="15"/>
      <c r="L454" s="14" t="str">
        <f aca="false">IF($K454&lt;&gt;"",$K454,IF($J454&lt;&gt;"",$J454*CARBON_FRACTION_OM,""))</f>
        <v/>
      </c>
      <c r="M454" s="14" t="n">
        <f aca="false">IF($H454="Fine earth / fine-earth volume",1-IF($G454="",0,$G454)/100,1)</f>
        <v>1</v>
      </c>
      <c r="N454" s="14" t="str">
        <f aca="false">IF(OR($D454="",$E454=""),"",MAX(0,MIN($E454,REPORTING_DEPTH_CM)-MIN($D454,REPORTING_DEPTH_CM)))</f>
        <v/>
      </c>
      <c r="O454" s="14" t="str">
        <f aca="false">IF(OR($I454="",$L454="",$N454=""),"",$I454*($L454/100)*$N454*$M454*10)</f>
        <v/>
      </c>
      <c r="P454" s="14" t="str">
        <f aca="false">IF(OR($I454="",$L454="",$F454=""),"",$I454*($L454/100)*$F454*$M454*10)</f>
        <v/>
      </c>
      <c r="Q454" s="14" t="str">
        <f aca="false">IF(AND($A454="",$B454="",$D454=""),"",IF(AND($B454&lt;&gt;"",COUNTIF('2. Core Log'!$A$5:$A$124,$B454)=0),"Core ID not in Core Log. ","")&amp;IF(AND($A454&lt;&gt;"",COUNTIF('1. Plot &amp; Site Log'!$A$5:$A$64,$A454)=0),"Plot ID not in Plot &amp; Site Log. ","")&amp;IF(AND($D454&lt;&gt;"",$E454&lt;&gt;"",$E454&lt;=$D454),"Bottom depth is not below top depth. ","")&amp;IF($H454="","Say which bulk-density basis the lab reported, or the coarse-fragment correction cannot be applied safely. ","")&amp;IF(AND($I454&lt;&gt;"",OR($I454&lt;QC_BD_MIN,$I454&gt;QC_BD_MAX)),"Bulk density outside "&amp;QC_BD_MIN&amp;"–"&amp;QC_BD_MAX&amp;" g/cm³. ","")&amp;IF(AND($L454&lt;&gt;"",$L454&gt;QC_CARBON_PCT_MAX),"Carbon above "&amp;QC_CARBON_PCT_MAX&amp;"% — check units; this may be organic matter rather than carbon. ","")&amp;IF(AND($J454&lt;&gt;"",$K454&lt;&gt;""),"Both LOI and measured carbon given — the measured value is used. ","")&amp;IF(AND($N454&lt;&gt;"",$N454=0),"Slice lies entirely below the reporting depth — it counts to the full-core stock only. ",""))</f>
        <v/>
      </c>
      <c r="R454" s="13"/>
    </row>
    <row r="455" customFormat="false" ht="15" hidden="false" customHeight="false" outlineLevel="0" collapsed="false">
      <c r="A455" s="13"/>
      <c r="B455" s="13"/>
      <c r="C455" s="13"/>
      <c r="D455" s="13"/>
      <c r="E455" s="13"/>
      <c r="F455" s="13" t="str">
        <f aca="false">IF(OR($D455="",$E455=""),"",$E455-$D455)</f>
        <v/>
      </c>
      <c r="G455" s="13"/>
      <c r="H455" s="13"/>
      <c r="I455" s="15"/>
      <c r="J455" s="15"/>
      <c r="K455" s="15"/>
      <c r="L455" s="14" t="str">
        <f aca="false">IF($K455&lt;&gt;"",$K455,IF($J455&lt;&gt;"",$J455*CARBON_FRACTION_OM,""))</f>
        <v/>
      </c>
      <c r="M455" s="14" t="n">
        <f aca="false">IF($H455="Fine earth / fine-earth volume",1-IF($G455="",0,$G455)/100,1)</f>
        <v>1</v>
      </c>
      <c r="N455" s="14" t="str">
        <f aca="false">IF(OR($D455="",$E455=""),"",MAX(0,MIN($E455,REPORTING_DEPTH_CM)-MIN($D455,REPORTING_DEPTH_CM)))</f>
        <v/>
      </c>
      <c r="O455" s="14" t="str">
        <f aca="false">IF(OR($I455="",$L455="",$N455=""),"",$I455*($L455/100)*$N455*$M455*10)</f>
        <v/>
      </c>
      <c r="P455" s="14" t="str">
        <f aca="false">IF(OR($I455="",$L455="",$F455=""),"",$I455*($L455/100)*$F455*$M455*10)</f>
        <v/>
      </c>
      <c r="Q455" s="14" t="str">
        <f aca="false">IF(AND($A455="",$B455="",$D455=""),"",IF(AND($B455&lt;&gt;"",COUNTIF('2. Core Log'!$A$5:$A$124,$B455)=0),"Core ID not in Core Log. ","")&amp;IF(AND($A455&lt;&gt;"",COUNTIF('1. Plot &amp; Site Log'!$A$5:$A$64,$A455)=0),"Plot ID not in Plot &amp; Site Log. ","")&amp;IF(AND($D455&lt;&gt;"",$E455&lt;&gt;"",$E455&lt;=$D455),"Bottom depth is not below top depth. ","")&amp;IF($H455="","Say which bulk-density basis the lab reported, or the coarse-fragment correction cannot be applied safely. ","")&amp;IF(AND($I455&lt;&gt;"",OR($I455&lt;QC_BD_MIN,$I455&gt;QC_BD_MAX)),"Bulk density outside "&amp;QC_BD_MIN&amp;"–"&amp;QC_BD_MAX&amp;" g/cm³. ","")&amp;IF(AND($L455&lt;&gt;"",$L455&gt;QC_CARBON_PCT_MAX),"Carbon above "&amp;QC_CARBON_PCT_MAX&amp;"% — check units; this may be organic matter rather than carbon. ","")&amp;IF(AND($J455&lt;&gt;"",$K455&lt;&gt;""),"Both LOI and measured carbon given — the measured value is used. ","")&amp;IF(AND($N455&lt;&gt;"",$N455=0),"Slice lies entirely below the reporting depth — it counts to the full-core stock only. ",""))</f>
        <v/>
      </c>
      <c r="R455" s="13"/>
    </row>
    <row r="456" customFormat="false" ht="15" hidden="false" customHeight="false" outlineLevel="0" collapsed="false">
      <c r="A456" s="13"/>
      <c r="B456" s="13"/>
      <c r="C456" s="13"/>
      <c r="D456" s="13"/>
      <c r="E456" s="13"/>
      <c r="F456" s="13" t="str">
        <f aca="false">IF(OR($D456="",$E456=""),"",$E456-$D456)</f>
        <v/>
      </c>
      <c r="G456" s="13"/>
      <c r="H456" s="13"/>
      <c r="I456" s="15"/>
      <c r="J456" s="15"/>
      <c r="K456" s="15"/>
      <c r="L456" s="14" t="str">
        <f aca="false">IF($K456&lt;&gt;"",$K456,IF($J456&lt;&gt;"",$J456*CARBON_FRACTION_OM,""))</f>
        <v/>
      </c>
      <c r="M456" s="14" t="n">
        <f aca="false">IF($H456="Fine earth / fine-earth volume",1-IF($G456="",0,$G456)/100,1)</f>
        <v>1</v>
      </c>
      <c r="N456" s="14" t="str">
        <f aca="false">IF(OR($D456="",$E456=""),"",MAX(0,MIN($E456,REPORTING_DEPTH_CM)-MIN($D456,REPORTING_DEPTH_CM)))</f>
        <v/>
      </c>
      <c r="O456" s="14" t="str">
        <f aca="false">IF(OR($I456="",$L456="",$N456=""),"",$I456*($L456/100)*$N456*$M456*10)</f>
        <v/>
      </c>
      <c r="P456" s="14" t="str">
        <f aca="false">IF(OR($I456="",$L456="",$F456=""),"",$I456*($L456/100)*$F456*$M456*10)</f>
        <v/>
      </c>
      <c r="Q456" s="14" t="str">
        <f aca="false">IF(AND($A456="",$B456="",$D456=""),"",IF(AND($B456&lt;&gt;"",COUNTIF('2. Core Log'!$A$5:$A$124,$B456)=0),"Core ID not in Core Log. ","")&amp;IF(AND($A456&lt;&gt;"",COUNTIF('1. Plot &amp; Site Log'!$A$5:$A$64,$A456)=0),"Plot ID not in Plot &amp; Site Log. ","")&amp;IF(AND($D456&lt;&gt;"",$E456&lt;&gt;"",$E456&lt;=$D456),"Bottom depth is not below top depth. ","")&amp;IF($H456="","Say which bulk-density basis the lab reported, or the coarse-fragment correction cannot be applied safely. ","")&amp;IF(AND($I456&lt;&gt;"",OR($I456&lt;QC_BD_MIN,$I456&gt;QC_BD_MAX)),"Bulk density outside "&amp;QC_BD_MIN&amp;"–"&amp;QC_BD_MAX&amp;" g/cm³. ","")&amp;IF(AND($L456&lt;&gt;"",$L456&gt;QC_CARBON_PCT_MAX),"Carbon above "&amp;QC_CARBON_PCT_MAX&amp;"% — check units; this may be organic matter rather than carbon. ","")&amp;IF(AND($J456&lt;&gt;"",$K456&lt;&gt;""),"Both LOI and measured carbon given — the measured value is used. ","")&amp;IF(AND($N456&lt;&gt;"",$N456=0),"Slice lies entirely below the reporting depth — it counts to the full-core stock only. ",""))</f>
        <v/>
      </c>
      <c r="R456" s="13"/>
    </row>
    <row r="457" customFormat="false" ht="15" hidden="false" customHeight="false" outlineLevel="0" collapsed="false">
      <c r="A457" s="13"/>
      <c r="B457" s="13"/>
      <c r="C457" s="13"/>
      <c r="D457" s="13"/>
      <c r="E457" s="13"/>
      <c r="F457" s="13" t="str">
        <f aca="false">IF(OR($D457="",$E457=""),"",$E457-$D457)</f>
        <v/>
      </c>
      <c r="G457" s="13"/>
      <c r="H457" s="13"/>
      <c r="I457" s="15"/>
      <c r="J457" s="15"/>
      <c r="K457" s="15"/>
      <c r="L457" s="14" t="str">
        <f aca="false">IF($K457&lt;&gt;"",$K457,IF($J457&lt;&gt;"",$J457*CARBON_FRACTION_OM,""))</f>
        <v/>
      </c>
      <c r="M457" s="14" t="n">
        <f aca="false">IF($H457="Fine earth / fine-earth volume",1-IF($G457="",0,$G457)/100,1)</f>
        <v>1</v>
      </c>
      <c r="N457" s="14" t="str">
        <f aca="false">IF(OR($D457="",$E457=""),"",MAX(0,MIN($E457,REPORTING_DEPTH_CM)-MIN($D457,REPORTING_DEPTH_CM)))</f>
        <v/>
      </c>
      <c r="O457" s="14" t="str">
        <f aca="false">IF(OR($I457="",$L457="",$N457=""),"",$I457*($L457/100)*$N457*$M457*10)</f>
        <v/>
      </c>
      <c r="P457" s="14" t="str">
        <f aca="false">IF(OR($I457="",$L457="",$F457=""),"",$I457*($L457/100)*$F457*$M457*10)</f>
        <v/>
      </c>
      <c r="Q457" s="14" t="str">
        <f aca="false">IF(AND($A457="",$B457="",$D457=""),"",IF(AND($B457&lt;&gt;"",COUNTIF('2. Core Log'!$A$5:$A$124,$B457)=0),"Core ID not in Core Log. ","")&amp;IF(AND($A457&lt;&gt;"",COUNTIF('1. Plot &amp; Site Log'!$A$5:$A$64,$A457)=0),"Plot ID not in Plot &amp; Site Log. ","")&amp;IF(AND($D457&lt;&gt;"",$E457&lt;&gt;"",$E457&lt;=$D457),"Bottom depth is not below top depth. ","")&amp;IF($H457="","Say which bulk-density basis the lab reported, or the coarse-fragment correction cannot be applied safely. ","")&amp;IF(AND($I457&lt;&gt;"",OR($I457&lt;QC_BD_MIN,$I457&gt;QC_BD_MAX)),"Bulk density outside "&amp;QC_BD_MIN&amp;"–"&amp;QC_BD_MAX&amp;" g/cm³. ","")&amp;IF(AND($L457&lt;&gt;"",$L457&gt;QC_CARBON_PCT_MAX),"Carbon above "&amp;QC_CARBON_PCT_MAX&amp;"% — check units; this may be organic matter rather than carbon. ","")&amp;IF(AND($J457&lt;&gt;"",$K457&lt;&gt;""),"Both LOI and measured carbon given — the measured value is used. ","")&amp;IF(AND($N457&lt;&gt;"",$N457=0),"Slice lies entirely below the reporting depth — it counts to the full-core stock only. ",""))</f>
        <v/>
      </c>
      <c r="R457" s="13"/>
    </row>
    <row r="458" customFormat="false" ht="15" hidden="false" customHeight="false" outlineLevel="0" collapsed="false">
      <c r="A458" s="13"/>
      <c r="B458" s="13"/>
      <c r="C458" s="13"/>
      <c r="D458" s="13"/>
      <c r="E458" s="13"/>
      <c r="F458" s="13" t="str">
        <f aca="false">IF(OR($D458="",$E458=""),"",$E458-$D458)</f>
        <v/>
      </c>
      <c r="G458" s="13"/>
      <c r="H458" s="13"/>
      <c r="I458" s="15"/>
      <c r="J458" s="15"/>
      <c r="K458" s="15"/>
      <c r="L458" s="14" t="str">
        <f aca="false">IF($K458&lt;&gt;"",$K458,IF($J458&lt;&gt;"",$J458*CARBON_FRACTION_OM,""))</f>
        <v/>
      </c>
      <c r="M458" s="14" t="n">
        <f aca="false">IF($H458="Fine earth / fine-earth volume",1-IF($G458="",0,$G458)/100,1)</f>
        <v>1</v>
      </c>
      <c r="N458" s="14" t="str">
        <f aca="false">IF(OR($D458="",$E458=""),"",MAX(0,MIN($E458,REPORTING_DEPTH_CM)-MIN($D458,REPORTING_DEPTH_CM)))</f>
        <v/>
      </c>
      <c r="O458" s="14" t="str">
        <f aca="false">IF(OR($I458="",$L458="",$N458=""),"",$I458*($L458/100)*$N458*$M458*10)</f>
        <v/>
      </c>
      <c r="P458" s="14" t="str">
        <f aca="false">IF(OR($I458="",$L458="",$F458=""),"",$I458*($L458/100)*$F458*$M458*10)</f>
        <v/>
      </c>
      <c r="Q458" s="14" t="str">
        <f aca="false">IF(AND($A458="",$B458="",$D458=""),"",IF(AND($B458&lt;&gt;"",COUNTIF('2. Core Log'!$A$5:$A$124,$B458)=0),"Core ID not in Core Log. ","")&amp;IF(AND($A458&lt;&gt;"",COUNTIF('1. Plot &amp; Site Log'!$A$5:$A$64,$A458)=0),"Plot ID not in Plot &amp; Site Log. ","")&amp;IF(AND($D458&lt;&gt;"",$E458&lt;&gt;"",$E458&lt;=$D458),"Bottom depth is not below top depth. ","")&amp;IF($H458="","Say which bulk-density basis the lab reported, or the coarse-fragment correction cannot be applied safely. ","")&amp;IF(AND($I458&lt;&gt;"",OR($I458&lt;QC_BD_MIN,$I458&gt;QC_BD_MAX)),"Bulk density outside "&amp;QC_BD_MIN&amp;"–"&amp;QC_BD_MAX&amp;" g/cm³. ","")&amp;IF(AND($L458&lt;&gt;"",$L458&gt;QC_CARBON_PCT_MAX),"Carbon above "&amp;QC_CARBON_PCT_MAX&amp;"% — check units; this may be organic matter rather than carbon. ","")&amp;IF(AND($J458&lt;&gt;"",$K458&lt;&gt;""),"Both LOI and measured carbon given — the measured value is used. ","")&amp;IF(AND($N458&lt;&gt;"",$N458=0),"Slice lies entirely below the reporting depth — it counts to the full-core stock only. ",""))</f>
        <v/>
      </c>
      <c r="R458" s="13"/>
    </row>
    <row r="459" customFormat="false" ht="15" hidden="false" customHeight="false" outlineLevel="0" collapsed="false">
      <c r="A459" s="13"/>
      <c r="B459" s="13"/>
      <c r="C459" s="13"/>
      <c r="D459" s="13"/>
      <c r="E459" s="13"/>
      <c r="F459" s="13" t="str">
        <f aca="false">IF(OR($D459="",$E459=""),"",$E459-$D459)</f>
        <v/>
      </c>
      <c r="G459" s="13"/>
      <c r="H459" s="13"/>
      <c r="I459" s="15"/>
      <c r="J459" s="15"/>
      <c r="K459" s="15"/>
      <c r="L459" s="14" t="str">
        <f aca="false">IF($K459&lt;&gt;"",$K459,IF($J459&lt;&gt;"",$J459*CARBON_FRACTION_OM,""))</f>
        <v/>
      </c>
      <c r="M459" s="14" t="n">
        <f aca="false">IF($H459="Fine earth / fine-earth volume",1-IF($G459="",0,$G459)/100,1)</f>
        <v>1</v>
      </c>
      <c r="N459" s="14" t="str">
        <f aca="false">IF(OR($D459="",$E459=""),"",MAX(0,MIN($E459,REPORTING_DEPTH_CM)-MIN($D459,REPORTING_DEPTH_CM)))</f>
        <v/>
      </c>
      <c r="O459" s="14" t="str">
        <f aca="false">IF(OR($I459="",$L459="",$N459=""),"",$I459*($L459/100)*$N459*$M459*10)</f>
        <v/>
      </c>
      <c r="P459" s="14" t="str">
        <f aca="false">IF(OR($I459="",$L459="",$F459=""),"",$I459*($L459/100)*$F459*$M459*10)</f>
        <v/>
      </c>
      <c r="Q459" s="14" t="str">
        <f aca="false">IF(AND($A459="",$B459="",$D459=""),"",IF(AND($B459&lt;&gt;"",COUNTIF('2. Core Log'!$A$5:$A$124,$B459)=0),"Core ID not in Core Log. ","")&amp;IF(AND($A459&lt;&gt;"",COUNTIF('1. Plot &amp; Site Log'!$A$5:$A$64,$A459)=0),"Plot ID not in Plot &amp; Site Log. ","")&amp;IF(AND($D459&lt;&gt;"",$E459&lt;&gt;"",$E459&lt;=$D459),"Bottom depth is not below top depth. ","")&amp;IF($H459="","Say which bulk-density basis the lab reported, or the coarse-fragment correction cannot be applied safely. ","")&amp;IF(AND($I459&lt;&gt;"",OR($I459&lt;QC_BD_MIN,$I459&gt;QC_BD_MAX)),"Bulk density outside "&amp;QC_BD_MIN&amp;"–"&amp;QC_BD_MAX&amp;" g/cm³. ","")&amp;IF(AND($L459&lt;&gt;"",$L459&gt;QC_CARBON_PCT_MAX),"Carbon above "&amp;QC_CARBON_PCT_MAX&amp;"% — check units; this may be organic matter rather than carbon. ","")&amp;IF(AND($J459&lt;&gt;"",$K459&lt;&gt;""),"Both LOI and measured carbon given — the measured value is used. ","")&amp;IF(AND($N459&lt;&gt;"",$N459=0),"Slice lies entirely below the reporting depth — it counts to the full-core stock only. ",""))</f>
        <v/>
      </c>
      <c r="R459" s="13"/>
    </row>
    <row r="460" customFormat="false" ht="15" hidden="false" customHeight="false" outlineLevel="0" collapsed="false">
      <c r="A460" s="13"/>
      <c r="B460" s="13"/>
      <c r="C460" s="13"/>
      <c r="D460" s="13"/>
      <c r="E460" s="13"/>
      <c r="F460" s="13" t="str">
        <f aca="false">IF(OR($D460="",$E460=""),"",$E460-$D460)</f>
        <v/>
      </c>
      <c r="G460" s="13"/>
      <c r="H460" s="13"/>
      <c r="I460" s="15"/>
      <c r="J460" s="15"/>
      <c r="K460" s="15"/>
      <c r="L460" s="14" t="str">
        <f aca="false">IF($K460&lt;&gt;"",$K460,IF($J460&lt;&gt;"",$J460*CARBON_FRACTION_OM,""))</f>
        <v/>
      </c>
      <c r="M460" s="14" t="n">
        <f aca="false">IF($H460="Fine earth / fine-earth volume",1-IF($G460="",0,$G460)/100,1)</f>
        <v>1</v>
      </c>
      <c r="N460" s="14" t="str">
        <f aca="false">IF(OR($D460="",$E460=""),"",MAX(0,MIN($E460,REPORTING_DEPTH_CM)-MIN($D460,REPORTING_DEPTH_CM)))</f>
        <v/>
      </c>
      <c r="O460" s="14" t="str">
        <f aca="false">IF(OR($I460="",$L460="",$N460=""),"",$I460*($L460/100)*$N460*$M460*10)</f>
        <v/>
      </c>
      <c r="P460" s="14" t="str">
        <f aca="false">IF(OR($I460="",$L460="",$F460=""),"",$I460*($L460/100)*$F460*$M460*10)</f>
        <v/>
      </c>
      <c r="Q460" s="14" t="str">
        <f aca="false">IF(AND($A460="",$B460="",$D460=""),"",IF(AND($B460&lt;&gt;"",COUNTIF('2. Core Log'!$A$5:$A$124,$B460)=0),"Core ID not in Core Log. ","")&amp;IF(AND($A460&lt;&gt;"",COUNTIF('1. Plot &amp; Site Log'!$A$5:$A$64,$A460)=0),"Plot ID not in Plot &amp; Site Log. ","")&amp;IF(AND($D460&lt;&gt;"",$E460&lt;&gt;"",$E460&lt;=$D460),"Bottom depth is not below top depth. ","")&amp;IF($H460="","Say which bulk-density basis the lab reported, or the coarse-fragment correction cannot be applied safely. ","")&amp;IF(AND($I460&lt;&gt;"",OR($I460&lt;QC_BD_MIN,$I460&gt;QC_BD_MAX)),"Bulk density outside "&amp;QC_BD_MIN&amp;"–"&amp;QC_BD_MAX&amp;" g/cm³. ","")&amp;IF(AND($L460&lt;&gt;"",$L460&gt;QC_CARBON_PCT_MAX),"Carbon above "&amp;QC_CARBON_PCT_MAX&amp;"% — check units; this may be organic matter rather than carbon. ","")&amp;IF(AND($J460&lt;&gt;"",$K460&lt;&gt;""),"Both LOI and measured carbon given — the measured value is used. ","")&amp;IF(AND($N460&lt;&gt;"",$N460=0),"Slice lies entirely below the reporting depth — it counts to the full-core stock only. ",""))</f>
        <v/>
      </c>
      <c r="R460" s="13"/>
    </row>
    <row r="461" customFormat="false" ht="15" hidden="false" customHeight="false" outlineLevel="0" collapsed="false">
      <c r="A461" s="13"/>
      <c r="B461" s="13"/>
      <c r="C461" s="13"/>
      <c r="D461" s="13"/>
      <c r="E461" s="13"/>
      <c r="F461" s="13" t="str">
        <f aca="false">IF(OR($D461="",$E461=""),"",$E461-$D461)</f>
        <v/>
      </c>
      <c r="G461" s="13"/>
      <c r="H461" s="13"/>
      <c r="I461" s="15"/>
      <c r="J461" s="15"/>
      <c r="K461" s="15"/>
      <c r="L461" s="14" t="str">
        <f aca="false">IF($K461&lt;&gt;"",$K461,IF($J461&lt;&gt;"",$J461*CARBON_FRACTION_OM,""))</f>
        <v/>
      </c>
      <c r="M461" s="14" t="n">
        <f aca="false">IF($H461="Fine earth / fine-earth volume",1-IF($G461="",0,$G461)/100,1)</f>
        <v>1</v>
      </c>
      <c r="N461" s="14" t="str">
        <f aca="false">IF(OR($D461="",$E461=""),"",MAX(0,MIN($E461,REPORTING_DEPTH_CM)-MIN($D461,REPORTING_DEPTH_CM)))</f>
        <v/>
      </c>
      <c r="O461" s="14" t="str">
        <f aca="false">IF(OR($I461="",$L461="",$N461=""),"",$I461*($L461/100)*$N461*$M461*10)</f>
        <v/>
      </c>
      <c r="P461" s="14" t="str">
        <f aca="false">IF(OR($I461="",$L461="",$F461=""),"",$I461*($L461/100)*$F461*$M461*10)</f>
        <v/>
      </c>
      <c r="Q461" s="14" t="str">
        <f aca="false">IF(AND($A461="",$B461="",$D461=""),"",IF(AND($B461&lt;&gt;"",COUNTIF('2. Core Log'!$A$5:$A$124,$B461)=0),"Core ID not in Core Log. ","")&amp;IF(AND($A461&lt;&gt;"",COUNTIF('1. Plot &amp; Site Log'!$A$5:$A$64,$A461)=0),"Plot ID not in Plot &amp; Site Log. ","")&amp;IF(AND($D461&lt;&gt;"",$E461&lt;&gt;"",$E461&lt;=$D461),"Bottom depth is not below top depth. ","")&amp;IF($H461="","Say which bulk-density basis the lab reported, or the coarse-fragment correction cannot be applied safely. ","")&amp;IF(AND($I461&lt;&gt;"",OR($I461&lt;QC_BD_MIN,$I461&gt;QC_BD_MAX)),"Bulk density outside "&amp;QC_BD_MIN&amp;"–"&amp;QC_BD_MAX&amp;" g/cm³. ","")&amp;IF(AND($L461&lt;&gt;"",$L461&gt;QC_CARBON_PCT_MAX),"Carbon above "&amp;QC_CARBON_PCT_MAX&amp;"% — check units; this may be organic matter rather than carbon. ","")&amp;IF(AND($J461&lt;&gt;"",$K461&lt;&gt;""),"Both LOI and measured carbon given — the measured value is used. ","")&amp;IF(AND($N461&lt;&gt;"",$N461=0),"Slice lies entirely below the reporting depth — it counts to the full-core stock only. ",""))</f>
        <v/>
      </c>
      <c r="R461" s="13"/>
    </row>
    <row r="462" customFormat="false" ht="15" hidden="false" customHeight="false" outlineLevel="0" collapsed="false">
      <c r="A462" s="13"/>
      <c r="B462" s="13"/>
      <c r="C462" s="13"/>
      <c r="D462" s="13"/>
      <c r="E462" s="13"/>
      <c r="F462" s="13" t="str">
        <f aca="false">IF(OR($D462="",$E462=""),"",$E462-$D462)</f>
        <v/>
      </c>
      <c r="G462" s="13"/>
      <c r="H462" s="13"/>
      <c r="I462" s="15"/>
      <c r="J462" s="15"/>
      <c r="K462" s="15"/>
      <c r="L462" s="14" t="str">
        <f aca="false">IF($K462&lt;&gt;"",$K462,IF($J462&lt;&gt;"",$J462*CARBON_FRACTION_OM,""))</f>
        <v/>
      </c>
      <c r="M462" s="14" t="n">
        <f aca="false">IF($H462="Fine earth / fine-earth volume",1-IF($G462="",0,$G462)/100,1)</f>
        <v>1</v>
      </c>
      <c r="N462" s="14" t="str">
        <f aca="false">IF(OR($D462="",$E462=""),"",MAX(0,MIN($E462,REPORTING_DEPTH_CM)-MIN($D462,REPORTING_DEPTH_CM)))</f>
        <v/>
      </c>
      <c r="O462" s="14" t="str">
        <f aca="false">IF(OR($I462="",$L462="",$N462=""),"",$I462*($L462/100)*$N462*$M462*10)</f>
        <v/>
      </c>
      <c r="P462" s="14" t="str">
        <f aca="false">IF(OR($I462="",$L462="",$F462=""),"",$I462*($L462/100)*$F462*$M462*10)</f>
        <v/>
      </c>
      <c r="Q462" s="14" t="str">
        <f aca="false">IF(AND($A462="",$B462="",$D462=""),"",IF(AND($B462&lt;&gt;"",COUNTIF('2. Core Log'!$A$5:$A$124,$B462)=0),"Core ID not in Core Log. ","")&amp;IF(AND($A462&lt;&gt;"",COUNTIF('1. Plot &amp; Site Log'!$A$5:$A$64,$A462)=0),"Plot ID not in Plot &amp; Site Log. ","")&amp;IF(AND($D462&lt;&gt;"",$E462&lt;&gt;"",$E462&lt;=$D462),"Bottom depth is not below top depth. ","")&amp;IF($H462="","Say which bulk-density basis the lab reported, or the coarse-fragment correction cannot be applied safely. ","")&amp;IF(AND($I462&lt;&gt;"",OR($I462&lt;QC_BD_MIN,$I462&gt;QC_BD_MAX)),"Bulk density outside "&amp;QC_BD_MIN&amp;"–"&amp;QC_BD_MAX&amp;" g/cm³. ","")&amp;IF(AND($L462&lt;&gt;"",$L462&gt;QC_CARBON_PCT_MAX),"Carbon above "&amp;QC_CARBON_PCT_MAX&amp;"% — check units; this may be organic matter rather than carbon. ","")&amp;IF(AND($J462&lt;&gt;"",$K462&lt;&gt;""),"Both LOI and measured carbon given — the measured value is used. ","")&amp;IF(AND($N462&lt;&gt;"",$N462=0),"Slice lies entirely below the reporting depth — it counts to the full-core stock only. ",""))</f>
        <v/>
      </c>
      <c r="R462" s="13"/>
    </row>
    <row r="463" customFormat="false" ht="15" hidden="false" customHeight="false" outlineLevel="0" collapsed="false">
      <c r="A463" s="13"/>
      <c r="B463" s="13"/>
      <c r="C463" s="13"/>
      <c r="D463" s="13"/>
      <c r="E463" s="13"/>
      <c r="F463" s="13" t="str">
        <f aca="false">IF(OR($D463="",$E463=""),"",$E463-$D463)</f>
        <v/>
      </c>
      <c r="G463" s="13"/>
      <c r="H463" s="13"/>
      <c r="I463" s="15"/>
      <c r="J463" s="15"/>
      <c r="K463" s="15"/>
      <c r="L463" s="14" t="str">
        <f aca="false">IF($K463&lt;&gt;"",$K463,IF($J463&lt;&gt;"",$J463*CARBON_FRACTION_OM,""))</f>
        <v/>
      </c>
      <c r="M463" s="14" t="n">
        <f aca="false">IF($H463="Fine earth / fine-earth volume",1-IF($G463="",0,$G463)/100,1)</f>
        <v>1</v>
      </c>
      <c r="N463" s="14" t="str">
        <f aca="false">IF(OR($D463="",$E463=""),"",MAX(0,MIN($E463,REPORTING_DEPTH_CM)-MIN($D463,REPORTING_DEPTH_CM)))</f>
        <v/>
      </c>
      <c r="O463" s="14" t="str">
        <f aca="false">IF(OR($I463="",$L463="",$N463=""),"",$I463*($L463/100)*$N463*$M463*10)</f>
        <v/>
      </c>
      <c r="P463" s="14" t="str">
        <f aca="false">IF(OR($I463="",$L463="",$F463=""),"",$I463*($L463/100)*$F463*$M463*10)</f>
        <v/>
      </c>
      <c r="Q463" s="14" t="str">
        <f aca="false">IF(AND($A463="",$B463="",$D463=""),"",IF(AND($B463&lt;&gt;"",COUNTIF('2. Core Log'!$A$5:$A$124,$B463)=0),"Core ID not in Core Log. ","")&amp;IF(AND($A463&lt;&gt;"",COUNTIF('1. Plot &amp; Site Log'!$A$5:$A$64,$A463)=0),"Plot ID not in Plot &amp; Site Log. ","")&amp;IF(AND($D463&lt;&gt;"",$E463&lt;&gt;"",$E463&lt;=$D463),"Bottom depth is not below top depth. ","")&amp;IF($H463="","Say which bulk-density basis the lab reported, or the coarse-fragment correction cannot be applied safely. ","")&amp;IF(AND($I463&lt;&gt;"",OR($I463&lt;QC_BD_MIN,$I463&gt;QC_BD_MAX)),"Bulk density outside "&amp;QC_BD_MIN&amp;"–"&amp;QC_BD_MAX&amp;" g/cm³. ","")&amp;IF(AND($L463&lt;&gt;"",$L463&gt;QC_CARBON_PCT_MAX),"Carbon above "&amp;QC_CARBON_PCT_MAX&amp;"% — check units; this may be organic matter rather than carbon. ","")&amp;IF(AND($J463&lt;&gt;"",$K463&lt;&gt;""),"Both LOI and measured carbon given — the measured value is used. ","")&amp;IF(AND($N463&lt;&gt;"",$N463=0),"Slice lies entirely below the reporting depth — it counts to the full-core stock only. ",""))</f>
        <v/>
      </c>
      <c r="R463" s="13"/>
    </row>
    <row r="464" customFormat="false" ht="15" hidden="false" customHeight="false" outlineLevel="0" collapsed="false">
      <c r="A464" s="13"/>
      <c r="B464" s="13"/>
      <c r="C464" s="13"/>
      <c r="D464" s="13"/>
      <c r="E464" s="13"/>
      <c r="F464" s="13" t="str">
        <f aca="false">IF(OR($D464="",$E464=""),"",$E464-$D464)</f>
        <v/>
      </c>
      <c r="G464" s="13"/>
      <c r="H464" s="13"/>
      <c r="I464" s="15"/>
      <c r="J464" s="15"/>
      <c r="K464" s="15"/>
      <c r="L464" s="14" t="str">
        <f aca="false">IF($K464&lt;&gt;"",$K464,IF($J464&lt;&gt;"",$J464*CARBON_FRACTION_OM,""))</f>
        <v/>
      </c>
      <c r="M464" s="14" t="n">
        <f aca="false">IF($H464="Fine earth / fine-earth volume",1-IF($G464="",0,$G464)/100,1)</f>
        <v>1</v>
      </c>
      <c r="N464" s="14" t="str">
        <f aca="false">IF(OR($D464="",$E464=""),"",MAX(0,MIN($E464,REPORTING_DEPTH_CM)-MIN($D464,REPORTING_DEPTH_CM)))</f>
        <v/>
      </c>
      <c r="O464" s="14" t="str">
        <f aca="false">IF(OR($I464="",$L464="",$N464=""),"",$I464*($L464/100)*$N464*$M464*10)</f>
        <v/>
      </c>
      <c r="P464" s="14" t="str">
        <f aca="false">IF(OR($I464="",$L464="",$F464=""),"",$I464*($L464/100)*$F464*$M464*10)</f>
        <v/>
      </c>
      <c r="Q464" s="14" t="str">
        <f aca="false">IF(AND($A464="",$B464="",$D464=""),"",IF(AND($B464&lt;&gt;"",COUNTIF('2. Core Log'!$A$5:$A$124,$B464)=0),"Core ID not in Core Log. ","")&amp;IF(AND($A464&lt;&gt;"",COUNTIF('1. Plot &amp; Site Log'!$A$5:$A$64,$A464)=0),"Plot ID not in Plot &amp; Site Log. ","")&amp;IF(AND($D464&lt;&gt;"",$E464&lt;&gt;"",$E464&lt;=$D464),"Bottom depth is not below top depth. ","")&amp;IF($H464="","Say which bulk-density basis the lab reported, or the coarse-fragment correction cannot be applied safely. ","")&amp;IF(AND($I464&lt;&gt;"",OR($I464&lt;QC_BD_MIN,$I464&gt;QC_BD_MAX)),"Bulk density outside "&amp;QC_BD_MIN&amp;"–"&amp;QC_BD_MAX&amp;" g/cm³. ","")&amp;IF(AND($L464&lt;&gt;"",$L464&gt;QC_CARBON_PCT_MAX),"Carbon above "&amp;QC_CARBON_PCT_MAX&amp;"% — check units; this may be organic matter rather than carbon. ","")&amp;IF(AND($J464&lt;&gt;"",$K464&lt;&gt;""),"Both LOI and measured carbon given — the measured value is used. ","")&amp;IF(AND($N464&lt;&gt;"",$N464=0),"Slice lies entirely below the reporting depth — it counts to the full-core stock only. ",""))</f>
        <v/>
      </c>
      <c r="R464" s="13"/>
    </row>
    <row r="465" customFormat="false" ht="15" hidden="false" customHeight="false" outlineLevel="0" collapsed="false">
      <c r="A465" s="13"/>
      <c r="B465" s="13"/>
      <c r="C465" s="13"/>
      <c r="D465" s="13"/>
      <c r="E465" s="13"/>
      <c r="F465" s="13" t="str">
        <f aca="false">IF(OR($D465="",$E465=""),"",$E465-$D465)</f>
        <v/>
      </c>
      <c r="G465" s="13"/>
      <c r="H465" s="13"/>
      <c r="I465" s="15"/>
      <c r="J465" s="15"/>
      <c r="K465" s="15"/>
      <c r="L465" s="14" t="str">
        <f aca="false">IF($K465&lt;&gt;"",$K465,IF($J465&lt;&gt;"",$J465*CARBON_FRACTION_OM,""))</f>
        <v/>
      </c>
      <c r="M465" s="14" t="n">
        <f aca="false">IF($H465="Fine earth / fine-earth volume",1-IF($G465="",0,$G465)/100,1)</f>
        <v>1</v>
      </c>
      <c r="N465" s="14" t="str">
        <f aca="false">IF(OR($D465="",$E465=""),"",MAX(0,MIN($E465,REPORTING_DEPTH_CM)-MIN($D465,REPORTING_DEPTH_CM)))</f>
        <v/>
      </c>
      <c r="O465" s="14" t="str">
        <f aca="false">IF(OR($I465="",$L465="",$N465=""),"",$I465*($L465/100)*$N465*$M465*10)</f>
        <v/>
      </c>
      <c r="P465" s="14" t="str">
        <f aca="false">IF(OR($I465="",$L465="",$F465=""),"",$I465*($L465/100)*$F465*$M465*10)</f>
        <v/>
      </c>
      <c r="Q465" s="14" t="str">
        <f aca="false">IF(AND($A465="",$B465="",$D465=""),"",IF(AND($B465&lt;&gt;"",COUNTIF('2. Core Log'!$A$5:$A$124,$B465)=0),"Core ID not in Core Log. ","")&amp;IF(AND($A465&lt;&gt;"",COUNTIF('1. Plot &amp; Site Log'!$A$5:$A$64,$A465)=0),"Plot ID not in Plot &amp; Site Log. ","")&amp;IF(AND($D465&lt;&gt;"",$E465&lt;&gt;"",$E465&lt;=$D465),"Bottom depth is not below top depth. ","")&amp;IF($H465="","Say which bulk-density basis the lab reported, or the coarse-fragment correction cannot be applied safely. ","")&amp;IF(AND($I465&lt;&gt;"",OR($I465&lt;QC_BD_MIN,$I465&gt;QC_BD_MAX)),"Bulk density outside "&amp;QC_BD_MIN&amp;"–"&amp;QC_BD_MAX&amp;" g/cm³. ","")&amp;IF(AND($L465&lt;&gt;"",$L465&gt;QC_CARBON_PCT_MAX),"Carbon above "&amp;QC_CARBON_PCT_MAX&amp;"% — check units; this may be organic matter rather than carbon. ","")&amp;IF(AND($J465&lt;&gt;"",$K465&lt;&gt;""),"Both LOI and measured carbon given — the measured value is used. ","")&amp;IF(AND($N465&lt;&gt;"",$N465=0),"Slice lies entirely below the reporting depth — it counts to the full-core stock only. ",""))</f>
        <v/>
      </c>
      <c r="R465" s="13"/>
    </row>
    <row r="466" customFormat="false" ht="15" hidden="false" customHeight="false" outlineLevel="0" collapsed="false">
      <c r="A466" s="13"/>
      <c r="B466" s="13"/>
      <c r="C466" s="13"/>
      <c r="D466" s="13"/>
      <c r="E466" s="13"/>
      <c r="F466" s="13" t="str">
        <f aca="false">IF(OR($D466="",$E466=""),"",$E466-$D466)</f>
        <v/>
      </c>
      <c r="G466" s="13"/>
      <c r="H466" s="13"/>
      <c r="I466" s="15"/>
      <c r="J466" s="15"/>
      <c r="K466" s="15"/>
      <c r="L466" s="14" t="str">
        <f aca="false">IF($K466&lt;&gt;"",$K466,IF($J466&lt;&gt;"",$J466*CARBON_FRACTION_OM,""))</f>
        <v/>
      </c>
      <c r="M466" s="14" t="n">
        <f aca="false">IF($H466="Fine earth / fine-earth volume",1-IF($G466="",0,$G466)/100,1)</f>
        <v>1</v>
      </c>
      <c r="N466" s="14" t="str">
        <f aca="false">IF(OR($D466="",$E466=""),"",MAX(0,MIN($E466,REPORTING_DEPTH_CM)-MIN($D466,REPORTING_DEPTH_CM)))</f>
        <v/>
      </c>
      <c r="O466" s="14" t="str">
        <f aca="false">IF(OR($I466="",$L466="",$N466=""),"",$I466*($L466/100)*$N466*$M466*10)</f>
        <v/>
      </c>
      <c r="P466" s="14" t="str">
        <f aca="false">IF(OR($I466="",$L466="",$F466=""),"",$I466*($L466/100)*$F466*$M466*10)</f>
        <v/>
      </c>
      <c r="Q466" s="14" t="str">
        <f aca="false">IF(AND($A466="",$B466="",$D466=""),"",IF(AND($B466&lt;&gt;"",COUNTIF('2. Core Log'!$A$5:$A$124,$B466)=0),"Core ID not in Core Log. ","")&amp;IF(AND($A466&lt;&gt;"",COUNTIF('1. Plot &amp; Site Log'!$A$5:$A$64,$A466)=0),"Plot ID not in Plot &amp; Site Log. ","")&amp;IF(AND($D466&lt;&gt;"",$E466&lt;&gt;"",$E466&lt;=$D466),"Bottom depth is not below top depth. ","")&amp;IF($H466="","Say which bulk-density basis the lab reported, or the coarse-fragment correction cannot be applied safely. ","")&amp;IF(AND($I466&lt;&gt;"",OR($I466&lt;QC_BD_MIN,$I466&gt;QC_BD_MAX)),"Bulk density outside "&amp;QC_BD_MIN&amp;"–"&amp;QC_BD_MAX&amp;" g/cm³. ","")&amp;IF(AND($L466&lt;&gt;"",$L466&gt;QC_CARBON_PCT_MAX),"Carbon above "&amp;QC_CARBON_PCT_MAX&amp;"% — check units; this may be organic matter rather than carbon. ","")&amp;IF(AND($J466&lt;&gt;"",$K466&lt;&gt;""),"Both LOI and measured carbon given — the measured value is used. ","")&amp;IF(AND($N466&lt;&gt;"",$N466=0),"Slice lies entirely below the reporting depth — it counts to the full-core stock only. ",""))</f>
        <v/>
      </c>
      <c r="R466" s="13"/>
    </row>
    <row r="467" customFormat="false" ht="15" hidden="false" customHeight="false" outlineLevel="0" collapsed="false">
      <c r="A467" s="13"/>
      <c r="B467" s="13"/>
      <c r="C467" s="13"/>
      <c r="D467" s="13"/>
      <c r="E467" s="13"/>
      <c r="F467" s="13" t="str">
        <f aca="false">IF(OR($D467="",$E467=""),"",$E467-$D467)</f>
        <v/>
      </c>
      <c r="G467" s="13"/>
      <c r="H467" s="13"/>
      <c r="I467" s="15"/>
      <c r="J467" s="15"/>
      <c r="K467" s="15"/>
      <c r="L467" s="14" t="str">
        <f aca="false">IF($K467&lt;&gt;"",$K467,IF($J467&lt;&gt;"",$J467*CARBON_FRACTION_OM,""))</f>
        <v/>
      </c>
      <c r="M467" s="14" t="n">
        <f aca="false">IF($H467="Fine earth / fine-earth volume",1-IF($G467="",0,$G467)/100,1)</f>
        <v>1</v>
      </c>
      <c r="N467" s="14" t="str">
        <f aca="false">IF(OR($D467="",$E467=""),"",MAX(0,MIN($E467,REPORTING_DEPTH_CM)-MIN($D467,REPORTING_DEPTH_CM)))</f>
        <v/>
      </c>
      <c r="O467" s="14" t="str">
        <f aca="false">IF(OR($I467="",$L467="",$N467=""),"",$I467*($L467/100)*$N467*$M467*10)</f>
        <v/>
      </c>
      <c r="P467" s="14" t="str">
        <f aca="false">IF(OR($I467="",$L467="",$F467=""),"",$I467*($L467/100)*$F467*$M467*10)</f>
        <v/>
      </c>
      <c r="Q467" s="14" t="str">
        <f aca="false">IF(AND($A467="",$B467="",$D467=""),"",IF(AND($B467&lt;&gt;"",COUNTIF('2. Core Log'!$A$5:$A$124,$B467)=0),"Core ID not in Core Log. ","")&amp;IF(AND($A467&lt;&gt;"",COUNTIF('1. Plot &amp; Site Log'!$A$5:$A$64,$A467)=0),"Plot ID not in Plot &amp; Site Log. ","")&amp;IF(AND($D467&lt;&gt;"",$E467&lt;&gt;"",$E467&lt;=$D467),"Bottom depth is not below top depth. ","")&amp;IF($H467="","Say which bulk-density basis the lab reported, or the coarse-fragment correction cannot be applied safely. ","")&amp;IF(AND($I467&lt;&gt;"",OR($I467&lt;QC_BD_MIN,$I467&gt;QC_BD_MAX)),"Bulk density outside "&amp;QC_BD_MIN&amp;"–"&amp;QC_BD_MAX&amp;" g/cm³. ","")&amp;IF(AND($L467&lt;&gt;"",$L467&gt;QC_CARBON_PCT_MAX),"Carbon above "&amp;QC_CARBON_PCT_MAX&amp;"% — check units; this may be organic matter rather than carbon. ","")&amp;IF(AND($J467&lt;&gt;"",$K467&lt;&gt;""),"Both LOI and measured carbon given — the measured value is used. ","")&amp;IF(AND($N467&lt;&gt;"",$N467=0),"Slice lies entirely below the reporting depth — it counts to the full-core stock only. ",""))</f>
        <v/>
      </c>
      <c r="R467" s="13"/>
    </row>
    <row r="468" customFormat="false" ht="15" hidden="false" customHeight="false" outlineLevel="0" collapsed="false">
      <c r="A468" s="13"/>
      <c r="B468" s="13"/>
      <c r="C468" s="13"/>
      <c r="D468" s="13"/>
      <c r="E468" s="13"/>
      <c r="F468" s="13" t="str">
        <f aca="false">IF(OR($D468="",$E468=""),"",$E468-$D468)</f>
        <v/>
      </c>
      <c r="G468" s="13"/>
      <c r="H468" s="13"/>
      <c r="I468" s="15"/>
      <c r="J468" s="15"/>
      <c r="K468" s="15"/>
      <c r="L468" s="14" t="str">
        <f aca="false">IF($K468&lt;&gt;"",$K468,IF($J468&lt;&gt;"",$J468*CARBON_FRACTION_OM,""))</f>
        <v/>
      </c>
      <c r="M468" s="14" t="n">
        <f aca="false">IF($H468="Fine earth / fine-earth volume",1-IF($G468="",0,$G468)/100,1)</f>
        <v>1</v>
      </c>
      <c r="N468" s="14" t="str">
        <f aca="false">IF(OR($D468="",$E468=""),"",MAX(0,MIN($E468,REPORTING_DEPTH_CM)-MIN($D468,REPORTING_DEPTH_CM)))</f>
        <v/>
      </c>
      <c r="O468" s="14" t="str">
        <f aca="false">IF(OR($I468="",$L468="",$N468=""),"",$I468*($L468/100)*$N468*$M468*10)</f>
        <v/>
      </c>
      <c r="P468" s="14" t="str">
        <f aca="false">IF(OR($I468="",$L468="",$F468=""),"",$I468*($L468/100)*$F468*$M468*10)</f>
        <v/>
      </c>
      <c r="Q468" s="14" t="str">
        <f aca="false">IF(AND($A468="",$B468="",$D468=""),"",IF(AND($B468&lt;&gt;"",COUNTIF('2. Core Log'!$A$5:$A$124,$B468)=0),"Core ID not in Core Log. ","")&amp;IF(AND($A468&lt;&gt;"",COUNTIF('1. Plot &amp; Site Log'!$A$5:$A$64,$A468)=0),"Plot ID not in Plot &amp; Site Log. ","")&amp;IF(AND($D468&lt;&gt;"",$E468&lt;&gt;"",$E468&lt;=$D468),"Bottom depth is not below top depth. ","")&amp;IF($H468="","Say which bulk-density basis the lab reported, or the coarse-fragment correction cannot be applied safely. ","")&amp;IF(AND($I468&lt;&gt;"",OR($I468&lt;QC_BD_MIN,$I468&gt;QC_BD_MAX)),"Bulk density outside "&amp;QC_BD_MIN&amp;"–"&amp;QC_BD_MAX&amp;" g/cm³. ","")&amp;IF(AND($L468&lt;&gt;"",$L468&gt;QC_CARBON_PCT_MAX),"Carbon above "&amp;QC_CARBON_PCT_MAX&amp;"% — check units; this may be organic matter rather than carbon. ","")&amp;IF(AND($J468&lt;&gt;"",$K468&lt;&gt;""),"Both LOI and measured carbon given — the measured value is used. ","")&amp;IF(AND($N468&lt;&gt;"",$N468=0),"Slice lies entirely below the reporting depth — it counts to the full-core stock only. ",""))</f>
        <v/>
      </c>
      <c r="R468" s="13"/>
    </row>
    <row r="469" customFormat="false" ht="15" hidden="false" customHeight="false" outlineLevel="0" collapsed="false">
      <c r="A469" s="13"/>
      <c r="B469" s="13"/>
      <c r="C469" s="13"/>
      <c r="D469" s="13"/>
      <c r="E469" s="13"/>
      <c r="F469" s="13" t="str">
        <f aca="false">IF(OR($D469="",$E469=""),"",$E469-$D469)</f>
        <v/>
      </c>
      <c r="G469" s="13"/>
      <c r="H469" s="13"/>
      <c r="I469" s="15"/>
      <c r="J469" s="15"/>
      <c r="K469" s="15"/>
      <c r="L469" s="14" t="str">
        <f aca="false">IF($K469&lt;&gt;"",$K469,IF($J469&lt;&gt;"",$J469*CARBON_FRACTION_OM,""))</f>
        <v/>
      </c>
      <c r="M469" s="14" t="n">
        <f aca="false">IF($H469="Fine earth / fine-earth volume",1-IF($G469="",0,$G469)/100,1)</f>
        <v>1</v>
      </c>
      <c r="N469" s="14" t="str">
        <f aca="false">IF(OR($D469="",$E469=""),"",MAX(0,MIN($E469,REPORTING_DEPTH_CM)-MIN($D469,REPORTING_DEPTH_CM)))</f>
        <v/>
      </c>
      <c r="O469" s="14" t="str">
        <f aca="false">IF(OR($I469="",$L469="",$N469=""),"",$I469*($L469/100)*$N469*$M469*10)</f>
        <v/>
      </c>
      <c r="P469" s="14" t="str">
        <f aca="false">IF(OR($I469="",$L469="",$F469=""),"",$I469*($L469/100)*$F469*$M469*10)</f>
        <v/>
      </c>
      <c r="Q469" s="14" t="str">
        <f aca="false">IF(AND($A469="",$B469="",$D469=""),"",IF(AND($B469&lt;&gt;"",COUNTIF('2. Core Log'!$A$5:$A$124,$B469)=0),"Core ID not in Core Log. ","")&amp;IF(AND($A469&lt;&gt;"",COUNTIF('1. Plot &amp; Site Log'!$A$5:$A$64,$A469)=0),"Plot ID not in Plot &amp; Site Log. ","")&amp;IF(AND($D469&lt;&gt;"",$E469&lt;&gt;"",$E469&lt;=$D469),"Bottom depth is not below top depth. ","")&amp;IF($H469="","Say which bulk-density basis the lab reported, or the coarse-fragment correction cannot be applied safely. ","")&amp;IF(AND($I469&lt;&gt;"",OR($I469&lt;QC_BD_MIN,$I469&gt;QC_BD_MAX)),"Bulk density outside "&amp;QC_BD_MIN&amp;"–"&amp;QC_BD_MAX&amp;" g/cm³. ","")&amp;IF(AND($L469&lt;&gt;"",$L469&gt;QC_CARBON_PCT_MAX),"Carbon above "&amp;QC_CARBON_PCT_MAX&amp;"% — check units; this may be organic matter rather than carbon. ","")&amp;IF(AND($J469&lt;&gt;"",$K469&lt;&gt;""),"Both LOI and measured carbon given — the measured value is used. ","")&amp;IF(AND($N469&lt;&gt;"",$N469=0),"Slice lies entirely below the reporting depth — it counts to the full-core stock only. ",""))</f>
        <v/>
      </c>
      <c r="R469" s="13"/>
    </row>
    <row r="470" customFormat="false" ht="15" hidden="false" customHeight="false" outlineLevel="0" collapsed="false">
      <c r="A470" s="13"/>
      <c r="B470" s="13"/>
      <c r="C470" s="13"/>
      <c r="D470" s="13"/>
      <c r="E470" s="13"/>
      <c r="F470" s="13" t="str">
        <f aca="false">IF(OR($D470="",$E470=""),"",$E470-$D470)</f>
        <v/>
      </c>
      <c r="G470" s="13"/>
      <c r="H470" s="13"/>
      <c r="I470" s="15"/>
      <c r="J470" s="15"/>
      <c r="K470" s="15"/>
      <c r="L470" s="14" t="str">
        <f aca="false">IF($K470&lt;&gt;"",$K470,IF($J470&lt;&gt;"",$J470*CARBON_FRACTION_OM,""))</f>
        <v/>
      </c>
      <c r="M470" s="14" t="n">
        <f aca="false">IF($H470="Fine earth / fine-earth volume",1-IF($G470="",0,$G470)/100,1)</f>
        <v>1</v>
      </c>
      <c r="N470" s="14" t="str">
        <f aca="false">IF(OR($D470="",$E470=""),"",MAX(0,MIN($E470,REPORTING_DEPTH_CM)-MIN($D470,REPORTING_DEPTH_CM)))</f>
        <v/>
      </c>
      <c r="O470" s="14" t="str">
        <f aca="false">IF(OR($I470="",$L470="",$N470=""),"",$I470*($L470/100)*$N470*$M470*10)</f>
        <v/>
      </c>
      <c r="P470" s="14" t="str">
        <f aca="false">IF(OR($I470="",$L470="",$F470=""),"",$I470*($L470/100)*$F470*$M470*10)</f>
        <v/>
      </c>
      <c r="Q470" s="14" t="str">
        <f aca="false">IF(AND($A470="",$B470="",$D470=""),"",IF(AND($B470&lt;&gt;"",COUNTIF('2. Core Log'!$A$5:$A$124,$B470)=0),"Core ID not in Core Log. ","")&amp;IF(AND($A470&lt;&gt;"",COUNTIF('1. Plot &amp; Site Log'!$A$5:$A$64,$A470)=0),"Plot ID not in Plot &amp; Site Log. ","")&amp;IF(AND($D470&lt;&gt;"",$E470&lt;&gt;"",$E470&lt;=$D470),"Bottom depth is not below top depth. ","")&amp;IF($H470="","Say which bulk-density basis the lab reported, or the coarse-fragment correction cannot be applied safely. ","")&amp;IF(AND($I470&lt;&gt;"",OR($I470&lt;QC_BD_MIN,$I470&gt;QC_BD_MAX)),"Bulk density outside "&amp;QC_BD_MIN&amp;"–"&amp;QC_BD_MAX&amp;" g/cm³. ","")&amp;IF(AND($L470&lt;&gt;"",$L470&gt;QC_CARBON_PCT_MAX),"Carbon above "&amp;QC_CARBON_PCT_MAX&amp;"% — check units; this may be organic matter rather than carbon. ","")&amp;IF(AND($J470&lt;&gt;"",$K470&lt;&gt;""),"Both LOI and measured carbon given — the measured value is used. ","")&amp;IF(AND($N470&lt;&gt;"",$N470=0),"Slice lies entirely below the reporting depth — it counts to the full-core stock only. ",""))</f>
        <v/>
      </c>
      <c r="R470" s="13"/>
    </row>
    <row r="471" customFormat="false" ht="15" hidden="false" customHeight="false" outlineLevel="0" collapsed="false">
      <c r="A471" s="13"/>
      <c r="B471" s="13"/>
      <c r="C471" s="13"/>
      <c r="D471" s="13"/>
      <c r="E471" s="13"/>
      <c r="F471" s="13" t="str">
        <f aca="false">IF(OR($D471="",$E471=""),"",$E471-$D471)</f>
        <v/>
      </c>
      <c r="G471" s="13"/>
      <c r="H471" s="13"/>
      <c r="I471" s="15"/>
      <c r="J471" s="15"/>
      <c r="K471" s="15"/>
      <c r="L471" s="14" t="str">
        <f aca="false">IF($K471&lt;&gt;"",$K471,IF($J471&lt;&gt;"",$J471*CARBON_FRACTION_OM,""))</f>
        <v/>
      </c>
      <c r="M471" s="14" t="n">
        <f aca="false">IF($H471="Fine earth / fine-earth volume",1-IF($G471="",0,$G471)/100,1)</f>
        <v>1</v>
      </c>
      <c r="N471" s="14" t="str">
        <f aca="false">IF(OR($D471="",$E471=""),"",MAX(0,MIN($E471,REPORTING_DEPTH_CM)-MIN($D471,REPORTING_DEPTH_CM)))</f>
        <v/>
      </c>
      <c r="O471" s="14" t="str">
        <f aca="false">IF(OR($I471="",$L471="",$N471=""),"",$I471*($L471/100)*$N471*$M471*10)</f>
        <v/>
      </c>
      <c r="P471" s="14" t="str">
        <f aca="false">IF(OR($I471="",$L471="",$F471=""),"",$I471*($L471/100)*$F471*$M471*10)</f>
        <v/>
      </c>
      <c r="Q471" s="14" t="str">
        <f aca="false">IF(AND($A471="",$B471="",$D471=""),"",IF(AND($B471&lt;&gt;"",COUNTIF('2. Core Log'!$A$5:$A$124,$B471)=0),"Core ID not in Core Log. ","")&amp;IF(AND($A471&lt;&gt;"",COUNTIF('1. Plot &amp; Site Log'!$A$5:$A$64,$A471)=0),"Plot ID not in Plot &amp; Site Log. ","")&amp;IF(AND($D471&lt;&gt;"",$E471&lt;&gt;"",$E471&lt;=$D471),"Bottom depth is not below top depth. ","")&amp;IF($H471="","Say which bulk-density basis the lab reported, or the coarse-fragment correction cannot be applied safely. ","")&amp;IF(AND($I471&lt;&gt;"",OR($I471&lt;QC_BD_MIN,$I471&gt;QC_BD_MAX)),"Bulk density outside "&amp;QC_BD_MIN&amp;"–"&amp;QC_BD_MAX&amp;" g/cm³. ","")&amp;IF(AND($L471&lt;&gt;"",$L471&gt;QC_CARBON_PCT_MAX),"Carbon above "&amp;QC_CARBON_PCT_MAX&amp;"% — check units; this may be organic matter rather than carbon. ","")&amp;IF(AND($J471&lt;&gt;"",$K471&lt;&gt;""),"Both LOI and measured carbon given — the measured value is used. ","")&amp;IF(AND($N471&lt;&gt;"",$N471=0),"Slice lies entirely below the reporting depth — it counts to the full-core stock only. ",""))</f>
        <v/>
      </c>
      <c r="R471" s="13"/>
    </row>
    <row r="472" customFormat="false" ht="15" hidden="false" customHeight="false" outlineLevel="0" collapsed="false">
      <c r="A472" s="13"/>
      <c r="B472" s="13"/>
      <c r="C472" s="13"/>
      <c r="D472" s="13"/>
      <c r="E472" s="13"/>
      <c r="F472" s="13" t="str">
        <f aca="false">IF(OR($D472="",$E472=""),"",$E472-$D472)</f>
        <v/>
      </c>
      <c r="G472" s="13"/>
      <c r="H472" s="13"/>
      <c r="I472" s="15"/>
      <c r="J472" s="15"/>
      <c r="K472" s="15"/>
      <c r="L472" s="14" t="str">
        <f aca="false">IF($K472&lt;&gt;"",$K472,IF($J472&lt;&gt;"",$J472*CARBON_FRACTION_OM,""))</f>
        <v/>
      </c>
      <c r="M472" s="14" t="n">
        <f aca="false">IF($H472="Fine earth / fine-earth volume",1-IF($G472="",0,$G472)/100,1)</f>
        <v>1</v>
      </c>
      <c r="N472" s="14" t="str">
        <f aca="false">IF(OR($D472="",$E472=""),"",MAX(0,MIN($E472,REPORTING_DEPTH_CM)-MIN($D472,REPORTING_DEPTH_CM)))</f>
        <v/>
      </c>
      <c r="O472" s="14" t="str">
        <f aca="false">IF(OR($I472="",$L472="",$N472=""),"",$I472*($L472/100)*$N472*$M472*10)</f>
        <v/>
      </c>
      <c r="P472" s="14" t="str">
        <f aca="false">IF(OR($I472="",$L472="",$F472=""),"",$I472*($L472/100)*$F472*$M472*10)</f>
        <v/>
      </c>
      <c r="Q472" s="14" t="str">
        <f aca="false">IF(AND($A472="",$B472="",$D472=""),"",IF(AND($B472&lt;&gt;"",COUNTIF('2. Core Log'!$A$5:$A$124,$B472)=0),"Core ID not in Core Log. ","")&amp;IF(AND($A472&lt;&gt;"",COUNTIF('1. Plot &amp; Site Log'!$A$5:$A$64,$A472)=0),"Plot ID not in Plot &amp; Site Log. ","")&amp;IF(AND($D472&lt;&gt;"",$E472&lt;&gt;"",$E472&lt;=$D472),"Bottom depth is not below top depth. ","")&amp;IF($H472="","Say which bulk-density basis the lab reported, or the coarse-fragment correction cannot be applied safely. ","")&amp;IF(AND($I472&lt;&gt;"",OR($I472&lt;QC_BD_MIN,$I472&gt;QC_BD_MAX)),"Bulk density outside "&amp;QC_BD_MIN&amp;"–"&amp;QC_BD_MAX&amp;" g/cm³. ","")&amp;IF(AND($L472&lt;&gt;"",$L472&gt;QC_CARBON_PCT_MAX),"Carbon above "&amp;QC_CARBON_PCT_MAX&amp;"% — check units; this may be organic matter rather than carbon. ","")&amp;IF(AND($J472&lt;&gt;"",$K472&lt;&gt;""),"Both LOI and measured carbon given — the measured value is used. ","")&amp;IF(AND($N472&lt;&gt;"",$N472=0),"Slice lies entirely below the reporting depth — it counts to the full-core stock only. ",""))</f>
        <v/>
      </c>
      <c r="R472" s="13"/>
    </row>
    <row r="473" customFormat="false" ht="15" hidden="false" customHeight="false" outlineLevel="0" collapsed="false">
      <c r="A473" s="13"/>
      <c r="B473" s="13"/>
      <c r="C473" s="13"/>
      <c r="D473" s="13"/>
      <c r="E473" s="13"/>
      <c r="F473" s="13" t="str">
        <f aca="false">IF(OR($D473="",$E473=""),"",$E473-$D473)</f>
        <v/>
      </c>
      <c r="G473" s="13"/>
      <c r="H473" s="13"/>
      <c r="I473" s="15"/>
      <c r="J473" s="15"/>
      <c r="K473" s="15"/>
      <c r="L473" s="14" t="str">
        <f aca="false">IF($K473&lt;&gt;"",$K473,IF($J473&lt;&gt;"",$J473*CARBON_FRACTION_OM,""))</f>
        <v/>
      </c>
      <c r="M473" s="14" t="n">
        <f aca="false">IF($H473="Fine earth / fine-earth volume",1-IF($G473="",0,$G473)/100,1)</f>
        <v>1</v>
      </c>
      <c r="N473" s="14" t="str">
        <f aca="false">IF(OR($D473="",$E473=""),"",MAX(0,MIN($E473,REPORTING_DEPTH_CM)-MIN($D473,REPORTING_DEPTH_CM)))</f>
        <v/>
      </c>
      <c r="O473" s="14" t="str">
        <f aca="false">IF(OR($I473="",$L473="",$N473=""),"",$I473*($L473/100)*$N473*$M473*10)</f>
        <v/>
      </c>
      <c r="P473" s="14" t="str">
        <f aca="false">IF(OR($I473="",$L473="",$F473=""),"",$I473*($L473/100)*$F473*$M473*10)</f>
        <v/>
      </c>
      <c r="Q473" s="14" t="str">
        <f aca="false">IF(AND($A473="",$B473="",$D473=""),"",IF(AND($B473&lt;&gt;"",COUNTIF('2. Core Log'!$A$5:$A$124,$B473)=0),"Core ID not in Core Log. ","")&amp;IF(AND($A473&lt;&gt;"",COUNTIF('1. Plot &amp; Site Log'!$A$5:$A$64,$A473)=0),"Plot ID not in Plot &amp; Site Log. ","")&amp;IF(AND($D473&lt;&gt;"",$E473&lt;&gt;"",$E473&lt;=$D473),"Bottom depth is not below top depth. ","")&amp;IF($H473="","Say which bulk-density basis the lab reported, or the coarse-fragment correction cannot be applied safely. ","")&amp;IF(AND($I473&lt;&gt;"",OR($I473&lt;QC_BD_MIN,$I473&gt;QC_BD_MAX)),"Bulk density outside "&amp;QC_BD_MIN&amp;"–"&amp;QC_BD_MAX&amp;" g/cm³. ","")&amp;IF(AND($L473&lt;&gt;"",$L473&gt;QC_CARBON_PCT_MAX),"Carbon above "&amp;QC_CARBON_PCT_MAX&amp;"% — check units; this may be organic matter rather than carbon. ","")&amp;IF(AND($J473&lt;&gt;"",$K473&lt;&gt;""),"Both LOI and measured carbon given — the measured value is used. ","")&amp;IF(AND($N473&lt;&gt;"",$N473=0),"Slice lies entirely below the reporting depth — it counts to the full-core stock only. ",""))</f>
        <v/>
      </c>
      <c r="R473" s="13"/>
    </row>
    <row r="474" customFormat="false" ht="15" hidden="false" customHeight="false" outlineLevel="0" collapsed="false">
      <c r="A474" s="13"/>
      <c r="B474" s="13"/>
      <c r="C474" s="13"/>
      <c r="D474" s="13"/>
      <c r="E474" s="13"/>
      <c r="F474" s="13" t="str">
        <f aca="false">IF(OR($D474="",$E474=""),"",$E474-$D474)</f>
        <v/>
      </c>
      <c r="G474" s="13"/>
      <c r="H474" s="13"/>
      <c r="I474" s="15"/>
      <c r="J474" s="15"/>
      <c r="K474" s="15"/>
      <c r="L474" s="14" t="str">
        <f aca="false">IF($K474&lt;&gt;"",$K474,IF($J474&lt;&gt;"",$J474*CARBON_FRACTION_OM,""))</f>
        <v/>
      </c>
      <c r="M474" s="14" t="n">
        <f aca="false">IF($H474="Fine earth / fine-earth volume",1-IF($G474="",0,$G474)/100,1)</f>
        <v>1</v>
      </c>
      <c r="N474" s="14" t="str">
        <f aca="false">IF(OR($D474="",$E474=""),"",MAX(0,MIN($E474,REPORTING_DEPTH_CM)-MIN($D474,REPORTING_DEPTH_CM)))</f>
        <v/>
      </c>
      <c r="O474" s="14" t="str">
        <f aca="false">IF(OR($I474="",$L474="",$N474=""),"",$I474*($L474/100)*$N474*$M474*10)</f>
        <v/>
      </c>
      <c r="P474" s="14" t="str">
        <f aca="false">IF(OR($I474="",$L474="",$F474=""),"",$I474*($L474/100)*$F474*$M474*10)</f>
        <v/>
      </c>
      <c r="Q474" s="14" t="str">
        <f aca="false">IF(AND($A474="",$B474="",$D474=""),"",IF(AND($B474&lt;&gt;"",COUNTIF('2. Core Log'!$A$5:$A$124,$B474)=0),"Core ID not in Core Log. ","")&amp;IF(AND($A474&lt;&gt;"",COUNTIF('1. Plot &amp; Site Log'!$A$5:$A$64,$A474)=0),"Plot ID not in Plot &amp; Site Log. ","")&amp;IF(AND($D474&lt;&gt;"",$E474&lt;&gt;"",$E474&lt;=$D474),"Bottom depth is not below top depth. ","")&amp;IF($H474="","Say which bulk-density basis the lab reported, or the coarse-fragment correction cannot be applied safely. ","")&amp;IF(AND($I474&lt;&gt;"",OR($I474&lt;QC_BD_MIN,$I474&gt;QC_BD_MAX)),"Bulk density outside "&amp;QC_BD_MIN&amp;"–"&amp;QC_BD_MAX&amp;" g/cm³. ","")&amp;IF(AND($L474&lt;&gt;"",$L474&gt;QC_CARBON_PCT_MAX),"Carbon above "&amp;QC_CARBON_PCT_MAX&amp;"% — check units; this may be organic matter rather than carbon. ","")&amp;IF(AND($J474&lt;&gt;"",$K474&lt;&gt;""),"Both LOI and measured carbon given — the measured value is used. ","")&amp;IF(AND($N474&lt;&gt;"",$N474=0),"Slice lies entirely below the reporting depth — it counts to the full-core stock only. ",""))</f>
        <v/>
      </c>
      <c r="R474" s="13"/>
    </row>
    <row r="475" customFormat="false" ht="15" hidden="false" customHeight="false" outlineLevel="0" collapsed="false">
      <c r="A475" s="13"/>
      <c r="B475" s="13"/>
      <c r="C475" s="13"/>
      <c r="D475" s="13"/>
      <c r="E475" s="13"/>
      <c r="F475" s="13" t="str">
        <f aca="false">IF(OR($D475="",$E475=""),"",$E475-$D475)</f>
        <v/>
      </c>
      <c r="G475" s="13"/>
      <c r="H475" s="13"/>
      <c r="I475" s="15"/>
      <c r="J475" s="15"/>
      <c r="K475" s="15"/>
      <c r="L475" s="14" t="str">
        <f aca="false">IF($K475&lt;&gt;"",$K475,IF($J475&lt;&gt;"",$J475*CARBON_FRACTION_OM,""))</f>
        <v/>
      </c>
      <c r="M475" s="14" t="n">
        <f aca="false">IF($H475="Fine earth / fine-earth volume",1-IF($G475="",0,$G475)/100,1)</f>
        <v>1</v>
      </c>
      <c r="N475" s="14" t="str">
        <f aca="false">IF(OR($D475="",$E475=""),"",MAX(0,MIN($E475,REPORTING_DEPTH_CM)-MIN($D475,REPORTING_DEPTH_CM)))</f>
        <v/>
      </c>
      <c r="O475" s="14" t="str">
        <f aca="false">IF(OR($I475="",$L475="",$N475=""),"",$I475*($L475/100)*$N475*$M475*10)</f>
        <v/>
      </c>
      <c r="P475" s="14" t="str">
        <f aca="false">IF(OR($I475="",$L475="",$F475=""),"",$I475*($L475/100)*$F475*$M475*10)</f>
        <v/>
      </c>
      <c r="Q475" s="14" t="str">
        <f aca="false">IF(AND($A475="",$B475="",$D475=""),"",IF(AND($B475&lt;&gt;"",COUNTIF('2. Core Log'!$A$5:$A$124,$B475)=0),"Core ID not in Core Log. ","")&amp;IF(AND($A475&lt;&gt;"",COUNTIF('1. Plot &amp; Site Log'!$A$5:$A$64,$A475)=0),"Plot ID not in Plot &amp; Site Log. ","")&amp;IF(AND($D475&lt;&gt;"",$E475&lt;&gt;"",$E475&lt;=$D475),"Bottom depth is not below top depth. ","")&amp;IF($H475="","Say which bulk-density basis the lab reported, or the coarse-fragment correction cannot be applied safely. ","")&amp;IF(AND($I475&lt;&gt;"",OR($I475&lt;QC_BD_MIN,$I475&gt;QC_BD_MAX)),"Bulk density outside "&amp;QC_BD_MIN&amp;"–"&amp;QC_BD_MAX&amp;" g/cm³. ","")&amp;IF(AND($L475&lt;&gt;"",$L475&gt;QC_CARBON_PCT_MAX),"Carbon above "&amp;QC_CARBON_PCT_MAX&amp;"% — check units; this may be organic matter rather than carbon. ","")&amp;IF(AND($J475&lt;&gt;"",$K475&lt;&gt;""),"Both LOI and measured carbon given — the measured value is used. ","")&amp;IF(AND($N475&lt;&gt;"",$N475=0),"Slice lies entirely below the reporting depth — it counts to the full-core stock only. ",""))</f>
        <v/>
      </c>
      <c r="R475" s="13"/>
    </row>
    <row r="476" customFormat="false" ht="15" hidden="false" customHeight="false" outlineLevel="0" collapsed="false">
      <c r="A476" s="13"/>
      <c r="B476" s="13"/>
      <c r="C476" s="13"/>
      <c r="D476" s="13"/>
      <c r="E476" s="13"/>
      <c r="F476" s="13" t="str">
        <f aca="false">IF(OR($D476="",$E476=""),"",$E476-$D476)</f>
        <v/>
      </c>
      <c r="G476" s="13"/>
      <c r="H476" s="13"/>
      <c r="I476" s="15"/>
      <c r="J476" s="15"/>
      <c r="K476" s="15"/>
      <c r="L476" s="14" t="str">
        <f aca="false">IF($K476&lt;&gt;"",$K476,IF($J476&lt;&gt;"",$J476*CARBON_FRACTION_OM,""))</f>
        <v/>
      </c>
      <c r="M476" s="14" t="n">
        <f aca="false">IF($H476="Fine earth / fine-earth volume",1-IF($G476="",0,$G476)/100,1)</f>
        <v>1</v>
      </c>
      <c r="N476" s="14" t="str">
        <f aca="false">IF(OR($D476="",$E476=""),"",MAX(0,MIN($E476,REPORTING_DEPTH_CM)-MIN($D476,REPORTING_DEPTH_CM)))</f>
        <v/>
      </c>
      <c r="O476" s="14" t="str">
        <f aca="false">IF(OR($I476="",$L476="",$N476=""),"",$I476*($L476/100)*$N476*$M476*10)</f>
        <v/>
      </c>
      <c r="P476" s="14" t="str">
        <f aca="false">IF(OR($I476="",$L476="",$F476=""),"",$I476*($L476/100)*$F476*$M476*10)</f>
        <v/>
      </c>
      <c r="Q476" s="14" t="str">
        <f aca="false">IF(AND($A476="",$B476="",$D476=""),"",IF(AND($B476&lt;&gt;"",COUNTIF('2. Core Log'!$A$5:$A$124,$B476)=0),"Core ID not in Core Log. ","")&amp;IF(AND($A476&lt;&gt;"",COUNTIF('1. Plot &amp; Site Log'!$A$5:$A$64,$A476)=0),"Plot ID not in Plot &amp; Site Log. ","")&amp;IF(AND($D476&lt;&gt;"",$E476&lt;&gt;"",$E476&lt;=$D476),"Bottom depth is not below top depth. ","")&amp;IF($H476="","Say which bulk-density basis the lab reported, or the coarse-fragment correction cannot be applied safely. ","")&amp;IF(AND($I476&lt;&gt;"",OR($I476&lt;QC_BD_MIN,$I476&gt;QC_BD_MAX)),"Bulk density outside "&amp;QC_BD_MIN&amp;"–"&amp;QC_BD_MAX&amp;" g/cm³. ","")&amp;IF(AND($L476&lt;&gt;"",$L476&gt;QC_CARBON_PCT_MAX),"Carbon above "&amp;QC_CARBON_PCT_MAX&amp;"% — check units; this may be organic matter rather than carbon. ","")&amp;IF(AND($J476&lt;&gt;"",$K476&lt;&gt;""),"Both LOI and measured carbon given — the measured value is used. ","")&amp;IF(AND($N476&lt;&gt;"",$N476=0),"Slice lies entirely below the reporting depth — it counts to the full-core stock only. ",""))</f>
        <v/>
      </c>
      <c r="R476" s="13"/>
    </row>
    <row r="477" customFormat="false" ht="15" hidden="false" customHeight="false" outlineLevel="0" collapsed="false">
      <c r="A477" s="13"/>
      <c r="B477" s="13"/>
      <c r="C477" s="13"/>
      <c r="D477" s="13"/>
      <c r="E477" s="13"/>
      <c r="F477" s="13" t="str">
        <f aca="false">IF(OR($D477="",$E477=""),"",$E477-$D477)</f>
        <v/>
      </c>
      <c r="G477" s="13"/>
      <c r="H477" s="13"/>
      <c r="I477" s="15"/>
      <c r="J477" s="15"/>
      <c r="K477" s="15"/>
      <c r="L477" s="14" t="str">
        <f aca="false">IF($K477&lt;&gt;"",$K477,IF($J477&lt;&gt;"",$J477*CARBON_FRACTION_OM,""))</f>
        <v/>
      </c>
      <c r="M477" s="14" t="n">
        <f aca="false">IF($H477="Fine earth / fine-earth volume",1-IF($G477="",0,$G477)/100,1)</f>
        <v>1</v>
      </c>
      <c r="N477" s="14" t="str">
        <f aca="false">IF(OR($D477="",$E477=""),"",MAX(0,MIN($E477,REPORTING_DEPTH_CM)-MIN($D477,REPORTING_DEPTH_CM)))</f>
        <v/>
      </c>
      <c r="O477" s="14" t="str">
        <f aca="false">IF(OR($I477="",$L477="",$N477=""),"",$I477*($L477/100)*$N477*$M477*10)</f>
        <v/>
      </c>
      <c r="P477" s="14" t="str">
        <f aca="false">IF(OR($I477="",$L477="",$F477=""),"",$I477*($L477/100)*$F477*$M477*10)</f>
        <v/>
      </c>
      <c r="Q477" s="14" t="str">
        <f aca="false">IF(AND($A477="",$B477="",$D477=""),"",IF(AND($B477&lt;&gt;"",COUNTIF('2. Core Log'!$A$5:$A$124,$B477)=0),"Core ID not in Core Log. ","")&amp;IF(AND($A477&lt;&gt;"",COUNTIF('1. Plot &amp; Site Log'!$A$5:$A$64,$A477)=0),"Plot ID not in Plot &amp; Site Log. ","")&amp;IF(AND($D477&lt;&gt;"",$E477&lt;&gt;"",$E477&lt;=$D477),"Bottom depth is not below top depth. ","")&amp;IF($H477="","Say which bulk-density basis the lab reported, or the coarse-fragment correction cannot be applied safely. ","")&amp;IF(AND($I477&lt;&gt;"",OR($I477&lt;QC_BD_MIN,$I477&gt;QC_BD_MAX)),"Bulk density outside "&amp;QC_BD_MIN&amp;"–"&amp;QC_BD_MAX&amp;" g/cm³. ","")&amp;IF(AND($L477&lt;&gt;"",$L477&gt;QC_CARBON_PCT_MAX),"Carbon above "&amp;QC_CARBON_PCT_MAX&amp;"% — check units; this may be organic matter rather than carbon. ","")&amp;IF(AND($J477&lt;&gt;"",$K477&lt;&gt;""),"Both LOI and measured carbon given — the measured value is used. ","")&amp;IF(AND($N477&lt;&gt;"",$N477=0),"Slice lies entirely below the reporting depth — it counts to the full-core stock only. ",""))</f>
        <v/>
      </c>
      <c r="R477" s="13"/>
    </row>
    <row r="478" customFormat="false" ht="15" hidden="false" customHeight="false" outlineLevel="0" collapsed="false">
      <c r="A478" s="13"/>
      <c r="B478" s="13"/>
      <c r="C478" s="13"/>
      <c r="D478" s="13"/>
      <c r="E478" s="13"/>
      <c r="F478" s="13" t="str">
        <f aca="false">IF(OR($D478="",$E478=""),"",$E478-$D478)</f>
        <v/>
      </c>
      <c r="G478" s="13"/>
      <c r="H478" s="13"/>
      <c r="I478" s="15"/>
      <c r="J478" s="15"/>
      <c r="K478" s="15"/>
      <c r="L478" s="14" t="str">
        <f aca="false">IF($K478&lt;&gt;"",$K478,IF($J478&lt;&gt;"",$J478*CARBON_FRACTION_OM,""))</f>
        <v/>
      </c>
      <c r="M478" s="14" t="n">
        <f aca="false">IF($H478="Fine earth / fine-earth volume",1-IF($G478="",0,$G478)/100,1)</f>
        <v>1</v>
      </c>
      <c r="N478" s="14" t="str">
        <f aca="false">IF(OR($D478="",$E478=""),"",MAX(0,MIN($E478,REPORTING_DEPTH_CM)-MIN($D478,REPORTING_DEPTH_CM)))</f>
        <v/>
      </c>
      <c r="O478" s="14" t="str">
        <f aca="false">IF(OR($I478="",$L478="",$N478=""),"",$I478*($L478/100)*$N478*$M478*10)</f>
        <v/>
      </c>
      <c r="P478" s="14" t="str">
        <f aca="false">IF(OR($I478="",$L478="",$F478=""),"",$I478*($L478/100)*$F478*$M478*10)</f>
        <v/>
      </c>
      <c r="Q478" s="14" t="str">
        <f aca="false">IF(AND($A478="",$B478="",$D478=""),"",IF(AND($B478&lt;&gt;"",COUNTIF('2. Core Log'!$A$5:$A$124,$B478)=0),"Core ID not in Core Log. ","")&amp;IF(AND($A478&lt;&gt;"",COUNTIF('1. Plot &amp; Site Log'!$A$5:$A$64,$A478)=0),"Plot ID not in Plot &amp; Site Log. ","")&amp;IF(AND($D478&lt;&gt;"",$E478&lt;&gt;"",$E478&lt;=$D478),"Bottom depth is not below top depth. ","")&amp;IF($H478="","Say which bulk-density basis the lab reported, or the coarse-fragment correction cannot be applied safely. ","")&amp;IF(AND($I478&lt;&gt;"",OR($I478&lt;QC_BD_MIN,$I478&gt;QC_BD_MAX)),"Bulk density outside "&amp;QC_BD_MIN&amp;"–"&amp;QC_BD_MAX&amp;" g/cm³. ","")&amp;IF(AND($L478&lt;&gt;"",$L478&gt;QC_CARBON_PCT_MAX),"Carbon above "&amp;QC_CARBON_PCT_MAX&amp;"% — check units; this may be organic matter rather than carbon. ","")&amp;IF(AND($J478&lt;&gt;"",$K478&lt;&gt;""),"Both LOI and measured carbon given — the measured value is used. ","")&amp;IF(AND($N478&lt;&gt;"",$N478=0),"Slice lies entirely below the reporting depth — it counts to the full-core stock only. ",""))</f>
        <v/>
      </c>
      <c r="R478" s="13"/>
    </row>
    <row r="479" customFormat="false" ht="15" hidden="false" customHeight="false" outlineLevel="0" collapsed="false">
      <c r="A479" s="13"/>
      <c r="B479" s="13"/>
      <c r="C479" s="13"/>
      <c r="D479" s="13"/>
      <c r="E479" s="13"/>
      <c r="F479" s="13" t="str">
        <f aca="false">IF(OR($D479="",$E479=""),"",$E479-$D479)</f>
        <v/>
      </c>
      <c r="G479" s="13"/>
      <c r="H479" s="13"/>
      <c r="I479" s="15"/>
      <c r="J479" s="15"/>
      <c r="K479" s="15"/>
      <c r="L479" s="14" t="str">
        <f aca="false">IF($K479&lt;&gt;"",$K479,IF($J479&lt;&gt;"",$J479*CARBON_FRACTION_OM,""))</f>
        <v/>
      </c>
      <c r="M479" s="14" t="n">
        <f aca="false">IF($H479="Fine earth / fine-earth volume",1-IF($G479="",0,$G479)/100,1)</f>
        <v>1</v>
      </c>
      <c r="N479" s="14" t="str">
        <f aca="false">IF(OR($D479="",$E479=""),"",MAX(0,MIN($E479,REPORTING_DEPTH_CM)-MIN($D479,REPORTING_DEPTH_CM)))</f>
        <v/>
      </c>
      <c r="O479" s="14" t="str">
        <f aca="false">IF(OR($I479="",$L479="",$N479=""),"",$I479*($L479/100)*$N479*$M479*10)</f>
        <v/>
      </c>
      <c r="P479" s="14" t="str">
        <f aca="false">IF(OR($I479="",$L479="",$F479=""),"",$I479*($L479/100)*$F479*$M479*10)</f>
        <v/>
      </c>
      <c r="Q479" s="14" t="str">
        <f aca="false">IF(AND($A479="",$B479="",$D479=""),"",IF(AND($B479&lt;&gt;"",COUNTIF('2. Core Log'!$A$5:$A$124,$B479)=0),"Core ID not in Core Log. ","")&amp;IF(AND($A479&lt;&gt;"",COUNTIF('1. Plot &amp; Site Log'!$A$5:$A$64,$A479)=0),"Plot ID not in Plot &amp; Site Log. ","")&amp;IF(AND($D479&lt;&gt;"",$E479&lt;&gt;"",$E479&lt;=$D479),"Bottom depth is not below top depth. ","")&amp;IF($H479="","Say which bulk-density basis the lab reported, or the coarse-fragment correction cannot be applied safely. ","")&amp;IF(AND($I479&lt;&gt;"",OR($I479&lt;QC_BD_MIN,$I479&gt;QC_BD_MAX)),"Bulk density outside "&amp;QC_BD_MIN&amp;"–"&amp;QC_BD_MAX&amp;" g/cm³. ","")&amp;IF(AND($L479&lt;&gt;"",$L479&gt;QC_CARBON_PCT_MAX),"Carbon above "&amp;QC_CARBON_PCT_MAX&amp;"% — check units; this may be organic matter rather than carbon. ","")&amp;IF(AND($J479&lt;&gt;"",$K479&lt;&gt;""),"Both LOI and measured carbon given — the measured value is used. ","")&amp;IF(AND($N479&lt;&gt;"",$N479=0),"Slice lies entirely below the reporting depth — it counts to the full-core stock only. ",""))</f>
        <v/>
      </c>
      <c r="R479" s="13"/>
    </row>
    <row r="480" customFormat="false" ht="15" hidden="false" customHeight="false" outlineLevel="0" collapsed="false">
      <c r="A480" s="13"/>
      <c r="B480" s="13"/>
      <c r="C480" s="13"/>
      <c r="D480" s="13"/>
      <c r="E480" s="13"/>
      <c r="F480" s="13" t="str">
        <f aca="false">IF(OR($D480="",$E480=""),"",$E480-$D480)</f>
        <v/>
      </c>
      <c r="G480" s="13"/>
      <c r="H480" s="13"/>
      <c r="I480" s="15"/>
      <c r="J480" s="15"/>
      <c r="K480" s="15"/>
      <c r="L480" s="14" t="str">
        <f aca="false">IF($K480&lt;&gt;"",$K480,IF($J480&lt;&gt;"",$J480*CARBON_FRACTION_OM,""))</f>
        <v/>
      </c>
      <c r="M480" s="14" t="n">
        <f aca="false">IF($H480="Fine earth / fine-earth volume",1-IF($G480="",0,$G480)/100,1)</f>
        <v>1</v>
      </c>
      <c r="N480" s="14" t="str">
        <f aca="false">IF(OR($D480="",$E480=""),"",MAX(0,MIN($E480,REPORTING_DEPTH_CM)-MIN($D480,REPORTING_DEPTH_CM)))</f>
        <v/>
      </c>
      <c r="O480" s="14" t="str">
        <f aca="false">IF(OR($I480="",$L480="",$N480=""),"",$I480*($L480/100)*$N480*$M480*10)</f>
        <v/>
      </c>
      <c r="P480" s="14" t="str">
        <f aca="false">IF(OR($I480="",$L480="",$F480=""),"",$I480*($L480/100)*$F480*$M480*10)</f>
        <v/>
      </c>
      <c r="Q480" s="14" t="str">
        <f aca="false">IF(AND($A480="",$B480="",$D480=""),"",IF(AND($B480&lt;&gt;"",COUNTIF('2. Core Log'!$A$5:$A$124,$B480)=0),"Core ID not in Core Log. ","")&amp;IF(AND($A480&lt;&gt;"",COUNTIF('1. Plot &amp; Site Log'!$A$5:$A$64,$A480)=0),"Plot ID not in Plot &amp; Site Log. ","")&amp;IF(AND($D480&lt;&gt;"",$E480&lt;&gt;"",$E480&lt;=$D480),"Bottom depth is not below top depth. ","")&amp;IF($H480="","Say which bulk-density basis the lab reported, or the coarse-fragment correction cannot be applied safely. ","")&amp;IF(AND($I480&lt;&gt;"",OR($I480&lt;QC_BD_MIN,$I480&gt;QC_BD_MAX)),"Bulk density outside "&amp;QC_BD_MIN&amp;"–"&amp;QC_BD_MAX&amp;" g/cm³. ","")&amp;IF(AND($L480&lt;&gt;"",$L480&gt;QC_CARBON_PCT_MAX),"Carbon above "&amp;QC_CARBON_PCT_MAX&amp;"% — check units; this may be organic matter rather than carbon. ","")&amp;IF(AND($J480&lt;&gt;"",$K480&lt;&gt;""),"Both LOI and measured carbon given — the measured value is used. ","")&amp;IF(AND($N480&lt;&gt;"",$N480=0),"Slice lies entirely below the reporting depth — it counts to the full-core stock only. ",""))</f>
        <v/>
      </c>
      <c r="R480" s="13"/>
    </row>
    <row r="481" customFormat="false" ht="15" hidden="false" customHeight="false" outlineLevel="0" collapsed="false">
      <c r="A481" s="13"/>
      <c r="B481" s="13"/>
      <c r="C481" s="13"/>
      <c r="D481" s="13"/>
      <c r="E481" s="13"/>
      <c r="F481" s="13" t="str">
        <f aca="false">IF(OR($D481="",$E481=""),"",$E481-$D481)</f>
        <v/>
      </c>
      <c r="G481" s="13"/>
      <c r="H481" s="13"/>
      <c r="I481" s="15"/>
      <c r="J481" s="15"/>
      <c r="K481" s="15"/>
      <c r="L481" s="14" t="str">
        <f aca="false">IF($K481&lt;&gt;"",$K481,IF($J481&lt;&gt;"",$J481*CARBON_FRACTION_OM,""))</f>
        <v/>
      </c>
      <c r="M481" s="14" t="n">
        <f aca="false">IF($H481="Fine earth / fine-earth volume",1-IF($G481="",0,$G481)/100,1)</f>
        <v>1</v>
      </c>
      <c r="N481" s="14" t="str">
        <f aca="false">IF(OR($D481="",$E481=""),"",MAX(0,MIN($E481,REPORTING_DEPTH_CM)-MIN($D481,REPORTING_DEPTH_CM)))</f>
        <v/>
      </c>
      <c r="O481" s="14" t="str">
        <f aca="false">IF(OR($I481="",$L481="",$N481=""),"",$I481*($L481/100)*$N481*$M481*10)</f>
        <v/>
      </c>
      <c r="P481" s="14" t="str">
        <f aca="false">IF(OR($I481="",$L481="",$F481=""),"",$I481*($L481/100)*$F481*$M481*10)</f>
        <v/>
      </c>
      <c r="Q481" s="14" t="str">
        <f aca="false">IF(AND($A481="",$B481="",$D481=""),"",IF(AND($B481&lt;&gt;"",COUNTIF('2. Core Log'!$A$5:$A$124,$B481)=0),"Core ID not in Core Log. ","")&amp;IF(AND($A481&lt;&gt;"",COUNTIF('1. Plot &amp; Site Log'!$A$5:$A$64,$A481)=0),"Plot ID not in Plot &amp; Site Log. ","")&amp;IF(AND($D481&lt;&gt;"",$E481&lt;&gt;"",$E481&lt;=$D481),"Bottom depth is not below top depth. ","")&amp;IF($H481="","Say which bulk-density basis the lab reported, or the coarse-fragment correction cannot be applied safely. ","")&amp;IF(AND($I481&lt;&gt;"",OR($I481&lt;QC_BD_MIN,$I481&gt;QC_BD_MAX)),"Bulk density outside "&amp;QC_BD_MIN&amp;"–"&amp;QC_BD_MAX&amp;" g/cm³. ","")&amp;IF(AND($L481&lt;&gt;"",$L481&gt;QC_CARBON_PCT_MAX),"Carbon above "&amp;QC_CARBON_PCT_MAX&amp;"% — check units; this may be organic matter rather than carbon. ","")&amp;IF(AND($J481&lt;&gt;"",$K481&lt;&gt;""),"Both LOI and measured carbon given — the measured value is used. ","")&amp;IF(AND($N481&lt;&gt;"",$N481=0),"Slice lies entirely below the reporting depth — it counts to the full-core stock only. ",""))</f>
        <v/>
      </c>
      <c r="R481" s="13"/>
    </row>
    <row r="482" customFormat="false" ht="15" hidden="false" customHeight="false" outlineLevel="0" collapsed="false">
      <c r="A482" s="13"/>
      <c r="B482" s="13"/>
      <c r="C482" s="13"/>
      <c r="D482" s="13"/>
      <c r="E482" s="13"/>
      <c r="F482" s="13" t="str">
        <f aca="false">IF(OR($D482="",$E482=""),"",$E482-$D482)</f>
        <v/>
      </c>
      <c r="G482" s="13"/>
      <c r="H482" s="13"/>
      <c r="I482" s="15"/>
      <c r="J482" s="15"/>
      <c r="K482" s="15"/>
      <c r="L482" s="14" t="str">
        <f aca="false">IF($K482&lt;&gt;"",$K482,IF($J482&lt;&gt;"",$J482*CARBON_FRACTION_OM,""))</f>
        <v/>
      </c>
      <c r="M482" s="14" t="n">
        <f aca="false">IF($H482="Fine earth / fine-earth volume",1-IF($G482="",0,$G482)/100,1)</f>
        <v>1</v>
      </c>
      <c r="N482" s="14" t="str">
        <f aca="false">IF(OR($D482="",$E482=""),"",MAX(0,MIN($E482,REPORTING_DEPTH_CM)-MIN($D482,REPORTING_DEPTH_CM)))</f>
        <v/>
      </c>
      <c r="O482" s="14" t="str">
        <f aca="false">IF(OR($I482="",$L482="",$N482=""),"",$I482*($L482/100)*$N482*$M482*10)</f>
        <v/>
      </c>
      <c r="P482" s="14" t="str">
        <f aca="false">IF(OR($I482="",$L482="",$F482=""),"",$I482*($L482/100)*$F482*$M482*10)</f>
        <v/>
      </c>
      <c r="Q482" s="14" t="str">
        <f aca="false">IF(AND($A482="",$B482="",$D482=""),"",IF(AND($B482&lt;&gt;"",COUNTIF('2. Core Log'!$A$5:$A$124,$B482)=0),"Core ID not in Core Log. ","")&amp;IF(AND($A482&lt;&gt;"",COUNTIF('1. Plot &amp; Site Log'!$A$5:$A$64,$A482)=0),"Plot ID not in Plot &amp; Site Log. ","")&amp;IF(AND($D482&lt;&gt;"",$E482&lt;&gt;"",$E482&lt;=$D482),"Bottom depth is not below top depth. ","")&amp;IF($H482="","Say which bulk-density basis the lab reported, or the coarse-fragment correction cannot be applied safely. ","")&amp;IF(AND($I482&lt;&gt;"",OR($I482&lt;QC_BD_MIN,$I482&gt;QC_BD_MAX)),"Bulk density outside "&amp;QC_BD_MIN&amp;"–"&amp;QC_BD_MAX&amp;" g/cm³. ","")&amp;IF(AND($L482&lt;&gt;"",$L482&gt;QC_CARBON_PCT_MAX),"Carbon above "&amp;QC_CARBON_PCT_MAX&amp;"% — check units; this may be organic matter rather than carbon. ","")&amp;IF(AND($J482&lt;&gt;"",$K482&lt;&gt;""),"Both LOI and measured carbon given — the measured value is used. ","")&amp;IF(AND($N482&lt;&gt;"",$N482=0),"Slice lies entirely below the reporting depth — it counts to the full-core stock only. ",""))</f>
        <v/>
      </c>
      <c r="R482" s="13"/>
    </row>
    <row r="483" customFormat="false" ht="15" hidden="false" customHeight="false" outlineLevel="0" collapsed="false">
      <c r="A483" s="13"/>
      <c r="B483" s="13"/>
      <c r="C483" s="13"/>
      <c r="D483" s="13"/>
      <c r="E483" s="13"/>
      <c r="F483" s="13" t="str">
        <f aca="false">IF(OR($D483="",$E483=""),"",$E483-$D483)</f>
        <v/>
      </c>
      <c r="G483" s="13"/>
      <c r="H483" s="13"/>
      <c r="I483" s="15"/>
      <c r="J483" s="15"/>
      <c r="K483" s="15"/>
      <c r="L483" s="14" t="str">
        <f aca="false">IF($K483&lt;&gt;"",$K483,IF($J483&lt;&gt;"",$J483*CARBON_FRACTION_OM,""))</f>
        <v/>
      </c>
      <c r="M483" s="14" t="n">
        <f aca="false">IF($H483="Fine earth / fine-earth volume",1-IF($G483="",0,$G483)/100,1)</f>
        <v>1</v>
      </c>
      <c r="N483" s="14" t="str">
        <f aca="false">IF(OR($D483="",$E483=""),"",MAX(0,MIN($E483,REPORTING_DEPTH_CM)-MIN($D483,REPORTING_DEPTH_CM)))</f>
        <v/>
      </c>
      <c r="O483" s="14" t="str">
        <f aca="false">IF(OR($I483="",$L483="",$N483=""),"",$I483*($L483/100)*$N483*$M483*10)</f>
        <v/>
      </c>
      <c r="P483" s="14" t="str">
        <f aca="false">IF(OR($I483="",$L483="",$F483=""),"",$I483*($L483/100)*$F483*$M483*10)</f>
        <v/>
      </c>
      <c r="Q483" s="14" t="str">
        <f aca="false">IF(AND($A483="",$B483="",$D483=""),"",IF(AND($B483&lt;&gt;"",COUNTIF('2. Core Log'!$A$5:$A$124,$B483)=0),"Core ID not in Core Log. ","")&amp;IF(AND($A483&lt;&gt;"",COUNTIF('1. Plot &amp; Site Log'!$A$5:$A$64,$A483)=0),"Plot ID not in Plot &amp; Site Log. ","")&amp;IF(AND($D483&lt;&gt;"",$E483&lt;&gt;"",$E483&lt;=$D483),"Bottom depth is not below top depth. ","")&amp;IF($H483="","Say which bulk-density basis the lab reported, or the coarse-fragment correction cannot be applied safely. ","")&amp;IF(AND($I483&lt;&gt;"",OR($I483&lt;QC_BD_MIN,$I483&gt;QC_BD_MAX)),"Bulk density outside "&amp;QC_BD_MIN&amp;"–"&amp;QC_BD_MAX&amp;" g/cm³. ","")&amp;IF(AND($L483&lt;&gt;"",$L483&gt;QC_CARBON_PCT_MAX),"Carbon above "&amp;QC_CARBON_PCT_MAX&amp;"% — check units; this may be organic matter rather than carbon. ","")&amp;IF(AND($J483&lt;&gt;"",$K483&lt;&gt;""),"Both LOI and measured carbon given — the measured value is used. ","")&amp;IF(AND($N483&lt;&gt;"",$N483=0),"Slice lies entirely below the reporting depth — it counts to the full-core stock only. ",""))</f>
        <v/>
      </c>
      <c r="R483" s="13"/>
    </row>
    <row r="484" customFormat="false" ht="15" hidden="false" customHeight="false" outlineLevel="0" collapsed="false">
      <c r="A484" s="13"/>
      <c r="B484" s="13"/>
      <c r="C484" s="13"/>
      <c r="D484" s="13"/>
      <c r="E484" s="13"/>
      <c r="F484" s="13" t="str">
        <f aca="false">IF(OR($D484="",$E484=""),"",$E484-$D484)</f>
        <v/>
      </c>
      <c r="G484" s="13"/>
      <c r="H484" s="13"/>
      <c r="I484" s="15"/>
      <c r="J484" s="15"/>
      <c r="K484" s="15"/>
      <c r="L484" s="14" t="str">
        <f aca="false">IF($K484&lt;&gt;"",$K484,IF($J484&lt;&gt;"",$J484*CARBON_FRACTION_OM,""))</f>
        <v/>
      </c>
      <c r="M484" s="14" t="n">
        <f aca="false">IF($H484="Fine earth / fine-earth volume",1-IF($G484="",0,$G484)/100,1)</f>
        <v>1</v>
      </c>
      <c r="N484" s="14" t="str">
        <f aca="false">IF(OR($D484="",$E484=""),"",MAX(0,MIN($E484,REPORTING_DEPTH_CM)-MIN($D484,REPORTING_DEPTH_CM)))</f>
        <v/>
      </c>
      <c r="O484" s="14" t="str">
        <f aca="false">IF(OR($I484="",$L484="",$N484=""),"",$I484*($L484/100)*$N484*$M484*10)</f>
        <v/>
      </c>
      <c r="P484" s="14" t="str">
        <f aca="false">IF(OR($I484="",$L484="",$F484=""),"",$I484*($L484/100)*$F484*$M484*10)</f>
        <v/>
      </c>
      <c r="Q484" s="14" t="str">
        <f aca="false">IF(AND($A484="",$B484="",$D484=""),"",IF(AND($B484&lt;&gt;"",COUNTIF('2. Core Log'!$A$5:$A$124,$B484)=0),"Core ID not in Core Log. ","")&amp;IF(AND($A484&lt;&gt;"",COUNTIF('1. Plot &amp; Site Log'!$A$5:$A$64,$A484)=0),"Plot ID not in Plot &amp; Site Log. ","")&amp;IF(AND($D484&lt;&gt;"",$E484&lt;&gt;"",$E484&lt;=$D484),"Bottom depth is not below top depth. ","")&amp;IF($H484="","Say which bulk-density basis the lab reported, or the coarse-fragment correction cannot be applied safely. ","")&amp;IF(AND($I484&lt;&gt;"",OR($I484&lt;QC_BD_MIN,$I484&gt;QC_BD_MAX)),"Bulk density outside "&amp;QC_BD_MIN&amp;"–"&amp;QC_BD_MAX&amp;" g/cm³. ","")&amp;IF(AND($L484&lt;&gt;"",$L484&gt;QC_CARBON_PCT_MAX),"Carbon above "&amp;QC_CARBON_PCT_MAX&amp;"% — check units; this may be organic matter rather than carbon. ","")&amp;IF(AND($J484&lt;&gt;"",$K484&lt;&gt;""),"Both LOI and measured carbon given — the measured value is used. ","")&amp;IF(AND($N484&lt;&gt;"",$N484=0),"Slice lies entirely below the reporting depth — it counts to the full-core stock only. ",""))</f>
        <v/>
      </c>
      <c r="R484" s="13"/>
    </row>
    <row r="485" customFormat="false" ht="15" hidden="false" customHeight="false" outlineLevel="0" collapsed="false">
      <c r="A485" s="13"/>
      <c r="B485" s="13"/>
      <c r="C485" s="13"/>
      <c r="D485" s="13"/>
      <c r="E485" s="13"/>
      <c r="F485" s="13" t="str">
        <f aca="false">IF(OR($D485="",$E485=""),"",$E485-$D485)</f>
        <v/>
      </c>
      <c r="G485" s="13"/>
      <c r="H485" s="13"/>
      <c r="I485" s="15"/>
      <c r="J485" s="15"/>
      <c r="K485" s="15"/>
      <c r="L485" s="14" t="str">
        <f aca="false">IF($K485&lt;&gt;"",$K485,IF($J485&lt;&gt;"",$J485*CARBON_FRACTION_OM,""))</f>
        <v/>
      </c>
      <c r="M485" s="14" t="n">
        <f aca="false">IF($H485="Fine earth / fine-earth volume",1-IF($G485="",0,$G485)/100,1)</f>
        <v>1</v>
      </c>
      <c r="N485" s="14" t="str">
        <f aca="false">IF(OR($D485="",$E485=""),"",MAX(0,MIN($E485,REPORTING_DEPTH_CM)-MIN($D485,REPORTING_DEPTH_CM)))</f>
        <v/>
      </c>
      <c r="O485" s="14" t="str">
        <f aca="false">IF(OR($I485="",$L485="",$N485=""),"",$I485*($L485/100)*$N485*$M485*10)</f>
        <v/>
      </c>
      <c r="P485" s="14" t="str">
        <f aca="false">IF(OR($I485="",$L485="",$F485=""),"",$I485*($L485/100)*$F485*$M485*10)</f>
        <v/>
      </c>
      <c r="Q485" s="14" t="str">
        <f aca="false">IF(AND($A485="",$B485="",$D485=""),"",IF(AND($B485&lt;&gt;"",COUNTIF('2. Core Log'!$A$5:$A$124,$B485)=0),"Core ID not in Core Log. ","")&amp;IF(AND($A485&lt;&gt;"",COUNTIF('1. Plot &amp; Site Log'!$A$5:$A$64,$A485)=0),"Plot ID not in Plot &amp; Site Log. ","")&amp;IF(AND($D485&lt;&gt;"",$E485&lt;&gt;"",$E485&lt;=$D485),"Bottom depth is not below top depth. ","")&amp;IF($H485="","Say which bulk-density basis the lab reported, or the coarse-fragment correction cannot be applied safely. ","")&amp;IF(AND($I485&lt;&gt;"",OR($I485&lt;QC_BD_MIN,$I485&gt;QC_BD_MAX)),"Bulk density outside "&amp;QC_BD_MIN&amp;"–"&amp;QC_BD_MAX&amp;" g/cm³. ","")&amp;IF(AND($L485&lt;&gt;"",$L485&gt;QC_CARBON_PCT_MAX),"Carbon above "&amp;QC_CARBON_PCT_MAX&amp;"% — check units; this may be organic matter rather than carbon. ","")&amp;IF(AND($J485&lt;&gt;"",$K485&lt;&gt;""),"Both LOI and measured carbon given — the measured value is used. ","")&amp;IF(AND($N485&lt;&gt;"",$N485=0),"Slice lies entirely below the reporting depth — it counts to the full-core stock only. ",""))</f>
        <v/>
      </c>
      <c r="R485" s="13"/>
    </row>
    <row r="486" customFormat="false" ht="15" hidden="false" customHeight="false" outlineLevel="0" collapsed="false">
      <c r="A486" s="13"/>
      <c r="B486" s="13"/>
      <c r="C486" s="13"/>
      <c r="D486" s="13"/>
      <c r="E486" s="13"/>
      <c r="F486" s="13" t="str">
        <f aca="false">IF(OR($D486="",$E486=""),"",$E486-$D486)</f>
        <v/>
      </c>
      <c r="G486" s="13"/>
      <c r="H486" s="13"/>
      <c r="I486" s="15"/>
      <c r="J486" s="15"/>
      <c r="K486" s="15"/>
      <c r="L486" s="14" t="str">
        <f aca="false">IF($K486&lt;&gt;"",$K486,IF($J486&lt;&gt;"",$J486*CARBON_FRACTION_OM,""))</f>
        <v/>
      </c>
      <c r="M486" s="14" t="n">
        <f aca="false">IF($H486="Fine earth / fine-earth volume",1-IF($G486="",0,$G486)/100,1)</f>
        <v>1</v>
      </c>
      <c r="N486" s="14" t="str">
        <f aca="false">IF(OR($D486="",$E486=""),"",MAX(0,MIN($E486,REPORTING_DEPTH_CM)-MIN($D486,REPORTING_DEPTH_CM)))</f>
        <v/>
      </c>
      <c r="O486" s="14" t="str">
        <f aca="false">IF(OR($I486="",$L486="",$N486=""),"",$I486*($L486/100)*$N486*$M486*10)</f>
        <v/>
      </c>
      <c r="P486" s="14" t="str">
        <f aca="false">IF(OR($I486="",$L486="",$F486=""),"",$I486*($L486/100)*$F486*$M486*10)</f>
        <v/>
      </c>
      <c r="Q486" s="14" t="str">
        <f aca="false">IF(AND($A486="",$B486="",$D486=""),"",IF(AND($B486&lt;&gt;"",COUNTIF('2. Core Log'!$A$5:$A$124,$B486)=0),"Core ID not in Core Log. ","")&amp;IF(AND($A486&lt;&gt;"",COUNTIF('1. Plot &amp; Site Log'!$A$5:$A$64,$A486)=0),"Plot ID not in Plot &amp; Site Log. ","")&amp;IF(AND($D486&lt;&gt;"",$E486&lt;&gt;"",$E486&lt;=$D486),"Bottom depth is not below top depth. ","")&amp;IF($H486="","Say which bulk-density basis the lab reported, or the coarse-fragment correction cannot be applied safely. ","")&amp;IF(AND($I486&lt;&gt;"",OR($I486&lt;QC_BD_MIN,$I486&gt;QC_BD_MAX)),"Bulk density outside "&amp;QC_BD_MIN&amp;"–"&amp;QC_BD_MAX&amp;" g/cm³. ","")&amp;IF(AND($L486&lt;&gt;"",$L486&gt;QC_CARBON_PCT_MAX),"Carbon above "&amp;QC_CARBON_PCT_MAX&amp;"% — check units; this may be organic matter rather than carbon. ","")&amp;IF(AND($J486&lt;&gt;"",$K486&lt;&gt;""),"Both LOI and measured carbon given — the measured value is used. ","")&amp;IF(AND($N486&lt;&gt;"",$N486=0),"Slice lies entirely below the reporting depth — it counts to the full-core stock only. ",""))</f>
        <v/>
      </c>
      <c r="R486" s="13"/>
    </row>
    <row r="487" customFormat="false" ht="15" hidden="false" customHeight="false" outlineLevel="0" collapsed="false">
      <c r="A487" s="13"/>
      <c r="B487" s="13"/>
      <c r="C487" s="13"/>
      <c r="D487" s="13"/>
      <c r="E487" s="13"/>
      <c r="F487" s="13" t="str">
        <f aca="false">IF(OR($D487="",$E487=""),"",$E487-$D487)</f>
        <v/>
      </c>
      <c r="G487" s="13"/>
      <c r="H487" s="13"/>
      <c r="I487" s="15"/>
      <c r="J487" s="15"/>
      <c r="K487" s="15"/>
      <c r="L487" s="14" t="str">
        <f aca="false">IF($K487&lt;&gt;"",$K487,IF($J487&lt;&gt;"",$J487*CARBON_FRACTION_OM,""))</f>
        <v/>
      </c>
      <c r="M487" s="14" t="n">
        <f aca="false">IF($H487="Fine earth / fine-earth volume",1-IF($G487="",0,$G487)/100,1)</f>
        <v>1</v>
      </c>
      <c r="N487" s="14" t="str">
        <f aca="false">IF(OR($D487="",$E487=""),"",MAX(0,MIN($E487,REPORTING_DEPTH_CM)-MIN($D487,REPORTING_DEPTH_CM)))</f>
        <v/>
      </c>
      <c r="O487" s="14" t="str">
        <f aca="false">IF(OR($I487="",$L487="",$N487=""),"",$I487*($L487/100)*$N487*$M487*10)</f>
        <v/>
      </c>
      <c r="P487" s="14" t="str">
        <f aca="false">IF(OR($I487="",$L487="",$F487=""),"",$I487*($L487/100)*$F487*$M487*10)</f>
        <v/>
      </c>
      <c r="Q487" s="14" t="str">
        <f aca="false">IF(AND($A487="",$B487="",$D487=""),"",IF(AND($B487&lt;&gt;"",COUNTIF('2. Core Log'!$A$5:$A$124,$B487)=0),"Core ID not in Core Log. ","")&amp;IF(AND($A487&lt;&gt;"",COUNTIF('1. Plot &amp; Site Log'!$A$5:$A$64,$A487)=0),"Plot ID not in Plot &amp; Site Log. ","")&amp;IF(AND($D487&lt;&gt;"",$E487&lt;&gt;"",$E487&lt;=$D487),"Bottom depth is not below top depth. ","")&amp;IF($H487="","Say which bulk-density basis the lab reported, or the coarse-fragment correction cannot be applied safely. ","")&amp;IF(AND($I487&lt;&gt;"",OR($I487&lt;QC_BD_MIN,$I487&gt;QC_BD_MAX)),"Bulk density outside "&amp;QC_BD_MIN&amp;"–"&amp;QC_BD_MAX&amp;" g/cm³. ","")&amp;IF(AND($L487&lt;&gt;"",$L487&gt;QC_CARBON_PCT_MAX),"Carbon above "&amp;QC_CARBON_PCT_MAX&amp;"% — check units; this may be organic matter rather than carbon. ","")&amp;IF(AND($J487&lt;&gt;"",$K487&lt;&gt;""),"Both LOI and measured carbon given — the measured value is used. ","")&amp;IF(AND($N487&lt;&gt;"",$N487=0),"Slice lies entirely below the reporting depth — it counts to the full-core stock only. ",""))</f>
        <v/>
      </c>
      <c r="R487" s="13"/>
    </row>
    <row r="488" customFormat="false" ht="15" hidden="false" customHeight="false" outlineLevel="0" collapsed="false">
      <c r="A488" s="13"/>
      <c r="B488" s="13"/>
      <c r="C488" s="13"/>
      <c r="D488" s="13"/>
      <c r="E488" s="13"/>
      <c r="F488" s="13" t="str">
        <f aca="false">IF(OR($D488="",$E488=""),"",$E488-$D488)</f>
        <v/>
      </c>
      <c r="G488" s="13"/>
      <c r="H488" s="13"/>
      <c r="I488" s="15"/>
      <c r="J488" s="15"/>
      <c r="K488" s="15"/>
      <c r="L488" s="14" t="str">
        <f aca="false">IF($K488&lt;&gt;"",$K488,IF($J488&lt;&gt;"",$J488*CARBON_FRACTION_OM,""))</f>
        <v/>
      </c>
      <c r="M488" s="14" t="n">
        <f aca="false">IF($H488="Fine earth / fine-earth volume",1-IF($G488="",0,$G488)/100,1)</f>
        <v>1</v>
      </c>
      <c r="N488" s="14" t="str">
        <f aca="false">IF(OR($D488="",$E488=""),"",MAX(0,MIN($E488,REPORTING_DEPTH_CM)-MIN($D488,REPORTING_DEPTH_CM)))</f>
        <v/>
      </c>
      <c r="O488" s="14" t="str">
        <f aca="false">IF(OR($I488="",$L488="",$N488=""),"",$I488*($L488/100)*$N488*$M488*10)</f>
        <v/>
      </c>
      <c r="P488" s="14" t="str">
        <f aca="false">IF(OR($I488="",$L488="",$F488=""),"",$I488*($L488/100)*$F488*$M488*10)</f>
        <v/>
      </c>
      <c r="Q488" s="14" t="str">
        <f aca="false">IF(AND($A488="",$B488="",$D488=""),"",IF(AND($B488&lt;&gt;"",COUNTIF('2. Core Log'!$A$5:$A$124,$B488)=0),"Core ID not in Core Log. ","")&amp;IF(AND($A488&lt;&gt;"",COUNTIF('1. Plot &amp; Site Log'!$A$5:$A$64,$A488)=0),"Plot ID not in Plot &amp; Site Log. ","")&amp;IF(AND($D488&lt;&gt;"",$E488&lt;&gt;"",$E488&lt;=$D488),"Bottom depth is not below top depth. ","")&amp;IF($H488="","Say which bulk-density basis the lab reported, or the coarse-fragment correction cannot be applied safely. ","")&amp;IF(AND($I488&lt;&gt;"",OR($I488&lt;QC_BD_MIN,$I488&gt;QC_BD_MAX)),"Bulk density outside "&amp;QC_BD_MIN&amp;"–"&amp;QC_BD_MAX&amp;" g/cm³. ","")&amp;IF(AND($L488&lt;&gt;"",$L488&gt;QC_CARBON_PCT_MAX),"Carbon above "&amp;QC_CARBON_PCT_MAX&amp;"% — check units; this may be organic matter rather than carbon. ","")&amp;IF(AND($J488&lt;&gt;"",$K488&lt;&gt;""),"Both LOI and measured carbon given — the measured value is used. ","")&amp;IF(AND($N488&lt;&gt;"",$N488=0),"Slice lies entirely below the reporting depth — it counts to the full-core stock only. ",""))</f>
        <v/>
      </c>
      <c r="R488" s="13"/>
    </row>
    <row r="489" customFormat="false" ht="15" hidden="false" customHeight="false" outlineLevel="0" collapsed="false">
      <c r="A489" s="13"/>
      <c r="B489" s="13"/>
      <c r="C489" s="13"/>
      <c r="D489" s="13"/>
      <c r="E489" s="13"/>
      <c r="F489" s="13" t="str">
        <f aca="false">IF(OR($D489="",$E489=""),"",$E489-$D489)</f>
        <v/>
      </c>
      <c r="G489" s="13"/>
      <c r="H489" s="13"/>
      <c r="I489" s="15"/>
      <c r="J489" s="15"/>
      <c r="K489" s="15"/>
      <c r="L489" s="14" t="str">
        <f aca="false">IF($K489&lt;&gt;"",$K489,IF($J489&lt;&gt;"",$J489*CARBON_FRACTION_OM,""))</f>
        <v/>
      </c>
      <c r="M489" s="14" t="n">
        <f aca="false">IF($H489="Fine earth / fine-earth volume",1-IF($G489="",0,$G489)/100,1)</f>
        <v>1</v>
      </c>
      <c r="N489" s="14" t="str">
        <f aca="false">IF(OR($D489="",$E489=""),"",MAX(0,MIN($E489,REPORTING_DEPTH_CM)-MIN($D489,REPORTING_DEPTH_CM)))</f>
        <v/>
      </c>
      <c r="O489" s="14" t="str">
        <f aca="false">IF(OR($I489="",$L489="",$N489=""),"",$I489*($L489/100)*$N489*$M489*10)</f>
        <v/>
      </c>
      <c r="P489" s="14" t="str">
        <f aca="false">IF(OR($I489="",$L489="",$F489=""),"",$I489*($L489/100)*$F489*$M489*10)</f>
        <v/>
      </c>
      <c r="Q489" s="14" t="str">
        <f aca="false">IF(AND($A489="",$B489="",$D489=""),"",IF(AND($B489&lt;&gt;"",COUNTIF('2. Core Log'!$A$5:$A$124,$B489)=0),"Core ID not in Core Log. ","")&amp;IF(AND($A489&lt;&gt;"",COUNTIF('1. Plot &amp; Site Log'!$A$5:$A$64,$A489)=0),"Plot ID not in Plot &amp; Site Log. ","")&amp;IF(AND($D489&lt;&gt;"",$E489&lt;&gt;"",$E489&lt;=$D489),"Bottom depth is not below top depth. ","")&amp;IF($H489="","Say which bulk-density basis the lab reported, or the coarse-fragment correction cannot be applied safely. ","")&amp;IF(AND($I489&lt;&gt;"",OR($I489&lt;QC_BD_MIN,$I489&gt;QC_BD_MAX)),"Bulk density outside "&amp;QC_BD_MIN&amp;"–"&amp;QC_BD_MAX&amp;" g/cm³. ","")&amp;IF(AND($L489&lt;&gt;"",$L489&gt;QC_CARBON_PCT_MAX),"Carbon above "&amp;QC_CARBON_PCT_MAX&amp;"% — check units; this may be organic matter rather than carbon. ","")&amp;IF(AND($J489&lt;&gt;"",$K489&lt;&gt;""),"Both LOI and measured carbon given — the measured value is used. ","")&amp;IF(AND($N489&lt;&gt;"",$N489=0),"Slice lies entirely below the reporting depth — it counts to the full-core stock only. ",""))</f>
        <v/>
      </c>
      <c r="R489" s="13"/>
    </row>
    <row r="490" customFormat="false" ht="15" hidden="false" customHeight="false" outlineLevel="0" collapsed="false">
      <c r="A490" s="13"/>
      <c r="B490" s="13"/>
      <c r="C490" s="13"/>
      <c r="D490" s="13"/>
      <c r="E490" s="13"/>
      <c r="F490" s="13" t="str">
        <f aca="false">IF(OR($D490="",$E490=""),"",$E490-$D490)</f>
        <v/>
      </c>
      <c r="G490" s="13"/>
      <c r="H490" s="13"/>
      <c r="I490" s="15"/>
      <c r="J490" s="15"/>
      <c r="K490" s="15"/>
      <c r="L490" s="14" t="str">
        <f aca="false">IF($K490&lt;&gt;"",$K490,IF($J490&lt;&gt;"",$J490*CARBON_FRACTION_OM,""))</f>
        <v/>
      </c>
      <c r="M490" s="14" t="n">
        <f aca="false">IF($H490="Fine earth / fine-earth volume",1-IF($G490="",0,$G490)/100,1)</f>
        <v>1</v>
      </c>
      <c r="N490" s="14" t="str">
        <f aca="false">IF(OR($D490="",$E490=""),"",MAX(0,MIN($E490,REPORTING_DEPTH_CM)-MIN($D490,REPORTING_DEPTH_CM)))</f>
        <v/>
      </c>
      <c r="O490" s="14" t="str">
        <f aca="false">IF(OR($I490="",$L490="",$N490=""),"",$I490*($L490/100)*$N490*$M490*10)</f>
        <v/>
      </c>
      <c r="P490" s="14" t="str">
        <f aca="false">IF(OR($I490="",$L490="",$F490=""),"",$I490*($L490/100)*$F490*$M490*10)</f>
        <v/>
      </c>
      <c r="Q490" s="14" t="str">
        <f aca="false">IF(AND($A490="",$B490="",$D490=""),"",IF(AND($B490&lt;&gt;"",COUNTIF('2. Core Log'!$A$5:$A$124,$B490)=0),"Core ID not in Core Log. ","")&amp;IF(AND($A490&lt;&gt;"",COUNTIF('1. Plot &amp; Site Log'!$A$5:$A$64,$A490)=0),"Plot ID not in Plot &amp; Site Log. ","")&amp;IF(AND($D490&lt;&gt;"",$E490&lt;&gt;"",$E490&lt;=$D490),"Bottom depth is not below top depth. ","")&amp;IF($H490="","Say which bulk-density basis the lab reported, or the coarse-fragment correction cannot be applied safely. ","")&amp;IF(AND($I490&lt;&gt;"",OR($I490&lt;QC_BD_MIN,$I490&gt;QC_BD_MAX)),"Bulk density outside "&amp;QC_BD_MIN&amp;"–"&amp;QC_BD_MAX&amp;" g/cm³. ","")&amp;IF(AND($L490&lt;&gt;"",$L490&gt;QC_CARBON_PCT_MAX),"Carbon above "&amp;QC_CARBON_PCT_MAX&amp;"% — check units; this may be organic matter rather than carbon. ","")&amp;IF(AND($J490&lt;&gt;"",$K490&lt;&gt;""),"Both LOI and measured carbon given — the measured value is used. ","")&amp;IF(AND($N490&lt;&gt;"",$N490=0),"Slice lies entirely below the reporting depth — it counts to the full-core stock only. ",""))</f>
        <v/>
      </c>
      <c r="R490" s="13"/>
    </row>
    <row r="491" customFormat="false" ht="15" hidden="false" customHeight="false" outlineLevel="0" collapsed="false">
      <c r="A491" s="13"/>
      <c r="B491" s="13"/>
      <c r="C491" s="13"/>
      <c r="D491" s="13"/>
      <c r="E491" s="13"/>
      <c r="F491" s="13" t="str">
        <f aca="false">IF(OR($D491="",$E491=""),"",$E491-$D491)</f>
        <v/>
      </c>
      <c r="G491" s="13"/>
      <c r="H491" s="13"/>
      <c r="I491" s="15"/>
      <c r="J491" s="15"/>
      <c r="K491" s="15"/>
      <c r="L491" s="14" t="str">
        <f aca="false">IF($K491&lt;&gt;"",$K491,IF($J491&lt;&gt;"",$J491*CARBON_FRACTION_OM,""))</f>
        <v/>
      </c>
      <c r="M491" s="14" t="n">
        <f aca="false">IF($H491="Fine earth / fine-earth volume",1-IF($G491="",0,$G491)/100,1)</f>
        <v>1</v>
      </c>
      <c r="N491" s="14" t="str">
        <f aca="false">IF(OR($D491="",$E491=""),"",MAX(0,MIN($E491,REPORTING_DEPTH_CM)-MIN($D491,REPORTING_DEPTH_CM)))</f>
        <v/>
      </c>
      <c r="O491" s="14" t="str">
        <f aca="false">IF(OR($I491="",$L491="",$N491=""),"",$I491*($L491/100)*$N491*$M491*10)</f>
        <v/>
      </c>
      <c r="P491" s="14" t="str">
        <f aca="false">IF(OR($I491="",$L491="",$F491=""),"",$I491*($L491/100)*$F491*$M491*10)</f>
        <v/>
      </c>
      <c r="Q491" s="14" t="str">
        <f aca="false">IF(AND($A491="",$B491="",$D491=""),"",IF(AND($B491&lt;&gt;"",COUNTIF('2. Core Log'!$A$5:$A$124,$B491)=0),"Core ID not in Core Log. ","")&amp;IF(AND($A491&lt;&gt;"",COUNTIF('1. Plot &amp; Site Log'!$A$5:$A$64,$A491)=0),"Plot ID not in Plot &amp; Site Log. ","")&amp;IF(AND($D491&lt;&gt;"",$E491&lt;&gt;"",$E491&lt;=$D491),"Bottom depth is not below top depth. ","")&amp;IF($H491="","Say which bulk-density basis the lab reported, or the coarse-fragment correction cannot be applied safely. ","")&amp;IF(AND($I491&lt;&gt;"",OR($I491&lt;QC_BD_MIN,$I491&gt;QC_BD_MAX)),"Bulk density outside "&amp;QC_BD_MIN&amp;"–"&amp;QC_BD_MAX&amp;" g/cm³. ","")&amp;IF(AND($L491&lt;&gt;"",$L491&gt;QC_CARBON_PCT_MAX),"Carbon above "&amp;QC_CARBON_PCT_MAX&amp;"% — check units; this may be organic matter rather than carbon. ","")&amp;IF(AND($J491&lt;&gt;"",$K491&lt;&gt;""),"Both LOI and measured carbon given — the measured value is used. ","")&amp;IF(AND($N491&lt;&gt;"",$N491=0),"Slice lies entirely below the reporting depth — it counts to the full-core stock only. ",""))</f>
        <v/>
      </c>
      <c r="R491" s="13"/>
    </row>
    <row r="492" customFormat="false" ht="15" hidden="false" customHeight="false" outlineLevel="0" collapsed="false">
      <c r="A492" s="13"/>
      <c r="B492" s="13"/>
      <c r="C492" s="13"/>
      <c r="D492" s="13"/>
      <c r="E492" s="13"/>
      <c r="F492" s="13" t="str">
        <f aca="false">IF(OR($D492="",$E492=""),"",$E492-$D492)</f>
        <v/>
      </c>
      <c r="G492" s="13"/>
      <c r="H492" s="13"/>
      <c r="I492" s="15"/>
      <c r="J492" s="15"/>
      <c r="K492" s="15"/>
      <c r="L492" s="14" t="str">
        <f aca="false">IF($K492&lt;&gt;"",$K492,IF($J492&lt;&gt;"",$J492*CARBON_FRACTION_OM,""))</f>
        <v/>
      </c>
      <c r="M492" s="14" t="n">
        <f aca="false">IF($H492="Fine earth / fine-earth volume",1-IF($G492="",0,$G492)/100,1)</f>
        <v>1</v>
      </c>
      <c r="N492" s="14" t="str">
        <f aca="false">IF(OR($D492="",$E492=""),"",MAX(0,MIN($E492,REPORTING_DEPTH_CM)-MIN($D492,REPORTING_DEPTH_CM)))</f>
        <v/>
      </c>
      <c r="O492" s="14" t="str">
        <f aca="false">IF(OR($I492="",$L492="",$N492=""),"",$I492*($L492/100)*$N492*$M492*10)</f>
        <v/>
      </c>
      <c r="P492" s="14" t="str">
        <f aca="false">IF(OR($I492="",$L492="",$F492=""),"",$I492*($L492/100)*$F492*$M492*10)</f>
        <v/>
      </c>
      <c r="Q492" s="14" t="str">
        <f aca="false">IF(AND($A492="",$B492="",$D492=""),"",IF(AND($B492&lt;&gt;"",COUNTIF('2. Core Log'!$A$5:$A$124,$B492)=0),"Core ID not in Core Log. ","")&amp;IF(AND($A492&lt;&gt;"",COUNTIF('1. Plot &amp; Site Log'!$A$5:$A$64,$A492)=0),"Plot ID not in Plot &amp; Site Log. ","")&amp;IF(AND($D492&lt;&gt;"",$E492&lt;&gt;"",$E492&lt;=$D492),"Bottom depth is not below top depth. ","")&amp;IF($H492="","Say which bulk-density basis the lab reported, or the coarse-fragment correction cannot be applied safely. ","")&amp;IF(AND($I492&lt;&gt;"",OR($I492&lt;QC_BD_MIN,$I492&gt;QC_BD_MAX)),"Bulk density outside "&amp;QC_BD_MIN&amp;"–"&amp;QC_BD_MAX&amp;" g/cm³. ","")&amp;IF(AND($L492&lt;&gt;"",$L492&gt;QC_CARBON_PCT_MAX),"Carbon above "&amp;QC_CARBON_PCT_MAX&amp;"% — check units; this may be organic matter rather than carbon. ","")&amp;IF(AND($J492&lt;&gt;"",$K492&lt;&gt;""),"Both LOI and measured carbon given — the measured value is used. ","")&amp;IF(AND($N492&lt;&gt;"",$N492=0),"Slice lies entirely below the reporting depth — it counts to the full-core stock only. ",""))</f>
        <v/>
      </c>
      <c r="R492" s="13"/>
    </row>
    <row r="493" customFormat="false" ht="15" hidden="false" customHeight="false" outlineLevel="0" collapsed="false">
      <c r="A493" s="13"/>
      <c r="B493" s="13"/>
      <c r="C493" s="13"/>
      <c r="D493" s="13"/>
      <c r="E493" s="13"/>
      <c r="F493" s="13" t="str">
        <f aca="false">IF(OR($D493="",$E493=""),"",$E493-$D493)</f>
        <v/>
      </c>
      <c r="G493" s="13"/>
      <c r="H493" s="13"/>
      <c r="I493" s="15"/>
      <c r="J493" s="15"/>
      <c r="K493" s="15"/>
      <c r="L493" s="14" t="str">
        <f aca="false">IF($K493&lt;&gt;"",$K493,IF($J493&lt;&gt;"",$J493*CARBON_FRACTION_OM,""))</f>
        <v/>
      </c>
      <c r="M493" s="14" t="n">
        <f aca="false">IF($H493="Fine earth / fine-earth volume",1-IF($G493="",0,$G493)/100,1)</f>
        <v>1</v>
      </c>
      <c r="N493" s="14" t="str">
        <f aca="false">IF(OR($D493="",$E493=""),"",MAX(0,MIN($E493,REPORTING_DEPTH_CM)-MIN($D493,REPORTING_DEPTH_CM)))</f>
        <v/>
      </c>
      <c r="O493" s="14" t="str">
        <f aca="false">IF(OR($I493="",$L493="",$N493=""),"",$I493*($L493/100)*$N493*$M493*10)</f>
        <v/>
      </c>
      <c r="P493" s="14" t="str">
        <f aca="false">IF(OR($I493="",$L493="",$F493=""),"",$I493*($L493/100)*$F493*$M493*10)</f>
        <v/>
      </c>
      <c r="Q493" s="14" t="str">
        <f aca="false">IF(AND($A493="",$B493="",$D493=""),"",IF(AND($B493&lt;&gt;"",COUNTIF('2. Core Log'!$A$5:$A$124,$B493)=0),"Core ID not in Core Log. ","")&amp;IF(AND($A493&lt;&gt;"",COUNTIF('1. Plot &amp; Site Log'!$A$5:$A$64,$A493)=0),"Plot ID not in Plot &amp; Site Log. ","")&amp;IF(AND($D493&lt;&gt;"",$E493&lt;&gt;"",$E493&lt;=$D493),"Bottom depth is not below top depth. ","")&amp;IF($H493="","Say which bulk-density basis the lab reported, or the coarse-fragment correction cannot be applied safely. ","")&amp;IF(AND($I493&lt;&gt;"",OR($I493&lt;QC_BD_MIN,$I493&gt;QC_BD_MAX)),"Bulk density outside "&amp;QC_BD_MIN&amp;"–"&amp;QC_BD_MAX&amp;" g/cm³. ","")&amp;IF(AND($L493&lt;&gt;"",$L493&gt;QC_CARBON_PCT_MAX),"Carbon above "&amp;QC_CARBON_PCT_MAX&amp;"% — check units; this may be organic matter rather than carbon. ","")&amp;IF(AND($J493&lt;&gt;"",$K493&lt;&gt;""),"Both LOI and measured carbon given — the measured value is used. ","")&amp;IF(AND($N493&lt;&gt;"",$N493=0),"Slice lies entirely below the reporting depth — it counts to the full-core stock only. ",""))</f>
        <v/>
      </c>
      <c r="R493" s="13"/>
    </row>
    <row r="494" customFormat="false" ht="15" hidden="false" customHeight="false" outlineLevel="0" collapsed="false">
      <c r="A494" s="13"/>
      <c r="B494" s="13"/>
      <c r="C494" s="13"/>
      <c r="D494" s="13"/>
      <c r="E494" s="13"/>
      <c r="F494" s="13" t="str">
        <f aca="false">IF(OR($D494="",$E494=""),"",$E494-$D494)</f>
        <v/>
      </c>
      <c r="G494" s="13"/>
      <c r="H494" s="13"/>
      <c r="I494" s="15"/>
      <c r="J494" s="15"/>
      <c r="K494" s="15"/>
      <c r="L494" s="14" t="str">
        <f aca="false">IF($K494&lt;&gt;"",$K494,IF($J494&lt;&gt;"",$J494*CARBON_FRACTION_OM,""))</f>
        <v/>
      </c>
      <c r="M494" s="14" t="n">
        <f aca="false">IF($H494="Fine earth / fine-earth volume",1-IF($G494="",0,$G494)/100,1)</f>
        <v>1</v>
      </c>
      <c r="N494" s="14" t="str">
        <f aca="false">IF(OR($D494="",$E494=""),"",MAX(0,MIN($E494,REPORTING_DEPTH_CM)-MIN($D494,REPORTING_DEPTH_CM)))</f>
        <v/>
      </c>
      <c r="O494" s="14" t="str">
        <f aca="false">IF(OR($I494="",$L494="",$N494=""),"",$I494*($L494/100)*$N494*$M494*10)</f>
        <v/>
      </c>
      <c r="P494" s="14" t="str">
        <f aca="false">IF(OR($I494="",$L494="",$F494=""),"",$I494*($L494/100)*$F494*$M494*10)</f>
        <v/>
      </c>
      <c r="Q494" s="14" t="str">
        <f aca="false">IF(AND($A494="",$B494="",$D494=""),"",IF(AND($B494&lt;&gt;"",COUNTIF('2. Core Log'!$A$5:$A$124,$B494)=0),"Core ID not in Core Log. ","")&amp;IF(AND($A494&lt;&gt;"",COUNTIF('1. Plot &amp; Site Log'!$A$5:$A$64,$A494)=0),"Plot ID not in Plot &amp; Site Log. ","")&amp;IF(AND($D494&lt;&gt;"",$E494&lt;&gt;"",$E494&lt;=$D494),"Bottom depth is not below top depth. ","")&amp;IF($H494="","Say which bulk-density basis the lab reported, or the coarse-fragment correction cannot be applied safely. ","")&amp;IF(AND($I494&lt;&gt;"",OR($I494&lt;QC_BD_MIN,$I494&gt;QC_BD_MAX)),"Bulk density outside "&amp;QC_BD_MIN&amp;"–"&amp;QC_BD_MAX&amp;" g/cm³. ","")&amp;IF(AND($L494&lt;&gt;"",$L494&gt;QC_CARBON_PCT_MAX),"Carbon above "&amp;QC_CARBON_PCT_MAX&amp;"% — check units; this may be organic matter rather than carbon. ","")&amp;IF(AND($J494&lt;&gt;"",$K494&lt;&gt;""),"Both LOI and measured carbon given — the measured value is used. ","")&amp;IF(AND($N494&lt;&gt;"",$N494=0),"Slice lies entirely below the reporting depth — it counts to the full-core stock only. ",""))</f>
        <v/>
      </c>
      <c r="R494" s="13"/>
    </row>
    <row r="495" customFormat="false" ht="15" hidden="false" customHeight="false" outlineLevel="0" collapsed="false">
      <c r="A495" s="13"/>
      <c r="B495" s="13"/>
      <c r="C495" s="13"/>
      <c r="D495" s="13"/>
      <c r="E495" s="13"/>
      <c r="F495" s="13" t="str">
        <f aca="false">IF(OR($D495="",$E495=""),"",$E495-$D495)</f>
        <v/>
      </c>
      <c r="G495" s="13"/>
      <c r="H495" s="13"/>
      <c r="I495" s="15"/>
      <c r="J495" s="15"/>
      <c r="K495" s="15"/>
      <c r="L495" s="14" t="str">
        <f aca="false">IF($K495&lt;&gt;"",$K495,IF($J495&lt;&gt;"",$J495*CARBON_FRACTION_OM,""))</f>
        <v/>
      </c>
      <c r="M495" s="14" t="n">
        <f aca="false">IF($H495="Fine earth / fine-earth volume",1-IF($G495="",0,$G495)/100,1)</f>
        <v>1</v>
      </c>
      <c r="N495" s="14" t="str">
        <f aca="false">IF(OR($D495="",$E495=""),"",MAX(0,MIN($E495,REPORTING_DEPTH_CM)-MIN($D495,REPORTING_DEPTH_CM)))</f>
        <v/>
      </c>
      <c r="O495" s="14" t="str">
        <f aca="false">IF(OR($I495="",$L495="",$N495=""),"",$I495*($L495/100)*$N495*$M495*10)</f>
        <v/>
      </c>
      <c r="P495" s="14" t="str">
        <f aca="false">IF(OR($I495="",$L495="",$F495=""),"",$I495*($L495/100)*$F495*$M495*10)</f>
        <v/>
      </c>
      <c r="Q495" s="14" t="str">
        <f aca="false">IF(AND($A495="",$B495="",$D495=""),"",IF(AND($B495&lt;&gt;"",COUNTIF('2. Core Log'!$A$5:$A$124,$B495)=0),"Core ID not in Core Log. ","")&amp;IF(AND($A495&lt;&gt;"",COUNTIF('1. Plot &amp; Site Log'!$A$5:$A$64,$A495)=0),"Plot ID not in Plot &amp; Site Log. ","")&amp;IF(AND($D495&lt;&gt;"",$E495&lt;&gt;"",$E495&lt;=$D495),"Bottom depth is not below top depth. ","")&amp;IF($H495="","Say which bulk-density basis the lab reported, or the coarse-fragment correction cannot be applied safely. ","")&amp;IF(AND($I495&lt;&gt;"",OR($I495&lt;QC_BD_MIN,$I495&gt;QC_BD_MAX)),"Bulk density outside "&amp;QC_BD_MIN&amp;"–"&amp;QC_BD_MAX&amp;" g/cm³. ","")&amp;IF(AND($L495&lt;&gt;"",$L495&gt;QC_CARBON_PCT_MAX),"Carbon above "&amp;QC_CARBON_PCT_MAX&amp;"% — check units; this may be organic matter rather than carbon. ","")&amp;IF(AND($J495&lt;&gt;"",$K495&lt;&gt;""),"Both LOI and measured carbon given — the measured value is used. ","")&amp;IF(AND($N495&lt;&gt;"",$N495=0),"Slice lies entirely below the reporting depth — it counts to the full-core stock only. ",""))</f>
        <v/>
      </c>
      <c r="R495" s="13"/>
    </row>
    <row r="496" customFormat="false" ht="15" hidden="false" customHeight="false" outlineLevel="0" collapsed="false">
      <c r="A496" s="13"/>
      <c r="B496" s="13"/>
      <c r="C496" s="13"/>
      <c r="D496" s="13"/>
      <c r="E496" s="13"/>
      <c r="F496" s="13" t="str">
        <f aca="false">IF(OR($D496="",$E496=""),"",$E496-$D496)</f>
        <v/>
      </c>
      <c r="G496" s="13"/>
      <c r="H496" s="13"/>
      <c r="I496" s="15"/>
      <c r="J496" s="15"/>
      <c r="K496" s="15"/>
      <c r="L496" s="14" t="str">
        <f aca="false">IF($K496&lt;&gt;"",$K496,IF($J496&lt;&gt;"",$J496*CARBON_FRACTION_OM,""))</f>
        <v/>
      </c>
      <c r="M496" s="14" t="n">
        <f aca="false">IF($H496="Fine earth / fine-earth volume",1-IF($G496="",0,$G496)/100,1)</f>
        <v>1</v>
      </c>
      <c r="N496" s="14" t="str">
        <f aca="false">IF(OR($D496="",$E496=""),"",MAX(0,MIN($E496,REPORTING_DEPTH_CM)-MIN($D496,REPORTING_DEPTH_CM)))</f>
        <v/>
      </c>
      <c r="O496" s="14" t="str">
        <f aca="false">IF(OR($I496="",$L496="",$N496=""),"",$I496*($L496/100)*$N496*$M496*10)</f>
        <v/>
      </c>
      <c r="P496" s="14" t="str">
        <f aca="false">IF(OR($I496="",$L496="",$F496=""),"",$I496*($L496/100)*$F496*$M496*10)</f>
        <v/>
      </c>
      <c r="Q496" s="14" t="str">
        <f aca="false">IF(AND($A496="",$B496="",$D496=""),"",IF(AND($B496&lt;&gt;"",COUNTIF('2. Core Log'!$A$5:$A$124,$B496)=0),"Core ID not in Core Log. ","")&amp;IF(AND($A496&lt;&gt;"",COUNTIF('1. Plot &amp; Site Log'!$A$5:$A$64,$A496)=0),"Plot ID not in Plot &amp; Site Log. ","")&amp;IF(AND($D496&lt;&gt;"",$E496&lt;&gt;"",$E496&lt;=$D496),"Bottom depth is not below top depth. ","")&amp;IF($H496="","Say which bulk-density basis the lab reported, or the coarse-fragment correction cannot be applied safely. ","")&amp;IF(AND($I496&lt;&gt;"",OR($I496&lt;QC_BD_MIN,$I496&gt;QC_BD_MAX)),"Bulk density outside "&amp;QC_BD_MIN&amp;"–"&amp;QC_BD_MAX&amp;" g/cm³. ","")&amp;IF(AND($L496&lt;&gt;"",$L496&gt;QC_CARBON_PCT_MAX),"Carbon above "&amp;QC_CARBON_PCT_MAX&amp;"% — check units; this may be organic matter rather than carbon. ","")&amp;IF(AND($J496&lt;&gt;"",$K496&lt;&gt;""),"Both LOI and measured carbon given — the measured value is used. ","")&amp;IF(AND($N496&lt;&gt;"",$N496=0),"Slice lies entirely below the reporting depth — it counts to the full-core stock only. ",""))</f>
        <v/>
      </c>
      <c r="R496" s="13"/>
    </row>
    <row r="497" customFormat="false" ht="15" hidden="false" customHeight="false" outlineLevel="0" collapsed="false">
      <c r="A497" s="13"/>
      <c r="B497" s="13"/>
      <c r="C497" s="13"/>
      <c r="D497" s="13"/>
      <c r="E497" s="13"/>
      <c r="F497" s="13" t="str">
        <f aca="false">IF(OR($D497="",$E497=""),"",$E497-$D497)</f>
        <v/>
      </c>
      <c r="G497" s="13"/>
      <c r="H497" s="13"/>
      <c r="I497" s="15"/>
      <c r="J497" s="15"/>
      <c r="K497" s="15"/>
      <c r="L497" s="14" t="str">
        <f aca="false">IF($K497&lt;&gt;"",$K497,IF($J497&lt;&gt;"",$J497*CARBON_FRACTION_OM,""))</f>
        <v/>
      </c>
      <c r="M497" s="14" t="n">
        <f aca="false">IF($H497="Fine earth / fine-earth volume",1-IF($G497="",0,$G497)/100,1)</f>
        <v>1</v>
      </c>
      <c r="N497" s="14" t="str">
        <f aca="false">IF(OR($D497="",$E497=""),"",MAX(0,MIN($E497,REPORTING_DEPTH_CM)-MIN($D497,REPORTING_DEPTH_CM)))</f>
        <v/>
      </c>
      <c r="O497" s="14" t="str">
        <f aca="false">IF(OR($I497="",$L497="",$N497=""),"",$I497*($L497/100)*$N497*$M497*10)</f>
        <v/>
      </c>
      <c r="P497" s="14" t="str">
        <f aca="false">IF(OR($I497="",$L497="",$F497=""),"",$I497*($L497/100)*$F497*$M497*10)</f>
        <v/>
      </c>
      <c r="Q497" s="14" t="str">
        <f aca="false">IF(AND($A497="",$B497="",$D497=""),"",IF(AND($B497&lt;&gt;"",COUNTIF('2. Core Log'!$A$5:$A$124,$B497)=0),"Core ID not in Core Log. ","")&amp;IF(AND($A497&lt;&gt;"",COUNTIF('1. Plot &amp; Site Log'!$A$5:$A$64,$A497)=0),"Plot ID not in Plot &amp; Site Log. ","")&amp;IF(AND($D497&lt;&gt;"",$E497&lt;&gt;"",$E497&lt;=$D497),"Bottom depth is not below top depth. ","")&amp;IF($H497="","Say which bulk-density basis the lab reported, or the coarse-fragment correction cannot be applied safely. ","")&amp;IF(AND($I497&lt;&gt;"",OR($I497&lt;QC_BD_MIN,$I497&gt;QC_BD_MAX)),"Bulk density outside "&amp;QC_BD_MIN&amp;"–"&amp;QC_BD_MAX&amp;" g/cm³. ","")&amp;IF(AND($L497&lt;&gt;"",$L497&gt;QC_CARBON_PCT_MAX),"Carbon above "&amp;QC_CARBON_PCT_MAX&amp;"% — check units; this may be organic matter rather than carbon. ","")&amp;IF(AND($J497&lt;&gt;"",$K497&lt;&gt;""),"Both LOI and measured carbon given — the measured value is used. ","")&amp;IF(AND($N497&lt;&gt;"",$N497=0),"Slice lies entirely below the reporting depth — it counts to the full-core stock only. ",""))</f>
        <v/>
      </c>
      <c r="R497" s="13"/>
    </row>
    <row r="498" customFormat="false" ht="15" hidden="false" customHeight="false" outlineLevel="0" collapsed="false">
      <c r="A498" s="13"/>
      <c r="B498" s="13"/>
      <c r="C498" s="13"/>
      <c r="D498" s="13"/>
      <c r="E498" s="13"/>
      <c r="F498" s="13" t="str">
        <f aca="false">IF(OR($D498="",$E498=""),"",$E498-$D498)</f>
        <v/>
      </c>
      <c r="G498" s="13"/>
      <c r="H498" s="13"/>
      <c r="I498" s="15"/>
      <c r="J498" s="15"/>
      <c r="K498" s="15"/>
      <c r="L498" s="14" t="str">
        <f aca="false">IF($K498&lt;&gt;"",$K498,IF($J498&lt;&gt;"",$J498*CARBON_FRACTION_OM,""))</f>
        <v/>
      </c>
      <c r="M498" s="14" t="n">
        <f aca="false">IF($H498="Fine earth / fine-earth volume",1-IF($G498="",0,$G498)/100,1)</f>
        <v>1</v>
      </c>
      <c r="N498" s="14" t="str">
        <f aca="false">IF(OR($D498="",$E498=""),"",MAX(0,MIN($E498,REPORTING_DEPTH_CM)-MIN($D498,REPORTING_DEPTH_CM)))</f>
        <v/>
      </c>
      <c r="O498" s="14" t="str">
        <f aca="false">IF(OR($I498="",$L498="",$N498=""),"",$I498*($L498/100)*$N498*$M498*10)</f>
        <v/>
      </c>
      <c r="P498" s="14" t="str">
        <f aca="false">IF(OR($I498="",$L498="",$F498=""),"",$I498*($L498/100)*$F498*$M498*10)</f>
        <v/>
      </c>
      <c r="Q498" s="14" t="str">
        <f aca="false">IF(AND($A498="",$B498="",$D498=""),"",IF(AND($B498&lt;&gt;"",COUNTIF('2. Core Log'!$A$5:$A$124,$B498)=0),"Core ID not in Core Log. ","")&amp;IF(AND($A498&lt;&gt;"",COUNTIF('1. Plot &amp; Site Log'!$A$5:$A$64,$A498)=0),"Plot ID not in Plot &amp; Site Log. ","")&amp;IF(AND($D498&lt;&gt;"",$E498&lt;&gt;"",$E498&lt;=$D498),"Bottom depth is not below top depth. ","")&amp;IF($H498="","Say which bulk-density basis the lab reported, or the coarse-fragment correction cannot be applied safely. ","")&amp;IF(AND($I498&lt;&gt;"",OR($I498&lt;QC_BD_MIN,$I498&gt;QC_BD_MAX)),"Bulk density outside "&amp;QC_BD_MIN&amp;"–"&amp;QC_BD_MAX&amp;" g/cm³. ","")&amp;IF(AND($L498&lt;&gt;"",$L498&gt;QC_CARBON_PCT_MAX),"Carbon above "&amp;QC_CARBON_PCT_MAX&amp;"% — check units; this may be organic matter rather than carbon. ","")&amp;IF(AND($J498&lt;&gt;"",$K498&lt;&gt;""),"Both LOI and measured carbon given — the measured value is used. ","")&amp;IF(AND($N498&lt;&gt;"",$N498=0),"Slice lies entirely below the reporting depth — it counts to the full-core stock only. ",""))</f>
        <v/>
      </c>
      <c r="R498" s="13"/>
    </row>
    <row r="499" customFormat="false" ht="15" hidden="false" customHeight="false" outlineLevel="0" collapsed="false">
      <c r="A499" s="13"/>
      <c r="B499" s="13"/>
      <c r="C499" s="13"/>
      <c r="D499" s="13"/>
      <c r="E499" s="13"/>
      <c r="F499" s="13" t="str">
        <f aca="false">IF(OR($D499="",$E499=""),"",$E499-$D499)</f>
        <v/>
      </c>
      <c r="G499" s="13"/>
      <c r="H499" s="13"/>
      <c r="I499" s="15"/>
      <c r="J499" s="15"/>
      <c r="K499" s="15"/>
      <c r="L499" s="14" t="str">
        <f aca="false">IF($K499&lt;&gt;"",$K499,IF($J499&lt;&gt;"",$J499*CARBON_FRACTION_OM,""))</f>
        <v/>
      </c>
      <c r="M499" s="14" t="n">
        <f aca="false">IF($H499="Fine earth / fine-earth volume",1-IF($G499="",0,$G499)/100,1)</f>
        <v>1</v>
      </c>
      <c r="N499" s="14" t="str">
        <f aca="false">IF(OR($D499="",$E499=""),"",MAX(0,MIN($E499,REPORTING_DEPTH_CM)-MIN($D499,REPORTING_DEPTH_CM)))</f>
        <v/>
      </c>
      <c r="O499" s="14" t="str">
        <f aca="false">IF(OR($I499="",$L499="",$N499=""),"",$I499*($L499/100)*$N499*$M499*10)</f>
        <v/>
      </c>
      <c r="P499" s="14" t="str">
        <f aca="false">IF(OR($I499="",$L499="",$F499=""),"",$I499*($L499/100)*$F499*$M499*10)</f>
        <v/>
      </c>
      <c r="Q499" s="14" t="str">
        <f aca="false">IF(AND($A499="",$B499="",$D499=""),"",IF(AND($B499&lt;&gt;"",COUNTIF('2. Core Log'!$A$5:$A$124,$B499)=0),"Core ID not in Core Log. ","")&amp;IF(AND($A499&lt;&gt;"",COUNTIF('1. Plot &amp; Site Log'!$A$5:$A$64,$A499)=0),"Plot ID not in Plot &amp; Site Log. ","")&amp;IF(AND($D499&lt;&gt;"",$E499&lt;&gt;"",$E499&lt;=$D499),"Bottom depth is not below top depth. ","")&amp;IF($H499="","Say which bulk-density basis the lab reported, or the coarse-fragment correction cannot be applied safely. ","")&amp;IF(AND($I499&lt;&gt;"",OR($I499&lt;QC_BD_MIN,$I499&gt;QC_BD_MAX)),"Bulk density outside "&amp;QC_BD_MIN&amp;"–"&amp;QC_BD_MAX&amp;" g/cm³. ","")&amp;IF(AND($L499&lt;&gt;"",$L499&gt;QC_CARBON_PCT_MAX),"Carbon above "&amp;QC_CARBON_PCT_MAX&amp;"% — check units; this may be organic matter rather than carbon. ","")&amp;IF(AND($J499&lt;&gt;"",$K499&lt;&gt;""),"Both LOI and measured carbon given — the measured value is used. ","")&amp;IF(AND($N499&lt;&gt;"",$N499=0),"Slice lies entirely below the reporting depth — it counts to the full-core stock only. ",""))</f>
        <v/>
      </c>
      <c r="R499" s="13"/>
    </row>
    <row r="500" customFormat="false" ht="15" hidden="false" customHeight="false" outlineLevel="0" collapsed="false">
      <c r="A500" s="13"/>
      <c r="B500" s="13"/>
      <c r="C500" s="13"/>
      <c r="D500" s="13"/>
      <c r="E500" s="13"/>
      <c r="F500" s="13" t="str">
        <f aca="false">IF(OR($D500="",$E500=""),"",$E500-$D500)</f>
        <v/>
      </c>
      <c r="G500" s="13"/>
      <c r="H500" s="13"/>
      <c r="I500" s="15"/>
      <c r="J500" s="15"/>
      <c r="K500" s="15"/>
      <c r="L500" s="14" t="str">
        <f aca="false">IF($K500&lt;&gt;"",$K500,IF($J500&lt;&gt;"",$J500*CARBON_FRACTION_OM,""))</f>
        <v/>
      </c>
      <c r="M500" s="14" t="n">
        <f aca="false">IF($H500="Fine earth / fine-earth volume",1-IF($G500="",0,$G500)/100,1)</f>
        <v>1</v>
      </c>
      <c r="N500" s="14" t="str">
        <f aca="false">IF(OR($D500="",$E500=""),"",MAX(0,MIN($E500,REPORTING_DEPTH_CM)-MIN($D500,REPORTING_DEPTH_CM)))</f>
        <v/>
      </c>
      <c r="O500" s="14" t="str">
        <f aca="false">IF(OR($I500="",$L500="",$N500=""),"",$I500*($L500/100)*$N500*$M500*10)</f>
        <v/>
      </c>
      <c r="P500" s="14" t="str">
        <f aca="false">IF(OR($I500="",$L500="",$F500=""),"",$I500*($L500/100)*$F500*$M500*10)</f>
        <v/>
      </c>
      <c r="Q500" s="14" t="str">
        <f aca="false">IF(AND($A500="",$B500="",$D500=""),"",IF(AND($B500&lt;&gt;"",COUNTIF('2. Core Log'!$A$5:$A$124,$B500)=0),"Core ID not in Core Log. ","")&amp;IF(AND($A500&lt;&gt;"",COUNTIF('1. Plot &amp; Site Log'!$A$5:$A$64,$A500)=0),"Plot ID not in Plot &amp; Site Log. ","")&amp;IF(AND($D500&lt;&gt;"",$E500&lt;&gt;"",$E500&lt;=$D500),"Bottom depth is not below top depth. ","")&amp;IF($H500="","Say which bulk-density basis the lab reported, or the coarse-fragment correction cannot be applied safely. ","")&amp;IF(AND($I500&lt;&gt;"",OR($I500&lt;QC_BD_MIN,$I500&gt;QC_BD_MAX)),"Bulk density outside "&amp;QC_BD_MIN&amp;"–"&amp;QC_BD_MAX&amp;" g/cm³. ","")&amp;IF(AND($L500&lt;&gt;"",$L500&gt;QC_CARBON_PCT_MAX),"Carbon above "&amp;QC_CARBON_PCT_MAX&amp;"% — check units; this may be organic matter rather than carbon. ","")&amp;IF(AND($J500&lt;&gt;"",$K500&lt;&gt;""),"Both LOI and measured carbon given — the measured value is used. ","")&amp;IF(AND($N500&lt;&gt;"",$N500=0),"Slice lies entirely below the reporting depth — it counts to the full-core stock only. ",""))</f>
        <v/>
      </c>
      <c r="R500" s="13"/>
    </row>
    <row r="501" customFormat="false" ht="15" hidden="false" customHeight="false" outlineLevel="0" collapsed="false">
      <c r="A501" s="13"/>
      <c r="B501" s="13"/>
      <c r="C501" s="13"/>
      <c r="D501" s="13"/>
      <c r="E501" s="13"/>
      <c r="F501" s="13" t="str">
        <f aca="false">IF(OR($D501="",$E501=""),"",$E501-$D501)</f>
        <v/>
      </c>
      <c r="G501" s="13"/>
      <c r="H501" s="13"/>
      <c r="I501" s="15"/>
      <c r="J501" s="15"/>
      <c r="K501" s="15"/>
      <c r="L501" s="14" t="str">
        <f aca="false">IF($K501&lt;&gt;"",$K501,IF($J501&lt;&gt;"",$J501*CARBON_FRACTION_OM,""))</f>
        <v/>
      </c>
      <c r="M501" s="14" t="n">
        <f aca="false">IF($H501="Fine earth / fine-earth volume",1-IF($G501="",0,$G501)/100,1)</f>
        <v>1</v>
      </c>
      <c r="N501" s="14" t="str">
        <f aca="false">IF(OR($D501="",$E501=""),"",MAX(0,MIN($E501,REPORTING_DEPTH_CM)-MIN($D501,REPORTING_DEPTH_CM)))</f>
        <v/>
      </c>
      <c r="O501" s="14" t="str">
        <f aca="false">IF(OR($I501="",$L501="",$N501=""),"",$I501*($L501/100)*$N501*$M501*10)</f>
        <v/>
      </c>
      <c r="P501" s="14" t="str">
        <f aca="false">IF(OR($I501="",$L501="",$F501=""),"",$I501*($L501/100)*$F501*$M501*10)</f>
        <v/>
      </c>
      <c r="Q501" s="14" t="str">
        <f aca="false">IF(AND($A501="",$B501="",$D501=""),"",IF(AND($B501&lt;&gt;"",COUNTIF('2. Core Log'!$A$5:$A$124,$B501)=0),"Core ID not in Core Log. ","")&amp;IF(AND($A501&lt;&gt;"",COUNTIF('1. Plot &amp; Site Log'!$A$5:$A$64,$A501)=0),"Plot ID not in Plot &amp; Site Log. ","")&amp;IF(AND($D501&lt;&gt;"",$E501&lt;&gt;"",$E501&lt;=$D501),"Bottom depth is not below top depth. ","")&amp;IF($H501="","Say which bulk-density basis the lab reported, or the coarse-fragment correction cannot be applied safely. ","")&amp;IF(AND($I501&lt;&gt;"",OR($I501&lt;QC_BD_MIN,$I501&gt;QC_BD_MAX)),"Bulk density outside "&amp;QC_BD_MIN&amp;"–"&amp;QC_BD_MAX&amp;" g/cm³. ","")&amp;IF(AND($L501&lt;&gt;"",$L501&gt;QC_CARBON_PCT_MAX),"Carbon above "&amp;QC_CARBON_PCT_MAX&amp;"% — check units; this may be organic matter rather than carbon. ","")&amp;IF(AND($J501&lt;&gt;"",$K501&lt;&gt;""),"Both LOI and measured carbon given — the measured value is used. ","")&amp;IF(AND($N501&lt;&gt;"",$N501=0),"Slice lies entirely below the reporting depth — it counts to the full-core stock only. ",""))</f>
        <v/>
      </c>
      <c r="R501" s="13"/>
    </row>
    <row r="502" customFormat="false" ht="15" hidden="false" customHeight="false" outlineLevel="0" collapsed="false">
      <c r="A502" s="13"/>
      <c r="B502" s="13"/>
      <c r="C502" s="13"/>
      <c r="D502" s="13"/>
      <c r="E502" s="13"/>
      <c r="F502" s="13" t="str">
        <f aca="false">IF(OR($D502="",$E502=""),"",$E502-$D502)</f>
        <v/>
      </c>
      <c r="G502" s="13"/>
      <c r="H502" s="13"/>
      <c r="I502" s="15"/>
      <c r="J502" s="15"/>
      <c r="K502" s="15"/>
      <c r="L502" s="14" t="str">
        <f aca="false">IF($K502&lt;&gt;"",$K502,IF($J502&lt;&gt;"",$J502*CARBON_FRACTION_OM,""))</f>
        <v/>
      </c>
      <c r="M502" s="14" t="n">
        <f aca="false">IF($H502="Fine earth / fine-earth volume",1-IF($G502="",0,$G502)/100,1)</f>
        <v>1</v>
      </c>
      <c r="N502" s="14" t="str">
        <f aca="false">IF(OR($D502="",$E502=""),"",MAX(0,MIN($E502,REPORTING_DEPTH_CM)-MIN($D502,REPORTING_DEPTH_CM)))</f>
        <v/>
      </c>
      <c r="O502" s="14" t="str">
        <f aca="false">IF(OR($I502="",$L502="",$N502=""),"",$I502*($L502/100)*$N502*$M502*10)</f>
        <v/>
      </c>
      <c r="P502" s="14" t="str">
        <f aca="false">IF(OR($I502="",$L502="",$F502=""),"",$I502*($L502/100)*$F502*$M502*10)</f>
        <v/>
      </c>
      <c r="Q502" s="14" t="str">
        <f aca="false">IF(AND($A502="",$B502="",$D502=""),"",IF(AND($B502&lt;&gt;"",COUNTIF('2. Core Log'!$A$5:$A$124,$B502)=0),"Core ID not in Core Log. ","")&amp;IF(AND($A502&lt;&gt;"",COUNTIF('1. Plot &amp; Site Log'!$A$5:$A$64,$A502)=0),"Plot ID not in Plot &amp; Site Log. ","")&amp;IF(AND($D502&lt;&gt;"",$E502&lt;&gt;"",$E502&lt;=$D502),"Bottom depth is not below top depth. ","")&amp;IF($H502="","Say which bulk-density basis the lab reported, or the coarse-fragment correction cannot be applied safely. ","")&amp;IF(AND($I502&lt;&gt;"",OR($I502&lt;QC_BD_MIN,$I502&gt;QC_BD_MAX)),"Bulk density outside "&amp;QC_BD_MIN&amp;"–"&amp;QC_BD_MAX&amp;" g/cm³. ","")&amp;IF(AND($L502&lt;&gt;"",$L502&gt;QC_CARBON_PCT_MAX),"Carbon above "&amp;QC_CARBON_PCT_MAX&amp;"% — check units; this may be organic matter rather than carbon. ","")&amp;IF(AND($J502&lt;&gt;"",$K502&lt;&gt;""),"Both LOI and measured carbon given — the measured value is used. ","")&amp;IF(AND($N502&lt;&gt;"",$N502=0),"Slice lies entirely below the reporting depth — it counts to the full-core stock only. ",""))</f>
        <v/>
      </c>
      <c r="R502" s="13"/>
    </row>
    <row r="503" customFormat="false" ht="15" hidden="false" customHeight="false" outlineLevel="0" collapsed="false">
      <c r="A503" s="13"/>
      <c r="B503" s="13"/>
      <c r="C503" s="13"/>
      <c r="D503" s="13"/>
      <c r="E503" s="13"/>
      <c r="F503" s="13" t="str">
        <f aca="false">IF(OR($D503="",$E503=""),"",$E503-$D503)</f>
        <v/>
      </c>
      <c r="G503" s="13"/>
      <c r="H503" s="13"/>
      <c r="I503" s="15"/>
      <c r="J503" s="15"/>
      <c r="K503" s="15"/>
      <c r="L503" s="14" t="str">
        <f aca="false">IF($K503&lt;&gt;"",$K503,IF($J503&lt;&gt;"",$J503*CARBON_FRACTION_OM,""))</f>
        <v/>
      </c>
      <c r="M503" s="14" t="n">
        <f aca="false">IF($H503="Fine earth / fine-earth volume",1-IF($G503="",0,$G503)/100,1)</f>
        <v>1</v>
      </c>
      <c r="N503" s="14" t="str">
        <f aca="false">IF(OR($D503="",$E503=""),"",MAX(0,MIN($E503,REPORTING_DEPTH_CM)-MIN($D503,REPORTING_DEPTH_CM)))</f>
        <v/>
      </c>
      <c r="O503" s="14" t="str">
        <f aca="false">IF(OR($I503="",$L503="",$N503=""),"",$I503*($L503/100)*$N503*$M503*10)</f>
        <v/>
      </c>
      <c r="P503" s="14" t="str">
        <f aca="false">IF(OR($I503="",$L503="",$F503=""),"",$I503*($L503/100)*$F503*$M503*10)</f>
        <v/>
      </c>
      <c r="Q503" s="14" t="str">
        <f aca="false">IF(AND($A503="",$B503="",$D503=""),"",IF(AND($B503&lt;&gt;"",COUNTIF('2. Core Log'!$A$5:$A$124,$B503)=0),"Core ID not in Core Log. ","")&amp;IF(AND($A503&lt;&gt;"",COUNTIF('1. Plot &amp; Site Log'!$A$5:$A$64,$A503)=0),"Plot ID not in Plot &amp; Site Log. ","")&amp;IF(AND($D503&lt;&gt;"",$E503&lt;&gt;"",$E503&lt;=$D503),"Bottom depth is not below top depth. ","")&amp;IF($H503="","Say which bulk-density basis the lab reported, or the coarse-fragment correction cannot be applied safely. ","")&amp;IF(AND($I503&lt;&gt;"",OR($I503&lt;QC_BD_MIN,$I503&gt;QC_BD_MAX)),"Bulk density outside "&amp;QC_BD_MIN&amp;"–"&amp;QC_BD_MAX&amp;" g/cm³. ","")&amp;IF(AND($L503&lt;&gt;"",$L503&gt;QC_CARBON_PCT_MAX),"Carbon above "&amp;QC_CARBON_PCT_MAX&amp;"% — check units; this may be organic matter rather than carbon. ","")&amp;IF(AND($J503&lt;&gt;"",$K503&lt;&gt;""),"Both LOI and measured carbon given — the measured value is used. ","")&amp;IF(AND($N503&lt;&gt;"",$N503=0),"Slice lies entirely below the reporting depth — it counts to the full-core stock only. ",""))</f>
        <v/>
      </c>
      <c r="R503" s="13"/>
    </row>
    <row r="504" customFormat="false" ht="15" hidden="false" customHeight="false" outlineLevel="0" collapsed="false">
      <c r="A504" s="13"/>
      <c r="B504" s="13"/>
      <c r="C504" s="13"/>
      <c r="D504" s="13"/>
      <c r="E504" s="13"/>
      <c r="F504" s="13" t="str">
        <f aca="false">IF(OR($D504="",$E504=""),"",$E504-$D504)</f>
        <v/>
      </c>
      <c r="G504" s="13"/>
      <c r="H504" s="13"/>
      <c r="I504" s="15"/>
      <c r="J504" s="15"/>
      <c r="K504" s="15"/>
      <c r="L504" s="14" t="str">
        <f aca="false">IF($K504&lt;&gt;"",$K504,IF($J504&lt;&gt;"",$J504*CARBON_FRACTION_OM,""))</f>
        <v/>
      </c>
      <c r="M504" s="14" t="n">
        <f aca="false">IF($H504="Fine earth / fine-earth volume",1-IF($G504="",0,$G504)/100,1)</f>
        <v>1</v>
      </c>
      <c r="N504" s="14" t="str">
        <f aca="false">IF(OR($D504="",$E504=""),"",MAX(0,MIN($E504,REPORTING_DEPTH_CM)-MIN($D504,REPORTING_DEPTH_CM)))</f>
        <v/>
      </c>
      <c r="O504" s="14" t="str">
        <f aca="false">IF(OR($I504="",$L504="",$N504=""),"",$I504*($L504/100)*$N504*$M504*10)</f>
        <v/>
      </c>
      <c r="P504" s="14" t="str">
        <f aca="false">IF(OR($I504="",$L504="",$F504=""),"",$I504*($L504/100)*$F504*$M504*10)</f>
        <v/>
      </c>
      <c r="Q504" s="14" t="str">
        <f aca="false">IF(AND($A504="",$B504="",$D504=""),"",IF(AND($B504&lt;&gt;"",COUNTIF('2. Core Log'!$A$5:$A$124,$B504)=0),"Core ID not in Core Log. ","")&amp;IF(AND($A504&lt;&gt;"",COUNTIF('1. Plot &amp; Site Log'!$A$5:$A$64,$A504)=0),"Plot ID not in Plot &amp; Site Log. ","")&amp;IF(AND($D504&lt;&gt;"",$E504&lt;&gt;"",$E504&lt;=$D504),"Bottom depth is not below top depth. ","")&amp;IF($H504="","Say which bulk-density basis the lab reported, or the coarse-fragment correction cannot be applied safely. ","")&amp;IF(AND($I504&lt;&gt;"",OR($I504&lt;QC_BD_MIN,$I504&gt;QC_BD_MAX)),"Bulk density outside "&amp;QC_BD_MIN&amp;"–"&amp;QC_BD_MAX&amp;" g/cm³. ","")&amp;IF(AND($L504&lt;&gt;"",$L504&gt;QC_CARBON_PCT_MAX),"Carbon above "&amp;QC_CARBON_PCT_MAX&amp;"% — check units; this may be organic matter rather than carbon. ","")&amp;IF(AND($J504&lt;&gt;"",$K504&lt;&gt;""),"Both LOI and measured carbon given — the measured value is used. ","")&amp;IF(AND($N504&lt;&gt;"",$N504=0),"Slice lies entirely below the reporting depth — it counts to the full-core stock only. ",""))</f>
        <v/>
      </c>
      <c r="R504" s="13"/>
    </row>
  </sheetData>
  <mergeCells count="1">
    <mergeCell ref="A2:R2"/>
  </mergeCells>
  <dataValidations count="3">
    <dataValidation allowBlank="true" errorStyle="stop" operator="between" showDropDown="false" showErrorMessage="false" showInputMessage="false" sqref="H5:H504" type="list">
      <formula1>"Fine earth / total volume,Fine earth / fine-earth volume"</formula1>
      <formula2>0</formula2>
    </dataValidation>
    <dataValidation allowBlank="true" errorStyle="stop" operator="between" showDropDown="false" showErrorMessage="false" showInputMessage="false" sqref="B5:B504" type="list">
      <formula1>'2. Core Log'!$A$5:$A$124</formula1>
      <formula2>0</formula2>
    </dataValidation>
    <dataValidation allowBlank="true" errorStyle="stop" operator="between" showDropDown="false" showErrorMessage="false" showInputMessage="false" sqref="A5:A504" type="list">
      <formula1>'1. Plot &amp; Site Log'!$A$5:$A$64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5" min="14" style="0" width="14"/>
    <col collapsed="false" customWidth="true" hidden="false" outlineLevel="0" max="16" min="16" style="0" width="13"/>
    <col collapsed="false" customWidth="true" hidden="false" outlineLevel="0" max="17" min="17" style="0" width="44"/>
    <col collapsed="false" customWidth="true" hidden="true" outlineLevel="0" max="18" min="18" style="0" width="9"/>
    <col collapsed="false" customWidth="true" hidden="true" outlineLevel="0" max="19" min="19" style="0" width="7"/>
  </cols>
  <sheetData>
    <row r="1" customFormat="false" ht="17.35" hidden="false" customHeight="false" outlineLevel="0" collapsed="false">
      <c r="A1" s="10" t="s">
        <v>191</v>
      </c>
    </row>
    <row r="2" customFormat="false" ht="31.5" hidden="false" customHeight="true" outlineLevel="0" collapsed="false">
      <c r="A2" s="11" t="s">
        <v>192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4" customFormat="false" ht="42" hidden="false" customHeight="true" outlineLevel="0" collapsed="false">
      <c r="A4" s="12" t="s">
        <v>55</v>
      </c>
      <c r="B4" s="12" t="s">
        <v>56</v>
      </c>
      <c r="C4" s="12" t="s">
        <v>193</v>
      </c>
      <c r="D4" s="12" t="s">
        <v>66</v>
      </c>
      <c r="E4" s="12" t="s">
        <v>194</v>
      </c>
      <c r="F4" s="12" t="s">
        <v>195</v>
      </c>
      <c r="G4" s="12" t="s">
        <v>67</v>
      </c>
      <c r="H4" s="12" t="s">
        <v>196</v>
      </c>
      <c r="I4" s="12" t="s">
        <v>197</v>
      </c>
      <c r="J4" s="12" t="s">
        <v>68</v>
      </c>
      <c r="K4" s="12" t="s">
        <v>198</v>
      </c>
      <c r="L4" s="12" t="s">
        <v>199</v>
      </c>
      <c r="M4" s="12" t="s">
        <v>200</v>
      </c>
      <c r="N4" s="12" t="s">
        <v>201</v>
      </c>
      <c r="O4" s="12" t="s">
        <v>202</v>
      </c>
      <c r="P4" s="12" t="s">
        <v>203</v>
      </c>
      <c r="Q4" s="12" t="s">
        <v>107</v>
      </c>
      <c r="R4" s="12" t="s">
        <v>204</v>
      </c>
      <c r="S4" s="12" t="s">
        <v>205</v>
      </c>
    </row>
    <row r="5" customFormat="false" ht="15" hidden="false" customHeight="false" outlineLevel="0" collapsed="false">
      <c r="A5" s="14" t="str">
        <f aca="false">IF(INDEX('1. Plot &amp; Site Log'!$A$5:$A$64,ROW()-4)="","",INDEX('1. Plot &amp; Site Log'!$A$5:$A$64,ROW()-4))</f>
        <v>MR-01</v>
      </c>
      <c r="B5" s="14" t="str">
        <f aca="false">IF($A5="","",INDEX('1. Plot &amp; Site Log'!$B$5:$B$64,MATCH($A5,'1. Plot &amp; Site Log'!$A$5:$A$64,0)))</f>
        <v>S1</v>
      </c>
      <c r="C5" s="14" t="n">
        <f aca="false">IF($A5="","",SUMIFS('3. Tree Data'!$P$5:$P$404,'3. Tree Data'!$A$5:$A$404,$A5))</f>
        <v>1951.23225867346</v>
      </c>
      <c r="D5" s="14" t="n">
        <f aca="false">IF($A5="","",INDEX('1. Plot &amp; Site Log'!$R$5:$R$64,MATCH($A5,'1. Plot &amp; Site Log'!$A$5:$A$64,0)))</f>
        <v>400</v>
      </c>
      <c r="E5" s="14" t="n">
        <f aca="false">IF(OR($A5="",$D5="",$D5=0),"",$C5/$D5)</f>
        <v>4.87808064668364</v>
      </c>
      <c r="F5" s="14" t="n">
        <f aca="false">IF($A5="","",SUMIFS('4. Understory Data'!$O$5:$O$254,'4. Understory Data'!$A$5:$A$254,$A5,'4. Understory Data'!$C$5:$C$254,"Medium"))</f>
        <v>1.50913212278719</v>
      </c>
      <c r="G5" s="14" t="n">
        <f aca="false">IF($A5="","",INDEX('1. Plot &amp; Site Log'!$M$5:$M$64,MATCH($A5,'1. Plot &amp; Site Log'!$A$5:$A$64,0)))</f>
        <v>100</v>
      </c>
      <c r="H5" s="14" t="n">
        <f aca="false">IF(OR($A5="",$G5="",$G5=0),"",$F5/$G5)</f>
        <v>0.0150913212278719</v>
      </c>
      <c r="I5" s="14" t="n">
        <f aca="false">IF($A5="","",SUMIFS('4. Understory Data'!$O$5:$O$254,'4. Understory Data'!$A$5:$A$254,$A5,'4. Understory Data'!$C$5:$C$254,"Small"))</f>
        <v>0.18025</v>
      </c>
      <c r="J5" s="14" t="n">
        <f aca="false">IF($A5="","",INDEX('1. Plot &amp; Site Log'!$N$5:$N$64,MATCH($A5,'1. Plot &amp; Site Log'!$A$5:$A$64,0)))</f>
        <v>1</v>
      </c>
      <c r="K5" s="14" t="n">
        <f aca="false">IF(OR($A5="",$J5="",$J5=0),"",$I5/$J5)</f>
        <v>0.18025</v>
      </c>
      <c r="L5" s="14" t="n">
        <f aca="false">IF($A5="","",IF($H5="",0,$H5)+IF($K5="",0,$K5))</f>
        <v>0.195341321227872</v>
      </c>
      <c r="M5" s="14" t="n">
        <f aca="false">IF($A5="","",COUNTIFS('2. Core Log'!$B$5:$B$124,$A5))</f>
        <v>2</v>
      </c>
      <c r="N5" s="14" t="n">
        <f aca="false">IF(OR($A5="",$M5=0),"",IFERROR(AVERAGEIFS('2. Core Log'!$L$5:$L$124,'2. Core Log'!$B$5:$B$124,$A5),""))</f>
        <v>10.54577</v>
      </c>
      <c r="O5" s="14" t="n">
        <f aca="false">IF(OR($A5="",$M5=0),"",IFERROR(AVERAGEIFS('2. Core Log'!$M$5:$M$124,'2. Core Log'!$B$5:$B$124,$A5),""))</f>
        <v>11.46242</v>
      </c>
      <c r="P5" s="16" t="n">
        <f aca="false">IF($A5="","",IF($E5="",0,$E5)+IF($L5="",0,$L5)+IF($N5="",0,$N5))</f>
        <v>15.6191919679115</v>
      </c>
      <c r="Q5" s="14" t="str">
        <f aca="false">IF($A5="","",IF($C5=0,"No tree data for this plot. ","")&amp;IF($M5=0,"No soil cores for this plot — soil contributes zero to the total. ","")&amp;IF(AND($F5=0,$I5=0),"No understory data — the total is trees + soil only. ","")&amp;IF(OR($D5="",$D5=0),"No large plot area — tree carbon per m² cannot be calculated. ",""))</f>
        <v/>
      </c>
      <c r="R5" s="14" t="n">
        <f aca="false">IF(ISNUMBER($P5),$P5,0)</f>
        <v>15.6191919679115</v>
      </c>
      <c r="S5" s="14" t="n">
        <f aca="false">IF(AND(ISNUMBER($P5),$A5&lt;&gt;""),1,0)</f>
        <v>1</v>
      </c>
    </row>
    <row r="6" customFormat="false" ht="15" hidden="false" customHeight="false" outlineLevel="0" collapsed="false">
      <c r="A6" s="14" t="str">
        <f aca="false">IF(INDEX('1. Plot &amp; Site Log'!$A$5:$A$64,ROW()-4)="","",INDEX('1. Plot &amp; Site Log'!$A$5:$A$64,ROW()-4))</f>
        <v>MR-02</v>
      </c>
      <c r="B6" s="14" t="str">
        <f aca="false">IF($A6="","",INDEX('1. Plot &amp; Site Log'!$B$5:$B$64,MATCH($A6,'1. Plot &amp; Site Log'!$A$5:$A$64,0)))</f>
        <v>S1</v>
      </c>
      <c r="C6" s="14" t="n">
        <f aca="false">IF($A6="","",SUMIFS('3. Tree Data'!$P$5:$P$404,'3. Tree Data'!$A$5:$A$404,$A6))</f>
        <v>2412.20101886536</v>
      </c>
      <c r="D6" s="14" t="n">
        <f aca="false">IF($A6="","",INDEX('1. Plot &amp; Site Log'!$R$5:$R$64,MATCH($A6,'1. Plot &amp; Site Log'!$A$5:$A$64,0)))</f>
        <v>400</v>
      </c>
      <c r="E6" s="14" t="n">
        <f aca="false">IF(OR($A6="",$D6="",$D6=0),"",$C6/$D6)</f>
        <v>6.03050254716341</v>
      </c>
      <c r="F6" s="14" t="n">
        <f aca="false">IF($A6="","",SUMIFS('4. Understory Data'!$O$5:$O$254,'4. Understory Data'!$A$5:$A$254,$A6,'4. Understory Data'!$C$5:$C$254,"Medium"))</f>
        <v>1.36911913973836</v>
      </c>
      <c r="G6" s="14" t="n">
        <f aca="false">IF($A6="","",INDEX('1. Plot &amp; Site Log'!$M$5:$M$64,MATCH($A6,'1. Plot &amp; Site Log'!$A$5:$A$64,0)))</f>
        <v>100</v>
      </c>
      <c r="H6" s="14" t="n">
        <f aca="false">IF(OR($A6="",$G6="",$G6=0),"",$F6/$G6)</f>
        <v>0.0136911913973836</v>
      </c>
      <c r="I6" s="14" t="n">
        <f aca="false">IF($A6="","",SUMIFS('4. Understory Data'!$O$5:$O$254,'4. Understory Data'!$A$5:$A$254,$A6,'4. Understory Data'!$C$5:$C$254,"Small"))</f>
        <v>0.16465</v>
      </c>
      <c r="J6" s="14" t="n">
        <f aca="false">IF($A6="","",INDEX('1. Plot &amp; Site Log'!$N$5:$N$64,MATCH($A6,'1. Plot &amp; Site Log'!$A$5:$A$64,0)))</f>
        <v>1</v>
      </c>
      <c r="K6" s="14" t="n">
        <f aca="false">IF(OR($A6="",$J6="",$J6=0),"",$I6/$J6)</f>
        <v>0.16465</v>
      </c>
      <c r="L6" s="14" t="n">
        <f aca="false">IF($A6="","",IF($H6="",0,$H6)+IF($K6="",0,$K6))</f>
        <v>0.178341191397384</v>
      </c>
      <c r="M6" s="14" t="n">
        <f aca="false">IF($A6="","",COUNTIFS('2. Core Log'!$B$5:$B$124,$A6))</f>
        <v>1</v>
      </c>
      <c r="N6" s="14" t="n">
        <f aca="false">IF(OR($A6="",$M6=0),"",IFERROR(AVERAGEIFS('2. Core Log'!$L$5:$L$124,'2. Core Log'!$B$5:$B$124,$A6),""))</f>
        <v>10.50648</v>
      </c>
      <c r="O6" s="14" t="n">
        <f aca="false">IF(OR($A6="",$M6=0),"",IFERROR(AVERAGEIFS('2. Core Log'!$M$5:$M$124,'2. Core Log'!$B$5:$B$124,$A6),""))</f>
        <v>11.32278</v>
      </c>
      <c r="P6" s="16" t="n">
        <f aca="false">IF($A6="","",IF($E6="",0,$E6)+IF($L6="",0,$L6)+IF($N6="",0,$N6))</f>
        <v>16.7153237385608</v>
      </c>
      <c r="Q6" s="14" t="str">
        <f aca="false">IF($A6="","",IF($C6=0,"No tree data for this plot. ","")&amp;IF($M6=0,"No soil cores for this plot — soil contributes zero to the total. ","")&amp;IF(AND($F6=0,$I6=0),"No understory data — the total is trees + soil only. ","")&amp;IF(OR($D6="",$D6=0),"No large plot area — tree carbon per m² cannot be calculated. ",""))</f>
        <v/>
      </c>
      <c r="R6" s="14" t="n">
        <f aca="false">IF(ISNUMBER($P6),$P6,0)</f>
        <v>16.7153237385608</v>
      </c>
      <c r="S6" s="14" t="n">
        <f aca="false">IF(AND(ISNUMBER($P6),$A6&lt;&gt;""),1,0)</f>
        <v>1</v>
      </c>
    </row>
    <row r="7" customFormat="false" ht="15" hidden="false" customHeight="false" outlineLevel="0" collapsed="false">
      <c r="A7" s="14" t="str">
        <f aca="false">IF(INDEX('1. Plot &amp; Site Log'!$A$5:$A$64,ROW()-4)="","",INDEX('1. Plot &amp; Site Log'!$A$5:$A$64,ROW()-4))</f>
        <v>MR-03</v>
      </c>
      <c r="B7" s="14" t="str">
        <f aca="false">IF($A7="","",INDEX('1. Plot &amp; Site Log'!$B$5:$B$64,MATCH($A7,'1. Plot &amp; Site Log'!$A$5:$A$64,0)))</f>
        <v>S1</v>
      </c>
      <c r="C7" s="14" t="n">
        <f aca="false">IF($A7="","",SUMIFS('3. Tree Data'!$P$5:$P$404,'3. Tree Data'!$A$5:$A$404,$A7))</f>
        <v>1604.44136140135</v>
      </c>
      <c r="D7" s="14" t="n">
        <f aca="false">IF($A7="","",INDEX('1. Plot &amp; Site Log'!$R$5:$R$64,MATCH($A7,'1. Plot &amp; Site Log'!$A$5:$A$64,0)))</f>
        <v>391.015062916487</v>
      </c>
      <c r="E7" s="14" t="n">
        <f aca="false">IF(OR($A7="",$D7="",$D7=0),"",$C7/$D7)</f>
        <v>4.10327251700794</v>
      </c>
      <c r="F7" s="14" t="n">
        <f aca="false">IF($A7="","",SUMIFS('4. Understory Data'!$O$5:$O$254,'4. Understory Data'!$A$5:$A$254,$A7,'4. Understory Data'!$C$5:$C$254,"Medium"))</f>
        <v>0.770654364668401</v>
      </c>
      <c r="G7" s="14" t="n">
        <f aca="false">IF($A7="","",INDEX('1. Plot &amp; Site Log'!$M$5:$M$64,MATCH($A7,'1. Plot &amp; Site Log'!$A$5:$A$64,0)))</f>
        <v>100</v>
      </c>
      <c r="H7" s="14" t="n">
        <f aca="false">IF(OR($A7="",$G7="",$G7=0),"",$F7/$G7)</f>
        <v>0.00770654364668401</v>
      </c>
      <c r="I7" s="14" t="n">
        <f aca="false">IF($A7="","",SUMIFS('4. Understory Data'!$O$5:$O$254,'4. Understory Data'!$A$5:$A$254,$A7,'4. Understory Data'!$C$5:$C$254,"Small"))</f>
        <v>0.1484</v>
      </c>
      <c r="J7" s="14" t="n">
        <f aca="false">IF($A7="","",INDEX('1. Plot &amp; Site Log'!$N$5:$N$64,MATCH($A7,'1. Plot &amp; Site Log'!$A$5:$A$64,0)))</f>
        <v>1</v>
      </c>
      <c r="K7" s="14" t="n">
        <f aca="false">IF(OR($A7="",$J7="",$J7=0),"",$I7/$J7)</f>
        <v>0.1484</v>
      </c>
      <c r="L7" s="14" t="n">
        <f aca="false">IF($A7="","",IF($H7="",0,$H7)+IF($K7="",0,$K7))</f>
        <v>0.156106543646684</v>
      </c>
      <c r="M7" s="14" t="n">
        <f aca="false">IF($A7="","",COUNTIFS('2. Core Log'!$B$5:$B$124,$A7))</f>
        <v>1</v>
      </c>
      <c r="N7" s="14" t="n">
        <f aca="false">IF(OR($A7="",$M7=0),"",IFERROR(AVERAGEIFS('2. Core Log'!$L$5:$L$124,'2. Core Log'!$B$5:$B$124,$A7),""))</f>
        <v>9.756524</v>
      </c>
      <c r="O7" s="14" t="n">
        <f aca="false">IF(OR($A7="",$M7=0),"",IFERROR(AVERAGEIFS('2. Core Log'!$M$5:$M$124,'2. Core Log'!$B$5:$B$124,$A7),""))</f>
        <v>9.756524</v>
      </c>
      <c r="P7" s="16" t="n">
        <f aca="false">IF($A7="","",IF($E7="",0,$E7)+IF($L7="",0,$L7)+IF($N7="",0,$N7))</f>
        <v>14.0159030606546</v>
      </c>
      <c r="Q7" s="14" t="str">
        <f aca="false">IF($A7="","",IF($C7=0,"No tree data for this plot. ","")&amp;IF($M7=0,"No soil cores for this plot — soil contributes zero to the total. ","")&amp;IF(AND($F7=0,$I7=0),"No understory data — the total is trees + soil only. ","")&amp;IF(OR($D7="",$D7=0),"No large plot area — tree carbon per m² cannot be calculated. ",""))</f>
        <v/>
      </c>
      <c r="R7" s="14" t="n">
        <f aca="false">IF(ISNUMBER($P7),$P7,0)</f>
        <v>14.0159030606546</v>
      </c>
      <c r="S7" s="14" t="n">
        <f aca="false">IF(AND(ISNUMBER($P7),$A7&lt;&gt;""),1,0)</f>
        <v>1</v>
      </c>
    </row>
    <row r="8" customFormat="false" ht="15" hidden="false" customHeight="false" outlineLevel="0" collapsed="false">
      <c r="A8" s="14" t="str">
        <f aca="false">IF(INDEX('1. Plot &amp; Site Log'!$A$5:$A$64,ROW()-4)="","",INDEX('1. Plot &amp; Site Log'!$A$5:$A$64,ROW()-4))</f>
        <v>BC-01</v>
      </c>
      <c r="B8" s="14" t="str">
        <f aca="false">IF($A8="","",INDEX('1. Plot &amp; Site Log'!$B$5:$B$64,MATCH($A8,'1. Plot &amp; Site Log'!$A$5:$A$64,0)))</f>
        <v>S2</v>
      </c>
      <c r="C8" s="14" t="n">
        <f aca="false">IF($A8="","",SUMIFS('3. Tree Data'!$P$5:$P$404,'3. Tree Data'!$A$5:$A$404,$A8))</f>
        <v>630.599429499413</v>
      </c>
      <c r="D8" s="14" t="n">
        <f aca="false">IF($A8="","",INDEX('1. Plot &amp; Site Log'!$R$5:$R$64,MATCH($A8,'1. Plot &amp; Site Log'!$A$5:$A$64,0)))</f>
        <v>400</v>
      </c>
      <c r="E8" s="14" t="n">
        <f aca="false">IF(OR($A8="",$D8="",$D8=0),"",$C8/$D8)</f>
        <v>1.57649857374853</v>
      </c>
      <c r="F8" s="14" t="n">
        <f aca="false">IF($A8="","",SUMIFS('4. Understory Data'!$O$5:$O$254,'4. Understory Data'!$A$5:$A$254,$A8,'4. Understory Data'!$C$5:$C$254,"Medium"))</f>
        <v>1.62786614223543</v>
      </c>
      <c r="G8" s="14" t="n">
        <f aca="false">IF($A8="","",INDEX('1. Plot &amp; Site Log'!$M$5:$M$64,MATCH($A8,'1. Plot &amp; Site Log'!$A$5:$A$64,0)))</f>
        <v>100</v>
      </c>
      <c r="H8" s="14" t="n">
        <f aca="false">IF(OR($A8="",$G8="",$G8=0),"",$F8/$G8)</f>
        <v>0.0162786614223543</v>
      </c>
      <c r="I8" s="14" t="n">
        <f aca="false">IF($A8="","",SUMIFS('4. Understory Data'!$O$5:$O$254,'4. Understory Data'!$A$5:$A$254,$A8,'4. Understory Data'!$C$5:$C$254,"Small"))</f>
        <v>0.282</v>
      </c>
      <c r="J8" s="14" t="n">
        <f aca="false">IF($A8="","",INDEX('1. Plot &amp; Site Log'!$N$5:$N$64,MATCH($A8,'1. Plot &amp; Site Log'!$A$5:$A$64,0)))</f>
        <v>1</v>
      </c>
      <c r="K8" s="14" t="n">
        <f aca="false">IF(OR($A8="",$J8="",$J8=0),"",$I8/$J8)</f>
        <v>0.282</v>
      </c>
      <c r="L8" s="14" t="n">
        <f aca="false">IF($A8="","",IF($H8="",0,$H8)+IF($K8="",0,$K8))</f>
        <v>0.298278661422354</v>
      </c>
      <c r="M8" s="14" t="n">
        <f aca="false">IF($A8="","",COUNTIFS('2. Core Log'!$B$5:$B$124,$A8))</f>
        <v>2</v>
      </c>
      <c r="N8" s="14" t="n">
        <f aca="false">IF(OR($A8="",$M8=0),"",IFERROR(AVERAGEIFS('2. Core Log'!$L$5:$L$124,'2. Core Log'!$B$5:$B$124,$A8),""))</f>
        <v>11.6029525</v>
      </c>
      <c r="O8" s="14" t="n">
        <f aca="false">IF(OR($A8="",$M8=0),"",IFERROR(AVERAGEIFS('2. Core Log'!$M$5:$M$124,'2. Core Log'!$B$5:$B$124,$A8),""))</f>
        <v>13.4430225</v>
      </c>
      <c r="P8" s="16" t="n">
        <f aca="false">IF($A8="","",IF($E8="",0,$E8)+IF($L8="",0,$L8)+IF($N8="",0,$N8))</f>
        <v>13.4777297351709</v>
      </c>
      <c r="Q8" s="14" t="str">
        <f aca="false">IF($A8="","",IF($C8=0,"No tree data for this plot. ","")&amp;IF($M8=0,"No soil cores for this plot — soil contributes zero to the total. ","")&amp;IF(AND($F8=0,$I8=0),"No understory data — the total is trees + soil only. ","")&amp;IF(OR($D8="",$D8=0),"No large plot area — tree carbon per m² cannot be calculated. ",""))</f>
        <v/>
      </c>
      <c r="R8" s="14" t="n">
        <f aca="false">IF(ISNUMBER($P8),$P8,0)</f>
        <v>13.4777297351709</v>
      </c>
      <c r="S8" s="14" t="n">
        <f aca="false">IF(AND(ISNUMBER($P8),$A8&lt;&gt;""),1,0)</f>
        <v>1</v>
      </c>
    </row>
    <row r="9" customFormat="false" ht="15" hidden="false" customHeight="false" outlineLevel="0" collapsed="false">
      <c r="A9" s="14" t="str">
        <f aca="false">IF(INDEX('1. Plot &amp; Site Log'!$A$5:$A$64,ROW()-4)="","",INDEX('1. Plot &amp; Site Log'!$A$5:$A$64,ROW()-4))</f>
        <v>BC-02</v>
      </c>
      <c r="B9" s="14" t="str">
        <f aca="false">IF($A9="","",INDEX('1. Plot &amp; Site Log'!$B$5:$B$64,MATCH($A9,'1. Plot &amp; Site Log'!$A$5:$A$64,0)))</f>
        <v>S2</v>
      </c>
      <c r="C9" s="14" t="n">
        <f aca="false">IF($A9="","",SUMIFS('3. Tree Data'!$P$5:$P$404,'3. Tree Data'!$A$5:$A$404,$A9))</f>
        <v>640.302187201577</v>
      </c>
      <c r="D9" s="14" t="n">
        <f aca="false">IF($A9="","",INDEX('1. Plot &amp; Site Log'!$R$5:$R$64,MATCH($A9,'1. Plot &amp; Site Log'!$A$5:$A$64,0)))</f>
        <v>400</v>
      </c>
      <c r="E9" s="14" t="n">
        <f aca="false">IF(OR($A9="",$D9="",$D9=0),"",$C9/$D9)</f>
        <v>1.60075546800394</v>
      </c>
      <c r="F9" s="14" t="n">
        <f aca="false">IF($A9="","",SUMIFS('4. Understory Data'!$O$5:$O$254,'4. Understory Data'!$A$5:$A$254,$A9,'4. Understory Data'!$C$5:$C$254,"Medium"))</f>
        <v>1.36785983895704</v>
      </c>
      <c r="G9" s="14" t="n">
        <f aca="false">IF($A9="","",INDEX('1. Plot &amp; Site Log'!$M$5:$M$64,MATCH($A9,'1. Plot &amp; Site Log'!$A$5:$A$64,0)))</f>
        <v>100</v>
      </c>
      <c r="H9" s="14" t="n">
        <f aca="false">IF(OR($A9="",$G9="",$G9=0),"",$F9/$G9)</f>
        <v>0.0136785983895704</v>
      </c>
      <c r="I9" s="14" t="n">
        <f aca="false">IF($A9="","",SUMIFS('4. Understory Data'!$O$5:$O$254,'4. Understory Data'!$A$5:$A$254,$A9,'4. Understory Data'!$C$5:$C$254,"Small"))</f>
        <v>0.16045</v>
      </c>
      <c r="J9" s="14" t="n">
        <f aca="false">IF($A9="","",INDEX('1. Plot &amp; Site Log'!$N$5:$N$64,MATCH($A9,'1. Plot &amp; Site Log'!$A$5:$A$64,0)))</f>
        <v>1</v>
      </c>
      <c r="K9" s="14" t="n">
        <f aca="false">IF(OR($A9="",$J9="",$J9=0),"",$I9/$J9)</f>
        <v>0.16045</v>
      </c>
      <c r="L9" s="14" t="n">
        <f aca="false">IF($A9="","",IF($H9="",0,$H9)+IF($K9="",0,$K9))</f>
        <v>0.17412859838957</v>
      </c>
      <c r="M9" s="14" t="n">
        <f aca="false">IF($A9="","",COUNTIFS('2. Core Log'!$B$5:$B$124,$A9))</f>
        <v>1</v>
      </c>
      <c r="N9" s="14" t="n">
        <f aca="false">IF(OR($A9="",$M9=0),"",IFERROR(AVERAGEIFS('2. Core Log'!$L$5:$L$124,'2. Core Log'!$B$5:$B$124,$A9),""))</f>
        <v>10.794935</v>
      </c>
      <c r="O9" s="14" t="n">
        <f aca="false">IF(OR($A9="",$M9=0),"",IFERROR(AVERAGEIFS('2. Core Log'!$M$5:$M$124,'2. Core Log'!$B$5:$B$124,$A9),""))</f>
        <v>11.600435</v>
      </c>
      <c r="P9" s="16" t="n">
        <f aca="false">IF($A9="","",IF($E9="",0,$E9)+IF($L9="",0,$L9)+IF($N9="",0,$N9))</f>
        <v>12.5698190663935</v>
      </c>
      <c r="Q9" s="14" t="str">
        <f aca="false">IF($A9="","",IF($C9=0,"No tree data for this plot. ","")&amp;IF($M9=0,"No soil cores for this plot — soil contributes zero to the total. ","")&amp;IF(AND($F9=0,$I9=0),"No understory data — the total is trees + soil only. ","")&amp;IF(OR($D9="",$D9=0),"No large plot area — tree carbon per m² cannot be calculated. ",""))</f>
        <v/>
      </c>
      <c r="R9" s="14" t="n">
        <f aca="false">IF(ISNUMBER($P9),$P9,0)</f>
        <v>12.5698190663935</v>
      </c>
      <c r="S9" s="14" t="n">
        <f aca="false">IF(AND(ISNUMBER($P9),$A9&lt;&gt;""),1,0)</f>
        <v>1</v>
      </c>
    </row>
    <row r="10" customFormat="false" ht="15" hidden="false" customHeight="false" outlineLevel="0" collapsed="false">
      <c r="A10" s="14" t="str">
        <f aca="false">IF(INDEX('1. Plot &amp; Site Log'!$A$5:$A$64,ROW()-4)="","",INDEX('1. Plot &amp; Site Log'!$A$5:$A$64,ROW()-4))</f>
        <v>BC-03</v>
      </c>
      <c r="B10" s="14" t="str">
        <f aca="false">IF($A10="","",INDEX('1. Plot &amp; Site Log'!$B$5:$B$64,MATCH($A10,'1. Plot &amp; Site Log'!$A$5:$A$64,0)))</f>
        <v>S2</v>
      </c>
      <c r="C10" s="14" t="n">
        <f aca="false">IF($A10="","",SUMIFS('3. Tree Data'!$P$5:$P$404,'3. Tree Data'!$A$5:$A$404,$A10))</f>
        <v>734.18295003468</v>
      </c>
      <c r="D10" s="14" t="n">
        <f aca="false">IF($A10="","",INDEX('1. Plot &amp; Site Log'!$R$5:$R$64,MATCH($A10,'1. Plot &amp; Site Log'!$A$5:$A$64,0)))</f>
        <v>400</v>
      </c>
      <c r="E10" s="14" t="n">
        <f aca="false">IF(OR($A10="",$D10="",$D10=0),"",$C10/$D10)</f>
        <v>1.8354573750867</v>
      </c>
      <c r="F10" s="14" t="n">
        <f aca="false">IF($A10="","",SUMIFS('4. Understory Data'!$O$5:$O$254,'4. Understory Data'!$A$5:$A$254,$A10,'4. Understory Data'!$C$5:$C$254,"Medium"))</f>
        <v>1.80412357034989</v>
      </c>
      <c r="G10" s="14" t="n">
        <f aca="false">IF($A10="","",INDEX('1. Plot &amp; Site Log'!$M$5:$M$64,MATCH($A10,'1. Plot &amp; Site Log'!$A$5:$A$64,0)))</f>
        <v>100</v>
      </c>
      <c r="H10" s="14" t="n">
        <f aca="false">IF(OR($A10="",$G10="",$G10=0),"",$F10/$G10)</f>
        <v>0.0180412357034989</v>
      </c>
      <c r="I10" s="14" t="n">
        <f aca="false">IF($A10="","",SUMIFS('4. Understory Data'!$O$5:$O$254,'4. Understory Data'!$A$5:$A$254,$A10,'4. Understory Data'!$C$5:$C$254,"Small"))</f>
        <v>0.16675</v>
      </c>
      <c r="J10" s="14" t="n">
        <f aca="false">IF($A10="","",INDEX('1. Plot &amp; Site Log'!$N$5:$N$64,MATCH($A10,'1. Plot &amp; Site Log'!$A$5:$A$64,0)))</f>
        <v>1</v>
      </c>
      <c r="K10" s="14" t="n">
        <f aca="false">IF(OR($A10="",$J10="",$J10=0),"",$I10/$J10)</f>
        <v>0.16675</v>
      </c>
      <c r="L10" s="14" t="n">
        <f aca="false">IF($A10="","",IF($H10="",0,$H10)+IF($K10="",0,$K10))</f>
        <v>0.184791235703499</v>
      </c>
      <c r="M10" s="14" t="n">
        <f aca="false">IF($A10="","",COUNTIFS('2. Core Log'!$B$5:$B$124,$A10))</f>
        <v>1</v>
      </c>
      <c r="N10" s="14" t="n">
        <f aca="false">IF(OR($A10="",$M10=0),"",IFERROR(AVERAGEIFS('2. Core Log'!$L$5:$L$124,'2. Core Log'!$B$5:$B$124,$A10),""))</f>
        <v>10.58331</v>
      </c>
      <c r="O10" s="14" t="n">
        <f aca="false">IF(OR($A10="",$M10=0),"",IFERROR(AVERAGEIFS('2. Core Log'!$M$5:$M$124,'2. Core Log'!$B$5:$B$124,$A10),""))</f>
        <v>10.58331</v>
      </c>
      <c r="P10" s="16" t="n">
        <f aca="false">IF($A10="","",IF($E10="",0,$E10)+IF($L10="",0,$L10)+IF($N10="",0,$N10))</f>
        <v>12.6035586107902</v>
      </c>
      <c r="Q10" s="14" t="str">
        <f aca="false">IF($A10="","",IF($C10=0,"No tree data for this plot. ","")&amp;IF($M10=0,"No soil cores for this plot — soil contributes zero to the total. ","")&amp;IF(AND($F10=0,$I10=0),"No understory data — the total is trees + soil only. ","")&amp;IF(OR($D10="",$D10=0),"No large plot area — tree carbon per m² cannot be calculated. ",""))</f>
        <v/>
      </c>
      <c r="R10" s="14" t="n">
        <f aca="false">IF(ISNUMBER($P10),$P10,0)</f>
        <v>12.6035586107902</v>
      </c>
      <c r="S10" s="14" t="n">
        <f aca="false">IF(AND(ISNUMBER($P10),$A10&lt;&gt;""),1,0)</f>
        <v>1</v>
      </c>
    </row>
    <row r="11" customFormat="false" ht="15" hidden="false" customHeight="false" outlineLevel="0" collapsed="false">
      <c r="A11" s="14" t="str">
        <f aca="false">IF(INDEX('1. Plot &amp; Site Log'!$A$5:$A$64,ROW()-4)="","",INDEX('1. Plot &amp; Site Log'!$A$5:$A$64,ROW()-4))</f>
        <v/>
      </c>
      <c r="B11" s="14" t="str">
        <f aca="false">IF($A11="","",INDEX('1. Plot &amp; Site Log'!$B$5:$B$64,MATCH($A11,'1. Plot &amp; Site Log'!$A$5:$A$64,0)))</f>
        <v/>
      </c>
      <c r="C11" s="14" t="str">
        <f aca="false">IF($A11="","",SUMIFS('3. Tree Data'!$P$5:$P$404,'3. Tree Data'!$A$5:$A$404,$A11))</f>
        <v/>
      </c>
      <c r="D11" s="14" t="str">
        <f aca="false">IF($A11="","",INDEX('1. Plot &amp; Site Log'!$R$5:$R$64,MATCH($A11,'1. Plot &amp; Site Log'!$A$5:$A$64,0)))</f>
        <v/>
      </c>
      <c r="E11" s="14" t="str">
        <f aca="false">IF(OR($A11="",$D11="",$D11=0),"",$C11/$D11)</f>
        <v/>
      </c>
      <c r="F11" s="14" t="str">
        <f aca="false">IF($A11="","",SUMIFS('4. Understory Data'!$O$5:$O$254,'4. Understory Data'!$A$5:$A$254,$A11,'4. Understory Data'!$C$5:$C$254,"Medium"))</f>
        <v/>
      </c>
      <c r="G11" s="14" t="str">
        <f aca="false">IF($A11="","",INDEX('1. Plot &amp; Site Log'!$M$5:$M$64,MATCH($A11,'1. Plot &amp; Site Log'!$A$5:$A$64,0)))</f>
        <v/>
      </c>
      <c r="H11" s="14" t="str">
        <f aca="false">IF(OR($A11="",$G11="",$G11=0),"",$F11/$G11)</f>
        <v/>
      </c>
      <c r="I11" s="14" t="str">
        <f aca="false">IF($A11="","",SUMIFS('4. Understory Data'!$O$5:$O$254,'4. Understory Data'!$A$5:$A$254,$A11,'4. Understory Data'!$C$5:$C$254,"Small"))</f>
        <v/>
      </c>
      <c r="J11" s="14" t="str">
        <f aca="false">IF($A11="","",INDEX('1. Plot &amp; Site Log'!$N$5:$N$64,MATCH($A11,'1. Plot &amp; Site Log'!$A$5:$A$64,0)))</f>
        <v/>
      </c>
      <c r="K11" s="14" t="str">
        <f aca="false">IF(OR($A11="",$J11="",$J11=0),"",$I11/$J11)</f>
        <v/>
      </c>
      <c r="L11" s="14" t="str">
        <f aca="false">IF($A11="","",IF($H11="",0,$H11)+IF($K11="",0,$K11))</f>
        <v/>
      </c>
      <c r="M11" s="14" t="str">
        <f aca="false">IF($A11="","",COUNTIFS('2. Core Log'!$B$5:$B$124,$A11))</f>
        <v/>
      </c>
      <c r="N11" s="14" t="str">
        <f aca="false">IF(OR($A11="",$M11=0),"",IFERROR(AVERAGEIFS('2. Core Log'!$L$5:$L$124,'2. Core Log'!$B$5:$B$124,$A11),""))</f>
        <v/>
      </c>
      <c r="O11" s="14" t="str">
        <f aca="false">IF(OR($A11="",$M11=0),"",IFERROR(AVERAGEIFS('2. Core Log'!$M$5:$M$124,'2. Core Log'!$B$5:$B$124,$A11),""))</f>
        <v/>
      </c>
      <c r="P11" s="16" t="str">
        <f aca="false">IF($A11="","",IF($E11="",0,$E11)+IF($L11="",0,$L11)+IF($N11="",0,$N11))</f>
        <v/>
      </c>
      <c r="Q11" s="14" t="str">
        <f aca="false">IF($A11="","",IF($C11=0,"No tree data for this plot. ","")&amp;IF($M11=0,"No soil cores for this plot — soil contributes zero to the total. ","")&amp;IF(AND($F11=0,$I11=0),"No understory data — the total is trees + soil only. ","")&amp;IF(OR($D11="",$D11=0),"No large plot area — tree carbon per m² cannot be calculated. ",""))</f>
        <v/>
      </c>
      <c r="R11" s="14" t="n">
        <f aca="false">IF(ISNUMBER($P11),$P11,0)</f>
        <v>0</v>
      </c>
      <c r="S11" s="14" t="n">
        <f aca="false">IF(AND(ISNUMBER($P11),$A11&lt;&gt;""),1,0)</f>
        <v>0</v>
      </c>
    </row>
    <row r="12" customFormat="false" ht="15" hidden="false" customHeight="false" outlineLevel="0" collapsed="false">
      <c r="A12" s="14" t="str">
        <f aca="false">IF(INDEX('1. Plot &amp; Site Log'!$A$5:$A$64,ROW()-4)="","",INDEX('1. Plot &amp; Site Log'!$A$5:$A$64,ROW()-4))</f>
        <v/>
      </c>
      <c r="B12" s="14" t="str">
        <f aca="false">IF($A12="","",INDEX('1. Plot &amp; Site Log'!$B$5:$B$64,MATCH($A12,'1. Plot &amp; Site Log'!$A$5:$A$64,0)))</f>
        <v/>
      </c>
      <c r="C12" s="14" t="str">
        <f aca="false">IF($A12="","",SUMIFS('3. Tree Data'!$P$5:$P$404,'3. Tree Data'!$A$5:$A$404,$A12))</f>
        <v/>
      </c>
      <c r="D12" s="14" t="str">
        <f aca="false">IF($A12="","",INDEX('1. Plot &amp; Site Log'!$R$5:$R$64,MATCH($A12,'1. Plot &amp; Site Log'!$A$5:$A$64,0)))</f>
        <v/>
      </c>
      <c r="E12" s="14" t="str">
        <f aca="false">IF(OR($A12="",$D12="",$D12=0),"",$C12/$D12)</f>
        <v/>
      </c>
      <c r="F12" s="14" t="str">
        <f aca="false">IF($A12="","",SUMIFS('4. Understory Data'!$O$5:$O$254,'4. Understory Data'!$A$5:$A$254,$A12,'4. Understory Data'!$C$5:$C$254,"Medium"))</f>
        <v/>
      </c>
      <c r="G12" s="14" t="str">
        <f aca="false">IF($A12="","",INDEX('1. Plot &amp; Site Log'!$M$5:$M$64,MATCH($A12,'1. Plot &amp; Site Log'!$A$5:$A$64,0)))</f>
        <v/>
      </c>
      <c r="H12" s="14" t="str">
        <f aca="false">IF(OR($A12="",$G12="",$G12=0),"",$F12/$G12)</f>
        <v/>
      </c>
      <c r="I12" s="14" t="str">
        <f aca="false">IF($A12="","",SUMIFS('4. Understory Data'!$O$5:$O$254,'4. Understory Data'!$A$5:$A$254,$A12,'4. Understory Data'!$C$5:$C$254,"Small"))</f>
        <v/>
      </c>
      <c r="J12" s="14" t="str">
        <f aca="false">IF($A12="","",INDEX('1. Plot &amp; Site Log'!$N$5:$N$64,MATCH($A12,'1. Plot &amp; Site Log'!$A$5:$A$64,0)))</f>
        <v/>
      </c>
      <c r="K12" s="14" t="str">
        <f aca="false">IF(OR($A12="",$J12="",$J12=0),"",$I12/$J12)</f>
        <v/>
      </c>
      <c r="L12" s="14" t="str">
        <f aca="false">IF($A12="","",IF($H12="",0,$H12)+IF($K12="",0,$K12))</f>
        <v/>
      </c>
      <c r="M12" s="14" t="str">
        <f aca="false">IF($A12="","",COUNTIFS('2. Core Log'!$B$5:$B$124,$A12))</f>
        <v/>
      </c>
      <c r="N12" s="14" t="str">
        <f aca="false">IF(OR($A12="",$M12=0),"",IFERROR(AVERAGEIFS('2. Core Log'!$L$5:$L$124,'2. Core Log'!$B$5:$B$124,$A12),""))</f>
        <v/>
      </c>
      <c r="O12" s="14" t="str">
        <f aca="false">IF(OR($A12="",$M12=0),"",IFERROR(AVERAGEIFS('2. Core Log'!$M$5:$M$124,'2. Core Log'!$B$5:$B$124,$A12),""))</f>
        <v/>
      </c>
      <c r="P12" s="16" t="str">
        <f aca="false">IF($A12="","",IF($E12="",0,$E12)+IF($L12="",0,$L12)+IF($N12="",0,$N12))</f>
        <v/>
      </c>
      <c r="Q12" s="14" t="str">
        <f aca="false">IF($A12="","",IF($C12=0,"No tree data for this plot. ","")&amp;IF($M12=0,"No soil cores for this plot — soil contributes zero to the total. ","")&amp;IF(AND($F12=0,$I12=0),"No understory data — the total is trees + soil only. ","")&amp;IF(OR($D12="",$D12=0),"No large plot area — tree carbon per m² cannot be calculated. ",""))</f>
        <v/>
      </c>
      <c r="R12" s="14" t="n">
        <f aca="false">IF(ISNUMBER($P12),$P12,0)</f>
        <v>0</v>
      </c>
      <c r="S12" s="14" t="n">
        <f aca="false">IF(AND(ISNUMBER($P12),$A12&lt;&gt;""),1,0)</f>
        <v>0</v>
      </c>
    </row>
    <row r="13" customFormat="false" ht="15" hidden="false" customHeight="false" outlineLevel="0" collapsed="false">
      <c r="A13" s="14" t="str">
        <f aca="false">IF(INDEX('1. Plot &amp; Site Log'!$A$5:$A$64,ROW()-4)="","",INDEX('1. Plot &amp; Site Log'!$A$5:$A$64,ROW()-4))</f>
        <v/>
      </c>
      <c r="B13" s="14" t="str">
        <f aca="false">IF($A13="","",INDEX('1. Plot &amp; Site Log'!$B$5:$B$64,MATCH($A13,'1. Plot &amp; Site Log'!$A$5:$A$64,0)))</f>
        <v/>
      </c>
      <c r="C13" s="14" t="str">
        <f aca="false">IF($A13="","",SUMIFS('3. Tree Data'!$P$5:$P$404,'3. Tree Data'!$A$5:$A$404,$A13))</f>
        <v/>
      </c>
      <c r="D13" s="14" t="str">
        <f aca="false">IF($A13="","",INDEX('1. Plot &amp; Site Log'!$R$5:$R$64,MATCH($A13,'1. Plot &amp; Site Log'!$A$5:$A$64,0)))</f>
        <v/>
      </c>
      <c r="E13" s="14" t="str">
        <f aca="false">IF(OR($A13="",$D13="",$D13=0),"",$C13/$D13)</f>
        <v/>
      </c>
      <c r="F13" s="14" t="str">
        <f aca="false">IF($A13="","",SUMIFS('4. Understory Data'!$O$5:$O$254,'4. Understory Data'!$A$5:$A$254,$A13,'4. Understory Data'!$C$5:$C$254,"Medium"))</f>
        <v/>
      </c>
      <c r="G13" s="14" t="str">
        <f aca="false">IF($A13="","",INDEX('1. Plot &amp; Site Log'!$M$5:$M$64,MATCH($A13,'1. Plot &amp; Site Log'!$A$5:$A$64,0)))</f>
        <v/>
      </c>
      <c r="H13" s="14" t="str">
        <f aca="false">IF(OR($A13="",$G13="",$G13=0),"",$F13/$G13)</f>
        <v/>
      </c>
      <c r="I13" s="14" t="str">
        <f aca="false">IF($A13="","",SUMIFS('4. Understory Data'!$O$5:$O$254,'4. Understory Data'!$A$5:$A$254,$A13,'4. Understory Data'!$C$5:$C$254,"Small"))</f>
        <v/>
      </c>
      <c r="J13" s="14" t="str">
        <f aca="false">IF($A13="","",INDEX('1. Plot &amp; Site Log'!$N$5:$N$64,MATCH($A13,'1. Plot &amp; Site Log'!$A$5:$A$64,0)))</f>
        <v/>
      </c>
      <c r="K13" s="14" t="str">
        <f aca="false">IF(OR($A13="",$J13="",$J13=0),"",$I13/$J13)</f>
        <v/>
      </c>
      <c r="L13" s="14" t="str">
        <f aca="false">IF($A13="","",IF($H13="",0,$H13)+IF($K13="",0,$K13))</f>
        <v/>
      </c>
      <c r="M13" s="14" t="str">
        <f aca="false">IF($A13="","",COUNTIFS('2. Core Log'!$B$5:$B$124,$A13))</f>
        <v/>
      </c>
      <c r="N13" s="14" t="str">
        <f aca="false">IF(OR($A13="",$M13=0),"",IFERROR(AVERAGEIFS('2. Core Log'!$L$5:$L$124,'2. Core Log'!$B$5:$B$124,$A13),""))</f>
        <v/>
      </c>
      <c r="O13" s="14" t="str">
        <f aca="false">IF(OR($A13="",$M13=0),"",IFERROR(AVERAGEIFS('2. Core Log'!$M$5:$M$124,'2. Core Log'!$B$5:$B$124,$A13),""))</f>
        <v/>
      </c>
      <c r="P13" s="16" t="str">
        <f aca="false">IF($A13="","",IF($E13="",0,$E13)+IF($L13="",0,$L13)+IF($N13="",0,$N13))</f>
        <v/>
      </c>
      <c r="Q13" s="14" t="str">
        <f aca="false">IF($A13="","",IF($C13=0,"No tree data for this plot. ","")&amp;IF($M13=0,"No soil cores for this plot — soil contributes zero to the total. ","")&amp;IF(AND($F13=0,$I13=0),"No understory data — the total is trees + soil only. ","")&amp;IF(OR($D13="",$D13=0),"No large plot area — tree carbon per m² cannot be calculated. ",""))</f>
        <v/>
      </c>
      <c r="R13" s="14" t="n">
        <f aca="false">IF(ISNUMBER($P13),$P13,0)</f>
        <v>0</v>
      </c>
      <c r="S13" s="14" t="n">
        <f aca="false">IF(AND(ISNUMBER($P13),$A13&lt;&gt;""),1,0)</f>
        <v>0</v>
      </c>
    </row>
    <row r="14" customFormat="false" ht="15" hidden="false" customHeight="false" outlineLevel="0" collapsed="false">
      <c r="A14" s="14" t="str">
        <f aca="false">IF(INDEX('1. Plot &amp; Site Log'!$A$5:$A$64,ROW()-4)="","",INDEX('1. Plot &amp; Site Log'!$A$5:$A$64,ROW()-4))</f>
        <v/>
      </c>
      <c r="B14" s="14" t="str">
        <f aca="false">IF($A14="","",INDEX('1. Plot &amp; Site Log'!$B$5:$B$64,MATCH($A14,'1. Plot &amp; Site Log'!$A$5:$A$64,0)))</f>
        <v/>
      </c>
      <c r="C14" s="14" t="str">
        <f aca="false">IF($A14="","",SUMIFS('3. Tree Data'!$P$5:$P$404,'3. Tree Data'!$A$5:$A$404,$A14))</f>
        <v/>
      </c>
      <c r="D14" s="14" t="str">
        <f aca="false">IF($A14="","",INDEX('1. Plot &amp; Site Log'!$R$5:$R$64,MATCH($A14,'1. Plot &amp; Site Log'!$A$5:$A$64,0)))</f>
        <v/>
      </c>
      <c r="E14" s="14" t="str">
        <f aca="false">IF(OR($A14="",$D14="",$D14=0),"",$C14/$D14)</f>
        <v/>
      </c>
      <c r="F14" s="14" t="str">
        <f aca="false">IF($A14="","",SUMIFS('4. Understory Data'!$O$5:$O$254,'4. Understory Data'!$A$5:$A$254,$A14,'4. Understory Data'!$C$5:$C$254,"Medium"))</f>
        <v/>
      </c>
      <c r="G14" s="14" t="str">
        <f aca="false">IF($A14="","",INDEX('1. Plot &amp; Site Log'!$M$5:$M$64,MATCH($A14,'1. Plot &amp; Site Log'!$A$5:$A$64,0)))</f>
        <v/>
      </c>
      <c r="H14" s="14" t="str">
        <f aca="false">IF(OR($A14="",$G14="",$G14=0),"",$F14/$G14)</f>
        <v/>
      </c>
      <c r="I14" s="14" t="str">
        <f aca="false">IF($A14="","",SUMIFS('4. Understory Data'!$O$5:$O$254,'4. Understory Data'!$A$5:$A$254,$A14,'4. Understory Data'!$C$5:$C$254,"Small"))</f>
        <v/>
      </c>
      <c r="J14" s="14" t="str">
        <f aca="false">IF($A14="","",INDEX('1. Plot &amp; Site Log'!$N$5:$N$64,MATCH($A14,'1. Plot &amp; Site Log'!$A$5:$A$64,0)))</f>
        <v/>
      </c>
      <c r="K14" s="14" t="str">
        <f aca="false">IF(OR($A14="",$J14="",$J14=0),"",$I14/$J14)</f>
        <v/>
      </c>
      <c r="L14" s="14" t="str">
        <f aca="false">IF($A14="","",IF($H14="",0,$H14)+IF($K14="",0,$K14))</f>
        <v/>
      </c>
      <c r="M14" s="14" t="str">
        <f aca="false">IF($A14="","",COUNTIFS('2. Core Log'!$B$5:$B$124,$A14))</f>
        <v/>
      </c>
      <c r="N14" s="14" t="str">
        <f aca="false">IF(OR($A14="",$M14=0),"",IFERROR(AVERAGEIFS('2. Core Log'!$L$5:$L$124,'2. Core Log'!$B$5:$B$124,$A14),""))</f>
        <v/>
      </c>
      <c r="O14" s="14" t="str">
        <f aca="false">IF(OR($A14="",$M14=0),"",IFERROR(AVERAGEIFS('2. Core Log'!$M$5:$M$124,'2. Core Log'!$B$5:$B$124,$A14),""))</f>
        <v/>
      </c>
      <c r="P14" s="16" t="str">
        <f aca="false">IF($A14="","",IF($E14="",0,$E14)+IF($L14="",0,$L14)+IF($N14="",0,$N14))</f>
        <v/>
      </c>
      <c r="Q14" s="14" t="str">
        <f aca="false">IF($A14="","",IF($C14=0,"No tree data for this plot. ","")&amp;IF($M14=0,"No soil cores for this plot — soil contributes zero to the total. ","")&amp;IF(AND($F14=0,$I14=0),"No understory data — the total is trees + soil only. ","")&amp;IF(OR($D14="",$D14=0),"No large plot area — tree carbon per m² cannot be calculated. ",""))</f>
        <v/>
      </c>
      <c r="R14" s="14" t="n">
        <f aca="false">IF(ISNUMBER($P14),$P14,0)</f>
        <v>0</v>
      </c>
      <c r="S14" s="14" t="n">
        <f aca="false">IF(AND(ISNUMBER($P14),$A14&lt;&gt;""),1,0)</f>
        <v>0</v>
      </c>
    </row>
    <row r="15" customFormat="false" ht="15" hidden="false" customHeight="false" outlineLevel="0" collapsed="false">
      <c r="A15" s="14" t="str">
        <f aca="false">IF(INDEX('1. Plot &amp; Site Log'!$A$5:$A$64,ROW()-4)="","",INDEX('1. Plot &amp; Site Log'!$A$5:$A$64,ROW()-4))</f>
        <v/>
      </c>
      <c r="B15" s="14" t="str">
        <f aca="false">IF($A15="","",INDEX('1. Plot &amp; Site Log'!$B$5:$B$64,MATCH($A15,'1. Plot &amp; Site Log'!$A$5:$A$64,0)))</f>
        <v/>
      </c>
      <c r="C15" s="14" t="str">
        <f aca="false">IF($A15="","",SUMIFS('3. Tree Data'!$P$5:$P$404,'3. Tree Data'!$A$5:$A$404,$A15))</f>
        <v/>
      </c>
      <c r="D15" s="14" t="str">
        <f aca="false">IF($A15="","",INDEX('1. Plot &amp; Site Log'!$R$5:$R$64,MATCH($A15,'1. Plot &amp; Site Log'!$A$5:$A$64,0)))</f>
        <v/>
      </c>
      <c r="E15" s="14" t="str">
        <f aca="false">IF(OR($A15="",$D15="",$D15=0),"",$C15/$D15)</f>
        <v/>
      </c>
      <c r="F15" s="14" t="str">
        <f aca="false">IF($A15="","",SUMIFS('4. Understory Data'!$O$5:$O$254,'4. Understory Data'!$A$5:$A$254,$A15,'4. Understory Data'!$C$5:$C$254,"Medium"))</f>
        <v/>
      </c>
      <c r="G15" s="14" t="str">
        <f aca="false">IF($A15="","",INDEX('1. Plot &amp; Site Log'!$M$5:$M$64,MATCH($A15,'1. Plot &amp; Site Log'!$A$5:$A$64,0)))</f>
        <v/>
      </c>
      <c r="H15" s="14" t="str">
        <f aca="false">IF(OR($A15="",$G15="",$G15=0),"",$F15/$G15)</f>
        <v/>
      </c>
      <c r="I15" s="14" t="str">
        <f aca="false">IF($A15="","",SUMIFS('4. Understory Data'!$O$5:$O$254,'4. Understory Data'!$A$5:$A$254,$A15,'4. Understory Data'!$C$5:$C$254,"Small"))</f>
        <v/>
      </c>
      <c r="J15" s="14" t="str">
        <f aca="false">IF($A15="","",INDEX('1. Plot &amp; Site Log'!$N$5:$N$64,MATCH($A15,'1. Plot &amp; Site Log'!$A$5:$A$64,0)))</f>
        <v/>
      </c>
      <c r="K15" s="14" t="str">
        <f aca="false">IF(OR($A15="",$J15="",$J15=0),"",$I15/$J15)</f>
        <v/>
      </c>
      <c r="L15" s="14" t="str">
        <f aca="false">IF($A15="","",IF($H15="",0,$H15)+IF($K15="",0,$K15))</f>
        <v/>
      </c>
      <c r="M15" s="14" t="str">
        <f aca="false">IF($A15="","",COUNTIFS('2. Core Log'!$B$5:$B$124,$A15))</f>
        <v/>
      </c>
      <c r="N15" s="14" t="str">
        <f aca="false">IF(OR($A15="",$M15=0),"",IFERROR(AVERAGEIFS('2. Core Log'!$L$5:$L$124,'2. Core Log'!$B$5:$B$124,$A15),""))</f>
        <v/>
      </c>
      <c r="O15" s="14" t="str">
        <f aca="false">IF(OR($A15="",$M15=0),"",IFERROR(AVERAGEIFS('2. Core Log'!$M$5:$M$124,'2. Core Log'!$B$5:$B$124,$A15),""))</f>
        <v/>
      </c>
      <c r="P15" s="16" t="str">
        <f aca="false">IF($A15="","",IF($E15="",0,$E15)+IF($L15="",0,$L15)+IF($N15="",0,$N15))</f>
        <v/>
      </c>
      <c r="Q15" s="14" t="str">
        <f aca="false">IF($A15="","",IF($C15=0,"No tree data for this plot. ","")&amp;IF($M15=0,"No soil cores for this plot — soil contributes zero to the total. ","")&amp;IF(AND($F15=0,$I15=0),"No understory data — the total is trees + soil only. ","")&amp;IF(OR($D15="",$D15=0),"No large plot area — tree carbon per m² cannot be calculated. ",""))</f>
        <v/>
      </c>
      <c r="R15" s="14" t="n">
        <f aca="false">IF(ISNUMBER($P15),$P15,0)</f>
        <v>0</v>
      </c>
      <c r="S15" s="14" t="n">
        <f aca="false">IF(AND(ISNUMBER($P15),$A15&lt;&gt;""),1,0)</f>
        <v>0</v>
      </c>
    </row>
    <row r="16" customFormat="false" ht="15" hidden="false" customHeight="false" outlineLevel="0" collapsed="false">
      <c r="A16" s="14" t="str">
        <f aca="false">IF(INDEX('1. Plot &amp; Site Log'!$A$5:$A$64,ROW()-4)="","",INDEX('1. Plot &amp; Site Log'!$A$5:$A$64,ROW()-4))</f>
        <v/>
      </c>
      <c r="B16" s="14" t="str">
        <f aca="false">IF($A16="","",INDEX('1. Plot &amp; Site Log'!$B$5:$B$64,MATCH($A16,'1. Plot &amp; Site Log'!$A$5:$A$64,0)))</f>
        <v/>
      </c>
      <c r="C16" s="14" t="str">
        <f aca="false">IF($A16="","",SUMIFS('3. Tree Data'!$P$5:$P$404,'3. Tree Data'!$A$5:$A$404,$A16))</f>
        <v/>
      </c>
      <c r="D16" s="14" t="str">
        <f aca="false">IF($A16="","",INDEX('1. Plot &amp; Site Log'!$R$5:$R$64,MATCH($A16,'1. Plot &amp; Site Log'!$A$5:$A$64,0)))</f>
        <v/>
      </c>
      <c r="E16" s="14" t="str">
        <f aca="false">IF(OR($A16="",$D16="",$D16=0),"",$C16/$D16)</f>
        <v/>
      </c>
      <c r="F16" s="14" t="str">
        <f aca="false">IF($A16="","",SUMIFS('4. Understory Data'!$O$5:$O$254,'4. Understory Data'!$A$5:$A$254,$A16,'4. Understory Data'!$C$5:$C$254,"Medium"))</f>
        <v/>
      </c>
      <c r="G16" s="14" t="str">
        <f aca="false">IF($A16="","",INDEX('1. Plot &amp; Site Log'!$M$5:$M$64,MATCH($A16,'1. Plot &amp; Site Log'!$A$5:$A$64,0)))</f>
        <v/>
      </c>
      <c r="H16" s="14" t="str">
        <f aca="false">IF(OR($A16="",$G16="",$G16=0),"",$F16/$G16)</f>
        <v/>
      </c>
      <c r="I16" s="14" t="str">
        <f aca="false">IF($A16="","",SUMIFS('4. Understory Data'!$O$5:$O$254,'4. Understory Data'!$A$5:$A$254,$A16,'4. Understory Data'!$C$5:$C$254,"Small"))</f>
        <v/>
      </c>
      <c r="J16" s="14" t="str">
        <f aca="false">IF($A16="","",INDEX('1. Plot &amp; Site Log'!$N$5:$N$64,MATCH($A16,'1. Plot &amp; Site Log'!$A$5:$A$64,0)))</f>
        <v/>
      </c>
      <c r="K16" s="14" t="str">
        <f aca="false">IF(OR($A16="",$J16="",$J16=0),"",$I16/$J16)</f>
        <v/>
      </c>
      <c r="L16" s="14" t="str">
        <f aca="false">IF($A16="","",IF($H16="",0,$H16)+IF($K16="",0,$K16))</f>
        <v/>
      </c>
      <c r="M16" s="14" t="str">
        <f aca="false">IF($A16="","",COUNTIFS('2. Core Log'!$B$5:$B$124,$A16))</f>
        <v/>
      </c>
      <c r="N16" s="14" t="str">
        <f aca="false">IF(OR($A16="",$M16=0),"",IFERROR(AVERAGEIFS('2. Core Log'!$L$5:$L$124,'2. Core Log'!$B$5:$B$124,$A16),""))</f>
        <v/>
      </c>
      <c r="O16" s="14" t="str">
        <f aca="false">IF(OR($A16="",$M16=0),"",IFERROR(AVERAGEIFS('2. Core Log'!$M$5:$M$124,'2. Core Log'!$B$5:$B$124,$A16),""))</f>
        <v/>
      </c>
      <c r="P16" s="16" t="str">
        <f aca="false">IF($A16="","",IF($E16="",0,$E16)+IF($L16="",0,$L16)+IF($N16="",0,$N16))</f>
        <v/>
      </c>
      <c r="Q16" s="14" t="str">
        <f aca="false">IF($A16="","",IF($C16=0,"No tree data for this plot. ","")&amp;IF($M16=0,"No soil cores for this plot — soil contributes zero to the total. ","")&amp;IF(AND($F16=0,$I16=0),"No understory data — the total is trees + soil only. ","")&amp;IF(OR($D16="",$D16=0),"No large plot area — tree carbon per m² cannot be calculated. ",""))</f>
        <v/>
      </c>
      <c r="R16" s="14" t="n">
        <f aca="false">IF(ISNUMBER($P16),$P16,0)</f>
        <v>0</v>
      </c>
      <c r="S16" s="14" t="n">
        <f aca="false">IF(AND(ISNUMBER($P16),$A16&lt;&gt;""),1,0)</f>
        <v>0</v>
      </c>
    </row>
    <row r="17" customFormat="false" ht="15" hidden="false" customHeight="false" outlineLevel="0" collapsed="false">
      <c r="A17" s="14" t="str">
        <f aca="false">IF(INDEX('1. Plot &amp; Site Log'!$A$5:$A$64,ROW()-4)="","",INDEX('1. Plot &amp; Site Log'!$A$5:$A$64,ROW()-4))</f>
        <v/>
      </c>
      <c r="B17" s="14" t="str">
        <f aca="false">IF($A17="","",INDEX('1. Plot &amp; Site Log'!$B$5:$B$64,MATCH($A17,'1. Plot &amp; Site Log'!$A$5:$A$64,0)))</f>
        <v/>
      </c>
      <c r="C17" s="14" t="str">
        <f aca="false">IF($A17="","",SUMIFS('3. Tree Data'!$P$5:$P$404,'3. Tree Data'!$A$5:$A$404,$A17))</f>
        <v/>
      </c>
      <c r="D17" s="14" t="str">
        <f aca="false">IF($A17="","",INDEX('1. Plot &amp; Site Log'!$R$5:$R$64,MATCH($A17,'1. Plot &amp; Site Log'!$A$5:$A$64,0)))</f>
        <v/>
      </c>
      <c r="E17" s="14" t="str">
        <f aca="false">IF(OR($A17="",$D17="",$D17=0),"",$C17/$D17)</f>
        <v/>
      </c>
      <c r="F17" s="14" t="str">
        <f aca="false">IF($A17="","",SUMIFS('4. Understory Data'!$O$5:$O$254,'4. Understory Data'!$A$5:$A$254,$A17,'4. Understory Data'!$C$5:$C$254,"Medium"))</f>
        <v/>
      </c>
      <c r="G17" s="14" t="str">
        <f aca="false">IF($A17="","",INDEX('1. Plot &amp; Site Log'!$M$5:$M$64,MATCH($A17,'1. Plot &amp; Site Log'!$A$5:$A$64,0)))</f>
        <v/>
      </c>
      <c r="H17" s="14" t="str">
        <f aca="false">IF(OR($A17="",$G17="",$G17=0),"",$F17/$G17)</f>
        <v/>
      </c>
      <c r="I17" s="14" t="str">
        <f aca="false">IF($A17="","",SUMIFS('4. Understory Data'!$O$5:$O$254,'4. Understory Data'!$A$5:$A$254,$A17,'4. Understory Data'!$C$5:$C$254,"Small"))</f>
        <v/>
      </c>
      <c r="J17" s="14" t="str">
        <f aca="false">IF($A17="","",INDEX('1. Plot &amp; Site Log'!$N$5:$N$64,MATCH($A17,'1. Plot &amp; Site Log'!$A$5:$A$64,0)))</f>
        <v/>
      </c>
      <c r="K17" s="14" t="str">
        <f aca="false">IF(OR($A17="",$J17="",$J17=0),"",$I17/$J17)</f>
        <v/>
      </c>
      <c r="L17" s="14" t="str">
        <f aca="false">IF($A17="","",IF($H17="",0,$H17)+IF($K17="",0,$K17))</f>
        <v/>
      </c>
      <c r="M17" s="14" t="str">
        <f aca="false">IF($A17="","",COUNTIFS('2. Core Log'!$B$5:$B$124,$A17))</f>
        <v/>
      </c>
      <c r="N17" s="14" t="str">
        <f aca="false">IF(OR($A17="",$M17=0),"",IFERROR(AVERAGEIFS('2. Core Log'!$L$5:$L$124,'2. Core Log'!$B$5:$B$124,$A17),""))</f>
        <v/>
      </c>
      <c r="O17" s="14" t="str">
        <f aca="false">IF(OR($A17="",$M17=0),"",IFERROR(AVERAGEIFS('2. Core Log'!$M$5:$M$124,'2. Core Log'!$B$5:$B$124,$A17),""))</f>
        <v/>
      </c>
      <c r="P17" s="16" t="str">
        <f aca="false">IF($A17="","",IF($E17="",0,$E17)+IF($L17="",0,$L17)+IF($N17="",0,$N17))</f>
        <v/>
      </c>
      <c r="Q17" s="14" t="str">
        <f aca="false">IF($A17="","",IF($C17=0,"No tree data for this plot. ","")&amp;IF($M17=0,"No soil cores for this plot — soil contributes zero to the total. ","")&amp;IF(AND($F17=0,$I17=0),"No understory data — the total is trees + soil only. ","")&amp;IF(OR($D17="",$D17=0),"No large plot area — tree carbon per m² cannot be calculated. ",""))</f>
        <v/>
      </c>
      <c r="R17" s="14" t="n">
        <f aca="false">IF(ISNUMBER($P17),$P17,0)</f>
        <v>0</v>
      </c>
      <c r="S17" s="14" t="n">
        <f aca="false">IF(AND(ISNUMBER($P17),$A17&lt;&gt;""),1,0)</f>
        <v>0</v>
      </c>
    </row>
    <row r="18" customFormat="false" ht="15" hidden="false" customHeight="false" outlineLevel="0" collapsed="false">
      <c r="A18" s="14" t="str">
        <f aca="false">IF(INDEX('1. Plot &amp; Site Log'!$A$5:$A$64,ROW()-4)="","",INDEX('1. Plot &amp; Site Log'!$A$5:$A$64,ROW()-4))</f>
        <v/>
      </c>
      <c r="B18" s="14" t="str">
        <f aca="false">IF($A18="","",INDEX('1. Plot &amp; Site Log'!$B$5:$B$64,MATCH($A18,'1. Plot &amp; Site Log'!$A$5:$A$64,0)))</f>
        <v/>
      </c>
      <c r="C18" s="14" t="str">
        <f aca="false">IF($A18="","",SUMIFS('3. Tree Data'!$P$5:$P$404,'3. Tree Data'!$A$5:$A$404,$A18))</f>
        <v/>
      </c>
      <c r="D18" s="14" t="str">
        <f aca="false">IF($A18="","",INDEX('1. Plot &amp; Site Log'!$R$5:$R$64,MATCH($A18,'1. Plot &amp; Site Log'!$A$5:$A$64,0)))</f>
        <v/>
      </c>
      <c r="E18" s="14" t="str">
        <f aca="false">IF(OR($A18="",$D18="",$D18=0),"",$C18/$D18)</f>
        <v/>
      </c>
      <c r="F18" s="14" t="str">
        <f aca="false">IF($A18="","",SUMIFS('4. Understory Data'!$O$5:$O$254,'4. Understory Data'!$A$5:$A$254,$A18,'4. Understory Data'!$C$5:$C$254,"Medium"))</f>
        <v/>
      </c>
      <c r="G18" s="14" t="str">
        <f aca="false">IF($A18="","",INDEX('1. Plot &amp; Site Log'!$M$5:$M$64,MATCH($A18,'1. Plot &amp; Site Log'!$A$5:$A$64,0)))</f>
        <v/>
      </c>
      <c r="H18" s="14" t="str">
        <f aca="false">IF(OR($A18="",$G18="",$G18=0),"",$F18/$G18)</f>
        <v/>
      </c>
      <c r="I18" s="14" t="str">
        <f aca="false">IF($A18="","",SUMIFS('4. Understory Data'!$O$5:$O$254,'4. Understory Data'!$A$5:$A$254,$A18,'4. Understory Data'!$C$5:$C$254,"Small"))</f>
        <v/>
      </c>
      <c r="J18" s="14" t="str">
        <f aca="false">IF($A18="","",INDEX('1. Plot &amp; Site Log'!$N$5:$N$64,MATCH($A18,'1. Plot &amp; Site Log'!$A$5:$A$64,0)))</f>
        <v/>
      </c>
      <c r="K18" s="14" t="str">
        <f aca="false">IF(OR($A18="",$J18="",$J18=0),"",$I18/$J18)</f>
        <v/>
      </c>
      <c r="L18" s="14" t="str">
        <f aca="false">IF($A18="","",IF($H18="",0,$H18)+IF($K18="",0,$K18))</f>
        <v/>
      </c>
      <c r="M18" s="14" t="str">
        <f aca="false">IF($A18="","",COUNTIFS('2. Core Log'!$B$5:$B$124,$A18))</f>
        <v/>
      </c>
      <c r="N18" s="14" t="str">
        <f aca="false">IF(OR($A18="",$M18=0),"",IFERROR(AVERAGEIFS('2. Core Log'!$L$5:$L$124,'2. Core Log'!$B$5:$B$124,$A18),""))</f>
        <v/>
      </c>
      <c r="O18" s="14" t="str">
        <f aca="false">IF(OR($A18="",$M18=0),"",IFERROR(AVERAGEIFS('2. Core Log'!$M$5:$M$124,'2. Core Log'!$B$5:$B$124,$A18),""))</f>
        <v/>
      </c>
      <c r="P18" s="16" t="str">
        <f aca="false">IF($A18="","",IF($E18="",0,$E18)+IF($L18="",0,$L18)+IF($N18="",0,$N18))</f>
        <v/>
      </c>
      <c r="Q18" s="14" t="str">
        <f aca="false">IF($A18="","",IF($C18=0,"No tree data for this plot. ","")&amp;IF($M18=0,"No soil cores for this plot — soil contributes zero to the total. ","")&amp;IF(AND($F18=0,$I18=0),"No understory data — the total is trees + soil only. ","")&amp;IF(OR($D18="",$D18=0),"No large plot area — tree carbon per m² cannot be calculated. ",""))</f>
        <v/>
      </c>
      <c r="R18" s="14" t="n">
        <f aca="false">IF(ISNUMBER($P18),$P18,0)</f>
        <v>0</v>
      </c>
      <c r="S18" s="14" t="n">
        <f aca="false">IF(AND(ISNUMBER($P18),$A18&lt;&gt;""),1,0)</f>
        <v>0</v>
      </c>
    </row>
    <row r="19" customFormat="false" ht="15" hidden="false" customHeight="false" outlineLevel="0" collapsed="false">
      <c r="A19" s="14" t="str">
        <f aca="false">IF(INDEX('1. Plot &amp; Site Log'!$A$5:$A$64,ROW()-4)="","",INDEX('1. Plot &amp; Site Log'!$A$5:$A$64,ROW()-4))</f>
        <v/>
      </c>
      <c r="B19" s="14" t="str">
        <f aca="false">IF($A19="","",INDEX('1. Plot &amp; Site Log'!$B$5:$B$64,MATCH($A19,'1. Plot &amp; Site Log'!$A$5:$A$64,0)))</f>
        <v/>
      </c>
      <c r="C19" s="14" t="str">
        <f aca="false">IF($A19="","",SUMIFS('3. Tree Data'!$P$5:$P$404,'3. Tree Data'!$A$5:$A$404,$A19))</f>
        <v/>
      </c>
      <c r="D19" s="14" t="str">
        <f aca="false">IF($A19="","",INDEX('1. Plot &amp; Site Log'!$R$5:$R$64,MATCH($A19,'1. Plot &amp; Site Log'!$A$5:$A$64,0)))</f>
        <v/>
      </c>
      <c r="E19" s="14" t="str">
        <f aca="false">IF(OR($A19="",$D19="",$D19=0),"",$C19/$D19)</f>
        <v/>
      </c>
      <c r="F19" s="14" t="str">
        <f aca="false">IF($A19="","",SUMIFS('4. Understory Data'!$O$5:$O$254,'4. Understory Data'!$A$5:$A$254,$A19,'4. Understory Data'!$C$5:$C$254,"Medium"))</f>
        <v/>
      </c>
      <c r="G19" s="14" t="str">
        <f aca="false">IF($A19="","",INDEX('1. Plot &amp; Site Log'!$M$5:$M$64,MATCH($A19,'1. Plot &amp; Site Log'!$A$5:$A$64,0)))</f>
        <v/>
      </c>
      <c r="H19" s="14" t="str">
        <f aca="false">IF(OR($A19="",$G19="",$G19=0),"",$F19/$G19)</f>
        <v/>
      </c>
      <c r="I19" s="14" t="str">
        <f aca="false">IF($A19="","",SUMIFS('4. Understory Data'!$O$5:$O$254,'4. Understory Data'!$A$5:$A$254,$A19,'4. Understory Data'!$C$5:$C$254,"Small"))</f>
        <v/>
      </c>
      <c r="J19" s="14" t="str">
        <f aca="false">IF($A19="","",INDEX('1. Plot &amp; Site Log'!$N$5:$N$64,MATCH($A19,'1. Plot &amp; Site Log'!$A$5:$A$64,0)))</f>
        <v/>
      </c>
      <c r="K19" s="14" t="str">
        <f aca="false">IF(OR($A19="",$J19="",$J19=0),"",$I19/$J19)</f>
        <v/>
      </c>
      <c r="L19" s="14" t="str">
        <f aca="false">IF($A19="","",IF($H19="",0,$H19)+IF($K19="",0,$K19))</f>
        <v/>
      </c>
      <c r="M19" s="14" t="str">
        <f aca="false">IF($A19="","",COUNTIFS('2. Core Log'!$B$5:$B$124,$A19))</f>
        <v/>
      </c>
      <c r="N19" s="14" t="str">
        <f aca="false">IF(OR($A19="",$M19=0),"",IFERROR(AVERAGEIFS('2. Core Log'!$L$5:$L$124,'2. Core Log'!$B$5:$B$124,$A19),""))</f>
        <v/>
      </c>
      <c r="O19" s="14" t="str">
        <f aca="false">IF(OR($A19="",$M19=0),"",IFERROR(AVERAGEIFS('2. Core Log'!$M$5:$M$124,'2. Core Log'!$B$5:$B$124,$A19),""))</f>
        <v/>
      </c>
      <c r="P19" s="16" t="str">
        <f aca="false">IF($A19="","",IF($E19="",0,$E19)+IF($L19="",0,$L19)+IF($N19="",0,$N19))</f>
        <v/>
      </c>
      <c r="Q19" s="14" t="str">
        <f aca="false">IF($A19="","",IF($C19=0,"No tree data for this plot. ","")&amp;IF($M19=0,"No soil cores for this plot — soil contributes zero to the total. ","")&amp;IF(AND($F19=0,$I19=0),"No understory data — the total is trees + soil only. ","")&amp;IF(OR($D19="",$D19=0),"No large plot area — tree carbon per m² cannot be calculated. ",""))</f>
        <v/>
      </c>
      <c r="R19" s="14" t="n">
        <f aca="false">IF(ISNUMBER($P19),$P19,0)</f>
        <v>0</v>
      </c>
      <c r="S19" s="14" t="n">
        <f aca="false">IF(AND(ISNUMBER($P19),$A19&lt;&gt;""),1,0)</f>
        <v>0</v>
      </c>
    </row>
    <row r="20" customFormat="false" ht="15" hidden="false" customHeight="false" outlineLevel="0" collapsed="false">
      <c r="A20" s="14" t="str">
        <f aca="false">IF(INDEX('1. Plot &amp; Site Log'!$A$5:$A$64,ROW()-4)="","",INDEX('1. Plot &amp; Site Log'!$A$5:$A$64,ROW()-4))</f>
        <v/>
      </c>
      <c r="B20" s="14" t="str">
        <f aca="false">IF($A20="","",INDEX('1. Plot &amp; Site Log'!$B$5:$B$64,MATCH($A20,'1. Plot &amp; Site Log'!$A$5:$A$64,0)))</f>
        <v/>
      </c>
      <c r="C20" s="14" t="str">
        <f aca="false">IF($A20="","",SUMIFS('3. Tree Data'!$P$5:$P$404,'3. Tree Data'!$A$5:$A$404,$A20))</f>
        <v/>
      </c>
      <c r="D20" s="14" t="str">
        <f aca="false">IF($A20="","",INDEX('1. Plot &amp; Site Log'!$R$5:$R$64,MATCH($A20,'1. Plot &amp; Site Log'!$A$5:$A$64,0)))</f>
        <v/>
      </c>
      <c r="E20" s="14" t="str">
        <f aca="false">IF(OR($A20="",$D20="",$D20=0),"",$C20/$D20)</f>
        <v/>
      </c>
      <c r="F20" s="14" t="str">
        <f aca="false">IF($A20="","",SUMIFS('4. Understory Data'!$O$5:$O$254,'4. Understory Data'!$A$5:$A$254,$A20,'4. Understory Data'!$C$5:$C$254,"Medium"))</f>
        <v/>
      </c>
      <c r="G20" s="14" t="str">
        <f aca="false">IF($A20="","",INDEX('1. Plot &amp; Site Log'!$M$5:$M$64,MATCH($A20,'1. Plot &amp; Site Log'!$A$5:$A$64,0)))</f>
        <v/>
      </c>
      <c r="H20" s="14" t="str">
        <f aca="false">IF(OR($A20="",$G20="",$G20=0),"",$F20/$G20)</f>
        <v/>
      </c>
      <c r="I20" s="14" t="str">
        <f aca="false">IF($A20="","",SUMIFS('4. Understory Data'!$O$5:$O$254,'4. Understory Data'!$A$5:$A$254,$A20,'4. Understory Data'!$C$5:$C$254,"Small"))</f>
        <v/>
      </c>
      <c r="J20" s="14" t="str">
        <f aca="false">IF($A20="","",INDEX('1. Plot &amp; Site Log'!$N$5:$N$64,MATCH($A20,'1. Plot &amp; Site Log'!$A$5:$A$64,0)))</f>
        <v/>
      </c>
      <c r="K20" s="14" t="str">
        <f aca="false">IF(OR($A20="",$J20="",$J20=0),"",$I20/$J20)</f>
        <v/>
      </c>
      <c r="L20" s="14" t="str">
        <f aca="false">IF($A20="","",IF($H20="",0,$H20)+IF($K20="",0,$K20))</f>
        <v/>
      </c>
      <c r="M20" s="14" t="str">
        <f aca="false">IF($A20="","",COUNTIFS('2. Core Log'!$B$5:$B$124,$A20))</f>
        <v/>
      </c>
      <c r="N20" s="14" t="str">
        <f aca="false">IF(OR($A20="",$M20=0),"",IFERROR(AVERAGEIFS('2. Core Log'!$L$5:$L$124,'2. Core Log'!$B$5:$B$124,$A20),""))</f>
        <v/>
      </c>
      <c r="O20" s="14" t="str">
        <f aca="false">IF(OR($A20="",$M20=0),"",IFERROR(AVERAGEIFS('2. Core Log'!$M$5:$M$124,'2. Core Log'!$B$5:$B$124,$A20),""))</f>
        <v/>
      </c>
      <c r="P20" s="16" t="str">
        <f aca="false">IF($A20="","",IF($E20="",0,$E20)+IF($L20="",0,$L20)+IF($N20="",0,$N20))</f>
        <v/>
      </c>
      <c r="Q20" s="14" t="str">
        <f aca="false">IF($A20="","",IF($C20=0,"No tree data for this plot. ","")&amp;IF($M20=0,"No soil cores for this plot — soil contributes zero to the total. ","")&amp;IF(AND($F20=0,$I20=0),"No understory data — the total is trees + soil only. ","")&amp;IF(OR($D20="",$D20=0),"No large plot area — tree carbon per m² cannot be calculated. ",""))</f>
        <v/>
      </c>
      <c r="R20" s="14" t="n">
        <f aca="false">IF(ISNUMBER($P20),$P20,0)</f>
        <v>0</v>
      </c>
      <c r="S20" s="14" t="n">
        <f aca="false">IF(AND(ISNUMBER($P20),$A20&lt;&gt;""),1,0)</f>
        <v>0</v>
      </c>
    </row>
    <row r="21" customFormat="false" ht="15" hidden="false" customHeight="false" outlineLevel="0" collapsed="false">
      <c r="A21" s="14" t="str">
        <f aca="false">IF(INDEX('1. Plot &amp; Site Log'!$A$5:$A$64,ROW()-4)="","",INDEX('1. Plot &amp; Site Log'!$A$5:$A$64,ROW()-4))</f>
        <v/>
      </c>
      <c r="B21" s="14" t="str">
        <f aca="false">IF($A21="","",INDEX('1. Plot &amp; Site Log'!$B$5:$B$64,MATCH($A21,'1. Plot &amp; Site Log'!$A$5:$A$64,0)))</f>
        <v/>
      </c>
      <c r="C21" s="14" t="str">
        <f aca="false">IF($A21="","",SUMIFS('3. Tree Data'!$P$5:$P$404,'3. Tree Data'!$A$5:$A$404,$A21))</f>
        <v/>
      </c>
      <c r="D21" s="14" t="str">
        <f aca="false">IF($A21="","",INDEX('1. Plot &amp; Site Log'!$R$5:$R$64,MATCH($A21,'1. Plot &amp; Site Log'!$A$5:$A$64,0)))</f>
        <v/>
      </c>
      <c r="E21" s="14" t="str">
        <f aca="false">IF(OR($A21="",$D21="",$D21=0),"",$C21/$D21)</f>
        <v/>
      </c>
      <c r="F21" s="14" t="str">
        <f aca="false">IF($A21="","",SUMIFS('4. Understory Data'!$O$5:$O$254,'4. Understory Data'!$A$5:$A$254,$A21,'4. Understory Data'!$C$5:$C$254,"Medium"))</f>
        <v/>
      </c>
      <c r="G21" s="14" t="str">
        <f aca="false">IF($A21="","",INDEX('1. Plot &amp; Site Log'!$M$5:$M$64,MATCH($A21,'1. Plot &amp; Site Log'!$A$5:$A$64,0)))</f>
        <v/>
      </c>
      <c r="H21" s="14" t="str">
        <f aca="false">IF(OR($A21="",$G21="",$G21=0),"",$F21/$G21)</f>
        <v/>
      </c>
      <c r="I21" s="14" t="str">
        <f aca="false">IF($A21="","",SUMIFS('4. Understory Data'!$O$5:$O$254,'4. Understory Data'!$A$5:$A$254,$A21,'4. Understory Data'!$C$5:$C$254,"Small"))</f>
        <v/>
      </c>
      <c r="J21" s="14" t="str">
        <f aca="false">IF($A21="","",INDEX('1. Plot &amp; Site Log'!$N$5:$N$64,MATCH($A21,'1. Plot &amp; Site Log'!$A$5:$A$64,0)))</f>
        <v/>
      </c>
      <c r="K21" s="14" t="str">
        <f aca="false">IF(OR($A21="",$J21="",$J21=0),"",$I21/$J21)</f>
        <v/>
      </c>
      <c r="L21" s="14" t="str">
        <f aca="false">IF($A21="","",IF($H21="",0,$H21)+IF($K21="",0,$K21))</f>
        <v/>
      </c>
      <c r="M21" s="14" t="str">
        <f aca="false">IF($A21="","",COUNTIFS('2. Core Log'!$B$5:$B$124,$A21))</f>
        <v/>
      </c>
      <c r="N21" s="14" t="str">
        <f aca="false">IF(OR($A21="",$M21=0),"",IFERROR(AVERAGEIFS('2. Core Log'!$L$5:$L$124,'2. Core Log'!$B$5:$B$124,$A21),""))</f>
        <v/>
      </c>
      <c r="O21" s="14" t="str">
        <f aca="false">IF(OR($A21="",$M21=0),"",IFERROR(AVERAGEIFS('2. Core Log'!$M$5:$M$124,'2. Core Log'!$B$5:$B$124,$A21),""))</f>
        <v/>
      </c>
      <c r="P21" s="16" t="str">
        <f aca="false">IF($A21="","",IF($E21="",0,$E21)+IF($L21="",0,$L21)+IF($N21="",0,$N21))</f>
        <v/>
      </c>
      <c r="Q21" s="14" t="str">
        <f aca="false">IF($A21="","",IF($C21=0,"No tree data for this plot. ","")&amp;IF($M21=0,"No soil cores for this plot — soil contributes zero to the total. ","")&amp;IF(AND($F21=0,$I21=0),"No understory data — the total is trees + soil only. ","")&amp;IF(OR($D21="",$D21=0),"No large plot area — tree carbon per m² cannot be calculated. ",""))</f>
        <v/>
      </c>
      <c r="R21" s="14" t="n">
        <f aca="false">IF(ISNUMBER($P21),$P21,0)</f>
        <v>0</v>
      </c>
      <c r="S21" s="14" t="n">
        <f aca="false">IF(AND(ISNUMBER($P21),$A21&lt;&gt;""),1,0)</f>
        <v>0</v>
      </c>
    </row>
    <row r="22" customFormat="false" ht="15" hidden="false" customHeight="false" outlineLevel="0" collapsed="false">
      <c r="A22" s="14" t="str">
        <f aca="false">IF(INDEX('1. Plot &amp; Site Log'!$A$5:$A$64,ROW()-4)="","",INDEX('1. Plot &amp; Site Log'!$A$5:$A$64,ROW()-4))</f>
        <v/>
      </c>
      <c r="B22" s="14" t="str">
        <f aca="false">IF($A22="","",INDEX('1. Plot &amp; Site Log'!$B$5:$B$64,MATCH($A22,'1. Plot &amp; Site Log'!$A$5:$A$64,0)))</f>
        <v/>
      </c>
      <c r="C22" s="14" t="str">
        <f aca="false">IF($A22="","",SUMIFS('3. Tree Data'!$P$5:$P$404,'3. Tree Data'!$A$5:$A$404,$A22))</f>
        <v/>
      </c>
      <c r="D22" s="14" t="str">
        <f aca="false">IF($A22="","",INDEX('1. Plot &amp; Site Log'!$R$5:$R$64,MATCH($A22,'1. Plot &amp; Site Log'!$A$5:$A$64,0)))</f>
        <v/>
      </c>
      <c r="E22" s="14" t="str">
        <f aca="false">IF(OR($A22="",$D22="",$D22=0),"",$C22/$D22)</f>
        <v/>
      </c>
      <c r="F22" s="14" t="str">
        <f aca="false">IF($A22="","",SUMIFS('4. Understory Data'!$O$5:$O$254,'4. Understory Data'!$A$5:$A$254,$A22,'4. Understory Data'!$C$5:$C$254,"Medium"))</f>
        <v/>
      </c>
      <c r="G22" s="14" t="str">
        <f aca="false">IF($A22="","",INDEX('1. Plot &amp; Site Log'!$M$5:$M$64,MATCH($A22,'1. Plot &amp; Site Log'!$A$5:$A$64,0)))</f>
        <v/>
      </c>
      <c r="H22" s="14" t="str">
        <f aca="false">IF(OR($A22="",$G22="",$G22=0),"",$F22/$G22)</f>
        <v/>
      </c>
      <c r="I22" s="14" t="str">
        <f aca="false">IF($A22="","",SUMIFS('4. Understory Data'!$O$5:$O$254,'4. Understory Data'!$A$5:$A$254,$A22,'4. Understory Data'!$C$5:$C$254,"Small"))</f>
        <v/>
      </c>
      <c r="J22" s="14" t="str">
        <f aca="false">IF($A22="","",INDEX('1. Plot &amp; Site Log'!$N$5:$N$64,MATCH($A22,'1. Plot &amp; Site Log'!$A$5:$A$64,0)))</f>
        <v/>
      </c>
      <c r="K22" s="14" t="str">
        <f aca="false">IF(OR($A22="",$J22="",$J22=0),"",$I22/$J22)</f>
        <v/>
      </c>
      <c r="L22" s="14" t="str">
        <f aca="false">IF($A22="","",IF($H22="",0,$H22)+IF($K22="",0,$K22))</f>
        <v/>
      </c>
      <c r="M22" s="14" t="str">
        <f aca="false">IF($A22="","",COUNTIFS('2. Core Log'!$B$5:$B$124,$A22))</f>
        <v/>
      </c>
      <c r="N22" s="14" t="str">
        <f aca="false">IF(OR($A22="",$M22=0),"",IFERROR(AVERAGEIFS('2. Core Log'!$L$5:$L$124,'2. Core Log'!$B$5:$B$124,$A22),""))</f>
        <v/>
      </c>
      <c r="O22" s="14" t="str">
        <f aca="false">IF(OR($A22="",$M22=0),"",IFERROR(AVERAGEIFS('2. Core Log'!$M$5:$M$124,'2. Core Log'!$B$5:$B$124,$A22),""))</f>
        <v/>
      </c>
      <c r="P22" s="16" t="str">
        <f aca="false">IF($A22="","",IF($E22="",0,$E22)+IF($L22="",0,$L22)+IF($N22="",0,$N22))</f>
        <v/>
      </c>
      <c r="Q22" s="14" t="str">
        <f aca="false">IF($A22="","",IF($C22=0,"No tree data for this plot. ","")&amp;IF($M22=0,"No soil cores for this plot — soil contributes zero to the total. ","")&amp;IF(AND($F22=0,$I22=0),"No understory data — the total is trees + soil only. ","")&amp;IF(OR($D22="",$D22=0),"No large plot area — tree carbon per m² cannot be calculated. ",""))</f>
        <v/>
      </c>
      <c r="R22" s="14" t="n">
        <f aca="false">IF(ISNUMBER($P22),$P22,0)</f>
        <v>0</v>
      </c>
      <c r="S22" s="14" t="n">
        <f aca="false">IF(AND(ISNUMBER($P22),$A22&lt;&gt;""),1,0)</f>
        <v>0</v>
      </c>
    </row>
    <row r="23" customFormat="false" ht="15" hidden="false" customHeight="false" outlineLevel="0" collapsed="false">
      <c r="A23" s="14" t="str">
        <f aca="false">IF(INDEX('1. Plot &amp; Site Log'!$A$5:$A$64,ROW()-4)="","",INDEX('1. Plot &amp; Site Log'!$A$5:$A$64,ROW()-4))</f>
        <v/>
      </c>
      <c r="B23" s="14" t="str">
        <f aca="false">IF($A23="","",INDEX('1. Plot &amp; Site Log'!$B$5:$B$64,MATCH($A23,'1. Plot &amp; Site Log'!$A$5:$A$64,0)))</f>
        <v/>
      </c>
      <c r="C23" s="14" t="str">
        <f aca="false">IF($A23="","",SUMIFS('3. Tree Data'!$P$5:$P$404,'3. Tree Data'!$A$5:$A$404,$A23))</f>
        <v/>
      </c>
      <c r="D23" s="14" t="str">
        <f aca="false">IF($A23="","",INDEX('1. Plot &amp; Site Log'!$R$5:$R$64,MATCH($A23,'1. Plot &amp; Site Log'!$A$5:$A$64,0)))</f>
        <v/>
      </c>
      <c r="E23" s="14" t="str">
        <f aca="false">IF(OR($A23="",$D23="",$D23=0),"",$C23/$D23)</f>
        <v/>
      </c>
      <c r="F23" s="14" t="str">
        <f aca="false">IF($A23="","",SUMIFS('4. Understory Data'!$O$5:$O$254,'4. Understory Data'!$A$5:$A$254,$A23,'4. Understory Data'!$C$5:$C$254,"Medium"))</f>
        <v/>
      </c>
      <c r="G23" s="14" t="str">
        <f aca="false">IF($A23="","",INDEX('1. Plot &amp; Site Log'!$M$5:$M$64,MATCH($A23,'1. Plot &amp; Site Log'!$A$5:$A$64,0)))</f>
        <v/>
      </c>
      <c r="H23" s="14" t="str">
        <f aca="false">IF(OR($A23="",$G23="",$G23=0),"",$F23/$G23)</f>
        <v/>
      </c>
      <c r="I23" s="14" t="str">
        <f aca="false">IF($A23="","",SUMIFS('4. Understory Data'!$O$5:$O$254,'4. Understory Data'!$A$5:$A$254,$A23,'4. Understory Data'!$C$5:$C$254,"Small"))</f>
        <v/>
      </c>
      <c r="J23" s="14" t="str">
        <f aca="false">IF($A23="","",INDEX('1. Plot &amp; Site Log'!$N$5:$N$64,MATCH($A23,'1. Plot &amp; Site Log'!$A$5:$A$64,0)))</f>
        <v/>
      </c>
      <c r="K23" s="14" t="str">
        <f aca="false">IF(OR($A23="",$J23="",$J23=0),"",$I23/$J23)</f>
        <v/>
      </c>
      <c r="L23" s="14" t="str">
        <f aca="false">IF($A23="","",IF($H23="",0,$H23)+IF($K23="",0,$K23))</f>
        <v/>
      </c>
      <c r="M23" s="14" t="str">
        <f aca="false">IF($A23="","",COUNTIFS('2. Core Log'!$B$5:$B$124,$A23))</f>
        <v/>
      </c>
      <c r="N23" s="14" t="str">
        <f aca="false">IF(OR($A23="",$M23=0),"",IFERROR(AVERAGEIFS('2. Core Log'!$L$5:$L$124,'2. Core Log'!$B$5:$B$124,$A23),""))</f>
        <v/>
      </c>
      <c r="O23" s="14" t="str">
        <f aca="false">IF(OR($A23="",$M23=0),"",IFERROR(AVERAGEIFS('2. Core Log'!$M$5:$M$124,'2. Core Log'!$B$5:$B$124,$A23),""))</f>
        <v/>
      </c>
      <c r="P23" s="16" t="str">
        <f aca="false">IF($A23="","",IF($E23="",0,$E23)+IF($L23="",0,$L23)+IF($N23="",0,$N23))</f>
        <v/>
      </c>
      <c r="Q23" s="14" t="str">
        <f aca="false">IF($A23="","",IF($C23=0,"No tree data for this plot. ","")&amp;IF($M23=0,"No soil cores for this plot — soil contributes zero to the total. ","")&amp;IF(AND($F23=0,$I23=0),"No understory data — the total is trees + soil only. ","")&amp;IF(OR($D23="",$D23=0),"No large plot area — tree carbon per m² cannot be calculated. ",""))</f>
        <v/>
      </c>
      <c r="R23" s="14" t="n">
        <f aca="false">IF(ISNUMBER($P23),$P23,0)</f>
        <v>0</v>
      </c>
      <c r="S23" s="14" t="n">
        <f aca="false">IF(AND(ISNUMBER($P23),$A23&lt;&gt;""),1,0)</f>
        <v>0</v>
      </c>
    </row>
    <row r="24" customFormat="false" ht="15" hidden="false" customHeight="false" outlineLevel="0" collapsed="false">
      <c r="A24" s="14" t="str">
        <f aca="false">IF(INDEX('1. Plot &amp; Site Log'!$A$5:$A$64,ROW()-4)="","",INDEX('1. Plot &amp; Site Log'!$A$5:$A$64,ROW()-4))</f>
        <v/>
      </c>
      <c r="B24" s="14" t="str">
        <f aca="false">IF($A24="","",INDEX('1. Plot &amp; Site Log'!$B$5:$B$64,MATCH($A24,'1. Plot &amp; Site Log'!$A$5:$A$64,0)))</f>
        <v/>
      </c>
      <c r="C24" s="14" t="str">
        <f aca="false">IF($A24="","",SUMIFS('3. Tree Data'!$P$5:$P$404,'3. Tree Data'!$A$5:$A$404,$A24))</f>
        <v/>
      </c>
      <c r="D24" s="14" t="str">
        <f aca="false">IF($A24="","",INDEX('1. Plot &amp; Site Log'!$R$5:$R$64,MATCH($A24,'1. Plot &amp; Site Log'!$A$5:$A$64,0)))</f>
        <v/>
      </c>
      <c r="E24" s="14" t="str">
        <f aca="false">IF(OR($A24="",$D24="",$D24=0),"",$C24/$D24)</f>
        <v/>
      </c>
      <c r="F24" s="14" t="str">
        <f aca="false">IF($A24="","",SUMIFS('4. Understory Data'!$O$5:$O$254,'4. Understory Data'!$A$5:$A$254,$A24,'4. Understory Data'!$C$5:$C$254,"Medium"))</f>
        <v/>
      </c>
      <c r="G24" s="14" t="str">
        <f aca="false">IF($A24="","",INDEX('1. Plot &amp; Site Log'!$M$5:$M$64,MATCH($A24,'1. Plot &amp; Site Log'!$A$5:$A$64,0)))</f>
        <v/>
      </c>
      <c r="H24" s="14" t="str">
        <f aca="false">IF(OR($A24="",$G24="",$G24=0),"",$F24/$G24)</f>
        <v/>
      </c>
      <c r="I24" s="14" t="str">
        <f aca="false">IF($A24="","",SUMIFS('4. Understory Data'!$O$5:$O$254,'4. Understory Data'!$A$5:$A$254,$A24,'4. Understory Data'!$C$5:$C$254,"Small"))</f>
        <v/>
      </c>
      <c r="J24" s="14" t="str">
        <f aca="false">IF($A24="","",INDEX('1. Plot &amp; Site Log'!$N$5:$N$64,MATCH($A24,'1. Plot &amp; Site Log'!$A$5:$A$64,0)))</f>
        <v/>
      </c>
      <c r="K24" s="14" t="str">
        <f aca="false">IF(OR($A24="",$J24="",$J24=0),"",$I24/$J24)</f>
        <v/>
      </c>
      <c r="L24" s="14" t="str">
        <f aca="false">IF($A24="","",IF($H24="",0,$H24)+IF($K24="",0,$K24))</f>
        <v/>
      </c>
      <c r="M24" s="14" t="str">
        <f aca="false">IF($A24="","",COUNTIFS('2. Core Log'!$B$5:$B$124,$A24))</f>
        <v/>
      </c>
      <c r="N24" s="14" t="str">
        <f aca="false">IF(OR($A24="",$M24=0),"",IFERROR(AVERAGEIFS('2. Core Log'!$L$5:$L$124,'2. Core Log'!$B$5:$B$124,$A24),""))</f>
        <v/>
      </c>
      <c r="O24" s="14" t="str">
        <f aca="false">IF(OR($A24="",$M24=0),"",IFERROR(AVERAGEIFS('2. Core Log'!$M$5:$M$124,'2. Core Log'!$B$5:$B$124,$A24),""))</f>
        <v/>
      </c>
      <c r="P24" s="16" t="str">
        <f aca="false">IF($A24="","",IF($E24="",0,$E24)+IF($L24="",0,$L24)+IF($N24="",0,$N24))</f>
        <v/>
      </c>
      <c r="Q24" s="14" t="str">
        <f aca="false">IF($A24="","",IF($C24=0,"No tree data for this plot. ","")&amp;IF($M24=0,"No soil cores for this plot — soil contributes zero to the total. ","")&amp;IF(AND($F24=0,$I24=0),"No understory data — the total is trees + soil only. ","")&amp;IF(OR($D24="",$D24=0),"No large plot area — tree carbon per m² cannot be calculated. ",""))</f>
        <v/>
      </c>
      <c r="R24" s="14" t="n">
        <f aca="false">IF(ISNUMBER($P24),$P24,0)</f>
        <v>0</v>
      </c>
      <c r="S24" s="14" t="n">
        <f aca="false">IF(AND(ISNUMBER($P24),$A24&lt;&gt;""),1,0)</f>
        <v>0</v>
      </c>
    </row>
    <row r="25" customFormat="false" ht="15" hidden="false" customHeight="false" outlineLevel="0" collapsed="false">
      <c r="A25" s="14" t="str">
        <f aca="false">IF(INDEX('1. Plot &amp; Site Log'!$A$5:$A$64,ROW()-4)="","",INDEX('1. Plot &amp; Site Log'!$A$5:$A$64,ROW()-4))</f>
        <v/>
      </c>
      <c r="B25" s="14" t="str">
        <f aca="false">IF($A25="","",INDEX('1. Plot &amp; Site Log'!$B$5:$B$64,MATCH($A25,'1. Plot &amp; Site Log'!$A$5:$A$64,0)))</f>
        <v/>
      </c>
      <c r="C25" s="14" t="str">
        <f aca="false">IF($A25="","",SUMIFS('3. Tree Data'!$P$5:$P$404,'3. Tree Data'!$A$5:$A$404,$A25))</f>
        <v/>
      </c>
      <c r="D25" s="14" t="str">
        <f aca="false">IF($A25="","",INDEX('1. Plot &amp; Site Log'!$R$5:$R$64,MATCH($A25,'1. Plot &amp; Site Log'!$A$5:$A$64,0)))</f>
        <v/>
      </c>
      <c r="E25" s="14" t="str">
        <f aca="false">IF(OR($A25="",$D25="",$D25=0),"",$C25/$D25)</f>
        <v/>
      </c>
      <c r="F25" s="14" t="str">
        <f aca="false">IF($A25="","",SUMIFS('4. Understory Data'!$O$5:$O$254,'4. Understory Data'!$A$5:$A$254,$A25,'4. Understory Data'!$C$5:$C$254,"Medium"))</f>
        <v/>
      </c>
      <c r="G25" s="14" t="str">
        <f aca="false">IF($A25="","",INDEX('1. Plot &amp; Site Log'!$M$5:$M$64,MATCH($A25,'1. Plot &amp; Site Log'!$A$5:$A$64,0)))</f>
        <v/>
      </c>
      <c r="H25" s="14" t="str">
        <f aca="false">IF(OR($A25="",$G25="",$G25=0),"",$F25/$G25)</f>
        <v/>
      </c>
      <c r="I25" s="14" t="str">
        <f aca="false">IF($A25="","",SUMIFS('4. Understory Data'!$O$5:$O$254,'4. Understory Data'!$A$5:$A$254,$A25,'4. Understory Data'!$C$5:$C$254,"Small"))</f>
        <v/>
      </c>
      <c r="J25" s="14" t="str">
        <f aca="false">IF($A25="","",INDEX('1. Plot &amp; Site Log'!$N$5:$N$64,MATCH($A25,'1. Plot &amp; Site Log'!$A$5:$A$64,0)))</f>
        <v/>
      </c>
      <c r="K25" s="14" t="str">
        <f aca="false">IF(OR($A25="",$J25="",$J25=0),"",$I25/$J25)</f>
        <v/>
      </c>
      <c r="L25" s="14" t="str">
        <f aca="false">IF($A25="","",IF($H25="",0,$H25)+IF($K25="",0,$K25))</f>
        <v/>
      </c>
      <c r="M25" s="14" t="str">
        <f aca="false">IF($A25="","",COUNTIFS('2. Core Log'!$B$5:$B$124,$A25))</f>
        <v/>
      </c>
      <c r="N25" s="14" t="str">
        <f aca="false">IF(OR($A25="",$M25=0),"",IFERROR(AVERAGEIFS('2. Core Log'!$L$5:$L$124,'2. Core Log'!$B$5:$B$124,$A25),""))</f>
        <v/>
      </c>
      <c r="O25" s="14" t="str">
        <f aca="false">IF(OR($A25="",$M25=0),"",IFERROR(AVERAGEIFS('2. Core Log'!$M$5:$M$124,'2. Core Log'!$B$5:$B$124,$A25),""))</f>
        <v/>
      </c>
      <c r="P25" s="16" t="str">
        <f aca="false">IF($A25="","",IF($E25="",0,$E25)+IF($L25="",0,$L25)+IF($N25="",0,$N25))</f>
        <v/>
      </c>
      <c r="Q25" s="14" t="str">
        <f aca="false">IF($A25="","",IF($C25=0,"No tree data for this plot. ","")&amp;IF($M25=0,"No soil cores for this plot — soil contributes zero to the total. ","")&amp;IF(AND($F25=0,$I25=0),"No understory data — the total is trees + soil only. ","")&amp;IF(OR($D25="",$D25=0),"No large plot area — tree carbon per m² cannot be calculated. ",""))</f>
        <v/>
      </c>
      <c r="R25" s="14" t="n">
        <f aca="false">IF(ISNUMBER($P25),$P25,0)</f>
        <v>0</v>
      </c>
      <c r="S25" s="14" t="n">
        <f aca="false">IF(AND(ISNUMBER($P25),$A25&lt;&gt;""),1,0)</f>
        <v>0</v>
      </c>
    </row>
    <row r="26" customFormat="false" ht="15" hidden="false" customHeight="false" outlineLevel="0" collapsed="false">
      <c r="A26" s="14" t="str">
        <f aca="false">IF(INDEX('1. Plot &amp; Site Log'!$A$5:$A$64,ROW()-4)="","",INDEX('1. Plot &amp; Site Log'!$A$5:$A$64,ROW()-4))</f>
        <v/>
      </c>
      <c r="B26" s="14" t="str">
        <f aca="false">IF($A26="","",INDEX('1. Plot &amp; Site Log'!$B$5:$B$64,MATCH($A26,'1. Plot &amp; Site Log'!$A$5:$A$64,0)))</f>
        <v/>
      </c>
      <c r="C26" s="14" t="str">
        <f aca="false">IF($A26="","",SUMIFS('3. Tree Data'!$P$5:$P$404,'3. Tree Data'!$A$5:$A$404,$A26))</f>
        <v/>
      </c>
      <c r="D26" s="14" t="str">
        <f aca="false">IF($A26="","",INDEX('1. Plot &amp; Site Log'!$R$5:$R$64,MATCH($A26,'1. Plot &amp; Site Log'!$A$5:$A$64,0)))</f>
        <v/>
      </c>
      <c r="E26" s="14" t="str">
        <f aca="false">IF(OR($A26="",$D26="",$D26=0),"",$C26/$D26)</f>
        <v/>
      </c>
      <c r="F26" s="14" t="str">
        <f aca="false">IF($A26="","",SUMIFS('4. Understory Data'!$O$5:$O$254,'4. Understory Data'!$A$5:$A$254,$A26,'4. Understory Data'!$C$5:$C$254,"Medium"))</f>
        <v/>
      </c>
      <c r="G26" s="14" t="str">
        <f aca="false">IF($A26="","",INDEX('1. Plot &amp; Site Log'!$M$5:$M$64,MATCH($A26,'1. Plot &amp; Site Log'!$A$5:$A$64,0)))</f>
        <v/>
      </c>
      <c r="H26" s="14" t="str">
        <f aca="false">IF(OR($A26="",$G26="",$G26=0),"",$F26/$G26)</f>
        <v/>
      </c>
      <c r="I26" s="14" t="str">
        <f aca="false">IF($A26="","",SUMIFS('4. Understory Data'!$O$5:$O$254,'4. Understory Data'!$A$5:$A$254,$A26,'4. Understory Data'!$C$5:$C$254,"Small"))</f>
        <v/>
      </c>
      <c r="J26" s="14" t="str">
        <f aca="false">IF($A26="","",INDEX('1. Plot &amp; Site Log'!$N$5:$N$64,MATCH($A26,'1. Plot &amp; Site Log'!$A$5:$A$64,0)))</f>
        <v/>
      </c>
      <c r="K26" s="14" t="str">
        <f aca="false">IF(OR($A26="",$J26="",$J26=0),"",$I26/$J26)</f>
        <v/>
      </c>
      <c r="L26" s="14" t="str">
        <f aca="false">IF($A26="","",IF($H26="",0,$H26)+IF($K26="",0,$K26))</f>
        <v/>
      </c>
      <c r="M26" s="14" t="str">
        <f aca="false">IF($A26="","",COUNTIFS('2. Core Log'!$B$5:$B$124,$A26))</f>
        <v/>
      </c>
      <c r="N26" s="14" t="str">
        <f aca="false">IF(OR($A26="",$M26=0),"",IFERROR(AVERAGEIFS('2. Core Log'!$L$5:$L$124,'2. Core Log'!$B$5:$B$124,$A26),""))</f>
        <v/>
      </c>
      <c r="O26" s="14" t="str">
        <f aca="false">IF(OR($A26="",$M26=0),"",IFERROR(AVERAGEIFS('2. Core Log'!$M$5:$M$124,'2. Core Log'!$B$5:$B$124,$A26),""))</f>
        <v/>
      </c>
      <c r="P26" s="16" t="str">
        <f aca="false">IF($A26="","",IF($E26="",0,$E26)+IF($L26="",0,$L26)+IF($N26="",0,$N26))</f>
        <v/>
      </c>
      <c r="Q26" s="14" t="str">
        <f aca="false">IF($A26="","",IF($C26=0,"No tree data for this plot. ","")&amp;IF($M26=0,"No soil cores for this plot — soil contributes zero to the total. ","")&amp;IF(AND($F26=0,$I26=0),"No understory data — the total is trees + soil only. ","")&amp;IF(OR($D26="",$D26=0),"No large plot area — tree carbon per m² cannot be calculated. ",""))</f>
        <v/>
      </c>
      <c r="R26" s="14" t="n">
        <f aca="false">IF(ISNUMBER($P26),$P26,0)</f>
        <v>0</v>
      </c>
      <c r="S26" s="14" t="n">
        <f aca="false">IF(AND(ISNUMBER($P26),$A26&lt;&gt;""),1,0)</f>
        <v>0</v>
      </c>
    </row>
    <row r="27" customFormat="false" ht="15" hidden="false" customHeight="false" outlineLevel="0" collapsed="false">
      <c r="A27" s="14" t="str">
        <f aca="false">IF(INDEX('1. Plot &amp; Site Log'!$A$5:$A$64,ROW()-4)="","",INDEX('1. Plot &amp; Site Log'!$A$5:$A$64,ROW()-4))</f>
        <v/>
      </c>
      <c r="B27" s="14" t="str">
        <f aca="false">IF($A27="","",INDEX('1. Plot &amp; Site Log'!$B$5:$B$64,MATCH($A27,'1. Plot &amp; Site Log'!$A$5:$A$64,0)))</f>
        <v/>
      </c>
      <c r="C27" s="14" t="str">
        <f aca="false">IF($A27="","",SUMIFS('3. Tree Data'!$P$5:$P$404,'3. Tree Data'!$A$5:$A$404,$A27))</f>
        <v/>
      </c>
      <c r="D27" s="14" t="str">
        <f aca="false">IF($A27="","",INDEX('1. Plot &amp; Site Log'!$R$5:$R$64,MATCH($A27,'1. Plot &amp; Site Log'!$A$5:$A$64,0)))</f>
        <v/>
      </c>
      <c r="E27" s="14" t="str">
        <f aca="false">IF(OR($A27="",$D27="",$D27=0),"",$C27/$D27)</f>
        <v/>
      </c>
      <c r="F27" s="14" t="str">
        <f aca="false">IF($A27="","",SUMIFS('4. Understory Data'!$O$5:$O$254,'4. Understory Data'!$A$5:$A$254,$A27,'4. Understory Data'!$C$5:$C$254,"Medium"))</f>
        <v/>
      </c>
      <c r="G27" s="14" t="str">
        <f aca="false">IF($A27="","",INDEX('1. Plot &amp; Site Log'!$M$5:$M$64,MATCH($A27,'1. Plot &amp; Site Log'!$A$5:$A$64,0)))</f>
        <v/>
      </c>
      <c r="H27" s="14" t="str">
        <f aca="false">IF(OR($A27="",$G27="",$G27=0),"",$F27/$G27)</f>
        <v/>
      </c>
      <c r="I27" s="14" t="str">
        <f aca="false">IF($A27="","",SUMIFS('4. Understory Data'!$O$5:$O$254,'4. Understory Data'!$A$5:$A$254,$A27,'4. Understory Data'!$C$5:$C$254,"Small"))</f>
        <v/>
      </c>
      <c r="J27" s="14" t="str">
        <f aca="false">IF($A27="","",INDEX('1. Plot &amp; Site Log'!$N$5:$N$64,MATCH($A27,'1. Plot &amp; Site Log'!$A$5:$A$64,0)))</f>
        <v/>
      </c>
      <c r="K27" s="14" t="str">
        <f aca="false">IF(OR($A27="",$J27="",$J27=0),"",$I27/$J27)</f>
        <v/>
      </c>
      <c r="L27" s="14" t="str">
        <f aca="false">IF($A27="","",IF($H27="",0,$H27)+IF($K27="",0,$K27))</f>
        <v/>
      </c>
      <c r="M27" s="14" t="str">
        <f aca="false">IF($A27="","",COUNTIFS('2. Core Log'!$B$5:$B$124,$A27))</f>
        <v/>
      </c>
      <c r="N27" s="14" t="str">
        <f aca="false">IF(OR($A27="",$M27=0),"",IFERROR(AVERAGEIFS('2. Core Log'!$L$5:$L$124,'2. Core Log'!$B$5:$B$124,$A27),""))</f>
        <v/>
      </c>
      <c r="O27" s="14" t="str">
        <f aca="false">IF(OR($A27="",$M27=0),"",IFERROR(AVERAGEIFS('2. Core Log'!$M$5:$M$124,'2. Core Log'!$B$5:$B$124,$A27),""))</f>
        <v/>
      </c>
      <c r="P27" s="16" t="str">
        <f aca="false">IF($A27="","",IF($E27="",0,$E27)+IF($L27="",0,$L27)+IF($N27="",0,$N27))</f>
        <v/>
      </c>
      <c r="Q27" s="14" t="str">
        <f aca="false">IF($A27="","",IF($C27=0,"No tree data for this plot. ","")&amp;IF($M27=0,"No soil cores for this plot — soil contributes zero to the total. ","")&amp;IF(AND($F27=0,$I27=0),"No understory data — the total is trees + soil only. ","")&amp;IF(OR($D27="",$D27=0),"No large plot area — tree carbon per m² cannot be calculated. ",""))</f>
        <v/>
      </c>
      <c r="R27" s="14" t="n">
        <f aca="false">IF(ISNUMBER($P27),$P27,0)</f>
        <v>0</v>
      </c>
      <c r="S27" s="14" t="n">
        <f aca="false">IF(AND(ISNUMBER($P27),$A27&lt;&gt;""),1,0)</f>
        <v>0</v>
      </c>
    </row>
    <row r="28" customFormat="false" ht="15" hidden="false" customHeight="false" outlineLevel="0" collapsed="false">
      <c r="A28" s="14" t="str">
        <f aca="false">IF(INDEX('1. Plot &amp; Site Log'!$A$5:$A$64,ROW()-4)="","",INDEX('1. Plot &amp; Site Log'!$A$5:$A$64,ROW()-4))</f>
        <v/>
      </c>
      <c r="B28" s="14" t="str">
        <f aca="false">IF($A28="","",INDEX('1. Plot &amp; Site Log'!$B$5:$B$64,MATCH($A28,'1. Plot &amp; Site Log'!$A$5:$A$64,0)))</f>
        <v/>
      </c>
      <c r="C28" s="14" t="str">
        <f aca="false">IF($A28="","",SUMIFS('3. Tree Data'!$P$5:$P$404,'3. Tree Data'!$A$5:$A$404,$A28))</f>
        <v/>
      </c>
      <c r="D28" s="14" t="str">
        <f aca="false">IF($A28="","",INDEX('1. Plot &amp; Site Log'!$R$5:$R$64,MATCH($A28,'1. Plot &amp; Site Log'!$A$5:$A$64,0)))</f>
        <v/>
      </c>
      <c r="E28" s="14" t="str">
        <f aca="false">IF(OR($A28="",$D28="",$D28=0),"",$C28/$D28)</f>
        <v/>
      </c>
      <c r="F28" s="14" t="str">
        <f aca="false">IF($A28="","",SUMIFS('4. Understory Data'!$O$5:$O$254,'4. Understory Data'!$A$5:$A$254,$A28,'4. Understory Data'!$C$5:$C$254,"Medium"))</f>
        <v/>
      </c>
      <c r="G28" s="14" t="str">
        <f aca="false">IF($A28="","",INDEX('1. Plot &amp; Site Log'!$M$5:$M$64,MATCH($A28,'1. Plot &amp; Site Log'!$A$5:$A$64,0)))</f>
        <v/>
      </c>
      <c r="H28" s="14" t="str">
        <f aca="false">IF(OR($A28="",$G28="",$G28=0),"",$F28/$G28)</f>
        <v/>
      </c>
      <c r="I28" s="14" t="str">
        <f aca="false">IF($A28="","",SUMIFS('4. Understory Data'!$O$5:$O$254,'4. Understory Data'!$A$5:$A$254,$A28,'4. Understory Data'!$C$5:$C$254,"Small"))</f>
        <v/>
      </c>
      <c r="J28" s="14" t="str">
        <f aca="false">IF($A28="","",INDEX('1. Plot &amp; Site Log'!$N$5:$N$64,MATCH($A28,'1. Plot &amp; Site Log'!$A$5:$A$64,0)))</f>
        <v/>
      </c>
      <c r="K28" s="14" t="str">
        <f aca="false">IF(OR($A28="",$J28="",$J28=0),"",$I28/$J28)</f>
        <v/>
      </c>
      <c r="L28" s="14" t="str">
        <f aca="false">IF($A28="","",IF($H28="",0,$H28)+IF($K28="",0,$K28))</f>
        <v/>
      </c>
      <c r="M28" s="14" t="str">
        <f aca="false">IF($A28="","",COUNTIFS('2. Core Log'!$B$5:$B$124,$A28))</f>
        <v/>
      </c>
      <c r="N28" s="14" t="str">
        <f aca="false">IF(OR($A28="",$M28=0),"",IFERROR(AVERAGEIFS('2. Core Log'!$L$5:$L$124,'2. Core Log'!$B$5:$B$124,$A28),""))</f>
        <v/>
      </c>
      <c r="O28" s="14" t="str">
        <f aca="false">IF(OR($A28="",$M28=0),"",IFERROR(AVERAGEIFS('2. Core Log'!$M$5:$M$124,'2. Core Log'!$B$5:$B$124,$A28),""))</f>
        <v/>
      </c>
      <c r="P28" s="16" t="str">
        <f aca="false">IF($A28="","",IF($E28="",0,$E28)+IF($L28="",0,$L28)+IF($N28="",0,$N28))</f>
        <v/>
      </c>
      <c r="Q28" s="14" t="str">
        <f aca="false">IF($A28="","",IF($C28=0,"No tree data for this plot. ","")&amp;IF($M28=0,"No soil cores for this plot — soil contributes zero to the total. ","")&amp;IF(AND($F28=0,$I28=0),"No understory data — the total is trees + soil only. ","")&amp;IF(OR($D28="",$D28=0),"No large plot area — tree carbon per m² cannot be calculated. ",""))</f>
        <v/>
      </c>
      <c r="R28" s="14" t="n">
        <f aca="false">IF(ISNUMBER($P28),$P28,0)</f>
        <v>0</v>
      </c>
      <c r="S28" s="14" t="n">
        <f aca="false">IF(AND(ISNUMBER($P28),$A28&lt;&gt;""),1,0)</f>
        <v>0</v>
      </c>
    </row>
    <row r="29" customFormat="false" ht="15" hidden="false" customHeight="false" outlineLevel="0" collapsed="false">
      <c r="A29" s="14" t="str">
        <f aca="false">IF(INDEX('1. Plot &amp; Site Log'!$A$5:$A$64,ROW()-4)="","",INDEX('1. Plot &amp; Site Log'!$A$5:$A$64,ROW()-4))</f>
        <v/>
      </c>
      <c r="B29" s="14" t="str">
        <f aca="false">IF($A29="","",INDEX('1. Plot &amp; Site Log'!$B$5:$B$64,MATCH($A29,'1. Plot &amp; Site Log'!$A$5:$A$64,0)))</f>
        <v/>
      </c>
      <c r="C29" s="14" t="str">
        <f aca="false">IF($A29="","",SUMIFS('3. Tree Data'!$P$5:$P$404,'3. Tree Data'!$A$5:$A$404,$A29))</f>
        <v/>
      </c>
      <c r="D29" s="14" t="str">
        <f aca="false">IF($A29="","",INDEX('1. Plot &amp; Site Log'!$R$5:$R$64,MATCH($A29,'1. Plot &amp; Site Log'!$A$5:$A$64,0)))</f>
        <v/>
      </c>
      <c r="E29" s="14" t="str">
        <f aca="false">IF(OR($A29="",$D29="",$D29=0),"",$C29/$D29)</f>
        <v/>
      </c>
      <c r="F29" s="14" t="str">
        <f aca="false">IF($A29="","",SUMIFS('4. Understory Data'!$O$5:$O$254,'4. Understory Data'!$A$5:$A$254,$A29,'4. Understory Data'!$C$5:$C$254,"Medium"))</f>
        <v/>
      </c>
      <c r="G29" s="14" t="str">
        <f aca="false">IF($A29="","",INDEX('1. Plot &amp; Site Log'!$M$5:$M$64,MATCH($A29,'1. Plot &amp; Site Log'!$A$5:$A$64,0)))</f>
        <v/>
      </c>
      <c r="H29" s="14" t="str">
        <f aca="false">IF(OR($A29="",$G29="",$G29=0),"",$F29/$G29)</f>
        <v/>
      </c>
      <c r="I29" s="14" t="str">
        <f aca="false">IF($A29="","",SUMIFS('4. Understory Data'!$O$5:$O$254,'4. Understory Data'!$A$5:$A$254,$A29,'4. Understory Data'!$C$5:$C$254,"Small"))</f>
        <v/>
      </c>
      <c r="J29" s="14" t="str">
        <f aca="false">IF($A29="","",INDEX('1. Plot &amp; Site Log'!$N$5:$N$64,MATCH($A29,'1. Plot &amp; Site Log'!$A$5:$A$64,0)))</f>
        <v/>
      </c>
      <c r="K29" s="14" t="str">
        <f aca="false">IF(OR($A29="",$J29="",$J29=0),"",$I29/$J29)</f>
        <v/>
      </c>
      <c r="L29" s="14" t="str">
        <f aca="false">IF($A29="","",IF($H29="",0,$H29)+IF($K29="",0,$K29))</f>
        <v/>
      </c>
      <c r="M29" s="14" t="str">
        <f aca="false">IF($A29="","",COUNTIFS('2. Core Log'!$B$5:$B$124,$A29))</f>
        <v/>
      </c>
      <c r="N29" s="14" t="str">
        <f aca="false">IF(OR($A29="",$M29=0),"",IFERROR(AVERAGEIFS('2. Core Log'!$L$5:$L$124,'2. Core Log'!$B$5:$B$124,$A29),""))</f>
        <v/>
      </c>
      <c r="O29" s="14" t="str">
        <f aca="false">IF(OR($A29="",$M29=0),"",IFERROR(AVERAGEIFS('2. Core Log'!$M$5:$M$124,'2. Core Log'!$B$5:$B$124,$A29),""))</f>
        <v/>
      </c>
      <c r="P29" s="16" t="str">
        <f aca="false">IF($A29="","",IF($E29="",0,$E29)+IF($L29="",0,$L29)+IF($N29="",0,$N29))</f>
        <v/>
      </c>
      <c r="Q29" s="14" t="str">
        <f aca="false">IF($A29="","",IF($C29=0,"No tree data for this plot. ","")&amp;IF($M29=0,"No soil cores for this plot — soil contributes zero to the total. ","")&amp;IF(AND($F29=0,$I29=0),"No understory data — the total is trees + soil only. ","")&amp;IF(OR($D29="",$D29=0),"No large plot area — tree carbon per m² cannot be calculated. ",""))</f>
        <v/>
      </c>
      <c r="R29" s="14" t="n">
        <f aca="false">IF(ISNUMBER($P29),$P29,0)</f>
        <v>0</v>
      </c>
      <c r="S29" s="14" t="n">
        <f aca="false">IF(AND(ISNUMBER($P29),$A29&lt;&gt;""),1,0)</f>
        <v>0</v>
      </c>
    </row>
    <row r="30" customFormat="false" ht="15" hidden="false" customHeight="false" outlineLevel="0" collapsed="false">
      <c r="A30" s="14" t="str">
        <f aca="false">IF(INDEX('1. Plot &amp; Site Log'!$A$5:$A$64,ROW()-4)="","",INDEX('1. Plot &amp; Site Log'!$A$5:$A$64,ROW()-4))</f>
        <v/>
      </c>
      <c r="B30" s="14" t="str">
        <f aca="false">IF($A30="","",INDEX('1. Plot &amp; Site Log'!$B$5:$B$64,MATCH($A30,'1. Plot &amp; Site Log'!$A$5:$A$64,0)))</f>
        <v/>
      </c>
      <c r="C30" s="14" t="str">
        <f aca="false">IF($A30="","",SUMIFS('3. Tree Data'!$P$5:$P$404,'3. Tree Data'!$A$5:$A$404,$A30))</f>
        <v/>
      </c>
      <c r="D30" s="14" t="str">
        <f aca="false">IF($A30="","",INDEX('1. Plot &amp; Site Log'!$R$5:$R$64,MATCH($A30,'1. Plot &amp; Site Log'!$A$5:$A$64,0)))</f>
        <v/>
      </c>
      <c r="E30" s="14" t="str">
        <f aca="false">IF(OR($A30="",$D30="",$D30=0),"",$C30/$D30)</f>
        <v/>
      </c>
      <c r="F30" s="14" t="str">
        <f aca="false">IF($A30="","",SUMIFS('4. Understory Data'!$O$5:$O$254,'4. Understory Data'!$A$5:$A$254,$A30,'4. Understory Data'!$C$5:$C$254,"Medium"))</f>
        <v/>
      </c>
      <c r="G30" s="14" t="str">
        <f aca="false">IF($A30="","",INDEX('1. Plot &amp; Site Log'!$M$5:$M$64,MATCH($A30,'1. Plot &amp; Site Log'!$A$5:$A$64,0)))</f>
        <v/>
      </c>
      <c r="H30" s="14" t="str">
        <f aca="false">IF(OR($A30="",$G30="",$G30=0),"",$F30/$G30)</f>
        <v/>
      </c>
      <c r="I30" s="14" t="str">
        <f aca="false">IF($A30="","",SUMIFS('4. Understory Data'!$O$5:$O$254,'4. Understory Data'!$A$5:$A$254,$A30,'4. Understory Data'!$C$5:$C$254,"Small"))</f>
        <v/>
      </c>
      <c r="J30" s="14" t="str">
        <f aca="false">IF($A30="","",INDEX('1. Plot &amp; Site Log'!$N$5:$N$64,MATCH($A30,'1. Plot &amp; Site Log'!$A$5:$A$64,0)))</f>
        <v/>
      </c>
      <c r="K30" s="14" t="str">
        <f aca="false">IF(OR($A30="",$J30="",$J30=0),"",$I30/$J30)</f>
        <v/>
      </c>
      <c r="L30" s="14" t="str">
        <f aca="false">IF($A30="","",IF($H30="",0,$H30)+IF($K30="",0,$K30))</f>
        <v/>
      </c>
      <c r="M30" s="14" t="str">
        <f aca="false">IF($A30="","",COUNTIFS('2. Core Log'!$B$5:$B$124,$A30))</f>
        <v/>
      </c>
      <c r="N30" s="14" t="str">
        <f aca="false">IF(OR($A30="",$M30=0),"",IFERROR(AVERAGEIFS('2. Core Log'!$L$5:$L$124,'2. Core Log'!$B$5:$B$124,$A30),""))</f>
        <v/>
      </c>
      <c r="O30" s="14" t="str">
        <f aca="false">IF(OR($A30="",$M30=0),"",IFERROR(AVERAGEIFS('2. Core Log'!$M$5:$M$124,'2. Core Log'!$B$5:$B$124,$A30),""))</f>
        <v/>
      </c>
      <c r="P30" s="16" t="str">
        <f aca="false">IF($A30="","",IF($E30="",0,$E30)+IF($L30="",0,$L30)+IF($N30="",0,$N30))</f>
        <v/>
      </c>
      <c r="Q30" s="14" t="str">
        <f aca="false">IF($A30="","",IF($C30=0,"No tree data for this plot. ","")&amp;IF($M30=0,"No soil cores for this plot — soil contributes zero to the total. ","")&amp;IF(AND($F30=0,$I30=0),"No understory data — the total is trees + soil only. ","")&amp;IF(OR($D30="",$D30=0),"No large plot area — tree carbon per m² cannot be calculated. ",""))</f>
        <v/>
      </c>
      <c r="R30" s="14" t="n">
        <f aca="false">IF(ISNUMBER($P30),$P30,0)</f>
        <v>0</v>
      </c>
      <c r="S30" s="14" t="n">
        <f aca="false">IF(AND(ISNUMBER($P30),$A30&lt;&gt;""),1,0)</f>
        <v>0</v>
      </c>
    </row>
    <row r="31" customFormat="false" ht="15" hidden="false" customHeight="false" outlineLevel="0" collapsed="false">
      <c r="A31" s="14" t="str">
        <f aca="false">IF(INDEX('1. Plot &amp; Site Log'!$A$5:$A$64,ROW()-4)="","",INDEX('1. Plot &amp; Site Log'!$A$5:$A$64,ROW()-4))</f>
        <v/>
      </c>
      <c r="B31" s="14" t="str">
        <f aca="false">IF($A31="","",INDEX('1. Plot &amp; Site Log'!$B$5:$B$64,MATCH($A31,'1. Plot &amp; Site Log'!$A$5:$A$64,0)))</f>
        <v/>
      </c>
      <c r="C31" s="14" t="str">
        <f aca="false">IF($A31="","",SUMIFS('3. Tree Data'!$P$5:$P$404,'3. Tree Data'!$A$5:$A$404,$A31))</f>
        <v/>
      </c>
      <c r="D31" s="14" t="str">
        <f aca="false">IF($A31="","",INDEX('1. Plot &amp; Site Log'!$R$5:$R$64,MATCH($A31,'1. Plot &amp; Site Log'!$A$5:$A$64,0)))</f>
        <v/>
      </c>
      <c r="E31" s="14" t="str">
        <f aca="false">IF(OR($A31="",$D31="",$D31=0),"",$C31/$D31)</f>
        <v/>
      </c>
      <c r="F31" s="14" t="str">
        <f aca="false">IF($A31="","",SUMIFS('4. Understory Data'!$O$5:$O$254,'4. Understory Data'!$A$5:$A$254,$A31,'4. Understory Data'!$C$5:$C$254,"Medium"))</f>
        <v/>
      </c>
      <c r="G31" s="14" t="str">
        <f aca="false">IF($A31="","",INDEX('1. Plot &amp; Site Log'!$M$5:$M$64,MATCH($A31,'1. Plot &amp; Site Log'!$A$5:$A$64,0)))</f>
        <v/>
      </c>
      <c r="H31" s="14" t="str">
        <f aca="false">IF(OR($A31="",$G31="",$G31=0),"",$F31/$G31)</f>
        <v/>
      </c>
      <c r="I31" s="14" t="str">
        <f aca="false">IF($A31="","",SUMIFS('4. Understory Data'!$O$5:$O$254,'4. Understory Data'!$A$5:$A$254,$A31,'4. Understory Data'!$C$5:$C$254,"Small"))</f>
        <v/>
      </c>
      <c r="J31" s="14" t="str">
        <f aca="false">IF($A31="","",INDEX('1. Plot &amp; Site Log'!$N$5:$N$64,MATCH($A31,'1. Plot &amp; Site Log'!$A$5:$A$64,0)))</f>
        <v/>
      </c>
      <c r="K31" s="14" t="str">
        <f aca="false">IF(OR($A31="",$J31="",$J31=0),"",$I31/$J31)</f>
        <v/>
      </c>
      <c r="L31" s="14" t="str">
        <f aca="false">IF($A31="","",IF($H31="",0,$H31)+IF($K31="",0,$K31))</f>
        <v/>
      </c>
      <c r="M31" s="14" t="str">
        <f aca="false">IF($A31="","",COUNTIFS('2. Core Log'!$B$5:$B$124,$A31))</f>
        <v/>
      </c>
      <c r="N31" s="14" t="str">
        <f aca="false">IF(OR($A31="",$M31=0),"",IFERROR(AVERAGEIFS('2. Core Log'!$L$5:$L$124,'2. Core Log'!$B$5:$B$124,$A31),""))</f>
        <v/>
      </c>
      <c r="O31" s="14" t="str">
        <f aca="false">IF(OR($A31="",$M31=0),"",IFERROR(AVERAGEIFS('2. Core Log'!$M$5:$M$124,'2. Core Log'!$B$5:$B$124,$A31),""))</f>
        <v/>
      </c>
      <c r="P31" s="16" t="str">
        <f aca="false">IF($A31="","",IF($E31="",0,$E31)+IF($L31="",0,$L31)+IF($N31="",0,$N31))</f>
        <v/>
      </c>
      <c r="Q31" s="14" t="str">
        <f aca="false">IF($A31="","",IF($C31=0,"No tree data for this plot. ","")&amp;IF($M31=0,"No soil cores for this plot — soil contributes zero to the total. ","")&amp;IF(AND($F31=0,$I31=0),"No understory data — the total is trees + soil only. ","")&amp;IF(OR($D31="",$D31=0),"No large plot area — tree carbon per m² cannot be calculated. ",""))</f>
        <v/>
      </c>
      <c r="R31" s="14" t="n">
        <f aca="false">IF(ISNUMBER($P31),$P31,0)</f>
        <v>0</v>
      </c>
      <c r="S31" s="14" t="n">
        <f aca="false">IF(AND(ISNUMBER($P31),$A31&lt;&gt;""),1,0)</f>
        <v>0</v>
      </c>
    </row>
    <row r="32" customFormat="false" ht="15" hidden="false" customHeight="false" outlineLevel="0" collapsed="false">
      <c r="A32" s="14" t="str">
        <f aca="false">IF(INDEX('1. Plot &amp; Site Log'!$A$5:$A$64,ROW()-4)="","",INDEX('1. Plot &amp; Site Log'!$A$5:$A$64,ROW()-4))</f>
        <v/>
      </c>
      <c r="B32" s="14" t="str">
        <f aca="false">IF($A32="","",INDEX('1. Plot &amp; Site Log'!$B$5:$B$64,MATCH($A32,'1. Plot &amp; Site Log'!$A$5:$A$64,0)))</f>
        <v/>
      </c>
      <c r="C32" s="14" t="str">
        <f aca="false">IF($A32="","",SUMIFS('3. Tree Data'!$P$5:$P$404,'3. Tree Data'!$A$5:$A$404,$A32))</f>
        <v/>
      </c>
      <c r="D32" s="14" t="str">
        <f aca="false">IF($A32="","",INDEX('1. Plot &amp; Site Log'!$R$5:$R$64,MATCH($A32,'1. Plot &amp; Site Log'!$A$5:$A$64,0)))</f>
        <v/>
      </c>
      <c r="E32" s="14" t="str">
        <f aca="false">IF(OR($A32="",$D32="",$D32=0),"",$C32/$D32)</f>
        <v/>
      </c>
      <c r="F32" s="14" t="str">
        <f aca="false">IF($A32="","",SUMIFS('4. Understory Data'!$O$5:$O$254,'4. Understory Data'!$A$5:$A$254,$A32,'4. Understory Data'!$C$5:$C$254,"Medium"))</f>
        <v/>
      </c>
      <c r="G32" s="14" t="str">
        <f aca="false">IF($A32="","",INDEX('1. Plot &amp; Site Log'!$M$5:$M$64,MATCH($A32,'1. Plot &amp; Site Log'!$A$5:$A$64,0)))</f>
        <v/>
      </c>
      <c r="H32" s="14" t="str">
        <f aca="false">IF(OR($A32="",$G32="",$G32=0),"",$F32/$G32)</f>
        <v/>
      </c>
      <c r="I32" s="14" t="str">
        <f aca="false">IF($A32="","",SUMIFS('4. Understory Data'!$O$5:$O$254,'4. Understory Data'!$A$5:$A$254,$A32,'4. Understory Data'!$C$5:$C$254,"Small"))</f>
        <v/>
      </c>
      <c r="J32" s="14" t="str">
        <f aca="false">IF($A32="","",INDEX('1. Plot &amp; Site Log'!$N$5:$N$64,MATCH($A32,'1. Plot &amp; Site Log'!$A$5:$A$64,0)))</f>
        <v/>
      </c>
      <c r="K32" s="14" t="str">
        <f aca="false">IF(OR($A32="",$J32="",$J32=0),"",$I32/$J32)</f>
        <v/>
      </c>
      <c r="L32" s="14" t="str">
        <f aca="false">IF($A32="","",IF($H32="",0,$H32)+IF($K32="",0,$K32))</f>
        <v/>
      </c>
      <c r="M32" s="14" t="str">
        <f aca="false">IF($A32="","",COUNTIFS('2. Core Log'!$B$5:$B$124,$A32))</f>
        <v/>
      </c>
      <c r="N32" s="14" t="str">
        <f aca="false">IF(OR($A32="",$M32=0),"",IFERROR(AVERAGEIFS('2. Core Log'!$L$5:$L$124,'2. Core Log'!$B$5:$B$124,$A32),""))</f>
        <v/>
      </c>
      <c r="O32" s="14" t="str">
        <f aca="false">IF(OR($A32="",$M32=0),"",IFERROR(AVERAGEIFS('2. Core Log'!$M$5:$M$124,'2. Core Log'!$B$5:$B$124,$A32),""))</f>
        <v/>
      </c>
      <c r="P32" s="16" t="str">
        <f aca="false">IF($A32="","",IF($E32="",0,$E32)+IF($L32="",0,$L32)+IF($N32="",0,$N32))</f>
        <v/>
      </c>
      <c r="Q32" s="14" t="str">
        <f aca="false">IF($A32="","",IF($C32=0,"No tree data for this plot. ","")&amp;IF($M32=0,"No soil cores for this plot — soil contributes zero to the total. ","")&amp;IF(AND($F32=0,$I32=0),"No understory data — the total is trees + soil only. ","")&amp;IF(OR($D32="",$D32=0),"No large plot area — tree carbon per m² cannot be calculated. ",""))</f>
        <v/>
      </c>
      <c r="R32" s="14" t="n">
        <f aca="false">IF(ISNUMBER($P32),$P32,0)</f>
        <v>0</v>
      </c>
      <c r="S32" s="14" t="n">
        <f aca="false">IF(AND(ISNUMBER($P32),$A32&lt;&gt;""),1,0)</f>
        <v>0</v>
      </c>
    </row>
    <row r="33" customFormat="false" ht="15" hidden="false" customHeight="false" outlineLevel="0" collapsed="false">
      <c r="A33" s="14" t="str">
        <f aca="false">IF(INDEX('1. Plot &amp; Site Log'!$A$5:$A$64,ROW()-4)="","",INDEX('1. Plot &amp; Site Log'!$A$5:$A$64,ROW()-4))</f>
        <v/>
      </c>
      <c r="B33" s="14" t="str">
        <f aca="false">IF($A33="","",INDEX('1. Plot &amp; Site Log'!$B$5:$B$64,MATCH($A33,'1. Plot &amp; Site Log'!$A$5:$A$64,0)))</f>
        <v/>
      </c>
      <c r="C33" s="14" t="str">
        <f aca="false">IF($A33="","",SUMIFS('3. Tree Data'!$P$5:$P$404,'3. Tree Data'!$A$5:$A$404,$A33))</f>
        <v/>
      </c>
      <c r="D33" s="14" t="str">
        <f aca="false">IF($A33="","",INDEX('1. Plot &amp; Site Log'!$R$5:$R$64,MATCH($A33,'1. Plot &amp; Site Log'!$A$5:$A$64,0)))</f>
        <v/>
      </c>
      <c r="E33" s="14" t="str">
        <f aca="false">IF(OR($A33="",$D33="",$D33=0),"",$C33/$D33)</f>
        <v/>
      </c>
      <c r="F33" s="14" t="str">
        <f aca="false">IF($A33="","",SUMIFS('4. Understory Data'!$O$5:$O$254,'4. Understory Data'!$A$5:$A$254,$A33,'4. Understory Data'!$C$5:$C$254,"Medium"))</f>
        <v/>
      </c>
      <c r="G33" s="14" t="str">
        <f aca="false">IF($A33="","",INDEX('1. Plot &amp; Site Log'!$M$5:$M$64,MATCH($A33,'1. Plot &amp; Site Log'!$A$5:$A$64,0)))</f>
        <v/>
      </c>
      <c r="H33" s="14" t="str">
        <f aca="false">IF(OR($A33="",$G33="",$G33=0),"",$F33/$G33)</f>
        <v/>
      </c>
      <c r="I33" s="14" t="str">
        <f aca="false">IF($A33="","",SUMIFS('4. Understory Data'!$O$5:$O$254,'4. Understory Data'!$A$5:$A$254,$A33,'4. Understory Data'!$C$5:$C$254,"Small"))</f>
        <v/>
      </c>
      <c r="J33" s="14" t="str">
        <f aca="false">IF($A33="","",INDEX('1. Plot &amp; Site Log'!$N$5:$N$64,MATCH($A33,'1. Plot &amp; Site Log'!$A$5:$A$64,0)))</f>
        <v/>
      </c>
      <c r="K33" s="14" t="str">
        <f aca="false">IF(OR($A33="",$J33="",$J33=0),"",$I33/$J33)</f>
        <v/>
      </c>
      <c r="L33" s="14" t="str">
        <f aca="false">IF($A33="","",IF($H33="",0,$H33)+IF($K33="",0,$K33))</f>
        <v/>
      </c>
      <c r="M33" s="14" t="str">
        <f aca="false">IF($A33="","",COUNTIFS('2. Core Log'!$B$5:$B$124,$A33))</f>
        <v/>
      </c>
      <c r="N33" s="14" t="str">
        <f aca="false">IF(OR($A33="",$M33=0),"",IFERROR(AVERAGEIFS('2. Core Log'!$L$5:$L$124,'2. Core Log'!$B$5:$B$124,$A33),""))</f>
        <v/>
      </c>
      <c r="O33" s="14" t="str">
        <f aca="false">IF(OR($A33="",$M33=0),"",IFERROR(AVERAGEIFS('2. Core Log'!$M$5:$M$124,'2. Core Log'!$B$5:$B$124,$A33),""))</f>
        <v/>
      </c>
      <c r="P33" s="16" t="str">
        <f aca="false">IF($A33="","",IF($E33="",0,$E33)+IF($L33="",0,$L33)+IF($N33="",0,$N33))</f>
        <v/>
      </c>
      <c r="Q33" s="14" t="str">
        <f aca="false">IF($A33="","",IF($C33=0,"No tree data for this plot. ","")&amp;IF($M33=0,"No soil cores for this plot — soil contributes zero to the total. ","")&amp;IF(AND($F33=0,$I33=0),"No understory data — the total is trees + soil only. ","")&amp;IF(OR($D33="",$D33=0),"No large plot area — tree carbon per m² cannot be calculated. ",""))</f>
        <v/>
      </c>
      <c r="R33" s="14" t="n">
        <f aca="false">IF(ISNUMBER($P33),$P33,0)</f>
        <v>0</v>
      </c>
      <c r="S33" s="14" t="n">
        <f aca="false">IF(AND(ISNUMBER($P33),$A33&lt;&gt;""),1,0)</f>
        <v>0</v>
      </c>
    </row>
    <row r="34" customFormat="false" ht="15" hidden="false" customHeight="false" outlineLevel="0" collapsed="false">
      <c r="A34" s="14" t="str">
        <f aca="false">IF(INDEX('1. Plot &amp; Site Log'!$A$5:$A$64,ROW()-4)="","",INDEX('1. Plot &amp; Site Log'!$A$5:$A$64,ROW()-4))</f>
        <v/>
      </c>
      <c r="B34" s="14" t="str">
        <f aca="false">IF($A34="","",INDEX('1. Plot &amp; Site Log'!$B$5:$B$64,MATCH($A34,'1. Plot &amp; Site Log'!$A$5:$A$64,0)))</f>
        <v/>
      </c>
      <c r="C34" s="14" t="str">
        <f aca="false">IF($A34="","",SUMIFS('3. Tree Data'!$P$5:$P$404,'3. Tree Data'!$A$5:$A$404,$A34))</f>
        <v/>
      </c>
      <c r="D34" s="14" t="str">
        <f aca="false">IF($A34="","",INDEX('1. Plot &amp; Site Log'!$R$5:$R$64,MATCH($A34,'1. Plot &amp; Site Log'!$A$5:$A$64,0)))</f>
        <v/>
      </c>
      <c r="E34" s="14" t="str">
        <f aca="false">IF(OR($A34="",$D34="",$D34=0),"",$C34/$D34)</f>
        <v/>
      </c>
      <c r="F34" s="14" t="str">
        <f aca="false">IF($A34="","",SUMIFS('4. Understory Data'!$O$5:$O$254,'4. Understory Data'!$A$5:$A$254,$A34,'4. Understory Data'!$C$5:$C$254,"Medium"))</f>
        <v/>
      </c>
      <c r="G34" s="14" t="str">
        <f aca="false">IF($A34="","",INDEX('1. Plot &amp; Site Log'!$M$5:$M$64,MATCH($A34,'1. Plot &amp; Site Log'!$A$5:$A$64,0)))</f>
        <v/>
      </c>
      <c r="H34" s="14" t="str">
        <f aca="false">IF(OR($A34="",$G34="",$G34=0),"",$F34/$G34)</f>
        <v/>
      </c>
      <c r="I34" s="14" t="str">
        <f aca="false">IF($A34="","",SUMIFS('4. Understory Data'!$O$5:$O$254,'4. Understory Data'!$A$5:$A$254,$A34,'4. Understory Data'!$C$5:$C$254,"Small"))</f>
        <v/>
      </c>
      <c r="J34" s="14" t="str">
        <f aca="false">IF($A34="","",INDEX('1. Plot &amp; Site Log'!$N$5:$N$64,MATCH($A34,'1. Plot &amp; Site Log'!$A$5:$A$64,0)))</f>
        <v/>
      </c>
      <c r="K34" s="14" t="str">
        <f aca="false">IF(OR($A34="",$J34="",$J34=0),"",$I34/$J34)</f>
        <v/>
      </c>
      <c r="L34" s="14" t="str">
        <f aca="false">IF($A34="","",IF($H34="",0,$H34)+IF($K34="",0,$K34))</f>
        <v/>
      </c>
      <c r="M34" s="14" t="str">
        <f aca="false">IF($A34="","",COUNTIFS('2. Core Log'!$B$5:$B$124,$A34))</f>
        <v/>
      </c>
      <c r="N34" s="14" t="str">
        <f aca="false">IF(OR($A34="",$M34=0),"",IFERROR(AVERAGEIFS('2. Core Log'!$L$5:$L$124,'2. Core Log'!$B$5:$B$124,$A34),""))</f>
        <v/>
      </c>
      <c r="O34" s="14" t="str">
        <f aca="false">IF(OR($A34="",$M34=0),"",IFERROR(AVERAGEIFS('2. Core Log'!$M$5:$M$124,'2. Core Log'!$B$5:$B$124,$A34),""))</f>
        <v/>
      </c>
      <c r="P34" s="16" t="str">
        <f aca="false">IF($A34="","",IF($E34="",0,$E34)+IF($L34="",0,$L34)+IF($N34="",0,$N34))</f>
        <v/>
      </c>
      <c r="Q34" s="14" t="str">
        <f aca="false">IF($A34="","",IF($C34=0,"No tree data for this plot. ","")&amp;IF($M34=0,"No soil cores for this plot — soil contributes zero to the total. ","")&amp;IF(AND($F34=0,$I34=0),"No understory data — the total is trees + soil only. ","")&amp;IF(OR($D34="",$D34=0),"No large plot area — tree carbon per m² cannot be calculated. ",""))</f>
        <v/>
      </c>
      <c r="R34" s="14" t="n">
        <f aca="false">IF(ISNUMBER($P34),$P34,0)</f>
        <v>0</v>
      </c>
      <c r="S34" s="14" t="n">
        <f aca="false">IF(AND(ISNUMBER($P34),$A34&lt;&gt;""),1,0)</f>
        <v>0</v>
      </c>
    </row>
    <row r="35" customFormat="false" ht="15" hidden="false" customHeight="false" outlineLevel="0" collapsed="false">
      <c r="A35" s="14" t="str">
        <f aca="false">IF(INDEX('1. Plot &amp; Site Log'!$A$5:$A$64,ROW()-4)="","",INDEX('1. Plot &amp; Site Log'!$A$5:$A$64,ROW()-4))</f>
        <v/>
      </c>
      <c r="B35" s="14" t="str">
        <f aca="false">IF($A35="","",INDEX('1. Plot &amp; Site Log'!$B$5:$B$64,MATCH($A35,'1. Plot &amp; Site Log'!$A$5:$A$64,0)))</f>
        <v/>
      </c>
      <c r="C35" s="14" t="str">
        <f aca="false">IF($A35="","",SUMIFS('3. Tree Data'!$P$5:$P$404,'3. Tree Data'!$A$5:$A$404,$A35))</f>
        <v/>
      </c>
      <c r="D35" s="14" t="str">
        <f aca="false">IF($A35="","",INDEX('1. Plot &amp; Site Log'!$R$5:$R$64,MATCH($A35,'1. Plot &amp; Site Log'!$A$5:$A$64,0)))</f>
        <v/>
      </c>
      <c r="E35" s="14" t="str">
        <f aca="false">IF(OR($A35="",$D35="",$D35=0),"",$C35/$D35)</f>
        <v/>
      </c>
      <c r="F35" s="14" t="str">
        <f aca="false">IF($A35="","",SUMIFS('4. Understory Data'!$O$5:$O$254,'4. Understory Data'!$A$5:$A$254,$A35,'4. Understory Data'!$C$5:$C$254,"Medium"))</f>
        <v/>
      </c>
      <c r="G35" s="14" t="str">
        <f aca="false">IF($A35="","",INDEX('1. Plot &amp; Site Log'!$M$5:$M$64,MATCH($A35,'1. Plot &amp; Site Log'!$A$5:$A$64,0)))</f>
        <v/>
      </c>
      <c r="H35" s="14" t="str">
        <f aca="false">IF(OR($A35="",$G35="",$G35=0),"",$F35/$G35)</f>
        <v/>
      </c>
      <c r="I35" s="14" t="str">
        <f aca="false">IF($A35="","",SUMIFS('4. Understory Data'!$O$5:$O$254,'4. Understory Data'!$A$5:$A$254,$A35,'4. Understory Data'!$C$5:$C$254,"Small"))</f>
        <v/>
      </c>
      <c r="J35" s="14" t="str">
        <f aca="false">IF($A35="","",INDEX('1. Plot &amp; Site Log'!$N$5:$N$64,MATCH($A35,'1. Plot &amp; Site Log'!$A$5:$A$64,0)))</f>
        <v/>
      </c>
      <c r="K35" s="14" t="str">
        <f aca="false">IF(OR($A35="",$J35="",$J35=0),"",$I35/$J35)</f>
        <v/>
      </c>
      <c r="L35" s="14" t="str">
        <f aca="false">IF($A35="","",IF($H35="",0,$H35)+IF($K35="",0,$K35))</f>
        <v/>
      </c>
      <c r="M35" s="14" t="str">
        <f aca="false">IF($A35="","",COUNTIFS('2. Core Log'!$B$5:$B$124,$A35))</f>
        <v/>
      </c>
      <c r="N35" s="14" t="str">
        <f aca="false">IF(OR($A35="",$M35=0),"",IFERROR(AVERAGEIFS('2. Core Log'!$L$5:$L$124,'2. Core Log'!$B$5:$B$124,$A35),""))</f>
        <v/>
      </c>
      <c r="O35" s="14" t="str">
        <f aca="false">IF(OR($A35="",$M35=0),"",IFERROR(AVERAGEIFS('2. Core Log'!$M$5:$M$124,'2. Core Log'!$B$5:$B$124,$A35),""))</f>
        <v/>
      </c>
      <c r="P35" s="16" t="str">
        <f aca="false">IF($A35="","",IF($E35="",0,$E35)+IF($L35="",0,$L35)+IF($N35="",0,$N35))</f>
        <v/>
      </c>
      <c r="Q35" s="14" t="str">
        <f aca="false">IF($A35="","",IF($C35=0,"No tree data for this plot. ","")&amp;IF($M35=0,"No soil cores for this plot — soil contributes zero to the total. ","")&amp;IF(AND($F35=0,$I35=0),"No understory data — the total is trees + soil only. ","")&amp;IF(OR($D35="",$D35=0),"No large plot area — tree carbon per m² cannot be calculated. ",""))</f>
        <v/>
      </c>
      <c r="R35" s="14" t="n">
        <f aca="false">IF(ISNUMBER($P35),$P35,0)</f>
        <v>0</v>
      </c>
      <c r="S35" s="14" t="n">
        <f aca="false">IF(AND(ISNUMBER($P35),$A35&lt;&gt;""),1,0)</f>
        <v>0</v>
      </c>
    </row>
    <row r="36" customFormat="false" ht="15" hidden="false" customHeight="false" outlineLevel="0" collapsed="false">
      <c r="A36" s="14" t="str">
        <f aca="false">IF(INDEX('1. Plot &amp; Site Log'!$A$5:$A$64,ROW()-4)="","",INDEX('1. Plot &amp; Site Log'!$A$5:$A$64,ROW()-4))</f>
        <v/>
      </c>
      <c r="B36" s="14" t="str">
        <f aca="false">IF($A36="","",INDEX('1. Plot &amp; Site Log'!$B$5:$B$64,MATCH($A36,'1. Plot &amp; Site Log'!$A$5:$A$64,0)))</f>
        <v/>
      </c>
      <c r="C36" s="14" t="str">
        <f aca="false">IF($A36="","",SUMIFS('3. Tree Data'!$P$5:$P$404,'3. Tree Data'!$A$5:$A$404,$A36))</f>
        <v/>
      </c>
      <c r="D36" s="14" t="str">
        <f aca="false">IF($A36="","",INDEX('1. Plot &amp; Site Log'!$R$5:$R$64,MATCH($A36,'1. Plot &amp; Site Log'!$A$5:$A$64,0)))</f>
        <v/>
      </c>
      <c r="E36" s="14" t="str">
        <f aca="false">IF(OR($A36="",$D36="",$D36=0),"",$C36/$D36)</f>
        <v/>
      </c>
      <c r="F36" s="14" t="str">
        <f aca="false">IF($A36="","",SUMIFS('4. Understory Data'!$O$5:$O$254,'4. Understory Data'!$A$5:$A$254,$A36,'4. Understory Data'!$C$5:$C$254,"Medium"))</f>
        <v/>
      </c>
      <c r="G36" s="14" t="str">
        <f aca="false">IF($A36="","",INDEX('1. Plot &amp; Site Log'!$M$5:$M$64,MATCH($A36,'1. Plot &amp; Site Log'!$A$5:$A$64,0)))</f>
        <v/>
      </c>
      <c r="H36" s="14" t="str">
        <f aca="false">IF(OR($A36="",$G36="",$G36=0),"",$F36/$G36)</f>
        <v/>
      </c>
      <c r="I36" s="14" t="str">
        <f aca="false">IF($A36="","",SUMIFS('4. Understory Data'!$O$5:$O$254,'4. Understory Data'!$A$5:$A$254,$A36,'4. Understory Data'!$C$5:$C$254,"Small"))</f>
        <v/>
      </c>
      <c r="J36" s="14" t="str">
        <f aca="false">IF($A36="","",INDEX('1. Plot &amp; Site Log'!$N$5:$N$64,MATCH($A36,'1. Plot &amp; Site Log'!$A$5:$A$64,0)))</f>
        <v/>
      </c>
      <c r="K36" s="14" t="str">
        <f aca="false">IF(OR($A36="",$J36="",$J36=0),"",$I36/$J36)</f>
        <v/>
      </c>
      <c r="L36" s="14" t="str">
        <f aca="false">IF($A36="","",IF($H36="",0,$H36)+IF($K36="",0,$K36))</f>
        <v/>
      </c>
      <c r="M36" s="14" t="str">
        <f aca="false">IF($A36="","",COUNTIFS('2. Core Log'!$B$5:$B$124,$A36))</f>
        <v/>
      </c>
      <c r="N36" s="14" t="str">
        <f aca="false">IF(OR($A36="",$M36=0),"",IFERROR(AVERAGEIFS('2. Core Log'!$L$5:$L$124,'2. Core Log'!$B$5:$B$124,$A36),""))</f>
        <v/>
      </c>
      <c r="O36" s="14" t="str">
        <f aca="false">IF(OR($A36="",$M36=0),"",IFERROR(AVERAGEIFS('2. Core Log'!$M$5:$M$124,'2. Core Log'!$B$5:$B$124,$A36),""))</f>
        <v/>
      </c>
      <c r="P36" s="16" t="str">
        <f aca="false">IF($A36="","",IF($E36="",0,$E36)+IF($L36="",0,$L36)+IF($N36="",0,$N36))</f>
        <v/>
      </c>
      <c r="Q36" s="14" t="str">
        <f aca="false">IF($A36="","",IF($C36=0,"No tree data for this plot. ","")&amp;IF($M36=0,"No soil cores for this plot — soil contributes zero to the total. ","")&amp;IF(AND($F36=0,$I36=0),"No understory data — the total is trees + soil only. ","")&amp;IF(OR($D36="",$D36=0),"No large plot area — tree carbon per m² cannot be calculated. ",""))</f>
        <v/>
      </c>
      <c r="R36" s="14" t="n">
        <f aca="false">IF(ISNUMBER($P36),$P36,0)</f>
        <v>0</v>
      </c>
      <c r="S36" s="14" t="n">
        <f aca="false">IF(AND(ISNUMBER($P36),$A36&lt;&gt;""),1,0)</f>
        <v>0</v>
      </c>
    </row>
    <row r="37" customFormat="false" ht="15" hidden="false" customHeight="false" outlineLevel="0" collapsed="false">
      <c r="A37" s="14" t="str">
        <f aca="false">IF(INDEX('1. Plot &amp; Site Log'!$A$5:$A$64,ROW()-4)="","",INDEX('1. Plot &amp; Site Log'!$A$5:$A$64,ROW()-4))</f>
        <v/>
      </c>
      <c r="B37" s="14" t="str">
        <f aca="false">IF($A37="","",INDEX('1. Plot &amp; Site Log'!$B$5:$B$64,MATCH($A37,'1. Plot &amp; Site Log'!$A$5:$A$64,0)))</f>
        <v/>
      </c>
      <c r="C37" s="14" t="str">
        <f aca="false">IF($A37="","",SUMIFS('3. Tree Data'!$P$5:$P$404,'3. Tree Data'!$A$5:$A$404,$A37))</f>
        <v/>
      </c>
      <c r="D37" s="14" t="str">
        <f aca="false">IF($A37="","",INDEX('1. Plot &amp; Site Log'!$R$5:$R$64,MATCH($A37,'1. Plot &amp; Site Log'!$A$5:$A$64,0)))</f>
        <v/>
      </c>
      <c r="E37" s="14" t="str">
        <f aca="false">IF(OR($A37="",$D37="",$D37=0),"",$C37/$D37)</f>
        <v/>
      </c>
      <c r="F37" s="14" t="str">
        <f aca="false">IF($A37="","",SUMIFS('4. Understory Data'!$O$5:$O$254,'4. Understory Data'!$A$5:$A$254,$A37,'4. Understory Data'!$C$5:$C$254,"Medium"))</f>
        <v/>
      </c>
      <c r="G37" s="14" t="str">
        <f aca="false">IF($A37="","",INDEX('1. Plot &amp; Site Log'!$M$5:$M$64,MATCH($A37,'1. Plot &amp; Site Log'!$A$5:$A$64,0)))</f>
        <v/>
      </c>
      <c r="H37" s="14" t="str">
        <f aca="false">IF(OR($A37="",$G37="",$G37=0),"",$F37/$G37)</f>
        <v/>
      </c>
      <c r="I37" s="14" t="str">
        <f aca="false">IF($A37="","",SUMIFS('4. Understory Data'!$O$5:$O$254,'4. Understory Data'!$A$5:$A$254,$A37,'4. Understory Data'!$C$5:$C$254,"Small"))</f>
        <v/>
      </c>
      <c r="J37" s="14" t="str">
        <f aca="false">IF($A37="","",INDEX('1. Plot &amp; Site Log'!$N$5:$N$64,MATCH($A37,'1. Plot &amp; Site Log'!$A$5:$A$64,0)))</f>
        <v/>
      </c>
      <c r="K37" s="14" t="str">
        <f aca="false">IF(OR($A37="",$J37="",$J37=0),"",$I37/$J37)</f>
        <v/>
      </c>
      <c r="L37" s="14" t="str">
        <f aca="false">IF($A37="","",IF($H37="",0,$H37)+IF($K37="",0,$K37))</f>
        <v/>
      </c>
      <c r="M37" s="14" t="str">
        <f aca="false">IF($A37="","",COUNTIFS('2. Core Log'!$B$5:$B$124,$A37))</f>
        <v/>
      </c>
      <c r="N37" s="14" t="str">
        <f aca="false">IF(OR($A37="",$M37=0),"",IFERROR(AVERAGEIFS('2. Core Log'!$L$5:$L$124,'2. Core Log'!$B$5:$B$124,$A37),""))</f>
        <v/>
      </c>
      <c r="O37" s="14" t="str">
        <f aca="false">IF(OR($A37="",$M37=0),"",IFERROR(AVERAGEIFS('2. Core Log'!$M$5:$M$124,'2. Core Log'!$B$5:$B$124,$A37),""))</f>
        <v/>
      </c>
      <c r="P37" s="16" t="str">
        <f aca="false">IF($A37="","",IF($E37="",0,$E37)+IF($L37="",0,$L37)+IF($N37="",0,$N37))</f>
        <v/>
      </c>
      <c r="Q37" s="14" t="str">
        <f aca="false">IF($A37="","",IF($C37=0,"No tree data for this plot. ","")&amp;IF($M37=0,"No soil cores for this plot — soil contributes zero to the total. ","")&amp;IF(AND($F37=0,$I37=0),"No understory data — the total is trees + soil only. ","")&amp;IF(OR($D37="",$D37=0),"No large plot area — tree carbon per m² cannot be calculated. ",""))</f>
        <v/>
      </c>
      <c r="R37" s="14" t="n">
        <f aca="false">IF(ISNUMBER($P37),$P37,0)</f>
        <v>0</v>
      </c>
      <c r="S37" s="14" t="n">
        <f aca="false">IF(AND(ISNUMBER($P37),$A37&lt;&gt;""),1,0)</f>
        <v>0</v>
      </c>
    </row>
    <row r="38" customFormat="false" ht="15" hidden="false" customHeight="false" outlineLevel="0" collapsed="false">
      <c r="A38" s="14" t="str">
        <f aca="false">IF(INDEX('1. Plot &amp; Site Log'!$A$5:$A$64,ROW()-4)="","",INDEX('1. Plot &amp; Site Log'!$A$5:$A$64,ROW()-4))</f>
        <v/>
      </c>
      <c r="B38" s="14" t="str">
        <f aca="false">IF($A38="","",INDEX('1. Plot &amp; Site Log'!$B$5:$B$64,MATCH($A38,'1. Plot &amp; Site Log'!$A$5:$A$64,0)))</f>
        <v/>
      </c>
      <c r="C38" s="14" t="str">
        <f aca="false">IF($A38="","",SUMIFS('3. Tree Data'!$P$5:$P$404,'3. Tree Data'!$A$5:$A$404,$A38))</f>
        <v/>
      </c>
      <c r="D38" s="14" t="str">
        <f aca="false">IF($A38="","",INDEX('1. Plot &amp; Site Log'!$R$5:$R$64,MATCH($A38,'1. Plot &amp; Site Log'!$A$5:$A$64,0)))</f>
        <v/>
      </c>
      <c r="E38" s="14" t="str">
        <f aca="false">IF(OR($A38="",$D38="",$D38=0),"",$C38/$D38)</f>
        <v/>
      </c>
      <c r="F38" s="14" t="str">
        <f aca="false">IF($A38="","",SUMIFS('4. Understory Data'!$O$5:$O$254,'4. Understory Data'!$A$5:$A$254,$A38,'4. Understory Data'!$C$5:$C$254,"Medium"))</f>
        <v/>
      </c>
      <c r="G38" s="14" t="str">
        <f aca="false">IF($A38="","",INDEX('1. Plot &amp; Site Log'!$M$5:$M$64,MATCH($A38,'1. Plot &amp; Site Log'!$A$5:$A$64,0)))</f>
        <v/>
      </c>
      <c r="H38" s="14" t="str">
        <f aca="false">IF(OR($A38="",$G38="",$G38=0),"",$F38/$G38)</f>
        <v/>
      </c>
      <c r="I38" s="14" t="str">
        <f aca="false">IF($A38="","",SUMIFS('4. Understory Data'!$O$5:$O$254,'4. Understory Data'!$A$5:$A$254,$A38,'4. Understory Data'!$C$5:$C$254,"Small"))</f>
        <v/>
      </c>
      <c r="J38" s="14" t="str">
        <f aca="false">IF($A38="","",INDEX('1. Plot &amp; Site Log'!$N$5:$N$64,MATCH($A38,'1. Plot &amp; Site Log'!$A$5:$A$64,0)))</f>
        <v/>
      </c>
      <c r="K38" s="14" t="str">
        <f aca="false">IF(OR($A38="",$J38="",$J38=0),"",$I38/$J38)</f>
        <v/>
      </c>
      <c r="L38" s="14" t="str">
        <f aca="false">IF($A38="","",IF($H38="",0,$H38)+IF($K38="",0,$K38))</f>
        <v/>
      </c>
      <c r="M38" s="14" t="str">
        <f aca="false">IF($A38="","",COUNTIFS('2. Core Log'!$B$5:$B$124,$A38))</f>
        <v/>
      </c>
      <c r="N38" s="14" t="str">
        <f aca="false">IF(OR($A38="",$M38=0),"",IFERROR(AVERAGEIFS('2. Core Log'!$L$5:$L$124,'2. Core Log'!$B$5:$B$124,$A38),""))</f>
        <v/>
      </c>
      <c r="O38" s="14" t="str">
        <f aca="false">IF(OR($A38="",$M38=0),"",IFERROR(AVERAGEIFS('2. Core Log'!$M$5:$M$124,'2. Core Log'!$B$5:$B$124,$A38),""))</f>
        <v/>
      </c>
      <c r="P38" s="16" t="str">
        <f aca="false">IF($A38="","",IF($E38="",0,$E38)+IF($L38="",0,$L38)+IF($N38="",0,$N38))</f>
        <v/>
      </c>
      <c r="Q38" s="14" t="str">
        <f aca="false">IF($A38="","",IF($C38=0,"No tree data for this plot. ","")&amp;IF($M38=0,"No soil cores for this plot — soil contributes zero to the total. ","")&amp;IF(AND($F38=0,$I38=0),"No understory data — the total is trees + soil only. ","")&amp;IF(OR($D38="",$D38=0),"No large plot area — tree carbon per m² cannot be calculated. ",""))</f>
        <v/>
      </c>
      <c r="R38" s="14" t="n">
        <f aca="false">IF(ISNUMBER($P38),$P38,0)</f>
        <v>0</v>
      </c>
      <c r="S38" s="14" t="n">
        <f aca="false">IF(AND(ISNUMBER($P38),$A38&lt;&gt;""),1,0)</f>
        <v>0</v>
      </c>
    </row>
    <row r="39" customFormat="false" ht="15" hidden="false" customHeight="false" outlineLevel="0" collapsed="false">
      <c r="A39" s="14" t="str">
        <f aca="false">IF(INDEX('1. Plot &amp; Site Log'!$A$5:$A$64,ROW()-4)="","",INDEX('1. Plot &amp; Site Log'!$A$5:$A$64,ROW()-4))</f>
        <v/>
      </c>
      <c r="B39" s="14" t="str">
        <f aca="false">IF($A39="","",INDEX('1. Plot &amp; Site Log'!$B$5:$B$64,MATCH($A39,'1. Plot &amp; Site Log'!$A$5:$A$64,0)))</f>
        <v/>
      </c>
      <c r="C39" s="14" t="str">
        <f aca="false">IF($A39="","",SUMIFS('3. Tree Data'!$P$5:$P$404,'3. Tree Data'!$A$5:$A$404,$A39))</f>
        <v/>
      </c>
      <c r="D39" s="14" t="str">
        <f aca="false">IF($A39="","",INDEX('1. Plot &amp; Site Log'!$R$5:$R$64,MATCH($A39,'1. Plot &amp; Site Log'!$A$5:$A$64,0)))</f>
        <v/>
      </c>
      <c r="E39" s="14" t="str">
        <f aca="false">IF(OR($A39="",$D39="",$D39=0),"",$C39/$D39)</f>
        <v/>
      </c>
      <c r="F39" s="14" t="str">
        <f aca="false">IF($A39="","",SUMIFS('4. Understory Data'!$O$5:$O$254,'4. Understory Data'!$A$5:$A$254,$A39,'4. Understory Data'!$C$5:$C$254,"Medium"))</f>
        <v/>
      </c>
      <c r="G39" s="14" t="str">
        <f aca="false">IF($A39="","",INDEX('1. Plot &amp; Site Log'!$M$5:$M$64,MATCH($A39,'1. Plot &amp; Site Log'!$A$5:$A$64,0)))</f>
        <v/>
      </c>
      <c r="H39" s="14" t="str">
        <f aca="false">IF(OR($A39="",$G39="",$G39=0),"",$F39/$G39)</f>
        <v/>
      </c>
      <c r="I39" s="14" t="str">
        <f aca="false">IF($A39="","",SUMIFS('4. Understory Data'!$O$5:$O$254,'4. Understory Data'!$A$5:$A$254,$A39,'4. Understory Data'!$C$5:$C$254,"Small"))</f>
        <v/>
      </c>
      <c r="J39" s="14" t="str">
        <f aca="false">IF($A39="","",INDEX('1. Plot &amp; Site Log'!$N$5:$N$64,MATCH($A39,'1. Plot &amp; Site Log'!$A$5:$A$64,0)))</f>
        <v/>
      </c>
      <c r="K39" s="14" t="str">
        <f aca="false">IF(OR($A39="",$J39="",$J39=0),"",$I39/$J39)</f>
        <v/>
      </c>
      <c r="L39" s="14" t="str">
        <f aca="false">IF($A39="","",IF($H39="",0,$H39)+IF($K39="",0,$K39))</f>
        <v/>
      </c>
      <c r="M39" s="14" t="str">
        <f aca="false">IF($A39="","",COUNTIFS('2. Core Log'!$B$5:$B$124,$A39))</f>
        <v/>
      </c>
      <c r="N39" s="14" t="str">
        <f aca="false">IF(OR($A39="",$M39=0),"",IFERROR(AVERAGEIFS('2. Core Log'!$L$5:$L$124,'2. Core Log'!$B$5:$B$124,$A39),""))</f>
        <v/>
      </c>
      <c r="O39" s="14" t="str">
        <f aca="false">IF(OR($A39="",$M39=0),"",IFERROR(AVERAGEIFS('2. Core Log'!$M$5:$M$124,'2. Core Log'!$B$5:$B$124,$A39),""))</f>
        <v/>
      </c>
      <c r="P39" s="16" t="str">
        <f aca="false">IF($A39="","",IF($E39="",0,$E39)+IF($L39="",0,$L39)+IF($N39="",0,$N39))</f>
        <v/>
      </c>
      <c r="Q39" s="14" t="str">
        <f aca="false">IF($A39="","",IF($C39=0,"No tree data for this plot. ","")&amp;IF($M39=0,"No soil cores for this plot — soil contributes zero to the total. ","")&amp;IF(AND($F39=0,$I39=0),"No understory data — the total is trees + soil only. ","")&amp;IF(OR($D39="",$D39=0),"No large plot area — tree carbon per m² cannot be calculated. ",""))</f>
        <v/>
      </c>
      <c r="R39" s="14" t="n">
        <f aca="false">IF(ISNUMBER($P39),$P39,0)</f>
        <v>0</v>
      </c>
      <c r="S39" s="14" t="n">
        <f aca="false">IF(AND(ISNUMBER($P39),$A39&lt;&gt;""),1,0)</f>
        <v>0</v>
      </c>
    </row>
    <row r="40" customFormat="false" ht="15" hidden="false" customHeight="false" outlineLevel="0" collapsed="false">
      <c r="A40" s="14" t="str">
        <f aca="false">IF(INDEX('1. Plot &amp; Site Log'!$A$5:$A$64,ROW()-4)="","",INDEX('1. Plot &amp; Site Log'!$A$5:$A$64,ROW()-4))</f>
        <v/>
      </c>
      <c r="B40" s="14" t="str">
        <f aca="false">IF($A40="","",INDEX('1. Plot &amp; Site Log'!$B$5:$B$64,MATCH($A40,'1. Plot &amp; Site Log'!$A$5:$A$64,0)))</f>
        <v/>
      </c>
      <c r="C40" s="14" t="str">
        <f aca="false">IF($A40="","",SUMIFS('3. Tree Data'!$P$5:$P$404,'3. Tree Data'!$A$5:$A$404,$A40))</f>
        <v/>
      </c>
      <c r="D40" s="14" t="str">
        <f aca="false">IF($A40="","",INDEX('1. Plot &amp; Site Log'!$R$5:$R$64,MATCH($A40,'1. Plot &amp; Site Log'!$A$5:$A$64,0)))</f>
        <v/>
      </c>
      <c r="E40" s="14" t="str">
        <f aca="false">IF(OR($A40="",$D40="",$D40=0),"",$C40/$D40)</f>
        <v/>
      </c>
      <c r="F40" s="14" t="str">
        <f aca="false">IF($A40="","",SUMIFS('4. Understory Data'!$O$5:$O$254,'4. Understory Data'!$A$5:$A$254,$A40,'4. Understory Data'!$C$5:$C$254,"Medium"))</f>
        <v/>
      </c>
      <c r="G40" s="14" t="str">
        <f aca="false">IF($A40="","",INDEX('1. Plot &amp; Site Log'!$M$5:$M$64,MATCH($A40,'1. Plot &amp; Site Log'!$A$5:$A$64,0)))</f>
        <v/>
      </c>
      <c r="H40" s="14" t="str">
        <f aca="false">IF(OR($A40="",$G40="",$G40=0),"",$F40/$G40)</f>
        <v/>
      </c>
      <c r="I40" s="14" t="str">
        <f aca="false">IF($A40="","",SUMIFS('4. Understory Data'!$O$5:$O$254,'4. Understory Data'!$A$5:$A$254,$A40,'4. Understory Data'!$C$5:$C$254,"Small"))</f>
        <v/>
      </c>
      <c r="J40" s="14" t="str">
        <f aca="false">IF($A40="","",INDEX('1. Plot &amp; Site Log'!$N$5:$N$64,MATCH($A40,'1. Plot &amp; Site Log'!$A$5:$A$64,0)))</f>
        <v/>
      </c>
      <c r="K40" s="14" t="str">
        <f aca="false">IF(OR($A40="",$J40="",$J40=0),"",$I40/$J40)</f>
        <v/>
      </c>
      <c r="L40" s="14" t="str">
        <f aca="false">IF($A40="","",IF($H40="",0,$H40)+IF($K40="",0,$K40))</f>
        <v/>
      </c>
      <c r="M40" s="14" t="str">
        <f aca="false">IF($A40="","",COUNTIFS('2. Core Log'!$B$5:$B$124,$A40))</f>
        <v/>
      </c>
      <c r="N40" s="14" t="str">
        <f aca="false">IF(OR($A40="",$M40=0),"",IFERROR(AVERAGEIFS('2. Core Log'!$L$5:$L$124,'2. Core Log'!$B$5:$B$124,$A40),""))</f>
        <v/>
      </c>
      <c r="O40" s="14" t="str">
        <f aca="false">IF(OR($A40="",$M40=0),"",IFERROR(AVERAGEIFS('2. Core Log'!$M$5:$M$124,'2. Core Log'!$B$5:$B$124,$A40),""))</f>
        <v/>
      </c>
      <c r="P40" s="16" t="str">
        <f aca="false">IF($A40="","",IF($E40="",0,$E40)+IF($L40="",0,$L40)+IF($N40="",0,$N40))</f>
        <v/>
      </c>
      <c r="Q40" s="14" t="str">
        <f aca="false">IF($A40="","",IF($C40=0,"No tree data for this plot. ","")&amp;IF($M40=0,"No soil cores for this plot — soil contributes zero to the total. ","")&amp;IF(AND($F40=0,$I40=0),"No understory data — the total is trees + soil only. ","")&amp;IF(OR($D40="",$D40=0),"No large plot area — tree carbon per m² cannot be calculated. ",""))</f>
        <v/>
      </c>
      <c r="R40" s="14" t="n">
        <f aca="false">IF(ISNUMBER($P40),$P40,0)</f>
        <v>0</v>
      </c>
      <c r="S40" s="14" t="n">
        <f aca="false">IF(AND(ISNUMBER($P40),$A40&lt;&gt;""),1,0)</f>
        <v>0</v>
      </c>
    </row>
    <row r="41" customFormat="false" ht="15" hidden="false" customHeight="false" outlineLevel="0" collapsed="false">
      <c r="A41" s="14" t="str">
        <f aca="false">IF(INDEX('1. Plot &amp; Site Log'!$A$5:$A$64,ROW()-4)="","",INDEX('1. Plot &amp; Site Log'!$A$5:$A$64,ROW()-4))</f>
        <v/>
      </c>
      <c r="B41" s="14" t="str">
        <f aca="false">IF($A41="","",INDEX('1. Plot &amp; Site Log'!$B$5:$B$64,MATCH($A41,'1. Plot &amp; Site Log'!$A$5:$A$64,0)))</f>
        <v/>
      </c>
      <c r="C41" s="14" t="str">
        <f aca="false">IF($A41="","",SUMIFS('3. Tree Data'!$P$5:$P$404,'3. Tree Data'!$A$5:$A$404,$A41))</f>
        <v/>
      </c>
      <c r="D41" s="14" t="str">
        <f aca="false">IF($A41="","",INDEX('1. Plot &amp; Site Log'!$R$5:$R$64,MATCH($A41,'1. Plot &amp; Site Log'!$A$5:$A$64,0)))</f>
        <v/>
      </c>
      <c r="E41" s="14" t="str">
        <f aca="false">IF(OR($A41="",$D41="",$D41=0),"",$C41/$D41)</f>
        <v/>
      </c>
      <c r="F41" s="14" t="str">
        <f aca="false">IF($A41="","",SUMIFS('4. Understory Data'!$O$5:$O$254,'4. Understory Data'!$A$5:$A$254,$A41,'4. Understory Data'!$C$5:$C$254,"Medium"))</f>
        <v/>
      </c>
      <c r="G41" s="14" t="str">
        <f aca="false">IF($A41="","",INDEX('1. Plot &amp; Site Log'!$M$5:$M$64,MATCH($A41,'1. Plot &amp; Site Log'!$A$5:$A$64,0)))</f>
        <v/>
      </c>
      <c r="H41" s="14" t="str">
        <f aca="false">IF(OR($A41="",$G41="",$G41=0),"",$F41/$G41)</f>
        <v/>
      </c>
      <c r="I41" s="14" t="str">
        <f aca="false">IF($A41="","",SUMIFS('4. Understory Data'!$O$5:$O$254,'4. Understory Data'!$A$5:$A$254,$A41,'4. Understory Data'!$C$5:$C$254,"Small"))</f>
        <v/>
      </c>
      <c r="J41" s="14" t="str">
        <f aca="false">IF($A41="","",INDEX('1. Plot &amp; Site Log'!$N$5:$N$64,MATCH($A41,'1. Plot &amp; Site Log'!$A$5:$A$64,0)))</f>
        <v/>
      </c>
      <c r="K41" s="14" t="str">
        <f aca="false">IF(OR($A41="",$J41="",$J41=0),"",$I41/$J41)</f>
        <v/>
      </c>
      <c r="L41" s="14" t="str">
        <f aca="false">IF($A41="","",IF($H41="",0,$H41)+IF($K41="",0,$K41))</f>
        <v/>
      </c>
      <c r="M41" s="14" t="str">
        <f aca="false">IF($A41="","",COUNTIFS('2. Core Log'!$B$5:$B$124,$A41))</f>
        <v/>
      </c>
      <c r="N41" s="14" t="str">
        <f aca="false">IF(OR($A41="",$M41=0),"",IFERROR(AVERAGEIFS('2. Core Log'!$L$5:$L$124,'2. Core Log'!$B$5:$B$124,$A41),""))</f>
        <v/>
      </c>
      <c r="O41" s="14" t="str">
        <f aca="false">IF(OR($A41="",$M41=0),"",IFERROR(AVERAGEIFS('2. Core Log'!$M$5:$M$124,'2. Core Log'!$B$5:$B$124,$A41),""))</f>
        <v/>
      </c>
      <c r="P41" s="16" t="str">
        <f aca="false">IF($A41="","",IF($E41="",0,$E41)+IF($L41="",0,$L41)+IF($N41="",0,$N41))</f>
        <v/>
      </c>
      <c r="Q41" s="14" t="str">
        <f aca="false">IF($A41="","",IF($C41=0,"No tree data for this plot. ","")&amp;IF($M41=0,"No soil cores for this plot — soil contributes zero to the total. ","")&amp;IF(AND($F41=0,$I41=0),"No understory data — the total is trees + soil only. ","")&amp;IF(OR($D41="",$D41=0),"No large plot area — tree carbon per m² cannot be calculated. ",""))</f>
        <v/>
      </c>
      <c r="R41" s="14" t="n">
        <f aca="false">IF(ISNUMBER($P41),$P41,0)</f>
        <v>0</v>
      </c>
      <c r="S41" s="14" t="n">
        <f aca="false">IF(AND(ISNUMBER($P41),$A41&lt;&gt;""),1,0)</f>
        <v>0</v>
      </c>
    </row>
    <row r="42" customFormat="false" ht="15" hidden="false" customHeight="false" outlineLevel="0" collapsed="false">
      <c r="A42" s="14" t="str">
        <f aca="false">IF(INDEX('1. Plot &amp; Site Log'!$A$5:$A$64,ROW()-4)="","",INDEX('1. Plot &amp; Site Log'!$A$5:$A$64,ROW()-4))</f>
        <v/>
      </c>
      <c r="B42" s="14" t="str">
        <f aca="false">IF($A42="","",INDEX('1. Plot &amp; Site Log'!$B$5:$B$64,MATCH($A42,'1. Plot &amp; Site Log'!$A$5:$A$64,0)))</f>
        <v/>
      </c>
      <c r="C42" s="14" t="str">
        <f aca="false">IF($A42="","",SUMIFS('3. Tree Data'!$P$5:$P$404,'3. Tree Data'!$A$5:$A$404,$A42))</f>
        <v/>
      </c>
      <c r="D42" s="14" t="str">
        <f aca="false">IF($A42="","",INDEX('1. Plot &amp; Site Log'!$R$5:$R$64,MATCH($A42,'1. Plot &amp; Site Log'!$A$5:$A$64,0)))</f>
        <v/>
      </c>
      <c r="E42" s="14" t="str">
        <f aca="false">IF(OR($A42="",$D42="",$D42=0),"",$C42/$D42)</f>
        <v/>
      </c>
      <c r="F42" s="14" t="str">
        <f aca="false">IF($A42="","",SUMIFS('4. Understory Data'!$O$5:$O$254,'4. Understory Data'!$A$5:$A$254,$A42,'4. Understory Data'!$C$5:$C$254,"Medium"))</f>
        <v/>
      </c>
      <c r="G42" s="14" t="str">
        <f aca="false">IF($A42="","",INDEX('1. Plot &amp; Site Log'!$M$5:$M$64,MATCH($A42,'1. Plot &amp; Site Log'!$A$5:$A$64,0)))</f>
        <v/>
      </c>
      <c r="H42" s="14" t="str">
        <f aca="false">IF(OR($A42="",$G42="",$G42=0),"",$F42/$G42)</f>
        <v/>
      </c>
      <c r="I42" s="14" t="str">
        <f aca="false">IF($A42="","",SUMIFS('4. Understory Data'!$O$5:$O$254,'4. Understory Data'!$A$5:$A$254,$A42,'4. Understory Data'!$C$5:$C$254,"Small"))</f>
        <v/>
      </c>
      <c r="J42" s="14" t="str">
        <f aca="false">IF($A42="","",INDEX('1. Plot &amp; Site Log'!$N$5:$N$64,MATCH($A42,'1. Plot &amp; Site Log'!$A$5:$A$64,0)))</f>
        <v/>
      </c>
      <c r="K42" s="14" t="str">
        <f aca="false">IF(OR($A42="",$J42="",$J42=0),"",$I42/$J42)</f>
        <v/>
      </c>
      <c r="L42" s="14" t="str">
        <f aca="false">IF($A42="","",IF($H42="",0,$H42)+IF($K42="",0,$K42))</f>
        <v/>
      </c>
      <c r="M42" s="14" t="str">
        <f aca="false">IF($A42="","",COUNTIFS('2. Core Log'!$B$5:$B$124,$A42))</f>
        <v/>
      </c>
      <c r="N42" s="14" t="str">
        <f aca="false">IF(OR($A42="",$M42=0),"",IFERROR(AVERAGEIFS('2. Core Log'!$L$5:$L$124,'2. Core Log'!$B$5:$B$124,$A42),""))</f>
        <v/>
      </c>
      <c r="O42" s="14" t="str">
        <f aca="false">IF(OR($A42="",$M42=0),"",IFERROR(AVERAGEIFS('2. Core Log'!$M$5:$M$124,'2. Core Log'!$B$5:$B$124,$A42),""))</f>
        <v/>
      </c>
      <c r="P42" s="16" t="str">
        <f aca="false">IF($A42="","",IF($E42="",0,$E42)+IF($L42="",0,$L42)+IF($N42="",0,$N42))</f>
        <v/>
      </c>
      <c r="Q42" s="14" t="str">
        <f aca="false">IF($A42="","",IF($C42=0,"No tree data for this plot. ","")&amp;IF($M42=0,"No soil cores for this plot — soil contributes zero to the total. ","")&amp;IF(AND($F42=0,$I42=0),"No understory data — the total is trees + soil only. ","")&amp;IF(OR($D42="",$D42=0),"No large plot area — tree carbon per m² cannot be calculated. ",""))</f>
        <v/>
      </c>
      <c r="R42" s="14" t="n">
        <f aca="false">IF(ISNUMBER($P42),$P42,0)</f>
        <v>0</v>
      </c>
      <c r="S42" s="14" t="n">
        <f aca="false">IF(AND(ISNUMBER($P42),$A42&lt;&gt;""),1,0)</f>
        <v>0</v>
      </c>
    </row>
    <row r="43" customFormat="false" ht="15" hidden="false" customHeight="false" outlineLevel="0" collapsed="false">
      <c r="A43" s="14" t="str">
        <f aca="false">IF(INDEX('1. Plot &amp; Site Log'!$A$5:$A$64,ROW()-4)="","",INDEX('1. Plot &amp; Site Log'!$A$5:$A$64,ROW()-4))</f>
        <v/>
      </c>
      <c r="B43" s="14" t="str">
        <f aca="false">IF($A43="","",INDEX('1. Plot &amp; Site Log'!$B$5:$B$64,MATCH($A43,'1. Plot &amp; Site Log'!$A$5:$A$64,0)))</f>
        <v/>
      </c>
      <c r="C43" s="14" t="str">
        <f aca="false">IF($A43="","",SUMIFS('3. Tree Data'!$P$5:$P$404,'3. Tree Data'!$A$5:$A$404,$A43))</f>
        <v/>
      </c>
      <c r="D43" s="14" t="str">
        <f aca="false">IF($A43="","",INDEX('1. Plot &amp; Site Log'!$R$5:$R$64,MATCH($A43,'1. Plot &amp; Site Log'!$A$5:$A$64,0)))</f>
        <v/>
      </c>
      <c r="E43" s="14" t="str">
        <f aca="false">IF(OR($A43="",$D43="",$D43=0),"",$C43/$D43)</f>
        <v/>
      </c>
      <c r="F43" s="14" t="str">
        <f aca="false">IF($A43="","",SUMIFS('4. Understory Data'!$O$5:$O$254,'4. Understory Data'!$A$5:$A$254,$A43,'4. Understory Data'!$C$5:$C$254,"Medium"))</f>
        <v/>
      </c>
      <c r="G43" s="14" t="str">
        <f aca="false">IF($A43="","",INDEX('1. Plot &amp; Site Log'!$M$5:$M$64,MATCH($A43,'1. Plot &amp; Site Log'!$A$5:$A$64,0)))</f>
        <v/>
      </c>
      <c r="H43" s="14" t="str">
        <f aca="false">IF(OR($A43="",$G43="",$G43=0),"",$F43/$G43)</f>
        <v/>
      </c>
      <c r="I43" s="14" t="str">
        <f aca="false">IF($A43="","",SUMIFS('4. Understory Data'!$O$5:$O$254,'4. Understory Data'!$A$5:$A$254,$A43,'4. Understory Data'!$C$5:$C$254,"Small"))</f>
        <v/>
      </c>
      <c r="J43" s="14" t="str">
        <f aca="false">IF($A43="","",INDEX('1. Plot &amp; Site Log'!$N$5:$N$64,MATCH($A43,'1. Plot &amp; Site Log'!$A$5:$A$64,0)))</f>
        <v/>
      </c>
      <c r="K43" s="14" t="str">
        <f aca="false">IF(OR($A43="",$J43="",$J43=0),"",$I43/$J43)</f>
        <v/>
      </c>
      <c r="L43" s="14" t="str">
        <f aca="false">IF($A43="","",IF($H43="",0,$H43)+IF($K43="",0,$K43))</f>
        <v/>
      </c>
      <c r="M43" s="14" t="str">
        <f aca="false">IF($A43="","",COUNTIFS('2. Core Log'!$B$5:$B$124,$A43))</f>
        <v/>
      </c>
      <c r="N43" s="14" t="str">
        <f aca="false">IF(OR($A43="",$M43=0),"",IFERROR(AVERAGEIFS('2. Core Log'!$L$5:$L$124,'2. Core Log'!$B$5:$B$124,$A43),""))</f>
        <v/>
      </c>
      <c r="O43" s="14" t="str">
        <f aca="false">IF(OR($A43="",$M43=0),"",IFERROR(AVERAGEIFS('2. Core Log'!$M$5:$M$124,'2. Core Log'!$B$5:$B$124,$A43),""))</f>
        <v/>
      </c>
      <c r="P43" s="16" t="str">
        <f aca="false">IF($A43="","",IF($E43="",0,$E43)+IF($L43="",0,$L43)+IF($N43="",0,$N43))</f>
        <v/>
      </c>
      <c r="Q43" s="14" t="str">
        <f aca="false">IF($A43="","",IF($C43=0,"No tree data for this plot. ","")&amp;IF($M43=0,"No soil cores for this plot — soil contributes zero to the total. ","")&amp;IF(AND($F43=0,$I43=0),"No understory data — the total is trees + soil only. ","")&amp;IF(OR($D43="",$D43=0),"No large plot area — tree carbon per m² cannot be calculated. ",""))</f>
        <v/>
      </c>
      <c r="R43" s="14" t="n">
        <f aca="false">IF(ISNUMBER($P43),$P43,0)</f>
        <v>0</v>
      </c>
      <c r="S43" s="14" t="n">
        <f aca="false">IF(AND(ISNUMBER($P43),$A43&lt;&gt;""),1,0)</f>
        <v>0</v>
      </c>
    </row>
    <row r="44" customFormat="false" ht="15" hidden="false" customHeight="false" outlineLevel="0" collapsed="false">
      <c r="A44" s="14" t="str">
        <f aca="false">IF(INDEX('1. Plot &amp; Site Log'!$A$5:$A$64,ROW()-4)="","",INDEX('1. Plot &amp; Site Log'!$A$5:$A$64,ROW()-4))</f>
        <v/>
      </c>
      <c r="B44" s="14" t="str">
        <f aca="false">IF($A44="","",INDEX('1. Plot &amp; Site Log'!$B$5:$B$64,MATCH($A44,'1. Plot &amp; Site Log'!$A$5:$A$64,0)))</f>
        <v/>
      </c>
      <c r="C44" s="14" t="str">
        <f aca="false">IF($A44="","",SUMIFS('3. Tree Data'!$P$5:$P$404,'3. Tree Data'!$A$5:$A$404,$A44))</f>
        <v/>
      </c>
      <c r="D44" s="14" t="str">
        <f aca="false">IF($A44="","",INDEX('1. Plot &amp; Site Log'!$R$5:$R$64,MATCH($A44,'1. Plot &amp; Site Log'!$A$5:$A$64,0)))</f>
        <v/>
      </c>
      <c r="E44" s="14" t="str">
        <f aca="false">IF(OR($A44="",$D44="",$D44=0),"",$C44/$D44)</f>
        <v/>
      </c>
      <c r="F44" s="14" t="str">
        <f aca="false">IF($A44="","",SUMIFS('4. Understory Data'!$O$5:$O$254,'4. Understory Data'!$A$5:$A$254,$A44,'4. Understory Data'!$C$5:$C$254,"Medium"))</f>
        <v/>
      </c>
      <c r="G44" s="14" t="str">
        <f aca="false">IF($A44="","",INDEX('1. Plot &amp; Site Log'!$M$5:$M$64,MATCH($A44,'1. Plot &amp; Site Log'!$A$5:$A$64,0)))</f>
        <v/>
      </c>
      <c r="H44" s="14" t="str">
        <f aca="false">IF(OR($A44="",$G44="",$G44=0),"",$F44/$G44)</f>
        <v/>
      </c>
      <c r="I44" s="14" t="str">
        <f aca="false">IF($A44="","",SUMIFS('4. Understory Data'!$O$5:$O$254,'4. Understory Data'!$A$5:$A$254,$A44,'4. Understory Data'!$C$5:$C$254,"Small"))</f>
        <v/>
      </c>
      <c r="J44" s="14" t="str">
        <f aca="false">IF($A44="","",INDEX('1. Plot &amp; Site Log'!$N$5:$N$64,MATCH($A44,'1. Plot &amp; Site Log'!$A$5:$A$64,0)))</f>
        <v/>
      </c>
      <c r="K44" s="14" t="str">
        <f aca="false">IF(OR($A44="",$J44="",$J44=0),"",$I44/$J44)</f>
        <v/>
      </c>
      <c r="L44" s="14" t="str">
        <f aca="false">IF($A44="","",IF($H44="",0,$H44)+IF($K44="",0,$K44))</f>
        <v/>
      </c>
      <c r="M44" s="14" t="str">
        <f aca="false">IF($A44="","",COUNTIFS('2. Core Log'!$B$5:$B$124,$A44))</f>
        <v/>
      </c>
      <c r="N44" s="14" t="str">
        <f aca="false">IF(OR($A44="",$M44=0),"",IFERROR(AVERAGEIFS('2. Core Log'!$L$5:$L$124,'2. Core Log'!$B$5:$B$124,$A44),""))</f>
        <v/>
      </c>
      <c r="O44" s="14" t="str">
        <f aca="false">IF(OR($A44="",$M44=0),"",IFERROR(AVERAGEIFS('2. Core Log'!$M$5:$M$124,'2. Core Log'!$B$5:$B$124,$A44),""))</f>
        <v/>
      </c>
      <c r="P44" s="16" t="str">
        <f aca="false">IF($A44="","",IF($E44="",0,$E44)+IF($L44="",0,$L44)+IF($N44="",0,$N44))</f>
        <v/>
      </c>
      <c r="Q44" s="14" t="str">
        <f aca="false">IF($A44="","",IF($C44=0,"No tree data for this plot. ","")&amp;IF($M44=0,"No soil cores for this plot — soil contributes zero to the total. ","")&amp;IF(AND($F44=0,$I44=0),"No understory data — the total is trees + soil only. ","")&amp;IF(OR($D44="",$D44=0),"No large plot area — tree carbon per m² cannot be calculated. ",""))</f>
        <v/>
      </c>
      <c r="R44" s="14" t="n">
        <f aca="false">IF(ISNUMBER($P44),$P44,0)</f>
        <v>0</v>
      </c>
      <c r="S44" s="14" t="n">
        <f aca="false">IF(AND(ISNUMBER($P44),$A44&lt;&gt;""),1,0)</f>
        <v>0</v>
      </c>
    </row>
    <row r="45" customFormat="false" ht="15" hidden="false" customHeight="false" outlineLevel="0" collapsed="false">
      <c r="A45" s="14" t="str">
        <f aca="false">IF(INDEX('1. Plot &amp; Site Log'!$A$5:$A$64,ROW()-4)="","",INDEX('1. Plot &amp; Site Log'!$A$5:$A$64,ROW()-4))</f>
        <v/>
      </c>
      <c r="B45" s="14" t="str">
        <f aca="false">IF($A45="","",INDEX('1. Plot &amp; Site Log'!$B$5:$B$64,MATCH($A45,'1. Plot &amp; Site Log'!$A$5:$A$64,0)))</f>
        <v/>
      </c>
      <c r="C45" s="14" t="str">
        <f aca="false">IF($A45="","",SUMIFS('3. Tree Data'!$P$5:$P$404,'3. Tree Data'!$A$5:$A$404,$A45))</f>
        <v/>
      </c>
      <c r="D45" s="14" t="str">
        <f aca="false">IF($A45="","",INDEX('1. Plot &amp; Site Log'!$R$5:$R$64,MATCH($A45,'1. Plot &amp; Site Log'!$A$5:$A$64,0)))</f>
        <v/>
      </c>
      <c r="E45" s="14" t="str">
        <f aca="false">IF(OR($A45="",$D45="",$D45=0),"",$C45/$D45)</f>
        <v/>
      </c>
      <c r="F45" s="14" t="str">
        <f aca="false">IF($A45="","",SUMIFS('4. Understory Data'!$O$5:$O$254,'4. Understory Data'!$A$5:$A$254,$A45,'4. Understory Data'!$C$5:$C$254,"Medium"))</f>
        <v/>
      </c>
      <c r="G45" s="14" t="str">
        <f aca="false">IF($A45="","",INDEX('1. Plot &amp; Site Log'!$M$5:$M$64,MATCH($A45,'1. Plot &amp; Site Log'!$A$5:$A$64,0)))</f>
        <v/>
      </c>
      <c r="H45" s="14" t="str">
        <f aca="false">IF(OR($A45="",$G45="",$G45=0),"",$F45/$G45)</f>
        <v/>
      </c>
      <c r="I45" s="14" t="str">
        <f aca="false">IF($A45="","",SUMIFS('4. Understory Data'!$O$5:$O$254,'4. Understory Data'!$A$5:$A$254,$A45,'4. Understory Data'!$C$5:$C$254,"Small"))</f>
        <v/>
      </c>
      <c r="J45" s="14" t="str">
        <f aca="false">IF($A45="","",INDEX('1. Plot &amp; Site Log'!$N$5:$N$64,MATCH($A45,'1. Plot &amp; Site Log'!$A$5:$A$64,0)))</f>
        <v/>
      </c>
      <c r="K45" s="14" t="str">
        <f aca="false">IF(OR($A45="",$J45="",$J45=0),"",$I45/$J45)</f>
        <v/>
      </c>
      <c r="L45" s="14" t="str">
        <f aca="false">IF($A45="","",IF($H45="",0,$H45)+IF($K45="",0,$K45))</f>
        <v/>
      </c>
      <c r="M45" s="14" t="str">
        <f aca="false">IF($A45="","",COUNTIFS('2. Core Log'!$B$5:$B$124,$A45))</f>
        <v/>
      </c>
      <c r="N45" s="14" t="str">
        <f aca="false">IF(OR($A45="",$M45=0),"",IFERROR(AVERAGEIFS('2. Core Log'!$L$5:$L$124,'2. Core Log'!$B$5:$B$124,$A45),""))</f>
        <v/>
      </c>
      <c r="O45" s="14" t="str">
        <f aca="false">IF(OR($A45="",$M45=0),"",IFERROR(AVERAGEIFS('2. Core Log'!$M$5:$M$124,'2. Core Log'!$B$5:$B$124,$A45),""))</f>
        <v/>
      </c>
      <c r="P45" s="16" t="str">
        <f aca="false">IF($A45="","",IF($E45="",0,$E45)+IF($L45="",0,$L45)+IF($N45="",0,$N45))</f>
        <v/>
      </c>
      <c r="Q45" s="14" t="str">
        <f aca="false">IF($A45="","",IF($C45=0,"No tree data for this plot. ","")&amp;IF($M45=0,"No soil cores for this plot — soil contributes zero to the total. ","")&amp;IF(AND($F45=0,$I45=0),"No understory data — the total is trees + soil only. ","")&amp;IF(OR($D45="",$D45=0),"No large plot area — tree carbon per m² cannot be calculated. ",""))</f>
        <v/>
      </c>
      <c r="R45" s="14" t="n">
        <f aca="false">IF(ISNUMBER($P45),$P45,0)</f>
        <v>0</v>
      </c>
      <c r="S45" s="14" t="n">
        <f aca="false">IF(AND(ISNUMBER($P45),$A45&lt;&gt;""),1,0)</f>
        <v>0</v>
      </c>
    </row>
    <row r="46" customFormat="false" ht="15" hidden="false" customHeight="false" outlineLevel="0" collapsed="false">
      <c r="A46" s="14" t="str">
        <f aca="false">IF(INDEX('1. Plot &amp; Site Log'!$A$5:$A$64,ROW()-4)="","",INDEX('1. Plot &amp; Site Log'!$A$5:$A$64,ROW()-4))</f>
        <v/>
      </c>
      <c r="B46" s="14" t="str">
        <f aca="false">IF($A46="","",INDEX('1. Plot &amp; Site Log'!$B$5:$B$64,MATCH($A46,'1. Plot &amp; Site Log'!$A$5:$A$64,0)))</f>
        <v/>
      </c>
      <c r="C46" s="14" t="str">
        <f aca="false">IF($A46="","",SUMIFS('3. Tree Data'!$P$5:$P$404,'3. Tree Data'!$A$5:$A$404,$A46))</f>
        <v/>
      </c>
      <c r="D46" s="14" t="str">
        <f aca="false">IF($A46="","",INDEX('1. Plot &amp; Site Log'!$R$5:$R$64,MATCH($A46,'1. Plot &amp; Site Log'!$A$5:$A$64,0)))</f>
        <v/>
      </c>
      <c r="E46" s="14" t="str">
        <f aca="false">IF(OR($A46="",$D46="",$D46=0),"",$C46/$D46)</f>
        <v/>
      </c>
      <c r="F46" s="14" t="str">
        <f aca="false">IF($A46="","",SUMIFS('4. Understory Data'!$O$5:$O$254,'4. Understory Data'!$A$5:$A$254,$A46,'4. Understory Data'!$C$5:$C$254,"Medium"))</f>
        <v/>
      </c>
      <c r="G46" s="14" t="str">
        <f aca="false">IF($A46="","",INDEX('1. Plot &amp; Site Log'!$M$5:$M$64,MATCH($A46,'1. Plot &amp; Site Log'!$A$5:$A$64,0)))</f>
        <v/>
      </c>
      <c r="H46" s="14" t="str">
        <f aca="false">IF(OR($A46="",$G46="",$G46=0),"",$F46/$G46)</f>
        <v/>
      </c>
      <c r="I46" s="14" t="str">
        <f aca="false">IF($A46="","",SUMIFS('4. Understory Data'!$O$5:$O$254,'4. Understory Data'!$A$5:$A$254,$A46,'4. Understory Data'!$C$5:$C$254,"Small"))</f>
        <v/>
      </c>
      <c r="J46" s="14" t="str">
        <f aca="false">IF($A46="","",INDEX('1. Plot &amp; Site Log'!$N$5:$N$64,MATCH($A46,'1. Plot &amp; Site Log'!$A$5:$A$64,0)))</f>
        <v/>
      </c>
      <c r="K46" s="14" t="str">
        <f aca="false">IF(OR($A46="",$J46="",$J46=0),"",$I46/$J46)</f>
        <v/>
      </c>
      <c r="L46" s="14" t="str">
        <f aca="false">IF($A46="","",IF($H46="",0,$H46)+IF($K46="",0,$K46))</f>
        <v/>
      </c>
      <c r="M46" s="14" t="str">
        <f aca="false">IF($A46="","",COUNTIFS('2. Core Log'!$B$5:$B$124,$A46))</f>
        <v/>
      </c>
      <c r="N46" s="14" t="str">
        <f aca="false">IF(OR($A46="",$M46=0),"",IFERROR(AVERAGEIFS('2. Core Log'!$L$5:$L$124,'2. Core Log'!$B$5:$B$124,$A46),""))</f>
        <v/>
      </c>
      <c r="O46" s="14" t="str">
        <f aca="false">IF(OR($A46="",$M46=0),"",IFERROR(AVERAGEIFS('2. Core Log'!$M$5:$M$124,'2. Core Log'!$B$5:$B$124,$A46),""))</f>
        <v/>
      </c>
      <c r="P46" s="16" t="str">
        <f aca="false">IF($A46="","",IF($E46="",0,$E46)+IF($L46="",0,$L46)+IF($N46="",0,$N46))</f>
        <v/>
      </c>
      <c r="Q46" s="14" t="str">
        <f aca="false">IF($A46="","",IF($C46=0,"No tree data for this plot. ","")&amp;IF($M46=0,"No soil cores for this plot — soil contributes zero to the total. ","")&amp;IF(AND($F46=0,$I46=0),"No understory data — the total is trees + soil only. ","")&amp;IF(OR($D46="",$D46=0),"No large plot area — tree carbon per m² cannot be calculated. ",""))</f>
        <v/>
      </c>
      <c r="R46" s="14" t="n">
        <f aca="false">IF(ISNUMBER($P46),$P46,0)</f>
        <v>0</v>
      </c>
      <c r="S46" s="14" t="n">
        <f aca="false">IF(AND(ISNUMBER($P46),$A46&lt;&gt;""),1,0)</f>
        <v>0</v>
      </c>
    </row>
    <row r="47" customFormat="false" ht="15" hidden="false" customHeight="false" outlineLevel="0" collapsed="false">
      <c r="A47" s="14" t="str">
        <f aca="false">IF(INDEX('1. Plot &amp; Site Log'!$A$5:$A$64,ROW()-4)="","",INDEX('1. Plot &amp; Site Log'!$A$5:$A$64,ROW()-4))</f>
        <v/>
      </c>
      <c r="B47" s="14" t="str">
        <f aca="false">IF($A47="","",INDEX('1. Plot &amp; Site Log'!$B$5:$B$64,MATCH($A47,'1. Plot &amp; Site Log'!$A$5:$A$64,0)))</f>
        <v/>
      </c>
      <c r="C47" s="14" t="str">
        <f aca="false">IF($A47="","",SUMIFS('3. Tree Data'!$P$5:$P$404,'3. Tree Data'!$A$5:$A$404,$A47))</f>
        <v/>
      </c>
      <c r="D47" s="14" t="str">
        <f aca="false">IF($A47="","",INDEX('1. Plot &amp; Site Log'!$R$5:$R$64,MATCH($A47,'1. Plot &amp; Site Log'!$A$5:$A$64,0)))</f>
        <v/>
      </c>
      <c r="E47" s="14" t="str">
        <f aca="false">IF(OR($A47="",$D47="",$D47=0),"",$C47/$D47)</f>
        <v/>
      </c>
      <c r="F47" s="14" t="str">
        <f aca="false">IF($A47="","",SUMIFS('4. Understory Data'!$O$5:$O$254,'4. Understory Data'!$A$5:$A$254,$A47,'4. Understory Data'!$C$5:$C$254,"Medium"))</f>
        <v/>
      </c>
      <c r="G47" s="14" t="str">
        <f aca="false">IF($A47="","",INDEX('1. Plot &amp; Site Log'!$M$5:$M$64,MATCH($A47,'1. Plot &amp; Site Log'!$A$5:$A$64,0)))</f>
        <v/>
      </c>
      <c r="H47" s="14" t="str">
        <f aca="false">IF(OR($A47="",$G47="",$G47=0),"",$F47/$G47)</f>
        <v/>
      </c>
      <c r="I47" s="14" t="str">
        <f aca="false">IF($A47="","",SUMIFS('4. Understory Data'!$O$5:$O$254,'4. Understory Data'!$A$5:$A$254,$A47,'4. Understory Data'!$C$5:$C$254,"Small"))</f>
        <v/>
      </c>
      <c r="J47" s="14" t="str">
        <f aca="false">IF($A47="","",INDEX('1. Plot &amp; Site Log'!$N$5:$N$64,MATCH($A47,'1. Plot &amp; Site Log'!$A$5:$A$64,0)))</f>
        <v/>
      </c>
      <c r="K47" s="14" t="str">
        <f aca="false">IF(OR($A47="",$J47="",$J47=0),"",$I47/$J47)</f>
        <v/>
      </c>
      <c r="L47" s="14" t="str">
        <f aca="false">IF($A47="","",IF($H47="",0,$H47)+IF($K47="",0,$K47))</f>
        <v/>
      </c>
      <c r="M47" s="14" t="str">
        <f aca="false">IF($A47="","",COUNTIFS('2. Core Log'!$B$5:$B$124,$A47))</f>
        <v/>
      </c>
      <c r="N47" s="14" t="str">
        <f aca="false">IF(OR($A47="",$M47=0),"",IFERROR(AVERAGEIFS('2. Core Log'!$L$5:$L$124,'2. Core Log'!$B$5:$B$124,$A47),""))</f>
        <v/>
      </c>
      <c r="O47" s="14" t="str">
        <f aca="false">IF(OR($A47="",$M47=0),"",IFERROR(AVERAGEIFS('2. Core Log'!$M$5:$M$124,'2. Core Log'!$B$5:$B$124,$A47),""))</f>
        <v/>
      </c>
      <c r="P47" s="16" t="str">
        <f aca="false">IF($A47="","",IF($E47="",0,$E47)+IF($L47="",0,$L47)+IF($N47="",0,$N47))</f>
        <v/>
      </c>
      <c r="Q47" s="14" t="str">
        <f aca="false">IF($A47="","",IF($C47=0,"No tree data for this plot. ","")&amp;IF($M47=0,"No soil cores for this plot — soil contributes zero to the total. ","")&amp;IF(AND($F47=0,$I47=0),"No understory data — the total is trees + soil only. ","")&amp;IF(OR($D47="",$D47=0),"No large plot area — tree carbon per m² cannot be calculated. ",""))</f>
        <v/>
      </c>
      <c r="R47" s="14" t="n">
        <f aca="false">IF(ISNUMBER($P47),$P47,0)</f>
        <v>0</v>
      </c>
      <c r="S47" s="14" t="n">
        <f aca="false">IF(AND(ISNUMBER($P47),$A47&lt;&gt;""),1,0)</f>
        <v>0</v>
      </c>
    </row>
    <row r="48" customFormat="false" ht="15" hidden="false" customHeight="false" outlineLevel="0" collapsed="false">
      <c r="A48" s="14" t="str">
        <f aca="false">IF(INDEX('1. Plot &amp; Site Log'!$A$5:$A$64,ROW()-4)="","",INDEX('1. Plot &amp; Site Log'!$A$5:$A$64,ROW()-4))</f>
        <v/>
      </c>
      <c r="B48" s="14" t="str">
        <f aca="false">IF($A48="","",INDEX('1. Plot &amp; Site Log'!$B$5:$B$64,MATCH($A48,'1. Plot &amp; Site Log'!$A$5:$A$64,0)))</f>
        <v/>
      </c>
      <c r="C48" s="14" t="str">
        <f aca="false">IF($A48="","",SUMIFS('3. Tree Data'!$P$5:$P$404,'3. Tree Data'!$A$5:$A$404,$A48))</f>
        <v/>
      </c>
      <c r="D48" s="14" t="str">
        <f aca="false">IF($A48="","",INDEX('1. Plot &amp; Site Log'!$R$5:$R$64,MATCH($A48,'1. Plot &amp; Site Log'!$A$5:$A$64,0)))</f>
        <v/>
      </c>
      <c r="E48" s="14" t="str">
        <f aca="false">IF(OR($A48="",$D48="",$D48=0),"",$C48/$D48)</f>
        <v/>
      </c>
      <c r="F48" s="14" t="str">
        <f aca="false">IF($A48="","",SUMIFS('4. Understory Data'!$O$5:$O$254,'4. Understory Data'!$A$5:$A$254,$A48,'4. Understory Data'!$C$5:$C$254,"Medium"))</f>
        <v/>
      </c>
      <c r="G48" s="14" t="str">
        <f aca="false">IF($A48="","",INDEX('1. Plot &amp; Site Log'!$M$5:$M$64,MATCH($A48,'1. Plot &amp; Site Log'!$A$5:$A$64,0)))</f>
        <v/>
      </c>
      <c r="H48" s="14" t="str">
        <f aca="false">IF(OR($A48="",$G48="",$G48=0),"",$F48/$G48)</f>
        <v/>
      </c>
      <c r="I48" s="14" t="str">
        <f aca="false">IF($A48="","",SUMIFS('4. Understory Data'!$O$5:$O$254,'4. Understory Data'!$A$5:$A$254,$A48,'4. Understory Data'!$C$5:$C$254,"Small"))</f>
        <v/>
      </c>
      <c r="J48" s="14" t="str">
        <f aca="false">IF($A48="","",INDEX('1. Plot &amp; Site Log'!$N$5:$N$64,MATCH($A48,'1. Plot &amp; Site Log'!$A$5:$A$64,0)))</f>
        <v/>
      </c>
      <c r="K48" s="14" t="str">
        <f aca="false">IF(OR($A48="",$J48="",$J48=0),"",$I48/$J48)</f>
        <v/>
      </c>
      <c r="L48" s="14" t="str">
        <f aca="false">IF($A48="","",IF($H48="",0,$H48)+IF($K48="",0,$K48))</f>
        <v/>
      </c>
      <c r="M48" s="14" t="str">
        <f aca="false">IF($A48="","",COUNTIFS('2. Core Log'!$B$5:$B$124,$A48))</f>
        <v/>
      </c>
      <c r="N48" s="14" t="str">
        <f aca="false">IF(OR($A48="",$M48=0),"",IFERROR(AVERAGEIFS('2. Core Log'!$L$5:$L$124,'2. Core Log'!$B$5:$B$124,$A48),""))</f>
        <v/>
      </c>
      <c r="O48" s="14" t="str">
        <f aca="false">IF(OR($A48="",$M48=0),"",IFERROR(AVERAGEIFS('2. Core Log'!$M$5:$M$124,'2. Core Log'!$B$5:$B$124,$A48),""))</f>
        <v/>
      </c>
      <c r="P48" s="16" t="str">
        <f aca="false">IF($A48="","",IF($E48="",0,$E48)+IF($L48="",0,$L48)+IF($N48="",0,$N48))</f>
        <v/>
      </c>
      <c r="Q48" s="14" t="str">
        <f aca="false">IF($A48="","",IF($C48=0,"No tree data for this plot. ","")&amp;IF($M48=0,"No soil cores for this plot — soil contributes zero to the total. ","")&amp;IF(AND($F48=0,$I48=0),"No understory data — the total is trees + soil only. ","")&amp;IF(OR($D48="",$D48=0),"No large plot area — tree carbon per m² cannot be calculated. ",""))</f>
        <v/>
      </c>
      <c r="R48" s="14" t="n">
        <f aca="false">IF(ISNUMBER($P48),$P48,0)</f>
        <v>0</v>
      </c>
      <c r="S48" s="14" t="n">
        <f aca="false">IF(AND(ISNUMBER($P48),$A48&lt;&gt;""),1,0)</f>
        <v>0</v>
      </c>
    </row>
    <row r="49" customFormat="false" ht="15" hidden="false" customHeight="false" outlineLevel="0" collapsed="false">
      <c r="A49" s="14" t="str">
        <f aca="false">IF(INDEX('1. Plot &amp; Site Log'!$A$5:$A$64,ROW()-4)="","",INDEX('1. Plot &amp; Site Log'!$A$5:$A$64,ROW()-4))</f>
        <v/>
      </c>
      <c r="B49" s="14" t="str">
        <f aca="false">IF($A49="","",INDEX('1. Plot &amp; Site Log'!$B$5:$B$64,MATCH($A49,'1. Plot &amp; Site Log'!$A$5:$A$64,0)))</f>
        <v/>
      </c>
      <c r="C49" s="14" t="str">
        <f aca="false">IF($A49="","",SUMIFS('3. Tree Data'!$P$5:$P$404,'3. Tree Data'!$A$5:$A$404,$A49))</f>
        <v/>
      </c>
      <c r="D49" s="14" t="str">
        <f aca="false">IF($A49="","",INDEX('1. Plot &amp; Site Log'!$R$5:$R$64,MATCH($A49,'1. Plot &amp; Site Log'!$A$5:$A$64,0)))</f>
        <v/>
      </c>
      <c r="E49" s="14" t="str">
        <f aca="false">IF(OR($A49="",$D49="",$D49=0),"",$C49/$D49)</f>
        <v/>
      </c>
      <c r="F49" s="14" t="str">
        <f aca="false">IF($A49="","",SUMIFS('4. Understory Data'!$O$5:$O$254,'4. Understory Data'!$A$5:$A$254,$A49,'4. Understory Data'!$C$5:$C$254,"Medium"))</f>
        <v/>
      </c>
      <c r="G49" s="14" t="str">
        <f aca="false">IF($A49="","",INDEX('1. Plot &amp; Site Log'!$M$5:$M$64,MATCH($A49,'1. Plot &amp; Site Log'!$A$5:$A$64,0)))</f>
        <v/>
      </c>
      <c r="H49" s="14" t="str">
        <f aca="false">IF(OR($A49="",$G49="",$G49=0),"",$F49/$G49)</f>
        <v/>
      </c>
      <c r="I49" s="14" t="str">
        <f aca="false">IF($A49="","",SUMIFS('4. Understory Data'!$O$5:$O$254,'4. Understory Data'!$A$5:$A$254,$A49,'4. Understory Data'!$C$5:$C$254,"Small"))</f>
        <v/>
      </c>
      <c r="J49" s="14" t="str">
        <f aca="false">IF($A49="","",INDEX('1. Plot &amp; Site Log'!$N$5:$N$64,MATCH($A49,'1. Plot &amp; Site Log'!$A$5:$A$64,0)))</f>
        <v/>
      </c>
      <c r="K49" s="14" t="str">
        <f aca="false">IF(OR($A49="",$J49="",$J49=0),"",$I49/$J49)</f>
        <v/>
      </c>
      <c r="L49" s="14" t="str">
        <f aca="false">IF($A49="","",IF($H49="",0,$H49)+IF($K49="",0,$K49))</f>
        <v/>
      </c>
      <c r="M49" s="14" t="str">
        <f aca="false">IF($A49="","",COUNTIFS('2. Core Log'!$B$5:$B$124,$A49))</f>
        <v/>
      </c>
      <c r="N49" s="14" t="str">
        <f aca="false">IF(OR($A49="",$M49=0),"",IFERROR(AVERAGEIFS('2. Core Log'!$L$5:$L$124,'2. Core Log'!$B$5:$B$124,$A49),""))</f>
        <v/>
      </c>
      <c r="O49" s="14" t="str">
        <f aca="false">IF(OR($A49="",$M49=0),"",IFERROR(AVERAGEIFS('2. Core Log'!$M$5:$M$124,'2. Core Log'!$B$5:$B$124,$A49),""))</f>
        <v/>
      </c>
      <c r="P49" s="16" t="str">
        <f aca="false">IF($A49="","",IF($E49="",0,$E49)+IF($L49="",0,$L49)+IF($N49="",0,$N49))</f>
        <v/>
      </c>
      <c r="Q49" s="14" t="str">
        <f aca="false">IF($A49="","",IF($C49=0,"No tree data for this plot. ","")&amp;IF($M49=0,"No soil cores for this plot — soil contributes zero to the total. ","")&amp;IF(AND($F49=0,$I49=0),"No understory data — the total is trees + soil only. ","")&amp;IF(OR($D49="",$D49=0),"No large plot area — tree carbon per m² cannot be calculated. ",""))</f>
        <v/>
      </c>
      <c r="R49" s="14" t="n">
        <f aca="false">IF(ISNUMBER($P49),$P49,0)</f>
        <v>0</v>
      </c>
      <c r="S49" s="14" t="n">
        <f aca="false">IF(AND(ISNUMBER($P49),$A49&lt;&gt;""),1,0)</f>
        <v>0</v>
      </c>
    </row>
    <row r="50" customFormat="false" ht="15" hidden="false" customHeight="false" outlineLevel="0" collapsed="false">
      <c r="A50" s="14" t="str">
        <f aca="false">IF(INDEX('1. Plot &amp; Site Log'!$A$5:$A$64,ROW()-4)="","",INDEX('1. Plot &amp; Site Log'!$A$5:$A$64,ROW()-4))</f>
        <v/>
      </c>
      <c r="B50" s="14" t="str">
        <f aca="false">IF($A50="","",INDEX('1. Plot &amp; Site Log'!$B$5:$B$64,MATCH($A50,'1. Plot &amp; Site Log'!$A$5:$A$64,0)))</f>
        <v/>
      </c>
      <c r="C50" s="14" t="str">
        <f aca="false">IF($A50="","",SUMIFS('3. Tree Data'!$P$5:$P$404,'3. Tree Data'!$A$5:$A$404,$A50))</f>
        <v/>
      </c>
      <c r="D50" s="14" t="str">
        <f aca="false">IF($A50="","",INDEX('1. Plot &amp; Site Log'!$R$5:$R$64,MATCH($A50,'1. Plot &amp; Site Log'!$A$5:$A$64,0)))</f>
        <v/>
      </c>
      <c r="E50" s="14" t="str">
        <f aca="false">IF(OR($A50="",$D50="",$D50=0),"",$C50/$D50)</f>
        <v/>
      </c>
      <c r="F50" s="14" t="str">
        <f aca="false">IF($A50="","",SUMIFS('4. Understory Data'!$O$5:$O$254,'4. Understory Data'!$A$5:$A$254,$A50,'4. Understory Data'!$C$5:$C$254,"Medium"))</f>
        <v/>
      </c>
      <c r="G50" s="14" t="str">
        <f aca="false">IF($A50="","",INDEX('1. Plot &amp; Site Log'!$M$5:$M$64,MATCH($A50,'1. Plot &amp; Site Log'!$A$5:$A$64,0)))</f>
        <v/>
      </c>
      <c r="H50" s="14" t="str">
        <f aca="false">IF(OR($A50="",$G50="",$G50=0),"",$F50/$G50)</f>
        <v/>
      </c>
      <c r="I50" s="14" t="str">
        <f aca="false">IF($A50="","",SUMIFS('4. Understory Data'!$O$5:$O$254,'4. Understory Data'!$A$5:$A$254,$A50,'4. Understory Data'!$C$5:$C$254,"Small"))</f>
        <v/>
      </c>
      <c r="J50" s="14" t="str">
        <f aca="false">IF($A50="","",INDEX('1. Plot &amp; Site Log'!$N$5:$N$64,MATCH($A50,'1. Plot &amp; Site Log'!$A$5:$A$64,0)))</f>
        <v/>
      </c>
      <c r="K50" s="14" t="str">
        <f aca="false">IF(OR($A50="",$J50="",$J50=0),"",$I50/$J50)</f>
        <v/>
      </c>
      <c r="L50" s="14" t="str">
        <f aca="false">IF($A50="","",IF($H50="",0,$H50)+IF($K50="",0,$K50))</f>
        <v/>
      </c>
      <c r="M50" s="14" t="str">
        <f aca="false">IF($A50="","",COUNTIFS('2. Core Log'!$B$5:$B$124,$A50))</f>
        <v/>
      </c>
      <c r="N50" s="14" t="str">
        <f aca="false">IF(OR($A50="",$M50=0),"",IFERROR(AVERAGEIFS('2. Core Log'!$L$5:$L$124,'2. Core Log'!$B$5:$B$124,$A50),""))</f>
        <v/>
      </c>
      <c r="O50" s="14" t="str">
        <f aca="false">IF(OR($A50="",$M50=0),"",IFERROR(AVERAGEIFS('2. Core Log'!$M$5:$M$124,'2. Core Log'!$B$5:$B$124,$A50),""))</f>
        <v/>
      </c>
      <c r="P50" s="16" t="str">
        <f aca="false">IF($A50="","",IF($E50="",0,$E50)+IF($L50="",0,$L50)+IF($N50="",0,$N50))</f>
        <v/>
      </c>
      <c r="Q50" s="14" t="str">
        <f aca="false">IF($A50="","",IF($C50=0,"No tree data for this plot. ","")&amp;IF($M50=0,"No soil cores for this plot — soil contributes zero to the total. ","")&amp;IF(AND($F50=0,$I50=0),"No understory data — the total is trees + soil only. ","")&amp;IF(OR($D50="",$D50=0),"No large plot area — tree carbon per m² cannot be calculated. ",""))</f>
        <v/>
      </c>
      <c r="R50" s="14" t="n">
        <f aca="false">IF(ISNUMBER($P50),$P50,0)</f>
        <v>0</v>
      </c>
      <c r="S50" s="14" t="n">
        <f aca="false">IF(AND(ISNUMBER($P50),$A50&lt;&gt;""),1,0)</f>
        <v>0</v>
      </c>
    </row>
    <row r="51" customFormat="false" ht="15" hidden="false" customHeight="false" outlineLevel="0" collapsed="false">
      <c r="A51" s="14" t="str">
        <f aca="false">IF(INDEX('1. Plot &amp; Site Log'!$A$5:$A$64,ROW()-4)="","",INDEX('1. Plot &amp; Site Log'!$A$5:$A$64,ROW()-4))</f>
        <v/>
      </c>
      <c r="B51" s="14" t="str">
        <f aca="false">IF($A51="","",INDEX('1. Plot &amp; Site Log'!$B$5:$B$64,MATCH($A51,'1. Plot &amp; Site Log'!$A$5:$A$64,0)))</f>
        <v/>
      </c>
      <c r="C51" s="14" t="str">
        <f aca="false">IF($A51="","",SUMIFS('3. Tree Data'!$P$5:$P$404,'3. Tree Data'!$A$5:$A$404,$A51))</f>
        <v/>
      </c>
      <c r="D51" s="14" t="str">
        <f aca="false">IF($A51="","",INDEX('1. Plot &amp; Site Log'!$R$5:$R$64,MATCH($A51,'1. Plot &amp; Site Log'!$A$5:$A$64,0)))</f>
        <v/>
      </c>
      <c r="E51" s="14" t="str">
        <f aca="false">IF(OR($A51="",$D51="",$D51=0),"",$C51/$D51)</f>
        <v/>
      </c>
      <c r="F51" s="14" t="str">
        <f aca="false">IF($A51="","",SUMIFS('4. Understory Data'!$O$5:$O$254,'4. Understory Data'!$A$5:$A$254,$A51,'4. Understory Data'!$C$5:$C$254,"Medium"))</f>
        <v/>
      </c>
      <c r="G51" s="14" t="str">
        <f aca="false">IF($A51="","",INDEX('1. Plot &amp; Site Log'!$M$5:$M$64,MATCH($A51,'1. Plot &amp; Site Log'!$A$5:$A$64,0)))</f>
        <v/>
      </c>
      <c r="H51" s="14" t="str">
        <f aca="false">IF(OR($A51="",$G51="",$G51=0),"",$F51/$G51)</f>
        <v/>
      </c>
      <c r="I51" s="14" t="str">
        <f aca="false">IF($A51="","",SUMIFS('4. Understory Data'!$O$5:$O$254,'4. Understory Data'!$A$5:$A$254,$A51,'4. Understory Data'!$C$5:$C$254,"Small"))</f>
        <v/>
      </c>
      <c r="J51" s="14" t="str">
        <f aca="false">IF($A51="","",INDEX('1. Plot &amp; Site Log'!$N$5:$N$64,MATCH($A51,'1. Plot &amp; Site Log'!$A$5:$A$64,0)))</f>
        <v/>
      </c>
      <c r="K51" s="14" t="str">
        <f aca="false">IF(OR($A51="",$J51="",$J51=0),"",$I51/$J51)</f>
        <v/>
      </c>
      <c r="L51" s="14" t="str">
        <f aca="false">IF($A51="","",IF($H51="",0,$H51)+IF($K51="",0,$K51))</f>
        <v/>
      </c>
      <c r="M51" s="14" t="str">
        <f aca="false">IF($A51="","",COUNTIFS('2. Core Log'!$B$5:$B$124,$A51))</f>
        <v/>
      </c>
      <c r="N51" s="14" t="str">
        <f aca="false">IF(OR($A51="",$M51=0),"",IFERROR(AVERAGEIFS('2. Core Log'!$L$5:$L$124,'2. Core Log'!$B$5:$B$124,$A51),""))</f>
        <v/>
      </c>
      <c r="O51" s="14" t="str">
        <f aca="false">IF(OR($A51="",$M51=0),"",IFERROR(AVERAGEIFS('2. Core Log'!$M$5:$M$124,'2. Core Log'!$B$5:$B$124,$A51),""))</f>
        <v/>
      </c>
      <c r="P51" s="16" t="str">
        <f aca="false">IF($A51="","",IF($E51="",0,$E51)+IF($L51="",0,$L51)+IF($N51="",0,$N51))</f>
        <v/>
      </c>
      <c r="Q51" s="14" t="str">
        <f aca="false">IF($A51="","",IF($C51=0,"No tree data for this plot. ","")&amp;IF($M51=0,"No soil cores for this plot — soil contributes zero to the total. ","")&amp;IF(AND($F51=0,$I51=0),"No understory data — the total is trees + soil only. ","")&amp;IF(OR($D51="",$D51=0),"No large plot area — tree carbon per m² cannot be calculated. ",""))</f>
        <v/>
      </c>
      <c r="R51" s="14" t="n">
        <f aca="false">IF(ISNUMBER($P51),$P51,0)</f>
        <v>0</v>
      </c>
      <c r="S51" s="14" t="n">
        <f aca="false">IF(AND(ISNUMBER($P51),$A51&lt;&gt;""),1,0)</f>
        <v>0</v>
      </c>
    </row>
    <row r="52" customFormat="false" ht="15" hidden="false" customHeight="false" outlineLevel="0" collapsed="false">
      <c r="A52" s="14" t="str">
        <f aca="false">IF(INDEX('1. Plot &amp; Site Log'!$A$5:$A$64,ROW()-4)="","",INDEX('1. Plot &amp; Site Log'!$A$5:$A$64,ROW()-4))</f>
        <v/>
      </c>
      <c r="B52" s="14" t="str">
        <f aca="false">IF($A52="","",INDEX('1. Plot &amp; Site Log'!$B$5:$B$64,MATCH($A52,'1. Plot &amp; Site Log'!$A$5:$A$64,0)))</f>
        <v/>
      </c>
      <c r="C52" s="14" t="str">
        <f aca="false">IF($A52="","",SUMIFS('3. Tree Data'!$P$5:$P$404,'3. Tree Data'!$A$5:$A$404,$A52))</f>
        <v/>
      </c>
      <c r="D52" s="14" t="str">
        <f aca="false">IF($A52="","",INDEX('1. Plot &amp; Site Log'!$R$5:$R$64,MATCH($A52,'1. Plot &amp; Site Log'!$A$5:$A$64,0)))</f>
        <v/>
      </c>
      <c r="E52" s="14" t="str">
        <f aca="false">IF(OR($A52="",$D52="",$D52=0),"",$C52/$D52)</f>
        <v/>
      </c>
      <c r="F52" s="14" t="str">
        <f aca="false">IF($A52="","",SUMIFS('4. Understory Data'!$O$5:$O$254,'4. Understory Data'!$A$5:$A$254,$A52,'4. Understory Data'!$C$5:$C$254,"Medium"))</f>
        <v/>
      </c>
      <c r="G52" s="14" t="str">
        <f aca="false">IF($A52="","",INDEX('1. Plot &amp; Site Log'!$M$5:$M$64,MATCH($A52,'1. Plot &amp; Site Log'!$A$5:$A$64,0)))</f>
        <v/>
      </c>
      <c r="H52" s="14" t="str">
        <f aca="false">IF(OR($A52="",$G52="",$G52=0),"",$F52/$G52)</f>
        <v/>
      </c>
      <c r="I52" s="14" t="str">
        <f aca="false">IF($A52="","",SUMIFS('4. Understory Data'!$O$5:$O$254,'4. Understory Data'!$A$5:$A$254,$A52,'4. Understory Data'!$C$5:$C$254,"Small"))</f>
        <v/>
      </c>
      <c r="J52" s="14" t="str">
        <f aca="false">IF($A52="","",INDEX('1. Plot &amp; Site Log'!$N$5:$N$64,MATCH($A52,'1. Plot &amp; Site Log'!$A$5:$A$64,0)))</f>
        <v/>
      </c>
      <c r="K52" s="14" t="str">
        <f aca="false">IF(OR($A52="",$J52="",$J52=0),"",$I52/$J52)</f>
        <v/>
      </c>
      <c r="L52" s="14" t="str">
        <f aca="false">IF($A52="","",IF($H52="",0,$H52)+IF($K52="",0,$K52))</f>
        <v/>
      </c>
      <c r="M52" s="14" t="str">
        <f aca="false">IF($A52="","",COUNTIFS('2. Core Log'!$B$5:$B$124,$A52))</f>
        <v/>
      </c>
      <c r="N52" s="14" t="str">
        <f aca="false">IF(OR($A52="",$M52=0),"",IFERROR(AVERAGEIFS('2. Core Log'!$L$5:$L$124,'2. Core Log'!$B$5:$B$124,$A52),""))</f>
        <v/>
      </c>
      <c r="O52" s="14" t="str">
        <f aca="false">IF(OR($A52="",$M52=0),"",IFERROR(AVERAGEIFS('2. Core Log'!$M$5:$M$124,'2. Core Log'!$B$5:$B$124,$A52),""))</f>
        <v/>
      </c>
      <c r="P52" s="16" t="str">
        <f aca="false">IF($A52="","",IF($E52="",0,$E52)+IF($L52="",0,$L52)+IF($N52="",0,$N52))</f>
        <v/>
      </c>
      <c r="Q52" s="14" t="str">
        <f aca="false">IF($A52="","",IF($C52=0,"No tree data for this plot. ","")&amp;IF($M52=0,"No soil cores for this plot — soil contributes zero to the total. ","")&amp;IF(AND($F52=0,$I52=0),"No understory data — the total is trees + soil only. ","")&amp;IF(OR($D52="",$D52=0),"No large plot area — tree carbon per m² cannot be calculated. ",""))</f>
        <v/>
      </c>
      <c r="R52" s="14" t="n">
        <f aca="false">IF(ISNUMBER($P52),$P52,0)</f>
        <v>0</v>
      </c>
      <c r="S52" s="14" t="n">
        <f aca="false">IF(AND(ISNUMBER($P52),$A52&lt;&gt;""),1,0)</f>
        <v>0</v>
      </c>
    </row>
    <row r="53" customFormat="false" ht="15" hidden="false" customHeight="false" outlineLevel="0" collapsed="false">
      <c r="A53" s="14" t="str">
        <f aca="false">IF(INDEX('1. Plot &amp; Site Log'!$A$5:$A$64,ROW()-4)="","",INDEX('1. Plot &amp; Site Log'!$A$5:$A$64,ROW()-4))</f>
        <v/>
      </c>
      <c r="B53" s="14" t="str">
        <f aca="false">IF($A53="","",INDEX('1. Plot &amp; Site Log'!$B$5:$B$64,MATCH($A53,'1. Plot &amp; Site Log'!$A$5:$A$64,0)))</f>
        <v/>
      </c>
      <c r="C53" s="14" t="str">
        <f aca="false">IF($A53="","",SUMIFS('3. Tree Data'!$P$5:$P$404,'3. Tree Data'!$A$5:$A$404,$A53))</f>
        <v/>
      </c>
      <c r="D53" s="14" t="str">
        <f aca="false">IF($A53="","",INDEX('1. Plot &amp; Site Log'!$R$5:$R$64,MATCH($A53,'1. Plot &amp; Site Log'!$A$5:$A$64,0)))</f>
        <v/>
      </c>
      <c r="E53" s="14" t="str">
        <f aca="false">IF(OR($A53="",$D53="",$D53=0),"",$C53/$D53)</f>
        <v/>
      </c>
      <c r="F53" s="14" t="str">
        <f aca="false">IF($A53="","",SUMIFS('4. Understory Data'!$O$5:$O$254,'4. Understory Data'!$A$5:$A$254,$A53,'4. Understory Data'!$C$5:$C$254,"Medium"))</f>
        <v/>
      </c>
      <c r="G53" s="14" t="str">
        <f aca="false">IF($A53="","",INDEX('1. Plot &amp; Site Log'!$M$5:$M$64,MATCH($A53,'1. Plot &amp; Site Log'!$A$5:$A$64,0)))</f>
        <v/>
      </c>
      <c r="H53" s="14" t="str">
        <f aca="false">IF(OR($A53="",$G53="",$G53=0),"",$F53/$G53)</f>
        <v/>
      </c>
      <c r="I53" s="14" t="str">
        <f aca="false">IF($A53="","",SUMIFS('4. Understory Data'!$O$5:$O$254,'4. Understory Data'!$A$5:$A$254,$A53,'4. Understory Data'!$C$5:$C$254,"Small"))</f>
        <v/>
      </c>
      <c r="J53" s="14" t="str">
        <f aca="false">IF($A53="","",INDEX('1. Plot &amp; Site Log'!$N$5:$N$64,MATCH($A53,'1. Plot &amp; Site Log'!$A$5:$A$64,0)))</f>
        <v/>
      </c>
      <c r="K53" s="14" t="str">
        <f aca="false">IF(OR($A53="",$J53="",$J53=0),"",$I53/$J53)</f>
        <v/>
      </c>
      <c r="L53" s="14" t="str">
        <f aca="false">IF($A53="","",IF($H53="",0,$H53)+IF($K53="",0,$K53))</f>
        <v/>
      </c>
      <c r="M53" s="14" t="str">
        <f aca="false">IF($A53="","",COUNTIFS('2. Core Log'!$B$5:$B$124,$A53))</f>
        <v/>
      </c>
      <c r="N53" s="14" t="str">
        <f aca="false">IF(OR($A53="",$M53=0),"",IFERROR(AVERAGEIFS('2. Core Log'!$L$5:$L$124,'2. Core Log'!$B$5:$B$124,$A53),""))</f>
        <v/>
      </c>
      <c r="O53" s="14" t="str">
        <f aca="false">IF(OR($A53="",$M53=0),"",IFERROR(AVERAGEIFS('2. Core Log'!$M$5:$M$124,'2. Core Log'!$B$5:$B$124,$A53),""))</f>
        <v/>
      </c>
      <c r="P53" s="16" t="str">
        <f aca="false">IF($A53="","",IF($E53="",0,$E53)+IF($L53="",0,$L53)+IF($N53="",0,$N53))</f>
        <v/>
      </c>
      <c r="Q53" s="14" t="str">
        <f aca="false">IF($A53="","",IF($C53=0,"No tree data for this plot. ","")&amp;IF($M53=0,"No soil cores for this plot — soil contributes zero to the total. ","")&amp;IF(AND($F53=0,$I53=0),"No understory data — the total is trees + soil only. ","")&amp;IF(OR($D53="",$D53=0),"No large plot area — tree carbon per m² cannot be calculated. ",""))</f>
        <v/>
      </c>
      <c r="R53" s="14" t="n">
        <f aca="false">IF(ISNUMBER($P53),$P53,0)</f>
        <v>0</v>
      </c>
      <c r="S53" s="14" t="n">
        <f aca="false">IF(AND(ISNUMBER($P53),$A53&lt;&gt;""),1,0)</f>
        <v>0</v>
      </c>
    </row>
    <row r="54" customFormat="false" ht="15" hidden="false" customHeight="false" outlineLevel="0" collapsed="false">
      <c r="A54" s="14" t="str">
        <f aca="false">IF(INDEX('1. Plot &amp; Site Log'!$A$5:$A$64,ROW()-4)="","",INDEX('1. Plot &amp; Site Log'!$A$5:$A$64,ROW()-4))</f>
        <v/>
      </c>
      <c r="B54" s="14" t="str">
        <f aca="false">IF($A54="","",INDEX('1. Plot &amp; Site Log'!$B$5:$B$64,MATCH($A54,'1. Plot &amp; Site Log'!$A$5:$A$64,0)))</f>
        <v/>
      </c>
      <c r="C54" s="14" t="str">
        <f aca="false">IF($A54="","",SUMIFS('3. Tree Data'!$P$5:$P$404,'3. Tree Data'!$A$5:$A$404,$A54))</f>
        <v/>
      </c>
      <c r="D54" s="14" t="str">
        <f aca="false">IF($A54="","",INDEX('1. Plot &amp; Site Log'!$R$5:$R$64,MATCH($A54,'1. Plot &amp; Site Log'!$A$5:$A$64,0)))</f>
        <v/>
      </c>
      <c r="E54" s="14" t="str">
        <f aca="false">IF(OR($A54="",$D54="",$D54=0),"",$C54/$D54)</f>
        <v/>
      </c>
      <c r="F54" s="14" t="str">
        <f aca="false">IF($A54="","",SUMIFS('4. Understory Data'!$O$5:$O$254,'4. Understory Data'!$A$5:$A$254,$A54,'4. Understory Data'!$C$5:$C$254,"Medium"))</f>
        <v/>
      </c>
      <c r="G54" s="14" t="str">
        <f aca="false">IF($A54="","",INDEX('1. Plot &amp; Site Log'!$M$5:$M$64,MATCH($A54,'1. Plot &amp; Site Log'!$A$5:$A$64,0)))</f>
        <v/>
      </c>
      <c r="H54" s="14" t="str">
        <f aca="false">IF(OR($A54="",$G54="",$G54=0),"",$F54/$G54)</f>
        <v/>
      </c>
      <c r="I54" s="14" t="str">
        <f aca="false">IF($A54="","",SUMIFS('4. Understory Data'!$O$5:$O$254,'4. Understory Data'!$A$5:$A$254,$A54,'4. Understory Data'!$C$5:$C$254,"Small"))</f>
        <v/>
      </c>
      <c r="J54" s="14" t="str">
        <f aca="false">IF($A54="","",INDEX('1. Plot &amp; Site Log'!$N$5:$N$64,MATCH($A54,'1. Plot &amp; Site Log'!$A$5:$A$64,0)))</f>
        <v/>
      </c>
      <c r="K54" s="14" t="str">
        <f aca="false">IF(OR($A54="",$J54="",$J54=0),"",$I54/$J54)</f>
        <v/>
      </c>
      <c r="L54" s="14" t="str">
        <f aca="false">IF($A54="","",IF($H54="",0,$H54)+IF($K54="",0,$K54))</f>
        <v/>
      </c>
      <c r="M54" s="14" t="str">
        <f aca="false">IF($A54="","",COUNTIFS('2. Core Log'!$B$5:$B$124,$A54))</f>
        <v/>
      </c>
      <c r="N54" s="14" t="str">
        <f aca="false">IF(OR($A54="",$M54=0),"",IFERROR(AVERAGEIFS('2. Core Log'!$L$5:$L$124,'2. Core Log'!$B$5:$B$124,$A54),""))</f>
        <v/>
      </c>
      <c r="O54" s="14" t="str">
        <f aca="false">IF(OR($A54="",$M54=0),"",IFERROR(AVERAGEIFS('2. Core Log'!$M$5:$M$124,'2. Core Log'!$B$5:$B$124,$A54),""))</f>
        <v/>
      </c>
      <c r="P54" s="16" t="str">
        <f aca="false">IF($A54="","",IF($E54="",0,$E54)+IF($L54="",0,$L54)+IF($N54="",0,$N54))</f>
        <v/>
      </c>
      <c r="Q54" s="14" t="str">
        <f aca="false">IF($A54="","",IF($C54=0,"No tree data for this plot. ","")&amp;IF($M54=0,"No soil cores for this plot — soil contributes zero to the total. ","")&amp;IF(AND($F54=0,$I54=0),"No understory data — the total is trees + soil only. ","")&amp;IF(OR($D54="",$D54=0),"No large plot area — tree carbon per m² cannot be calculated. ",""))</f>
        <v/>
      </c>
      <c r="R54" s="14" t="n">
        <f aca="false">IF(ISNUMBER($P54),$P54,0)</f>
        <v>0</v>
      </c>
      <c r="S54" s="14" t="n">
        <f aca="false">IF(AND(ISNUMBER($P54),$A54&lt;&gt;""),1,0)</f>
        <v>0</v>
      </c>
    </row>
    <row r="55" customFormat="false" ht="15" hidden="false" customHeight="false" outlineLevel="0" collapsed="false">
      <c r="A55" s="14" t="str">
        <f aca="false">IF(INDEX('1. Plot &amp; Site Log'!$A$5:$A$64,ROW()-4)="","",INDEX('1. Plot &amp; Site Log'!$A$5:$A$64,ROW()-4))</f>
        <v/>
      </c>
      <c r="B55" s="14" t="str">
        <f aca="false">IF($A55="","",INDEX('1. Plot &amp; Site Log'!$B$5:$B$64,MATCH($A55,'1. Plot &amp; Site Log'!$A$5:$A$64,0)))</f>
        <v/>
      </c>
      <c r="C55" s="14" t="str">
        <f aca="false">IF($A55="","",SUMIFS('3. Tree Data'!$P$5:$P$404,'3. Tree Data'!$A$5:$A$404,$A55))</f>
        <v/>
      </c>
      <c r="D55" s="14" t="str">
        <f aca="false">IF($A55="","",INDEX('1. Plot &amp; Site Log'!$R$5:$R$64,MATCH($A55,'1. Plot &amp; Site Log'!$A$5:$A$64,0)))</f>
        <v/>
      </c>
      <c r="E55" s="14" t="str">
        <f aca="false">IF(OR($A55="",$D55="",$D55=0),"",$C55/$D55)</f>
        <v/>
      </c>
      <c r="F55" s="14" t="str">
        <f aca="false">IF($A55="","",SUMIFS('4. Understory Data'!$O$5:$O$254,'4. Understory Data'!$A$5:$A$254,$A55,'4. Understory Data'!$C$5:$C$254,"Medium"))</f>
        <v/>
      </c>
      <c r="G55" s="14" t="str">
        <f aca="false">IF($A55="","",INDEX('1. Plot &amp; Site Log'!$M$5:$M$64,MATCH($A55,'1. Plot &amp; Site Log'!$A$5:$A$64,0)))</f>
        <v/>
      </c>
      <c r="H55" s="14" t="str">
        <f aca="false">IF(OR($A55="",$G55="",$G55=0),"",$F55/$G55)</f>
        <v/>
      </c>
      <c r="I55" s="14" t="str">
        <f aca="false">IF($A55="","",SUMIFS('4. Understory Data'!$O$5:$O$254,'4. Understory Data'!$A$5:$A$254,$A55,'4. Understory Data'!$C$5:$C$254,"Small"))</f>
        <v/>
      </c>
      <c r="J55" s="14" t="str">
        <f aca="false">IF($A55="","",INDEX('1. Plot &amp; Site Log'!$N$5:$N$64,MATCH($A55,'1. Plot &amp; Site Log'!$A$5:$A$64,0)))</f>
        <v/>
      </c>
      <c r="K55" s="14" t="str">
        <f aca="false">IF(OR($A55="",$J55="",$J55=0),"",$I55/$J55)</f>
        <v/>
      </c>
      <c r="L55" s="14" t="str">
        <f aca="false">IF($A55="","",IF($H55="",0,$H55)+IF($K55="",0,$K55))</f>
        <v/>
      </c>
      <c r="M55" s="14" t="str">
        <f aca="false">IF($A55="","",COUNTIFS('2. Core Log'!$B$5:$B$124,$A55))</f>
        <v/>
      </c>
      <c r="N55" s="14" t="str">
        <f aca="false">IF(OR($A55="",$M55=0),"",IFERROR(AVERAGEIFS('2. Core Log'!$L$5:$L$124,'2. Core Log'!$B$5:$B$124,$A55),""))</f>
        <v/>
      </c>
      <c r="O55" s="14" t="str">
        <f aca="false">IF(OR($A55="",$M55=0),"",IFERROR(AVERAGEIFS('2. Core Log'!$M$5:$M$124,'2. Core Log'!$B$5:$B$124,$A55),""))</f>
        <v/>
      </c>
      <c r="P55" s="16" t="str">
        <f aca="false">IF($A55="","",IF($E55="",0,$E55)+IF($L55="",0,$L55)+IF($N55="",0,$N55))</f>
        <v/>
      </c>
      <c r="Q55" s="14" t="str">
        <f aca="false">IF($A55="","",IF($C55=0,"No tree data for this plot. ","")&amp;IF($M55=0,"No soil cores for this plot — soil contributes zero to the total. ","")&amp;IF(AND($F55=0,$I55=0),"No understory data — the total is trees + soil only. ","")&amp;IF(OR($D55="",$D55=0),"No large plot area — tree carbon per m² cannot be calculated. ",""))</f>
        <v/>
      </c>
      <c r="R55" s="14" t="n">
        <f aca="false">IF(ISNUMBER($P55),$P55,0)</f>
        <v>0</v>
      </c>
      <c r="S55" s="14" t="n">
        <f aca="false">IF(AND(ISNUMBER($P55),$A55&lt;&gt;""),1,0)</f>
        <v>0</v>
      </c>
    </row>
    <row r="56" customFormat="false" ht="15" hidden="false" customHeight="false" outlineLevel="0" collapsed="false">
      <c r="A56" s="14" t="str">
        <f aca="false">IF(INDEX('1. Plot &amp; Site Log'!$A$5:$A$64,ROW()-4)="","",INDEX('1. Plot &amp; Site Log'!$A$5:$A$64,ROW()-4))</f>
        <v/>
      </c>
      <c r="B56" s="14" t="str">
        <f aca="false">IF($A56="","",INDEX('1. Plot &amp; Site Log'!$B$5:$B$64,MATCH($A56,'1. Plot &amp; Site Log'!$A$5:$A$64,0)))</f>
        <v/>
      </c>
      <c r="C56" s="14" t="str">
        <f aca="false">IF($A56="","",SUMIFS('3. Tree Data'!$P$5:$P$404,'3. Tree Data'!$A$5:$A$404,$A56))</f>
        <v/>
      </c>
      <c r="D56" s="14" t="str">
        <f aca="false">IF($A56="","",INDEX('1. Plot &amp; Site Log'!$R$5:$R$64,MATCH($A56,'1. Plot &amp; Site Log'!$A$5:$A$64,0)))</f>
        <v/>
      </c>
      <c r="E56" s="14" t="str">
        <f aca="false">IF(OR($A56="",$D56="",$D56=0),"",$C56/$D56)</f>
        <v/>
      </c>
      <c r="F56" s="14" t="str">
        <f aca="false">IF($A56="","",SUMIFS('4. Understory Data'!$O$5:$O$254,'4. Understory Data'!$A$5:$A$254,$A56,'4. Understory Data'!$C$5:$C$254,"Medium"))</f>
        <v/>
      </c>
      <c r="G56" s="14" t="str">
        <f aca="false">IF($A56="","",INDEX('1. Plot &amp; Site Log'!$M$5:$M$64,MATCH($A56,'1. Plot &amp; Site Log'!$A$5:$A$64,0)))</f>
        <v/>
      </c>
      <c r="H56" s="14" t="str">
        <f aca="false">IF(OR($A56="",$G56="",$G56=0),"",$F56/$G56)</f>
        <v/>
      </c>
      <c r="I56" s="14" t="str">
        <f aca="false">IF($A56="","",SUMIFS('4. Understory Data'!$O$5:$O$254,'4. Understory Data'!$A$5:$A$254,$A56,'4. Understory Data'!$C$5:$C$254,"Small"))</f>
        <v/>
      </c>
      <c r="J56" s="14" t="str">
        <f aca="false">IF($A56="","",INDEX('1. Plot &amp; Site Log'!$N$5:$N$64,MATCH($A56,'1. Plot &amp; Site Log'!$A$5:$A$64,0)))</f>
        <v/>
      </c>
      <c r="K56" s="14" t="str">
        <f aca="false">IF(OR($A56="",$J56="",$J56=0),"",$I56/$J56)</f>
        <v/>
      </c>
      <c r="L56" s="14" t="str">
        <f aca="false">IF($A56="","",IF($H56="",0,$H56)+IF($K56="",0,$K56))</f>
        <v/>
      </c>
      <c r="M56" s="14" t="str">
        <f aca="false">IF($A56="","",COUNTIFS('2. Core Log'!$B$5:$B$124,$A56))</f>
        <v/>
      </c>
      <c r="N56" s="14" t="str">
        <f aca="false">IF(OR($A56="",$M56=0),"",IFERROR(AVERAGEIFS('2. Core Log'!$L$5:$L$124,'2. Core Log'!$B$5:$B$124,$A56),""))</f>
        <v/>
      </c>
      <c r="O56" s="14" t="str">
        <f aca="false">IF(OR($A56="",$M56=0),"",IFERROR(AVERAGEIFS('2. Core Log'!$M$5:$M$124,'2. Core Log'!$B$5:$B$124,$A56),""))</f>
        <v/>
      </c>
      <c r="P56" s="16" t="str">
        <f aca="false">IF($A56="","",IF($E56="",0,$E56)+IF($L56="",0,$L56)+IF($N56="",0,$N56))</f>
        <v/>
      </c>
      <c r="Q56" s="14" t="str">
        <f aca="false">IF($A56="","",IF($C56=0,"No tree data for this plot. ","")&amp;IF($M56=0,"No soil cores for this plot — soil contributes zero to the total. ","")&amp;IF(AND($F56=0,$I56=0),"No understory data — the total is trees + soil only. ","")&amp;IF(OR($D56="",$D56=0),"No large plot area — tree carbon per m² cannot be calculated. ",""))</f>
        <v/>
      </c>
      <c r="R56" s="14" t="n">
        <f aca="false">IF(ISNUMBER($P56),$P56,0)</f>
        <v>0</v>
      </c>
      <c r="S56" s="14" t="n">
        <f aca="false">IF(AND(ISNUMBER($P56),$A56&lt;&gt;""),1,0)</f>
        <v>0</v>
      </c>
    </row>
    <row r="57" customFormat="false" ht="15" hidden="false" customHeight="false" outlineLevel="0" collapsed="false">
      <c r="A57" s="14" t="str">
        <f aca="false">IF(INDEX('1. Plot &amp; Site Log'!$A$5:$A$64,ROW()-4)="","",INDEX('1. Plot &amp; Site Log'!$A$5:$A$64,ROW()-4))</f>
        <v/>
      </c>
      <c r="B57" s="14" t="str">
        <f aca="false">IF($A57="","",INDEX('1. Plot &amp; Site Log'!$B$5:$B$64,MATCH($A57,'1. Plot &amp; Site Log'!$A$5:$A$64,0)))</f>
        <v/>
      </c>
      <c r="C57" s="14" t="str">
        <f aca="false">IF($A57="","",SUMIFS('3. Tree Data'!$P$5:$P$404,'3. Tree Data'!$A$5:$A$404,$A57))</f>
        <v/>
      </c>
      <c r="D57" s="14" t="str">
        <f aca="false">IF($A57="","",INDEX('1. Plot &amp; Site Log'!$R$5:$R$64,MATCH($A57,'1. Plot &amp; Site Log'!$A$5:$A$64,0)))</f>
        <v/>
      </c>
      <c r="E57" s="14" t="str">
        <f aca="false">IF(OR($A57="",$D57="",$D57=0),"",$C57/$D57)</f>
        <v/>
      </c>
      <c r="F57" s="14" t="str">
        <f aca="false">IF($A57="","",SUMIFS('4. Understory Data'!$O$5:$O$254,'4. Understory Data'!$A$5:$A$254,$A57,'4. Understory Data'!$C$5:$C$254,"Medium"))</f>
        <v/>
      </c>
      <c r="G57" s="14" t="str">
        <f aca="false">IF($A57="","",INDEX('1. Plot &amp; Site Log'!$M$5:$M$64,MATCH($A57,'1. Plot &amp; Site Log'!$A$5:$A$64,0)))</f>
        <v/>
      </c>
      <c r="H57" s="14" t="str">
        <f aca="false">IF(OR($A57="",$G57="",$G57=0),"",$F57/$G57)</f>
        <v/>
      </c>
      <c r="I57" s="14" t="str">
        <f aca="false">IF($A57="","",SUMIFS('4. Understory Data'!$O$5:$O$254,'4. Understory Data'!$A$5:$A$254,$A57,'4. Understory Data'!$C$5:$C$254,"Small"))</f>
        <v/>
      </c>
      <c r="J57" s="14" t="str">
        <f aca="false">IF($A57="","",INDEX('1. Plot &amp; Site Log'!$N$5:$N$64,MATCH($A57,'1. Plot &amp; Site Log'!$A$5:$A$64,0)))</f>
        <v/>
      </c>
      <c r="K57" s="14" t="str">
        <f aca="false">IF(OR($A57="",$J57="",$J57=0),"",$I57/$J57)</f>
        <v/>
      </c>
      <c r="L57" s="14" t="str">
        <f aca="false">IF($A57="","",IF($H57="",0,$H57)+IF($K57="",0,$K57))</f>
        <v/>
      </c>
      <c r="M57" s="14" t="str">
        <f aca="false">IF($A57="","",COUNTIFS('2. Core Log'!$B$5:$B$124,$A57))</f>
        <v/>
      </c>
      <c r="N57" s="14" t="str">
        <f aca="false">IF(OR($A57="",$M57=0),"",IFERROR(AVERAGEIFS('2. Core Log'!$L$5:$L$124,'2. Core Log'!$B$5:$B$124,$A57),""))</f>
        <v/>
      </c>
      <c r="O57" s="14" t="str">
        <f aca="false">IF(OR($A57="",$M57=0),"",IFERROR(AVERAGEIFS('2. Core Log'!$M$5:$M$124,'2. Core Log'!$B$5:$B$124,$A57),""))</f>
        <v/>
      </c>
      <c r="P57" s="16" t="str">
        <f aca="false">IF($A57="","",IF($E57="",0,$E57)+IF($L57="",0,$L57)+IF($N57="",0,$N57))</f>
        <v/>
      </c>
      <c r="Q57" s="14" t="str">
        <f aca="false">IF($A57="","",IF($C57=0,"No tree data for this plot. ","")&amp;IF($M57=0,"No soil cores for this plot — soil contributes zero to the total. ","")&amp;IF(AND($F57=0,$I57=0),"No understory data — the total is trees + soil only. ","")&amp;IF(OR($D57="",$D57=0),"No large plot area — tree carbon per m² cannot be calculated. ",""))</f>
        <v/>
      </c>
      <c r="R57" s="14" t="n">
        <f aca="false">IF(ISNUMBER($P57),$P57,0)</f>
        <v>0</v>
      </c>
      <c r="S57" s="14" t="n">
        <f aca="false">IF(AND(ISNUMBER($P57),$A57&lt;&gt;""),1,0)</f>
        <v>0</v>
      </c>
    </row>
    <row r="58" customFormat="false" ht="15" hidden="false" customHeight="false" outlineLevel="0" collapsed="false">
      <c r="A58" s="14" t="str">
        <f aca="false">IF(INDEX('1. Plot &amp; Site Log'!$A$5:$A$64,ROW()-4)="","",INDEX('1. Plot &amp; Site Log'!$A$5:$A$64,ROW()-4))</f>
        <v/>
      </c>
      <c r="B58" s="14" t="str">
        <f aca="false">IF($A58="","",INDEX('1. Plot &amp; Site Log'!$B$5:$B$64,MATCH($A58,'1. Plot &amp; Site Log'!$A$5:$A$64,0)))</f>
        <v/>
      </c>
      <c r="C58" s="14" t="str">
        <f aca="false">IF($A58="","",SUMIFS('3. Tree Data'!$P$5:$P$404,'3. Tree Data'!$A$5:$A$404,$A58))</f>
        <v/>
      </c>
      <c r="D58" s="14" t="str">
        <f aca="false">IF($A58="","",INDEX('1. Plot &amp; Site Log'!$R$5:$R$64,MATCH($A58,'1. Plot &amp; Site Log'!$A$5:$A$64,0)))</f>
        <v/>
      </c>
      <c r="E58" s="14" t="str">
        <f aca="false">IF(OR($A58="",$D58="",$D58=0),"",$C58/$D58)</f>
        <v/>
      </c>
      <c r="F58" s="14" t="str">
        <f aca="false">IF($A58="","",SUMIFS('4. Understory Data'!$O$5:$O$254,'4. Understory Data'!$A$5:$A$254,$A58,'4. Understory Data'!$C$5:$C$254,"Medium"))</f>
        <v/>
      </c>
      <c r="G58" s="14" t="str">
        <f aca="false">IF($A58="","",INDEX('1. Plot &amp; Site Log'!$M$5:$M$64,MATCH($A58,'1. Plot &amp; Site Log'!$A$5:$A$64,0)))</f>
        <v/>
      </c>
      <c r="H58" s="14" t="str">
        <f aca="false">IF(OR($A58="",$G58="",$G58=0),"",$F58/$G58)</f>
        <v/>
      </c>
      <c r="I58" s="14" t="str">
        <f aca="false">IF($A58="","",SUMIFS('4. Understory Data'!$O$5:$O$254,'4. Understory Data'!$A$5:$A$254,$A58,'4. Understory Data'!$C$5:$C$254,"Small"))</f>
        <v/>
      </c>
      <c r="J58" s="14" t="str">
        <f aca="false">IF($A58="","",INDEX('1. Plot &amp; Site Log'!$N$5:$N$64,MATCH($A58,'1. Plot &amp; Site Log'!$A$5:$A$64,0)))</f>
        <v/>
      </c>
      <c r="K58" s="14" t="str">
        <f aca="false">IF(OR($A58="",$J58="",$J58=0),"",$I58/$J58)</f>
        <v/>
      </c>
      <c r="L58" s="14" t="str">
        <f aca="false">IF($A58="","",IF($H58="",0,$H58)+IF($K58="",0,$K58))</f>
        <v/>
      </c>
      <c r="M58" s="14" t="str">
        <f aca="false">IF($A58="","",COUNTIFS('2. Core Log'!$B$5:$B$124,$A58))</f>
        <v/>
      </c>
      <c r="N58" s="14" t="str">
        <f aca="false">IF(OR($A58="",$M58=0),"",IFERROR(AVERAGEIFS('2. Core Log'!$L$5:$L$124,'2. Core Log'!$B$5:$B$124,$A58),""))</f>
        <v/>
      </c>
      <c r="O58" s="14" t="str">
        <f aca="false">IF(OR($A58="",$M58=0),"",IFERROR(AVERAGEIFS('2. Core Log'!$M$5:$M$124,'2. Core Log'!$B$5:$B$124,$A58),""))</f>
        <v/>
      </c>
      <c r="P58" s="16" t="str">
        <f aca="false">IF($A58="","",IF($E58="",0,$E58)+IF($L58="",0,$L58)+IF($N58="",0,$N58))</f>
        <v/>
      </c>
      <c r="Q58" s="14" t="str">
        <f aca="false">IF($A58="","",IF($C58=0,"No tree data for this plot. ","")&amp;IF($M58=0,"No soil cores for this plot — soil contributes zero to the total. ","")&amp;IF(AND($F58=0,$I58=0),"No understory data — the total is trees + soil only. ","")&amp;IF(OR($D58="",$D58=0),"No large plot area — tree carbon per m² cannot be calculated. ",""))</f>
        <v/>
      </c>
      <c r="R58" s="14" t="n">
        <f aca="false">IF(ISNUMBER($P58),$P58,0)</f>
        <v>0</v>
      </c>
      <c r="S58" s="14" t="n">
        <f aca="false">IF(AND(ISNUMBER($P58),$A58&lt;&gt;""),1,0)</f>
        <v>0</v>
      </c>
    </row>
    <row r="59" customFormat="false" ht="15" hidden="false" customHeight="false" outlineLevel="0" collapsed="false">
      <c r="A59" s="14" t="str">
        <f aca="false">IF(INDEX('1. Plot &amp; Site Log'!$A$5:$A$64,ROW()-4)="","",INDEX('1. Plot &amp; Site Log'!$A$5:$A$64,ROW()-4))</f>
        <v/>
      </c>
      <c r="B59" s="14" t="str">
        <f aca="false">IF($A59="","",INDEX('1. Plot &amp; Site Log'!$B$5:$B$64,MATCH($A59,'1. Plot &amp; Site Log'!$A$5:$A$64,0)))</f>
        <v/>
      </c>
      <c r="C59" s="14" t="str">
        <f aca="false">IF($A59="","",SUMIFS('3. Tree Data'!$P$5:$P$404,'3. Tree Data'!$A$5:$A$404,$A59))</f>
        <v/>
      </c>
      <c r="D59" s="14" t="str">
        <f aca="false">IF($A59="","",INDEX('1. Plot &amp; Site Log'!$R$5:$R$64,MATCH($A59,'1. Plot &amp; Site Log'!$A$5:$A$64,0)))</f>
        <v/>
      </c>
      <c r="E59" s="14" t="str">
        <f aca="false">IF(OR($A59="",$D59="",$D59=0),"",$C59/$D59)</f>
        <v/>
      </c>
      <c r="F59" s="14" t="str">
        <f aca="false">IF($A59="","",SUMIFS('4. Understory Data'!$O$5:$O$254,'4. Understory Data'!$A$5:$A$254,$A59,'4. Understory Data'!$C$5:$C$254,"Medium"))</f>
        <v/>
      </c>
      <c r="G59" s="14" t="str">
        <f aca="false">IF($A59="","",INDEX('1. Plot &amp; Site Log'!$M$5:$M$64,MATCH($A59,'1. Plot &amp; Site Log'!$A$5:$A$64,0)))</f>
        <v/>
      </c>
      <c r="H59" s="14" t="str">
        <f aca="false">IF(OR($A59="",$G59="",$G59=0),"",$F59/$G59)</f>
        <v/>
      </c>
      <c r="I59" s="14" t="str">
        <f aca="false">IF($A59="","",SUMIFS('4. Understory Data'!$O$5:$O$254,'4. Understory Data'!$A$5:$A$254,$A59,'4. Understory Data'!$C$5:$C$254,"Small"))</f>
        <v/>
      </c>
      <c r="J59" s="14" t="str">
        <f aca="false">IF($A59="","",INDEX('1. Plot &amp; Site Log'!$N$5:$N$64,MATCH($A59,'1. Plot &amp; Site Log'!$A$5:$A$64,0)))</f>
        <v/>
      </c>
      <c r="K59" s="14" t="str">
        <f aca="false">IF(OR($A59="",$J59="",$J59=0),"",$I59/$J59)</f>
        <v/>
      </c>
      <c r="L59" s="14" t="str">
        <f aca="false">IF($A59="","",IF($H59="",0,$H59)+IF($K59="",0,$K59))</f>
        <v/>
      </c>
      <c r="M59" s="14" t="str">
        <f aca="false">IF($A59="","",COUNTIFS('2. Core Log'!$B$5:$B$124,$A59))</f>
        <v/>
      </c>
      <c r="N59" s="14" t="str">
        <f aca="false">IF(OR($A59="",$M59=0),"",IFERROR(AVERAGEIFS('2. Core Log'!$L$5:$L$124,'2. Core Log'!$B$5:$B$124,$A59),""))</f>
        <v/>
      </c>
      <c r="O59" s="14" t="str">
        <f aca="false">IF(OR($A59="",$M59=0),"",IFERROR(AVERAGEIFS('2. Core Log'!$M$5:$M$124,'2. Core Log'!$B$5:$B$124,$A59),""))</f>
        <v/>
      </c>
      <c r="P59" s="16" t="str">
        <f aca="false">IF($A59="","",IF($E59="",0,$E59)+IF($L59="",0,$L59)+IF($N59="",0,$N59))</f>
        <v/>
      </c>
      <c r="Q59" s="14" t="str">
        <f aca="false">IF($A59="","",IF($C59=0,"No tree data for this plot. ","")&amp;IF($M59=0,"No soil cores for this plot — soil contributes zero to the total. ","")&amp;IF(AND($F59=0,$I59=0),"No understory data — the total is trees + soil only. ","")&amp;IF(OR($D59="",$D59=0),"No large plot area — tree carbon per m² cannot be calculated. ",""))</f>
        <v/>
      </c>
      <c r="R59" s="14" t="n">
        <f aca="false">IF(ISNUMBER($P59),$P59,0)</f>
        <v>0</v>
      </c>
      <c r="S59" s="14" t="n">
        <f aca="false">IF(AND(ISNUMBER($P59),$A59&lt;&gt;""),1,0)</f>
        <v>0</v>
      </c>
    </row>
    <row r="60" customFormat="false" ht="15" hidden="false" customHeight="false" outlineLevel="0" collapsed="false">
      <c r="A60" s="14" t="str">
        <f aca="false">IF(INDEX('1. Plot &amp; Site Log'!$A$5:$A$64,ROW()-4)="","",INDEX('1. Plot &amp; Site Log'!$A$5:$A$64,ROW()-4))</f>
        <v/>
      </c>
      <c r="B60" s="14" t="str">
        <f aca="false">IF($A60="","",INDEX('1. Plot &amp; Site Log'!$B$5:$B$64,MATCH($A60,'1. Plot &amp; Site Log'!$A$5:$A$64,0)))</f>
        <v/>
      </c>
      <c r="C60" s="14" t="str">
        <f aca="false">IF($A60="","",SUMIFS('3. Tree Data'!$P$5:$P$404,'3. Tree Data'!$A$5:$A$404,$A60))</f>
        <v/>
      </c>
      <c r="D60" s="14" t="str">
        <f aca="false">IF($A60="","",INDEX('1. Plot &amp; Site Log'!$R$5:$R$64,MATCH($A60,'1. Plot &amp; Site Log'!$A$5:$A$64,0)))</f>
        <v/>
      </c>
      <c r="E60" s="14" t="str">
        <f aca="false">IF(OR($A60="",$D60="",$D60=0),"",$C60/$D60)</f>
        <v/>
      </c>
      <c r="F60" s="14" t="str">
        <f aca="false">IF($A60="","",SUMIFS('4. Understory Data'!$O$5:$O$254,'4. Understory Data'!$A$5:$A$254,$A60,'4. Understory Data'!$C$5:$C$254,"Medium"))</f>
        <v/>
      </c>
      <c r="G60" s="14" t="str">
        <f aca="false">IF($A60="","",INDEX('1. Plot &amp; Site Log'!$M$5:$M$64,MATCH($A60,'1. Plot &amp; Site Log'!$A$5:$A$64,0)))</f>
        <v/>
      </c>
      <c r="H60" s="14" t="str">
        <f aca="false">IF(OR($A60="",$G60="",$G60=0),"",$F60/$G60)</f>
        <v/>
      </c>
      <c r="I60" s="14" t="str">
        <f aca="false">IF($A60="","",SUMIFS('4. Understory Data'!$O$5:$O$254,'4. Understory Data'!$A$5:$A$254,$A60,'4. Understory Data'!$C$5:$C$254,"Small"))</f>
        <v/>
      </c>
      <c r="J60" s="14" t="str">
        <f aca="false">IF($A60="","",INDEX('1. Plot &amp; Site Log'!$N$5:$N$64,MATCH($A60,'1. Plot &amp; Site Log'!$A$5:$A$64,0)))</f>
        <v/>
      </c>
      <c r="K60" s="14" t="str">
        <f aca="false">IF(OR($A60="",$J60="",$J60=0),"",$I60/$J60)</f>
        <v/>
      </c>
      <c r="L60" s="14" t="str">
        <f aca="false">IF($A60="","",IF($H60="",0,$H60)+IF($K60="",0,$K60))</f>
        <v/>
      </c>
      <c r="M60" s="14" t="str">
        <f aca="false">IF($A60="","",COUNTIFS('2. Core Log'!$B$5:$B$124,$A60))</f>
        <v/>
      </c>
      <c r="N60" s="14" t="str">
        <f aca="false">IF(OR($A60="",$M60=0),"",IFERROR(AVERAGEIFS('2. Core Log'!$L$5:$L$124,'2. Core Log'!$B$5:$B$124,$A60),""))</f>
        <v/>
      </c>
      <c r="O60" s="14" t="str">
        <f aca="false">IF(OR($A60="",$M60=0),"",IFERROR(AVERAGEIFS('2. Core Log'!$M$5:$M$124,'2. Core Log'!$B$5:$B$124,$A60),""))</f>
        <v/>
      </c>
      <c r="P60" s="16" t="str">
        <f aca="false">IF($A60="","",IF($E60="",0,$E60)+IF($L60="",0,$L60)+IF($N60="",0,$N60))</f>
        <v/>
      </c>
      <c r="Q60" s="14" t="str">
        <f aca="false">IF($A60="","",IF($C60=0,"No tree data for this plot. ","")&amp;IF($M60=0,"No soil cores for this plot — soil contributes zero to the total. ","")&amp;IF(AND($F60=0,$I60=0),"No understory data — the total is trees + soil only. ","")&amp;IF(OR($D60="",$D60=0),"No large plot area — tree carbon per m² cannot be calculated. ",""))</f>
        <v/>
      </c>
      <c r="R60" s="14" t="n">
        <f aca="false">IF(ISNUMBER($P60),$P60,0)</f>
        <v>0</v>
      </c>
      <c r="S60" s="14" t="n">
        <f aca="false">IF(AND(ISNUMBER($P60),$A60&lt;&gt;""),1,0)</f>
        <v>0</v>
      </c>
    </row>
    <row r="61" customFormat="false" ht="15" hidden="false" customHeight="false" outlineLevel="0" collapsed="false">
      <c r="A61" s="14" t="str">
        <f aca="false">IF(INDEX('1. Plot &amp; Site Log'!$A$5:$A$64,ROW()-4)="","",INDEX('1. Plot &amp; Site Log'!$A$5:$A$64,ROW()-4))</f>
        <v/>
      </c>
      <c r="B61" s="14" t="str">
        <f aca="false">IF($A61="","",INDEX('1. Plot &amp; Site Log'!$B$5:$B$64,MATCH($A61,'1. Plot &amp; Site Log'!$A$5:$A$64,0)))</f>
        <v/>
      </c>
      <c r="C61" s="14" t="str">
        <f aca="false">IF($A61="","",SUMIFS('3. Tree Data'!$P$5:$P$404,'3. Tree Data'!$A$5:$A$404,$A61))</f>
        <v/>
      </c>
      <c r="D61" s="14" t="str">
        <f aca="false">IF($A61="","",INDEX('1. Plot &amp; Site Log'!$R$5:$R$64,MATCH($A61,'1. Plot &amp; Site Log'!$A$5:$A$64,0)))</f>
        <v/>
      </c>
      <c r="E61" s="14" t="str">
        <f aca="false">IF(OR($A61="",$D61="",$D61=0),"",$C61/$D61)</f>
        <v/>
      </c>
      <c r="F61" s="14" t="str">
        <f aca="false">IF($A61="","",SUMIFS('4. Understory Data'!$O$5:$O$254,'4. Understory Data'!$A$5:$A$254,$A61,'4. Understory Data'!$C$5:$C$254,"Medium"))</f>
        <v/>
      </c>
      <c r="G61" s="14" t="str">
        <f aca="false">IF($A61="","",INDEX('1. Plot &amp; Site Log'!$M$5:$M$64,MATCH($A61,'1. Plot &amp; Site Log'!$A$5:$A$64,0)))</f>
        <v/>
      </c>
      <c r="H61" s="14" t="str">
        <f aca="false">IF(OR($A61="",$G61="",$G61=0),"",$F61/$G61)</f>
        <v/>
      </c>
      <c r="I61" s="14" t="str">
        <f aca="false">IF($A61="","",SUMIFS('4. Understory Data'!$O$5:$O$254,'4. Understory Data'!$A$5:$A$254,$A61,'4. Understory Data'!$C$5:$C$254,"Small"))</f>
        <v/>
      </c>
      <c r="J61" s="14" t="str">
        <f aca="false">IF($A61="","",INDEX('1. Plot &amp; Site Log'!$N$5:$N$64,MATCH($A61,'1. Plot &amp; Site Log'!$A$5:$A$64,0)))</f>
        <v/>
      </c>
      <c r="K61" s="14" t="str">
        <f aca="false">IF(OR($A61="",$J61="",$J61=0),"",$I61/$J61)</f>
        <v/>
      </c>
      <c r="L61" s="14" t="str">
        <f aca="false">IF($A61="","",IF($H61="",0,$H61)+IF($K61="",0,$K61))</f>
        <v/>
      </c>
      <c r="M61" s="14" t="str">
        <f aca="false">IF($A61="","",COUNTIFS('2. Core Log'!$B$5:$B$124,$A61))</f>
        <v/>
      </c>
      <c r="N61" s="14" t="str">
        <f aca="false">IF(OR($A61="",$M61=0),"",IFERROR(AVERAGEIFS('2. Core Log'!$L$5:$L$124,'2. Core Log'!$B$5:$B$124,$A61),""))</f>
        <v/>
      </c>
      <c r="O61" s="14" t="str">
        <f aca="false">IF(OR($A61="",$M61=0),"",IFERROR(AVERAGEIFS('2. Core Log'!$M$5:$M$124,'2. Core Log'!$B$5:$B$124,$A61),""))</f>
        <v/>
      </c>
      <c r="P61" s="16" t="str">
        <f aca="false">IF($A61="","",IF($E61="",0,$E61)+IF($L61="",0,$L61)+IF($N61="",0,$N61))</f>
        <v/>
      </c>
      <c r="Q61" s="14" t="str">
        <f aca="false">IF($A61="","",IF($C61=0,"No tree data for this plot. ","")&amp;IF($M61=0,"No soil cores for this plot — soil contributes zero to the total. ","")&amp;IF(AND($F61=0,$I61=0),"No understory data — the total is trees + soil only. ","")&amp;IF(OR($D61="",$D61=0),"No large plot area — tree carbon per m² cannot be calculated. ",""))</f>
        <v/>
      </c>
      <c r="R61" s="14" t="n">
        <f aca="false">IF(ISNUMBER($P61),$P61,0)</f>
        <v>0</v>
      </c>
      <c r="S61" s="14" t="n">
        <f aca="false">IF(AND(ISNUMBER($P61),$A61&lt;&gt;""),1,0)</f>
        <v>0</v>
      </c>
    </row>
    <row r="62" customFormat="false" ht="15" hidden="false" customHeight="false" outlineLevel="0" collapsed="false">
      <c r="A62" s="14" t="str">
        <f aca="false">IF(INDEX('1. Plot &amp; Site Log'!$A$5:$A$64,ROW()-4)="","",INDEX('1. Plot &amp; Site Log'!$A$5:$A$64,ROW()-4))</f>
        <v/>
      </c>
      <c r="B62" s="14" t="str">
        <f aca="false">IF($A62="","",INDEX('1. Plot &amp; Site Log'!$B$5:$B$64,MATCH($A62,'1. Plot &amp; Site Log'!$A$5:$A$64,0)))</f>
        <v/>
      </c>
      <c r="C62" s="14" t="str">
        <f aca="false">IF($A62="","",SUMIFS('3. Tree Data'!$P$5:$P$404,'3. Tree Data'!$A$5:$A$404,$A62))</f>
        <v/>
      </c>
      <c r="D62" s="14" t="str">
        <f aca="false">IF($A62="","",INDEX('1. Plot &amp; Site Log'!$R$5:$R$64,MATCH($A62,'1. Plot &amp; Site Log'!$A$5:$A$64,0)))</f>
        <v/>
      </c>
      <c r="E62" s="14" t="str">
        <f aca="false">IF(OR($A62="",$D62="",$D62=0),"",$C62/$D62)</f>
        <v/>
      </c>
      <c r="F62" s="14" t="str">
        <f aca="false">IF($A62="","",SUMIFS('4. Understory Data'!$O$5:$O$254,'4. Understory Data'!$A$5:$A$254,$A62,'4. Understory Data'!$C$5:$C$254,"Medium"))</f>
        <v/>
      </c>
      <c r="G62" s="14" t="str">
        <f aca="false">IF($A62="","",INDEX('1. Plot &amp; Site Log'!$M$5:$M$64,MATCH($A62,'1. Plot &amp; Site Log'!$A$5:$A$64,0)))</f>
        <v/>
      </c>
      <c r="H62" s="14" t="str">
        <f aca="false">IF(OR($A62="",$G62="",$G62=0),"",$F62/$G62)</f>
        <v/>
      </c>
      <c r="I62" s="14" t="str">
        <f aca="false">IF($A62="","",SUMIFS('4. Understory Data'!$O$5:$O$254,'4. Understory Data'!$A$5:$A$254,$A62,'4. Understory Data'!$C$5:$C$254,"Small"))</f>
        <v/>
      </c>
      <c r="J62" s="14" t="str">
        <f aca="false">IF($A62="","",INDEX('1. Plot &amp; Site Log'!$N$5:$N$64,MATCH($A62,'1. Plot &amp; Site Log'!$A$5:$A$64,0)))</f>
        <v/>
      </c>
      <c r="K62" s="14" t="str">
        <f aca="false">IF(OR($A62="",$J62="",$J62=0),"",$I62/$J62)</f>
        <v/>
      </c>
      <c r="L62" s="14" t="str">
        <f aca="false">IF($A62="","",IF($H62="",0,$H62)+IF($K62="",0,$K62))</f>
        <v/>
      </c>
      <c r="M62" s="14" t="str">
        <f aca="false">IF($A62="","",COUNTIFS('2. Core Log'!$B$5:$B$124,$A62))</f>
        <v/>
      </c>
      <c r="N62" s="14" t="str">
        <f aca="false">IF(OR($A62="",$M62=0),"",IFERROR(AVERAGEIFS('2. Core Log'!$L$5:$L$124,'2. Core Log'!$B$5:$B$124,$A62),""))</f>
        <v/>
      </c>
      <c r="O62" s="14" t="str">
        <f aca="false">IF(OR($A62="",$M62=0),"",IFERROR(AVERAGEIFS('2. Core Log'!$M$5:$M$124,'2. Core Log'!$B$5:$B$124,$A62),""))</f>
        <v/>
      </c>
      <c r="P62" s="16" t="str">
        <f aca="false">IF($A62="","",IF($E62="",0,$E62)+IF($L62="",0,$L62)+IF($N62="",0,$N62))</f>
        <v/>
      </c>
      <c r="Q62" s="14" t="str">
        <f aca="false">IF($A62="","",IF($C62=0,"No tree data for this plot. ","")&amp;IF($M62=0,"No soil cores for this plot — soil contributes zero to the total. ","")&amp;IF(AND($F62=0,$I62=0),"No understory data — the total is trees + soil only. ","")&amp;IF(OR($D62="",$D62=0),"No large plot area — tree carbon per m² cannot be calculated. ",""))</f>
        <v/>
      </c>
      <c r="R62" s="14" t="n">
        <f aca="false">IF(ISNUMBER($P62),$P62,0)</f>
        <v>0</v>
      </c>
      <c r="S62" s="14" t="n">
        <f aca="false">IF(AND(ISNUMBER($P62),$A62&lt;&gt;""),1,0)</f>
        <v>0</v>
      </c>
    </row>
    <row r="63" customFormat="false" ht="15" hidden="false" customHeight="false" outlineLevel="0" collapsed="false">
      <c r="A63" s="14" t="str">
        <f aca="false">IF(INDEX('1. Plot &amp; Site Log'!$A$5:$A$64,ROW()-4)="","",INDEX('1. Plot &amp; Site Log'!$A$5:$A$64,ROW()-4))</f>
        <v/>
      </c>
      <c r="B63" s="14" t="str">
        <f aca="false">IF($A63="","",INDEX('1. Plot &amp; Site Log'!$B$5:$B$64,MATCH($A63,'1. Plot &amp; Site Log'!$A$5:$A$64,0)))</f>
        <v/>
      </c>
      <c r="C63" s="14" t="str">
        <f aca="false">IF($A63="","",SUMIFS('3. Tree Data'!$P$5:$P$404,'3. Tree Data'!$A$5:$A$404,$A63))</f>
        <v/>
      </c>
      <c r="D63" s="14" t="str">
        <f aca="false">IF($A63="","",INDEX('1. Plot &amp; Site Log'!$R$5:$R$64,MATCH($A63,'1. Plot &amp; Site Log'!$A$5:$A$64,0)))</f>
        <v/>
      </c>
      <c r="E63" s="14" t="str">
        <f aca="false">IF(OR($A63="",$D63="",$D63=0),"",$C63/$D63)</f>
        <v/>
      </c>
      <c r="F63" s="14" t="str">
        <f aca="false">IF($A63="","",SUMIFS('4. Understory Data'!$O$5:$O$254,'4. Understory Data'!$A$5:$A$254,$A63,'4. Understory Data'!$C$5:$C$254,"Medium"))</f>
        <v/>
      </c>
      <c r="G63" s="14" t="str">
        <f aca="false">IF($A63="","",INDEX('1. Plot &amp; Site Log'!$M$5:$M$64,MATCH($A63,'1. Plot &amp; Site Log'!$A$5:$A$64,0)))</f>
        <v/>
      </c>
      <c r="H63" s="14" t="str">
        <f aca="false">IF(OR($A63="",$G63="",$G63=0),"",$F63/$G63)</f>
        <v/>
      </c>
      <c r="I63" s="14" t="str">
        <f aca="false">IF($A63="","",SUMIFS('4. Understory Data'!$O$5:$O$254,'4. Understory Data'!$A$5:$A$254,$A63,'4. Understory Data'!$C$5:$C$254,"Small"))</f>
        <v/>
      </c>
      <c r="J63" s="14" t="str">
        <f aca="false">IF($A63="","",INDEX('1. Plot &amp; Site Log'!$N$5:$N$64,MATCH($A63,'1. Plot &amp; Site Log'!$A$5:$A$64,0)))</f>
        <v/>
      </c>
      <c r="K63" s="14" t="str">
        <f aca="false">IF(OR($A63="",$J63="",$J63=0),"",$I63/$J63)</f>
        <v/>
      </c>
      <c r="L63" s="14" t="str">
        <f aca="false">IF($A63="","",IF($H63="",0,$H63)+IF($K63="",0,$K63))</f>
        <v/>
      </c>
      <c r="M63" s="14" t="str">
        <f aca="false">IF($A63="","",COUNTIFS('2. Core Log'!$B$5:$B$124,$A63))</f>
        <v/>
      </c>
      <c r="N63" s="14" t="str">
        <f aca="false">IF(OR($A63="",$M63=0),"",IFERROR(AVERAGEIFS('2. Core Log'!$L$5:$L$124,'2. Core Log'!$B$5:$B$124,$A63),""))</f>
        <v/>
      </c>
      <c r="O63" s="14" t="str">
        <f aca="false">IF(OR($A63="",$M63=0),"",IFERROR(AVERAGEIFS('2. Core Log'!$M$5:$M$124,'2. Core Log'!$B$5:$B$124,$A63),""))</f>
        <v/>
      </c>
      <c r="P63" s="16" t="str">
        <f aca="false">IF($A63="","",IF($E63="",0,$E63)+IF($L63="",0,$L63)+IF($N63="",0,$N63))</f>
        <v/>
      </c>
      <c r="Q63" s="14" t="str">
        <f aca="false">IF($A63="","",IF($C63=0,"No tree data for this plot. ","")&amp;IF($M63=0,"No soil cores for this plot — soil contributes zero to the total. ","")&amp;IF(AND($F63=0,$I63=0),"No understory data — the total is trees + soil only. ","")&amp;IF(OR($D63="",$D63=0),"No large plot area — tree carbon per m² cannot be calculated. ",""))</f>
        <v/>
      </c>
      <c r="R63" s="14" t="n">
        <f aca="false">IF(ISNUMBER($P63),$P63,0)</f>
        <v>0</v>
      </c>
      <c r="S63" s="14" t="n">
        <f aca="false">IF(AND(ISNUMBER($P63),$A63&lt;&gt;""),1,0)</f>
        <v>0</v>
      </c>
    </row>
    <row r="64" customFormat="false" ht="15" hidden="false" customHeight="false" outlineLevel="0" collapsed="false">
      <c r="A64" s="14" t="str">
        <f aca="false">IF(INDEX('1. Plot &amp; Site Log'!$A$5:$A$64,ROW()-4)="","",INDEX('1. Plot &amp; Site Log'!$A$5:$A$64,ROW()-4))</f>
        <v/>
      </c>
      <c r="B64" s="14" t="str">
        <f aca="false">IF($A64="","",INDEX('1. Plot &amp; Site Log'!$B$5:$B$64,MATCH($A64,'1. Plot &amp; Site Log'!$A$5:$A$64,0)))</f>
        <v/>
      </c>
      <c r="C64" s="14" t="str">
        <f aca="false">IF($A64="","",SUMIFS('3. Tree Data'!$P$5:$P$404,'3. Tree Data'!$A$5:$A$404,$A64))</f>
        <v/>
      </c>
      <c r="D64" s="14" t="str">
        <f aca="false">IF($A64="","",INDEX('1. Plot &amp; Site Log'!$R$5:$R$64,MATCH($A64,'1. Plot &amp; Site Log'!$A$5:$A$64,0)))</f>
        <v/>
      </c>
      <c r="E64" s="14" t="str">
        <f aca="false">IF(OR($A64="",$D64="",$D64=0),"",$C64/$D64)</f>
        <v/>
      </c>
      <c r="F64" s="14" t="str">
        <f aca="false">IF($A64="","",SUMIFS('4. Understory Data'!$O$5:$O$254,'4. Understory Data'!$A$5:$A$254,$A64,'4. Understory Data'!$C$5:$C$254,"Medium"))</f>
        <v/>
      </c>
      <c r="G64" s="14" t="str">
        <f aca="false">IF($A64="","",INDEX('1. Plot &amp; Site Log'!$M$5:$M$64,MATCH($A64,'1. Plot &amp; Site Log'!$A$5:$A$64,0)))</f>
        <v/>
      </c>
      <c r="H64" s="14" t="str">
        <f aca="false">IF(OR($A64="",$G64="",$G64=0),"",$F64/$G64)</f>
        <v/>
      </c>
      <c r="I64" s="14" t="str">
        <f aca="false">IF($A64="","",SUMIFS('4. Understory Data'!$O$5:$O$254,'4. Understory Data'!$A$5:$A$254,$A64,'4. Understory Data'!$C$5:$C$254,"Small"))</f>
        <v/>
      </c>
      <c r="J64" s="14" t="str">
        <f aca="false">IF($A64="","",INDEX('1. Plot &amp; Site Log'!$N$5:$N$64,MATCH($A64,'1. Plot &amp; Site Log'!$A$5:$A$64,0)))</f>
        <v/>
      </c>
      <c r="K64" s="14" t="str">
        <f aca="false">IF(OR($A64="",$J64="",$J64=0),"",$I64/$J64)</f>
        <v/>
      </c>
      <c r="L64" s="14" t="str">
        <f aca="false">IF($A64="","",IF($H64="",0,$H64)+IF($K64="",0,$K64))</f>
        <v/>
      </c>
      <c r="M64" s="14" t="str">
        <f aca="false">IF($A64="","",COUNTIFS('2. Core Log'!$B$5:$B$124,$A64))</f>
        <v/>
      </c>
      <c r="N64" s="14" t="str">
        <f aca="false">IF(OR($A64="",$M64=0),"",IFERROR(AVERAGEIFS('2. Core Log'!$L$5:$L$124,'2. Core Log'!$B$5:$B$124,$A64),""))</f>
        <v/>
      </c>
      <c r="O64" s="14" t="str">
        <f aca="false">IF(OR($A64="",$M64=0),"",IFERROR(AVERAGEIFS('2. Core Log'!$M$5:$M$124,'2. Core Log'!$B$5:$B$124,$A64),""))</f>
        <v/>
      </c>
      <c r="P64" s="16" t="str">
        <f aca="false">IF($A64="","",IF($E64="",0,$E64)+IF($L64="",0,$L64)+IF($N64="",0,$N64))</f>
        <v/>
      </c>
      <c r="Q64" s="14" t="str">
        <f aca="false">IF($A64="","",IF($C64=0,"No tree data for this plot. ","")&amp;IF($M64=0,"No soil cores for this plot — soil contributes zero to the total. ","")&amp;IF(AND($F64=0,$I64=0),"No understory data — the total is trees + soil only. ","")&amp;IF(OR($D64="",$D64=0),"No large plot area — tree carbon per m² cannot be calculated. ",""))</f>
        <v/>
      </c>
      <c r="R64" s="14" t="n">
        <f aca="false">IF(ISNUMBER($P64),$P64,0)</f>
        <v>0</v>
      </c>
      <c r="S64" s="14" t="n">
        <f aca="false">IF(AND(ISNUMBER($P64),$A64&lt;&gt;""),1,0)</f>
        <v>0</v>
      </c>
    </row>
  </sheetData>
  <mergeCells count="1"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0" t="s">
        <v>206</v>
      </c>
    </row>
    <row r="2" customFormat="false" ht="31.5" hidden="false" customHeight="true" outlineLevel="0" collapsed="false">
      <c r="A2" s="11" t="s">
        <v>207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customFormat="false" ht="42" hidden="false" customHeight="true" outlineLevel="0" collapsed="false">
      <c r="A4" s="12" t="s">
        <v>56</v>
      </c>
      <c r="B4" s="12" t="s">
        <v>208</v>
      </c>
      <c r="C4" s="12" t="s">
        <v>209</v>
      </c>
      <c r="D4" s="12" t="s">
        <v>210</v>
      </c>
      <c r="E4" s="12" t="s">
        <v>211</v>
      </c>
      <c r="F4" s="12" t="s">
        <v>212</v>
      </c>
      <c r="G4" s="12" t="s">
        <v>213</v>
      </c>
      <c r="H4" s="12" t="s">
        <v>214</v>
      </c>
      <c r="I4" s="12" t="s">
        <v>215</v>
      </c>
      <c r="J4" s="12" t="s">
        <v>216</v>
      </c>
      <c r="K4" s="12" t="s">
        <v>217</v>
      </c>
      <c r="L4" s="12" t="s">
        <v>218</v>
      </c>
      <c r="M4" s="12" t="s">
        <v>219</v>
      </c>
      <c r="N4" s="12" t="s">
        <v>107</v>
      </c>
    </row>
    <row r="5" customFormat="false" ht="15" hidden="false" customHeight="false" outlineLevel="0" collapsed="false">
      <c r="A5" s="13" t="s">
        <v>75</v>
      </c>
      <c r="B5" s="13" t="n">
        <v>72000</v>
      </c>
      <c r="C5" s="14" t="n">
        <f aca="false">IF($A5="","",SUMIFS('6. Plot Summary'!$S$5:$S$64,'6. Plot Summary'!$B$5:$B$64,$A5))</f>
        <v>3</v>
      </c>
      <c r="D5" s="14" t="n">
        <f aca="false">IF(OR($A5="",NOT(ISNUMBER($C5)),$C5=0),"",SUMIFS('6. Plot Summary'!$R$5:$R$64,'6. Plot Summary'!$B$5:$B$64,$A5)/$C5)</f>
        <v>15.4501395890423</v>
      </c>
      <c r="E5" s="14" t="n">
        <f aca="false">IF(OR($A5="",NOT(ISNUMBER($C5)),$C5&lt;2),"",SQRT(SUMPRODUCT(('6. Plot Summary'!$B$5:$B$64=$A5)*'6. Plot Summary'!$S$5:$S$64*('6. Plot Summary'!$R$5:$R$64-$D5)^2)/($C5-1)))</f>
        <v>1.35762735283945</v>
      </c>
      <c r="F5" s="14" t="n">
        <f aca="false">IF(OR(NOT(ISNUMBER($E5)),NOT(ISNUMBER($C5)),$C5&lt;2),"",$E5/SQRT($C5))</f>
        <v>0.783826517621057</v>
      </c>
      <c r="G5" s="14" t="n">
        <f aca="false">IF(OR($A5="",NOT(ISNUMBER($C5)),$C5&lt;2),"",TINV(1-TARGET_CONFIDENCE,$C5-1))</f>
        <v>2.91998558035373</v>
      </c>
      <c r="H5" s="14" t="n">
        <f aca="false">IF(OR(NOT(ISNUMBER($F5)),NOT(ISNUMBER($G5))),"",$G5*$F5)</f>
        <v>2.28876212895236</v>
      </c>
      <c r="I5" s="14" t="n">
        <f aca="false">IF(OR(NOT(ISNUMBER($H5)),NOT(ISNUMBER($D5)),$D5=0),"",$H5/$D5)</f>
        <v>0.148138605205588</v>
      </c>
      <c r="J5" s="14" t="n">
        <f aca="false">IF($A5="","",TARGET_MARGIN)</f>
        <v>0.2</v>
      </c>
      <c r="K5" s="14" t="str">
        <f aca="false">IF(NOT(ISNUMBER($I5)),IF($A5="","","Cannot be assessed — at least 2 plots are needed for an interval."),IF($I5&lt;=$J5,"MET: ±"&amp;TEXT($I5,"0%")&amp;" at "&amp;TEXT(TARGET_CONFIDENCE,"0%")&amp;" confidence","NOT MET: ±"&amp;TEXT($I5,"0%")&amp;" against a ±"&amp;TEXT($J5,"0%")&amp;" target"))</f>
        <v>MET: ±15% at 90% confidence</v>
      </c>
      <c r="L5" s="14" t="n">
        <f aca="false">IF(OR($A5="",NOT(ISNUMBER($B5)),NOT(ISNUMBER($D5))),"",$D5*$B5)</f>
        <v>1112410.05041105</v>
      </c>
      <c r="M5" s="14" t="n">
        <f aca="false">IF(NOT(ISNUMBER($L5)),"",$L5*CO2E_FACTOR/1000)</f>
        <v>4082.54488500854</v>
      </c>
      <c r="N5" s="14" t="str">
        <f aca="false">IF($A5="","",IF($C5=0,"No plots carry this Site ID — check it matches the Plot &amp; Site Log. ","")&amp;IF(AND($C5&gt;0,$C5&lt;2),"Only one plot: a mean can be reported but never an uncertainty. ","")&amp;IF($B5="","No site area, so no total carbon. ","")&amp;IF(AND(ISNUMBER($I5),$I5&gt;$J5),"Wider than planned. More plots, or stratification, would tighten it — see Part 2, Appendix A8. ",""))</f>
        <v/>
      </c>
    </row>
    <row r="6" customFormat="false" ht="15" hidden="false" customHeight="false" outlineLevel="0" collapsed="false">
      <c r="A6" s="13" t="s">
        <v>87</v>
      </c>
      <c r="B6" s="13" t="n">
        <v>48000</v>
      </c>
      <c r="C6" s="14" t="n">
        <f aca="false">IF($A6="","",SUMIFS('6. Plot Summary'!$S$5:$S$64,'6. Plot Summary'!$B$5:$B$64,$A6))</f>
        <v>3</v>
      </c>
      <c r="D6" s="14" t="n">
        <f aca="false">IF(OR($A6="",NOT(ISNUMBER($C6)),$C6=0),"",SUMIFS('6. Plot Summary'!$R$5:$R$64,'6. Plot Summary'!$B$5:$B$64,$A6)/$C6)</f>
        <v>12.8837024707849</v>
      </c>
      <c r="E6" s="14" t="n">
        <f aca="false">IF(OR($A6="",NOT(ISNUMBER($C6)),$C6&lt;2),"",SQRT(SUMPRODUCT(('6. Plot Summary'!$B$5:$B$64=$A6)*'6. Plot Summary'!$S$5:$S$64*('6. Plot Summary'!$R$5:$R$64-$D6)^2)/($C6-1)))</f>
        <v>0.514719226704695</v>
      </c>
      <c r="F6" s="14" t="n">
        <f aca="false">IF(OR(NOT(ISNUMBER($E6)),NOT(ISNUMBER($C6)),$C6&lt;2),"",$E6/SQRT($C6))</f>
        <v>0.297173284095032</v>
      </c>
      <c r="G6" s="14" t="n">
        <f aca="false">IF(OR($A6="",NOT(ISNUMBER($C6)),$C6&lt;2),"",TINV(1-TARGET_CONFIDENCE,$C6-1))</f>
        <v>2.91998558035373</v>
      </c>
      <c r="H6" s="14" t="n">
        <f aca="false">IF(OR(NOT(ISNUMBER($F6)),NOT(ISNUMBER($G6))),"",$G6*$F6)</f>
        <v>0.867741704423854</v>
      </c>
      <c r="I6" s="14" t="n">
        <f aca="false">IF(OR(NOT(ISNUMBER($H6)),NOT(ISNUMBER($D6)),$D6=0),"",$H6/$D6)</f>
        <v>0.0673518894426155</v>
      </c>
      <c r="J6" s="14" t="n">
        <f aca="false">IF($A6="","",TARGET_MARGIN)</f>
        <v>0.2</v>
      </c>
      <c r="K6" s="14" t="str">
        <f aca="false">IF(NOT(ISNUMBER($I6)),IF($A6="","","Cannot be assessed — at least 2 plots are needed for an interval."),IF($I6&lt;=$J6,"MET: ±"&amp;TEXT($I6,"0%")&amp;" at "&amp;TEXT(TARGET_CONFIDENCE,"0%")&amp;" confidence","NOT MET: ±"&amp;TEXT($I6,"0%")&amp;" against a ±"&amp;TEXT($J6,"0%")&amp;" target"))</f>
        <v>MET: ±7% at 90% confidence</v>
      </c>
      <c r="L6" s="14" t="n">
        <f aca="false">IF(OR($A6="",NOT(ISNUMBER($B6)),NOT(ISNUMBER($D6))),"",$D6*$B6)</f>
        <v>618417.718597674</v>
      </c>
      <c r="M6" s="14" t="n">
        <f aca="false">IF(NOT(ISNUMBER($L6)),"",$L6*CO2E_FACTOR/1000)</f>
        <v>2269.59302725346</v>
      </c>
      <c r="N6" s="14" t="str">
        <f aca="false">IF($A6="","",IF($C6=0,"No plots carry this Site ID — check it matches the Plot &amp; Site Log. ","")&amp;IF(AND($C6&gt;0,$C6&lt;2),"Only one plot: a mean can be reported but never an uncertainty. ","")&amp;IF($B6="","No site area, so no total carbon. ","")&amp;IF(AND(ISNUMBER($I6),$I6&gt;$J6),"Wider than planned. More plots, or stratification, would tighten it — see Part 2, Appendix A8. ",""))</f>
        <v/>
      </c>
    </row>
    <row r="7" customFormat="false" ht="15" hidden="false" customHeight="false" outlineLevel="0" collapsed="false">
      <c r="A7" s="13"/>
      <c r="B7" s="13"/>
      <c r="C7" s="14" t="str">
        <f aca="false">IF($A7="","",SUMIFS('6. Plot Summary'!$S$5:$S$64,'6. Plot Summary'!$B$5:$B$64,$A7))</f>
        <v/>
      </c>
      <c r="D7" s="14" t="str">
        <f aca="false">IF(OR($A7="",NOT(ISNUMBER($C7)),$C7=0),"",SUMIFS('6. Plot Summary'!$R$5:$R$64,'6. Plot Summary'!$B$5:$B$64,$A7)/$C7)</f>
        <v/>
      </c>
      <c r="E7" s="14" t="str">
        <f aca="false">IF(OR($A7="",NOT(ISNUMBER($C7)),$C7&lt;2),"",SQRT(SUMPRODUCT(('6. Plot Summary'!$B$5:$B$64=$A7)*'6. Plot Summary'!$S$5:$S$64*('6. Plot Summary'!$R$5:$R$64-$D7)^2)/($C7-1)))</f>
        <v/>
      </c>
      <c r="F7" s="14" t="str">
        <f aca="false">IF(OR(NOT(ISNUMBER($E7)),NOT(ISNUMBER($C7)),$C7&lt;2),"",$E7/SQRT($C7))</f>
        <v/>
      </c>
      <c r="G7" s="14" t="str">
        <f aca="false">IF(OR($A7="",NOT(ISNUMBER($C7)),$C7&lt;2),"",TINV(1-TARGET_CONFIDENCE,$C7-1))</f>
        <v/>
      </c>
      <c r="H7" s="14" t="str">
        <f aca="false">IF(OR(NOT(ISNUMBER($F7)),NOT(ISNUMBER($G7))),"",$G7*$F7)</f>
        <v/>
      </c>
      <c r="I7" s="14" t="str">
        <f aca="false">IF(OR(NOT(ISNUMBER($H7)),NOT(ISNUMBER($D7)),$D7=0),"",$H7/$D7)</f>
        <v/>
      </c>
      <c r="J7" s="14" t="str">
        <f aca="false">IF($A7="","",TARGET_MARGIN)</f>
        <v/>
      </c>
      <c r="K7" s="14" t="str">
        <f aca="false">IF(NOT(ISNUMBER($I7)),IF($A7="","","Cannot be assessed — at least 2 plots are needed for an interval."),IF($I7&lt;=$J7,"MET: ±"&amp;TEXT($I7,"0%")&amp;" at "&amp;TEXT(TARGET_CONFIDENCE,"0%")&amp;" confidence","NOT MET: ±"&amp;TEXT($I7,"0%")&amp;" against a ±"&amp;TEXT($J7,"0%")&amp;" target"))</f>
        <v/>
      </c>
      <c r="L7" s="14" t="str">
        <f aca="false">IF(OR($A7="",NOT(ISNUMBER($B7)),NOT(ISNUMBER($D7))),"",$D7*$B7)</f>
        <v/>
      </c>
      <c r="M7" s="14" t="str">
        <f aca="false">IF(NOT(ISNUMBER($L7)),"",$L7*CO2E_FACTOR/1000)</f>
        <v/>
      </c>
      <c r="N7" s="14" t="str">
        <f aca="false">IF($A7="","",IF($C7=0,"No plots carry this Site ID — check it matches the Plot &amp; Site Log. ","")&amp;IF(AND($C7&gt;0,$C7&lt;2),"Only one plot: a mean can be reported but never an uncertainty. ","")&amp;IF($B7="","No site area, so no total carbon. ","")&amp;IF(AND(ISNUMBER($I7),$I7&gt;$J7),"Wider than planned. More plots, or stratification, would tighten it — see Part 2, Appendix A8. ",""))</f>
        <v/>
      </c>
    </row>
    <row r="8" customFormat="false" ht="15" hidden="false" customHeight="false" outlineLevel="0" collapsed="false">
      <c r="A8" s="13"/>
      <c r="B8" s="13"/>
      <c r="C8" s="14" t="str">
        <f aca="false">IF($A8="","",SUMIFS('6. Plot Summary'!$S$5:$S$64,'6. Plot Summary'!$B$5:$B$64,$A8))</f>
        <v/>
      </c>
      <c r="D8" s="14" t="str">
        <f aca="false">IF(OR($A8="",NOT(ISNUMBER($C8)),$C8=0),"",SUMIFS('6. Plot Summary'!$R$5:$R$64,'6. Plot Summary'!$B$5:$B$64,$A8)/$C8)</f>
        <v/>
      </c>
      <c r="E8" s="14" t="str">
        <f aca="false">IF(OR($A8="",NOT(ISNUMBER($C8)),$C8&lt;2),"",SQRT(SUMPRODUCT(('6. Plot Summary'!$B$5:$B$64=$A8)*'6. Plot Summary'!$S$5:$S$64*('6. Plot Summary'!$R$5:$R$64-$D8)^2)/($C8-1)))</f>
        <v/>
      </c>
      <c r="F8" s="14" t="str">
        <f aca="false">IF(OR(NOT(ISNUMBER($E8)),NOT(ISNUMBER($C8)),$C8&lt;2),"",$E8/SQRT($C8))</f>
        <v/>
      </c>
      <c r="G8" s="14" t="str">
        <f aca="false">IF(OR($A8="",NOT(ISNUMBER($C8)),$C8&lt;2),"",TINV(1-TARGET_CONFIDENCE,$C8-1))</f>
        <v/>
      </c>
      <c r="H8" s="14" t="str">
        <f aca="false">IF(OR(NOT(ISNUMBER($F8)),NOT(ISNUMBER($G8))),"",$G8*$F8)</f>
        <v/>
      </c>
      <c r="I8" s="14" t="str">
        <f aca="false">IF(OR(NOT(ISNUMBER($H8)),NOT(ISNUMBER($D8)),$D8=0),"",$H8/$D8)</f>
        <v/>
      </c>
      <c r="J8" s="14" t="str">
        <f aca="false">IF($A8="","",TARGET_MARGIN)</f>
        <v/>
      </c>
      <c r="K8" s="14" t="str">
        <f aca="false">IF(NOT(ISNUMBER($I8)),IF($A8="","","Cannot be assessed — at least 2 plots are needed for an interval."),IF($I8&lt;=$J8,"MET: ±"&amp;TEXT($I8,"0%")&amp;" at "&amp;TEXT(TARGET_CONFIDENCE,"0%")&amp;" confidence","NOT MET: ±"&amp;TEXT($I8,"0%")&amp;" against a ±"&amp;TEXT($J8,"0%")&amp;" target"))</f>
        <v/>
      </c>
      <c r="L8" s="14" t="str">
        <f aca="false">IF(OR($A8="",NOT(ISNUMBER($B8)),NOT(ISNUMBER($D8))),"",$D8*$B8)</f>
        <v/>
      </c>
      <c r="M8" s="14" t="str">
        <f aca="false">IF(NOT(ISNUMBER($L8)),"",$L8*CO2E_FACTOR/1000)</f>
        <v/>
      </c>
      <c r="N8" s="14" t="str">
        <f aca="false">IF($A8="","",IF($C8=0,"No plots carry this Site ID — check it matches the Plot &amp; Site Log. ","")&amp;IF(AND($C8&gt;0,$C8&lt;2),"Only one plot: a mean can be reported but never an uncertainty. ","")&amp;IF($B8="","No site area, so no total carbon. ","")&amp;IF(AND(ISNUMBER($I8),$I8&gt;$J8),"Wider than planned. More plots, or stratification, would tighten it — see Part 2, Appendix A8. ",""))</f>
        <v/>
      </c>
    </row>
    <row r="9" customFormat="false" ht="15" hidden="false" customHeight="false" outlineLevel="0" collapsed="false">
      <c r="A9" s="13"/>
      <c r="B9" s="13"/>
      <c r="C9" s="14" t="str">
        <f aca="false">IF($A9="","",SUMIFS('6. Plot Summary'!$S$5:$S$64,'6. Plot Summary'!$B$5:$B$64,$A9))</f>
        <v/>
      </c>
      <c r="D9" s="14" t="str">
        <f aca="false">IF(OR($A9="",NOT(ISNUMBER($C9)),$C9=0),"",SUMIFS('6. Plot Summary'!$R$5:$R$64,'6. Plot Summary'!$B$5:$B$64,$A9)/$C9)</f>
        <v/>
      </c>
      <c r="E9" s="14" t="str">
        <f aca="false">IF(OR($A9="",NOT(ISNUMBER($C9)),$C9&lt;2),"",SQRT(SUMPRODUCT(('6. Plot Summary'!$B$5:$B$64=$A9)*'6. Plot Summary'!$S$5:$S$64*('6. Plot Summary'!$R$5:$R$64-$D9)^2)/($C9-1)))</f>
        <v/>
      </c>
      <c r="F9" s="14" t="str">
        <f aca="false">IF(OR(NOT(ISNUMBER($E9)),NOT(ISNUMBER($C9)),$C9&lt;2),"",$E9/SQRT($C9))</f>
        <v/>
      </c>
      <c r="G9" s="14" t="str">
        <f aca="false">IF(OR($A9="",NOT(ISNUMBER($C9)),$C9&lt;2),"",TINV(1-TARGET_CONFIDENCE,$C9-1))</f>
        <v/>
      </c>
      <c r="H9" s="14" t="str">
        <f aca="false">IF(OR(NOT(ISNUMBER($F9)),NOT(ISNUMBER($G9))),"",$G9*$F9)</f>
        <v/>
      </c>
      <c r="I9" s="14" t="str">
        <f aca="false">IF(OR(NOT(ISNUMBER($H9)),NOT(ISNUMBER($D9)),$D9=0),"",$H9/$D9)</f>
        <v/>
      </c>
      <c r="J9" s="14" t="str">
        <f aca="false">IF($A9="","",TARGET_MARGIN)</f>
        <v/>
      </c>
      <c r="K9" s="14" t="str">
        <f aca="false">IF(NOT(ISNUMBER($I9)),IF($A9="","","Cannot be assessed — at least 2 plots are needed for an interval."),IF($I9&lt;=$J9,"MET: ±"&amp;TEXT($I9,"0%")&amp;" at "&amp;TEXT(TARGET_CONFIDENCE,"0%")&amp;" confidence","NOT MET: ±"&amp;TEXT($I9,"0%")&amp;" against a ±"&amp;TEXT($J9,"0%")&amp;" target"))</f>
        <v/>
      </c>
      <c r="L9" s="14" t="str">
        <f aca="false">IF(OR($A9="",NOT(ISNUMBER($B9)),NOT(ISNUMBER($D9))),"",$D9*$B9)</f>
        <v/>
      </c>
      <c r="M9" s="14" t="str">
        <f aca="false">IF(NOT(ISNUMBER($L9)),"",$L9*CO2E_FACTOR/1000)</f>
        <v/>
      </c>
      <c r="N9" s="14" t="str">
        <f aca="false">IF($A9="","",IF($C9=0,"No plots carry this Site ID — check it matches the Plot &amp; Site Log. ","")&amp;IF(AND($C9&gt;0,$C9&lt;2),"Only one plot: a mean can be reported but never an uncertainty. ","")&amp;IF($B9="","No site area, so no total carbon. ","")&amp;IF(AND(ISNUMBER($I9),$I9&gt;$J9),"Wider than planned. More plots, or stratification, would tighten it — see Part 2, Appendix A8. ",""))</f>
        <v/>
      </c>
    </row>
    <row r="10" customFormat="false" ht="15" hidden="false" customHeight="false" outlineLevel="0" collapsed="false">
      <c r="A10" s="13"/>
      <c r="B10" s="13"/>
      <c r="C10" s="14" t="str">
        <f aca="false">IF($A10="","",SUMIFS('6. Plot Summary'!$S$5:$S$64,'6. Plot Summary'!$B$5:$B$64,$A10))</f>
        <v/>
      </c>
      <c r="D10" s="14" t="str">
        <f aca="false">IF(OR($A10="",NOT(ISNUMBER($C10)),$C10=0),"",SUMIFS('6. Plot Summary'!$R$5:$R$64,'6. Plot Summary'!$B$5:$B$64,$A10)/$C10)</f>
        <v/>
      </c>
      <c r="E10" s="14" t="str">
        <f aca="false">IF(OR($A10="",NOT(ISNUMBER($C10)),$C10&lt;2),"",SQRT(SUMPRODUCT(('6. Plot Summary'!$B$5:$B$64=$A10)*'6. Plot Summary'!$S$5:$S$64*('6. Plot Summary'!$R$5:$R$64-$D10)^2)/($C10-1)))</f>
        <v/>
      </c>
      <c r="F10" s="14" t="str">
        <f aca="false">IF(OR(NOT(ISNUMBER($E10)),NOT(ISNUMBER($C10)),$C10&lt;2),"",$E10/SQRT($C10))</f>
        <v/>
      </c>
      <c r="G10" s="14" t="str">
        <f aca="false">IF(OR($A10="",NOT(ISNUMBER($C10)),$C10&lt;2),"",TINV(1-TARGET_CONFIDENCE,$C10-1))</f>
        <v/>
      </c>
      <c r="H10" s="14" t="str">
        <f aca="false">IF(OR(NOT(ISNUMBER($F10)),NOT(ISNUMBER($G10))),"",$G10*$F10)</f>
        <v/>
      </c>
      <c r="I10" s="14" t="str">
        <f aca="false">IF(OR(NOT(ISNUMBER($H10)),NOT(ISNUMBER($D10)),$D10=0),"",$H10/$D10)</f>
        <v/>
      </c>
      <c r="J10" s="14" t="str">
        <f aca="false">IF($A10="","",TARGET_MARGIN)</f>
        <v/>
      </c>
      <c r="K10" s="14" t="str">
        <f aca="false">IF(NOT(ISNUMBER($I10)),IF($A10="","","Cannot be assessed — at least 2 plots are needed for an interval."),IF($I10&lt;=$J10,"MET: ±"&amp;TEXT($I10,"0%")&amp;" at "&amp;TEXT(TARGET_CONFIDENCE,"0%")&amp;" confidence","NOT MET: ±"&amp;TEXT($I10,"0%")&amp;" against a ±"&amp;TEXT($J10,"0%")&amp;" target"))</f>
        <v/>
      </c>
      <c r="L10" s="14" t="str">
        <f aca="false">IF(OR($A10="",NOT(ISNUMBER($B10)),NOT(ISNUMBER($D10))),"",$D10*$B10)</f>
        <v/>
      </c>
      <c r="M10" s="14" t="str">
        <f aca="false">IF(NOT(ISNUMBER($L10)),"",$L10*CO2E_FACTOR/1000)</f>
        <v/>
      </c>
      <c r="N10" s="14" t="str">
        <f aca="false">IF($A10="","",IF($C10=0,"No plots carry this Site ID — check it matches the Plot &amp; Site Log. ","")&amp;IF(AND($C10&gt;0,$C10&lt;2),"Only one plot: a mean can be reported but never an uncertainty. ","")&amp;IF($B10="","No site area, so no total carbon. ","")&amp;IF(AND(ISNUMBER($I10),$I10&gt;$J10),"Wider than planned. More plots, or stratification, would tighten it — see Part 2, Appendix A8. ",""))</f>
        <v/>
      </c>
    </row>
    <row r="11" customFormat="false" ht="15" hidden="false" customHeight="false" outlineLevel="0" collapsed="false">
      <c r="A11" s="13"/>
      <c r="B11" s="13"/>
      <c r="C11" s="14" t="str">
        <f aca="false">IF($A11="","",SUMIFS('6. Plot Summary'!$S$5:$S$64,'6. Plot Summary'!$B$5:$B$64,$A11))</f>
        <v/>
      </c>
      <c r="D11" s="14" t="str">
        <f aca="false">IF(OR($A11="",NOT(ISNUMBER($C11)),$C11=0),"",SUMIFS('6. Plot Summary'!$R$5:$R$64,'6. Plot Summary'!$B$5:$B$64,$A11)/$C11)</f>
        <v/>
      </c>
      <c r="E11" s="14" t="str">
        <f aca="false">IF(OR($A11="",NOT(ISNUMBER($C11)),$C11&lt;2),"",SQRT(SUMPRODUCT(('6. Plot Summary'!$B$5:$B$64=$A11)*'6. Plot Summary'!$S$5:$S$64*('6. Plot Summary'!$R$5:$R$64-$D11)^2)/($C11-1)))</f>
        <v/>
      </c>
      <c r="F11" s="14" t="str">
        <f aca="false">IF(OR(NOT(ISNUMBER($E11)),NOT(ISNUMBER($C11)),$C11&lt;2),"",$E11/SQRT($C11))</f>
        <v/>
      </c>
      <c r="G11" s="14" t="str">
        <f aca="false">IF(OR($A11="",NOT(ISNUMBER($C11)),$C11&lt;2),"",TINV(1-TARGET_CONFIDENCE,$C11-1))</f>
        <v/>
      </c>
      <c r="H11" s="14" t="str">
        <f aca="false">IF(OR(NOT(ISNUMBER($F11)),NOT(ISNUMBER($G11))),"",$G11*$F11)</f>
        <v/>
      </c>
      <c r="I11" s="14" t="str">
        <f aca="false">IF(OR(NOT(ISNUMBER($H11)),NOT(ISNUMBER($D11)),$D11=0),"",$H11/$D11)</f>
        <v/>
      </c>
      <c r="J11" s="14" t="str">
        <f aca="false">IF($A11="","",TARGET_MARGIN)</f>
        <v/>
      </c>
      <c r="K11" s="14" t="str">
        <f aca="false">IF(NOT(ISNUMBER($I11)),IF($A11="","","Cannot be assessed — at least 2 plots are needed for an interval."),IF($I11&lt;=$J11,"MET: ±"&amp;TEXT($I11,"0%")&amp;" at "&amp;TEXT(TARGET_CONFIDENCE,"0%")&amp;" confidence","NOT MET: ±"&amp;TEXT($I11,"0%")&amp;" against a ±"&amp;TEXT($J11,"0%")&amp;" target"))</f>
        <v/>
      </c>
      <c r="L11" s="14" t="str">
        <f aca="false">IF(OR($A11="",NOT(ISNUMBER($B11)),NOT(ISNUMBER($D11))),"",$D11*$B11)</f>
        <v/>
      </c>
      <c r="M11" s="14" t="str">
        <f aca="false">IF(NOT(ISNUMBER($L11)),"",$L11*CO2E_FACTOR/1000)</f>
        <v/>
      </c>
      <c r="N11" s="14" t="str">
        <f aca="false">IF($A11="","",IF($C11=0,"No plots carry this Site ID — check it matches the Plot &amp; Site Log. ","")&amp;IF(AND($C11&gt;0,$C11&lt;2),"Only one plot: a mean can be reported but never an uncertainty. ","")&amp;IF($B11="","No site area, so no total carbon. ","")&amp;IF(AND(ISNUMBER($I11),$I11&gt;$J11),"Wider than planned. More plots, or stratification, would tighten it — see Part 2, Appendix A8. ",""))</f>
        <v/>
      </c>
    </row>
    <row r="12" customFormat="false" ht="15" hidden="false" customHeight="false" outlineLevel="0" collapsed="false">
      <c r="A12" s="13"/>
      <c r="B12" s="13"/>
      <c r="C12" s="14" t="str">
        <f aca="false">IF($A12="","",SUMIFS('6. Plot Summary'!$S$5:$S$64,'6. Plot Summary'!$B$5:$B$64,$A12))</f>
        <v/>
      </c>
      <c r="D12" s="14" t="str">
        <f aca="false">IF(OR($A12="",NOT(ISNUMBER($C12)),$C12=0),"",SUMIFS('6. Plot Summary'!$R$5:$R$64,'6. Plot Summary'!$B$5:$B$64,$A12)/$C12)</f>
        <v/>
      </c>
      <c r="E12" s="14" t="str">
        <f aca="false">IF(OR($A12="",NOT(ISNUMBER($C12)),$C12&lt;2),"",SQRT(SUMPRODUCT(('6. Plot Summary'!$B$5:$B$64=$A12)*'6. Plot Summary'!$S$5:$S$64*('6. Plot Summary'!$R$5:$R$64-$D12)^2)/($C12-1)))</f>
        <v/>
      </c>
      <c r="F12" s="14" t="str">
        <f aca="false">IF(OR(NOT(ISNUMBER($E12)),NOT(ISNUMBER($C12)),$C12&lt;2),"",$E12/SQRT($C12))</f>
        <v/>
      </c>
      <c r="G12" s="14" t="str">
        <f aca="false">IF(OR($A12="",NOT(ISNUMBER($C12)),$C12&lt;2),"",TINV(1-TARGET_CONFIDENCE,$C12-1))</f>
        <v/>
      </c>
      <c r="H12" s="14" t="str">
        <f aca="false">IF(OR(NOT(ISNUMBER($F12)),NOT(ISNUMBER($G12))),"",$G12*$F12)</f>
        <v/>
      </c>
      <c r="I12" s="14" t="str">
        <f aca="false">IF(OR(NOT(ISNUMBER($H12)),NOT(ISNUMBER($D12)),$D12=0),"",$H12/$D12)</f>
        <v/>
      </c>
      <c r="J12" s="14" t="str">
        <f aca="false">IF($A12="","",TARGET_MARGIN)</f>
        <v/>
      </c>
      <c r="K12" s="14" t="str">
        <f aca="false">IF(NOT(ISNUMBER($I12)),IF($A12="","","Cannot be assessed — at least 2 plots are needed for an interval."),IF($I12&lt;=$J12,"MET: ±"&amp;TEXT($I12,"0%")&amp;" at "&amp;TEXT(TARGET_CONFIDENCE,"0%")&amp;" confidence","NOT MET: ±"&amp;TEXT($I12,"0%")&amp;" against a ±"&amp;TEXT($J12,"0%")&amp;" target"))</f>
        <v/>
      </c>
      <c r="L12" s="14" t="str">
        <f aca="false">IF(OR($A12="",NOT(ISNUMBER($B12)),NOT(ISNUMBER($D12))),"",$D12*$B12)</f>
        <v/>
      </c>
      <c r="M12" s="14" t="str">
        <f aca="false">IF(NOT(ISNUMBER($L12)),"",$L12*CO2E_FACTOR/1000)</f>
        <v/>
      </c>
      <c r="N12" s="14" t="str">
        <f aca="false">IF($A12="","",IF($C12=0,"No plots carry this Site ID — check it matches the Plot &amp; Site Log. ","")&amp;IF(AND($C12&gt;0,$C12&lt;2),"Only one plot: a mean can be reported but never an uncertainty. ","")&amp;IF($B12="","No site area, so no total carbon. ","")&amp;IF(AND(ISNUMBER($I12),$I12&gt;$J12),"Wider than planned. More plots, or stratification, would tighten it — see Part 2, Appendix A8. ",""))</f>
        <v/>
      </c>
    </row>
    <row r="13" customFormat="false" ht="15" hidden="false" customHeight="false" outlineLevel="0" collapsed="false">
      <c r="A13" s="13"/>
      <c r="B13" s="13"/>
      <c r="C13" s="14" t="str">
        <f aca="false">IF($A13="","",SUMIFS('6. Plot Summary'!$S$5:$S$64,'6. Plot Summary'!$B$5:$B$64,$A13))</f>
        <v/>
      </c>
      <c r="D13" s="14" t="str">
        <f aca="false">IF(OR($A13="",NOT(ISNUMBER($C13)),$C13=0),"",SUMIFS('6. Plot Summary'!$R$5:$R$64,'6. Plot Summary'!$B$5:$B$64,$A13)/$C13)</f>
        <v/>
      </c>
      <c r="E13" s="14" t="str">
        <f aca="false">IF(OR($A13="",NOT(ISNUMBER($C13)),$C13&lt;2),"",SQRT(SUMPRODUCT(('6. Plot Summary'!$B$5:$B$64=$A13)*'6. Plot Summary'!$S$5:$S$64*('6. Plot Summary'!$R$5:$R$64-$D13)^2)/($C13-1)))</f>
        <v/>
      </c>
      <c r="F13" s="14" t="str">
        <f aca="false">IF(OR(NOT(ISNUMBER($E13)),NOT(ISNUMBER($C13)),$C13&lt;2),"",$E13/SQRT($C13))</f>
        <v/>
      </c>
      <c r="G13" s="14" t="str">
        <f aca="false">IF(OR($A13="",NOT(ISNUMBER($C13)),$C13&lt;2),"",TINV(1-TARGET_CONFIDENCE,$C13-1))</f>
        <v/>
      </c>
      <c r="H13" s="14" t="str">
        <f aca="false">IF(OR(NOT(ISNUMBER($F13)),NOT(ISNUMBER($G13))),"",$G13*$F13)</f>
        <v/>
      </c>
      <c r="I13" s="14" t="str">
        <f aca="false">IF(OR(NOT(ISNUMBER($H13)),NOT(ISNUMBER($D13)),$D13=0),"",$H13/$D13)</f>
        <v/>
      </c>
      <c r="J13" s="14" t="str">
        <f aca="false">IF($A13="","",TARGET_MARGIN)</f>
        <v/>
      </c>
      <c r="K13" s="14" t="str">
        <f aca="false">IF(NOT(ISNUMBER($I13)),IF($A13="","","Cannot be assessed — at least 2 plots are needed for an interval."),IF($I13&lt;=$J13,"MET: ±"&amp;TEXT($I13,"0%")&amp;" at "&amp;TEXT(TARGET_CONFIDENCE,"0%")&amp;" confidence","NOT MET: ±"&amp;TEXT($I13,"0%")&amp;" against a ±"&amp;TEXT($J13,"0%")&amp;" target"))</f>
        <v/>
      </c>
      <c r="L13" s="14" t="str">
        <f aca="false">IF(OR($A13="",NOT(ISNUMBER($B13)),NOT(ISNUMBER($D13))),"",$D13*$B13)</f>
        <v/>
      </c>
      <c r="M13" s="14" t="str">
        <f aca="false">IF(NOT(ISNUMBER($L13)),"",$L13*CO2E_FACTOR/1000)</f>
        <v/>
      </c>
      <c r="N13" s="14" t="str">
        <f aca="false">IF($A13="","",IF($C13=0,"No plots carry this Site ID — check it matches the Plot &amp; Site Log. ","")&amp;IF(AND($C13&gt;0,$C13&lt;2),"Only one plot: a mean can be reported but never an uncertainty. ","")&amp;IF($B13="","No site area, so no total carbon. ","")&amp;IF(AND(ISNUMBER($I13),$I13&gt;$J13),"Wider than planned. More plots, or stratification, would tighten it — see Part 2, Appendix A8. ",""))</f>
        <v/>
      </c>
    </row>
    <row r="14" customFormat="false" ht="15" hidden="false" customHeight="false" outlineLevel="0" collapsed="false">
      <c r="A14" s="13"/>
      <c r="B14" s="13"/>
      <c r="C14" s="14" t="str">
        <f aca="false">IF($A14="","",SUMIFS('6. Plot Summary'!$S$5:$S$64,'6. Plot Summary'!$B$5:$B$64,$A14))</f>
        <v/>
      </c>
      <c r="D14" s="14" t="str">
        <f aca="false">IF(OR($A14="",NOT(ISNUMBER($C14)),$C14=0),"",SUMIFS('6. Plot Summary'!$R$5:$R$64,'6. Plot Summary'!$B$5:$B$64,$A14)/$C14)</f>
        <v/>
      </c>
      <c r="E14" s="14" t="str">
        <f aca="false">IF(OR($A14="",NOT(ISNUMBER($C14)),$C14&lt;2),"",SQRT(SUMPRODUCT(('6. Plot Summary'!$B$5:$B$64=$A14)*'6. Plot Summary'!$S$5:$S$64*('6. Plot Summary'!$R$5:$R$64-$D14)^2)/($C14-1)))</f>
        <v/>
      </c>
      <c r="F14" s="14" t="str">
        <f aca="false">IF(OR(NOT(ISNUMBER($E14)),NOT(ISNUMBER($C14)),$C14&lt;2),"",$E14/SQRT($C14))</f>
        <v/>
      </c>
      <c r="G14" s="14" t="str">
        <f aca="false">IF(OR($A14="",NOT(ISNUMBER($C14)),$C14&lt;2),"",TINV(1-TARGET_CONFIDENCE,$C14-1))</f>
        <v/>
      </c>
      <c r="H14" s="14" t="str">
        <f aca="false">IF(OR(NOT(ISNUMBER($F14)),NOT(ISNUMBER($G14))),"",$G14*$F14)</f>
        <v/>
      </c>
      <c r="I14" s="14" t="str">
        <f aca="false">IF(OR(NOT(ISNUMBER($H14)),NOT(ISNUMBER($D14)),$D14=0),"",$H14/$D14)</f>
        <v/>
      </c>
      <c r="J14" s="14" t="str">
        <f aca="false">IF($A14="","",TARGET_MARGIN)</f>
        <v/>
      </c>
      <c r="K14" s="14" t="str">
        <f aca="false">IF(NOT(ISNUMBER($I14)),IF($A14="","","Cannot be assessed — at least 2 plots are needed for an interval."),IF($I14&lt;=$J14,"MET: ±"&amp;TEXT($I14,"0%")&amp;" at "&amp;TEXT(TARGET_CONFIDENCE,"0%")&amp;" confidence","NOT MET: ±"&amp;TEXT($I14,"0%")&amp;" against a ±"&amp;TEXT($J14,"0%")&amp;" target"))</f>
        <v/>
      </c>
      <c r="L14" s="14" t="str">
        <f aca="false">IF(OR($A14="",NOT(ISNUMBER($B14)),NOT(ISNUMBER($D14))),"",$D14*$B14)</f>
        <v/>
      </c>
      <c r="M14" s="14" t="str">
        <f aca="false">IF(NOT(ISNUMBER($L14)),"",$L14*CO2E_FACTOR/1000)</f>
        <v/>
      </c>
      <c r="N14" s="14" t="str">
        <f aca="false">IF($A14="","",IF($C14=0,"No plots carry this Site ID — check it matches the Plot &amp; Site Log. ","")&amp;IF(AND($C14&gt;0,$C14&lt;2),"Only one plot: a mean can be reported but never an uncertainty. ","")&amp;IF($B14="","No site area, so no total carbon. ","")&amp;IF(AND(ISNUMBER($I14),$I14&gt;$J14),"Wider than planned. More plots, or stratification, would tighten it — see Part 2, Appendix A8. ",""))</f>
        <v/>
      </c>
    </row>
    <row r="15" customFormat="false" ht="15" hidden="false" customHeight="false" outlineLevel="0" collapsed="false">
      <c r="A15" s="13"/>
      <c r="B15" s="13"/>
      <c r="C15" s="14" t="str">
        <f aca="false">IF($A15="","",SUMIFS('6. Plot Summary'!$S$5:$S$64,'6. Plot Summary'!$B$5:$B$64,$A15))</f>
        <v/>
      </c>
      <c r="D15" s="14" t="str">
        <f aca="false">IF(OR($A15="",NOT(ISNUMBER($C15)),$C15=0),"",SUMIFS('6. Plot Summary'!$R$5:$R$64,'6. Plot Summary'!$B$5:$B$64,$A15)/$C15)</f>
        <v/>
      </c>
      <c r="E15" s="14" t="str">
        <f aca="false">IF(OR($A15="",NOT(ISNUMBER($C15)),$C15&lt;2),"",SQRT(SUMPRODUCT(('6. Plot Summary'!$B$5:$B$64=$A15)*'6. Plot Summary'!$S$5:$S$64*('6. Plot Summary'!$R$5:$R$64-$D15)^2)/($C15-1)))</f>
        <v/>
      </c>
      <c r="F15" s="14" t="str">
        <f aca="false">IF(OR(NOT(ISNUMBER($E15)),NOT(ISNUMBER($C15)),$C15&lt;2),"",$E15/SQRT($C15))</f>
        <v/>
      </c>
      <c r="G15" s="14" t="str">
        <f aca="false">IF(OR($A15="",NOT(ISNUMBER($C15)),$C15&lt;2),"",TINV(1-TARGET_CONFIDENCE,$C15-1))</f>
        <v/>
      </c>
      <c r="H15" s="14" t="str">
        <f aca="false">IF(OR(NOT(ISNUMBER($F15)),NOT(ISNUMBER($G15))),"",$G15*$F15)</f>
        <v/>
      </c>
      <c r="I15" s="14" t="str">
        <f aca="false">IF(OR(NOT(ISNUMBER($H15)),NOT(ISNUMBER($D15)),$D15=0),"",$H15/$D15)</f>
        <v/>
      </c>
      <c r="J15" s="14" t="str">
        <f aca="false">IF($A15="","",TARGET_MARGIN)</f>
        <v/>
      </c>
      <c r="K15" s="14" t="str">
        <f aca="false">IF(NOT(ISNUMBER($I15)),IF($A15="","","Cannot be assessed — at least 2 plots are needed for an interval."),IF($I15&lt;=$J15,"MET: ±"&amp;TEXT($I15,"0%")&amp;" at "&amp;TEXT(TARGET_CONFIDENCE,"0%")&amp;" confidence","NOT MET: ±"&amp;TEXT($I15,"0%")&amp;" against a ±"&amp;TEXT($J15,"0%")&amp;" target"))</f>
        <v/>
      </c>
      <c r="L15" s="14" t="str">
        <f aca="false">IF(OR($A15="",NOT(ISNUMBER($B15)),NOT(ISNUMBER($D15))),"",$D15*$B15)</f>
        <v/>
      </c>
      <c r="M15" s="14" t="str">
        <f aca="false">IF(NOT(ISNUMBER($L15)),"",$L15*CO2E_FACTOR/1000)</f>
        <v/>
      </c>
      <c r="N15" s="14" t="str">
        <f aca="false">IF($A15="","",IF($C15=0,"No plots carry this Site ID — check it matches the Plot &amp; Site Log. ","")&amp;IF(AND($C15&gt;0,$C15&lt;2),"Only one plot: a mean can be reported but never an uncertainty. ","")&amp;IF($B15="","No site area, so no total carbon. ","")&amp;IF(AND(ISNUMBER($I15),$I15&gt;$J15),"Wider than planned. More plots, or stratification, would tighten it — see Part 2, Appendix A8. ",""))</f>
        <v/>
      </c>
    </row>
    <row r="16" customFormat="false" ht="15" hidden="false" customHeight="false" outlineLevel="0" collapsed="false">
      <c r="A16" s="13"/>
      <c r="B16" s="13"/>
      <c r="C16" s="14" t="str">
        <f aca="false">IF($A16="","",SUMIFS('6. Plot Summary'!$S$5:$S$64,'6. Plot Summary'!$B$5:$B$64,$A16))</f>
        <v/>
      </c>
      <c r="D16" s="14" t="str">
        <f aca="false">IF(OR($A16="",NOT(ISNUMBER($C16)),$C16=0),"",SUMIFS('6. Plot Summary'!$R$5:$R$64,'6. Plot Summary'!$B$5:$B$64,$A16)/$C16)</f>
        <v/>
      </c>
      <c r="E16" s="14" t="str">
        <f aca="false">IF(OR($A16="",NOT(ISNUMBER($C16)),$C16&lt;2),"",SQRT(SUMPRODUCT(('6. Plot Summary'!$B$5:$B$64=$A16)*'6. Plot Summary'!$S$5:$S$64*('6. Plot Summary'!$R$5:$R$64-$D16)^2)/($C16-1)))</f>
        <v/>
      </c>
      <c r="F16" s="14" t="str">
        <f aca="false">IF(OR(NOT(ISNUMBER($E16)),NOT(ISNUMBER($C16)),$C16&lt;2),"",$E16/SQRT($C16))</f>
        <v/>
      </c>
      <c r="G16" s="14" t="str">
        <f aca="false">IF(OR($A16="",NOT(ISNUMBER($C16)),$C16&lt;2),"",TINV(1-TARGET_CONFIDENCE,$C16-1))</f>
        <v/>
      </c>
      <c r="H16" s="14" t="str">
        <f aca="false">IF(OR(NOT(ISNUMBER($F16)),NOT(ISNUMBER($G16))),"",$G16*$F16)</f>
        <v/>
      </c>
      <c r="I16" s="14" t="str">
        <f aca="false">IF(OR(NOT(ISNUMBER($H16)),NOT(ISNUMBER($D16)),$D16=0),"",$H16/$D16)</f>
        <v/>
      </c>
      <c r="J16" s="14" t="str">
        <f aca="false">IF($A16="","",TARGET_MARGIN)</f>
        <v/>
      </c>
      <c r="K16" s="14" t="str">
        <f aca="false">IF(NOT(ISNUMBER($I16)),IF($A16="","","Cannot be assessed — at least 2 plots are needed for an interval."),IF($I16&lt;=$J16,"MET: ±"&amp;TEXT($I16,"0%")&amp;" at "&amp;TEXT(TARGET_CONFIDENCE,"0%")&amp;" confidence","NOT MET: ±"&amp;TEXT($I16,"0%")&amp;" against a ±"&amp;TEXT($J16,"0%")&amp;" target"))</f>
        <v/>
      </c>
      <c r="L16" s="14" t="str">
        <f aca="false">IF(OR($A16="",NOT(ISNUMBER($B16)),NOT(ISNUMBER($D16))),"",$D16*$B16)</f>
        <v/>
      </c>
      <c r="M16" s="14" t="str">
        <f aca="false">IF(NOT(ISNUMBER($L16)),"",$L16*CO2E_FACTOR/1000)</f>
        <v/>
      </c>
      <c r="N16" s="14" t="str">
        <f aca="false">IF($A16="","",IF($C16=0,"No plots carry this Site ID — check it matches the Plot &amp; Site Log. ","")&amp;IF(AND($C16&gt;0,$C16&lt;2),"Only one plot: a mean can be reported but never an uncertainty. ","")&amp;IF($B16="","No site area, so no total carbon. ","")&amp;IF(AND(ISNUMBER($I16),$I16&gt;$J16),"Wider than planned. More plots, or stratification, would tighten it — see Part 2, Appendix A8. ",""))</f>
        <v/>
      </c>
    </row>
    <row r="17" customFormat="false" ht="15" hidden="false" customHeight="false" outlineLevel="0" collapsed="false">
      <c r="A17" s="13"/>
      <c r="B17" s="13"/>
      <c r="C17" s="14" t="str">
        <f aca="false">IF($A17="","",SUMIFS('6. Plot Summary'!$S$5:$S$64,'6. Plot Summary'!$B$5:$B$64,$A17))</f>
        <v/>
      </c>
      <c r="D17" s="14" t="str">
        <f aca="false">IF(OR($A17="",NOT(ISNUMBER($C17)),$C17=0),"",SUMIFS('6. Plot Summary'!$R$5:$R$64,'6. Plot Summary'!$B$5:$B$64,$A17)/$C17)</f>
        <v/>
      </c>
      <c r="E17" s="14" t="str">
        <f aca="false">IF(OR($A17="",NOT(ISNUMBER($C17)),$C17&lt;2),"",SQRT(SUMPRODUCT(('6. Plot Summary'!$B$5:$B$64=$A17)*'6. Plot Summary'!$S$5:$S$64*('6. Plot Summary'!$R$5:$R$64-$D17)^2)/($C17-1)))</f>
        <v/>
      </c>
      <c r="F17" s="14" t="str">
        <f aca="false">IF(OR(NOT(ISNUMBER($E17)),NOT(ISNUMBER($C17)),$C17&lt;2),"",$E17/SQRT($C17))</f>
        <v/>
      </c>
      <c r="G17" s="14" t="str">
        <f aca="false">IF(OR($A17="",NOT(ISNUMBER($C17)),$C17&lt;2),"",TINV(1-TARGET_CONFIDENCE,$C17-1))</f>
        <v/>
      </c>
      <c r="H17" s="14" t="str">
        <f aca="false">IF(OR(NOT(ISNUMBER($F17)),NOT(ISNUMBER($G17))),"",$G17*$F17)</f>
        <v/>
      </c>
      <c r="I17" s="14" t="str">
        <f aca="false">IF(OR(NOT(ISNUMBER($H17)),NOT(ISNUMBER($D17)),$D17=0),"",$H17/$D17)</f>
        <v/>
      </c>
      <c r="J17" s="14" t="str">
        <f aca="false">IF($A17="","",TARGET_MARGIN)</f>
        <v/>
      </c>
      <c r="K17" s="14" t="str">
        <f aca="false">IF(NOT(ISNUMBER($I17)),IF($A17="","","Cannot be assessed — at least 2 plots are needed for an interval."),IF($I17&lt;=$J17,"MET: ±"&amp;TEXT($I17,"0%")&amp;" at "&amp;TEXT(TARGET_CONFIDENCE,"0%")&amp;" confidence","NOT MET: ±"&amp;TEXT($I17,"0%")&amp;" against a ±"&amp;TEXT($J17,"0%")&amp;" target"))</f>
        <v/>
      </c>
      <c r="L17" s="14" t="str">
        <f aca="false">IF(OR($A17="",NOT(ISNUMBER($B17)),NOT(ISNUMBER($D17))),"",$D17*$B17)</f>
        <v/>
      </c>
      <c r="M17" s="14" t="str">
        <f aca="false">IF(NOT(ISNUMBER($L17)),"",$L17*CO2E_FACTOR/1000)</f>
        <v/>
      </c>
      <c r="N17" s="14" t="str">
        <f aca="false">IF($A17="","",IF($C17=0,"No plots carry this Site ID — check it matches the Plot &amp; Site Log. ","")&amp;IF(AND($C17&gt;0,$C17&lt;2),"Only one plot: a mean can be reported but never an uncertainty. ","")&amp;IF($B17="","No site area, so no total carbon. ","")&amp;IF(AND(ISNUMBER($I17),$I17&gt;$J17),"Wider than planned. More plots, or stratification, would tighten it — see Part 2, Appendix A8. ",""))</f>
        <v/>
      </c>
    </row>
    <row r="18" customFormat="false" ht="15" hidden="false" customHeight="false" outlineLevel="0" collapsed="false">
      <c r="A18" s="13"/>
      <c r="B18" s="13"/>
      <c r="C18" s="14" t="str">
        <f aca="false">IF($A18="","",SUMIFS('6. Plot Summary'!$S$5:$S$64,'6. Plot Summary'!$B$5:$B$64,$A18))</f>
        <v/>
      </c>
      <c r="D18" s="14" t="str">
        <f aca="false">IF(OR($A18="",NOT(ISNUMBER($C18)),$C18=0),"",SUMIFS('6. Plot Summary'!$R$5:$R$64,'6. Plot Summary'!$B$5:$B$64,$A18)/$C18)</f>
        <v/>
      </c>
      <c r="E18" s="14" t="str">
        <f aca="false">IF(OR($A18="",NOT(ISNUMBER($C18)),$C18&lt;2),"",SQRT(SUMPRODUCT(('6. Plot Summary'!$B$5:$B$64=$A18)*'6. Plot Summary'!$S$5:$S$64*('6. Plot Summary'!$R$5:$R$64-$D18)^2)/($C18-1)))</f>
        <v/>
      </c>
      <c r="F18" s="14" t="str">
        <f aca="false">IF(OR(NOT(ISNUMBER($E18)),NOT(ISNUMBER($C18)),$C18&lt;2),"",$E18/SQRT($C18))</f>
        <v/>
      </c>
      <c r="G18" s="14" t="str">
        <f aca="false">IF(OR($A18="",NOT(ISNUMBER($C18)),$C18&lt;2),"",TINV(1-TARGET_CONFIDENCE,$C18-1))</f>
        <v/>
      </c>
      <c r="H18" s="14" t="str">
        <f aca="false">IF(OR(NOT(ISNUMBER($F18)),NOT(ISNUMBER($G18))),"",$G18*$F18)</f>
        <v/>
      </c>
      <c r="I18" s="14" t="str">
        <f aca="false">IF(OR(NOT(ISNUMBER($H18)),NOT(ISNUMBER($D18)),$D18=0),"",$H18/$D18)</f>
        <v/>
      </c>
      <c r="J18" s="14" t="str">
        <f aca="false">IF($A18="","",TARGET_MARGIN)</f>
        <v/>
      </c>
      <c r="K18" s="14" t="str">
        <f aca="false">IF(NOT(ISNUMBER($I18)),IF($A18="","","Cannot be assessed — at least 2 plots are needed for an interval."),IF($I18&lt;=$J18,"MET: ±"&amp;TEXT($I18,"0%")&amp;" at "&amp;TEXT(TARGET_CONFIDENCE,"0%")&amp;" confidence","NOT MET: ±"&amp;TEXT($I18,"0%")&amp;" against a ±"&amp;TEXT($J18,"0%")&amp;" target"))</f>
        <v/>
      </c>
      <c r="L18" s="14" t="str">
        <f aca="false">IF(OR($A18="",NOT(ISNUMBER($B18)),NOT(ISNUMBER($D18))),"",$D18*$B18)</f>
        <v/>
      </c>
      <c r="M18" s="14" t="str">
        <f aca="false">IF(NOT(ISNUMBER($L18)),"",$L18*CO2E_FACTOR/1000)</f>
        <v/>
      </c>
      <c r="N18" s="14" t="str">
        <f aca="false">IF($A18="","",IF($C18=0,"No plots carry this Site ID — check it matches the Plot &amp; Site Log. ","")&amp;IF(AND($C18&gt;0,$C18&lt;2),"Only one plot: a mean can be reported but never an uncertainty. ","")&amp;IF($B18="","No site area, so no total carbon. ","")&amp;IF(AND(ISNUMBER($I18),$I18&gt;$J18),"Wider than planned. More plots, or stratification, would tighten it — see Part 2, Appendix A8. ",""))</f>
        <v/>
      </c>
    </row>
    <row r="21" customFormat="false" ht="19.5" hidden="false" customHeight="true" outlineLevel="0" collapsed="false">
      <c r="A21" s="17" t="s">
        <v>220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customFormat="false" ht="15" hidden="false" customHeight="false" outlineLevel="0" collapsed="false">
      <c r="A22" s="4" t="s">
        <v>221</v>
      </c>
      <c r="B22" s="18" t="n">
        <f aca="false">IF(SUM($B$5:$B$18)=0,"",SUM($B$5:$B$18))</f>
        <v>120000</v>
      </c>
    </row>
    <row r="23" customFormat="false" ht="15" hidden="false" customHeight="false" outlineLevel="0" collapsed="false">
      <c r="A23" s="4" t="s">
        <v>218</v>
      </c>
      <c r="B23" s="18" t="n">
        <f aca="false">IF(SUM($L$5:$L$18)=0,"",SUM($L$5:$L$18))</f>
        <v>1730827.76900872</v>
      </c>
    </row>
    <row r="24" customFormat="false" ht="15" hidden="false" customHeight="false" outlineLevel="0" collapsed="false">
      <c r="A24" s="4" t="s">
        <v>222</v>
      </c>
      <c r="B24" s="18" t="n">
        <f aca="false">IF(OR($B$22="",$B$23=""),"",$B$23/$B$22)</f>
        <v>14.4235647417393</v>
      </c>
    </row>
    <row r="25" customFormat="false" ht="15" hidden="false" customHeight="false" outlineLevel="0" collapsed="false">
      <c r="A25" s="4" t="s">
        <v>219</v>
      </c>
      <c r="B25" s="18" t="n">
        <f aca="false">IF($B$23="","",$B$23*CO2E_FACTOR/1000)</f>
        <v>6352.137912262</v>
      </c>
    </row>
    <row r="27" customFormat="false" ht="15" hidden="false" customHeight="false" outlineLevel="0" collapsed="false">
      <c r="A27" s="4" t="s">
        <v>223</v>
      </c>
      <c r="B27" s="3" t="str">
        <f aca="false">REPORTING_DEPTH_CM&amp;" cm"</f>
        <v>30 cm</v>
      </c>
    </row>
    <row r="28" customFormat="false" ht="30" hidden="false" customHeight="true" outlineLevel="0" collapsed="false">
      <c r="A28" s="11" t="s">
        <v>224</v>
      </c>
      <c r="B28" s="11"/>
      <c r="C28" s="11"/>
      <c r="D28" s="11"/>
      <c r="E28" s="11"/>
      <c r="F28" s="11"/>
      <c r="G28" s="11"/>
      <c r="H28" s="11"/>
      <c r="I28" s="11"/>
      <c r="J28" s="11"/>
    </row>
  </sheetData>
  <mergeCells count="3">
    <mergeCell ref="A2:N2"/>
    <mergeCell ref="A21:N21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82"/>
  </cols>
  <sheetData>
    <row r="1" customFormat="false" ht="17.35" hidden="false" customHeight="false" outlineLevel="0" collapsed="false">
      <c r="A1" s="10" t="s">
        <v>225</v>
      </c>
    </row>
    <row r="2" customFormat="false" ht="15" hidden="false" customHeight="false" outlineLevel="0" collapsed="false">
      <c r="A2" s="19" t="s">
        <v>226</v>
      </c>
    </row>
    <row r="4" customFormat="false" ht="15" hidden="false" customHeight="false" outlineLevel="0" collapsed="false">
      <c r="A4" s="20" t="s">
        <v>227</v>
      </c>
      <c r="B4" s="20" t="s">
        <v>228</v>
      </c>
      <c r="C4" s="20" t="s">
        <v>229</v>
      </c>
    </row>
    <row r="5" customFormat="false" ht="30" hidden="false" customHeight="true" outlineLevel="0" collapsed="false">
      <c r="A5" s="21" t="s">
        <v>230</v>
      </c>
      <c r="B5" s="13" t="n">
        <v>0.5</v>
      </c>
      <c r="C5" s="2" t="s">
        <v>231</v>
      </c>
    </row>
    <row r="6" customFormat="false" ht="30" hidden="false" customHeight="true" outlineLevel="0" collapsed="false">
      <c r="A6" s="21" t="s">
        <v>232</v>
      </c>
      <c r="B6" s="13" t="n">
        <v>0.5</v>
      </c>
      <c r="C6" s="2" t="s">
        <v>233</v>
      </c>
    </row>
    <row r="7" customFormat="false" ht="30" hidden="false" customHeight="true" outlineLevel="0" collapsed="false">
      <c r="A7" s="21" t="s">
        <v>234</v>
      </c>
      <c r="B7" s="13" t="n">
        <v>3.67</v>
      </c>
      <c r="C7" s="2" t="s">
        <v>235</v>
      </c>
    </row>
    <row r="8" customFormat="false" ht="30" hidden="false" customHeight="true" outlineLevel="0" collapsed="false">
      <c r="A8" s="21" t="s">
        <v>236</v>
      </c>
      <c r="B8" s="13" t="n">
        <v>30</v>
      </c>
      <c r="C8" s="2" t="s">
        <v>237</v>
      </c>
    </row>
    <row r="9" customFormat="false" ht="30" hidden="false" customHeight="true" outlineLevel="0" collapsed="false">
      <c r="A9" s="21" t="s">
        <v>238</v>
      </c>
      <c r="B9" s="13" t="n">
        <v>400</v>
      </c>
      <c r="C9" s="2" t="s">
        <v>239</v>
      </c>
    </row>
    <row r="10" customFormat="false" ht="30" hidden="false" customHeight="true" outlineLevel="0" collapsed="false">
      <c r="A10" s="21" t="s">
        <v>240</v>
      </c>
      <c r="B10" s="13" t="n">
        <v>100</v>
      </c>
      <c r="C10" s="2" t="s">
        <v>241</v>
      </c>
    </row>
    <row r="11" customFormat="false" ht="30" hidden="false" customHeight="true" outlineLevel="0" collapsed="false">
      <c r="A11" s="21" t="s">
        <v>242</v>
      </c>
      <c r="B11" s="13" t="n">
        <v>1</v>
      </c>
      <c r="C11" s="2" t="s">
        <v>243</v>
      </c>
    </row>
    <row r="12" customFormat="false" ht="30" hidden="false" customHeight="true" outlineLevel="0" collapsed="false">
      <c r="A12" s="21" t="s">
        <v>244</v>
      </c>
      <c r="B12" s="13" t="n">
        <v>0.2</v>
      </c>
      <c r="C12" s="2" t="s">
        <v>245</v>
      </c>
    </row>
    <row r="13" customFormat="false" ht="30" hidden="false" customHeight="true" outlineLevel="0" collapsed="false">
      <c r="A13" s="21" t="s">
        <v>246</v>
      </c>
      <c r="B13" s="13" t="n">
        <v>0.9</v>
      </c>
      <c r="C13" s="2" t="s">
        <v>247</v>
      </c>
    </row>
    <row r="14" customFormat="false" ht="30" hidden="false" customHeight="true" outlineLevel="0" collapsed="false">
      <c r="A14" s="21" t="s">
        <v>248</v>
      </c>
      <c r="B14" s="13" t="n">
        <v>1.576</v>
      </c>
      <c r="C14" s="2" t="s">
        <v>249</v>
      </c>
    </row>
    <row r="15" customFormat="false" ht="30" hidden="false" customHeight="true" outlineLevel="0" collapsed="false">
      <c r="A15" s="21" t="s">
        <v>250</v>
      </c>
      <c r="B15" s="13" t="n">
        <v>0.615</v>
      </c>
      <c r="C15" s="2" t="s">
        <v>251</v>
      </c>
    </row>
    <row r="16" customFormat="false" ht="30" hidden="false" customHeight="true" outlineLevel="0" collapsed="false">
      <c r="A16" s="21" t="s">
        <v>252</v>
      </c>
      <c r="B16" s="13" t="n">
        <v>0.222</v>
      </c>
      <c r="C16" s="2" t="s">
        <v>253</v>
      </c>
    </row>
    <row r="17" customFormat="false" ht="30" hidden="false" customHeight="true" outlineLevel="0" collapsed="false">
      <c r="A17" s="21" t="s">
        <v>254</v>
      </c>
      <c r="B17" s="13" t="n">
        <v>0.1</v>
      </c>
      <c r="C17" s="2" t="s">
        <v>255</v>
      </c>
    </row>
    <row r="18" customFormat="false" ht="30" hidden="false" customHeight="true" outlineLevel="0" collapsed="false">
      <c r="A18" s="21" t="s">
        <v>256</v>
      </c>
      <c r="B18" s="13" t="n">
        <v>0.4</v>
      </c>
      <c r="C18" s="2" t="s">
        <v>257</v>
      </c>
    </row>
    <row r="19" customFormat="false" ht="30" hidden="false" customHeight="true" outlineLevel="0" collapsed="false">
      <c r="A19" s="21" t="s">
        <v>258</v>
      </c>
      <c r="B19" s="13" t="n">
        <v>200</v>
      </c>
      <c r="C19" s="2" t="s">
        <v>259</v>
      </c>
    </row>
    <row r="20" customFormat="false" ht="30" hidden="false" customHeight="true" outlineLevel="0" collapsed="false">
      <c r="A20" s="21" t="s">
        <v>260</v>
      </c>
      <c r="B20" s="13" t="n">
        <v>0.1</v>
      </c>
      <c r="C20" s="2" t="s">
        <v>261</v>
      </c>
    </row>
    <row r="21" customFormat="false" ht="30" hidden="false" customHeight="true" outlineLevel="0" collapsed="false">
      <c r="A21" s="21" t="s">
        <v>262</v>
      </c>
      <c r="B21" s="13" t="n">
        <v>2</v>
      </c>
      <c r="C21" s="2" t="s">
        <v>263</v>
      </c>
    </row>
    <row r="22" customFormat="false" ht="30" hidden="false" customHeight="true" outlineLevel="0" collapsed="false">
      <c r="A22" s="21" t="s">
        <v>264</v>
      </c>
      <c r="B22" s="13" t="n">
        <v>60</v>
      </c>
      <c r="C22" s="2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8" min="4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10" t="s">
        <v>266</v>
      </c>
    </row>
    <row r="2" customFormat="false" ht="15" hidden="false" customHeight="false" outlineLevel="0" collapsed="false">
      <c r="A2" s="19" t="s">
        <v>267</v>
      </c>
    </row>
    <row r="3" customFormat="false" ht="15" hidden="false" customHeight="false" outlineLevel="0" collapsed="false">
      <c r="A3" s="19" t="s">
        <v>268</v>
      </c>
    </row>
    <row r="4" customFormat="false" ht="15" hidden="false" customHeight="false" outlineLevel="0" collapsed="false">
      <c r="A4" s="19" t="s">
        <v>269</v>
      </c>
    </row>
    <row r="5" customFormat="false" ht="15" hidden="false" customHeight="false" outlineLevel="0" collapsed="false">
      <c r="A5" s="19" t="s">
        <v>270</v>
      </c>
    </row>
    <row r="6" customFormat="false" ht="15" hidden="false" customHeight="false" outlineLevel="0" collapsed="false">
      <c r="A6" s="19" t="s">
        <v>271</v>
      </c>
    </row>
    <row r="7" customFormat="false" ht="15" hidden="false" customHeight="false" outlineLevel="0" collapsed="false">
      <c r="A7" s="19" t="s">
        <v>272</v>
      </c>
    </row>
    <row r="9" customFormat="false" ht="30" hidden="false" customHeight="true" outlineLevel="0" collapsed="false">
      <c r="A9" s="22" t="s">
        <v>273</v>
      </c>
      <c r="B9" s="22"/>
      <c r="C9" s="22"/>
      <c r="D9" s="22"/>
      <c r="E9" s="22"/>
      <c r="F9" s="22"/>
      <c r="G9" s="22"/>
      <c r="H9" s="22"/>
      <c r="I9" s="22"/>
      <c r="J9" s="22"/>
    </row>
    <row r="11" customFormat="false" ht="42" hidden="false" customHeight="true" outlineLevel="0" collapsed="false">
      <c r="A11" s="12" t="s">
        <v>274</v>
      </c>
      <c r="B11" s="12" t="s">
        <v>275</v>
      </c>
      <c r="C11" s="12" t="s">
        <v>276</v>
      </c>
      <c r="D11" s="12" t="s">
        <v>277</v>
      </c>
      <c r="E11" s="12" t="s">
        <v>278</v>
      </c>
      <c r="F11" s="12" t="s">
        <v>279</v>
      </c>
      <c r="G11" s="12" t="s">
        <v>280</v>
      </c>
      <c r="H11" s="12" t="s">
        <v>281</v>
      </c>
      <c r="I11" s="12" t="s">
        <v>282</v>
      </c>
      <c r="J11" s="12" t="s">
        <v>130</v>
      </c>
      <c r="L11" s="4" t="s">
        <v>283</v>
      </c>
    </row>
    <row r="12" customFormat="false" ht="15" hidden="false" customHeight="false" outlineLevel="0" collapsed="false">
      <c r="A12" s="23" t="s">
        <v>284</v>
      </c>
      <c r="B12" s="23" t="s">
        <v>285</v>
      </c>
      <c r="C12" s="24" t="s">
        <v>286</v>
      </c>
      <c r="D12" s="23" t="n">
        <v>0.0864</v>
      </c>
      <c r="E12" s="23" t="n">
        <v>2.3715</v>
      </c>
      <c r="F12" s="23" t="n">
        <v>0.0353</v>
      </c>
      <c r="G12" s="23" t="n">
        <v>2.0249</v>
      </c>
      <c r="H12" s="23" t="n">
        <v>0.7048</v>
      </c>
      <c r="I12" s="23" t="s">
        <v>287</v>
      </c>
      <c r="J12" s="23" t="s">
        <v>284</v>
      </c>
      <c r="L12" s="3" t="s">
        <v>284</v>
      </c>
    </row>
    <row r="13" customFormat="false" ht="15" hidden="false" customHeight="false" outlineLevel="0" collapsed="false">
      <c r="A13" s="23" t="s">
        <v>284</v>
      </c>
      <c r="B13" s="23" t="s">
        <v>285</v>
      </c>
      <c r="C13" s="24" t="s">
        <v>288</v>
      </c>
      <c r="D13" s="23" t="n">
        <v>0.0226</v>
      </c>
      <c r="E13" s="23" t="n">
        <v>2.2151</v>
      </c>
      <c r="F13" s="23" t="n">
        <v>0.009</v>
      </c>
      <c r="G13" s="23" t="n">
        <v>1.8677</v>
      </c>
      <c r="H13" s="23" t="n">
        <v>0.7144</v>
      </c>
      <c r="I13" s="23" t="s">
        <v>287</v>
      </c>
      <c r="J13" s="23" t="s">
        <v>284</v>
      </c>
      <c r="L13" s="3" t="s">
        <v>289</v>
      </c>
    </row>
    <row r="14" customFormat="false" ht="15" hidden="false" customHeight="false" outlineLevel="0" collapsed="false">
      <c r="A14" s="23" t="s">
        <v>284</v>
      </c>
      <c r="B14" s="23" t="s">
        <v>285</v>
      </c>
      <c r="C14" s="24" t="s">
        <v>290</v>
      </c>
      <c r="D14" s="23" t="n">
        <v>0.0186</v>
      </c>
      <c r="E14" s="23" t="n">
        <v>2.4462</v>
      </c>
      <c r="F14" s="23" t="n">
        <v>0.0448</v>
      </c>
      <c r="G14" s="23" t="n">
        <v>2.6855</v>
      </c>
      <c r="H14" s="23" t="n">
        <v>-0.5911</v>
      </c>
      <c r="I14" s="23" t="s">
        <v>287</v>
      </c>
      <c r="J14" s="23" t="s">
        <v>284</v>
      </c>
      <c r="L14" s="3" t="s">
        <v>291</v>
      </c>
    </row>
    <row r="15" customFormat="false" ht="15" hidden="false" customHeight="false" outlineLevel="0" collapsed="false">
      <c r="A15" s="23" t="s">
        <v>284</v>
      </c>
      <c r="B15" s="23" t="s">
        <v>285</v>
      </c>
      <c r="C15" s="24" t="s">
        <v>292</v>
      </c>
      <c r="D15" s="23" t="n">
        <v>0.0385</v>
      </c>
      <c r="E15" s="23" t="n">
        <v>1.6255</v>
      </c>
      <c r="F15" s="23" t="n">
        <v>0.0869</v>
      </c>
      <c r="G15" s="23" t="n">
        <v>1.8541</v>
      </c>
      <c r="H15" s="23" t="n">
        <v>-0.5491</v>
      </c>
      <c r="I15" s="23" t="s">
        <v>287</v>
      </c>
      <c r="J15" s="23" t="s">
        <v>284</v>
      </c>
      <c r="L15" s="3" t="s">
        <v>136</v>
      </c>
    </row>
    <row r="16" customFormat="false" ht="15" hidden="false" customHeight="false" outlineLevel="0" collapsed="false">
      <c r="A16" s="23" t="s">
        <v>289</v>
      </c>
      <c r="B16" s="23" t="s">
        <v>293</v>
      </c>
      <c r="C16" s="24" t="s">
        <v>286</v>
      </c>
      <c r="D16" s="23" t="n">
        <v>0.0564</v>
      </c>
      <c r="E16" s="23" t="n">
        <v>2.4347</v>
      </c>
      <c r="F16" s="23" t="n">
        <v>0.0276</v>
      </c>
      <c r="G16" s="23" t="n">
        <v>1.6868</v>
      </c>
      <c r="H16" s="23" t="n">
        <v>1.0953</v>
      </c>
      <c r="I16" s="23" t="s">
        <v>287</v>
      </c>
      <c r="J16" s="23" t="s">
        <v>289</v>
      </c>
      <c r="L16" s="3" t="s">
        <v>294</v>
      </c>
    </row>
    <row r="17" customFormat="false" ht="15" hidden="false" customHeight="false" outlineLevel="0" collapsed="false">
      <c r="A17" s="23" t="s">
        <v>289</v>
      </c>
      <c r="B17" s="23" t="s">
        <v>293</v>
      </c>
      <c r="C17" s="24" t="s">
        <v>288</v>
      </c>
      <c r="D17" s="23" t="n">
        <v>0.0153</v>
      </c>
      <c r="E17" s="23" t="n">
        <v>2.211</v>
      </c>
      <c r="F17" s="23" t="n">
        <v>0.0101</v>
      </c>
      <c r="G17" s="23" t="n">
        <v>1.8486</v>
      </c>
      <c r="H17" s="23" t="n">
        <v>0.5525</v>
      </c>
      <c r="I17" s="23" t="s">
        <v>287</v>
      </c>
      <c r="J17" s="23" t="s">
        <v>289</v>
      </c>
      <c r="L17" s="3" t="s">
        <v>295</v>
      </c>
    </row>
    <row r="18" customFormat="false" ht="15" hidden="false" customHeight="false" outlineLevel="0" collapsed="false">
      <c r="A18" s="23" t="s">
        <v>289</v>
      </c>
      <c r="B18" s="23" t="s">
        <v>293</v>
      </c>
      <c r="C18" s="24" t="s">
        <v>290</v>
      </c>
      <c r="D18" s="23" t="n">
        <v>0.0194</v>
      </c>
      <c r="E18" s="23" t="n">
        <v>2.2408</v>
      </c>
      <c r="F18" s="23" t="n">
        <v>0.0313</v>
      </c>
      <c r="G18" s="23" t="n">
        <v>2.9974</v>
      </c>
      <c r="H18" s="23" t="n">
        <v>-1.0383</v>
      </c>
      <c r="I18" s="23" t="s">
        <v>287</v>
      </c>
      <c r="J18" s="23" t="s">
        <v>289</v>
      </c>
      <c r="L18" s="3" t="s">
        <v>296</v>
      </c>
    </row>
    <row r="19" customFormat="false" ht="15" hidden="false" customHeight="false" outlineLevel="0" collapsed="false">
      <c r="A19" s="23" t="s">
        <v>289</v>
      </c>
      <c r="B19" s="23" t="s">
        <v>293</v>
      </c>
      <c r="C19" s="24" t="s">
        <v>292</v>
      </c>
      <c r="D19" s="23" t="n">
        <v>0.0935</v>
      </c>
      <c r="E19" s="23" t="n">
        <v>1.6106</v>
      </c>
      <c r="F19" s="23" t="n">
        <v>0.1379</v>
      </c>
      <c r="G19" s="23" t="n">
        <v>2.3981</v>
      </c>
      <c r="H19" s="23" t="n">
        <v>-1.0418</v>
      </c>
      <c r="I19" s="23" t="s">
        <v>287</v>
      </c>
      <c r="J19" s="23" t="s">
        <v>289</v>
      </c>
      <c r="L19" s="3" t="s">
        <v>297</v>
      </c>
    </row>
    <row r="20" customFormat="false" ht="15" hidden="false" customHeight="false" outlineLevel="0" collapsed="false">
      <c r="A20" s="23" t="s">
        <v>291</v>
      </c>
      <c r="B20" s="23" t="s">
        <v>298</v>
      </c>
      <c r="C20" s="24" t="s">
        <v>286</v>
      </c>
      <c r="D20" s="23" t="n">
        <v>0.0741</v>
      </c>
      <c r="E20" s="23" t="n">
        <v>2.3875</v>
      </c>
      <c r="F20" s="23" t="n">
        <v>0.0283</v>
      </c>
      <c r="G20" s="23" t="n">
        <v>1.8298</v>
      </c>
      <c r="H20" s="23" t="n">
        <v>0.9546</v>
      </c>
      <c r="I20" s="23" t="s">
        <v>287</v>
      </c>
      <c r="J20" s="23" t="s">
        <v>291</v>
      </c>
      <c r="L20" s="3" t="s">
        <v>299</v>
      </c>
    </row>
    <row r="21" customFormat="false" ht="15" hidden="false" customHeight="false" outlineLevel="0" collapsed="false">
      <c r="A21" s="23" t="s">
        <v>291</v>
      </c>
      <c r="B21" s="23" t="s">
        <v>298</v>
      </c>
      <c r="C21" s="24" t="s">
        <v>288</v>
      </c>
      <c r="D21" s="23" t="n">
        <v>0.0182</v>
      </c>
      <c r="E21" s="23" t="n">
        <v>2.2181</v>
      </c>
      <c r="F21" s="23" t="n">
        <v>0.012</v>
      </c>
      <c r="G21" s="23" t="n">
        <v>1.6378</v>
      </c>
      <c r="H21" s="23" t="n">
        <v>0.7746</v>
      </c>
      <c r="I21" s="23" t="s">
        <v>287</v>
      </c>
      <c r="J21" s="23" t="s">
        <v>291</v>
      </c>
      <c r="L21" s="3" t="s">
        <v>135</v>
      </c>
    </row>
    <row r="22" customFormat="false" ht="15" hidden="false" customHeight="false" outlineLevel="0" collapsed="false">
      <c r="A22" s="23" t="s">
        <v>291</v>
      </c>
      <c r="B22" s="23" t="s">
        <v>298</v>
      </c>
      <c r="C22" s="24" t="s">
        <v>290</v>
      </c>
      <c r="D22" s="23" t="n">
        <v>0.0227</v>
      </c>
      <c r="E22" s="23" t="n">
        <v>2.2797</v>
      </c>
      <c r="F22" s="23" t="n">
        <v>0.0338</v>
      </c>
      <c r="G22" s="23" t="n">
        <v>2.6624</v>
      </c>
      <c r="H22" s="23" t="n">
        <v>-0.5743</v>
      </c>
      <c r="I22" s="23" t="s">
        <v>287</v>
      </c>
      <c r="J22" s="23" t="s">
        <v>291</v>
      </c>
      <c r="L22" s="3" t="s">
        <v>300</v>
      </c>
    </row>
    <row r="23" customFormat="false" ht="15" hidden="false" customHeight="false" outlineLevel="0" collapsed="false">
      <c r="A23" s="23" t="s">
        <v>291</v>
      </c>
      <c r="B23" s="23" t="s">
        <v>298</v>
      </c>
      <c r="C23" s="24" t="s">
        <v>292</v>
      </c>
      <c r="D23" s="23" t="n">
        <v>0.0764</v>
      </c>
      <c r="E23" s="23" t="n">
        <v>1.5861</v>
      </c>
      <c r="F23" s="23" t="n">
        <v>0.1699</v>
      </c>
      <c r="G23" s="23" t="n">
        <v>2.3289</v>
      </c>
      <c r="H23" s="23" t="n">
        <v>-1.1316</v>
      </c>
      <c r="I23" s="23" t="s">
        <v>287</v>
      </c>
      <c r="J23" s="23" t="s">
        <v>291</v>
      </c>
      <c r="L23" s="3" t="s">
        <v>301</v>
      </c>
    </row>
    <row r="24" customFormat="false" ht="15" hidden="false" customHeight="false" outlineLevel="0" collapsed="false">
      <c r="A24" s="23" t="s">
        <v>136</v>
      </c>
      <c r="B24" s="23" t="s">
        <v>302</v>
      </c>
      <c r="C24" s="24" t="s">
        <v>286</v>
      </c>
      <c r="D24" s="23" t="n">
        <v>0.0534</v>
      </c>
      <c r="E24" s="23" t="n">
        <v>2.403</v>
      </c>
      <c r="F24" s="23" t="n">
        <v>0.0294</v>
      </c>
      <c r="G24" s="23" t="n">
        <v>1.8357</v>
      </c>
      <c r="H24" s="23" t="n">
        <v>0.864</v>
      </c>
      <c r="I24" s="23" t="s">
        <v>303</v>
      </c>
      <c r="J24" s="23" t="s">
        <v>289</v>
      </c>
      <c r="L24" s="3" t="s">
        <v>304</v>
      </c>
    </row>
    <row r="25" customFormat="false" ht="15" hidden="false" customHeight="false" outlineLevel="0" collapsed="false">
      <c r="A25" s="23" t="s">
        <v>136</v>
      </c>
      <c r="B25" s="23" t="s">
        <v>302</v>
      </c>
      <c r="C25" s="24" t="s">
        <v>288</v>
      </c>
      <c r="D25" s="23" t="n">
        <v>0.0115</v>
      </c>
      <c r="E25" s="23" t="n">
        <v>2.3484</v>
      </c>
      <c r="F25" s="23" t="n">
        <v>0.0053</v>
      </c>
      <c r="G25" s="23" t="n">
        <v>2.0876</v>
      </c>
      <c r="H25" s="23" t="n">
        <v>0.5842</v>
      </c>
      <c r="I25" s="23" t="s">
        <v>303</v>
      </c>
      <c r="J25" s="23" t="s">
        <v>289</v>
      </c>
      <c r="L25" s="3" t="s">
        <v>305</v>
      </c>
    </row>
    <row r="26" customFormat="false" ht="15" hidden="false" customHeight="false" outlineLevel="0" collapsed="false">
      <c r="A26" s="23" t="s">
        <v>136</v>
      </c>
      <c r="B26" s="23" t="s">
        <v>302</v>
      </c>
      <c r="C26" s="24" t="s">
        <v>290</v>
      </c>
      <c r="D26" s="23" t="n">
        <v>0.007</v>
      </c>
      <c r="E26" s="23" t="n">
        <v>2.5406</v>
      </c>
      <c r="F26" s="23" t="n">
        <v>0.0117</v>
      </c>
      <c r="G26" s="23" t="n">
        <v>3.5097</v>
      </c>
      <c r="H26" s="23" t="n">
        <v>-1.3006</v>
      </c>
      <c r="I26" s="23" t="s">
        <v>303</v>
      </c>
      <c r="J26" s="23" t="s">
        <v>289</v>
      </c>
      <c r="L26" s="3" t="s">
        <v>306</v>
      </c>
    </row>
    <row r="27" customFormat="false" ht="15" hidden="false" customHeight="false" outlineLevel="0" collapsed="false">
      <c r="A27" s="23" t="s">
        <v>136</v>
      </c>
      <c r="B27" s="23" t="s">
        <v>302</v>
      </c>
      <c r="C27" s="24" t="s">
        <v>292</v>
      </c>
      <c r="D27" s="23" t="n">
        <v>0.084</v>
      </c>
      <c r="E27" s="23" t="n">
        <v>1.6695</v>
      </c>
      <c r="F27" s="23" t="n">
        <v>0.1245</v>
      </c>
      <c r="G27" s="23" t="n">
        <v>2.523</v>
      </c>
      <c r="H27" s="23" t="n">
        <v>-1.123</v>
      </c>
      <c r="I27" s="23" t="s">
        <v>303</v>
      </c>
      <c r="J27" s="23" t="s">
        <v>289</v>
      </c>
      <c r="L27" s="3" t="s">
        <v>307</v>
      </c>
    </row>
    <row r="28" customFormat="false" ht="15" hidden="false" customHeight="false" outlineLevel="0" collapsed="false">
      <c r="A28" s="23" t="s">
        <v>294</v>
      </c>
      <c r="B28" s="23" t="s">
        <v>308</v>
      </c>
      <c r="C28" s="24" t="s">
        <v>286</v>
      </c>
      <c r="D28" s="23" t="n">
        <v>0.051</v>
      </c>
      <c r="E28" s="23" t="n">
        <v>2.4529</v>
      </c>
      <c r="F28" s="23" t="n">
        <v>0.0117</v>
      </c>
      <c r="G28" s="23" t="n">
        <v>1.7757</v>
      </c>
      <c r="H28" s="23" t="n">
        <v>1.2555</v>
      </c>
      <c r="I28" s="23" t="s">
        <v>303</v>
      </c>
      <c r="J28" s="23" t="s">
        <v>284</v>
      </c>
      <c r="L28" s="3" t="s">
        <v>309</v>
      </c>
    </row>
    <row r="29" customFormat="false" ht="15" hidden="false" customHeight="false" outlineLevel="0" collapsed="false">
      <c r="A29" s="23" t="s">
        <v>294</v>
      </c>
      <c r="B29" s="23" t="s">
        <v>308</v>
      </c>
      <c r="C29" s="24" t="s">
        <v>288</v>
      </c>
      <c r="D29" s="23" t="n">
        <v>0.0297</v>
      </c>
      <c r="E29" s="23" t="n">
        <v>2.1131</v>
      </c>
      <c r="F29" s="23" t="n">
        <v>0.018</v>
      </c>
      <c r="G29" s="23" t="n">
        <v>1.8131</v>
      </c>
      <c r="H29" s="23" t="n">
        <v>0.5144</v>
      </c>
      <c r="I29" s="23" t="s">
        <v>303</v>
      </c>
      <c r="J29" s="23" t="s">
        <v>284</v>
      </c>
      <c r="L29" s="3" t="s">
        <v>310</v>
      </c>
    </row>
    <row r="30" customFormat="false" ht="15" hidden="false" customHeight="false" outlineLevel="0" collapsed="false">
      <c r="A30" s="23" t="s">
        <v>294</v>
      </c>
      <c r="B30" s="23" t="s">
        <v>308</v>
      </c>
      <c r="C30" s="24" t="s">
        <v>290</v>
      </c>
      <c r="D30" s="23" t="n">
        <v>0.012</v>
      </c>
      <c r="E30" s="23" t="n">
        <v>2.4165</v>
      </c>
      <c r="F30" s="23" t="n">
        <v>0.0112</v>
      </c>
      <c r="G30" s="23" t="n">
        <v>3.0861</v>
      </c>
      <c r="H30" s="23" t="n">
        <v>-0.7164</v>
      </c>
      <c r="I30" s="23" t="s">
        <v>303</v>
      </c>
      <c r="J30" s="23" t="s">
        <v>284</v>
      </c>
      <c r="L30" s="3" t="s">
        <v>139</v>
      </c>
    </row>
    <row r="31" customFormat="false" ht="15" hidden="false" customHeight="false" outlineLevel="0" collapsed="false">
      <c r="A31" s="23" t="s">
        <v>294</v>
      </c>
      <c r="B31" s="23" t="s">
        <v>308</v>
      </c>
      <c r="C31" s="24" t="s">
        <v>292</v>
      </c>
      <c r="D31" s="23" t="n">
        <v>0.0276</v>
      </c>
      <c r="E31" s="23" t="n">
        <v>1.6215</v>
      </c>
      <c r="F31" s="23" t="n">
        <v>0.0617</v>
      </c>
      <c r="G31" s="23" t="n">
        <v>1.8615</v>
      </c>
      <c r="H31" s="23" t="n">
        <v>-0.5375</v>
      </c>
      <c r="I31" s="23" t="s">
        <v>303</v>
      </c>
      <c r="J31" s="23" t="s">
        <v>284</v>
      </c>
      <c r="L31" s="3" t="s">
        <v>311</v>
      </c>
    </row>
    <row r="32" customFormat="false" ht="15" hidden="false" customHeight="false" outlineLevel="0" collapsed="false">
      <c r="A32" s="23" t="s">
        <v>295</v>
      </c>
      <c r="B32" s="23" t="s">
        <v>312</v>
      </c>
      <c r="C32" s="24" t="s">
        <v>286</v>
      </c>
      <c r="D32" s="23" t="n">
        <v>0.0562</v>
      </c>
      <c r="E32" s="23" t="n">
        <v>2.4102</v>
      </c>
      <c r="F32" s="23" t="n">
        <v>0.0168</v>
      </c>
      <c r="G32" s="23" t="n">
        <v>1.9844</v>
      </c>
      <c r="H32" s="23" t="n">
        <v>0.8989</v>
      </c>
      <c r="I32" s="23" t="s">
        <v>303</v>
      </c>
      <c r="J32" s="23" t="s">
        <v>284</v>
      </c>
      <c r="L32" s="3" t="s">
        <v>313</v>
      </c>
    </row>
    <row r="33" customFormat="false" ht="15" hidden="false" customHeight="false" outlineLevel="0" collapsed="false">
      <c r="A33" s="23" t="s">
        <v>295</v>
      </c>
      <c r="B33" s="23" t="s">
        <v>312</v>
      </c>
      <c r="C33" s="24" t="s">
        <v>288</v>
      </c>
      <c r="D33" s="23" t="n">
        <v>0.0302</v>
      </c>
      <c r="E33" s="23" t="n">
        <v>2.0976</v>
      </c>
      <c r="F33" s="23" t="n">
        <v>0.0057</v>
      </c>
      <c r="G33" s="23" t="n">
        <v>1.5881</v>
      </c>
      <c r="H33" s="23" t="n">
        <v>1.1472</v>
      </c>
      <c r="I33" s="23" t="s">
        <v>303</v>
      </c>
      <c r="J33" s="23" t="s">
        <v>284</v>
      </c>
      <c r="L33" s="3" t="s">
        <v>314</v>
      </c>
    </row>
    <row r="34" customFormat="false" ht="15" hidden="false" customHeight="false" outlineLevel="0" collapsed="false">
      <c r="A34" s="23" t="s">
        <v>295</v>
      </c>
      <c r="B34" s="23" t="s">
        <v>312</v>
      </c>
      <c r="C34" s="24" t="s">
        <v>290</v>
      </c>
      <c r="D34" s="23" t="n">
        <v>0.023</v>
      </c>
      <c r="E34" s="23" t="n">
        <v>2.2382</v>
      </c>
      <c r="F34" s="23" t="n">
        <v>0.0039</v>
      </c>
      <c r="G34" s="23" t="n">
        <v>2.0084</v>
      </c>
      <c r="H34" s="23" t="n">
        <v>0.8588</v>
      </c>
      <c r="I34" s="23" t="s">
        <v>303</v>
      </c>
      <c r="J34" s="23" t="s">
        <v>284</v>
      </c>
      <c r="L34" s="3" t="s">
        <v>315</v>
      </c>
    </row>
    <row r="35" customFormat="false" ht="15" hidden="false" customHeight="false" outlineLevel="0" collapsed="false">
      <c r="A35" s="23" t="s">
        <v>295</v>
      </c>
      <c r="B35" s="23" t="s">
        <v>312</v>
      </c>
      <c r="C35" s="24" t="s">
        <v>292</v>
      </c>
      <c r="D35" s="23" t="n">
        <v>0.0288</v>
      </c>
      <c r="E35" s="23" t="n">
        <v>1.6378</v>
      </c>
      <c r="F35" s="23" t="n">
        <v>0.0147</v>
      </c>
      <c r="G35" s="23" t="n">
        <v>1.83</v>
      </c>
      <c r="H35" s="23" t="n">
        <v>0</v>
      </c>
      <c r="I35" s="23" t="s">
        <v>303</v>
      </c>
      <c r="J35" s="23" t="s">
        <v>284</v>
      </c>
      <c r="L35" s="3" t="s">
        <v>316</v>
      </c>
    </row>
    <row r="36" customFormat="false" ht="15" hidden="false" customHeight="false" outlineLevel="0" collapsed="false">
      <c r="A36" s="23" t="s">
        <v>296</v>
      </c>
      <c r="B36" s="23" t="s">
        <v>317</v>
      </c>
      <c r="C36" s="24" t="s">
        <v>286</v>
      </c>
      <c r="D36" s="23" t="n">
        <v>0.1478</v>
      </c>
      <c r="E36" s="23" t="n">
        <v>2.2986</v>
      </c>
      <c r="F36" s="23" t="n">
        <v>0.0432</v>
      </c>
      <c r="G36" s="23" t="n">
        <v>2.0378</v>
      </c>
      <c r="H36" s="23" t="n">
        <v>0.7</v>
      </c>
      <c r="I36" s="23" t="s">
        <v>303</v>
      </c>
      <c r="J36" s="23" t="s">
        <v>284</v>
      </c>
      <c r="L36" s="3" t="s">
        <v>318</v>
      </c>
    </row>
    <row r="37" customFormat="false" ht="15" hidden="false" customHeight="false" outlineLevel="0" collapsed="false">
      <c r="A37" s="23" t="s">
        <v>296</v>
      </c>
      <c r="B37" s="23" t="s">
        <v>317</v>
      </c>
      <c r="C37" s="24" t="s">
        <v>288</v>
      </c>
      <c r="D37" s="23" t="n">
        <v>0.012</v>
      </c>
      <c r="E37" s="23" t="n">
        <v>2.2388</v>
      </c>
      <c r="F37" s="23" t="n">
        <v>0.0049</v>
      </c>
      <c r="G37" s="23" t="n">
        <v>1.9057</v>
      </c>
      <c r="H37" s="23" t="n">
        <v>0.677</v>
      </c>
      <c r="I37" s="23" t="s">
        <v>303</v>
      </c>
      <c r="J37" s="23" t="s">
        <v>284</v>
      </c>
      <c r="L37" s="3" t="s">
        <v>319</v>
      </c>
    </row>
    <row r="38" customFormat="false" ht="15" hidden="false" customHeight="false" outlineLevel="0" collapsed="false">
      <c r="A38" s="23" t="s">
        <v>296</v>
      </c>
      <c r="B38" s="23" t="s">
        <v>317</v>
      </c>
      <c r="C38" s="24" t="s">
        <v>290</v>
      </c>
      <c r="D38" s="23" t="n">
        <v>0.037</v>
      </c>
      <c r="E38" s="23" t="n">
        <v>2.368</v>
      </c>
      <c r="F38" s="23" t="n">
        <v>0.0355</v>
      </c>
      <c r="G38" s="23" t="n">
        <v>2.3749</v>
      </c>
      <c r="H38" s="23" t="n">
        <v>0</v>
      </c>
      <c r="I38" s="23" t="s">
        <v>303</v>
      </c>
      <c r="J38" s="23" t="s">
        <v>284</v>
      </c>
      <c r="L38" s="3" t="s">
        <v>320</v>
      </c>
    </row>
    <row r="39" customFormat="false" ht="15" hidden="false" customHeight="false" outlineLevel="0" collapsed="false">
      <c r="A39" s="23" t="s">
        <v>296</v>
      </c>
      <c r="B39" s="23" t="s">
        <v>317</v>
      </c>
      <c r="C39" s="24" t="s">
        <v>292</v>
      </c>
      <c r="D39" s="23" t="n">
        <v>0.0376</v>
      </c>
      <c r="E39" s="23" t="n">
        <v>1.6164</v>
      </c>
      <c r="F39" s="23" t="n">
        <v>0.0452</v>
      </c>
      <c r="G39" s="23" t="n">
        <v>1.5567</v>
      </c>
      <c r="H39" s="23" t="n">
        <v>0</v>
      </c>
      <c r="I39" s="23" t="s">
        <v>303</v>
      </c>
      <c r="J39" s="23" t="s">
        <v>284</v>
      </c>
      <c r="L39" s="3" t="s">
        <v>321</v>
      </c>
    </row>
    <row r="40" customFormat="false" ht="15" hidden="false" customHeight="false" outlineLevel="0" collapsed="false">
      <c r="A40" s="23" t="s">
        <v>297</v>
      </c>
      <c r="B40" s="23" t="s">
        <v>322</v>
      </c>
      <c r="C40" s="24" t="s">
        <v>286</v>
      </c>
      <c r="D40" s="23" t="n">
        <v>0.0941</v>
      </c>
      <c r="E40" s="23" t="n">
        <v>2.3491</v>
      </c>
      <c r="F40" s="23" t="n">
        <v>0.0306</v>
      </c>
      <c r="G40" s="23" t="n">
        <v>2.1836</v>
      </c>
      <c r="H40" s="23" t="n">
        <v>0.574</v>
      </c>
      <c r="I40" s="23" t="s">
        <v>303</v>
      </c>
      <c r="J40" s="23" t="s">
        <v>284</v>
      </c>
      <c r="L40" s="3" t="s">
        <v>323</v>
      </c>
    </row>
    <row r="41" customFormat="false" ht="15" hidden="false" customHeight="false" outlineLevel="0" collapsed="false">
      <c r="A41" s="23" t="s">
        <v>297</v>
      </c>
      <c r="B41" s="23" t="s">
        <v>322</v>
      </c>
      <c r="C41" s="24" t="s">
        <v>288</v>
      </c>
      <c r="D41" s="23" t="n">
        <v>0.0323</v>
      </c>
      <c r="E41" s="23" t="n">
        <v>2.0761</v>
      </c>
      <c r="F41" s="23" t="n">
        <v>0.0897</v>
      </c>
      <c r="G41" s="23" t="n">
        <v>2.2634</v>
      </c>
      <c r="H41" s="23" t="n">
        <v>-0.567</v>
      </c>
      <c r="I41" s="23" t="s">
        <v>303</v>
      </c>
      <c r="J41" s="23" t="s">
        <v>284</v>
      </c>
      <c r="L41" s="3" t="s">
        <v>324</v>
      </c>
    </row>
    <row r="42" customFormat="false" ht="15" hidden="false" customHeight="false" outlineLevel="0" collapsed="false">
      <c r="A42" s="23" t="s">
        <v>297</v>
      </c>
      <c r="B42" s="23" t="s">
        <v>322</v>
      </c>
      <c r="C42" s="24" t="s">
        <v>290</v>
      </c>
      <c r="D42" s="23" t="n">
        <v>0.0448</v>
      </c>
      <c r="E42" s="23" t="n">
        <v>1.9771</v>
      </c>
      <c r="F42" s="23" t="n">
        <v>0.0994</v>
      </c>
      <c r="G42" s="23" t="n">
        <v>2.163</v>
      </c>
      <c r="H42" s="23" t="n">
        <v>-0.4809</v>
      </c>
      <c r="I42" s="23" t="s">
        <v>303</v>
      </c>
      <c r="J42" s="23" t="s">
        <v>284</v>
      </c>
      <c r="L42" s="3" t="s">
        <v>325</v>
      </c>
    </row>
    <row r="43" customFormat="false" ht="15" hidden="false" customHeight="false" outlineLevel="0" collapsed="false">
      <c r="A43" s="23" t="s">
        <v>297</v>
      </c>
      <c r="B43" s="23" t="s">
        <v>322</v>
      </c>
      <c r="C43" s="24" t="s">
        <v>292</v>
      </c>
      <c r="D43" s="23" t="n">
        <v>0.0538</v>
      </c>
      <c r="E43" s="23" t="n">
        <v>1.3584</v>
      </c>
      <c r="F43" s="23" t="n">
        <v>0.0124</v>
      </c>
      <c r="G43" s="23" t="n">
        <v>1.0325</v>
      </c>
      <c r="H43" s="23" t="n">
        <v>0.8747</v>
      </c>
      <c r="I43" s="23" t="s">
        <v>303</v>
      </c>
      <c r="J43" s="23" t="s">
        <v>284</v>
      </c>
      <c r="L43" s="3" t="s">
        <v>326</v>
      </c>
    </row>
    <row r="44" customFormat="false" ht="15" hidden="false" customHeight="false" outlineLevel="0" collapsed="false">
      <c r="A44" s="23" t="s">
        <v>299</v>
      </c>
      <c r="B44" s="23" t="s">
        <v>327</v>
      </c>
      <c r="C44" s="24" t="s">
        <v>286</v>
      </c>
      <c r="D44" s="23" t="n">
        <v>0.3743</v>
      </c>
      <c r="E44" s="23" t="n">
        <v>1.9406</v>
      </c>
      <c r="F44" s="23" t="n">
        <v>0.0181</v>
      </c>
      <c r="G44" s="23" t="n">
        <v>1.7013</v>
      </c>
      <c r="H44" s="23" t="n">
        <v>1.3057</v>
      </c>
      <c r="I44" s="23" t="s">
        <v>303</v>
      </c>
      <c r="J44" s="23" t="s">
        <v>284</v>
      </c>
      <c r="L44" s="3" t="s">
        <v>140</v>
      </c>
    </row>
    <row r="45" customFormat="false" ht="15" hidden="false" customHeight="false" outlineLevel="0" collapsed="false">
      <c r="A45" s="23" t="s">
        <v>299</v>
      </c>
      <c r="B45" s="23" t="s">
        <v>327</v>
      </c>
      <c r="C45" s="24" t="s">
        <v>288</v>
      </c>
      <c r="D45" s="23" t="n">
        <v>0.0679</v>
      </c>
      <c r="E45" s="23" t="n">
        <v>1.8377</v>
      </c>
      <c r="F45" s="23" t="n">
        <v>0.0101</v>
      </c>
      <c r="G45" s="23" t="n">
        <v>1.5956</v>
      </c>
      <c r="H45" s="23" t="n">
        <v>0.919</v>
      </c>
      <c r="I45" s="23" t="s">
        <v>303</v>
      </c>
      <c r="J45" s="23" t="s">
        <v>284</v>
      </c>
      <c r="L45" s="3" t="s">
        <v>138</v>
      </c>
    </row>
    <row r="46" customFormat="false" ht="15" hidden="false" customHeight="false" outlineLevel="0" collapsed="false">
      <c r="A46" s="23" t="s">
        <v>299</v>
      </c>
      <c r="B46" s="23" t="s">
        <v>327</v>
      </c>
      <c r="C46" s="24" t="s">
        <v>290</v>
      </c>
      <c r="D46" s="23" t="n">
        <v>0.0796</v>
      </c>
      <c r="E46" s="23" t="n">
        <v>2.0103</v>
      </c>
      <c r="F46" s="23" t="n">
        <v>0.0005</v>
      </c>
      <c r="G46" s="23" t="n">
        <v>2.8004</v>
      </c>
      <c r="H46" s="23" t="n">
        <v>0.8603</v>
      </c>
      <c r="I46" s="23" t="s">
        <v>303</v>
      </c>
      <c r="J46" s="23" t="s">
        <v>284</v>
      </c>
      <c r="L46" s="3" t="s">
        <v>328</v>
      </c>
    </row>
    <row r="47" customFormat="false" ht="15" hidden="false" customHeight="false" outlineLevel="0" collapsed="false">
      <c r="A47" s="23" t="s">
        <v>299</v>
      </c>
      <c r="B47" s="23" t="s">
        <v>327</v>
      </c>
      <c r="C47" s="24" t="s">
        <v>292</v>
      </c>
      <c r="D47" s="23" t="n">
        <v>0.084</v>
      </c>
      <c r="E47" s="23" t="n">
        <v>1.2319</v>
      </c>
      <c r="F47" s="23" t="n">
        <v>0.1976</v>
      </c>
      <c r="G47" s="23" t="n">
        <v>1.4421</v>
      </c>
      <c r="H47" s="23" t="n">
        <v>-0.5264</v>
      </c>
      <c r="I47" s="23" t="s">
        <v>303</v>
      </c>
      <c r="J47" s="23" t="s">
        <v>284</v>
      </c>
      <c r="L47" s="3" t="s">
        <v>329</v>
      </c>
    </row>
    <row r="48" customFormat="false" ht="15" hidden="false" customHeight="false" outlineLevel="0" collapsed="false">
      <c r="A48" s="23" t="s">
        <v>135</v>
      </c>
      <c r="B48" s="23" t="s">
        <v>330</v>
      </c>
      <c r="C48" s="24" t="s">
        <v>286</v>
      </c>
      <c r="D48" s="23" t="n">
        <v>0.0494</v>
      </c>
      <c r="E48" s="23" t="n">
        <v>2.5025</v>
      </c>
      <c r="F48" s="23" t="n">
        <v>0.0335</v>
      </c>
      <c r="G48" s="23" t="n">
        <v>1.7389</v>
      </c>
      <c r="H48" s="23" t="n">
        <v>0.9835</v>
      </c>
      <c r="I48" s="23" t="s">
        <v>287</v>
      </c>
      <c r="J48" s="23" t="s">
        <v>289</v>
      </c>
      <c r="L48" s="3" t="s">
        <v>331</v>
      </c>
    </row>
    <row r="49" customFormat="false" ht="15" hidden="false" customHeight="false" outlineLevel="0" collapsed="false">
      <c r="A49" s="23" t="s">
        <v>135</v>
      </c>
      <c r="B49" s="23" t="s">
        <v>330</v>
      </c>
      <c r="C49" s="24" t="s">
        <v>288</v>
      </c>
      <c r="D49" s="23" t="n">
        <v>0.0148</v>
      </c>
      <c r="E49" s="23" t="n">
        <v>2.2494</v>
      </c>
      <c r="F49" s="23" t="n">
        <v>0.0132</v>
      </c>
      <c r="G49" s="23" t="n">
        <v>1.7657</v>
      </c>
      <c r="H49" s="23" t="n">
        <v>0.5775</v>
      </c>
      <c r="I49" s="23" t="s">
        <v>287</v>
      </c>
      <c r="J49" s="23" t="s">
        <v>289</v>
      </c>
      <c r="L49" s="3" t="s">
        <v>134</v>
      </c>
    </row>
    <row r="50" customFormat="false" ht="15" hidden="false" customHeight="false" outlineLevel="0" collapsed="false">
      <c r="A50" s="23" t="s">
        <v>135</v>
      </c>
      <c r="B50" s="23" t="s">
        <v>330</v>
      </c>
      <c r="C50" s="24" t="s">
        <v>290</v>
      </c>
      <c r="D50" s="23" t="n">
        <v>0.0291</v>
      </c>
      <c r="E50" s="23" t="n">
        <v>2.0751</v>
      </c>
      <c r="F50" s="23" t="n">
        <v>0.0405</v>
      </c>
      <c r="G50" s="23" t="n">
        <v>3.1917</v>
      </c>
      <c r="H50" s="23" t="n">
        <v>-1.3674</v>
      </c>
      <c r="I50" s="23" t="s">
        <v>287</v>
      </c>
      <c r="J50" s="23" t="s">
        <v>289</v>
      </c>
      <c r="L50" s="3" t="s">
        <v>332</v>
      </c>
    </row>
    <row r="51" customFormat="false" ht="15" hidden="false" customHeight="false" outlineLevel="0" collapsed="false">
      <c r="A51" s="23" t="s">
        <v>135</v>
      </c>
      <c r="B51" s="23" t="s">
        <v>330</v>
      </c>
      <c r="C51" s="24" t="s">
        <v>292</v>
      </c>
      <c r="D51" s="23" t="n">
        <v>0.1631</v>
      </c>
      <c r="E51" s="23" t="n">
        <v>1.4222</v>
      </c>
      <c r="F51" s="23" t="n">
        <v>0.2078</v>
      </c>
      <c r="G51" s="23" t="n">
        <v>2.5517</v>
      </c>
      <c r="H51" s="23" t="n">
        <v>-1.3453</v>
      </c>
      <c r="I51" s="23" t="s">
        <v>287</v>
      </c>
      <c r="J51" s="23" t="s">
        <v>289</v>
      </c>
      <c r="L51" s="3" t="s">
        <v>333</v>
      </c>
    </row>
    <row r="52" customFormat="false" ht="15" hidden="false" customHeight="false" outlineLevel="0" collapsed="false">
      <c r="A52" s="23" t="s">
        <v>300</v>
      </c>
      <c r="B52" s="23" t="s">
        <v>334</v>
      </c>
      <c r="C52" s="24" t="s">
        <v>286</v>
      </c>
      <c r="D52" s="23" t="n">
        <v>0.0204</v>
      </c>
      <c r="E52" s="23" t="n">
        <v>2.6974</v>
      </c>
      <c r="F52" s="23" t="n">
        <v>0.0191</v>
      </c>
      <c r="G52" s="23" t="n">
        <v>1.5365</v>
      </c>
      <c r="H52" s="23" t="n">
        <v>1.3634</v>
      </c>
      <c r="I52" s="23" t="s">
        <v>287</v>
      </c>
      <c r="J52" s="23" t="s">
        <v>289</v>
      </c>
      <c r="L52" s="3" t="s">
        <v>137</v>
      </c>
    </row>
    <row r="53" customFormat="false" ht="15" hidden="false" customHeight="false" outlineLevel="0" collapsed="false">
      <c r="A53" s="23" t="s">
        <v>300</v>
      </c>
      <c r="B53" s="23" t="s">
        <v>334</v>
      </c>
      <c r="C53" s="24" t="s">
        <v>288</v>
      </c>
      <c r="D53" s="23" t="n">
        <v>0.0069</v>
      </c>
      <c r="E53" s="23" t="n">
        <v>2.5462</v>
      </c>
      <c r="F53" s="23" t="n">
        <v>0.0083</v>
      </c>
      <c r="G53" s="23" t="n">
        <v>2.4811</v>
      </c>
      <c r="H53" s="23" t="n">
        <v>0</v>
      </c>
      <c r="I53" s="23" t="s">
        <v>287</v>
      </c>
      <c r="J53" s="23" t="s">
        <v>289</v>
      </c>
      <c r="L53" s="3" t="s">
        <v>335</v>
      </c>
    </row>
    <row r="54" customFormat="false" ht="15" hidden="false" customHeight="false" outlineLevel="0" collapsed="false">
      <c r="A54" s="23" t="s">
        <v>300</v>
      </c>
      <c r="B54" s="23" t="s">
        <v>334</v>
      </c>
      <c r="C54" s="24" t="s">
        <v>290</v>
      </c>
      <c r="D54" s="23" t="n">
        <v>0.0404</v>
      </c>
      <c r="E54" s="23" t="n">
        <v>2.1388</v>
      </c>
      <c r="F54" s="23" t="n">
        <v>0.0351</v>
      </c>
      <c r="G54" s="23" t="n">
        <v>2.2421</v>
      </c>
      <c r="H54" s="23" t="n">
        <v>0</v>
      </c>
      <c r="I54" s="23" t="s">
        <v>287</v>
      </c>
      <c r="J54" s="23" t="s">
        <v>289</v>
      </c>
    </row>
    <row r="55" customFormat="false" ht="15" hidden="false" customHeight="false" outlineLevel="0" collapsed="false">
      <c r="A55" s="23" t="s">
        <v>300</v>
      </c>
      <c r="B55" s="23" t="s">
        <v>334</v>
      </c>
      <c r="C55" s="24" t="s">
        <v>292</v>
      </c>
      <c r="D55" s="23" t="n">
        <v>0.1233</v>
      </c>
      <c r="E55" s="23" t="n">
        <v>1.6636</v>
      </c>
      <c r="F55" s="23" t="n">
        <v>0.0718</v>
      </c>
      <c r="G55" s="23" t="n">
        <v>2.2935</v>
      </c>
      <c r="H55" s="23" t="n">
        <v>-0.4744</v>
      </c>
      <c r="I55" s="23" t="s">
        <v>287</v>
      </c>
      <c r="J55" s="23" t="s">
        <v>289</v>
      </c>
    </row>
    <row r="56" customFormat="false" ht="15" hidden="false" customHeight="false" outlineLevel="0" collapsed="false">
      <c r="A56" s="23" t="s">
        <v>301</v>
      </c>
      <c r="B56" s="23" t="s">
        <v>336</v>
      </c>
      <c r="C56" s="24" t="s">
        <v>286</v>
      </c>
      <c r="D56" s="23" t="n">
        <v>0.0619</v>
      </c>
      <c r="E56" s="23" t="n">
        <v>2.3821</v>
      </c>
      <c r="F56" s="23" t="n">
        <v>0.0257</v>
      </c>
      <c r="G56" s="23" t="n">
        <v>1.9277</v>
      </c>
      <c r="H56" s="23" t="n">
        <v>0.8576</v>
      </c>
      <c r="I56" s="23" t="s">
        <v>303</v>
      </c>
      <c r="J56" s="23" t="s">
        <v>289</v>
      </c>
    </row>
    <row r="57" customFormat="false" ht="15" hidden="false" customHeight="false" outlineLevel="0" collapsed="false">
      <c r="A57" s="23" t="s">
        <v>301</v>
      </c>
      <c r="B57" s="23" t="s">
        <v>336</v>
      </c>
      <c r="C57" s="24" t="s">
        <v>288</v>
      </c>
      <c r="D57" s="23" t="n">
        <v>0.0139</v>
      </c>
      <c r="E57" s="23" t="n">
        <v>2.3282</v>
      </c>
      <c r="F57" s="23" t="n">
        <v>0.0118</v>
      </c>
      <c r="G57" s="23" t="n">
        <v>1.9893</v>
      </c>
      <c r="H57" s="23" t="n">
        <v>0.47</v>
      </c>
      <c r="I57" s="23" t="s">
        <v>303</v>
      </c>
      <c r="J57" s="23" t="s">
        <v>289</v>
      </c>
    </row>
    <row r="58" customFormat="false" ht="15" hidden="false" customHeight="false" outlineLevel="0" collapsed="false">
      <c r="A58" s="23" t="s">
        <v>301</v>
      </c>
      <c r="B58" s="23" t="s">
        <v>336</v>
      </c>
      <c r="C58" s="24" t="s">
        <v>290</v>
      </c>
      <c r="D58" s="23" t="n">
        <v>0.0217</v>
      </c>
      <c r="E58" s="23" t="n">
        <v>2.2653</v>
      </c>
      <c r="F58" s="23" t="n">
        <v>0.0215</v>
      </c>
      <c r="G58" s="23" t="n">
        <v>2.6553</v>
      </c>
      <c r="H58" s="23" t="n">
        <v>-0.4682</v>
      </c>
      <c r="I58" s="23" t="s">
        <v>303</v>
      </c>
      <c r="J58" s="23" t="s">
        <v>289</v>
      </c>
    </row>
    <row r="59" customFormat="false" ht="15" hidden="false" customHeight="false" outlineLevel="0" collapsed="false">
      <c r="A59" s="23" t="s">
        <v>301</v>
      </c>
      <c r="B59" s="23" t="s">
        <v>336</v>
      </c>
      <c r="C59" s="24" t="s">
        <v>292</v>
      </c>
      <c r="D59" s="23" t="n">
        <v>0.0776</v>
      </c>
      <c r="E59" s="23" t="n">
        <v>1.6995</v>
      </c>
      <c r="F59" s="23" t="n">
        <v>0.1471</v>
      </c>
      <c r="G59" s="23" t="n">
        <v>2.0108</v>
      </c>
      <c r="H59" s="23" t="n">
        <v>-0.608</v>
      </c>
      <c r="I59" s="23" t="s">
        <v>303</v>
      </c>
      <c r="J59" s="23" t="s">
        <v>289</v>
      </c>
    </row>
    <row r="60" customFormat="false" ht="15" hidden="false" customHeight="false" outlineLevel="0" collapsed="false">
      <c r="A60" s="23" t="s">
        <v>304</v>
      </c>
      <c r="B60" s="23" t="s">
        <v>337</v>
      </c>
      <c r="C60" s="24" t="s">
        <v>286</v>
      </c>
      <c r="D60" s="23" t="n">
        <v>0.0654</v>
      </c>
      <c r="E60" s="23" t="n">
        <v>2.2121</v>
      </c>
      <c r="F60" s="23" t="n">
        <v>0.0295</v>
      </c>
      <c r="G60" s="23" t="n">
        <v>1.7026</v>
      </c>
      <c r="H60" s="23" t="n">
        <v>0.9428</v>
      </c>
      <c r="I60" s="23" t="s">
        <v>303</v>
      </c>
      <c r="J60" s="23" t="s">
        <v>289</v>
      </c>
    </row>
    <row r="61" customFormat="false" ht="15" hidden="false" customHeight="false" outlineLevel="0" collapsed="false">
      <c r="A61" s="23" t="s">
        <v>304</v>
      </c>
      <c r="B61" s="23" t="s">
        <v>337</v>
      </c>
      <c r="C61" s="24" t="s">
        <v>288</v>
      </c>
      <c r="D61" s="23" t="n">
        <v>0.0114</v>
      </c>
      <c r="E61" s="23" t="n">
        <v>2.1432</v>
      </c>
      <c r="F61" s="23" t="n">
        <v>0.0076</v>
      </c>
      <c r="G61" s="23" t="n">
        <v>1.7861</v>
      </c>
      <c r="H61" s="23" t="n">
        <v>0.6132</v>
      </c>
      <c r="I61" s="23" t="s">
        <v>303</v>
      </c>
      <c r="J61" s="23" t="s">
        <v>289</v>
      </c>
    </row>
    <row r="62" customFormat="false" ht="15" hidden="false" customHeight="false" outlineLevel="0" collapsed="false">
      <c r="A62" s="23" t="s">
        <v>304</v>
      </c>
      <c r="B62" s="23" t="s">
        <v>337</v>
      </c>
      <c r="C62" s="24" t="s">
        <v>290</v>
      </c>
      <c r="D62" s="23" t="n">
        <v>0.0335</v>
      </c>
      <c r="E62" s="23" t="n">
        <v>1.9367</v>
      </c>
      <c r="F62" s="23" t="n">
        <v>0.0501</v>
      </c>
      <c r="G62" s="23" t="n">
        <v>2.5165</v>
      </c>
      <c r="H62" s="23" t="n">
        <v>-0.8774</v>
      </c>
      <c r="I62" s="23" t="s">
        <v>303</v>
      </c>
      <c r="J62" s="23" t="s">
        <v>289</v>
      </c>
    </row>
    <row r="63" customFormat="false" ht="15" hidden="false" customHeight="false" outlineLevel="0" collapsed="false">
      <c r="A63" s="23" t="s">
        <v>304</v>
      </c>
      <c r="B63" s="23" t="s">
        <v>337</v>
      </c>
      <c r="C63" s="24" t="s">
        <v>292</v>
      </c>
      <c r="D63" s="23" t="n">
        <v>0.0499</v>
      </c>
      <c r="E63" s="23" t="n">
        <v>1.7278</v>
      </c>
      <c r="F63" s="23" t="n">
        <v>0.0813</v>
      </c>
      <c r="G63" s="23" t="n">
        <v>2.218</v>
      </c>
      <c r="H63" s="23" t="n">
        <v>-0.7907</v>
      </c>
      <c r="I63" s="23" t="s">
        <v>303</v>
      </c>
      <c r="J63" s="23" t="s">
        <v>289</v>
      </c>
    </row>
    <row r="64" customFormat="false" ht="15" hidden="false" customHeight="false" outlineLevel="0" collapsed="false">
      <c r="A64" s="23" t="s">
        <v>305</v>
      </c>
      <c r="B64" s="23" t="s">
        <v>338</v>
      </c>
      <c r="C64" s="24" t="s">
        <v>286</v>
      </c>
      <c r="D64" s="23" t="n">
        <v>0.0997</v>
      </c>
      <c r="E64" s="23" t="n">
        <v>2.2709</v>
      </c>
      <c r="F64" s="23" t="n">
        <v>0.017</v>
      </c>
      <c r="G64" s="23" t="n">
        <v>1.7779</v>
      </c>
      <c r="H64" s="23" t="n">
        <v>1.137</v>
      </c>
      <c r="I64" s="23" t="s">
        <v>303</v>
      </c>
      <c r="J64" s="23" t="s">
        <v>289</v>
      </c>
    </row>
    <row r="65" customFormat="false" ht="15" hidden="false" customHeight="false" outlineLevel="0" collapsed="false">
      <c r="A65" s="23" t="s">
        <v>305</v>
      </c>
      <c r="B65" s="23" t="s">
        <v>338</v>
      </c>
      <c r="C65" s="24" t="s">
        <v>288</v>
      </c>
      <c r="D65" s="23" t="n">
        <v>0.0192</v>
      </c>
      <c r="E65" s="23" t="n">
        <v>2.2038</v>
      </c>
      <c r="F65" s="23" t="n">
        <v>0.0069</v>
      </c>
      <c r="G65" s="23" t="n">
        <v>1.6589</v>
      </c>
      <c r="H65" s="23" t="n">
        <v>0.9582</v>
      </c>
      <c r="I65" s="23" t="s">
        <v>303</v>
      </c>
      <c r="J65" s="23" t="s">
        <v>289</v>
      </c>
    </row>
    <row r="66" customFormat="false" ht="15" hidden="false" customHeight="false" outlineLevel="0" collapsed="false">
      <c r="A66" s="23" t="s">
        <v>305</v>
      </c>
      <c r="B66" s="23" t="s">
        <v>338</v>
      </c>
      <c r="C66" s="24" t="s">
        <v>290</v>
      </c>
      <c r="D66" s="23" t="n">
        <v>0.0056</v>
      </c>
      <c r="E66" s="23" t="n">
        <v>2.6011</v>
      </c>
      <c r="F66" s="23" t="n">
        <v>0.0184</v>
      </c>
      <c r="G66" s="23" t="n">
        <v>3.1968</v>
      </c>
      <c r="H66" s="23" t="n">
        <v>-1.0876</v>
      </c>
      <c r="I66" s="23" t="s">
        <v>303</v>
      </c>
      <c r="J66" s="23" t="s">
        <v>289</v>
      </c>
    </row>
    <row r="67" customFormat="false" ht="15" hidden="false" customHeight="false" outlineLevel="0" collapsed="false">
      <c r="A67" s="23" t="s">
        <v>305</v>
      </c>
      <c r="B67" s="23" t="s">
        <v>338</v>
      </c>
      <c r="C67" s="24" t="s">
        <v>292</v>
      </c>
      <c r="D67" s="23" t="n">
        <v>0.0284</v>
      </c>
      <c r="E67" s="23" t="n">
        <v>1.9375</v>
      </c>
      <c r="F67" s="23" t="n">
        <v>0.0584</v>
      </c>
      <c r="G67" s="23" t="n">
        <v>2.2389</v>
      </c>
      <c r="H67" s="23" t="n">
        <v>-0.5968</v>
      </c>
      <c r="I67" s="23" t="s">
        <v>303</v>
      </c>
      <c r="J67" s="23" t="s">
        <v>289</v>
      </c>
    </row>
    <row r="68" customFormat="false" ht="15" hidden="false" customHeight="false" outlineLevel="0" collapsed="false">
      <c r="A68" s="23" t="s">
        <v>306</v>
      </c>
      <c r="B68" s="23" t="s">
        <v>339</v>
      </c>
      <c r="C68" s="24" t="s">
        <v>286</v>
      </c>
      <c r="D68" s="23" t="n">
        <v>0.0223</v>
      </c>
      <c r="E68" s="23" t="n">
        <v>2.7169</v>
      </c>
      <c r="F68" s="23" t="n">
        <v>0.0133</v>
      </c>
      <c r="G68" s="23" t="n">
        <v>1.3303</v>
      </c>
      <c r="H68" s="23" t="n">
        <v>1.6877</v>
      </c>
      <c r="I68" s="23" t="s">
        <v>287</v>
      </c>
      <c r="J68" s="23" t="s">
        <v>289</v>
      </c>
    </row>
    <row r="69" customFormat="false" ht="15" hidden="false" customHeight="false" outlineLevel="0" collapsed="false">
      <c r="A69" s="23" t="s">
        <v>306</v>
      </c>
      <c r="B69" s="23" t="s">
        <v>339</v>
      </c>
      <c r="C69" s="24" t="s">
        <v>288</v>
      </c>
      <c r="D69" s="23" t="n">
        <v>0.0118</v>
      </c>
      <c r="E69" s="23" t="n">
        <v>2.2733</v>
      </c>
      <c r="F69" s="23" t="n">
        <v>0.0086</v>
      </c>
      <c r="G69" s="23" t="n">
        <v>1.6216</v>
      </c>
      <c r="H69" s="23" t="n">
        <v>0.8192</v>
      </c>
      <c r="I69" s="23" t="s">
        <v>287</v>
      </c>
      <c r="J69" s="23" t="s">
        <v>289</v>
      </c>
    </row>
    <row r="70" customFormat="false" ht="15" hidden="false" customHeight="false" outlineLevel="0" collapsed="false">
      <c r="A70" s="23" t="s">
        <v>306</v>
      </c>
      <c r="B70" s="23" t="s">
        <v>339</v>
      </c>
      <c r="C70" s="24" t="s">
        <v>290</v>
      </c>
      <c r="D70" s="23" t="n">
        <v>0.0336</v>
      </c>
      <c r="E70" s="23" t="n">
        <v>2.2123</v>
      </c>
      <c r="F70" s="23" t="n">
        <v>0.0428</v>
      </c>
      <c r="G70" s="23" t="n">
        <v>2.7965</v>
      </c>
      <c r="H70" s="23" t="n">
        <v>-0.7328</v>
      </c>
      <c r="I70" s="23" t="s">
        <v>287</v>
      </c>
      <c r="J70" s="23" t="s">
        <v>289</v>
      </c>
    </row>
    <row r="71" customFormat="false" ht="15" hidden="false" customHeight="false" outlineLevel="0" collapsed="false">
      <c r="A71" s="23" t="s">
        <v>306</v>
      </c>
      <c r="B71" s="23" t="s">
        <v>339</v>
      </c>
      <c r="C71" s="24" t="s">
        <v>292</v>
      </c>
      <c r="D71" s="23" t="n">
        <v>0.0683</v>
      </c>
      <c r="E71" s="23" t="n">
        <v>1.8022</v>
      </c>
      <c r="F71" s="23" t="n">
        <v>0.0854</v>
      </c>
      <c r="G71" s="23" t="n">
        <v>2.4388</v>
      </c>
      <c r="H71" s="23" t="n">
        <v>-0.763</v>
      </c>
      <c r="I71" s="23" t="s">
        <v>287</v>
      </c>
      <c r="J71" s="23" t="s">
        <v>289</v>
      </c>
    </row>
    <row r="72" customFormat="false" ht="15" hidden="false" customHeight="false" outlineLevel="0" collapsed="false">
      <c r="A72" s="23" t="s">
        <v>307</v>
      </c>
      <c r="B72" s="23" t="s">
        <v>340</v>
      </c>
      <c r="C72" s="24" t="s">
        <v>286</v>
      </c>
      <c r="D72" s="23" t="n">
        <v>0.072</v>
      </c>
      <c r="E72" s="23" t="n">
        <v>2.3885</v>
      </c>
      <c r="F72" s="23" t="n">
        <v>0.0295</v>
      </c>
      <c r="G72" s="23" t="n">
        <v>1.9064</v>
      </c>
      <c r="H72" s="23" t="n">
        <v>0.9139</v>
      </c>
      <c r="I72" s="23" t="s">
        <v>303</v>
      </c>
      <c r="J72" s="23" t="s">
        <v>284</v>
      </c>
    </row>
    <row r="73" customFormat="false" ht="15" hidden="false" customHeight="false" outlineLevel="0" collapsed="false">
      <c r="A73" s="23" t="s">
        <v>307</v>
      </c>
      <c r="B73" s="23" t="s">
        <v>340</v>
      </c>
      <c r="C73" s="24" t="s">
        <v>288</v>
      </c>
      <c r="D73" s="23" t="n">
        <v>0.0168</v>
      </c>
      <c r="E73" s="23" t="n">
        <v>2.2569</v>
      </c>
      <c r="F73" s="23" t="n">
        <v>0.0148</v>
      </c>
      <c r="G73" s="23" t="n">
        <v>1.8433</v>
      </c>
      <c r="H73" s="23" t="n">
        <v>0.5021</v>
      </c>
      <c r="I73" s="23" t="s">
        <v>303</v>
      </c>
      <c r="J73" s="23" t="s">
        <v>284</v>
      </c>
    </row>
    <row r="74" customFormat="false" ht="15" hidden="false" customHeight="false" outlineLevel="0" collapsed="false">
      <c r="A74" s="23" t="s">
        <v>307</v>
      </c>
      <c r="B74" s="23" t="s">
        <v>340</v>
      </c>
      <c r="C74" s="24" t="s">
        <v>290</v>
      </c>
      <c r="D74" s="23" t="n">
        <v>0.0088</v>
      </c>
      <c r="E74" s="23" t="n">
        <v>2.5689</v>
      </c>
      <c r="F74" s="23" t="n">
        <v>0.015</v>
      </c>
      <c r="G74" s="23" t="n">
        <v>3.0347</v>
      </c>
      <c r="H74" s="23" t="n">
        <v>-0.7629</v>
      </c>
      <c r="I74" s="23" t="s">
        <v>303</v>
      </c>
      <c r="J74" s="23" t="s">
        <v>284</v>
      </c>
    </row>
    <row r="75" customFormat="false" ht="15" hidden="false" customHeight="false" outlineLevel="0" collapsed="false">
      <c r="A75" s="23" t="s">
        <v>307</v>
      </c>
      <c r="B75" s="23" t="s">
        <v>340</v>
      </c>
      <c r="C75" s="24" t="s">
        <v>292</v>
      </c>
      <c r="D75" s="23" t="n">
        <v>0.0099</v>
      </c>
      <c r="E75" s="23" t="n">
        <v>1.8985</v>
      </c>
      <c r="F75" s="23" t="n">
        <v>0.0455</v>
      </c>
      <c r="G75" s="23" t="n">
        <v>2.6447</v>
      </c>
      <c r="H75" s="23" t="n">
        <v>-1.4955</v>
      </c>
      <c r="I75" s="23" t="s">
        <v>303</v>
      </c>
      <c r="J75" s="23" t="s">
        <v>284</v>
      </c>
    </row>
    <row r="76" customFormat="false" ht="15" hidden="false" customHeight="false" outlineLevel="0" collapsed="false">
      <c r="A76" s="23" t="s">
        <v>309</v>
      </c>
      <c r="B76" s="23" t="s">
        <v>341</v>
      </c>
      <c r="C76" s="24" t="s">
        <v>286</v>
      </c>
      <c r="D76" s="23" t="n">
        <v>0.2116</v>
      </c>
      <c r="E76" s="23" t="n">
        <v>2.2013</v>
      </c>
      <c r="F76" s="23" t="n">
        <v>0.0139</v>
      </c>
      <c r="G76" s="23" t="n">
        <v>1.5913</v>
      </c>
      <c r="H76" s="23" t="n">
        <v>1.508</v>
      </c>
      <c r="I76" s="23" t="s">
        <v>303</v>
      </c>
      <c r="J76" s="23" t="s">
        <v>284</v>
      </c>
    </row>
    <row r="77" customFormat="false" ht="15" hidden="false" customHeight="false" outlineLevel="0" collapsed="false">
      <c r="A77" s="23" t="s">
        <v>309</v>
      </c>
      <c r="B77" s="23" t="s">
        <v>341</v>
      </c>
      <c r="C77" s="24" t="s">
        <v>288</v>
      </c>
      <c r="D77" s="23" t="n">
        <v>0.0365</v>
      </c>
      <c r="E77" s="23" t="n">
        <v>2.1133</v>
      </c>
      <c r="F77" s="23" t="n">
        <v>0.0081</v>
      </c>
      <c r="G77" s="23" t="n">
        <v>1.4943</v>
      </c>
      <c r="H77" s="23" t="n">
        <v>1.1324</v>
      </c>
      <c r="I77" s="23" t="s">
        <v>303</v>
      </c>
      <c r="J77" s="23" t="s">
        <v>284</v>
      </c>
    </row>
    <row r="78" customFormat="false" ht="15" hidden="false" customHeight="false" outlineLevel="0" collapsed="false">
      <c r="A78" s="23" t="s">
        <v>309</v>
      </c>
      <c r="B78" s="23" t="s">
        <v>341</v>
      </c>
      <c r="C78" s="24" t="s">
        <v>290</v>
      </c>
      <c r="D78" s="23" t="n">
        <v>0.0087</v>
      </c>
      <c r="E78" s="23" t="n">
        <v>2.8927</v>
      </c>
      <c r="F78" s="23" t="n">
        <v>0.005</v>
      </c>
      <c r="G78" s="23" t="n">
        <v>3.0463</v>
      </c>
      <c r="H78" s="23" t="n">
        <v>0</v>
      </c>
      <c r="I78" s="23" t="s">
        <v>303</v>
      </c>
      <c r="J78" s="23" t="s">
        <v>284</v>
      </c>
    </row>
    <row r="79" customFormat="false" ht="15" hidden="false" customHeight="false" outlineLevel="0" collapsed="false">
      <c r="A79" s="23" t="s">
        <v>309</v>
      </c>
      <c r="B79" s="23" t="s">
        <v>341</v>
      </c>
      <c r="C79" s="24" t="s">
        <v>292</v>
      </c>
      <c r="D79" s="23" t="n">
        <v>0.0173</v>
      </c>
      <c r="E79" s="23" t="n">
        <v>1.983</v>
      </c>
      <c r="F79" s="23" t="n">
        <v>0.0121</v>
      </c>
      <c r="G79" s="23" t="n">
        <v>2.0865</v>
      </c>
      <c r="H79" s="23" t="n">
        <v>0</v>
      </c>
      <c r="I79" s="23" t="s">
        <v>303</v>
      </c>
      <c r="J79" s="23" t="s">
        <v>284</v>
      </c>
    </row>
    <row r="80" customFormat="false" ht="15" hidden="false" customHeight="false" outlineLevel="0" collapsed="false">
      <c r="A80" s="23" t="s">
        <v>310</v>
      </c>
      <c r="B80" s="23" t="s">
        <v>342</v>
      </c>
      <c r="C80" s="24" t="s">
        <v>286</v>
      </c>
      <c r="D80" s="23" t="n">
        <v>0.1929</v>
      </c>
      <c r="E80" s="23" t="n">
        <v>1.9672</v>
      </c>
      <c r="F80" s="23" t="n">
        <v>0.0083</v>
      </c>
      <c r="G80" s="23" t="n">
        <v>1.6534</v>
      </c>
      <c r="H80" s="23" t="n">
        <v>1.7479</v>
      </c>
      <c r="I80" s="23" t="s">
        <v>303</v>
      </c>
      <c r="J80" s="23" t="s">
        <v>284</v>
      </c>
    </row>
    <row r="81" customFormat="false" ht="15" hidden="false" customHeight="false" outlineLevel="0" collapsed="false">
      <c r="A81" s="23" t="s">
        <v>310</v>
      </c>
      <c r="B81" s="23" t="s">
        <v>342</v>
      </c>
      <c r="C81" s="24" t="s">
        <v>288</v>
      </c>
      <c r="D81" s="23" t="n">
        <v>0.0671</v>
      </c>
      <c r="E81" s="23" t="n">
        <v>1.5911</v>
      </c>
      <c r="F81" s="23" t="n">
        <v>0.0012</v>
      </c>
      <c r="G81" s="23" t="n">
        <v>1.1486</v>
      </c>
      <c r="H81" s="23" t="n">
        <v>2.2903</v>
      </c>
      <c r="I81" s="23" t="s">
        <v>303</v>
      </c>
      <c r="J81" s="23" t="s">
        <v>284</v>
      </c>
    </row>
    <row r="82" customFormat="false" ht="15" hidden="false" customHeight="false" outlineLevel="0" collapsed="false">
      <c r="A82" s="23" t="s">
        <v>310</v>
      </c>
      <c r="B82" s="23" t="s">
        <v>342</v>
      </c>
      <c r="C82" s="24" t="s">
        <v>290</v>
      </c>
      <c r="D82" s="23" t="n">
        <v>0.0278</v>
      </c>
      <c r="E82" s="23" t="n">
        <v>2.1336</v>
      </c>
      <c r="F82" s="23" t="n">
        <v>0.0009</v>
      </c>
      <c r="G82" s="23" t="n">
        <v>1.9152</v>
      </c>
      <c r="H82" s="23" t="n">
        <v>1.7769</v>
      </c>
      <c r="I82" s="23" t="s">
        <v>303</v>
      </c>
      <c r="J82" s="23" t="s">
        <v>284</v>
      </c>
    </row>
    <row r="83" customFormat="false" ht="15" hidden="false" customHeight="false" outlineLevel="0" collapsed="false">
      <c r="A83" s="23" t="s">
        <v>310</v>
      </c>
      <c r="B83" s="23" t="s">
        <v>342</v>
      </c>
      <c r="C83" s="24" t="s">
        <v>292</v>
      </c>
      <c r="D83" s="23" t="n">
        <v>0.0293</v>
      </c>
      <c r="E83" s="23" t="n">
        <v>1.9502</v>
      </c>
      <c r="F83" s="23" t="n">
        <v>0.0247</v>
      </c>
      <c r="G83" s="23" t="n">
        <v>2.0056</v>
      </c>
      <c r="H83" s="23" t="n">
        <v>0</v>
      </c>
      <c r="I83" s="23" t="s">
        <v>303</v>
      </c>
      <c r="J83" s="23" t="s">
        <v>284</v>
      </c>
    </row>
    <row r="84" customFormat="false" ht="15" hidden="false" customHeight="false" outlineLevel="0" collapsed="false">
      <c r="A84" s="23" t="s">
        <v>139</v>
      </c>
      <c r="B84" s="23" t="s">
        <v>343</v>
      </c>
      <c r="C84" s="24" t="s">
        <v>286</v>
      </c>
      <c r="D84" s="23" t="n">
        <v>0.0804</v>
      </c>
      <c r="E84" s="23" t="n">
        <v>2.4041</v>
      </c>
      <c r="F84" s="23" t="n">
        <v>0.0199</v>
      </c>
      <c r="G84" s="23" t="n">
        <v>1.6883</v>
      </c>
      <c r="H84" s="23" t="n">
        <v>1.2456</v>
      </c>
      <c r="I84" s="23" t="s">
        <v>303</v>
      </c>
      <c r="J84" s="23" t="s">
        <v>289</v>
      </c>
    </row>
    <row r="85" customFormat="false" ht="15" hidden="false" customHeight="false" outlineLevel="0" collapsed="false">
      <c r="A85" s="23" t="s">
        <v>139</v>
      </c>
      <c r="B85" s="23" t="s">
        <v>343</v>
      </c>
      <c r="C85" s="24" t="s">
        <v>288</v>
      </c>
      <c r="D85" s="23" t="n">
        <v>0.0184</v>
      </c>
      <c r="E85" s="23" t="n">
        <v>2.0703</v>
      </c>
      <c r="F85" s="23" t="n">
        <v>0.0141</v>
      </c>
      <c r="G85" s="23" t="n">
        <v>1.5994</v>
      </c>
      <c r="H85" s="23" t="n">
        <v>0.5957</v>
      </c>
      <c r="I85" s="23" t="s">
        <v>303</v>
      </c>
      <c r="J85" s="23" t="s">
        <v>289</v>
      </c>
    </row>
    <row r="86" customFormat="false" ht="15" hidden="false" customHeight="false" outlineLevel="0" collapsed="false">
      <c r="A86" s="23" t="s">
        <v>139</v>
      </c>
      <c r="B86" s="23" t="s">
        <v>343</v>
      </c>
      <c r="C86" s="24" t="s">
        <v>290</v>
      </c>
      <c r="D86" s="23" t="n">
        <v>0.0079</v>
      </c>
      <c r="E86" s="23" t="n">
        <v>2.4155</v>
      </c>
      <c r="F86" s="23" t="n">
        <v>0.0185</v>
      </c>
      <c r="G86" s="23" t="n">
        <v>3.0584</v>
      </c>
      <c r="H86" s="23" t="n">
        <v>-0.9816</v>
      </c>
      <c r="I86" s="23" t="s">
        <v>303</v>
      </c>
      <c r="J86" s="23" t="s">
        <v>289</v>
      </c>
    </row>
    <row r="87" customFormat="false" ht="15" hidden="false" customHeight="false" outlineLevel="0" collapsed="false">
      <c r="A87" s="23" t="s">
        <v>139</v>
      </c>
      <c r="B87" s="23" t="s">
        <v>343</v>
      </c>
      <c r="C87" s="24" t="s">
        <v>292</v>
      </c>
      <c r="D87" s="23" t="n">
        <v>0.0389</v>
      </c>
      <c r="E87" s="23" t="n">
        <v>1.729</v>
      </c>
      <c r="F87" s="23" t="n">
        <v>0.0325</v>
      </c>
      <c r="G87" s="23" t="n">
        <v>1.7879</v>
      </c>
      <c r="H87" s="23" t="n">
        <v>0</v>
      </c>
      <c r="I87" s="23" t="s">
        <v>303</v>
      </c>
      <c r="J87" s="23" t="s">
        <v>289</v>
      </c>
    </row>
    <row r="88" customFormat="false" ht="15" hidden="false" customHeight="false" outlineLevel="0" collapsed="false">
      <c r="A88" s="23" t="s">
        <v>311</v>
      </c>
      <c r="B88" s="23" t="s">
        <v>344</v>
      </c>
      <c r="C88" s="24" t="s">
        <v>286</v>
      </c>
      <c r="D88" s="23" t="n">
        <v>0.0959</v>
      </c>
      <c r="E88" s="23" t="n">
        <v>2.343</v>
      </c>
      <c r="F88" s="23" t="n">
        <v>0.0128</v>
      </c>
      <c r="G88" s="23" t="n">
        <v>2.0633</v>
      </c>
      <c r="H88" s="23" t="n">
        <v>0.9516</v>
      </c>
      <c r="I88" s="23" t="s">
        <v>303</v>
      </c>
      <c r="J88" s="23" t="s">
        <v>284</v>
      </c>
    </row>
    <row r="89" customFormat="false" ht="15" hidden="false" customHeight="false" outlineLevel="0" collapsed="false">
      <c r="A89" s="23" t="s">
        <v>311</v>
      </c>
      <c r="B89" s="23" t="s">
        <v>344</v>
      </c>
      <c r="C89" s="24" t="s">
        <v>288</v>
      </c>
      <c r="D89" s="23" t="n">
        <v>0.0308</v>
      </c>
      <c r="E89" s="23" t="n">
        <v>2.224</v>
      </c>
      <c r="F89" s="23" t="n">
        <v>0.024</v>
      </c>
      <c r="G89" s="23" t="n">
        <v>2.3055</v>
      </c>
      <c r="H89" s="23" t="n">
        <v>0</v>
      </c>
      <c r="I89" s="23" t="s">
        <v>303</v>
      </c>
      <c r="J89" s="23" t="s">
        <v>284</v>
      </c>
    </row>
    <row r="90" customFormat="false" ht="15" hidden="false" customHeight="false" outlineLevel="0" collapsed="false">
      <c r="A90" s="23" t="s">
        <v>311</v>
      </c>
      <c r="B90" s="23" t="s">
        <v>344</v>
      </c>
      <c r="C90" s="24" t="s">
        <v>290</v>
      </c>
      <c r="D90" s="23" t="n">
        <v>0.0047</v>
      </c>
      <c r="E90" s="23" t="n">
        <v>2.653</v>
      </c>
      <c r="F90" s="23" t="n">
        <v>0.0131</v>
      </c>
      <c r="G90" s="23" t="n">
        <v>3.1274</v>
      </c>
      <c r="H90" s="23" t="n">
        <v>-0.8379</v>
      </c>
      <c r="I90" s="23" t="s">
        <v>303</v>
      </c>
      <c r="J90" s="23" t="s">
        <v>284</v>
      </c>
    </row>
    <row r="91" customFormat="false" ht="15" hidden="false" customHeight="false" outlineLevel="0" collapsed="false">
      <c r="A91" s="23" t="s">
        <v>311</v>
      </c>
      <c r="B91" s="23" t="s">
        <v>344</v>
      </c>
      <c r="C91" s="24" t="s">
        <v>292</v>
      </c>
      <c r="D91" s="23" t="n">
        <v>0.008</v>
      </c>
      <c r="E91" s="23" t="n">
        <v>2.0149</v>
      </c>
      <c r="F91" s="23" t="n">
        <v>0.0382</v>
      </c>
      <c r="G91" s="23" t="n">
        <v>2.1673</v>
      </c>
      <c r="H91" s="23" t="n">
        <v>-0.6842</v>
      </c>
      <c r="I91" s="23" t="s">
        <v>303</v>
      </c>
      <c r="J91" s="23" t="s">
        <v>284</v>
      </c>
    </row>
    <row r="92" customFormat="false" ht="15" hidden="false" customHeight="false" outlineLevel="0" collapsed="false">
      <c r="A92" s="23" t="s">
        <v>313</v>
      </c>
      <c r="B92" s="23" t="s">
        <v>345</v>
      </c>
      <c r="C92" s="24" t="s">
        <v>286</v>
      </c>
      <c r="D92" s="23" t="n">
        <v>0.0323</v>
      </c>
      <c r="E92" s="23" t="n">
        <v>2.6825</v>
      </c>
      <c r="F92" s="23" t="n">
        <v>0.0239</v>
      </c>
      <c r="G92" s="23" t="n">
        <v>1.6827</v>
      </c>
      <c r="H92" s="23" t="n">
        <v>1.1878</v>
      </c>
      <c r="I92" s="23" t="s">
        <v>287</v>
      </c>
      <c r="J92" s="23" t="s">
        <v>289</v>
      </c>
    </row>
    <row r="93" customFormat="false" ht="15" hidden="false" customHeight="false" outlineLevel="0" collapsed="false">
      <c r="A93" s="23" t="s">
        <v>313</v>
      </c>
      <c r="B93" s="23" t="s">
        <v>345</v>
      </c>
      <c r="C93" s="24" t="s">
        <v>288</v>
      </c>
      <c r="D93" s="23" t="n">
        <v>0.0144</v>
      </c>
      <c r="E93" s="23" t="n">
        <v>2.1768</v>
      </c>
      <c r="F93" s="23" t="n">
        <v>0.0117</v>
      </c>
      <c r="G93" s="23" t="n">
        <v>1.6398</v>
      </c>
      <c r="H93" s="23" t="n">
        <v>0.6524</v>
      </c>
      <c r="I93" s="23" t="s">
        <v>287</v>
      </c>
      <c r="J93" s="23" t="s">
        <v>289</v>
      </c>
    </row>
    <row r="94" customFormat="false" ht="15" hidden="false" customHeight="false" outlineLevel="0" collapsed="false">
      <c r="A94" s="23" t="s">
        <v>313</v>
      </c>
      <c r="B94" s="23" t="s">
        <v>345</v>
      </c>
      <c r="C94" s="24" t="s">
        <v>290</v>
      </c>
      <c r="D94" s="23" t="n">
        <v>0.0209</v>
      </c>
      <c r="E94" s="23" t="n">
        <v>2.1772</v>
      </c>
      <c r="F94" s="23" t="n">
        <v>0.0285</v>
      </c>
      <c r="G94" s="23" t="n">
        <v>3.3764</v>
      </c>
      <c r="H94" s="23" t="n">
        <v>-1.4395</v>
      </c>
      <c r="I94" s="23" t="s">
        <v>287</v>
      </c>
      <c r="J94" s="23" t="s">
        <v>289</v>
      </c>
    </row>
    <row r="95" customFormat="false" ht="15" hidden="false" customHeight="false" outlineLevel="0" collapsed="false">
      <c r="A95" s="23" t="s">
        <v>313</v>
      </c>
      <c r="B95" s="23" t="s">
        <v>345</v>
      </c>
      <c r="C95" s="24" t="s">
        <v>292</v>
      </c>
      <c r="D95" s="23" t="n">
        <v>0.0584</v>
      </c>
      <c r="E95" s="23" t="n">
        <v>1.6432</v>
      </c>
      <c r="F95" s="23" t="n">
        <v>0.0769</v>
      </c>
      <c r="G95" s="23" t="n">
        <v>2.6834</v>
      </c>
      <c r="H95" s="23" t="n">
        <v>-1.2484</v>
      </c>
      <c r="I95" s="23" t="s">
        <v>287</v>
      </c>
      <c r="J95" s="23" t="s">
        <v>289</v>
      </c>
    </row>
    <row r="96" customFormat="false" ht="15" hidden="false" customHeight="false" outlineLevel="0" collapsed="false">
      <c r="A96" s="23" t="s">
        <v>314</v>
      </c>
      <c r="B96" s="23" t="s">
        <v>346</v>
      </c>
      <c r="C96" s="24" t="s">
        <v>286</v>
      </c>
      <c r="D96" s="23" t="n">
        <v>0.0424</v>
      </c>
      <c r="E96" s="23" t="n">
        <v>2.4289</v>
      </c>
      <c r="F96" s="23" t="n">
        <v>0.0315</v>
      </c>
      <c r="G96" s="23" t="n">
        <v>1.8297</v>
      </c>
      <c r="H96" s="23" t="n">
        <v>0.8056</v>
      </c>
      <c r="I96" s="23" t="s">
        <v>287</v>
      </c>
      <c r="J96" s="23" t="s">
        <v>289</v>
      </c>
    </row>
    <row r="97" customFormat="false" ht="15" hidden="false" customHeight="false" outlineLevel="0" collapsed="false">
      <c r="A97" s="23" t="s">
        <v>314</v>
      </c>
      <c r="B97" s="23" t="s">
        <v>346</v>
      </c>
      <c r="C97" s="24" t="s">
        <v>288</v>
      </c>
      <c r="D97" s="23" t="n">
        <v>0.0057</v>
      </c>
      <c r="E97" s="23" t="n">
        <v>2.4786</v>
      </c>
      <c r="F97" s="23" t="n">
        <v>0.0067</v>
      </c>
      <c r="G97" s="23" t="n">
        <v>2.697</v>
      </c>
      <c r="H97" s="23" t="n">
        <v>-0.3105</v>
      </c>
      <c r="I97" s="23" t="s">
        <v>287</v>
      </c>
      <c r="J97" s="23" t="s">
        <v>289</v>
      </c>
    </row>
    <row r="98" customFormat="false" ht="15" hidden="false" customHeight="false" outlineLevel="0" collapsed="false">
      <c r="A98" s="23" t="s">
        <v>314</v>
      </c>
      <c r="B98" s="23" t="s">
        <v>346</v>
      </c>
      <c r="C98" s="24" t="s">
        <v>290</v>
      </c>
      <c r="D98" s="23" t="n">
        <v>0.0322</v>
      </c>
      <c r="E98" s="23" t="n">
        <v>2.1313</v>
      </c>
      <c r="F98" s="23" t="n">
        <v>0.042</v>
      </c>
      <c r="G98" s="23" t="n">
        <v>2.0313</v>
      </c>
      <c r="H98" s="23" t="n">
        <v>0</v>
      </c>
      <c r="I98" s="23" t="s">
        <v>287</v>
      </c>
      <c r="J98" s="23" t="s">
        <v>289</v>
      </c>
    </row>
    <row r="99" customFormat="false" ht="15" hidden="false" customHeight="false" outlineLevel="0" collapsed="false">
      <c r="A99" s="23" t="s">
        <v>314</v>
      </c>
      <c r="B99" s="23" t="s">
        <v>346</v>
      </c>
      <c r="C99" s="24" t="s">
        <v>292</v>
      </c>
      <c r="D99" s="23" t="n">
        <v>0.0645</v>
      </c>
      <c r="E99" s="23" t="n">
        <v>1.94</v>
      </c>
      <c r="F99" s="23" t="n">
        <v>0.0453</v>
      </c>
      <c r="G99" s="23" t="n">
        <v>2.4867</v>
      </c>
      <c r="H99" s="23" t="n">
        <v>-0.4982</v>
      </c>
      <c r="I99" s="23" t="s">
        <v>287</v>
      </c>
      <c r="J99" s="23" t="s">
        <v>289</v>
      </c>
    </row>
    <row r="100" customFormat="false" ht="15" hidden="false" customHeight="false" outlineLevel="0" collapsed="false">
      <c r="A100" s="23" t="s">
        <v>315</v>
      </c>
      <c r="B100" s="23" t="s">
        <v>347</v>
      </c>
      <c r="C100" s="24" t="s">
        <v>286</v>
      </c>
      <c r="D100" s="23" t="n">
        <v>0.046</v>
      </c>
      <c r="E100" s="23" t="n">
        <v>2.4312</v>
      </c>
      <c r="F100" s="23" t="n">
        <v>0.0051</v>
      </c>
      <c r="G100" s="23" t="n">
        <v>1.0697</v>
      </c>
      <c r="H100" s="23" t="n">
        <v>2.2748</v>
      </c>
      <c r="I100" s="23" t="s">
        <v>287</v>
      </c>
      <c r="J100" s="23" t="s">
        <v>284</v>
      </c>
    </row>
    <row r="101" customFormat="false" ht="15" hidden="false" customHeight="false" outlineLevel="0" collapsed="false">
      <c r="A101" s="23" t="s">
        <v>315</v>
      </c>
      <c r="B101" s="23" t="s">
        <v>347</v>
      </c>
      <c r="C101" s="24" t="s">
        <v>288</v>
      </c>
      <c r="D101" s="23" t="n">
        <v>0.0074</v>
      </c>
      <c r="E101" s="23" t="n">
        <v>2.4442</v>
      </c>
      <c r="F101" s="23" t="n">
        <v>0.0009</v>
      </c>
      <c r="G101" s="23" t="n">
        <v>1.3061</v>
      </c>
      <c r="H101" s="23" t="n">
        <v>2.0109</v>
      </c>
      <c r="I101" s="23" t="s">
        <v>287</v>
      </c>
      <c r="J101" s="23" t="s">
        <v>284</v>
      </c>
    </row>
    <row r="102" customFormat="false" ht="15" hidden="false" customHeight="false" outlineLevel="0" collapsed="false">
      <c r="A102" s="23" t="s">
        <v>315</v>
      </c>
      <c r="B102" s="23" t="s">
        <v>347</v>
      </c>
      <c r="C102" s="24" t="s">
        <v>290</v>
      </c>
      <c r="D102" s="23" t="n">
        <v>0.0086</v>
      </c>
      <c r="E102" s="23" t="n">
        <v>2.7326</v>
      </c>
      <c r="F102" s="23" t="n">
        <v>0.0131</v>
      </c>
      <c r="G102" s="23" t="n">
        <v>2.576</v>
      </c>
      <c r="H102" s="23" t="n">
        <v>0</v>
      </c>
      <c r="I102" s="23" t="s">
        <v>287</v>
      </c>
      <c r="J102" s="23" t="s">
        <v>284</v>
      </c>
    </row>
    <row r="103" customFormat="false" ht="15" hidden="false" customHeight="false" outlineLevel="0" collapsed="false">
      <c r="A103" s="23" t="s">
        <v>315</v>
      </c>
      <c r="B103" s="23" t="s">
        <v>347</v>
      </c>
      <c r="C103" s="24" t="s">
        <v>292</v>
      </c>
      <c r="D103" s="23" t="n">
        <v>0.0114</v>
      </c>
      <c r="E103" s="23" t="n">
        <v>2.086</v>
      </c>
      <c r="F103" s="23" t="n">
        <v>0.0224</v>
      </c>
      <c r="G103" s="23" t="n">
        <v>1.8368</v>
      </c>
      <c r="H103" s="23" t="n">
        <v>0</v>
      </c>
      <c r="I103" s="23" t="s">
        <v>287</v>
      </c>
      <c r="J103" s="23" t="s">
        <v>284</v>
      </c>
    </row>
    <row r="104" customFormat="false" ht="15" hidden="false" customHeight="false" outlineLevel="0" collapsed="false">
      <c r="A104" s="23" t="s">
        <v>316</v>
      </c>
      <c r="B104" s="23" t="s">
        <v>348</v>
      </c>
      <c r="C104" s="24" t="s">
        <v>286</v>
      </c>
      <c r="D104" s="23" t="n">
        <v>0.1571</v>
      </c>
      <c r="E104" s="23" t="n">
        <v>2.1817</v>
      </c>
      <c r="F104" s="23" t="n">
        <v>0.0224</v>
      </c>
      <c r="G104" s="23" t="n">
        <v>1.7845</v>
      </c>
      <c r="H104" s="23" t="n">
        <v>1.066</v>
      </c>
      <c r="I104" s="23" t="s">
        <v>303</v>
      </c>
      <c r="J104" s="23" t="s">
        <v>284</v>
      </c>
    </row>
    <row r="105" customFormat="false" ht="15" hidden="false" customHeight="false" outlineLevel="0" collapsed="false">
      <c r="A105" s="23" t="s">
        <v>316</v>
      </c>
      <c r="B105" s="23" t="s">
        <v>348</v>
      </c>
      <c r="C105" s="24" t="s">
        <v>288</v>
      </c>
      <c r="D105" s="23" t="n">
        <v>0.0416</v>
      </c>
      <c r="E105" s="23" t="n">
        <v>2.0509</v>
      </c>
      <c r="F105" s="23" t="n">
        <v>0.0219</v>
      </c>
      <c r="G105" s="23" t="n">
        <v>1.419</v>
      </c>
      <c r="H105" s="23" t="n">
        <v>0.8963</v>
      </c>
      <c r="I105" s="23" t="s">
        <v>303</v>
      </c>
      <c r="J105" s="23" t="s">
        <v>284</v>
      </c>
    </row>
    <row r="106" customFormat="false" ht="15" hidden="false" customHeight="false" outlineLevel="0" collapsed="false">
      <c r="A106" s="23" t="s">
        <v>316</v>
      </c>
      <c r="B106" s="23" t="s">
        <v>348</v>
      </c>
      <c r="C106" s="24" t="s">
        <v>290</v>
      </c>
      <c r="D106" s="23" t="n">
        <v>0.0177</v>
      </c>
      <c r="E106" s="23" t="n">
        <v>2.337</v>
      </c>
      <c r="F106" s="23" t="n">
        <v>0.0176</v>
      </c>
      <c r="G106" s="23" t="n">
        <v>2.3313</v>
      </c>
      <c r="H106" s="23" t="n">
        <v>0</v>
      </c>
      <c r="I106" s="23" t="s">
        <v>303</v>
      </c>
      <c r="J106" s="23" t="s">
        <v>284</v>
      </c>
    </row>
    <row r="107" customFormat="false" ht="15" hidden="false" customHeight="false" outlineLevel="0" collapsed="false">
      <c r="A107" s="23" t="s">
        <v>316</v>
      </c>
      <c r="B107" s="23" t="s">
        <v>348</v>
      </c>
      <c r="C107" s="24" t="s">
        <v>292</v>
      </c>
      <c r="D107" s="23" t="n">
        <v>0.1041</v>
      </c>
      <c r="E107" s="23" t="n">
        <v>1.2185</v>
      </c>
      <c r="F107" s="23" t="n">
        <v>0.0761</v>
      </c>
      <c r="G107" s="23" t="n">
        <v>1.3077</v>
      </c>
      <c r="H107" s="23" t="n">
        <v>0</v>
      </c>
      <c r="I107" s="23" t="s">
        <v>303</v>
      </c>
      <c r="J107" s="23" t="s">
        <v>284</v>
      </c>
    </row>
    <row r="108" customFormat="false" ht="15" hidden="false" customHeight="false" outlineLevel="0" collapsed="false">
      <c r="A108" s="23" t="s">
        <v>318</v>
      </c>
      <c r="B108" s="23" t="s">
        <v>349</v>
      </c>
      <c r="C108" s="24" t="s">
        <v>286</v>
      </c>
      <c r="D108" s="23" t="n">
        <v>0.1014</v>
      </c>
      <c r="E108" s="23" t="n">
        <v>2.3448</v>
      </c>
      <c r="F108" s="23" t="n">
        <v>0.0315</v>
      </c>
      <c r="G108" s="23" t="n">
        <v>2.0342</v>
      </c>
      <c r="H108" s="23" t="n">
        <v>0.7485</v>
      </c>
      <c r="I108" s="23" t="s">
        <v>303</v>
      </c>
      <c r="J108" s="23" t="s">
        <v>284</v>
      </c>
    </row>
    <row r="109" customFormat="false" ht="15" hidden="false" customHeight="false" outlineLevel="0" collapsed="false">
      <c r="A109" s="23" t="s">
        <v>318</v>
      </c>
      <c r="B109" s="23" t="s">
        <v>349</v>
      </c>
      <c r="C109" s="24" t="s">
        <v>288</v>
      </c>
      <c r="D109" s="23" t="n">
        <v>0.0291</v>
      </c>
      <c r="E109" s="23" t="n">
        <v>2.0893</v>
      </c>
      <c r="F109" s="23" t="n">
        <v>0.0283</v>
      </c>
      <c r="G109" s="23" t="n">
        <v>2.0907</v>
      </c>
      <c r="H109" s="23" t="n">
        <v>0</v>
      </c>
      <c r="I109" s="23" t="s">
        <v>303</v>
      </c>
      <c r="J109" s="23" t="s">
        <v>284</v>
      </c>
    </row>
    <row r="110" customFormat="false" ht="15" hidden="false" customHeight="false" outlineLevel="0" collapsed="false">
      <c r="A110" s="23" t="s">
        <v>318</v>
      </c>
      <c r="B110" s="23" t="s">
        <v>349</v>
      </c>
      <c r="C110" s="24" t="s">
        <v>290</v>
      </c>
      <c r="D110" s="23" t="n">
        <v>0.0175</v>
      </c>
      <c r="E110" s="23" t="n">
        <v>2.4846</v>
      </c>
      <c r="F110" s="23" t="n">
        <v>0.0225</v>
      </c>
      <c r="G110" s="23" t="n">
        <v>2.4106</v>
      </c>
      <c r="H110" s="23" t="n">
        <v>0</v>
      </c>
      <c r="I110" s="23" t="s">
        <v>303</v>
      </c>
      <c r="J110" s="23" t="s">
        <v>284</v>
      </c>
    </row>
    <row r="111" customFormat="false" ht="15" hidden="false" customHeight="false" outlineLevel="0" collapsed="false">
      <c r="A111" s="23" t="s">
        <v>318</v>
      </c>
      <c r="B111" s="23" t="s">
        <v>349</v>
      </c>
      <c r="C111" s="24" t="s">
        <v>292</v>
      </c>
      <c r="D111" s="23" t="n">
        <v>0.0515</v>
      </c>
      <c r="E111" s="23" t="n">
        <v>1.5198</v>
      </c>
      <c r="F111" s="23" t="n">
        <v>0.0571</v>
      </c>
      <c r="G111" s="23" t="n">
        <v>1.4898</v>
      </c>
      <c r="H111" s="23" t="n">
        <v>0</v>
      </c>
      <c r="I111" s="23" t="s">
        <v>303</v>
      </c>
      <c r="J111" s="23" t="s">
        <v>284</v>
      </c>
    </row>
    <row r="112" customFormat="false" ht="15" hidden="false" customHeight="false" outlineLevel="0" collapsed="false">
      <c r="A112" s="23" t="s">
        <v>319</v>
      </c>
      <c r="B112" s="23" t="s">
        <v>350</v>
      </c>
      <c r="C112" s="24" t="s">
        <v>286</v>
      </c>
      <c r="D112" s="23" t="n">
        <v>0.1754</v>
      </c>
      <c r="E112" s="23" t="n">
        <v>2.1616</v>
      </c>
      <c r="F112" s="23" t="n">
        <v>0.0285</v>
      </c>
      <c r="G112" s="23" t="n">
        <v>1.8501</v>
      </c>
      <c r="H112" s="23" t="n">
        <v>1.0204</v>
      </c>
      <c r="I112" s="23" t="s">
        <v>303</v>
      </c>
      <c r="J112" s="23" t="s">
        <v>284</v>
      </c>
    </row>
    <row r="113" customFormat="false" ht="15" hidden="false" customHeight="false" outlineLevel="0" collapsed="false">
      <c r="A113" s="23" t="s">
        <v>319</v>
      </c>
      <c r="B113" s="23" t="s">
        <v>350</v>
      </c>
      <c r="C113" s="24" t="s">
        <v>288</v>
      </c>
      <c r="D113" s="23" t="n">
        <v>0.0381</v>
      </c>
      <c r="E113" s="23" t="n">
        <v>2.0991</v>
      </c>
      <c r="F113" s="23" t="n">
        <v>0.0326</v>
      </c>
      <c r="G113" s="23" t="n">
        <v>1.81</v>
      </c>
      <c r="H113" s="23" t="n">
        <v>0.4153</v>
      </c>
      <c r="I113" s="23" t="s">
        <v>303</v>
      </c>
      <c r="J113" s="23" t="s">
        <v>284</v>
      </c>
    </row>
    <row r="114" customFormat="false" ht="15" hidden="false" customHeight="false" outlineLevel="0" collapsed="false">
      <c r="A114" s="23" t="s">
        <v>319</v>
      </c>
      <c r="B114" s="23" t="s">
        <v>350</v>
      </c>
      <c r="C114" s="24" t="s">
        <v>290</v>
      </c>
      <c r="D114" s="23" t="n">
        <v>0.0085</v>
      </c>
      <c r="E114" s="23" t="n">
        <v>2.779</v>
      </c>
      <c r="F114" s="23" t="n">
        <v>0.0013</v>
      </c>
      <c r="G114" s="23" t="n">
        <v>3.0637</v>
      </c>
      <c r="H114" s="23" t="n">
        <v>0.3153</v>
      </c>
      <c r="I114" s="23" t="s">
        <v>303</v>
      </c>
      <c r="J114" s="23" t="s">
        <v>284</v>
      </c>
    </row>
    <row r="115" customFormat="false" ht="15" hidden="false" customHeight="false" outlineLevel="0" collapsed="false">
      <c r="A115" s="23" t="s">
        <v>319</v>
      </c>
      <c r="B115" s="23" t="s">
        <v>350</v>
      </c>
      <c r="C115" s="24" t="s">
        <v>292</v>
      </c>
      <c r="D115" s="23" t="n">
        <v>0.0373</v>
      </c>
      <c r="E115" s="23" t="n">
        <v>1.674</v>
      </c>
      <c r="F115" s="23" t="n">
        <v>0.0582</v>
      </c>
      <c r="G115" s="23" t="n">
        <v>1.5438</v>
      </c>
      <c r="H115" s="23" t="n">
        <v>0</v>
      </c>
      <c r="I115" s="23" t="s">
        <v>303</v>
      </c>
      <c r="J115" s="23" t="s">
        <v>284</v>
      </c>
    </row>
    <row r="116" customFormat="false" ht="15" hidden="false" customHeight="false" outlineLevel="0" collapsed="false">
      <c r="A116" s="23" t="s">
        <v>320</v>
      </c>
      <c r="B116" s="23" t="s">
        <v>351</v>
      </c>
      <c r="C116" s="24" t="s">
        <v>286</v>
      </c>
      <c r="D116" s="23" t="n">
        <v>0.0564</v>
      </c>
      <c r="E116" s="23" t="n">
        <v>2.4465</v>
      </c>
      <c r="F116" s="23" t="n">
        <v>0.0106</v>
      </c>
      <c r="G116" s="23" t="n">
        <v>1.7725</v>
      </c>
      <c r="H116" s="23" t="n">
        <v>1.3285</v>
      </c>
      <c r="I116" s="23" t="s">
        <v>303</v>
      </c>
      <c r="J116" s="23" t="s">
        <v>289</v>
      </c>
    </row>
    <row r="117" customFormat="false" ht="15" hidden="false" customHeight="false" outlineLevel="0" collapsed="false">
      <c r="A117" s="23" t="s">
        <v>320</v>
      </c>
      <c r="B117" s="23" t="s">
        <v>351</v>
      </c>
      <c r="C117" s="24" t="s">
        <v>288</v>
      </c>
      <c r="D117" s="23" t="n">
        <v>0.0188</v>
      </c>
      <c r="E117" s="23" t="n">
        <v>2.0527</v>
      </c>
      <c r="F117" s="23" t="n">
        <v>0.0277</v>
      </c>
      <c r="G117" s="23" t="n">
        <v>1.5192</v>
      </c>
      <c r="H117" s="23" t="n">
        <v>0.4645</v>
      </c>
      <c r="I117" s="23" t="s">
        <v>303</v>
      </c>
      <c r="J117" s="23" t="s">
        <v>289</v>
      </c>
    </row>
    <row r="118" customFormat="false" ht="15" hidden="false" customHeight="false" outlineLevel="0" collapsed="false">
      <c r="A118" s="23" t="s">
        <v>320</v>
      </c>
      <c r="B118" s="23" t="s">
        <v>351</v>
      </c>
      <c r="C118" s="24" t="s">
        <v>290</v>
      </c>
      <c r="D118" s="23" t="n">
        <v>0.0033</v>
      </c>
      <c r="E118" s="23" t="n">
        <v>2.7515</v>
      </c>
      <c r="F118" s="23" t="n">
        <v>0.0125</v>
      </c>
      <c r="G118" s="23" t="n">
        <v>3.3865</v>
      </c>
      <c r="H118" s="23" t="n">
        <v>-1.1939</v>
      </c>
      <c r="I118" s="23" t="s">
        <v>303</v>
      </c>
      <c r="J118" s="23" t="s">
        <v>289</v>
      </c>
    </row>
    <row r="119" customFormat="false" ht="15" hidden="false" customHeight="false" outlineLevel="0" collapsed="false">
      <c r="A119" s="23" t="s">
        <v>320</v>
      </c>
      <c r="B119" s="23" t="s">
        <v>351</v>
      </c>
      <c r="C119" s="24" t="s">
        <v>292</v>
      </c>
      <c r="D119" s="23" t="n">
        <v>0.0212</v>
      </c>
      <c r="E119" s="23" t="n">
        <v>2.069</v>
      </c>
      <c r="F119" s="23" t="n">
        <v>0.0731</v>
      </c>
      <c r="G119" s="23" t="n">
        <v>2.3439</v>
      </c>
      <c r="H119" s="23" t="n">
        <v>-0.7378</v>
      </c>
      <c r="I119" s="23" t="s">
        <v>303</v>
      </c>
      <c r="J119" s="23" t="s">
        <v>289</v>
      </c>
    </row>
    <row r="120" customFormat="false" ht="15" hidden="false" customHeight="false" outlineLevel="0" collapsed="false">
      <c r="A120" s="23" t="s">
        <v>321</v>
      </c>
      <c r="B120" s="23" t="s">
        <v>352</v>
      </c>
      <c r="C120" s="24" t="s">
        <v>286</v>
      </c>
      <c r="D120" s="23" t="n">
        <v>0.0989</v>
      </c>
      <c r="E120" s="23" t="n">
        <v>2.2814</v>
      </c>
      <c r="F120" s="23" t="n">
        <v>0.0143</v>
      </c>
      <c r="G120" s="23" t="n">
        <v>1.6441</v>
      </c>
      <c r="H120" s="23" t="n">
        <v>1.4065</v>
      </c>
      <c r="I120" s="23" t="s">
        <v>303</v>
      </c>
      <c r="J120" s="23" t="s">
        <v>289</v>
      </c>
    </row>
    <row r="121" customFormat="false" ht="15" hidden="false" customHeight="false" outlineLevel="0" collapsed="false">
      <c r="A121" s="23" t="s">
        <v>321</v>
      </c>
      <c r="B121" s="23" t="s">
        <v>352</v>
      </c>
      <c r="C121" s="24" t="s">
        <v>288</v>
      </c>
      <c r="D121" s="23" t="n">
        <v>0.022</v>
      </c>
      <c r="E121" s="23" t="n">
        <v>2.0908</v>
      </c>
      <c r="F121" s="23" t="n">
        <v>0.0274</v>
      </c>
      <c r="G121" s="23" t="n">
        <v>2.0188</v>
      </c>
      <c r="H121" s="23" t="n">
        <v>0</v>
      </c>
      <c r="I121" s="23" t="s">
        <v>303</v>
      </c>
      <c r="J121" s="23" t="s">
        <v>289</v>
      </c>
    </row>
    <row r="122" customFormat="false" ht="15" hidden="false" customHeight="false" outlineLevel="0" collapsed="false">
      <c r="A122" s="23" t="s">
        <v>321</v>
      </c>
      <c r="B122" s="23" t="s">
        <v>352</v>
      </c>
      <c r="C122" s="24" t="s">
        <v>290</v>
      </c>
      <c r="D122" s="23" t="n">
        <v>0.0005</v>
      </c>
      <c r="E122" s="23" t="n">
        <v>3.275</v>
      </c>
      <c r="F122" s="23" t="n">
        <v>0.0005</v>
      </c>
      <c r="G122" s="23" t="n">
        <v>3.3136</v>
      </c>
      <c r="H122" s="23" t="n">
        <v>0</v>
      </c>
      <c r="I122" s="23" t="s">
        <v>303</v>
      </c>
      <c r="J122" s="23" t="s">
        <v>289</v>
      </c>
    </row>
    <row r="123" customFormat="false" ht="15" hidden="false" customHeight="false" outlineLevel="0" collapsed="false">
      <c r="A123" s="23" t="s">
        <v>321</v>
      </c>
      <c r="B123" s="23" t="s">
        <v>352</v>
      </c>
      <c r="C123" s="24" t="s">
        <v>292</v>
      </c>
      <c r="D123" s="23" t="n">
        <v>0.0066</v>
      </c>
      <c r="E123" s="23" t="n">
        <v>2.4213</v>
      </c>
      <c r="F123" s="23" t="n">
        <v>0.0106</v>
      </c>
      <c r="G123" s="23" t="n">
        <v>2.2709</v>
      </c>
      <c r="H123" s="23" t="n">
        <v>0</v>
      </c>
      <c r="I123" s="23" t="s">
        <v>303</v>
      </c>
      <c r="J123" s="23" t="s">
        <v>289</v>
      </c>
    </row>
    <row r="124" customFormat="false" ht="15" hidden="false" customHeight="false" outlineLevel="0" collapsed="false">
      <c r="A124" s="23" t="s">
        <v>323</v>
      </c>
      <c r="B124" s="23" t="s">
        <v>353</v>
      </c>
      <c r="C124" s="24" t="s">
        <v>286</v>
      </c>
      <c r="D124" s="23" t="n">
        <v>0.2324</v>
      </c>
      <c r="E124" s="23" t="n">
        <v>2.1</v>
      </c>
      <c r="F124" s="23" t="n">
        <v>0.0274</v>
      </c>
      <c r="G124" s="23" t="n">
        <v>1.7126</v>
      </c>
      <c r="H124" s="23" t="n">
        <v>1.1086</v>
      </c>
      <c r="I124" s="23" t="s">
        <v>303</v>
      </c>
      <c r="J124" s="23" t="s">
        <v>284</v>
      </c>
    </row>
    <row r="125" customFormat="false" ht="15" hidden="false" customHeight="false" outlineLevel="0" collapsed="false">
      <c r="A125" s="23" t="s">
        <v>323</v>
      </c>
      <c r="B125" s="23" t="s">
        <v>353</v>
      </c>
      <c r="C125" s="24" t="s">
        <v>288</v>
      </c>
      <c r="D125" s="23" t="n">
        <v>0.0278</v>
      </c>
      <c r="E125" s="23" t="n">
        <v>2.0433</v>
      </c>
      <c r="F125" s="23" t="n">
        <v>0.0123</v>
      </c>
      <c r="G125" s="23" t="n">
        <v>1.825</v>
      </c>
      <c r="H125" s="23" t="n">
        <v>0.501</v>
      </c>
      <c r="I125" s="23" t="s">
        <v>303</v>
      </c>
      <c r="J125" s="23" t="s">
        <v>284</v>
      </c>
    </row>
    <row r="126" customFormat="false" ht="15" hidden="false" customHeight="false" outlineLevel="0" collapsed="false">
      <c r="A126" s="23" t="s">
        <v>323</v>
      </c>
      <c r="B126" s="23" t="s">
        <v>353</v>
      </c>
      <c r="C126" s="24" t="s">
        <v>290</v>
      </c>
      <c r="D126" s="23" t="n">
        <v>0.0028</v>
      </c>
      <c r="E126" s="23" t="n">
        <v>3.102</v>
      </c>
      <c r="F126" s="23" t="n">
        <v>0.0543</v>
      </c>
      <c r="G126" s="23" t="n">
        <v>3.7343</v>
      </c>
      <c r="H126" s="23" t="n">
        <v>-1.6497</v>
      </c>
      <c r="I126" s="23" t="s">
        <v>303</v>
      </c>
      <c r="J126" s="23" t="s">
        <v>284</v>
      </c>
    </row>
    <row r="127" customFormat="false" ht="15" hidden="false" customHeight="false" outlineLevel="0" collapsed="false">
      <c r="A127" s="23" t="s">
        <v>323</v>
      </c>
      <c r="B127" s="23" t="s">
        <v>353</v>
      </c>
      <c r="C127" s="24" t="s">
        <v>292</v>
      </c>
      <c r="D127" s="23" t="n">
        <v>0.143</v>
      </c>
      <c r="E127" s="23" t="n">
        <v>1.258</v>
      </c>
      <c r="F127" s="23" t="n">
        <v>6.6808</v>
      </c>
      <c r="G127" s="23" t="n">
        <v>2.1092</v>
      </c>
      <c r="H127" s="23" t="n">
        <v>-2.1697</v>
      </c>
      <c r="I127" s="23" t="s">
        <v>303</v>
      </c>
      <c r="J127" s="23" t="s">
        <v>284</v>
      </c>
    </row>
    <row r="128" customFormat="false" ht="15" hidden="false" customHeight="false" outlineLevel="0" collapsed="false">
      <c r="A128" s="23" t="s">
        <v>324</v>
      </c>
      <c r="B128" s="23" t="s">
        <v>354</v>
      </c>
      <c r="C128" s="24" t="s">
        <v>286</v>
      </c>
      <c r="D128" s="23" t="n">
        <v>0.0302</v>
      </c>
      <c r="E128" s="23" t="n">
        <v>2.5776</v>
      </c>
      <c r="F128" s="23" t="n">
        <v>0.0237</v>
      </c>
      <c r="G128" s="23" t="n">
        <v>2.5813</v>
      </c>
      <c r="H128" s="23" t="n">
        <v>0.0822</v>
      </c>
      <c r="I128" s="23" t="s">
        <v>287</v>
      </c>
      <c r="J128" s="23" t="s">
        <v>289</v>
      </c>
    </row>
    <row r="129" customFormat="false" ht="15" hidden="false" customHeight="false" outlineLevel="0" collapsed="false">
      <c r="A129" s="23" t="s">
        <v>324</v>
      </c>
      <c r="B129" s="23" t="s">
        <v>354</v>
      </c>
      <c r="C129" s="24" t="s">
        <v>288</v>
      </c>
      <c r="D129" s="23" t="n">
        <v>0.0066</v>
      </c>
      <c r="E129" s="23" t="n">
        <v>2.4433</v>
      </c>
      <c r="F129" s="23" t="n">
        <v>0.0045</v>
      </c>
      <c r="G129" s="23" t="n">
        <v>1.2275</v>
      </c>
      <c r="H129" s="23" t="n">
        <v>1.519</v>
      </c>
      <c r="I129" s="23" t="s">
        <v>287</v>
      </c>
      <c r="J129" s="23" t="s">
        <v>289</v>
      </c>
    </row>
    <row r="130" customFormat="false" ht="15" hidden="false" customHeight="false" outlineLevel="0" collapsed="false">
      <c r="A130" s="23" t="s">
        <v>324</v>
      </c>
      <c r="B130" s="23" t="s">
        <v>354</v>
      </c>
      <c r="C130" s="24" t="s">
        <v>290</v>
      </c>
      <c r="D130" s="23" t="n">
        <v>0.0739</v>
      </c>
      <c r="E130" s="23" t="n">
        <v>1.8342</v>
      </c>
      <c r="F130" s="23" t="n">
        <v>0.0498</v>
      </c>
      <c r="G130" s="23" t="n">
        <v>1.9671</v>
      </c>
      <c r="H130" s="23" t="n">
        <v>0</v>
      </c>
      <c r="I130" s="23" t="s">
        <v>287</v>
      </c>
      <c r="J130" s="23" t="s">
        <v>289</v>
      </c>
    </row>
    <row r="131" customFormat="false" ht="15" hidden="false" customHeight="false" outlineLevel="0" collapsed="false">
      <c r="A131" s="23" t="s">
        <v>324</v>
      </c>
      <c r="B131" s="23" t="s">
        <v>354</v>
      </c>
      <c r="C131" s="24" t="s">
        <v>292</v>
      </c>
      <c r="D131" s="23" t="n">
        <v>0.0157</v>
      </c>
      <c r="E131" s="23" t="n">
        <v>2.3113</v>
      </c>
      <c r="F131" s="23" t="n">
        <v>0.014</v>
      </c>
      <c r="G131" s="23" t="n">
        <v>3.1305</v>
      </c>
      <c r="H131" s="23" t="n">
        <v>-0.907</v>
      </c>
      <c r="I131" s="23" t="s">
        <v>287</v>
      </c>
      <c r="J131" s="23" t="s">
        <v>289</v>
      </c>
    </row>
    <row r="132" customFormat="false" ht="15" hidden="false" customHeight="false" outlineLevel="0" collapsed="false">
      <c r="A132" s="23" t="s">
        <v>325</v>
      </c>
      <c r="B132" s="23" t="s">
        <v>355</v>
      </c>
      <c r="C132" s="24" t="s">
        <v>286</v>
      </c>
      <c r="D132" s="23" t="n">
        <v>0.025</v>
      </c>
      <c r="E132" s="23" t="n">
        <v>2.6378</v>
      </c>
      <c r="F132" s="23" t="n">
        <v>0.022</v>
      </c>
      <c r="G132" s="23" t="n">
        <v>1.6469</v>
      </c>
      <c r="H132" s="23" t="n">
        <v>1.1714</v>
      </c>
      <c r="I132" s="23" t="s">
        <v>287</v>
      </c>
      <c r="J132" s="23" t="s">
        <v>289</v>
      </c>
    </row>
    <row r="133" customFormat="false" ht="15" hidden="false" customHeight="false" outlineLevel="0" collapsed="false">
      <c r="A133" s="23" t="s">
        <v>325</v>
      </c>
      <c r="B133" s="23" t="s">
        <v>355</v>
      </c>
      <c r="C133" s="24" t="s">
        <v>288</v>
      </c>
      <c r="D133" s="23" t="n">
        <v>0.0061</v>
      </c>
      <c r="E133" s="23" t="n">
        <v>2.5375</v>
      </c>
      <c r="F133" s="23" t="n">
        <v>0.0061</v>
      </c>
      <c r="G133" s="23" t="n">
        <v>1.8603</v>
      </c>
      <c r="H133" s="23" t="n">
        <v>0.7693</v>
      </c>
      <c r="I133" s="23" t="s">
        <v>287</v>
      </c>
      <c r="J133" s="23" t="s">
        <v>289</v>
      </c>
    </row>
    <row r="134" customFormat="false" ht="15" hidden="false" customHeight="false" outlineLevel="0" collapsed="false">
      <c r="A134" s="23" t="s">
        <v>325</v>
      </c>
      <c r="B134" s="23" t="s">
        <v>355</v>
      </c>
      <c r="C134" s="24" t="s">
        <v>290</v>
      </c>
      <c r="D134" s="23" t="n">
        <v>0.0178</v>
      </c>
      <c r="E134" s="23" t="n">
        <v>2.4255</v>
      </c>
      <c r="F134" s="23" t="n">
        <v>0.0265</v>
      </c>
      <c r="G134" s="23" t="n">
        <v>3.6747</v>
      </c>
      <c r="H134" s="23" t="n">
        <v>-1.5958</v>
      </c>
      <c r="I134" s="23" t="s">
        <v>287</v>
      </c>
      <c r="J134" s="23" t="s">
        <v>289</v>
      </c>
    </row>
    <row r="135" customFormat="false" ht="15" hidden="false" customHeight="false" outlineLevel="0" collapsed="false">
      <c r="A135" s="23" t="s">
        <v>325</v>
      </c>
      <c r="B135" s="23" t="s">
        <v>355</v>
      </c>
      <c r="C135" s="24" t="s">
        <v>292</v>
      </c>
      <c r="D135" s="23" t="n">
        <v>0.0416</v>
      </c>
      <c r="E135" s="23" t="n">
        <v>2.013</v>
      </c>
      <c r="F135" s="23" t="n">
        <v>0.0509</v>
      </c>
      <c r="G135" s="23" t="n">
        <v>2.9909</v>
      </c>
      <c r="H135" s="23" t="n">
        <v>-1.2271</v>
      </c>
      <c r="I135" s="23" t="s">
        <v>287</v>
      </c>
      <c r="J135" s="23" t="s">
        <v>289</v>
      </c>
    </row>
    <row r="136" customFormat="false" ht="15" hidden="false" customHeight="false" outlineLevel="0" collapsed="false">
      <c r="A136" s="23" t="s">
        <v>326</v>
      </c>
      <c r="B136" s="23" t="s">
        <v>356</v>
      </c>
      <c r="C136" s="24" t="s">
        <v>286</v>
      </c>
      <c r="D136" s="23" t="n">
        <v>0.1315</v>
      </c>
      <c r="E136" s="23" t="n">
        <v>2.3129</v>
      </c>
      <c r="F136" s="23" t="n">
        <v>0.0301</v>
      </c>
      <c r="G136" s="23" t="n">
        <v>2.0313</v>
      </c>
      <c r="H136" s="23" t="n">
        <v>0.8171</v>
      </c>
      <c r="I136" s="23" t="s">
        <v>303</v>
      </c>
      <c r="J136" s="23" t="s">
        <v>284</v>
      </c>
    </row>
    <row r="137" customFormat="false" ht="15" hidden="false" customHeight="false" outlineLevel="0" collapsed="false">
      <c r="A137" s="23" t="s">
        <v>326</v>
      </c>
      <c r="B137" s="23" t="s">
        <v>356</v>
      </c>
      <c r="C137" s="24" t="s">
        <v>288</v>
      </c>
      <c r="D137" s="23" t="n">
        <v>0.0631</v>
      </c>
      <c r="E137" s="23" t="n">
        <v>1.9241</v>
      </c>
      <c r="F137" s="23" t="n">
        <v>0.0103</v>
      </c>
      <c r="G137" s="23" t="n">
        <v>1.7111</v>
      </c>
      <c r="H137" s="23" t="n">
        <v>0.8509</v>
      </c>
      <c r="I137" s="23" t="s">
        <v>303</v>
      </c>
      <c r="J137" s="23" t="s">
        <v>284</v>
      </c>
    </row>
    <row r="138" customFormat="false" ht="15" hidden="false" customHeight="false" outlineLevel="0" collapsed="false">
      <c r="A138" s="23" t="s">
        <v>326</v>
      </c>
      <c r="B138" s="23" t="s">
        <v>356</v>
      </c>
      <c r="C138" s="24" t="s">
        <v>290</v>
      </c>
      <c r="D138" s="23" t="n">
        <v>0.033</v>
      </c>
      <c r="E138" s="23" t="n">
        <v>2.3741</v>
      </c>
      <c r="F138" s="23" t="n">
        <v>0.0661</v>
      </c>
      <c r="G138" s="23" t="n">
        <v>2.594</v>
      </c>
      <c r="H138" s="23" t="n">
        <v>-0.4933</v>
      </c>
      <c r="I138" s="23" t="s">
        <v>303</v>
      </c>
      <c r="J138" s="23" t="s">
        <v>284</v>
      </c>
    </row>
    <row r="139" customFormat="false" ht="15" hidden="false" customHeight="false" outlineLevel="0" collapsed="false">
      <c r="A139" s="23" t="s">
        <v>326</v>
      </c>
      <c r="B139" s="23" t="s">
        <v>356</v>
      </c>
      <c r="C139" s="24" t="s">
        <v>292</v>
      </c>
      <c r="D139" s="23" t="n">
        <v>0.0393</v>
      </c>
      <c r="E139" s="23" t="n">
        <v>1.693</v>
      </c>
      <c r="F139" s="23" t="n">
        <v>2.5019</v>
      </c>
      <c r="G139" s="23" t="n">
        <v>2.4527</v>
      </c>
      <c r="H139" s="23" t="n">
        <v>-2.3008</v>
      </c>
      <c r="I139" s="23" t="s">
        <v>303</v>
      </c>
      <c r="J139" s="23" t="s">
        <v>284</v>
      </c>
    </row>
    <row r="140" customFormat="false" ht="15" hidden="false" customHeight="false" outlineLevel="0" collapsed="false">
      <c r="A140" s="23" t="s">
        <v>140</v>
      </c>
      <c r="B140" s="23" t="s">
        <v>357</v>
      </c>
      <c r="C140" s="24" t="s">
        <v>286</v>
      </c>
      <c r="D140" s="23" t="n">
        <v>0.0625</v>
      </c>
      <c r="E140" s="23" t="n">
        <v>2.4475</v>
      </c>
      <c r="F140" s="23" t="n">
        <v>0.0276</v>
      </c>
      <c r="G140" s="23" t="n">
        <v>1.6724</v>
      </c>
      <c r="H140" s="23" t="n">
        <v>1.1443</v>
      </c>
      <c r="I140" s="23" t="s">
        <v>303</v>
      </c>
      <c r="J140" s="23" t="s">
        <v>289</v>
      </c>
    </row>
    <row r="141" customFormat="false" ht="15" hidden="false" customHeight="false" outlineLevel="0" collapsed="false">
      <c r="A141" s="23" t="s">
        <v>140</v>
      </c>
      <c r="B141" s="23" t="s">
        <v>357</v>
      </c>
      <c r="C141" s="24" t="s">
        <v>288</v>
      </c>
      <c r="D141" s="23" t="n">
        <v>0.0174</v>
      </c>
      <c r="E141" s="23" t="n">
        <v>2.1109</v>
      </c>
      <c r="F141" s="23" t="n">
        <v>0.012</v>
      </c>
      <c r="G141" s="23" t="n">
        <v>1.7059</v>
      </c>
      <c r="H141" s="23" t="n">
        <v>0.5811</v>
      </c>
      <c r="I141" s="23" t="s">
        <v>303</v>
      </c>
      <c r="J141" s="23" t="s">
        <v>289</v>
      </c>
    </row>
    <row r="142" customFormat="false" ht="15" hidden="false" customHeight="false" outlineLevel="0" collapsed="false">
      <c r="A142" s="23" t="s">
        <v>140</v>
      </c>
      <c r="B142" s="23" t="s">
        <v>357</v>
      </c>
      <c r="C142" s="24" t="s">
        <v>290</v>
      </c>
      <c r="D142" s="23" t="n">
        <v>0.0196</v>
      </c>
      <c r="E142" s="23" t="n">
        <v>2.2652</v>
      </c>
      <c r="F142" s="23" t="n">
        <v>0.0336</v>
      </c>
      <c r="G142" s="23" t="n">
        <v>3.1335</v>
      </c>
      <c r="H142" s="23" t="n">
        <v>-1.1559</v>
      </c>
      <c r="I142" s="23" t="s">
        <v>303</v>
      </c>
      <c r="J142" s="23" t="s">
        <v>289</v>
      </c>
    </row>
    <row r="143" customFormat="false" ht="15" hidden="false" customHeight="false" outlineLevel="0" collapsed="false">
      <c r="A143" s="23" t="s">
        <v>140</v>
      </c>
      <c r="B143" s="23" t="s">
        <v>357</v>
      </c>
      <c r="C143" s="24" t="s">
        <v>292</v>
      </c>
      <c r="D143" s="23" t="n">
        <v>0.0801</v>
      </c>
      <c r="E143" s="23" t="n">
        <v>1.4875</v>
      </c>
      <c r="F143" s="23" t="n">
        <v>0.1324</v>
      </c>
      <c r="G143" s="23" t="n">
        <v>2.114</v>
      </c>
      <c r="H143" s="23" t="n">
        <v>-0.8781</v>
      </c>
      <c r="I143" s="23" t="s">
        <v>303</v>
      </c>
      <c r="J143" s="23" t="s">
        <v>289</v>
      </c>
    </row>
    <row r="144" customFormat="false" ht="15" hidden="false" customHeight="false" outlineLevel="0" collapsed="false">
      <c r="A144" s="23" t="s">
        <v>138</v>
      </c>
      <c r="B144" s="23" t="s">
        <v>358</v>
      </c>
      <c r="C144" s="24" t="s">
        <v>286</v>
      </c>
      <c r="D144" s="23" t="n">
        <v>0.0608</v>
      </c>
      <c r="E144" s="23" t="n">
        <v>2.4735</v>
      </c>
      <c r="F144" s="23" t="n">
        <v>0.0143</v>
      </c>
      <c r="G144" s="23" t="n">
        <v>1.9369</v>
      </c>
      <c r="H144" s="23" t="n">
        <v>1.0579</v>
      </c>
      <c r="I144" s="23" t="s">
        <v>287</v>
      </c>
      <c r="J144" s="23" t="s">
        <v>284</v>
      </c>
    </row>
    <row r="145" customFormat="false" ht="15" hidden="false" customHeight="false" outlineLevel="0" collapsed="false">
      <c r="A145" s="23" t="s">
        <v>138</v>
      </c>
      <c r="B145" s="23" t="s">
        <v>358</v>
      </c>
      <c r="C145" s="24" t="s">
        <v>288</v>
      </c>
      <c r="D145" s="23" t="n">
        <v>0.0159</v>
      </c>
      <c r="E145" s="23" t="n">
        <v>2.4123</v>
      </c>
      <c r="F145" s="23" t="n">
        <v>0.0063</v>
      </c>
      <c r="G145" s="23" t="n">
        <v>2.0744</v>
      </c>
      <c r="H145" s="23" t="n">
        <v>0.6691</v>
      </c>
      <c r="I145" s="23" t="s">
        <v>287</v>
      </c>
      <c r="J145" s="23" t="s">
        <v>284</v>
      </c>
    </row>
    <row r="146" customFormat="false" ht="15" hidden="false" customHeight="false" outlineLevel="0" collapsed="false">
      <c r="A146" s="23" t="s">
        <v>138</v>
      </c>
      <c r="B146" s="23" t="s">
        <v>358</v>
      </c>
      <c r="C146" s="24" t="s">
        <v>290</v>
      </c>
      <c r="D146" s="23" t="n">
        <v>0.0082</v>
      </c>
      <c r="E146" s="23" t="n">
        <v>2.5139</v>
      </c>
      <c r="F146" s="23" t="n">
        <v>0.015</v>
      </c>
      <c r="G146" s="23" t="n">
        <v>2.9068</v>
      </c>
      <c r="H146" s="23" t="n">
        <v>-0.6306</v>
      </c>
      <c r="I146" s="23" t="s">
        <v>287</v>
      </c>
      <c r="J146" s="23" t="s">
        <v>284</v>
      </c>
    </row>
    <row r="147" customFormat="false" ht="15" hidden="false" customHeight="false" outlineLevel="0" collapsed="false">
      <c r="A147" s="23" t="s">
        <v>138</v>
      </c>
      <c r="B147" s="23" t="s">
        <v>358</v>
      </c>
      <c r="C147" s="24" t="s">
        <v>292</v>
      </c>
      <c r="D147" s="23" t="n">
        <v>0.0235</v>
      </c>
      <c r="E147" s="23" t="n">
        <v>1.6656</v>
      </c>
      <c r="F147" s="23" t="n">
        <v>0.0284</v>
      </c>
      <c r="G147" s="23" t="n">
        <v>1.602</v>
      </c>
      <c r="H147" s="23" t="n">
        <v>0</v>
      </c>
      <c r="I147" s="23" t="s">
        <v>287</v>
      </c>
      <c r="J147" s="23" t="s">
        <v>284</v>
      </c>
    </row>
    <row r="148" customFormat="false" ht="15" hidden="false" customHeight="false" outlineLevel="0" collapsed="false">
      <c r="A148" s="23" t="s">
        <v>328</v>
      </c>
      <c r="B148" s="23" t="s">
        <v>359</v>
      </c>
      <c r="C148" s="24" t="s">
        <v>286</v>
      </c>
      <c r="D148" s="23" t="n">
        <v>0.0141</v>
      </c>
      <c r="E148" s="23" t="n">
        <v>2.8668</v>
      </c>
      <c r="F148" s="23" t="n">
        <v>0.0113</v>
      </c>
      <c r="G148" s="23" t="n">
        <v>1.9332</v>
      </c>
      <c r="H148" s="23" t="n">
        <v>1.1125</v>
      </c>
      <c r="I148" s="23" t="s">
        <v>287</v>
      </c>
      <c r="J148" s="23" t="s">
        <v>289</v>
      </c>
    </row>
    <row r="149" customFormat="false" ht="15" hidden="false" customHeight="false" outlineLevel="0" collapsed="false">
      <c r="A149" s="23" t="s">
        <v>328</v>
      </c>
      <c r="B149" s="23" t="s">
        <v>359</v>
      </c>
      <c r="C149" s="24" t="s">
        <v>288</v>
      </c>
      <c r="D149" s="23" t="n">
        <v>0.0025</v>
      </c>
      <c r="E149" s="23" t="n">
        <v>2.8062</v>
      </c>
      <c r="F149" s="23" t="n">
        <v>0.0019</v>
      </c>
      <c r="G149" s="23" t="n">
        <v>2.3356</v>
      </c>
      <c r="H149" s="23" t="n">
        <v>0.6371</v>
      </c>
      <c r="I149" s="23" t="s">
        <v>287</v>
      </c>
      <c r="J149" s="23" t="s">
        <v>289</v>
      </c>
    </row>
    <row r="150" customFormat="false" ht="15" hidden="false" customHeight="false" outlineLevel="0" collapsed="false">
      <c r="A150" s="23" t="s">
        <v>328</v>
      </c>
      <c r="B150" s="23" t="s">
        <v>359</v>
      </c>
      <c r="C150" s="24" t="s">
        <v>290</v>
      </c>
      <c r="D150" s="23" t="n">
        <v>0.0703</v>
      </c>
      <c r="E150" s="23" t="n">
        <v>1.9547</v>
      </c>
      <c r="F150" s="23" t="n">
        <v>0.0609</v>
      </c>
      <c r="G150" s="23" t="n">
        <v>2.0021</v>
      </c>
      <c r="H150" s="23" t="n">
        <v>0</v>
      </c>
      <c r="I150" s="23" t="s">
        <v>287</v>
      </c>
      <c r="J150" s="23" t="s">
        <v>289</v>
      </c>
    </row>
    <row r="151" customFormat="false" ht="15" hidden="false" customHeight="false" outlineLevel="0" collapsed="false">
      <c r="A151" s="23" t="s">
        <v>328</v>
      </c>
      <c r="B151" s="23" t="s">
        <v>359</v>
      </c>
      <c r="C151" s="24" t="s">
        <v>292</v>
      </c>
      <c r="D151" s="23" t="n">
        <v>0.1676</v>
      </c>
      <c r="E151" s="23" t="n">
        <v>1.4339</v>
      </c>
      <c r="F151" s="23" t="n">
        <v>0.2656</v>
      </c>
      <c r="G151" s="23" t="n">
        <v>2.0107</v>
      </c>
      <c r="H151" s="23" t="n">
        <v>-0.7963</v>
      </c>
      <c r="I151" s="23" t="s">
        <v>287</v>
      </c>
      <c r="J151" s="23" t="s">
        <v>289</v>
      </c>
    </row>
    <row r="152" customFormat="false" ht="15" hidden="false" customHeight="false" outlineLevel="0" collapsed="false">
      <c r="A152" s="23" t="s">
        <v>329</v>
      </c>
      <c r="B152" s="23" t="s">
        <v>360</v>
      </c>
      <c r="C152" s="24" t="s">
        <v>286</v>
      </c>
      <c r="D152" s="23" t="n">
        <v>0.0111</v>
      </c>
      <c r="E152" s="23" t="n">
        <v>2.8027</v>
      </c>
      <c r="F152" s="23" t="n">
        <v>0.0188</v>
      </c>
      <c r="G152" s="23" t="n">
        <v>1.3376</v>
      </c>
      <c r="H152" s="23" t="n">
        <v>1.5293</v>
      </c>
      <c r="I152" s="23" t="s">
        <v>287</v>
      </c>
      <c r="J152" s="23" t="s">
        <v>289</v>
      </c>
    </row>
    <row r="153" customFormat="false" ht="15" hidden="false" customHeight="false" outlineLevel="0" collapsed="false">
      <c r="A153" s="23" t="s">
        <v>329</v>
      </c>
      <c r="B153" s="23" t="s">
        <v>360</v>
      </c>
      <c r="C153" s="24" t="s">
        <v>288</v>
      </c>
      <c r="D153" s="23" t="n">
        <v>0.0003</v>
      </c>
      <c r="E153" s="23" t="n">
        <v>3.2721</v>
      </c>
      <c r="F153" s="23" t="n">
        <v>0.0002</v>
      </c>
      <c r="G153" s="23" t="n">
        <v>2.4369</v>
      </c>
      <c r="H153" s="23" t="n">
        <v>1.1315</v>
      </c>
      <c r="I153" s="23" t="s">
        <v>287</v>
      </c>
      <c r="J153" s="23" t="s">
        <v>289</v>
      </c>
    </row>
    <row r="154" customFormat="false" ht="15" hidden="false" customHeight="false" outlineLevel="0" collapsed="false">
      <c r="A154" s="23" t="s">
        <v>329</v>
      </c>
      <c r="B154" s="23" t="s">
        <v>360</v>
      </c>
      <c r="C154" s="24" t="s">
        <v>290</v>
      </c>
      <c r="D154" s="23" t="n">
        <v>0.1158</v>
      </c>
      <c r="E154" s="23" t="n">
        <v>1.7196</v>
      </c>
      <c r="F154" s="23" t="n">
        <v>0.0611</v>
      </c>
      <c r="G154" s="23" t="n">
        <v>1.9208</v>
      </c>
      <c r="H154" s="23" t="n">
        <v>0</v>
      </c>
      <c r="I154" s="23" t="s">
        <v>287</v>
      </c>
      <c r="J154" s="23" t="s">
        <v>289</v>
      </c>
    </row>
    <row r="155" customFormat="false" ht="15" hidden="false" customHeight="false" outlineLevel="0" collapsed="false">
      <c r="A155" s="23" t="s">
        <v>329</v>
      </c>
      <c r="B155" s="23" t="s">
        <v>360</v>
      </c>
      <c r="C155" s="24" t="s">
        <v>292</v>
      </c>
      <c r="D155" s="23" t="n">
        <v>0.1233</v>
      </c>
      <c r="E155" s="23" t="n">
        <v>1.5152</v>
      </c>
      <c r="F155" s="23" t="n">
        <v>0.1097</v>
      </c>
      <c r="G155" s="23" t="n">
        <v>1.553</v>
      </c>
      <c r="H155" s="23" t="n">
        <v>0</v>
      </c>
      <c r="I155" s="23" t="s">
        <v>287</v>
      </c>
      <c r="J155" s="23" t="s">
        <v>289</v>
      </c>
    </row>
    <row r="156" customFormat="false" ht="15" hidden="false" customHeight="false" outlineLevel="0" collapsed="false">
      <c r="A156" s="23" t="s">
        <v>331</v>
      </c>
      <c r="B156" s="23" t="s">
        <v>361</v>
      </c>
      <c r="C156" s="24" t="s">
        <v>286</v>
      </c>
      <c r="D156" s="23" t="n">
        <v>0.1861</v>
      </c>
      <c r="E156" s="23" t="n">
        <v>2.1665</v>
      </c>
      <c r="F156" s="23" t="n">
        <v>0.0224</v>
      </c>
      <c r="G156" s="23" t="n">
        <v>1.7438</v>
      </c>
      <c r="H156" s="23" t="n">
        <v>1.1899</v>
      </c>
      <c r="I156" s="23" t="s">
        <v>303</v>
      </c>
      <c r="J156" s="23" t="s">
        <v>284</v>
      </c>
    </row>
    <row r="157" customFormat="false" ht="15" hidden="false" customHeight="false" outlineLevel="0" collapsed="false">
      <c r="A157" s="23" t="s">
        <v>331</v>
      </c>
      <c r="B157" s="23" t="s">
        <v>361</v>
      </c>
      <c r="C157" s="24" t="s">
        <v>288</v>
      </c>
      <c r="D157" s="23" t="n">
        <v>0.0406</v>
      </c>
      <c r="E157" s="23" t="n">
        <v>1.9946</v>
      </c>
      <c r="F157" s="23" t="n">
        <v>0.0126</v>
      </c>
      <c r="G157" s="23" t="n">
        <v>1.6456</v>
      </c>
      <c r="H157" s="23" t="n">
        <v>0.7893</v>
      </c>
      <c r="I157" s="23" t="s">
        <v>303</v>
      </c>
      <c r="J157" s="23" t="s">
        <v>284</v>
      </c>
    </row>
    <row r="158" customFormat="false" ht="15" hidden="false" customHeight="false" outlineLevel="0" collapsed="false">
      <c r="A158" s="23" t="s">
        <v>331</v>
      </c>
      <c r="B158" s="23" t="s">
        <v>361</v>
      </c>
      <c r="C158" s="24" t="s">
        <v>290</v>
      </c>
      <c r="D158" s="23" t="n">
        <v>0.0461</v>
      </c>
      <c r="E158" s="23" t="n">
        <v>2.2291</v>
      </c>
      <c r="F158" s="23" t="n">
        <v>0.0354</v>
      </c>
      <c r="G158" s="23" t="n">
        <v>2.3046</v>
      </c>
      <c r="H158" s="23" t="n">
        <v>0</v>
      </c>
      <c r="I158" s="23" t="s">
        <v>303</v>
      </c>
      <c r="J158" s="23" t="s">
        <v>284</v>
      </c>
    </row>
    <row r="159" customFormat="false" ht="15" hidden="false" customHeight="false" outlineLevel="0" collapsed="false">
      <c r="A159" s="23" t="s">
        <v>331</v>
      </c>
      <c r="B159" s="23" t="s">
        <v>361</v>
      </c>
      <c r="C159" s="24" t="s">
        <v>292</v>
      </c>
      <c r="D159" s="23" t="n">
        <v>0.1106</v>
      </c>
      <c r="E159" s="23" t="n">
        <v>1.2277</v>
      </c>
      <c r="F159" s="23" t="n">
        <v>0.0195</v>
      </c>
      <c r="G159" s="23" t="n">
        <v>1.0509</v>
      </c>
      <c r="H159" s="23" t="n">
        <v>0.7836</v>
      </c>
      <c r="I159" s="23" t="s">
        <v>303</v>
      </c>
      <c r="J159" s="23" t="s">
        <v>284</v>
      </c>
    </row>
    <row r="160" customFormat="false" ht="15" hidden="false" customHeight="false" outlineLevel="0" collapsed="false">
      <c r="A160" s="23" t="s">
        <v>134</v>
      </c>
      <c r="B160" s="23" t="s">
        <v>362</v>
      </c>
      <c r="C160" s="24" t="s">
        <v>286</v>
      </c>
      <c r="D160" s="23" t="n">
        <v>0.0604</v>
      </c>
      <c r="E160" s="23" t="n">
        <v>2.4959</v>
      </c>
      <c r="F160" s="23" t="n">
        <v>0.0333</v>
      </c>
      <c r="G160" s="23" t="n">
        <v>2.0794</v>
      </c>
      <c r="H160" s="23" t="n">
        <v>0.6811</v>
      </c>
      <c r="I160" s="23" t="s">
        <v>287</v>
      </c>
      <c r="J160" s="23" t="s">
        <v>284</v>
      </c>
    </row>
    <row r="161" customFormat="false" ht="15" hidden="false" customHeight="false" outlineLevel="0" collapsed="false">
      <c r="A161" s="23" t="s">
        <v>134</v>
      </c>
      <c r="B161" s="23" t="s">
        <v>362</v>
      </c>
      <c r="C161" s="24" t="s">
        <v>288</v>
      </c>
      <c r="D161" s="23" t="n">
        <v>0.014</v>
      </c>
      <c r="E161" s="23" t="n">
        <v>2.3923</v>
      </c>
      <c r="F161" s="23" t="n">
        <v>0.0079</v>
      </c>
      <c r="G161" s="23" t="n">
        <v>1.9905</v>
      </c>
      <c r="H161" s="23" t="n">
        <v>0.6553</v>
      </c>
      <c r="I161" s="23" t="s">
        <v>287</v>
      </c>
      <c r="J161" s="23" t="s">
        <v>284</v>
      </c>
    </row>
    <row r="162" customFormat="false" ht="15" hidden="false" customHeight="false" outlineLevel="0" collapsed="false">
      <c r="A162" s="23" t="s">
        <v>134</v>
      </c>
      <c r="B162" s="23" t="s">
        <v>362</v>
      </c>
      <c r="C162" s="24" t="s">
        <v>290</v>
      </c>
      <c r="D162" s="23" t="n">
        <v>0.0147</v>
      </c>
      <c r="E162" s="23" t="n">
        <v>2.5227</v>
      </c>
      <c r="F162" s="23" t="n">
        <v>0.0253</v>
      </c>
      <c r="G162" s="23" t="n">
        <v>3.1518</v>
      </c>
      <c r="H162" s="23" t="n">
        <v>-0.9083</v>
      </c>
      <c r="I162" s="23" t="s">
        <v>287</v>
      </c>
      <c r="J162" s="23" t="s">
        <v>284</v>
      </c>
    </row>
    <row r="163" customFormat="false" ht="15" hidden="false" customHeight="false" outlineLevel="0" collapsed="false">
      <c r="A163" s="23" t="s">
        <v>134</v>
      </c>
      <c r="B163" s="23" t="s">
        <v>362</v>
      </c>
      <c r="C163" s="24" t="s">
        <v>292</v>
      </c>
      <c r="D163" s="23" t="n">
        <v>0.0591</v>
      </c>
      <c r="E163" s="23" t="n">
        <v>1.6036</v>
      </c>
      <c r="F163" s="23" t="n">
        <v>0.1361</v>
      </c>
      <c r="G163" s="23" t="n">
        <v>2.2978</v>
      </c>
      <c r="H163" s="23" t="n">
        <v>-1.0934</v>
      </c>
      <c r="I163" s="23" t="s">
        <v>287</v>
      </c>
      <c r="J163" s="23" t="s">
        <v>284</v>
      </c>
    </row>
    <row r="164" customFormat="false" ht="15" hidden="false" customHeight="false" outlineLevel="0" collapsed="false">
      <c r="A164" s="23" t="s">
        <v>332</v>
      </c>
      <c r="B164" s="23" t="s">
        <v>363</v>
      </c>
      <c r="C164" s="24" t="s">
        <v>286</v>
      </c>
      <c r="D164" s="23" t="n">
        <v>0.0402</v>
      </c>
      <c r="E164" s="23" t="n">
        <v>2.5804</v>
      </c>
      <c r="F164" s="23" t="n">
        <v>0.0207</v>
      </c>
      <c r="G164" s="23" t="n">
        <v>2.2276</v>
      </c>
      <c r="H164" s="23" t="n">
        <v>0.6488</v>
      </c>
      <c r="I164" s="23" t="s">
        <v>303</v>
      </c>
      <c r="J164" s="23" t="s">
        <v>284</v>
      </c>
    </row>
    <row r="165" customFormat="false" ht="15" hidden="false" customHeight="false" outlineLevel="0" collapsed="false">
      <c r="A165" s="23" t="s">
        <v>332</v>
      </c>
      <c r="B165" s="23" t="s">
        <v>363</v>
      </c>
      <c r="C165" s="24" t="s">
        <v>288</v>
      </c>
      <c r="D165" s="23" t="n">
        <v>0.0073</v>
      </c>
      <c r="E165" s="23" t="n">
        <v>2.4859</v>
      </c>
      <c r="F165" s="23" t="n">
        <v>0.0078</v>
      </c>
      <c r="G165" s="23" t="n">
        <v>2.454</v>
      </c>
      <c r="H165" s="23" t="n">
        <v>0</v>
      </c>
      <c r="I165" s="23" t="s">
        <v>303</v>
      </c>
      <c r="J165" s="23" t="s">
        <v>284</v>
      </c>
    </row>
    <row r="166" customFormat="false" ht="15" hidden="false" customHeight="false" outlineLevel="0" collapsed="false">
      <c r="A166" s="23" t="s">
        <v>332</v>
      </c>
      <c r="B166" s="23" t="s">
        <v>363</v>
      </c>
      <c r="C166" s="24" t="s">
        <v>290</v>
      </c>
      <c r="D166" s="23" t="n">
        <v>0.0401</v>
      </c>
      <c r="E166" s="23" t="n">
        <v>2.1826</v>
      </c>
      <c r="F166" s="23" t="n">
        <v>0.0393</v>
      </c>
      <c r="G166" s="23" t="n">
        <v>2.188</v>
      </c>
      <c r="H166" s="23" t="n">
        <v>0</v>
      </c>
      <c r="I166" s="23" t="s">
        <v>303</v>
      </c>
      <c r="J166" s="23" t="s">
        <v>284</v>
      </c>
    </row>
    <row r="167" customFormat="false" ht="15" hidden="false" customHeight="false" outlineLevel="0" collapsed="false">
      <c r="A167" s="23" t="s">
        <v>332</v>
      </c>
      <c r="B167" s="23" t="s">
        <v>363</v>
      </c>
      <c r="C167" s="24" t="s">
        <v>292</v>
      </c>
      <c r="D167" s="23" t="n">
        <v>0.075</v>
      </c>
      <c r="E167" s="23" t="n">
        <v>1.3436</v>
      </c>
      <c r="F167" s="23" t="n">
        <v>0.0516</v>
      </c>
      <c r="G167" s="23" t="n">
        <v>1.4511</v>
      </c>
      <c r="H167" s="23" t="n">
        <v>0</v>
      </c>
      <c r="I167" s="23" t="s">
        <v>303</v>
      </c>
      <c r="J167" s="23" t="s">
        <v>284</v>
      </c>
    </row>
    <row r="168" customFormat="false" ht="15" hidden="false" customHeight="false" outlineLevel="0" collapsed="false">
      <c r="A168" s="23" t="s">
        <v>333</v>
      </c>
      <c r="B168" s="23" t="s">
        <v>364</v>
      </c>
      <c r="C168" s="24" t="s">
        <v>286</v>
      </c>
      <c r="D168" s="23" t="n">
        <v>0.0762</v>
      </c>
      <c r="E168" s="23" t="n">
        <v>2.3335</v>
      </c>
      <c r="F168" s="23" t="n">
        <v>0.0442</v>
      </c>
      <c r="G168" s="23" t="n">
        <v>1.6818</v>
      </c>
      <c r="H168" s="23" t="n">
        <v>1.031</v>
      </c>
      <c r="I168" s="23" t="s">
        <v>303</v>
      </c>
      <c r="J168" s="23" t="s">
        <v>284</v>
      </c>
    </row>
    <row r="169" customFormat="false" ht="15" hidden="false" customHeight="false" outlineLevel="0" collapsed="false">
      <c r="A169" s="23" t="s">
        <v>333</v>
      </c>
      <c r="B169" s="23" t="s">
        <v>364</v>
      </c>
      <c r="C169" s="24" t="s">
        <v>288</v>
      </c>
      <c r="D169" s="23" t="n">
        <v>0.0338</v>
      </c>
      <c r="E169" s="23" t="n">
        <v>1.9845</v>
      </c>
      <c r="F169" s="23" t="n">
        <v>0.0308</v>
      </c>
      <c r="G169" s="23" t="n">
        <v>1.7479</v>
      </c>
      <c r="H169" s="23" t="n">
        <v>0.3504</v>
      </c>
      <c r="I169" s="23" t="s">
        <v>303</v>
      </c>
      <c r="J169" s="23" t="s">
        <v>284</v>
      </c>
    </row>
    <row r="170" customFormat="false" ht="15" hidden="false" customHeight="false" outlineLevel="0" collapsed="false">
      <c r="A170" s="23" t="s">
        <v>333</v>
      </c>
      <c r="B170" s="23" t="s">
        <v>364</v>
      </c>
      <c r="C170" s="24" t="s">
        <v>290</v>
      </c>
      <c r="D170" s="23" t="n">
        <v>0.0113</v>
      </c>
      <c r="E170" s="23" t="n">
        <v>2.6211</v>
      </c>
      <c r="F170" s="23" t="n">
        <v>0.0022</v>
      </c>
      <c r="G170" s="23" t="n">
        <v>2.0165</v>
      </c>
      <c r="H170" s="23" t="n">
        <v>1.3953</v>
      </c>
      <c r="I170" s="23" t="s">
        <v>303</v>
      </c>
      <c r="J170" s="23" t="s">
        <v>284</v>
      </c>
    </row>
    <row r="171" customFormat="false" ht="15" hidden="false" customHeight="false" outlineLevel="0" collapsed="false">
      <c r="A171" s="23" t="s">
        <v>333</v>
      </c>
      <c r="B171" s="23" t="s">
        <v>364</v>
      </c>
      <c r="C171" s="24" t="s">
        <v>292</v>
      </c>
      <c r="D171" s="23" t="n">
        <v>0.0188</v>
      </c>
      <c r="E171" s="23" t="n">
        <v>1.7881</v>
      </c>
      <c r="F171" s="23" t="n">
        <v>0.0053</v>
      </c>
      <c r="G171" s="23" t="n">
        <v>1.2822</v>
      </c>
      <c r="H171" s="23" t="n">
        <v>1.1323</v>
      </c>
      <c r="I171" s="23" t="s">
        <v>303</v>
      </c>
      <c r="J171" s="23" t="s">
        <v>284</v>
      </c>
    </row>
    <row r="172" customFormat="false" ht="15" hidden="false" customHeight="false" outlineLevel="0" collapsed="false">
      <c r="A172" s="23" t="s">
        <v>137</v>
      </c>
      <c r="B172" s="23" t="s">
        <v>365</v>
      </c>
      <c r="C172" s="24" t="s">
        <v>286</v>
      </c>
      <c r="D172" s="23" t="n">
        <v>0.0334</v>
      </c>
      <c r="E172" s="23" t="n">
        <v>2.598</v>
      </c>
      <c r="F172" s="23" t="n">
        <v>0.0252</v>
      </c>
      <c r="G172" s="23" t="n">
        <v>1.7819</v>
      </c>
      <c r="H172" s="23" t="n">
        <v>1.0022</v>
      </c>
      <c r="I172" s="23" t="s">
        <v>287</v>
      </c>
      <c r="J172" s="23" t="s">
        <v>289</v>
      </c>
    </row>
    <row r="173" customFormat="false" ht="15" hidden="false" customHeight="false" outlineLevel="0" collapsed="false">
      <c r="A173" s="23" t="s">
        <v>137</v>
      </c>
      <c r="B173" s="23" t="s">
        <v>365</v>
      </c>
      <c r="C173" s="24" t="s">
        <v>288</v>
      </c>
      <c r="D173" s="23" t="n">
        <v>0.0114</v>
      </c>
      <c r="E173" s="23" t="n">
        <v>2.3057</v>
      </c>
      <c r="F173" s="23" t="n">
        <v>0.0096</v>
      </c>
      <c r="G173" s="23" t="n">
        <v>1.6901</v>
      </c>
      <c r="H173" s="23" t="n">
        <v>0.7393</v>
      </c>
      <c r="I173" s="23" t="s">
        <v>287</v>
      </c>
      <c r="J173" s="23" t="s">
        <v>289</v>
      </c>
    </row>
    <row r="174" customFormat="false" ht="15" hidden="false" customHeight="false" outlineLevel="0" collapsed="false">
      <c r="A174" s="23" t="s">
        <v>137</v>
      </c>
      <c r="B174" s="23" t="s">
        <v>365</v>
      </c>
      <c r="C174" s="24" t="s">
        <v>290</v>
      </c>
      <c r="D174" s="23" t="n">
        <v>0.0302</v>
      </c>
      <c r="E174" s="23" t="n">
        <v>2.0927</v>
      </c>
      <c r="F174" s="23" t="n">
        <v>0.0322</v>
      </c>
      <c r="G174" s="23" t="n">
        <v>2.8961</v>
      </c>
      <c r="H174" s="23" t="n">
        <v>-0.9203</v>
      </c>
      <c r="I174" s="23" t="s">
        <v>287</v>
      </c>
      <c r="J174" s="23" t="s">
        <v>289</v>
      </c>
    </row>
    <row r="175" customFormat="false" ht="15" hidden="false" customHeight="false" outlineLevel="0" collapsed="false">
      <c r="A175" s="23" t="s">
        <v>137</v>
      </c>
      <c r="B175" s="23" t="s">
        <v>365</v>
      </c>
      <c r="C175" s="24" t="s">
        <v>292</v>
      </c>
      <c r="D175" s="23" t="n">
        <v>0.1515</v>
      </c>
      <c r="E175" s="23" t="n">
        <v>1.5012</v>
      </c>
      <c r="F175" s="23" t="n">
        <v>0.1832</v>
      </c>
      <c r="G175" s="23" t="n">
        <v>2.4144</v>
      </c>
      <c r="H175" s="23" t="n">
        <v>-1.0948</v>
      </c>
      <c r="I175" s="23" t="s">
        <v>287</v>
      </c>
      <c r="J175" s="23" t="s">
        <v>289</v>
      </c>
    </row>
    <row r="176" customFormat="false" ht="15" hidden="false" customHeight="false" outlineLevel="0" collapsed="false">
      <c r="A176" s="23" t="s">
        <v>335</v>
      </c>
      <c r="B176" s="23" t="s">
        <v>366</v>
      </c>
      <c r="C176" s="24" t="s">
        <v>286</v>
      </c>
      <c r="D176" s="23" t="n">
        <v>0.1932</v>
      </c>
      <c r="E176" s="23" t="n">
        <v>2.1569</v>
      </c>
      <c r="F176" s="23" t="n">
        <v>0.0259</v>
      </c>
      <c r="G176" s="23" t="n">
        <v>1.9044</v>
      </c>
      <c r="H176" s="23" t="n">
        <v>0.9715</v>
      </c>
      <c r="I176" s="23" t="s">
        <v>303</v>
      </c>
      <c r="J176" s="23" t="s">
        <v>284</v>
      </c>
    </row>
    <row r="177" customFormat="false" ht="15" hidden="false" customHeight="false" outlineLevel="0" collapsed="false">
      <c r="A177" s="23" t="s">
        <v>335</v>
      </c>
      <c r="B177" s="23" t="s">
        <v>366</v>
      </c>
      <c r="C177" s="24" t="s">
        <v>288</v>
      </c>
      <c r="D177" s="23" t="n">
        <v>0.0192</v>
      </c>
      <c r="E177" s="23" t="n">
        <v>2.2475</v>
      </c>
      <c r="F177" s="23" t="n">
        <v>0.0069</v>
      </c>
      <c r="G177" s="23" t="n">
        <v>2.0834</v>
      </c>
      <c r="H177" s="23" t="n">
        <v>0.5371</v>
      </c>
      <c r="I177" s="23" t="s">
        <v>303</v>
      </c>
      <c r="J177" s="23" t="s">
        <v>284</v>
      </c>
    </row>
    <row r="178" customFormat="false" ht="15" hidden="false" customHeight="false" outlineLevel="0" collapsed="false">
      <c r="A178" s="23" t="s">
        <v>335</v>
      </c>
      <c r="B178" s="23" t="s">
        <v>366</v>
      </c>
      <c r="C178" s="24" t="s">
        <v>290</v>
      </c>
      <c r="D178" s="23" t="n">
        <v>0.0305</v>
      </c>
      <c r="E178" s="23" t="n">
        <v>2.4044</v>
      </c>
      <c r="F178" s="23" t="n">
        <v>0.0325</v>
      </c>
      <c r="G178" s="23" t="n">
        <v>2.3851</v>
      </c>
      <c r="H178" s="23" t="n">
        <v>0</v>
      </c>
      <c r="I178" s="23" t="s">
        <v>303</v>
      </c>
      <c r="J178" s="23" t="s">
        <v>284</v>
      </c>
    </row>
    <row r="179" customFormat="false" ht="15" hidden="false" customHeight="false" outlineLevel="0" collapsed="false">
      <c r="A179" s="23" t="s">
        <v>335</v>
      </c>
      <c r="B179" s="23" t="s">
        <v>366</v>
      </c>
      <c r="C179" s="24" t="s">
        <v>292</v>
      </c>
      <c r="D179" s="23" t="n">
        <v>0.1119</v>
      </c>
      <c r="E179" s="23" t="n">
        <v>1.3973</v>
      </c>
      <c r="F179" s="23" t="n">
        <v>0.1683</v>
      </c>
      <c r="G179" s="23" t="n">
        <v>1.2764</v>
      </c>
      <c r="H179" s="23" t="n">
        <v>0</v>
      </c>
      <c r="I179" s="23" t="s">
        <v>303</v>
      </c>
      <c r="J179" s="23" t="s">
        <v>284</v>
      </c>
    </row>
  </sheetData>
  <mergeCells count="1"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6" min="3" style="0" width="12"/>
    <col collapsed="false" customWidth="true" hidden="false" outlineLevel="0" max="7" min="7" style="0" width="20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0" t="s">
        <v>367</v>
      </c>
    </row>
    <row r="2" customFormat="false" ht="15" hidden="false" customHeight="false" outlineLevel="0" collapsed="false">
      <c r="A2" s="19" t="s">
        <v>368</v>
      </c>
    </row>
    <row r="3" customFormat="false" ht="15" hidden="false" customHeight="false" outlineLevel="0" collapsed="false">
      <c r="A3" s="19" t="s">
        <v>369</v>
      </c>
    </row>
    <row r="4" customFormat="false" ht="15" hidden="false" customHeight="false" outlineLevel="0" collapsed="false">
      <c r="A4" s="19" t="s">
        <v>370</v>
      </c>
    </row>
    <row r="5" customFormat="false" ht="15" hidden="false" customHeight="false" outlineLevel="0" collapsed="false">
      <c r="A5" s="19" t="s">
        <v>371</v>
      </c>
    </row>
    <row r="7" customFormat="false" ht="42" hidden="false" customHeight="true" outlineLevel="0" collapsed="false">
      <c r="A7" s="12" t="s">
        <v>372</v>
      </c>
      <c r="B7" s="12" t="s">
        <v>373</v>
      </c>
      <c r="C7" s="12" t="s">
        <v>145</v>
      </c>
      <c r="D7" s="12" t="s">
        <v>276</v>
      </c>
      <c r="E7" s="12" t="s">
        <v>374</v>
      </c>
      <c r="F7" s="12" t="s">
        <v>375</v>
      </c>
      <c r="G7" s="12" t="s">
        <v>282</v>
      </c>
      <c r="I7" s="4" t="s">
        <v>376</v>
      </c>
    </row>
    <row r="8" customFormat="false" ht="15" hidden="false" customHeight="false" outlineLevel="0" collapsed="false">
      <c r="A8" s="23" t="s">
        <v>167</v>
      </c>
      <c r="B8" s="23" t="s">
        <v>166</v>
      </c>
      <c r="C8" s="23" t="s">
        <v>166</v>
      </c>
      <c r="D8" s="23" t="s">
        <v>377</v>
      </c>
      <c r="E8" s="23" t="n">
        <v>59.0721</v>
      </c>
      <c r="F8" s="23" t="n">
        <v>2.272</v>
      </c>
      <c r="G8" s="23" t="s">
        <v>378</v>
      </c>
      <c r="I8" s="3" t="s">
        <v>167</v>
      </c>
    </row>
    <row r="9" customFormat="false" ht="15" hidden="false" customHeight="false" outlineLevel="0" collapsed="false">
      <c r="A9" s="23" t="s">
        <v>160</v>
      </c>
      <c r="B9" s="23" t="s">
        <v>379</v>
      </c>
      <c r="C9" s="23" t="s">
        <v>157</v>
      </c>
      <c r="D9" s="23" t="s">
        <v>377</v>
      </c>
      <c r="E9" s="23" t="n">
        <v>185.065</v>
      </c>
      <c r="F9" s="23" t="n">
        <v>0.976</v>
      </c>
      <c r="G9" s="23" t="s">
        <v>378</v>
      </c>
      <c r="I9" s="3" t="s">
        <v>160</v>
      </c>
    </row>
    <row r="10" customFormat="false" ht="15" hidden="false" customHeight="false" outlineLevel="0" collapsed="false">
      <c r="A10" s="23" t="s">
        <v>175</v>
      </c>
      <c r="B10" s="23" t="s">
        <v>380</v>
      </c>
      <c r="C10" s="23" t="s">
        <v>157</v>
      </c>
      <c r="D10" s="23" t="s">
        <v>377</v>
      </c>
      <c r="E10" s="23" t="n">
        <v>342.416</v>
      </c>
      <c r="F10" s="23" t="n">
        <v>0.8386</v>
      </c>
      <c r="G10" s="23" t="s">
        <v>378</v>
      </c>
      <c r="I10" s="3" t="s">
        <v>175</v>
      </c>
    </row>
    <row r="11" customFormat="false" ht="15" hidden="false" customHeight="false" outlineLevel="0" collapsed="false">
      <c r="A11" s="23" t="s">
        <v>173</v>
      </c>
      <c r="B11" s="23" t="s">
        <v>381</v>
      </c>
      <c r="C11" s="23" t="s">
        <v>157</v>
      </c>
      <c r="D11" s="23" t="s">
        <v>377</v>
      </c>
      <c r="E11" s="23" t="n">
        <v>311.586</v>
      </c>
      <c r="F11" s="23" t="n">
        <v>0.845</v>
      </c>
      <c r="G11" s="23" t="s">
        <v>378</v>
      </c>
      <c r="I11" s="3" t="s">
        <v>173</v>
      </c>
    </row>
    <row r="12" customFormat="false" ht="15" hidden="false" customHeight="false" outlineLevel="0" collapsed="false">
      <c r="A12" s="23" t="s">
        <v>174</v>
      </c>
      <c r="B12" s="23" t="s">
        <v>382</v>
      </c>
      <c r="C12" s="23" t="s">
        <v>157</v>
      </c>
      <c r="D12" s="23" t="s">
        <v>377</v>
      </c>
      <c r="E12" s="23" t="n">
        <v>262.469</v>
      </c>
      <c r="F12" s="23" t="n">
        <v>0.785</v>
      </c>
      <c r="G12" s="23" t="s">
        <v>378</v>
      </c>
      <c r="I12" s="3" t="s">
        <v>174</v>
      </c>
    </row>
    <row r="13" customFormat="false" ht="15" hidden="false" customHeight="false" outlineLevel="0" collapsed="false">
      <c r="A13" s="23" t="s">
        <v>158</v>
      </c>
      <c r="B13" s="23" t="s">
        <v>383</v>
      </c>
      <c r="C13" s="23" t="s">
        <v>157</v>
      </c>
      <c r="D13" s="23" t="s">
        <v>377</v>
      </c>
      <c r="E13" s="23" t="n">
        <v>232.212</v>
      </c>
      <c r="F13" s="23" t="n">
        <v>0.629</v>
      </c>
      <c r="G13" s="23" t="s">
        <v>378</v>
      </c>
      <c r="I13" s="3" t="s">
        <v>158</v>
      </c>
    </row>
    <row r="14" customFormat="false" ht="15" hidden="false" customHeight="false" outlineLevel="0" collapsed="false">
      <c r="A14" s="23" t="s">
        <v>171</v>
      </c>
      <c r="B14" s="23" t="s">
        <v>171</v>
      </c>
      <c r="C14" s="23" t="s">
        <v>157</v>
      </c>
      <c r="D14" s="23" t="s">
        <v>377</v>
      </c>
      <c r="E14" s="23" t="n">
        <v>272.116</v>
      </c>
      <c r="F14" s="23" t="n">
        <v>0.778</v>
      </c>
      <c r="G14" s="23" t="s">
        <v>378</v>
      </c>
      <c r="I14" s="3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2026-09-11T16:31:50Z</dcterms:created>
  <dc:creator>openpyxl</dc:creator>
  <dc:description/>
  <dc:language>en-US</dc:language>
  <cp:lastModifiedBy/>
  <dcterms:modified xsi:type="dcterms:W3CDTF">2026-09-11T16:31:53Z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